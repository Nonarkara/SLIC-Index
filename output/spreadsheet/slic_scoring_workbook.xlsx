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tric_Catalog" sheetId="2" state="visible" r:id="rId2"/>
    <sheet xmlns:r="http://schemas.openxmlformats.org/officeDocument/2006/relationships" name="City_Universe" sheetId="3" state="visible" r:id="rId3"/>
    <sheet xmlns:r="http://schemas.openxmlformats.org/officeDocument/2006/relationships" name="Country_Context" sheetId="4" state="visible" r:id="rId4"/>
    <sheet xmlns:r="http://schemas.openxmlformats.org/officeDocument/2006/relationships" name="City_Inputs" sheetId="5" state="visible" r:id="rId5"/>
    <sheet xmlns:r="http://schemas.openxmlformats.org/officeDocument/2006/relationships" name="Norm_Stats" sheetId="6" state="visible" r:id="rId6"/>
    <sheet xmlns:r="http://schemas.openxmlformats.org/officeDocument/2006/relationships" name="Scores" sheetId="7" state="visible" r:id="rId7"/>
    <sheet xmlns:r="http://schemas.openxmlformats.org/officeDocument/2006/relationships" name="Leaderboard" sheetId="8" state="visible" r:id="rId8"/>
    <sheet xmlns:r="http://schemas.openxmlformats.org/officeDocument/2006/relationships" name="Region_Comparison" sheetId="9" state="visible" r:id="rId9"/>
    <sheet xmlns:r="http://schemas.openxmlformats.org/officeDocument/2006/relationships" name="Thai_Ranking_Scaffold" sheetId="10" state="visible" r:id="rId10"/>
  </sheets>
  <definedNames>
    <definedName name="_xlnm._FilterDatabase" localSheetId="1" hidden="1">'Metric_Catalog'!$A$1:$M$27</definedName>
    <definedName name="_xlnm._FilterDatabase" localSheetId="2" hidden="1">'City_Universe'!$A$1:$H$158</definedName>
    <definedName name="_xlnm._FilterDatabase" localSheetId="3" hidden="1">'Country_Context'!$A$1:$K$87</definedName>
    <definedName name="_xlnm._FilterDatabase" localSheetId="4" hidden="1">'City_Inputs'!$A$1:$BJ$158</definedName>
    <definedName name="_xlnm._FilterDatabase" localSheetId="5" hidden="1">'Norm_Stats'!$A$1:$H$26</definedName>
    <definedName name="_xlnm._FilterDatabase" localSheetId="6" hidden="1">'Scores'!$A$1:$BN$158</definedName>
    <definedName name="_xlnm._FilterDatabase" localSheetId="7" hidden="1">'Leaderboard'!$A$1:$N$211</definedName>
    <definedName name="_xlnm._FilterDatabase" localSheetId="8" hidden="1">'Region_Comparison'!$A$1:$G$11</definedName>
    <definedName name="_xlnm._FilterDatabase" localSheetId="9" hidden="1">'Thai_Ranking_Scaffold'!$A$1:$N$12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0.0"/>
  </numFmts>
  <fonts count="3">
    <font>
      <name val="Calibri"/>
      <family val="2"/>
      <color theme="1"/>
      <sz val="11"/>
      <scheme val="minor"/>
    </font>
    <font>
      <b val="1"/>
      <color rgb="001F2933"/>
      <sz val="14"/>
    </font>
    <font>
      <b val="1"/>
      <color rgb="001F2933"/>
    </font>
  </fonts>
  <fills count="8">
    <fill>
      <patternFill/>
    </fill>
    <fill>
      <patternFill patternType="gray125"/>
    </fill>
    <fill>
      <patternFill patternType="solid">
        <fgColor rgb="00EEF2F5"/>
      </patternFill>
    </fill>
    <fill>
      <patternFill patternType="solid">
        <fgColor rgb="00F5F7FA"/>
      </patternFill>
    </fill>
    <fill>
      <patternFill patternType="solid">
        <fgColor rgb="00D9E2EC"/>
      </patternFill>
    </fill>
    <fill>
      <patternFill patternType="solid">
        <fgColor rgb="00E8F1FF"/>
      </patternFill>
    </fill>
    <fill>
      <patternFill patternType="solid">
        <fgColor rgb="00F3F0FF"/>
      </patternFill>
    </fill>
    <fill>
      <patternFill patternType="solid">
        <fgColor rgb="00E8F7F1"/>
      </patternFill>
    </fill>
  </fills>
  <borders count="2">
    <border>
      <left/>
      <right/>
      <top/>
      <bottom/>
      <diagonal/>
    </border>
    <border>
      <bottom style="thin">
        <color rgb="00CBD2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9" fontId="0" fillId="0" borderId="0" pivotButton="0" quotePrefix="0" xfId="0"/>
    <xf numFmtId="0" fontId="2" fillId="4" borderId="1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166" fontId="0" fillId="6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SLIC Scoring Workbook</t>
        </is>
      </c>
    </row>
    <row r="3">
      <c r="A3" s="2" t="inlineStr">
        <is>
          <t>Purpose</t>
        </is>
      </c>
      <c r="B3" s="3" t="inlineStr">
        <is>
          <t>This workbook is the operational source of truth for the global SLIC city ranking. Enter or import data into Country_Context and City_Inputs, then review Scores, Leaderboard, Region_Comparison, and the Thai-specific scaffold.</t>
        </is>
      </c>
    </row>
    <row r="4">
      <c r="A4" s="2" t="inlineStr">
        <is>
          <t>Official formula</t>
        </is>
      </c>
      <c r="B4" s="3" t="inlineStr">
        <is>
          <t>SLIC(c) = 0.25 Pressure + 0.22 Viability + 0.18 Capability + 0.15 Community + 0.20 Creative</t>
        </is>
      </c>
    </row>
    <row r="5">
      <c r="A5" s="2" t="inlineStr">
        <is>
          <t>Disposable income term</t>
        </is>
      </c>
      <c r="B5" s="3" t="inlineStr">
        <is>
          <t>DI_ppp = ((gross_income x (1 - tax_rate)) - rent - utilities - transit - internet - food) / ppp_private_consumption</t>
        </is>
      </c>
    </row>
    <row r="6">
      <c r="A6" s="2" t="inlineStr">
        <is>
          <t>Normalization</t>
        </is>
      </c>
      <c r="B6" s="3" t="inlineStr">
        <is>
          <t>Each scored input is winsorized at the 5th and 95th percentiles, then converted to a 0-100 score. Harmful variables such as crime, debt, suicide, PM2.5, and administrative friction are reverse-scored.</t>
        </is>
      </c>
    </row>
    <row r="7">
      <c r="A7" s="2" t="inlineStr">
        <is>
          <t>Coverage rules</t>
        </is>
      </c>
      <c r="B7" s="3" t="inlineStr">
        <is>
          <t>A city is Ranked only when overall weighted coverage is at least 50% and every pillar clears the 35% minimum. Coverage grades: A &gt;= 75%, B = 50-74%, C = 35-49%, below 35% = Watchlist.</t>
        </is>
      </c>
    </row>
    <row r="8">
      <c r="A8" s="2" t="inlineStr">
        <is>
          <t>Source hierarchy</t>
        </is>
      </c>
      <c r="B8" s="3" t="inlineStr">
        <is>
          <t>Tier 1 city/metro official data &gt; Tier 2 subnational official data &gt; Tier 3 national and international official data &gt; Tier 4 audited secondary and experimental layers.</t>
        </is>
      </c>
    </row>
    <row r="9">
      <c r="A9" s="2" t="inlineStr">
        <is>
          <t>Doctrinal rule: safety</t>
        </is>
      </c>
      <c r="B9" s="3" t="inlineStr">
        <is>
          <t>Safety is scored by harm and victimization outcomes, never by camera count or visible control hardware.</t>
        </is>
      </c>
    </row>
    <row r="10">
      <c r="A10" s="2" t="inlineStr">
        <is>
          <t>Doctrinal rule: tolerance</t>
        </is>
      </c>
      <c r="B10" s="3" t="inlineStr">
        <is>
          <t>Tolerance is scored through low-friction coexistence and real personal freedom, not symbolic branding proxies.</t>
        </is>
      </c>
    </row>
    <row r="11">
      <c r="A11" s="2" t="inlineStr">
        <is>
          <t>Doctrinal rule: visitor flows</t>
        </is>
      </c>
      <c r="B11" s="3" t="inlineStr">
        <is>
          <t>Visitor flow is contextual only. It should be reviewed against crime, civic strain, and public-life quality rather than treated as an automatic positive.</t>
        </is>
      </c>
    </row>
    <row r="12">
      <c r="A12" s="2" t="inlineStr">
        <is>
          <t>Country context</t>
        </is>
      </c>
      <c r="B12" s="3" t="inlineStr">
        <is>
          <t>GDP per capita PPP, GDP growth, Gini coefficient, PPP private consumption, and user-supplied tax rate are visible in Country_Context. GDP terms are capped context inputs, not headline determinants.</t>
        </is>
      </c>
    </row>
    <row r="13">
      <c r="A13" s="2" t="inlineStr">
        <is>
          <t>How tax works</t>
        </is>
      </c>
      <c r="B13" s="3" t="inlineStr">
        <is>
          <t>Populate tax_rate_assumption in Country_Context as a decimal such as 0.18. City_Inputs pulls that value automatically into tax_rate_context and recomputes di_ppp_raw.</t>
        </is>
      </c>
    </row>
    <row r="14">
      <c r="A14" s="2" t="inlineStr">
        <is>
          <t>Region comparison</t>
        </is>
      </c>
      <c r="B14" s="3" t="inlineStr">
        <is>
          <t>Region_Comparison summarizes ranked city counts and average scores by cohort so Europe, Asia, the Americas, Africa, the Middle East, and Oceania can be compared cleanly.</t>
        </is>
      </c>
    </row>
    <row r="15">
      <c r="A15" s="2" t="inlineStr">
        <is>
          <t>Thai companion</t>
        </is>
      </c>
      <c r="B15" s="3" t="inlineStr">
        <is>
          <t>Thai_Ranking_Scaffold is a separate sheet for a Thailand-only ranking. It emphasizes province GDP per capita, pollution, hospitals, schools, infrastructure, income, longevity, and competitiveness.</t>
        </is>
      </c>
    </row>
    <row r="18">
      <c r="A18" s="4" t="inlineStr">
        <is>
          <t>Coverage thresholds</t>
        </is>
      </c>
    </row>
    <row r="19">
      <c r="A19" t="inlineStr">
        <is>
          <t>ranked_min_overall</t>
        </is>
      </c>
      <c r="B19" s="5" t="n">
        <v>0.5</v>
      </c>
    </row>
    <row r="20">
      <c r="A20" t="inlineStr">
        <is>
          <t>ranked_min_pillar</t>
        </is>
      </c>
      <c r="B20" s="5" t="n">
        <v>0.35</v>
      </c>
    </row>
    <row r="21">
      <c r="A21" t="inlineStr">
        <is>
          <t>grade_a_min</t>
        </is>
      </c>
      <c r="B21" s="5" t="n">
        <v>0.75</v>
      </c>
    </row>
    <row r="22">
      <c r="A22" t="inlineStr">
        <is>
          <t>grade_b_min</t>
        </is>
      </c>
      <c r="B22" s="5" t="n">
        <v>0.5</v>
      </c>
    </row>
    <row r="23">
      <c r="A23" t="inlineStr">
        <is>
          <t>grade_c_min</t>
        </is>
      </c>
      <c r="B23" s="5" t="n">
        <v>0.35</v>
      </c>
    </row>
    <row r="26">
      <c r="A26" s="4" t="inlineStr">
        <is>
          <t>Source tiers</t>
        </is>
      </c>
    </row>
    <row r="27">
      <c r="A27" t="inlineStr">
        <is>
          <t>Tier 1</t>
        </is>
      </c>
      <c r="B27" t="inlineStr">
        <is>
          <t>City and metro official data</t>
        </is>
      </c>
      <c r="C27" s="3" t="inlineStr">
        <is>
          <t>Open-data portals, utility regulators, transit feeds, hospital quality releases, and city statistical offices.</t>
        </is>
      </c>
    </row>
    <row r="28">
      <c r="A28" t="inlineStr">
        <is>
          <t>Tier 2</t>
        </is>
      </c>
      <c r="B28" t="inlineStr">
        <is>
          <t>State, province, and subnational official data</t>
        </is>
      </c>
      <c r="C28" s="3" t="inlineStr">
        <is>
          <t>Regional statistical offices, metropolitan observatories, and subnational administrative datasets.</t>
        </is>
      </c>
    </row>
    <row r="29">
      <c r="A29" t="inlineStr">
        <is>
          <t>Tier 3</t>
        </is>
      </c>
      <c r="B29" t="inlineStr">
        <is>
          <t>National and international official datasets</t>
        </is>
      </c>
      <c r="C29" s="3" t="inlineStr">
        <is>
          <t>World Bank, WHO, ILO, UNESCO UIS, OECD, WIPO, and WHO/UNICEF JMP.</t>
        </is>
      </c>
    </row>
    <row r="30">
      <c r="A30" t="inlineStr">
        <is>
          <t>Tier 4</t>
        </is>
      </c>
      <c r="B30" t="inlineStr">
        <is>
          <t>Audited secondary and experimental layers</t>
        </is>
      </c>
      <c r="C30" s="3" t="inlineStr">
        <is>
          <t>OpenAQ, M-Lab, social listening, crowdsourced cost layers, and city testimony with visible caveats.</t>
        </is>
      </c>
    </row>
  </sheetData>
  <mergeCells count="14">
    <mergeCell ref="B4:F4"/>
    <mergeCell ref="B12:F12"/>
    <mergeCell ref="B7:F7"/>
    <mergeCell ref="B6:F6"/>
    <mergeCell ref="B15:F15"/>
    <mergeCell ref="B10:F10"/>
    <mergeCell ref="A1:F1"/>
    <mergeCell ref="B11:F11"/>
    <mergeCell ref="B3:F3"/>
    <mergeCell ref="B5:F5"/>
    <mergeCell ref="B14:F14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2" customWidth="1" min="3" max="3"/>
    <col width="13" customWidth="1" min="4" max="4"/>
    <col width="15" customWidth="1" min="5" max="5"/>
    <col width="15" customWidth="1" min="6" max="6"/>
    <col width="16" customWidth="1" min="7" max="7"/>
    <col width="18" customWidth="1" min="8" max="8"/>
    <col width="14" customWidth="1" min="9" max="9"/>
    <col width="36" customWidth="1" min="10" max="10"/>
    <col width="36" customWidth="1" min="11" max="11"/>
    <col width="36" customWidth="1" min="12" max="12"/>
    <col width="36" customWidth="1" min="13" max="13"/>
  </cols>
  <sheetData>
    <row r="1">
      <c r="A1" s="6" t="inlineStr">
        <is>
          <t>metric_id</t>
        </is>
      </c>
      <c r="B1" s="6" t="inlineStr">
        <is>
          <t>metric_name</t>
        </is>
      </c>
      <c r="C1" s="6" t="inlineStr">
        <is>
          <t>pillar_id</t>
        </is>
      </c>
      <c r="D1" s="6" t="inlineStr">
        <is>
          <t>pillar_name</t>
        </is>
      </c>
      <c r="E1" s="6" t="inlineStr">
        <is>
          <t>pillar_weight</t>
        </is>
      </c>
      <c r="F1" s="6" t="inlineStr">
        <is>
          <t>metric_weight</t>
        </is>
      </c>
      <c r="G1" s="6" t="inlineStr">
        <is>
          <t>directionality</t>
        </is>
      </c>
      <c r="H1" s="6" t="inlineStr">
        <is>
          <t>scoring_role</t>
        </is>
      </c>
      <c r="I1" s="6" t="inlineStr">
        <is>
          <t>requiredness</t>
        </is>
      </c>
      <c r="J1" s="6" t="inlineStr">
        <is>
          <t>data_level</t>
        </is>
      </c>
      <c r="K1" s="6" t="inlineStr">
        <is>
          <t>source_priority</t>
        </is>
      </c>
      <c r="L1" s="6" t="inlineStr">
        <is>
          <t>workbook_input</t>
        </is>
      </c>
      <c r="M1" s="6" t="inlineStr">
        <is>
          <t>notes</t>
        </is>
      </c>
    </row>
    <row r="2">
      <c r="A2" t="inlineStr">
        <is>
          <t>disposable_income_ppp</t>
        </is>
      </c>
      <c r="B2" t="inlineStr">
        <is>
          <t>Tax-adjusted PPP disposable income</t>
        </is>
      </c>
      <c r="C2" t="inlineStr">
        <is>
          <t>pressure</t>
        </is>
      </c>
      <c r="D2" t="inlineStr">
        <is>
          <t>Growth</t>
        </is>
      </c>
      <c r="E2" t="n">
        <v>25</v>
      </c>
      <c r="F2" t="n">
        <v>9</v>
      </c>
      <c r="G2" t="inlineStr">
        <is>
          <t>positive</t>
        </is>
      </c>
      <c r="H2" t="inlineStr">
        <is>
          <t>scored</t>
        </is>
      </c>
      <c r="I2" t="inlineStr">
        <is>
          <t>core</t>
        </is>
      </c>
      <c r="J2" t="inlineStr">
        <is>
          <t>city_or_metro_with_country_context</t>
        </is>
      </c>
      <c r="K2" t="inlineStr">
        <is>
          <t>Tier 1 city/metro &gt; Tier 2 subnational &gt; Tier 3 national/international &gt; Tier 4 audited secondary</t>
        </is>
      </c>
      <c r="L2" t="inlineStr">
        <is>
          <t>di_ppp_raw</t>
        </is>
      </c>
      <c r="M2" t="inlineStr">
        <is>
          <t>Derived from gross income, tax, rent, utilities, transit, internet, food, and PPP private consumption.</t>
        </is>
      </c>
    </row>
    <row r="3">
      <c r="A3" t="inlineStr">
        <is>
          <t>housing_burden</t>
        </is>
      </c>
      <c r="B3" t="inlineStr">
        <is>
          <t>Housing burden</t>
        </is>
      </c>
      <c r="C3" t="inlineStr">
        <is>
          <t>pressure</t>
        </is>
      </c>
      <c r="D3" t="inlineStr">
        <is>
          <t>Growth</t>
        </is>
      </c>
      <c r="E3" t="n">
        <v>25</v>
      </c>
      <c r="F3" t="n">
        <v>5</v>
      </c>
      <c r="G3" t="inlineStr">
        <is>
          <t>negative</t>
        </is>
      </c>
      <c r="H3" t="inlineStr">
        <is>
          <t>scored</t>
        </is>
      </c>
      <c r="I3" t="inlineStr">
        <is>
          <t>core</t>
        </is>
      </c>
      <c r="J3" t="inlineStr">
        <is>
          <t>city_or_metro</t>
        </is>
      </c>
      <c r="K3" t="inlineStr">
        <is>
          <t>Tier 1 city/metro &gt; Tier 2 subnational &gt; Tier 3 national/international &gt; Tier 4 audited secondary</t>
        </is>
      </c>
      <c r="L3" t="inlineStr">
        <is>
          <t>housing_burden_raw</t>
        </is>
      </c>
      <c r="M3" t="inlineStr">
        <is>
          <t>Higher rent or housing cost share scores worse.</t>
        </is>
      </c>
    </row>
    <row r="4">
      <c r="A4" t="inlineStr">
        <is>
          <t>household_debt_burden</t>
        </is>
      </c>
      <c r="B4" t="inlineStr">
        <is>
          <t>Household debt burden</t>
        </is>
      </c>
      <c r="C4" t="inlineStr">
        <is>
          <t>pressure</t>
        </is>
      </c>
      <c r="D4" t="inlineStr">
        <is>
          <t>Growth</t>
        </is>
      </c>
      <c r="E4" t="n">
        <v>25</v>
      </c>
      <c r="F4" t="n">
        <v>4</v>
      </c>
      <c r="G4" t="inlineStr">
        <is>
          <t>negative</t>
        </is>
      </c>
      <c r="H4" t="inlineStr">
        <is>
          <t>scored</t>
        </is>
      </c>
      <c r="I4" t="inlineStr">
        <is>
          <t>core</t>
        </is>
      </c>
      <c r="J4" t="inlineStr">
        <is>
          <t>city_with_country_proxy_fallback</t>
        </is>
      </c>
      <c r="K4" t="inlineStr">
        <is>
          <t>Tier 1 city/metro &gt; Tier 2 subnational &gt; Tier 3 country debt proxy &gt; Tier 4 audited secondary</t>
        </is>
      </c>
      <c r="L4" t="inlineStr">
        <is>
          <t>household_debt_effective_raw</t>
        </is>
      </c>
      <c r="M4" t="inlineStr">
        <is>
          <t>Uses country proxy when city debt burden is unavailable.</t>
        </is>
      </c>
    </row>
    <row r="5">
      <c r="A5" t="inlineStr">
        <is>
          <t>working_time_pressure</t>
        </is>
      </c>
      <c r="B5" t="inlineStr">
        <is>
          <t>Working time pressure</t>
        </is>
      </c>
      <c r="C5" t="inlineStr">
        <is>
          <t>pressure</t>
        </is>
      </c>
      <c r="D5" t="inlineStr">
        <is>
          <t>Growth</t>
        </is>
      </c>
      <c r="E5" t="n">
        <v>25</v>
      </c>
      <c r="F5" t="n">
        <v>4</v>
      </c>
      <c r="G5" t="inlineStr">
        <is>
          <t>negative</t>
        </is>
      </c>
      <c r="H5" t="inlineStr">
        <is>
          <t>scored</t>
        </is>
      </c>
      <c r="I5" t="inlineStr">
        <is>
          <t>core</t>
        </is>
      </c>
      <c r="J5" t="inlineStr">
        <is>
          <t>city_or_metro_with_subnational_fallback</t>
        </is>
      </c>
      <c r="K5" t="inlineStr">
        <is>
          <t>Tier 1 city/metro &gt; Tier 2 subnational &gt; Tier 3 ILO/national &gt; Tier 4 audited secondary</t>
        </is>
      </c>
      <c r="L5" t="inlineStr">
        <is>
          <t>working_time_pressure_raw</t>
        </is>
      </c>
      <c r="M5" t="inlineStr">
        <is>
          <t>Higher weekly-hours and overwork prevalence score worse.</t>
        </is>
      </c>
    </row>
    <row r="6">
      <c r="A6" t="inlineStr">
        <is>
          <t>suicide_mental_strain</t>
        </is>
      </c>
      <c r="B6" t="inlineStr">
        <is>
          <t>Suicide and severe mental strain</t>
        </is>
      </c>
      <c r="C6" t="inlineStr">
        <is>
          <t>pressure</t>
        </is>
      </c>
      <c r="D6" t="inlineStr">
        <is>
          <t>Growth</t>
        </is>
      </c>
      <c r="E6" t="n">
        <v>25</v>
      </c>
      <c r="F6" t="n">
        <v>5</v>
      </c>
      <c r="G6" t="inlineStr">
        <is>
          <t>negative</t>
        </is>
      </c>
      <c r="H6" t="inlineStr">
        <is>
          <t>scored</t>
        </is>
      </c>
      <c r="I6" t="inlineStr">
        <is>
          <t>core</t>
        </is>
      </c>
      <c r="J6" t="inlineStr">
        <is>
          <t>city_or_metro_with_subnational_fallback</t>
        </is>
      </c>
      <c r="K6" t="inlineStr">
        <is>
          <t>Tier 1 city/metro &gt; Tier 2 subnational &gt; Tier 3 WHO/national &gt; Tier 4 audited secondary</t>
        </is>
      </c>
      <c r="L6" t="inlineStr">
        <is>
          <t>suicide_mental_strain_raw</t>
        </is>
      </c>
      <c r="M6" t="inlineStr">
        <is>
          <t>Lower suicide or equivalent severe-strain rates score better. Weight increased to 5 to better capture mental wellbeing burden.</t>
        </is>
      </c>
    </row>
    <row r="7">
      <c r="A7" t="inlineStr">
        <is>
          <t>personal_safety</t>
        </is>
      </c>
      <c r="B7" t="inlineStr">
        <is>
          <t>Personal safety</t>
        </is>
      </c>
      <c r="C7" t="inlineStr">
        <is>
          <t>viability</t>
        </is>
      </c>
      <c r="D7" t="inlineStr">
        <is>
          <t>Viability</t>
        </is>
      </c>
      <c r="E7" t="n">
        <v>22</v>
      </c>
      <c r="F7" t="n">
        <v>5</v>
      </c>
      <c r="G7" t="inlineStr">
        <is>
          <t>negative</t>
        </is>
      </c>
      <c r="H7" t="inlineStr">
        <is>
          <t>scored</t>
        </is>
      </c>
      <c r="I7" t="inlineStr">
        <is>
          <t>core</t>
        </is>
      </c>
      <c r="J7" t="inlineStr">
        <is>
          <t>city_or_metro</t>
        </is>
      </c>
      <c r="K7" t="inlineStr">
        <is>
          <t>Tier 1 city/metro &gt; Tier 2 subnational &gt; Tier 3 national/international &gt; Tier 4 audited secondary</t>
        </is>
      </c>
      <c r="L7" t="inlineStr">
        <is>
          <t>personal_safety_raw</t>
        </is>
      </c>
      <c r="M7" t="inlineStr">
        <is>
          <t>Enter a harm-and-victimization index or rate. Camera counts do not score.</t>
        </is>
      </c>
    </row>
    <row r="8">
      <c r="A8" t="inlineStr">
        <is>
          <t>transit_access_commute</t>
        </is>
      </c>
      <c r="B8" t="inlineStr">
        <is>
          <t>Transit access and commute burden</t>
        </is>
      </c>
      <c r="C8" t="inlineStr">
        <is>
          <t>viability</t>
        </is>
      </c>
      <c r="D8" t="inlineStr">
        <is>
          <t>Viability</t>
        </is>
      </c>
      <c r="E8" t="n">
        <v>22</v>
      </c>
      <c r="F8" t="n">
        <v>5</v>
      </c>
      <c r="G8" t="inlineStr">
        <is>
          <t>positive</t>
        </is>
      </c>
      <c r="H8" t="inlineStr">
        <is>
          <t>scored</t>
        </is>
      </c>
      <c r="I8" t="inlineStr">
        <is>
          <t>core</t>
        </is>
      </c>
      <c r="J8" t="inlineStr">
        <is>
          <t>city_or_metro</t>
        </is>
      </c>
      <c r="K8" t="inlineStr">
        <is>
          <t>Tier 1 city/metro &gt; Tier 2 GTFS/subnational &gt; Tier 3 national/international &gt; Tier 4 audited secondary</t>
        </is>
      </c>
      <c r="L8" t="inlineStr">
        <is>
          <t>transit_access_commute_raw</t>
        </is>
      </c>
      <c r="M8" t="inlineStr">
        <is>
          <t>Enter a composite where better access and lower burden push the value upward.</t>
        </is>
      </c>
    </row>
    <row r="9">
      <c r="A9" t="inlineStr">
        <is>
          <t>clean_air</t>
        </is>
      </c>
      <c r="B9" t="inlineStr">
        <is>
          <t>Clean air</t>
        </is>
      </c>
      <c r="C9" t="inlineStr">
        <is>
          <t>viability</t>
        </is>
      </c>
      <c r="D9" t="inlineStr">
        <is>
          <t>Viability</t>
        </is>
      </c>
      <c r="E9" t="n">
        <v>22</v>
      </c>
      <c r="F9" t="n">
        <v>4</v>
      </c>
      <c r="G9" t="inlineStr">
        <is>
          <t>negative</t>
        </is>
      </c>
      <c r="H9" t="inlineStr">
        <is>
          <t>scored</t>
        </is>
      </c>
      <c r="I9" t="inlineStr">
        <is>
          <t>core</t>
        </is>
      </c>
      <c r="J9" t="inlineStr">
        <is>
          <t>city_or_metro</t>
        </is>
      </c>
      <c r="K9" t="inlineStr">
        <is>
          <t>Tier 1 city/metro &gt; Tier 3 WHO/OpenAQ/national &gt; Tier 4 audited secondary</t>
        </is>
      </c>
      <c r="L9" t="inlineStr">
        <is>
          <t>clean_air_raw</t>
        </is>
      </c>
      <c r="M9" t="inlineStr">
        <is>
          <t>Lower PM2.5 or pollution exposure scores better.</t>
        </is>
      </c>
    </row>
    <row r="10">
      <c r="A10" t="inlineStr">
        <is>
          <t>water_sanitation_utility</t>
        </is>
      </c>
      <c r="B10" t="inlineStr">
        <is>
          <t>Water, sanitation, and utility reliability</t>
        </is>
      </c>
      <c r="C10" t="inlineStr">
        <is>
          <t>viability</t>
        </is>
      </c>
      <c r="D10" t="inlineStr">
        <is>
          <t>Viability</t>
        </is>
      </c>
      <c r="E10" t="n">
        <v>22</v>
      </c>
      <c r="F10" t="n">
        <v>4</v>
      </c>
      <c r="G10" t="inlineStr">
        <is>
          <t>positive</t>
        </is>
      </c>
      <c r="H10" t="inlineStr">
        <is>
          <t>scored</t>
        </is>
      </c>
      <c r="I10" t="inlineStr">
        <is>
          <t>core</t>
        </is>
      </c>
      <c r="J10" t="inlineStr">
        <is>
          <t>city_or_metro_with_country_fallback</t>
        </is>
      </c>
      <c r="K10" t="inlineStr">
        <is>
          <t>Tier 1 city/metro &gt; Tier 2 subnational &gt; Tier 3 JMP/national &gt; Tier 4 audited secondary</t>
        </is>
      </c>
      <c r="L10" t="inlineStr">
        <is>
          <t>water_sanitation_utility_raw</t>
        </is>
      </c>
      <c r="M10" t="inlineStr">
        <is>
          <t>Enter a composite where safer access and higher reliability score better.</t>
        </is>
      </c>
    </row>
    <row r="11">
      <c r="A11" t="inlineStr">
        <is>
          <t>digital_infrastructure</t>
        </is>
      </c>
      <c r="B11" t="inlineStr">
        <is>
          <t>Digital infrastructure</t>
        </is>
      </c>
      <c r="C11" t="inlineStr">
        <is>
          <t>viability</t>
        </is>
      </c>
      <c r="D11" t="inlineStr">
        <is>
          <t>Viability</t>
        </is>
      </c>
      <c r="E11" t="n">
        <v>22</v>
      </c>
      <c r="F11" t="n">
        <v>4</v>
      </c>
      <c r="G11" t="inlineStr">
        <is>
          <t>positive</t>
        </is>
      </c>
      <c r="H11" t="inlineStr">
        <is>
          <t>scored</t>
        </is>
      </c>
      <c r="I11" t="inlineStr">
        <is>
          <t>core</t>
        </is>
      </c>
      <c r="J11" t="inlineStr">
        <is>
          <t>city_or_metro_with_country_fallback</t>
        </is>
      </c>
      <c r="K11" t="inlineStr">
        <is>
          <t>Tier 1 city/metro &gt; Tier 2 subnational &gt; Tier 3 OECD/World Bank/M-Lab &gt; Tier 4 audited secondary</t>
        </is>
      </c>
      <c r="L11" t="inlineStr">
        <is>
          <t>digital_infrastructure_raw</t>
        </is>
      </c>
      <c r="M11" t="inlineStr">
        <is>
          <t>Higher broadband quality, affordability, and fibre readiness score better.</t>
        </is>
      </c>
    </row>
    <row r="12">
      <c r="A12" t="inlineStr">
        <is>
          <t>climate_sunlight_livability</t>
        </is>
      </c>
      <c r="B12" t="inlineStr">
        <is>
          <t>Climate and sunlight livability</t>
        </is>
      </c>
      <c r="C12" t="inlineStr">
        <is>
          <t>viability</t>
        </is>
      </c>
      <c r="D12" t="inlineStr">
        <is>
          <t>Viability</t>
        </is>
      </c>
      <c r="E12" t="n">
        <v>22</v>
      </c>
      <c r="F12" t="n">
        <v>5</v>
      </c>
      <c r="G12" t="inlineStr">
        <is>
          <t>positive</t>
        </is>
      </c>
      <c r="H12" t="inlineStr">
        <is>
          <t>scored</t>
        </is>
      </c>
      <c r="I12" t="inlineStr">
        <is>
          <t>core</t>
        </is>
      </c>
      <c r="J12" t="inlineStr">
        <is>
          <t>city_or_metro</t>
        </is>
      </c>
      <c r="K12" t="inlineStr">
        <is>
          <t>Tier 1 city/metro climate data &gt; Tier 3 WMO/national &gt; Tier 4 audited secondary</t>
        </is>
      </c>
      <c r="L12" t="inlineStr">
        <is>
          <t>climate_sunlight_livability_raw</t>
        </is>
      </c>
      <c r="M12" t="inlineStr">
        <is>
          <t>Composite of annual sunshine hours, temperature comfort (distance from 22C optimum), and extreme weather frequency. Penalizes both extreme darkness (Nordic winter) and extreme heat (Gulf/desert). Higher = more livable climate.</t>
        </is>
      </c>
    </row>
    <row r="13">
      <c r="A13" t="inlineStr">
        <is>
          <t>healthcare_quality</t>
        </is>
      </c>
      <c r="B13" t="inlineStr">
        <is>
          <t>Healthcare quality</t>
        </is>
      </c>
      <c r="C13" t="inlineStr">
        <is>
          <t>capability</t>
        </is>
      </c>
      <c r="D13" t="inlineStr">
        <is>
          <t>Capability</t>
        </is>
      </c>
      <c r="E13" t="n">
        <v>18</v>
      </c>
      <c r="F13" t="n">
        <v>8</v>
      </c>
      <c r="G13" t="inlineStr">
        <is>
          <t>positive</t>
        </is>
      </c>
      <c r="H13" t="inlineStr">
        <is>
          <t>scored</t>
        </is>
      </c>
      <c r="I13" t="inlineStr">
        <is>
          <t>core</t>
        </is>
      </c>
      <c r="J13" t="inlineStr">
        <is>
          <t>city_or_metro_with_country_context</t>
        </is>
      </c>
      <c r="K13" t="inlineStr">
        <is>
          <t>Tier 1 city/metro &gt; Tier 2 subnational &gt; Tier 3 WHO/OECD/national &gt; Tier 4 audited secondary</t>
        </is>
      </c>
      <c r="L13" t="inlineStr">
        <is>
          <t>healthcare_quality_raw</t>
        </is>
      </c>
      <c r="M13" t="inlineStr">
        <is>
          <t>Higher effective-care access and outcome quality score better.</t>
        </is>
      </c>
    </row>
    <row r="14">
      <c r="A14" t="inlineStr">
        <is>
          <t>education_quality</t>
        </is>
      </c>
      <c r="B14" t="inlineStr">
        <is>
          <t>Education quality</t>
        </is>
      </c>
      <c r="C14" t="inlineStr">
        <is>
          <t>capability</t>
        </is>
      </c>
      <c r="D14" t="inlineStr">
        <is>
          <t>Capability</t>
        </is>
      </c>
      <c r="E14" t="n">
        <v>18</v>
      </c>
      <c r="F14" t="n">
        <v>6</v>
      </c>
      <c r="G14" t="inlineStr">
        <is>
          <t>positive</t>
        </is>
      </c>
      <c r="H14" t="inlineStr">
        <is>
          <t>scored</t>
        </is>
      </c>
      <c r="I14" t="inlineStr">
        <is>
          <t>core</t>
        </is>
      </c>
      <c r="J14" t="inlineStr">
        <is>
          <t>city_or_metro_with_country_context</t>
        </is>
      </c>
      <c r="K14" t="inlineStr">
        <is>
          <t>Tier 1 city/metro &gt; Tier 2 subnational &gt; Tier 3 UNESCO/OECD/World Bank &gt; Tier 4 audited secondary</t>
        </is>
      </c>
      <c r="L14" t="inlineStr">
        <is>
          <t>education_quality_raw</t>
        </is>
      </c>
      <c r="M14" t="inlineStr">
        <is>
          <t>Higher learning quality and skills formation score better.</t>
        </is>
      </c>
    </row>
    <row r="15">
      <c r="A15" t="inlineStr">
        <is>
          <t>equal_opportunity_distributional_fairness</t>
        </is>
      </c>
      <c r="B15" t="inlineStr">
        <is>
          <t>Equal opportunity and distributional fairness</t>
        </is>
      </c>
      <c r="C15" t="inlineStr">
        <is>
          <t>capability</t>
        </is>
      </c>
      <c r="D15" t="inlineStr">
        <is>
          <t>Capability</t>
        </is>
      </c>
      <c r="E15" t="n">
        <v>18</v>
      </c>
      <c r="F15" t="n">
        <v>4</v>
      </c>
      <c r="G15" t="inlineStr">
        <is>
          <t>positive</t>
        </is>
      </c>
      <c r="H15" t="inlineStr">
        <is>
          <t>composite_scored</t>
        </is>
      </c>
      <c r="I15" t="inlineStr">
        <is>
          <t>core</t>
        </is>
      </c>
      <c r="J15" t="inlineStr">
        <is>
          <t>city_with_country_context</t>
        </is>
      </c>
      <c r="K15" t="inlineStr">
        <is>
          <t>Tier 1 city/metro opportunity data + Tier 3 country Gini fallback</t>
        </is>
      </c>
      <c r="L15" t="inlineStr">
        <is>
          <t>equal_opportunity_raw + gini_coefficient_context</t>
        </is>
      </c>
      <c r="M15" t="inlineStr">
        <is>
          <t>Combines 70% equal-opportunity input with 30% reversed Gini context where available.</t>
        </is>
      </c>
    </row>
    <row r="16">
      <c r="A16" t="inlineStr">
        <is>
          <t>hospitality_belonging</t>
        </is>
      </c>
      <c r="B16" t="inlineStr">
        <is>
          <t>Hospitality and belonging</t>
        </is>
      </c>
      <c r="C16" t="inlineStr">
        <is>
          <t>community</t>
        </is>
      </c>
      <c r="D16" t="inlineStr">
        <is>
          <t>Community</t>
        </is>
      </c>
      <c r="E16" t="n">
        <v>15</v>
      </c>
      <c r="F16" t="n">
        <v>5</v>
      </c>
      <c r="G16" t="inlineStr">
        <is>
          <t>positive</t>
        </is>
      </c>
      <c r="H16" t="inlineStr">
        <is>
          <t>scored</t>
        </is>
      </c>
      <c r="I16" t="inlineStr">
        <is>
          <t>core</t>
        </is>
      </c>
      <c r="J16" t="inlineStr">
        <is>
          <t>city_or_metro_with_audited_perception_layer</t>
        </is>
      </c>
      <c r="K16" t="inlineStr">
        <is>
          <t>Tier 1 city services &gt; Tier 2 subnational &gt; Tier 4 audited social listening/testimony</t>
        </is>
      </c>
      <c r="L16" t="inlineStr">
        <is>
          <t>hospitality_belonging_raw</t>
        </is>
      </c>
      <c r="M16" t="inlineStr">
        <is>
          <t>Higher civic warmth, multilingual access, and resident attachment score better.</t>
        </is>
      </c>
    </row>
    <row r="17">
      <c r="A17" t="inlineStr">
        <is>
          <t>tolerance_pluralism</t>
        </is>
      </c>
      <c r="B17" t="inlineStr">
        <is>
          <t>Tolerance and pluralism</t>
        </is>
      </c>
      <c r="C17" t="inlineStr">
        <is>
          <t>community</t>
        </is>
      </c>
      <c r="D17" t="inlineStr">
        <is>
          <t>Community</t>
        </is>
      </c>
      <c r="E17" t="n">
        <v>15</v>
      </c>
      <c r="F17" t="n">
        <v>5</v>
      </c>
      <c r="G17" t="inlineStr">
        <is>
          <t>positive</t>
        </is>
      </c>
      <c r="H17" t="inlineStr">
        <is>
          <t>scored</t>
        </is>
      </c>
      <c r="I17" t="inlineStr">
        <is>
          <t>core</t>
        </is>
      </c>
      <c r="J17" t="inlineStr">
        <is>
          <t>city_or_metro_with_audited_perception_layer</t>
        </is>
      </c>
      <c r="K17" t="inlineStr">
        <is>
          <t>Tier 1 legal and policy openness &gt; Tier 2 subnational &gt; Tier 4 audited coexistence/testimony proxies</t>
        </is>
      </c>
      <c r="L17" t="inlineStr">
        <is>
          <t>tolerance_pluralism_raw</t>
        </is>
      </c>
      <c r="M17" t="inlineStr">
        <is>
          <t>Scores low-friction coexistence and openness, not symbolic branding proxies.</t>
        </is>
      </c>
    </row>
    <row r="18">
      <c r="A18" t="inlineStr">
        <is>
          <t>cultural_historic_public_life_vitality</t>
        </is>
      </c>
      <c r="B18" t="inlineStr">
        <is>
          <t>Cultural, historic, and public-life vitality</t>
        </is>
      </c>
      <c r="C18" t="inlineStr">
        <is>
          <t>community</t>
        </is>
      </c>
      <c r="D18" t="inlineStr">
        <is>
          <t>Community</t>
        </is>
      </c>
      <c r="E18" t="n">
        <v>15</v>
      </c>
      <c r="F18" t="n">
        <v>5</v>
      </c>
      <c r="G18" t="inlineStr">
        <is>
          <t>positive</t>
        </is>
      </c>
      <c r="H18" t="inlineStr">
        <is>
          <t>scored</t>
        </is>
      </c>
      <c r="I18" t="inlineStr">
        <is>
          <t>core</t>
        </is>
      </c>
      <c r="J18" t="inlineStr">
        <is>
          <t>city_or_metro_with_context_layer</t>
        </is>
      </c>
      <c r="K18" t="inlineStr">
        <is>
          <t>Tier 1 city/open data &gt; Tier 2 subnational &gt; Tier 4 audited cultural/testimony and visitor context</t>
        </is>
      </c>
      <c r="L18" t="inlineStr">
        <is>
          <t>cultural_public_life_raw</t>
        </is>
      </c>
      <c r="M18" t="inlineStr">
        <is>
          <t>Visitor flow is contextual only and should be triangulated separately, not scored directly here.</t>
        </is>
      </c>
    </row>
    <row r="19">
      <c r="A19" t="inlineStr">
        <is>
          <t>entrepreneurial_dynamism</t>
        </is>
      </c>
      <c r="B19" t="inlineStr">
        <is>
          <t>Entrepreneurial dynamism</t>
        </is>
      </c>
      <c r="C19" t="inlineStr">
        <is>
          <t>creative</t>
        </is>
      </c>
      <c r="D19" t="inlineStr">
        <is>
          <t>Creative</t>
        </is>
      </c>
      <c r="E19" t="n">
        <v>20</v>
      </c>
      <c r="F19" t="n">
        <v>6</v>
      </c>
      <c r="G19" t="inlineStr">
        <is>
          <t>positive</t>
        </is>
      </c>
      <c r="H19" t="inlineStr">
        <is>
          <t>scored</t>
        </is>
      </c>
      <c r="I19" t="inlineStr">
        <is>
          <t>core</t>
        </is>
      </c>
      <c r="J19" t="inlineStr">
        <is>
          <t>city_or_metro_with_country_context</t>
        </is>
      </c>
      <c r="K19" t="inlineStr">
        <is>
          <t>Tier 1 city/metro &gt; Tier 2 subnational &gt; Tier 3 World Bank/national &gt; Tier 4 audited secondary</t>
        </is>
      </c>
      <c r="L19" t="inlineStr">
        <is>
          <t>entrepreneurial_dynamism_raw</t>
        </is>
      </c>
      <c r="M19" t="inlineStr">
        <is>
          <t>Higher new-business density and startup formation score better.</t>
        </is>
      </c>
    </row>
    <row r="20">
      <c r="A20" t="inlineStr">
        <is>
          <t>innovation_research_intensity</t>
        </is>
      </c>
      <c r="B20" t="inlineStr">
        <is>
          <t>Innovation and research intensity</t>
        </is>
      </c>
      <c r="C20" t="inlineStr">
        <is>
          <t>creative</t>
        </is>
      </c>
      <c r="D20" t="inlineStr">
        <is>
          <t>Creative</t>
        </is>
      </c>
      <c r="E20" t="n">
        <v>20</v>
      </c>
      <c r="F20" t="n">
        <v>5</v>
      </c>
      <c r="G20" t="inlineStr">
        <is>
          <t>positive</t>
        </is>
      </c>
      <c r="H20" t="inlineStr">
        <is>
          <t>scored</t>
        </is>
      </c>
      <c r="I20" t="inlineStr">
        <is>
          <t>core</t>
        </is>
      </c>
      <c r="J20" t="inlineStr">
        <is>
          <t>city_or_metro_with_country_context</t>
        </is>
      </c>
      <c r="K20" t="inlineStr">
        <is>
          <t>Tier 1 city/metro &gt; Tier 2 subnational &gt; Tier 3 WIPO/OECD/national &gt; Tier 4 audited secondary</t>
        </is>
      </c>
      <c r="L20" t="inlineStr">
        <is>
          <t>innovation_research_intensity_raw</t>
        </is>
      </c>
      <c r="M20" t="inlineStr">
        <is>
          <t>Higher patent, research, and knowledge-production strength score better.</t>
        </is>
      </c>
    </row>
    <row r="21">
      <c r="A21" t="inlineStr">
        <is>
          <t>economic_vitality_productive_context</t>
        </is>
      </c>
      <c r="B21" t="inlineStr">
        <is>
          <t>Economic vitality and productive context</t>
        </is>
      </c>
      <c r="C21" t="inlineStr">
        <is>
          <t>creative</t>
        </is>
      </c>
      <c r="D21" t="inlineStr">
        <is>
          <t>Creative</t>
        </is>
      </c>
      <c r="E21" t="n">
        <v>20</v>
      </c>
      <c r="F21" t="n">
        <v>5</v>
      </c>
      <c r="G21" t="inlineStr">
        <is>
          <t>positive</t>
        </is>
      </c>
      <c r="H21" t="inlineStr">
        <is>
          <t>composite_scored</t>
        </is>
      </c>
      <c r="I21" t="inlineStr">
        <is>
          <t>core</t>
        </is>
      </c>
      <c r="J21" t="inlineStr">
        <is>
          <t>city_with_capped_country_context</t>
        </is>
      </c>
      <c r="K21" t="inlineStr">
        <is>
          <t>Tier 1 city investment signal + Tier 3 country macro context</t>
        </is>
      </c>
      <c r="L21" t="inlineStr">
        <is>
          <t>investment_signal_raw + gdp_per_capita_ppp_context + gdp_growth_context</t>
        </is>
      </c>
      <c r="M21" t="inlineStr">
        <is>
          <t>Combines 50% city investment signal, 30% GDP per capita PPP context, and 20% GDP growth context.</t>
        </is>
      </c>
    </row>
    <row r="22">
      <c r="A22" t="inlineStr">
        <is>
          <t>administrative_investment_friction</t>
        </is>
      </c>
      <c r="B22" t="inlineStr">
        <is>
          <t>Administrative and investment friction</t>
        </is>
      </c>
      <c r="C22" t="inlineStr">
        <is>
          <t>creative</t>
        </is>
      </c>
      <c r="D22" t="inlineStr">
        <is>
          <t>Creative</t>
        </is>
      </c>
      <c r="E22" t="n">
        <v>20</v>
      </c>
      <c r="F22" t="n">
        <v>4</v>
      </c>
      <c r="G22" t="inlineStr">
        <is>
          <t>negative</t>
        </is>
      </c>
      <c r="H22" t="inlineStr">
        <is>
          <t>scored</t>
        </is>
      </c>
      <c r="I22" t="inlineStr">
        <is>
          <t>core</t>
        </is>
      </c>
      <c r="J22" t="inlineStr">
        <is>
          <t>city_or_metro_with_country_context</t>
        </is>
      </c>
      <c r="K22" t="inlineStr">
        <is>
          <t>Tier 1 city/metro &gt; Tier 2 subnational &gt; Tier 3 national/international &gt; Tier 4 audited secondary</t>
        </is>
      </c>
      <c r="L22" t="inlineStr">
        <is>
          <t>administrative_investment_friction_raw</t>
        </is>
      </c>
      <c r="M22" t="inlineStr">
        <is>
          <t>Higher time-cost and licensing burden score worse.</t>
        </is>
      </c>
    </row>
    <row r="23">
      <c r="A23" t="inlineStr">
        <is>
          <t>gini_coefficient_context</t>
        </is>
      </c>
      <c r="B23" t="inlineStr">
        <is>
          <t>Gini coefficient context</t>
        </is>
      </c>
      <c r="C23" t="inlineStr">
        <is>
          <t>capability</t>
        </is>
      </c>
      <c r="D23" t="inlineStr">
        <is>
          <t>Capability</t>
        </is>
      </c>
      <c r="E23" t="n">
        <v>18</v>
      </c>
      <c r="F23" t="n">
        <v>0</v>
      </c>
      <c r="G23" t="inlineStr">
        <is>
          <t>negative</t>
        </is>
      </c>
      <c r="H23" t="inlineStr">
        <is>
          <t>context_capped</t>
        </is>
      </c>
      <c r="I23" t="inlineStr">
        <is>
          <t>supporting</t>
        </is>
      </c>
      <c r="J23" t="inlineStr">
        <is>
          <t>country_context</t>
        </is>
      </c>
      <c r="K23" t="inlineStr">
        <is>
          <t>Tier 3 World Bank/national</t>
        </is>
      </c>
      <c r="L23" t="inlineStr">
        <is>
          <t>gini_coefficient_context</t>
        </is>
      </c>
      <c r="M23" t="inlineStr">
        <is>
          <t>Country-level inequality context used inside equal opportunity and distributional fairness.</t>
        </is>
      </c>
    </row>
    <row r="24">
      <c r="A24" t="inlineStr">
        <is>
          <t>gdp_per_capita_ppp_context</t>
        </is>
      </c>
      <c r="B24" t="inlineStr">
        <is>
          <t>GDP per capita PPP context</t>
        </is>
      </c>
      <c r="C24" t="inlineStr">
        <is>
          <t>creative</t>
        </is>
      </c>
      <c r="D24" t="inlineStr">
        <is>
          <t>Creative</t>
        </is>
      </c>
      <c r="E24" t="n">
        <v>20</v>
      </c>
      <c r="F24" t="n">
        <v>0</v>
      </c>
      <c r="G24" t="inlineStr">
        <is>
          <t>positive</t>
        </is>
      </c>
      <c r="H24" t="inlineStr">
        <is>
          <t>context_capped</t>
        </is>
      </c>
      <c r="I24" t="inlineStr">
        <is>
          <t>supporting</t>
        </is>
      </c>
      <c r="J24" t="inlineStr">
        <is>
          <t>country_context</t>
        </is>
      </c>
      <c r="K24" t="inlineStr">
        <is>
          <t>Tier 3 World Bank/OECD</t>
        </is>
      </c>
      <c r="L24" t="inlineStr">
        <is>
          <t>gdp_per_capita_ppp_context</t>
        </is>
      </c>
      <c r="M24" t="inlineStr">
        <is>
          <t>Country-level macro context used as a capped term inside economic vitality.</t>
        </is>
      </c>
    </row>
    <row r="25">
      <c r="A25" t="inlineStr">
        <is>
          <t>gdp_growth_context</t>
        </is>
      </c>
      <c r="B25" t="inlineStr">
        <is>
          <t>GDP growth context</t>
        </is>
      </c>
      <c r="C25" t="inlineStr">
        <is>
          <t>creative</t>
        </is>
      </c>
      <c r="D25" t="inlineStr">
        <is>
          <t>Creative</t>
        </is>
      </c>
      <c r="E25" t="n">
        <v>20</v>
      </c>
      <c r="F25" t="n">
        <v>0</v>
      </c>
      <c r="G25" t="inlineStr">
        <is>
          <t>positive</t>
        </is>
      </c>
      <c r="H25" t="inlineStr">
        <is>
          <t>context_capped</t>
        </is>
      </c>
      <c r="I25" t="inlineStr">
        <is>
          <t>supporting</t>
        </is>
      </c>
      <c r="J25" t="inlineStr">
        <is>
          <t>country_context</t>
        </is>
      </c>
      <c r="K25" t="inlineStr">
        <is>
          <t>Tier 3 World Bank/OECD</t>
        </is>
      </c>
      <c r="L25" t="inlineStr">
        <is>
          <t>gdp_growth_context</t>
        </is>
      </c>
      <c r="M25" t="inlineStr">
        <is>
          <t>Country-level macro momentum used as a capped term inside economic vitality.</t>
        </is>
      </c>
    </row>
    <row r="26">
      <c r="A26" t="inlineStr">
        <is>
          <t>visitor_flow_context</t>
        </is>
      </c>
      <c r="B26" t="inlineStr">
        <is>
          <t>Visitor flow context</t>
        </is>
      </c>
      <c r="C26" t="inlineStr">
        <is>
          <t>community</t>
        </is>
      </c>
      <c r="D26" t="inlineStr">
        <is>
          <t>Community</t>
        </is>
      </c>
      <c r="E26" t="n">
        <v>15</v>
      </c>
      <c r="F26" t="n">
        <v>0</v>
      </c>
      <c r="G26" t="inlineStr">
        <is>
          <t>contextual</t>
        </is>
      </c>
      <c r="H26" t="inlineStr">
        <is>
          <t>context_only</t>
        </is>
      </c>
      <c r="I26" t="inlineStr">
        <is>
          <t>supporting</t>
        </is>
      </c>
      <c r="J26" t="inlineStr">
        <is>
          <t>city_or_metro</t>
        </is>
      </c>
      <c r="K26" t="inlineStr">
        <is>
          <t>Tier 1 tourism/open mobility &gt; Tier 4 audited secondary</t>
        </is>
      </c>
      <c r="L26" t="inlineStr">
        <is>
          <t>visitor_flow_context_raw</t>
        </is>
      </c>
      <c r="M26" t="inlineStr">
        <is>
          <t>Visible on the workbook and leaderboard context layer but not scored directly.</t>
        </is>
      </c>
    </row>
    <row r="27">
      <c r="A27" t="inlineStr">
        <is>
          <t>birth_rate_optimism</t>
        </is>
      </c>
      <c r="B27" t="inlineStr">
        <is>
          <t>Birth rate and societal optimism</t>
        </is>
      </c>
      <c r="C27" t="inlineStr">
        <is>
          <t>community</t>
        </is>
      </c>
      <c r="D27" t="inlineStr">
        <is>
          <t>Community</t>
        </is>
      </c>
      <c r="E27" t="n">
        <v>15</v>
      </c>
      <c r="F27" t="n">
        <v>4</v>
      </c>
      <c r="G27" t="inlineStr">
        <is>
          <t>positive</t>
        </is>
      </c>
      <c r="H27" t="inlineStr">
        <is>
          <t>scored</t>
        </is>
      </c>
      <c r="I27" t="inlineStr">
        <is>
          <t>core</t>
        </is>
      </c>
      <c r="J27" t="inlineStr">
        <is>
          <t>country_proxy_or_city</t>
        </is>
      </c>
      <c r="K27" t="inlineStr">
        <is>
          <t>Tier 1 city/metro &gt; Tier 3 national/international</t>
        </is>
      </c>
      <c r="L27" t="inlineStr">
        <is>
          <t>birth_rate_optimism_raw</t>
        </is>
      </c>
      <c r="M27" t="inlineStr">
        <is>
          <t>Total fertility rate or crude birth rate as proxy for societal optimism and family-friendliness.</t>
        </is>
      </c>
    </row>
  </sheetData>
  <autoFilter ref="A1:M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36" customWidth="1" min="3" max="3"/>
    <col width="22" customWidth="1" min="4" max="4"/>
    <col width="36" customWidth="1" min="5" max="5"/>
    <col width="12" customWidth="1" min="6" max="6"/>
    <col width="17" customWidth="1" min="7" max="7"/>
    <col width="36" customWidth="1" min="8" max="8"/>
  </cols>
  <sheetData>
    <row r="1">
      <c r="A1" s="6" t="inlineStr">
        <is>
          <t>city_id</t>
        </is>
      </c>
      <c r="B1" s="6" t="inlineStr">
        <is>
          <t>display_name</t>
        </is>
      </c>
      <c r="C1" s="6" t="inlineStr">
        <is>
          <t>fua_name</t>
        </is>
      </c>
      <c r="D1" s="6" t="inlineStr">
        <is>
          <t>country</t>
        </is>
      </c>
      <c r="E1" s="6" t="inlineStr">
        <is>
          <t>cohort</t>
        </is>
      </c>
      <c r="F1" s="6" t="inlineStr">
        <is>
          <t>city_type</t>
        </is>
      </c>
      <c r="G1" s="6" t="inlineStr">
        <is>
          <t>manifest_status</t>
        </is>
      </c>
      <c r="H1" s="6" t="inlineStr">
        <is>
          <t>inclusion_rationale</t>
        </is>
      </c>
    </row>
    <row r="2">
      <c r="A2" t="inlineStr">
        <is>
          <t>th-bangkok</t>
        </is>
      </c>
      <c r="B2" t="inlineStr">
        <is>
          <t>Bangkok</t>
        </is>
      </c>
      <c r="C2" t="inlineStr">
        <is>
          <t>Bangkok Metropolitan Region</t>
        </is>
      </c>
      <c r="D2" t="inlineStr">
        <is>
          <t>Thailand</t>
        </is>
      </c>
      <c r="E2" t="inlineStr">
        <is>
          <t>Southeast Asia</t>
        </is>
      </c>
      <c r="F2" t="inlineStr">
        <is>
          <t>primary</t>
        </is>
      </c>
      <c r="G2" t="inlineStr">
        <is>
          <t>locked</t>
        </is>
      </c>
      <c r="H2" t="inlineStr">
        <is>
          <t>User anchor and regional benchmark for hospitality, economic dynamism, and affordability-pressure tradeoffs.</t>
        </is>
      </c>
    </row>
    <row r="3">
      <c r="A3" t="inlineStr">
        <is>
          <t>sg-singapore</t>
        </is>
      </c>
      <c r="B3" t="inlineStr">
        <is>
          <t>Singapore</t>
        </is>
      </c>
      <c r="C3" t="inlineStr">
        <is>
          <t>Singapore</t>
        </is>
      </c>
      <c r="D3" t="inlineStr">
        <is>
          <t>Singapore</t>
        </is>
      </c>
      <c r="E3" t="inlineStr">
        <is>
          <t>Southeast Asia</t>
        </is>
      </c>
      <c r="F3" t="inlineStr">
        <is>
          <t>primary</t>
        </is>
      </c>
      <c r="G3" t="inlineStr">
        <is>
          <t>locked</t>
        </is>
      </c>
      <c r="H3" t="inlineStr">
        <is>
          <t>Global convenience benchmark included to test how systems quality interacts with pressure, cost, and meaning.</t>
        </is>
      </c>
    </row>
    <row r="4">
      <c r="A4" t="inlineStr">
        <is>
          <t>my-kuala-lumpur</t>
        </is>
      </c>
      <c r="B4" t="inlineStr">
        <is>
          <t>Kuala Lumpur</t>
        </is>
      </c>
      <c r="C4" t="inlineStr">
        <is>
          <t>Klang Valley</t>
        </is>
      </c>
      <c r="D4" t="inlineStr">
        <is>
          <t>Malaysia</t>
        </is>
      </c>
      <c r="E4" t="inlineStr">
        <is>
          <t>Southeast Asia</t>
        </is>
      </c>
      <c r="F4" t="inlineStr">
        <is>
          <t>primary</t>
        </is>
      </c>
      <c r="G4" t="inlineStr">
        <is>
          <t>locked</t>
        </is>
      </c>
      <c r="H4" t="inlineStr">
        <is>
          <t>User anchor and regional economic core with strong competitiveness, connectivity, and mixed affordability.</t>
        </is>
      </c>
    </row>
    <row r="5">
      <c r="A5" t="inlineStr">
        <is>
          <t>id-jakarta</t>
        </is>
      </c>
      <c r="B5" t="inlineStr">
        <is>
          <t>Jakarta</t>
        </is>
      </c>
      <c r="C5" t="inlineStr">
        <is>
          <t>Jakarta Metropolitan Area</t>
        </is>
      </c>
      <c r="D5" t="inlineStr">
        <is>
          <t>Indonesia</t>
        </is>
      </c>
      <c r="E5" t="inlineStr">
        <is>
          <t>Southeast Asia</t>
        </is>
      </c>
      <c r="F5" t="inlineStr">
        <is>
          <t>primary</t>
        </is>
      </c>
      <c r="G5" t="inlineStr">
        <is>
          <t>provisional</t>
        </is>
      </c>
      <c r="H5" t="inlineStr">
        <is>
          <t>Necessary Southeast Asian benchmark for scale, competitiveness, and infrastructure-pressure tradeoffs.</t>
        </is>
      </c>
    </row>
    <row r="6">
      <c r="A6" t="inlineStr">
        <is>
          <t>ph-makati</t>
        </is>
      </c>
      <c r="B6" t="inlineStr">
        <is>
          <t>Makati</t>
        </is>
      </c>
      <c r="C6" t="inlineStr">
        <is>
          <t>Metro Manila Core Business District</t>
        </is>
      </c>
      <c r="D6" t="inlineStr">
        <is>
          <t>Philippines</t>
        </is>
      </c>
      <c r="E6" t="inlineStr">
        <is>
          <t>Southeast Asia</t>
        </is>
      </c>
      <c r="F6" t="inlineStr">
        <is>
          <t>primary</t>
        </is>
      </c>
      <c r="G6" t="inlineStr">
        <is>
          <t>provisional</t>
        </is>
      </c>
      <c r="H6" t="inlineStr">
        <is>
          <t>Metro-core Philippine test case included for business density, services, and lived-affordability stress.</t>
        </is>
      </c>
    </row>
    <row r="7">
      <c r="A7" t="inlineStr">
        <is>
          <t>my-george-town</t>
        </is>
      </c>
      <c r="B7" t="inlineStr">
        <is>
          <t>George Town</t>
        </is>
      </c>
      <c r="C7" t="inlineStr">
        <is>
          <t>Penang Conurbation</t>
        </is>
      </c>
      <c r="D7" t="inlineStr">
        <is>
          <t>Malaysia</t>
        </is>
      </c>
      <c r="E7" t="inlineStr">
        <is>
          <t>Southeast Asia</t>
        </is>
      </c>
      <c r="F7" t="inlineStr">
        <is>
          <t>secondary</t>
        </is>
      </c>
      <c r="G7" t="inlineStr">
        <is>
          <t>locked</t>
        </is>
      </c>
      <c r="H7" t="inlineStr">
        <is>
          <t>User anchor for semiconductor economy, cultural texture, and secondary-city livability.</t>
        </is>
      </c>
    </row>
    <row r="8">
      <c r="A8" t="inlineStr">
        <is>
          <t>th-phuket</t>
        </is>
      </c>
      <c r="B8" t="inlineStr">
        <is>
          <t>Phuket</t>
        </is>
      </c>
      <c r="C8" t="inlineStr">
        <is>
          <t>Phuket Island Urban Area</t>
        </is>
      </c>
      <c r="D8" t="inlineStr">
        <is>
          <t>Thailand</t>
        </is>
      </c>
      <c r="E8" t="inlineStr">
        <is>
          <t>Southeast Asia</t>
        </is>
      </c>
      <c r="F8" t="inlineStr">
        <is>
          <t>secondary</t>
        </is>
      </c>
      <c r="G8" t="inlineStr">
        <is>
          <t>locked</t>
        </is>
      </c>
      <c r="H8" t="inlineStr">
        <is>
          <t>User anchor and tourism-livability stress test for cost, safety, and service quality.</t>
        </is>
      </c>
    </row>
    <row r="9">
      <c r="A9" t="inlineStr">
        <is>
          <t>th-chiang-mai</t>
        </is>
      </c>
      <c r="B9" t="inlineStr">
        <is>
          <t>Chiang Mai</t>
        </is>
      </c>
      <c r="C9" t="inlineStr">
        <is>
          <t>Chiang Mai Metropolitan Area</t>
        </is>
      </c>
      <c r="D9" t="inlineStr">
        <is>
          <t>Thailand</t>
        </is>
      </c>
      <c r="E9" t="inlineStr">
        <is>
          <t>Southeast Asia</t>
        </is>
      </c>
      <c r="F9" t="inlineStr">
        <is>
          <t>secondary</t>
        </is>
      </c>
      <c r="G9" t="inlineStr">
        <is>
          <t>locked</t>
        </is>
      </c>
      <c r="H9" t="inlineStr">
        <is>
          <t>User anchor for creativity, secondary-city ambition, and lifestyle viability.</t>
        </is>
      </c>
    </row>
    <row r="10">
      <c r="A10" t="inlineStr">
        <is>
          <t>my-kuching</t>
        </is>
      </c>
      <c r="B10" t="inlineStr">
        <is>
          <t>Kuching</t>
        </is>
      </c>
      <c r="C10" t="inlineStr">
        <is>
          <t>Greater Kuching</t>
        </is>
      </c>
      <c r="D10" t="inlineStr">
        <is>
          <t>Malaysia</t>
        </is>
      </c>
      <c r="E10" t="inlineStr">
        <is>
          <t>Southeast Asia</t>
        </is>
      </c>
      <c r="F10" t="inlineStr">
        <is>
          <t>secondary</t>
        </is>
      </c>
      <c r="G10" t="inlineStr">
        <is>
          <t>locked</t>
        </is>
      </c>
      <c r="H10" t="inlineStr">
        <is>
          <t>User anchor included as a calmer secondary-city comparator with strong everyday livability appeal.</t>
        </is>
      </c>
    </row>
    <row r="11">
      <c r="A11" t="inlineStr">
        <is>
          <t>my-kota-kinabalu</t>
        </is>
      </c>
      <c r="B11" t="inlineStr">
        <is>
          <t>Kota Kinabalu</t>
        </is>
      </c>
      <c r="C11" t="inlineStr">
        <is>
          <t>Kota Kinabalu Urban Area</t>
        </is>
      </c>
      <c r="D11" t="inlineStr">
        <is>
          <t>Malaysia</t>
        </is>
      </c>
      <c r="E11" t="inlineStr">
        <is>
          <t>Southeast Asia</t>
        </is>
      </c>
      <c r="F11" t="inlineStr">
        <is>
          <t>secondary</t>
        </is>
      </c>
      <c r="G11" t="inlineStr">
        <is>
          <t>provisional</t>
        </is>
      </c>
      <c r="H11" t="inlineStr">
        <is>
          <t>User anchor — nature tourism, safety, and affordable livability on Borneo's coast.</t>
        </is>
      </c>
    </row>
    <row r="12">
      <c r="A12" t="inlineStr">
        <is>
          <t>my-melaka</t>
        </is>
      </c>
      <c r="B12" t="inlineStr">
        <is>
          <t>Melaka</t>
        </is>
      </c>
      <c r="C12" t="inlineStr">
        <is>
          <t>Melaka Urban Area</t>
        </is>
      </c>
      <c r="D12" t="inlineStr">
        <is>
          <t>Malaysia</t>
        </is>
      </c>
      <c r="E12" t="inlineStr">
        <is>
          <t>Southeast Asia</t>
        </is>
      </c>
      <c r="F12" t="inlineStr">
        <is>
          <t>secondary</t>
        </is>
      </c>
      <c r="G12" t="inlineStr">
        <is>
          <t>provisional</t>
        </is>
      </c>
      <c r="H12" t="inlineStr">
        <is>
          <t>User anchor — deep cultural heritage, food scene, and underrated livability.</t>
        </is>
      </c>
    </row>
    <row r="13">
      <c r="A13" t="inlineStr">
        <is>
          <t>th-hat-yai</t>
        </is>
      </c>
      <c r="B13" t="inlineStr">
        <is>
          <t>Hat Yai</t>
        </is>
      </c>
      <c r="C13" t="inlineStr">
        <is>
          <t>Hat Yai-Songkhla Urban Area</t>
        </is>
      </c>
      <c r="D13" t="inlineStr">
        <is>
          <t>Thailand</t>
        </is>
      </c>
      <c r="E13" t="inlineStr">
        <is>
          <t>Southeast Asia</t>
        </is>
      </c>
      <c r="F13" t="inlineStr">
        <is>
          <t>secondary</t>
        </is>
      </c>
      <c r="G13" t="inlineStr">
        <is>
          <t>provisional</t>
        </is>
      </c>
      <c r="H13" t="inlineStr">
        <is>
          <t>Southern Thai trade and services challenger included to test regional depth beyond capital-city bias.</t>
        </is>
      </c>
    </row>
    <row r="14">
      <c r="A14" t="inlineStr">
        <is>
          <t>tw-taipei</t>
        </is>
      </c>
      <c r="B14" t="inlineStr">
        <is>
          <t>Taipei</t>
        </is>
      </c>
      <c r="C14" t="inlineStr">
        <is>
          <t>Taipei-Keelung-Taoyuan Metropolitan Area</t>
        </is>
      </c>
      <c r="D14" t="inlineStr">
        <is>
          <t>Taiwan</t>
        </is>
      </c>
      <c r="E14" t="inlineStr">
        <is>
          <t>East Asia</t>
        </is>
      </c>
      <c r="F14" t="inlineStr">
        <is>
          <t>primary</t>
        </is>
      </c>
      <c r="G14" t="inlineStr">
        <is>
          <t>locked</t>
        </is>
      </c>
      <c r="H14" t="inlineStr">
        <is>
          <t>High-systems, high-street-life benchmark aligned with earlier SLIC discussion.</t>
        </is>
      </c>
    </row>
    <row r="15">
      <c r="A15" t="inlineStr">
        <is>
          <t>kr-busan</t>
        </is>
      </c>
      <c r="B15" t="inlineStr">
        <is>
          <t>Busan</t>
        </is>
      </c>
      <c r="C15" t="inlineStr">
        <is>
          <t>Greater Busan</t>
        </is>
      </c>
      <c r="D15" t="inlineStr">
        <is>
          <t>South Korea</t>
        </is>
      </c>
      <c r="E15" t="inlineStr">
        <is>
          <t>East Asia</t>
        </is>
      </c>
      <c r="F15" t="inlineStr">
        <is>
          <t>primary</t>
        </is>
      </c>
      <c r="G15" t="inlineStr">
        <is>
          <t>locked</t>
        </is>
      </c>
      <c r="H15" t="inlineStr">
        <is>
          <t>User anchor for second-city infrastructure quality, coastal livability, and economic competence.</t>
        </is>
      </c>
    </row>
    <row r="16">
      <c r="A16" t="inlineStr">
        <is>
          <t>cn-shanghai</t>
        </is>
      </c>
      <c r="B16" t="inlineStr">
        <is>
          <t>Shanghai</t>
        </is>
      </c>
      <c r="C16" t="inlineStr">
        <is>
          <t>Shanghai Metropolitan Area</t>
        </is>
      </c>
      <c r="D16" t="inlineStr">
        <is>
          <t>China</t>
        </is>
      </c>
      <c r="E16" t="inlineStr">
        <is>
          <t>East Asia</t>
        </is>
      </c>
      <c r="F16" t="inlineStr">
        <is>
          <t>primary</t>
        </is>
      </c>
      <c r="G16" t="inlineStr">
        <is>
          <t>provisional</t>
        </is>
      </c>
      <c r="H16" t="inlineStr">
        <is>
          <t>Economic gravity benchmark included to test how mega-city capability meets affordability and civic-pressure tradeoffs.</t>
        </is>
      </c>
    </row>
    <row r="17">
      <c r="A17" t="inlineStr">
        <is>
          <t>cn-shenzhen</t>
        </is>
      </c>
      <c r="B17" t="inlineStr">
        <is>
          <t>Shenzhen</t>
        </is>
      </c>
      <c r="C17" t="inlineStr">
        <is>
          <t>Shenzhen Metropolitan Area</t>
        </is>
      </c>
      <c r="D17" t="inlineStr">
        <is>
          <t>China</t>
        </is>
      </c>
      <c r="E17" t="inlineStr">
        <is>
          <t>East Asia</t>
        </is>
      </c>
      <c r="F17" t="inlineStr">
        <is>
          <t>primary</t>
        </is>
      </c>
      <c r="G17" t="inlineStr">
        <is>
          <t>provisional</t>
        </is>
      </c>
      <c r="H17" t="inlineStr">
        <is>
          <t>Innovation and manufacturing benchmark included for productive economic strength and high-pressure urban modernity.</t>
        </is>
      </c>
    </row>
    <row r="18">
      <c r="A18" t="inlineStr">
        <is>
          <t>cn-chengdu</t>
        </is>
      </c>
      <c r="B18" t="inlineStr">
        <is>
          <t>Chengdu</t>
        </is>
      </c>
      <c r="C18" t="inlineStr">
        <is>
          <t>Chengdu Metropolitan Area</t>
        </is>
      </c>
      <c r="D18" t="inlineStr">
        <is>
          <t>China</t>
        </is>
      </c>
      <c r="E18" t="inlineStr">
        <is>
          <t>East Asia</t>
        </is>
      </c>
      <c r="F18" t="inlineStr">
        <is>
          <t>primary</t>
        </is>
      </c>
      <c r="G18" t="inlineStr">
        <is>
          <t>provisional</t>
        </is>
      </c>
      <c r="H18" t="inlineStr">
        <is>
          <t>Western China lifestyle benchmark included for food culture, livability, and economic dynamism beyond coastal mega-cities.</t>
        </is>
      </c>
    </row>
    <row r="19">
      <c r="A19" t="inlineStr">
        <is>
          <t>cn-chongqing</t>
        </is>
      </c>
      <c r="B19" t="inlineStr">
        <is>
          <t>Chongqing</t>
        </is>
      </c>
      <c r="C19" t="inlineStr">
        <is>
          <t>Chongqing Metropolitan Area</t>
        </is>
      </c>
      <c r="D19" t="inlineStr">
        <is>
          <t>China</t>
        </is>
      </c>
      <c r="E19" t="inlineStr">
        <is>
          <t>East Asia</t>
        </is>
      </c>
      <c r="F19" t="inlineStr">
        <is>
          <t>primary</t>
        </is>
      </c>
      <c r="G19" t="inlineStr">
        <is>
          <t>provisional</t>
        </is>
      </c>
      <c r="H19" t="inlineStr">
        <is>
          <t>Interior mega-city benchmark included for urban energy, affordability, and infrastructure ambition.</t>
        </is>
      </c>
    </row>
    <row r="20">
      <c r="A20" t="inlineStr">
        <is>
          <t>cn-hangzhou</t>
        </is>
      </c>
      <c r="B20" t="inlineStr">
        <is>
          <t>Hangzhou</t>
        </is>
      </c>
      <c r="C20" t="inlineStr">
        <is>
          <t>Hangzhou Metropolitan Area</t>
        </is>
      </c>
      <c r="D20" t="inlineStr">
        <is>
          <t>China</t>
        </is>
      </c>
      <c r="E20" t="inlineStr">
        <is>
          <t>East Asia</t>
        </is>
      </c>
      <c r="F20" t="inlineStr">
        <is>
          <t>primary</t>
        </is>
      </c>
      <c r="G20" t="inlineStr">
        <is>
          <t>provisional</t>
        </is>
      </c>
      <c r="H20" t="inlineStr">
        <is>
          <t>Digital economy and cultural heritage benchmark included for tech-lifestyle balance and livability.</t>
        </is>
      </c>
    </row>
    <row r="21">
      <c r="A21" t="inlineStr">
        <is>
          <t>jp-hiroshima</t>
        </is>
      </c>
      <c r="B21" t="inlineStr">
        <is>
          <t>Hiroshima</t>
        </is>
      </c>
      <c r="C21" t="inlineStr">
        <is>
          <t>Hiroshima Metropolitan Employment Area</t>
        </is>
      </c>
      <c r="D21" t="inlineStr">
        <is>
          <t>Japan</t>
        </is>
      </c>
      <c r="E21" t="inlineStr">
        <is>
          <t>East Asia</t>
        </is>
      </c>
      <c r="F21" t="inlineStr">
        <is>
          <t>primary</t>
        </is>
      </c>
      <c r="G21" t="inlineStr">
        <is>
          <t>provisional</t>
        </is>
      </c>
      <c r="H21" t="inlineStr">
        <is>
          <t>Provisional Japanese primary candidate with stronger everyday scale than megacity peers.</t>
        </is>
      </c>
    </row>
    <row r="22">
      <c r="A22" t="inlineStr">
        <is>
          <t>kr-suwon</t>
        </is>
      </c>
      <c r="B22" t="inlineStr">
        <is>
          <t>Suwon</t>
        </is>
      </c>
      <c r="C22" t="inlineStr">
        <is>
          <t>Suwon Metropolitan Area</t>
        </is>
      </c>
      <c r="D22" t="inlineStr">
        <is>
          <t>South Korea</t>
        </is>
      </c>
      <c r="E22" t="inlineStr">
        <is>
          <t>East Asia</t>
        </is>
      </c>
      <c r="F22" t="inlineStr">
        <is>
          <t>primary</t>
        </is>
      </c>
      <c r="G22" t="inlineStr">
        <is>
          <t>provisional</t>
        </is>
      </c>
      <c r="H22" t="inlineStr">
        <is>
          <t>User anchor — strong challenger to Seoul with better livability, culture, and everyday quality.</t>
        </is>
      </c>
    </row>
    <row r="23">
      <c r="A23" t="inlineStr">
        <is>
          <t>kr-jeju-city</t>
        </is>
      </c>
      <c r="B23" t="inlineStr">
        <is>
          <t>Jeju City</t>
        </is>
      </c>
      <c r="C23" t="inlineStr">
        <is>
          <t>Jeju Urban Area</t>
        </is>
      </c>
      <c r="D23" t="inlineStr">
        <is>
          <t>South Korea</t>
        </is>
      </c>
      <c r="E23" t="inlineStr">
        <is>
          <t>East Asia</t>
        </is>
      </c>
      <c r="F23" t="inlineStr">
        <is>
          <t>secondary</t>
        </is>
      </c>
      <c r="G23" t="inlineStr">
        <is>
          <t>locked</t>
        </is>
      </c>
      <c r="H23" t="inlineStr">
        <is>
          <t>User anchor for lifestyle quality, hospitality, and island-scale livability.</t>
        </is>
      </c>
    </row>
    <row r="24">
      <c r="A24" t="inlineStr">
        <is>
          <t>jp-fukuoka</t>
        </is>
      </c>
      <c r="B24" t="inlineStr">
        <is>
          <t>Fukuoka</t>
        </is>
      </c>
      <c r="C24" t="inlineStr">
        <is>
          <t>Fukuoka Metropolitan Area</t>
        </is>
      </c>
      <c r="D24" t="inlineStr">
        <is>
          <t>Japan</t>
        </is>
      </c>
      <c r="E24" t="inlineStr">
        <is>
          <t>East Asia</t>
        </is>
      </c>
      <c r="F24" t="inlineStr">
        <is>
          <t>secondary</t>
        </is>
      </c>
      <c r="G24" t="inlineStr">
        <is>
          <t>locked</t>
        </is>
      </c>
      <c r="H24" t="inlineStr">
        <is>
          <t>User anchor and strong challenger city for innovation, access, and livability balance.</t>
        </is>
      </c>
    </row>
    <row r="25">
      <c r="A25" t="inlineStr">
        <is>
          <t>jp-kobe</t>
        </is>
      </c>
      <c r="B25" t="inlineStr">
        <is>
          <t>Kobe</t>
        </is>
      </c>
      <c r="C25" t="inlineStr">
        <is>
          <t>Kobe Metropolitan Area</t>
        </is>
      </c>
      <c r="D25" t="inlineStr">
        <is>
          <t>Japan</t>
        </is>
      </c>
      <c r="E25" t="inlineStr">
        <is>
          <t>East Asia</t>
        </is>
      </c>
      <c r="F25" t="inlineStr">
        <is>
          <t>secondary</t>
        </is>
      </c>
      <c r="G25" t="inlineStr">
        <is>
          <t>locked</t>
        </is>
      </c>
      <c r="H25" t="inlineStr">
        <is>
          <t>User anchor included as a port-city benchmark with strong urban form and quality-of-life reputation.</t>
        </is>
      </c>
    </row>
    <row r="26">
      <c r="A26" t="inlineStr">
        <is>
          <t>jp-sapporo</t>
        </is>
      </c>
      <c r="B26" t="inlineStr">
        <is>
          <t>Sapporo</t>
        </is>
      </c>
      <c r="C26" t="inlineStr">
        <is>
          <t>Sapporo Metropolitan Area</t>
        </is>
      </c>
      <c r="D26" t="inlineStr">
        <is>
          <t>Japan</t>
        </is>
      </c>
      <c r="E26" t="inlineStr">
        <is>
          <t>East Asia</t>
        </is>
      </c>
      <c r="F26" t="inlineStr">
        <is>
          <t>secondary</t>
        </is>
      </c>
      <c r="G26" t="inlineStr">
        <is>
          <t>locked</t>
        </is>
      </c>
      <c r="H26" t="inlineStr">
        <is>
          <t>User anchor and climate-diversified challenger with strong everyday manageability.</t>
        </is>
      </c>
    </row>
    <row r="27">
      <c r="A27" t="inlineStr">
        <is>
          <t>cn-tianjin</t>
        </is>
      </c>
      <c r="B27" t="inlineStr">
        <is>
          <t>Tianjin</t>
        </is>
      </c>
      <c r="C27" t="inlineStr">
        <is>
          <t>Tianjin Metropolitan Area</t>
        </is>
      </c>
      <c r="D27" t="inlineStr">
        <is>
          <t>China</t>
        </is>
      </c>
      <c r="E27" t="inlineStr">
        <is>
          <t>East Asia</t>
        </is>
      </c>
      <c r="F27" t="inlineStr">
        <is>
          <t>secondary</t>
        </is>
      </c>
      <c r="G27" t="inlineStr">
        <is>
          <t>provisional</t>
        </is>
      </c>
      <c r="H27" t="inlineStr">
        <is>
          <t>Secondary East Asian challenger included for industrial relevance, port-city utility, and relief from capital-city prestige bias.</t>
        </is>
      </c>
    </row>
    <row r="28">
      <c r="A28" t="inlineStr">
        <is>
          <t>in-bengaluru</t>
        </is>
      </c>
      <c r="B28" t="inlineStr">
        <is>
          <t>Bengaluru</t>
        </is>
      </c>
      <c r="C28" t="inlineStr">
        <is>
          <t>Bengaluru Metropolitan Area</t>
        </is>
      </c>
      <c r="D28" t="inlineStr">
        <is>
          <t>India</t>
        </is>
      </c>
      <c r="E28" t="inlineStr">
        <is>
          <t>South Asia</t>
        </is>
      </c>
      <c r="F28" t="inlineStr">
        <is>
          <t>primary</t>
        </is>
      </c>
      <c r="G28" t="inlineStr">
        <is>
          <t>locked</t>
        </is>
      </c>
      <c r="H28" t="inlineStr">
        <is>
          <t>Primary South Asian innovation benchmark included despite affordability and infrastructure pressures.</t>
        </is>
      </c>
    </row>
    <row r="29">
      <c r="A29" t="inlineStr">
        <is>
          <t>in-hyderabad</t>
        </is>
      </c>
      <c r="B29" t="inlineStr">
        <is>
          <t>Hyderabad</t>
        </is>
      </c>
      <c r="C29" t="inlineStr">
        <is>
          <t>Hyderabad Metropolitan Region</t>
        </is>
      </c>
      <c r="D29" t="inlineStr">
        <is>
          <t>India</t>
        </is>
      </c>
      <c r="E29" t="inlineStr">
        <is>
          <t>South Asia</t>
        </is>
      </c>
      <c r="F29" t="inlineStr">
        <is>
          <t>primary</t>
        </is>
      </c>
      <c r="G29" t="inlineStr">
        <is>
          <t>locked</t>
        </is>
      </c>
      <c r="H29" t="inlineStr">
        <is>
          <t>Paired with Bengaluru as a competitiveness and opportunity benchmark for South Asia.</t>
        </is>
      </c>
    </row>
    <row r="30">
      <c r="A30" t="inlineStr">
        <is>
          <t>in-chandigarh</t>
        </is>
      </c>
      <c r="B30" t="inlineStr">
        <is>
          <t>Chandigarh</t>
        </is>
      </c>
      <c r="C30" t="inlineStr">
        <is>
          <t>Chandigarh Tricity</t>
        </is>
      </c>
      <c r="D30" t="inlineStr">
        <is>
          <t>India</t>
        </is>
      </c>
      <c r="E30" t="inlineStr">
        <is>
          <t>South Asia</t>
        </is>
      </c>
      <c r="F30" t="inlineStr">
        <is>
          <t>primary</t>
        </is>
      </c>
      <c r="G30" t="inlineStr">
        <is>
          <t>provisional</t>
        </is>
      </c>
      <c r="H30" t="inlineStr">
        <is>
          <t>User anchor — cleanest and most organized Indian city with genuine livability and planning quality.</t>
        </is>
      </c>
    </row>
    <row r="31">
      <c r="A31" t="inlineStr">
        <is>
          <t>lk-colombo</t>
        </is>
      </c>
      <c r="B31" t="inlineStr">
        <is>
          <t>Colombo</t>
        </is>
      </c>
      <c r="C31" t="inlineStr">
        <is>
          <t>Colombo Metropolitan Region</t>
        </is>
      </c>
      <c r="D31" t="inlineStr">
        <is>
          <t>Sri Lanka</t>
        </is>
      </c>
      <c r="E31" t="inlineStr">
        <is>
          <t>South Asia</t>
        </is>
      </c>
      <c r="F31" t="inlineStr">
        <is>
          <t>primary</t>
        </is>
      </c>
      <c r="G31" t="inlineStr">
        <is>
          <t>locked</t>
        </is>
      </c>
      <c r="H31" t="inlineStr">
        <is>
          <t>Regional capital-city comparator with manageable scale and stronger coastal livability potential.</t>
        </is>
      </c>
    </row>
    <row r="32">
      <c r="A32" t="inlineStr">
        <is>
          <t>bd-dhaka</t>
        </is>
      </c>
      <c r="B32" t="inlineStr">
        <is>
          <t>Dhaka</t>
        </is>
      </c>
      <c r="C32" t="inlineStr">
        <is>
          <t>Dhaka Metropolitan Area</t>
        </is>
      </c>
      <c r="D32" t="inlineStr">
        <is>
          <t>Bangladesh</t>
        </is>
      </c>
      <c r="E32" t="inlineStr">
        <is>
          <t>South Asia</t>
        </is>
      </c>
      <c r="F32" t="inlineStr">
        <is>
          <t>primary</t>
        </is>
      </c>
      <c r="G32" t="inlineStr">
        <is>
          <t>provisional</t>
        </is>
      </c>
      <c r="H32" t="inlineStr">
        <is>
          <t>High-pressure megacity included provisionally as a contrast case inside the South Asian universe.</t>
        </is>
      </c>
    </row>
    <row r="33">
      <c r="A33" t="inlineStr">
        <is>
          <t>pk-karachi</t>
        </is>
      </c>
      <c r="B33" t="inlineStr">
        <is>
          <t>Karachi</t>
        </is>
      </c>
      <c r="C33" t="inlineStr">
        <is>
          <t>Karachi Metropolitan Area</t>
        </is>
      </c>
      <c r="D33" t="inlineStr">
        <is>
          <t>Pakistan</t>
        </is>
      </c>
      <c r="E33" t="inlineStr">
        <is>
          <t>South Asia</t>
        </is>
      </c>
      <c r="F33" t="inlineStr">
        <is>
          <t>primary</t>
        </is>
      </c>
      <c r="G33" t="inlineStr">
        <is>
          <t>provisional</t>
        </is>
      </c>
      <c r="H33" t="inlineStr">
        <is>
          <t>Provisional large-metro comparator included to keep the South Asian candidate field honest and broad.</t>
        </is>
      </c>
    </row>
    <row r="34">
      <c r="A34" t="inlineStr">
        <is>
          <t>pk-lahore</t>
        </is>
      </c>
      <c r="B34" t="inlineStr">
        <is>
          <t>Lahore</t>
        </is>
      </c>
      <c r="C34" t="inlineStr">
        <is>
          <t>Lahore Metropolitan Area</t>
        </is>
      </c>
      <c r="D34" t="inlineStr">
        <is>
          <t>Pakistan</t>
        </is>
      </c>
      <c r="E34" t="inlineStr">
        <is>
          <t>South Asia</t>
        </is>
      </c>
      <c r="F34" t="inlineStr">
        <is>
          <t>secondary</t>
        </is>
      </c>
      <c r="G34" t="inlineStr">
        <is>
          <t>locked</t>
        </is>
      </c>
      <c r="H34" t="inlineStr">
        <is>
          <t>Secondary challenger included for cultural weight and regional importance.</t>
        </is>
      </c>
    </row>
    <row r="35">
      <c r="A35" t="inlineStr">
        <is>
          <t>bd-chattogram</t>
        </is>
      </c>
      <c r="B35" t="inlineStr">
        <is>
          <t>Chattogram</t>
        </is>
      </c>
      <c r="C35" t="inlineStr">
        <is>
          <t>Chattogram Metropolitan Area</t>
        </is>
      </c>
      <c r="D35" t="inlineStr">
        <is>
          <t>Bangladesh</t>
        </is>
      </c>
      <c r="E35" t="inlineStr">
        <is>
          <t>South Asia</t>
        </is>
      </c>
      <c r="F35" t="inlineStr">
        <is>
          <t>secondary</t>
        </is>
      </c>
      <c r="G35" t="inlineStr">
        <is>
          <t>locked</t>
        </is>
      </c>
      <c r="H35" t="inlineStr">
        <is>
          <t>Secondary port-city comparator for industrial relevance and everyday-scale testing.</t>
        </is>
      </c>
    </row>
    <row r="36">
      <c r="A36" t="inlineStr">
        <is>
          <t>np-kathmandu</t>
        </is>
      </c>
      <c r="B36" t="inlineStr">
        <is>
          <t>Kathmandu</t>
        </is>
      </c>
      <c r="C36" t="inlineStr">
        <is>
          <t>Kathmandu Valley</t>
        </is>
      </c>
      <c r="D36" t="inlineStr">
        <is>
          <t>Nepal</t>
        </is>
      </c>
      <c r="E36" t="inlineStr">
        <is>
          <t>South Asia</t>
        </is>
      </c>
      <c r="F36" t="inlineStr">
        <is>
          <t>secondary</t>
        </is>
      </c>
      <c r="G36" t="inlineStr">
        <is>
          <t>provisional</t>
        </is>
      </c>
      <c r="H36" t="inlineStr">
        <is>
          <t>Provisional cultural and tourism-weighted challenger with strong environmental tradeoffs.</t>
        </is>
      </c>
    </row>
    <row r="37">
      <c r="A37" t="inlineStr">
        <is>
          <t>bt-thimphu</t>
        </is>
      </c>
      <c r="B37" t="inlineStr">
        <is>
          <t>Thimphu</t>
        </is>
      </c>
      <c r="C37" t="inlineStr">
        <is>
          <t>Thimphu Urban Area</t>
        </is>
      </c>
      <c r="D37" t="inlineStr">
        <is>
          <t>Bhutan</t>
        </is>
      </c>
      <c r="E37" t="inlineStr">
        <is>
          <t>South Asia</t>
        </is>
      </c>
      <c r="F37" t="inlineStr">
        <is>
          <t>secondary</t>
        </is>
      </c>
      <c r="G37" t="inlineStr">
        <is>
          <t>locked</t>
        </is>
      </c>
      <c r="H37" t="inlineStr">
        <is>
          <t>Smaller-scale South Asian challenger included for governance, environment, and lifestyle contrast.</t>
        </is>
      </c>
    </row>
    <row r="38">
      <c r="A38" t="inlineStr">
        <is>
          <t>mv-male</t>
        </is>
      </c>
      <c r="B38" t="inlineStr">
        <is>
          <t>Male</t>
        </is>
      </c>
      <c r="C38" t="inlineStr">
        <is>
          <t>Male Urban Region</t>
        </is>
      </c>
      <c r="D38" t="inlineStr">
        <is>
          <t>Maldives</t>
        </is>
      </c>
      <c r="E38" t="inlineStr">
        <is>
          <t>South Asia</t>
        </is>
      </c>
      <c r="F38" t="inlineStr">
        <is>
          <t>secondary</t>
        </is>
      </c>
      <c r="G38" t="inlineStr">
        <is>
          <t>locked</t>
        </is>
      </c>
      <c r="H38" t="inlineStr">
        <is>
          <t>Island-city comparator included for service quality, compactness, and extreme spatial constraints.</t>
        </is>
      </c>
    </row>
    <row r="39">
      <c r="A39" t="inlineStr">
        <is>
          <t>fr-paris</t>
        </is>
      </c>
      <c r="B39" t="inlineStr">
        <is>
          <t>Paris</t>
        </is>
      </c>
      <c r="C39" t="inlineStr">
        <is>
          <t>Paris Metropolitan Area</t>
        </is>
      </c>
      <c r="D39" t="inlineStr">
        <is>
          <t>France</t>
        </is>
      </c>
      <c r="E39" t="inlineStr">
        <is>
          <t>Western, Northern, and Southern Europe</t>
        </is>
      </c>
      <c r="F39" t="inlineStr">
        <is>
          <t>primary</t>
        </is>
      </c>
      <c r="G39" t="inlineStr">
        <is>
          <t>locked</t>
        </is>
      </c>
      <c r="H39" t="inlineStr">
        <is>
          <t>User anchor and global cultural capital included as a prestige city that SLIC can re-score through affordability and pressure.</t>
        </is>
      </c>
    </row>
    <row r="40">
      <c r="A40" t="inlineStr">
        <is>
          <t>at-vienna</t>
        </is>
      </c>
      <c r="B40" t="inlineStr">
        <is>
          <t>Vienna</t>
        </is>
      </c>
      <c r="C40" t="inlineStr">
        <is>
          <t>Vienna Metropolitan Area</t>
        </is>
      </c>
      <c r="D40" t="inlineStr">
        <is>
          <t>Austria</t>
        </is>
      </c>
      <c r="E40" t="inlineStr">
        <is>
          <t>Western, Northern, and Southern Europe</t>
        </is>
      </c>
      <c r="F40" t="inlineStr">
        <is>
          <t>primary</t>
        </is>
      </c>
      <c r="G40" t="inlineStr">
        <is>
          <t>locked</t>
        </is>
      </c>
      <c r="H40" t="inlineStr">
        <is>
          <t>User anchor included as a conventional benchmark that SLIC can test against pressure and creative vitality.</t>
        </is>
      </c>
    </row>
    <row r="41">
      <c r="A41" t="inlineStr">
        <is>
          <t>ch-zurich</t>
        </is>
      </c>
      <c r="B41" t="inlineStr">
        <is>
          <t>Zurich</t>
        </is>
      </c>
      <c r="C41" t="inlineStr">
        <is>
          <t>Zurich Metropolitan Area</t>
        </is>
      </c>
      <c r="D41" t="inlineStr">
        <is>
          <t>Switzerland</t>
        </is>
      </c>
      <c r="E41" t="inlineStr">
        <is>
          <t>Western, Northern, and Southern Europe</t>
        </is>
      </c>
      <c r="F41" t="inlineStr">
        <is>
          <t>primary</t>
        </is>
      </c>
      <c r="G41" t="inlineStr">
        <is>
          <t>locked</t>
        </is>
      </c>
      <c r="H41" t="inlineStr">
        <is>
          <t>High-convenience benchmark included so SLIC can visibly penalize cost where necessary.</t>
        </is>
      </c>
    </row>
    <row r="42">
      <c r="A42" t="inlineStr">
        <is>
          <t>nl-amsterdam</t>
        </is>
      </c>
      <c r="B42" t="inlineStr">
        <is>
          <t>Amsterdam</t>
        </is>
      </c>
      <c r="C42" t="inlineStr">
        <is>
          <t>Amsterdam Metropolitan Area</t>
        </is>
      </c>
      <c r="D42" t="inlineStr">
        <is>
          <t>Netherlands</t>
        </is>
      </c>
      <c r="E42" t="inlineStr">
        <is>
          <t>Western, Northern, and Southern Europe</t>
        </is>
      </c>
      <c r="F42" t="inlineStr">
        <is>
          <t>primary</t>
        </is>
      </c>
      <c r="G42" t="inlineStr">
        <is>
          <t>provisional</t>
        </is>
      </c>
      <c r="H42" t="inlineStr">
        <is>
          <t>Provisional benchmark for global talent pull, openness, and cost pressure.</t>
        </is>
      </c>
    </row>
    <row r="43">
      <c r="A43" t="inlineStr">
        <is>
          <t>dk-copenhagen</t>
        </is>
      </c>
      <c r="B43" t="inlineStr">
        <is>
          <t>Copenhagen</t>
        </is>
      </c>
      <c r="C43" t="inlineStr">
        <is>
          <t>Copenhagen Metropolitan Area</t>
        </is>
      </c>
      <c r="D43" t="inlineStr">
        <is>
          <t>Denmark</t>
        </is>
      </c>
      <c r="E43" t="inlineStr">
        <is>
          <t>Western, Northern, and Southern Europe</t>
        </is>
      </c>
      <c r="F43" t="inlineStr">
        <is>
          <t>primary</t>
        </is>
      </c>
      <c r="G43" t="inlineStr">
        <is>
          <t>provisional</t>
        </is>
      </c>
      <c r="H43" t="inlineStr">
        <is>
          <t>Provisional systems-quality comparator included for mobility, governance, and cost tradeoffs.</t>
        </is>
      </c>
    </row>
    <row r="44">
      <c r="A44" t="inlineStr">
        <is>
          <t>it-milan</t>
        </is>
      </c>
      <c r="B44" t="inlineStr">
        <is>
          <t>Milan</t>
        </is>
      </c>
      <c r="C44" t="inlineStr">
        <is>
          <t>Milan Metropolitan Area</t>
        </is>
      </c>
      <c r="D44" t="inlineStr">
        <is>
          <t>Italy</t>
        </is>
      </c>
      <c r="E44" t="inlineStr">
        <is>
          <t>Western, Northern, and Southern Europe</t>
        </is>
      </c>
      <c r="F44" t="inlineStr">
        <is>
          <t>primary</t>
        </is>
      </c>
      <c r="G44" t="inlineStr">
        <is>
          <t>provisional</t>
        </is>
      </c>
      <c r="H44" t="inlineStr">
        <is>
          <t>Italian economic benchmark included for productive depth, design-industry vitality, and high-pressure affordability tradeoffs.</t>
        </is>
      </c>
    </row>
    <row r="45">
      <c r="A45" t="inlineStr">
        <is>
          <t>at-graz</t>
        </is>
      </c>
      <c r="B45" t="inlineStr">
        <is>
          <t>Graz</t>
        </is>
      </c>
      <c r="C45" t="inlineStr">
        <is>
          <t>Graz Urban Region</t>
        </is>
      </c>
      <c r="D45" t="inlineStr">
        <is>
          <t>Austria</t>
        </is>
      </c>
      <c r="E45" t="inlineStr">
        <is>
          <t>Western, Northern, and Southern Europe</t>
        </is>
      </c>
      <c r="F45" t="inlineStr">
        <is>
          <t>secondary</t>
        </is>
      </c>
      <c r="G45" t="inlineStr">
        <is>
          <t>locked</t>
        </is>
      </c>
      <c r="H45" t="inlineStr">
        <is>
          <t>User anchor and secondary Austrian challenger with lower prestige bias than Vienna.</t>
        </is>
      </c>
    </row>
    <row r="46">
      <c r="A46" t="inlineStr">
        <is>
          <t>pt-porto</t>
        </is>
      </c>
      <c r="B46" t="inlineStr">
        <is>
          <t>Porto</t>
        </is>
      </c>
      <c r="C46" t="inlineStr">
        <is>
          <t>Porto Metropolitan Area</t>
        </is>
      </c>
      <c r="D46" t="inlineStr">
        <is>
          <t>Portugal</t>
        </is>
      </c>
      <c r="E46" t="inlineStr">
        <is>
          <t>Western, Northern, and Southern Europe</t>
        </is>
      </c>
      <c r="F46" t="inlineStr">
        <is>
          <t>secondary</t>
        </is>
      </c>
      <c r="G46" t="inlineStr">
        <is>
          <t>locked</t>
        </is>
      </c>
      <c r="H46" t="inlineStr">
        <is>
          <t>Secondary-city benchmark for cultural pull, walkability, and relative affordability.</t>
        </is>
      </c>
    </row>
    <row r="47">
      <c r="A47" t="inlineStr">
        <is>
          <t>pt-braga</t>
        </is>
      </c>
      <c r="B47" t="inlineStr">
        <is>
          <t>Braga</t>
        </is>
      </c>
      <c r="C47" t="inlineStr">
        <is>
          <t>Braga Urban Area</t>
        </is>
      </c>
      <c r="D47" t="inlineStr">
        <is>
          <t>Portugal</t>
        </is>
      </c>
      <c r="E47" t="inlineStr">
        <is>
          <t>Western, Northern, and Southern Europe</t>
        </is>
      </c>
      <c r="F47" t="inlineStr">
        <is>
          <t>secondary</t>
        </is>
      </c>
      <c r="G47" t="inlineStr">
        <is>
          <t>locked</t>
        </is>
      </c>
      <c r="H47" t="inlineStr">
        <is>
          <t>Secondary Portuguese challenger with strong everyday livability and university-city energy.</t>
        </is>
      </c>
    </row>
    <row r="48">
      <c r="A48" t="inlineStr">
        <is>
          <t>ee-tallinn</t>
        </is>
      </c>
      <c r="B48" t="inlineStr">
        <is>
          <t>Tallinn</t>
        </is>
      </c>
      <c r="C48" t="inlineStr">
        <is>
          <t>Tallinn Urban Area</t>
        </is>
      </c>
      <c r="D48" t="inlineStr">
        <is>
          <t>Estonia</t>
        </is>
      </c>
      <c r="E48" t="inlineStr">
        <is>
          <t>Western, Northern, and Southern Europe</t>
        </is>
      </c>
      <c r="F48" t="inlineStr">
        <is>
          <t>secondary</t>
        </is>
      </c>
      <c r="G48" t="inlineStr">
        <is>
          <t>locked</t>
        </is>
      </c>
      <c r="H48" t="inlineStr">
        <is>
          <t>Digitally competent northern-European challenger with manageable scale.</t>
        </is>
      </c>
    </row>
    <row r="49">
      <c r="A49" t="inlineStr">
        <is>
          <t>fi-helsinki</t>
        </is>
      </c>
      <c r="B49" t="inlineStr">
        <is>
          <t>Helsinki</t>
        </is>
      </c>
      <c r="C49" t="inlineStr">
        <is>
          <t>Helsinki Metropolitan Area</t>
        </is>
      </c>
      <c r="D49" t="inlineStr">
        <is>
          <t>Finland</t>
        </is>
      </c>
      <c r="E49" t="inlineStr">
        <is>
          <t>Western, Northern, and Southern Europe</t>
        </is>
      </c>
      <c r="F49" t="inlineStr">
        <is>
          <t>secondary</t>
        </is>
      </c>
      <c r="G49" t="inlineStr">
        <is>
          <t>provisional</t>
        </is>
      </c>
      <c r="H49" t="inlineStr">
        <is>
          <t>Provisional Nordic comparator included for systems quality, climate, and cost balance.</t>
        </is>
      </c>
    </row>
    <row r="50">
      <c r="A50" t="inlineStr">
        <is>
          <t>it-bologna</t>
        </is>
      </c>
      <c r="B50" t="inlineStr">
        <is>
          <t>Bologna</t>
        </is>
      </c>
      <c r="C50" t="inlineStr">
        <is>
          <t>Bologna Metropolitan Area</t>
        </is>
      </c>
      <c r="D50" t="inlineStr">
        <is>
          <t>Italy</t>
        </is>
      </c>
      <c r="E50" t="inlineStr">
        <is>
          <t>Western, Northern, and Southern Europe</t>
        </is>
      </c>
      <c r="F50" t="inlineStr">
        <is>
          <t>secondary</t>
        </is>
      </c>
      <c r="G50" t="inlineStr">
        <is>
          <t>provisional</t>
        </is>
      </c>
      <c r="H50" t="inlineStr">
        <is>
          <t>Italian secondary-city challenger included for university depth, civic texture, walkability, and manageable metropolitan scale.</t>
        </is>
      </c>
    </row>
    <row r="51">
      <c r="A51" t="inlineStr">
        <is>
          <t>ru-moscow</t>
        </is>
      </c>
      <c r="B51" t="inlineStr">
        <is>
          <t>Moscow</t>
        </is>
      </c>
      <c r="C51" t="inlineStr">
        <is>
          <t>Moscow Metropolitan Area</t>
        </is>
      </c>
      <c r="D51" t="inlineStr">
        <is>
          <t>Russia</t>
        </is>
      </c>
      <c r="E51" t="inlineStr">
        <is>
          <t>Southern/Eastern Europe and Eurasia</t>
        </is>
      </c>
      <c r="F51" t="inlineStr">
        <is>
          <t>primary</t>
        </is>
      </c>
      <c r="G51" t="inlineStr">
        <is>
          <t>locked</t>
        </is>
      </c>
      <c r="H51" t="inlineStr">
        <is>
          <t>User anchor included for scale, culture, infrastructure depth, and Eurasian comparability.</t>
        </is>
      </c>
    </row>
    <row r="52">
      <c r="A52" t="inlineStr">
        <is>
          <t>hu-budapest</t>
        </is>
      </c>
      <c r="B52" t="inlineStr">
        <is>
          <t>Budapest</t>
        </is>
      </c>
      <c r="C52" t="inlineStr">
        <is>
          <t>Budapest Metropolitan Area</t>
        </is>
      </c>
      <c r="D52" t="inlineStr">
        <is>
          <t>Hungary</t>
        </is>
      </c>
      <c r="E52" t="inlineStr">
        <is>
          <t>Southern/Eastern Europe and Eurasia</t>
        </is>
      </c>
      <c r="F52" t="inlineStr">
        <is>
          <t>primary</t>
        </is>
      </c>
      <c r="G52" t="inlineStr">
        <is>
          <t>locked</t>
        </is>
      </c>
      <c r="H52" t="inlineStr">
        <is>
          <t>User anchor with strong urban form, culture, and affordability relative to western peers.</t>
        </is>
      </c>
    </row>
    <row r="53">
      <c r="A53" t="inlineStr">
        <is>
          <t>pl-krakow</t>
        </is>
      </c>
      <c r="B53" t="inlineStr">
        <is>
          <t>Krakow</t>
        </is>
      </c>
      <c r="C53" t="inlineStr">
        <is>
          <t>Krakow Metropolitan Area</t>
        </is>
      </c>
      <c r="D53" t="inlineStr">
        <is>
          <t>Poland</t>
        </is>
      </c>
      <c r="E53" t="inlineStr">
        <is>
          <t>Southern/Eastern Europe and Eurasia</t>
        </is>
      </c>
      <c r="F53" t="inlineStr">
        <is>
          <t>primary</t>
        </is>
      </c>
      <c r="G53" t="inlineStr">
        <is>
          <t>locked</t>
        </is>
      </c>
      <c r="H53" t="inlineStr">
        <is>
          <t>User anchor and strong central-European benchmark for heritage, education, and secondary-scale quality.</t>
        </is>
      </c>
    </row>
    <row r="54">
      <c r="A54" t="inlineStr">
        <is>
          <t>ro-bucharest</t>
        </is>
      </c>
      <c r="B54" t="inlineStr">
        <is>
          <t>Bucharest</t>
        </is>
      </c>
      <c r="C54" t="inlineStr">
        <is>
          <t>Bucharest Metropolitan Area</t>
        </is>
      </c>
      <c r="D54" t="inlineStr">
        <is>
          <t>Romania</t>
        </is>
      </c>
      <c r="E54" t="inlineStr">
        <is>
          <t>Southern/Eastern Europe and Eurasia</t>
        </is>
      </c>
      <c r="F54" t="inlineStr">
        <is>
          <t>primary</t>
        </is>
      </c>
      <c r="G54" t="inlineStr">
        <is>
          <t>locked</t>
        </is>
      </c>
      <c r="H54" t="inlineStr">
        <is>
          <t>Regional capital included for affordability-competitiveness balance and infrastructure trajectory.</t>
        </is>
      </c>
    </row>
    <row r="55">
      <c r="A55" t="inlineStr">
        <is>
          <t>rs-belgrade</t>
        </is>
      </c>
      <c r="B55" t="inlineStr">
        <is>
          <t>Belgrade</t>
        </is>
      </c>
      <c r="C55" t="inlineStr">
        <is>
          <t>Belgrade Metropolitan Area</t>
        </is>
      </c>
      <c r="D55" t="inlineStr">
        <is>
          <t>Serbia</t>
        </is>
      </c>
      <c r="E55" t="inlineStr">
        <is>
          <t>Southern/Eastern Europe and Eurasia</t>
        </is>
      </c>
      <c r="F55" t="inlineStr">
        <is>
          <t>primary</t>
        </is>
      </c>
      <c r="G55" t="inlineStr">
        <is>
          <t>locked</t>
        </is>
      </c>
      <c r="H55" t="inlineStr">
        <is>
          <t>Regional challenger included for dynamism, hospitality, and lower-cost competitiveness.</t>
        </is>
      </c>
    </row>
    <row r="56">
      <c r="A56" t="inlineStr">
        <is>
          <t>ru-nizhny-novgorod</t>
        </is>
      </c>
      <c r="B56" t="inlineStr">
        <is>
          <t>Nizhny Novgorod</t>
        </is>
      </c>
      <c r="C56" t="inlineStr">
        <is>
          <t>Nizhny Novgorod Urban Agglomeration</t>
        </is>
      </c>
      <c r="D56" t="inlineStr">
        <is>
          <t>Russia</t>
        </is>
      </c>
      <c r="E56" t="inlineStr">
        <is>
          <t>Southern/Eastern Europe and Eurasia</t>
        </is>
      </c>
      <c r="F56" t="inlineStr">
        <is>
          <t>secondary</t>
        </is>
      </c>
      <c r="G56" t="inlineStr">
        <is>
          <t>provisional</t>
        </is>
      </c>
      <c r="H56" t="inlineStr">
        <is>
          <t>User-referenced Russian challenger included provisionally as a second-tier Eurasian comparator.</t>
        </is>
      </c>
    </row>
    <row r="57">
      <c r="A57" t="inlineStr">
        <is>
          <t>pl-katowice</t>
        </is>
      </c>
      <c r="B57" t="inlineStr">
        <is>
          <t>Katowice</t>
        </is>
      </c>
      <c r="C57" t="inlineStr">
        <is>
          <t>Upper Silesian Metropolitan Association</t>
        </is>
      </c>
      <c r="D57" t="inlineStr">
        <is>
          <t>Poland</t>
        </is>
      </c>
      <c r="E57" t="inlineStr">
        <is>
          <t>Southern/Eastern Europe and Eurasia</t>
        </is>
      </c>
      <c r="F57" t="inlineStr">
        <is>
          <t>secondary</t>
        </is>
      </c>
      <c r="G57" t="inlineStr">
        <is>
          <t>locked</t>
        </is>
      </c>
      <c r="H57" t="inlineStr">
        <is>
          <t>User anchor included for industrial-transition competitiveness and metro-scale livability.</t>
        </is>
      </c>
    </row>
    <row r="58">
      <c r="A58" t="inlineStr">
        <is>
          <t>pl-gdansk</t>
        </is>
      </c>
      <c r="B58" t="inlineStr">
        <is>
          <t>Gdansk</t>
        </is>
      </c>
      <c r="C58" t="inlineStr">
        <is>
          <t>Tricity Metropolitan Area</t>
        </is>
      </c>
      <c r="D58" t="inlineStr">
        <is>
          <t>Poland</t>
        </is>
      </c>
      <c r="E58" t="inlineStr">
        <is>
          <t>Southern/Eastern Europe and Eurasia</t>
        </is>
      </c>
      <c r="F58" t="inlineStr">
        <is>
          <t>secondary</t>
        </is>
      </c>
      <c r="G58" t="inlineStr">
        <is>
          <t>locked</t>
        </is>
      </c>
      <c r="H58" t="inlineStr">
        <is>
          <t>User anchor included for port-city vitality and Baltic urban quality.</t>
        </is>
      </c>
    </row>
    <row r="59">
      <c r="A59" t="inlineStr">
        <is>
          <t>pl-torun</t>
        </is>
      </c>
      <c r="B59" t="inlineStr">
        <is>
          <t>Torun</t>
        </is>
      </c>
      <c r="C59" t="inlineStr">
        <is>
          <t>Torun Urban Area</t>
        </is>
      </c>
      <c r="D59" t="inlineStr">
        <is>
          <t>Poland</t>
        </is>
      </c>
      <c r="E59" t="inlineStr">
        <is>
          <t>Southern/Eastern Europe and Eurasia</t>
        </is>
      </c>
      <c r="F59" t="inlineStr">
        <is>
          <t>secondary</t>
        </is>
      </c>
      <c r="G59" t="inlineStr">
        <is>
          <t>provisional</t>
        </is>
      </c>
      <c r="H59" t="inlineStr">
        <is>
          <t>User-referenced university-city challenger retained provisionally for follow-up data testing.</t>
        </is>
      </c>
    </row>
    <row r="60">
      <c r="A60" t="inlineStr">
        <is>
          <t>sk-bratislava</t>
        </is>
      </c>
      <c r="B60" t="inlineStr">
        <is>
          <t>Bratislava</t>
        </is>
      </c>
      <c r="C60" t="inlineStr">
        <is>
          <t>Bratislava Metropolitan Area</t>
        </is>
      </c>
      <c r="D60" t="inlineStr">
        <is>
          <t>Slovakia</t>
        </is>
      </c>
      <c r="E60" t="inlineStr">
        <is>
          <t>Southern/Eastern Europe and Eurasia</t>
        </is>
      </c>
      <c r="F60" t="inlineStr">
        <is>
          <t>secondary</t>
        </is>
      </c>
      <c r="G60" t="inlineStr">
        <is>
          <t>provisional</t>
        </is>
      </c>
      <c r="H60" t="inlineStr">
        <is>
          <t>Secondary central-European challenger included for affordability, cross-border access, and competitiveness.</t>
        </is>
      </c>
    </row>
    <row r="61">
      <c r="A61" t="inlineStr">
        <is>
          <t>us-chicago</t>
        </is>
      </c>
      <c r="B61" t="inlineStr">
        <is>
          <t>Chicago</t>
        </is>
      </c>
      <c r="C61" t="inlineStr">
        <is>
          <t>Chicago Metropolitan Area</t>
        </is>
      </c>
      <c r="D61" t="inlineStr">
        <is>
          <t>United States</t>
        </is>
      </c>
      <c r="E61" t="inlineStr">
        <is>
          <t>North America</t>
        </is>
      </c>
      <c r="F61" t="inlineStr">
        <is>
          <t>primary</t>
        </is>
      </c>
      <c r="G61" t="inlineStr">
        <is>
          <t>locked</t>
        </is>
      </c>
      <c r="H61" t="inlineStr">
        <is>
          <t>U.S. control city included for scale, connectivity, and relative affordability within the American field.</t>
        </is>
      </c>
    </row>
    <row r="62">
      <c r="A62" t="inlineStr">
        <is>
          <t>mx-mexico-city</t>
        </is>
      </c>
      <c r="B62" t="inlineStr">
        <is>
          <t>Mexico City</t>
        </is>
      </c>
      <c r="C62" t="inlineStr">
        <is>
          <t>Valley of Mexico Metropolitan Area</t>
        </is>
      </c>
      <c r="D62" t="inlineStr">
        <is>
          <t>Mexico</t>
        </is>
      </c>
      <c r="E62" t="inlineStr">
        <is>
          <t>North America</t>
        </is>
      </c>
      <c r="F62" t="inlineStr">
        <is>
          <t>primary</t>
        </is>
      </c>
      <c r="G62" t="inlineStr">
        <is>
          <t>locked</t>
        </is>
      </c>
      <c r="H62" t="inlineStr">
        <is>
          <t>North American megacity benchmark included for urban energy, culture, and affordability tension.</t>
        </is>
      </c>
    </row>
    <row r="63">
      <c r="A63" t="inlineStr">
        <is>
          <t>ca-toronto</t>
        </is>
      </c>
      <c r="B63" t="inlineStr">
        <is>
          <t>Toronto</t>
        </is>
      </c>
      <c r="C63" t="inlineStr">
        <is>
          <t>Greater Toronto Area</t>
        </is>
      </c>
      <c r="D63" t="inlineStr">
        <is>
          <t>Canada</t>
        </is>
      </c>
      <c r="E63" t="inlineStr">
        <is>
          <t>North America</t>
        </is>
      </c>
      <c r="F63" t="inlineStr">
        <is>
          <t>primary</t>
        </is>
      </c>
      <c r="G63" t="inlineStr">
        <is>
          <t>provisional</t>
        </is>
      </c>
      <c r="H63" t="inlineStr">
        <is>
          <t>High-cost North American comparator included to test whether strong services can offset pressure.</t>
        </is>
      </c>
    </row>
    <row r="64">
      <c r="A64" t="inlineStr">
        <is>
          <t>pa-panama-city</t>
        </is>
      </c>
      <c r="B64" t="inlineStr">
        <is>
          <t>Panama City</t>
        </is>
      </c>
      <c r="C64" t="inlineStr">
        <is>
          <t>Panama City Metropolitan Area</t>
        </is>
      </c>
      <c r="D64" t="inlineStr">
        <is>
          <t>Panama</t>
        </is>
      </c>
      <c r="E64" t="inlineStr">
        <is>
          <t>North America</t>
        </is>
      </c>
      <c r="F64" t="inlineStr">
        <is>
          <t>primary</t>
        </is>
      </c>
      <c r="G64" t="inlineStr">
        <is>
          <t>locked</t>
        </is>
      </c>
      <c r="H64" t="inlineStr">
        <is>
          <t>Regional gateway benchmark included for connectivity, investment, and logistics-driven vitality.</t>
        </is>
      </c>
    </row>
    <row r="65">
      <c r="A65" t="inlineStr">
        <is>
          <t>cr-san-jose</t>
        </is>
      </c>
      <c r="B65" t="inlineStr">
        <is>
          <t>San Jose</t>
        </is>
      </c>
      <c r="C65" t="inlineStr">
        <is>
          <t>Greater Metropolitan Area of Costa Rica</t>
        </is>
      </c>
      <c r="D65" t="inlineStr">
        <is>
          <t>Costa Rica</t>
        </is>
      </c>
      <c r="E65" t="inlineStr">
        <is>
          <t>North America</t>
        </is>
      </c>
      <c r="F65" t="inlineStr">
        <is>
          <t>primary</t>
        </is>
      </c>
      <c r="G65" t="inlineStr">
        <is>
          <t>locked</t>
        </is>
      </c>
      <c r="H65" t="inlineStr">
        <is>
          <t>Smaller North American capital benchmark included for education, healthcare, and relative stability.</t>
        </is>
      </c>
    </row>
    <row r="66">
      <c r="A66" t="inlineStr">
        <is>
          <t>us-pittsburgh</t>
        </is>
      </c>
      <c r="B66" t="inlineStr">
        <is>
          <t>Pittsburgh</t>
        </is>
      </c>
      <c r="C66" t="inlineStr">
        <is>
          <t>Pittsburgh Metropolitan Area</t>
        </is>
      </c>
      <c r="D66" t="inlineStr">
        <is>
          <t>United States</t>
        </is>
      </c>
      <c r="E66" t="inlineStr">
        <is>
          <t>North America</t>
        </is>
      </c>
      <c r="F66" t="inlineStr">
        <is>
          <t>secondary</t>
        </is>
      </c>
      <c r="G66" t="inlineStr">
        <is>
          <t>locked</t>
        </is>
      </c>
      <c r="H66" t="inlineStr">
        <is>
          <t>Secondary U.S. challenger included for education, healthcare, and value relative to coastal hubs.</t>
        </is>
      </c>
    </row>
    <row r="67">
      <c r="A67" t="inlineStr">
        <is>
          <t>ca-montreal</t>
        </is>
      </c>
      <c r="B67" t="inlineStr">
        <is>
          <t>Montreal</t>
        </is>
      </c>
      <c r="C67" t="inlineStr">
        <is>
          <t>Montreal Metropolitan Area</t>
        </is>
      </c>
      <c r="D67" t="inlineStr">
        <is>
          <t>Canada</t>
        </is>
      </c>
      <c r="E67" t="inlineStr">
        <is>
          <t>North America</t>
        </is>
      </c>
      <c r="F67" t="inlineStr">
        <is>
          <t>secondary</t>
        </is>
      </c>
      <c r="G67" t="inlineStr">
        <is>
          <t>locked</t>
        </is>
      </c>
      <c r="H67" t="inlineStr">
        <is>
          <t>Secondary Canadian benchmark with strong culture, transit, and urban texture.</t>
        </is>
      </c>
    </row>
    <row r="68">
      <c r="A68" t="inlineStr">
        <is>
          <t>mx-guadalajara</t>
        </is>
      </c>
      <c r="B68" t="inlineStr">
        <is>
          <t>Guadalajara</t>
        </is>
      </c>
      <c r="C68" t="inlineStr">
        <is>
          <t>Guadalajara Metropolitan Area</t>
        </is>
      </c>
      <c r="D68" t="inlineStr">
        <is>
          <t>Mexico</t>
        </is>
      </c>
      <c r="E68" t="inlineStr">
        <is>
          <t>North America</t>
        </is>
      </c>
      <c r="F68" t="inlineStr">
        <is>
          <t>secondary</t>
        </is>
      </c>
      <c r="G68" t="inlineStr">
        <is>
          <t>locked</t>
        </is>
      </c>
      <c r="H68" t="inlineStr">
        <is>
          <t>Secondary Mexican challenger for entrepreneurship, liveability, and cost competitiveness.</t>
        </is>
      </c>
    </row>
    <row r="69">
      <c r="A69" t="inlineStr">
        <is>
          <t>pr-san-juan</t>
        </is>
      </c>
      <c r="B69" t="inlineStr">
        <is>
          <t>San Juan</t>
        </is>
      </c>
      <c r="C69" t="inlineStr">
        <is>
          <t>San Juan Metropolitan Area</t>
        </is>
      </c>
      <c r="D69" t="inlineStr">
        <is>
          <t>Puerto Rico</t>
        </is>
      </c>
      <c r="E69" t="inlineStr">
        <is>
          <t>North America</t>
        </is>
      </c>
      <c r="F69" t="inlineStr">
        <is>
          <t>secondary</t>
        </is>
      </c>
      <c r="G69" t="inlineStr">
        <is>
          <t>provisional</t>
        </is>
      </c>
      <c r="H69" t="inlineStr">
        <is>
          <t>Caribbean urban challenger included provisionally for climate, connectivity, and services testing.</t>
        </is>
      </c>
    </row>
    <row r="70">
      <c r="A70" t="inlineStr">
        <is>
          <t>mx-merida</t>
        </is>
      </c>
      <c r="B70" t="inlineStr">
        <is>
          <t>Merida</t>
        </is>
      </c>
      <c r="C70" t="inlineStr">
        <is>
          <t>Merida Metropolitan Area</t>
        </is>
      </c>
      <c r="D70" t="inlineStr">
        <is>
          <t>Mexico</t>
        </is>
      </c>
      <c r="E70" t="inlineStr">
        <is>
          <t>North America</t>
        </is>
      </c>
      <c r="F70" t="inlineStr">
        <is>
          <t>secondary</t>
        </is>
      </c>
      <c r="G70" t="inlineStr">
        <is>
          <t>provisional</t>
        </is>
      </c>
      <c r="H70" t="inlineStr">
        <is>
          <t>Lower-pressure Mexican challenger included provisionally for safety and lifestyle contrast.</t>
        </is>
      </c>
    </row>
    <row r="71">
      <c r="A71" t="inlineStr">
        <is>
          <t>br-sao-paulo</t>
        </is>
      </c>
      <c r="B71" t="inlineStr">
        <is>
          <t>Sao Paulo</t>
        </is>
      </c>
      <c r="C71" t="inlineStr">
        <is>
          <t>Sao Paulo Metropolitan Area</t>
        </is>
      </c>
      <c r="D71" t="inlineStr">
        <is>
          <t>Brazil</t>
        </is>
      </c>
      <c r="E71" t="inlineStr">
        <is>
          <t>Latin America</t>
        </is>
      </c>
      <c r="F71" t="inlineStr">
        <is>
          <t>primary</t>
        </is>
      </c>
      <c r="G71" t="inlineStr">
        <is>
          <t>locked</t>
        </is>
      </c>
      <c r="H71" t="inlineStr">
        <is>
          <t>User anchor and Latin American scale benchmark for competitiveness and opportunity.</t>
        </is>
      </c>
    </row>
    <row r="72">
      <c r="A72" t="inlineStr">
        <is>
          <t>ar-buenos-aires</t>
        </is>
      </c>
      <c r="B72" t="inlineStr">
        <is>
          <t>Buenos Aires</t>
        </is>
      </c>
      <c r="C72" t="inlineStr">
        <is>
          <t>Greater Buenos Aires</t>
        </is>
      </c>
      <c r="D72" t="inlineStr">
        <is>
          <t>Argentina</t>
        </is>
      </c>
      <c r="E72" t="inlineStr">
        <is>
          <t>Latin America</t>
        </is>
      </c>
      <c r="F72" t="inlineStr">
        <is>
          <t>primary</t>
        </is>
      </c>
      <c r="G72" t="inlineStr">
        <is>
          <t>locked</t>
        </is>
      </c>
      <c r="H72" t="inlineStr">
        <is>
          <t>Primary benchmark for culture, human capital, and urban texture across Latin America.</t>
        </is>
      </c>
    </row>
    <row r="73">
      <c r="A73" t="inlineStr">
        <is>
          <t>cl-santiago</t>
        </is>
      </c>
      <c r="B73" t="inlineStr">
        <is>
          <t>Santiago</t>
        </is>
      </c>
      <c r="C73" t="inlineStr">
        <is>
          <t>Greater Santiago</t>
        </is>
      </c>
      <c r="D73" t="inlineStr">
        <is>
          <t>Chile</t>
        </is>
      </c>
      <c r="E73" t="inlineStr">
        <is>
          <t>Latin America</t>
        </is>
      </c>
      <c r="F73" t="inlineStr">
        <is>
          <t>primary</t>
        </is>
      </c>
      <c r="G73" t="inlineStr">
        <is>
          <t>locked</t>
        </is>
      </c>
      <c r="H73" t="inlineStr">
        <is>
          <t>Regional systems-quality benchmark included to compare efficiency against cost and social strain.</t>
        </is>
      </c>
    </row>
    <row r="74">
      <c r="A74" t="inlineStr">
        <is>
          <t>co-bogota</t>
        </is>
      </c>
      <c r="B74" t="inlineStr">
        <is>
          <t>Bogota</t>
        </is>
      </c>
      <c r="C74" t="inlineStr">
        <is>
          <t>Bogota Metropolitan Area</t>
        </is>
      </c>
      <c r="D74" t="inlineStr">
        <is>
          <t>Colombia</t>
        </is>
      </c>
      <c r="E74" t="inlineStr">
        <is>
          <t>Latin America</t>
        </is>
      </c>
      <c r="F74" t="inlineStr">
        <is>
          <t>primary</t>
        </is>
      </c>
      <c r="G74" t="inlineStr">
        <is>
          <t>locked</t>
        </is>
      </c>
      <c r="H74" t="inlineStr">
        <is>
          <t>Primary comparator for scale, transit reform, education, and competitiveness.</t>
        </is>
      </c>
    </row>
    <row r="75">
      <c r="A75" t="inlineStr">
        <is>
          <t>pe-lima</t>
        </is>
      </c>
      <c r="B75" t="inlineStr">
        <is>
          <t>Lima</t>
        </is>
      </c>
      <c r="C75" t="inlineStr">
        <is>
          <t>Lima Metropolitan Area</t>
        </is>
      </c>
      <c r="D75" t="inlineStr">
        <is>
          <t>Peru</t>
        </is>
      </c>
      <c r="E75" t="inlineStr">
        <is>
          <t>Latin America</t>
        </is>
      </c>
      <c r="F75" t="inlineStr">
        <is>
          <t>primary</t>
        </is>
      </c>
      <c r="G75" t="inlineStr">
        <is>
          <t>provisional</t>
        </is>
      </c>
      <c r="H75" t="inlineStr">
        <is>
          <t>Provisional Pacific-capital comparator included for scale and coastal livability tradeoffs.</t>
        </is>
      </c>
    </row>
    <row r="76">
      <c r="A76" t="inlineStr">
        <is>
          <t>br-curitiba</t>
        </is>
      </c>
      <c r="B76" t="inlineStr">
        <is>
          <t>Curitiba</t>
        </is>
      </c>
      <c r="C76" t="inlineStr">
        <is>
          <t>Curitiba Metropolitan Area</t>
        </is>
      </c>
      <c r="D76" t="inlineStr">
        <is>
          <t>Brazil</t>
        </is>
      </c>
      <c r="E76" t="inlineStr">
        <is>
          <t>Latin America</t>
        </is>
      </c>
      <c r="F76" t="inlineStr">
        <is>
          <t>secondary</t>
        </is>
      </c>
      <c r="G76" t="inlineStr">
        <is>
          <t>locked</t>
        </is>
      </c>
      <c r="H76" t="inlineStr">
        <is>
          <t>Secondary benchmark for planning reputation, mobility, and relative affordability.</t>
        </is>
      </c>
    </row>
    <row r="77">
      <c r="A77" t="inlineStr">
        <is>
          <t>co-medellin</t>
        </is>
      </c>
      <c r="B77" t="inlineStr">
        <is>
          <t>Medellin</t>
        </is>
      </c>
      <c r="C77" t="inlineStr">
        <is>
          <t>Aburra Valley Metropolitan Area</t>
        </is>
      </c>
      <c r="D77" t="inlineStr">
        <is>
          <t>Colombia</t>
        </is>
      </c>
      <c r="E77" t="inlineStr">
        <is>
          <t>Latin America</t>
        </is>
      </c>
      <c r="F77" t="inlineStr">
        <is>
          <t>secondary</t>
        </is>
      </c>
      <c r="G77" t="inlineStr">
        <is>
          <t>locked</t>
        </is>
      </c>
      <c r="H77" t="inlineStr">
        <is>
          <t>Secondary challenger for entrepreneurship, hillside transit, and urban transformation.</t>
        </is>
      </c>
    </row>
    <row r="78">
      <c r="A78" t="inlineStr">
        <is>
          <t>uy-montevideo</t>
        </is>
      </c>
      <c r="B78" t="inlineStr">
        <is>
          <t>Montevideo</t>
        </is>
      </c>
      <c r="C78" t="inlineStr">
        <is>
          <t>Montevideo Metropolitan Area</t>
        </is>
      </c>
      <c r="D78" t="inlineStr">
        <is>
          <t>Uruguay</t>
        </is>
      </c>
      <c r="E78" t="inlineStr">
        <is>
          <t>Latin America</t>
        </is>
      </c>
      <c r="F78" t="inlineStr">
        <is>
          <t>secondary</t>
        </is>
      </c>
      <c r="G78" t="inlineStr">
        <is>
          <t>locked</t>
        </is>
      </c>
      <c r="H78" t="inlineStr">
        <is>
          <t>Lower-pressure South American benchmark with strong civic and social indicators.</t>
        </is>
      </c>
    </row>
    <row r="79">
      <c r="A79" t="inlineStr">
        <is>
          <t>ar-cordoba</t>
        </is>
      </c>
      <c r="B79" t="inlineStr">
        <is>
          <t>Cordoba</t>
        </is>
      </c>
      <c r="C79" t="inlineStr">
        <is>
          <t>Cordoba Metropolitan Area</t>
        </is>
      </c>
      <c r="D79" t="inlineStr">
        <is>
          <t>Argentina</t>
        </is>
      </c>
      <c r="E79" t="inlineStr">
        <is>
          <t>Latin America</t>
        </is>
      </c>
      <c r="F79" t="inlineStr">
        <is>
          <t>secondary</t>
        </is>
      </c>
      <c r="G79" t="inlineStr">
        <is>
          <t>provisional</t>
        </is>
      </c>
      <c r="H79" t="inlineStr">
        <is>
          <t>Secondary Argentine challenger included provisionally for education, cost, and regional depth.</t>
        </is>
      </c>
    </row>
    <row r="80">
      <c r="A80" t="inlineStr">
        <is>
          <t>cl-valparaiso</t>
        </is>
      </c>
      <c r="B80" t="inlineStr">
        <is>
          <t>Valparaiso</t>
        </is>
      </c>
      <c r="C80" t="inlineStr">
        <is>
          <t>Greater Valparaiso</t>
        </is>
      </c>
      <c r="D80" t="inlineStr">
        <is>
          <t>Chile</t>
        </is>
      </c>
      <c r="E80" t="inlineStr">
        <is>
          <t>Latin America</t>
        </is>
      </c>
      <c r="F80" t="inlineStr">
        <is>
          <t>secondary</t>
        </is>
      </c>
      <c r="G80" t="inlineStr">
        <is>
          <t>provisional</t>
        </is>
      </c>
      <c r="H80" t="inlineStr">
        <is>
          <t>Port-city challenger included provisionally for culture and coastal public-life potential.</t>
        </is>
      </c>
    </row>
    <row r="81">
      <c r="A81" t="inlineStr">
        <is>
          <t>ae-dubai</t>
        </is>
      </c>
      <c r="B81" t="inlineStr">
        <is>
          <t>Dubai</t>
        </is>
      </c>
      <c r="C81" t="inlineStr">
        <is>
          <t>Dubai Metropolitan Area</t>
        </is>
      </c>
      <c r="D81" t="inlineStr">
        <is>
          <t>United Arab Emirates</t>
        </is>
      </c>
      <c r="E81" t="inlineStr">
        <is>
          <t>Middle East</t>
        </is>
      </c>
      <c r="F81" t="inlineStr">
        <is>
          <t>primary</t>
        </is>
      </c>
      <c r="G81" t="inlineStr">
        <is>
          <t>locked</t>
        </is>
      </c>
      <c r="H81" t="inlineStr">
        <is>
          <t>Regional convenience and connectivity benchmark included to test cost and social texture tradeoffs.</t>
        </is>
      </c>
    </row>
    <row r="82">
      <c r="A82" t="inlineStr">
        <is>
          <t>ae-abu-dhabi</t>
        </is>
      </c>
      <c r="B82" t="inlineStr">
        <is>
          <t>Abu Dhabi</t>
        </is>
      </c>
      <c r="C82" t="inlineStr">
        <is>
          <t>Abu Dhabi Metropolitan Area</t>
        </is>
      </c>
      <c r="D82" t="inlineStr">
        <is>
          <t>United Arab Emirates</t>
        </is>
      </c>
      <c r="E82" t="inlineStr">
        <is>
          <t>Middle East</t>
        </is>
      </c>
      <c r="F82" t="inlineStr">
        <is>
          <t>primary</t>
        </is>
      </c>
      <c r="G82" t="inlineStr">
        <is>
          <t>locked</t>
        </is>
      </c>
      <c r="H82" t="inlineStr">
        <is>
          <t>Systems-quality comparator with strong state capacity and high service competence.</t>
        </is>
      </c>
    </row>
    <row r="83">
      <c r="A83" t="inlineStr">
        <is>
          <t>qa-doha</t>
        </is>
      </c>
      <c r="B83" t="inlineStr">
        <is>
          <t>Doha</t>
        </is>
      </c>
      <c r="C83" t="inlineStr">
        <is>
          <t>Doha Metropolitan Area</t>
        </is>
      </c>
      <c r="D83" t="inlineStr">
        <is>
          <t>Qatar</t>
        </is>
      </c>
      <c r="E83" t="inlineStr">
        <is>
          <t>Middle East</t>
        </is>
      </c>
      <c r="F83" t="inlineStr">
        <is>
          <t>primary</t>
        </is>
      </c>
      <c r="G83" t="inlineStr">
        <is>
          <t>locked</t>
        </is>
      </c>
      <c r="H83" t="inlineStr">
        <is>
          <t>High-capacity Gulf benchmark included for infrastructure, safety, and cost testing.</t>
        </is>
      </c>
    </row>
    <row r="84">
      <c r="A84" t="inlineStr">
        <is>
          <t>sa-riyadh</t>
        </is>
      </c>
      <c r="B84" t="inlineStr">
        <is>
          <t>Riyadh</t>
        </is>
      </c>
      <c r="C84" t="inlineStr">
        <is>
          <t>Riyadh Metropolitan Area</t>
        </is>
      </c>
      <c r="D84" t="inlineStr">
        <is>
          <t>Saudi Arabia</t>
        </is>
      </c>
      <c r="E84" t="inlineStr">
        <is>
          <t>Middle East</t>
        </is>
      </c>
      <c r="F84" t="inlineStr">
        <is>
          <t>primary</t>
        </is>
      </c>
      <c r="G84" t="inlineStr">
        <is>
          <t>provisional</t>
        </is>
      </c>
      <c r="H84" t="inlineStr">
        <is>
          <t>Provisional primary comparator included for scale, investment, and administrative reform testing.</t>
        </is>
      </c>
    </row>
    <row r="85">
      <c r="A85" t="inlineStr">
        <is>
          <t>il-tel-aviv</t>
        </is>
      </c>
      <c r="B85" t="inlineStr">
        <is>
          <t>Tel Aviv</t>
        </is>
      </c>
      <c r="C85" t="inlineStr">
        <is>
          <t>Tel Aviv Metropolitan Area</t>
        </is>
      </c>
      <c r="D85" t="inlineStr">
        <is>
          <t>Israel</t>
        </is>
      </c>
      <c r="E85" t="inlineStr">
        <is>
          <t>Middle East</t>
        </is>
      </c>
      <c r="F85" t="inlineStr">
        <is>
          <t>primary</t>
        </is>
      </c>
      <c r="G85" t="inlineStr">
        <is>
          <t>provisional</t>
        </is>
      </c>
      <c r="H85" t="inlineStr">
        <is>
          <t>Provisional innovation benchmark included for startup intensity, openness, and high cost.</t>
        </is>
      </c>
    </row>
    <row r="86">
      <c r="A86" t="inlineStr">
        <is>
          <t>om-muscat</t>
        </is>
      </c>
      <c r="B86" t="inlineStr">
        <is>
          <t>Muscat</t>
        </is>
      </c>
      <c r="C86" t="inlineStr">
        <is>
          <t>Muscat Metropolitan Area</t>
        </is>
      </c>
      <c r="D86" t="inlineStr">
        <is>
          <t>Oman</t>
        </is>
      </c>
      <c r="E86" t="inlineStr">
        <is>
          <t>Middle East</t>
        </is>
      </c>
      <c r="F86" t="inlineStr">
        <is>
          <t>secondary</t>
        </is>
      </c>
      <c r="G86" t="inlineStr">
        <is>
          <t>locked</t>
        </is>
      </c>
      <c r="H86" t="inlineStr">
        <is>
          <t>Lower-pressure Gulf challenger with strong everyday service quality potential.</t>
        </is>
      </c>
    </row>
    <row r="87">
      <c r="A87" t="inlineStr">
        <is>
          <t>bh-manama</t>
        </is>
      </c>
      <c r="B87" t="inlineStr">
        <is>
          <t>Manama</t>
        </is>
      </c>
      <c r="C87" t="inlineStr">
        <is>
          <t>Greater Manama</t>
        </is>
      </c>
      <c r="D87" t="inlineStr">
        <is>
          <t>Bahrain</t>
        </is>
      </c>
      <c r="E87" t="inlineStr">
        <is>
          <t>Middle East</t>
        </is>
      </c>
      <c r="F87" t="inlineStr">
        <is>
          <t>secondary</t>
        </is>
      </c>
      <c r="G87" t="inlineStr">
        <is>
          <t>locked</t>
        </is>
      </c>
      <c r="H87" t="inlineStr">
        <is>
          <t>Secondary Gulf comparator for openness, compactness, and service-led economy.</t>
        </is>
      </c>
    </row>
    <row r="88">
      <c r="A88" t="inlineStr">
        <is>
          <t>sa-jeddah</t>
        </is>
      </c>
      <c r="B88" t="inlineStr">
        <is>
          <t>Jeddah</t>
        </is>
      </c>
      <c r="C88" t="inlineStr">
        <is>
          <t>Jeddah Metropolitan Area</t>
        </is>
      </c>
      <c r="D88" t="inlineStr">
        <is>
          <t>Saudi Arabia</t>
        </is>
      </c>
      <c r="E88" t="inlineStr">
        <is>
          <t>Middle East</t>
        </is>
      </c>
      <c r="F88" t="inlineStr">
        <is>
          <t>secondary</t>
        </is>
      </c>
      <c r="G88" t="inlineStr">
        <is>
          <t>locked</t>
        </is>
      </c>
      <c r="H88" t="inlineStr">
        <is>
          <t>Coastal Saudi challenger included for commerce, lifestyle, and second-city comparison.</t>
        </is>
      </c>
    </row>
    <row r="89">
      <c r="A89" t="inlineStr">
        <is>
          <t>kw-kuwait-city</t>
        </is>
      </c>
      <c r="B89" t="inlineStr">
        <is>
          <t>Kuwait City</t>
        </is>
      </c>
      <c r="C89" t="inlineStr">
        <is>
          <t>Kuwait Metropolitan Area</t>
        </is>
      </c>
      <c r="D89" t="inlineStr">
        <is>
          <t>Kuwait</t>
        </is>
      </c>
      <c r="E89" t="inlineStr">
        <is>
          <t>Middle East</t>
        </is>
      </c>
      <c r="F89" t="inlineStr">
        <is>
          <t>secondary</t>
        </is>
      </c>
      <c r="G89" t="inlineStr">
        <is>
          <t>locked</t>
        </is>
      </c>
      <c r="H89" t="inlineStr">
        <is>
          <t>Compact Gulf benchmark included for service quality and economic strength.</t>
        </is>
      </c>
    </row>
    <row r="90">
      <c r="A90" t="inlineStr">
        <is>
          <t>jo-amman</t>
        </is>
      </c>
      <c r="B90" t="inlineStr">
        <is>
          <t>Amman</t>
        </is>
      </c>
      <c r="C90" t="inlineStr">
        <is>
          <t>Greater Amman</t>
        </is>
      </c>
      <c r="D90" t="inlineStr">
        <is>
          <t>Jordan</t>
        </is>
      </c>
      <c r="E90" t="inlineStr">
        <is>
          <t>Middle East</t>
        </is>
      </c>
      <c r="F90" t="inlineStr">
        <is>
          <t>secondary</t>
        </is>
      </c>
      <c r="G90" t="inlineStr">
        <is>
          <t>provisional</t>
        </is>
      </c>
      <c r="H90" t="inlineStr">
        <is>
          <t>Provisional Levantine challenger included for education, services, and regional resilience.</t>
        </is>
      </c>
    </row>
    <row r="91">
      <c r="A91" t="inlineStr">
        <is>
          <t>za-cape-town</t>
        </is>
      </c>
      <c r="B91" t="inlineStr">
        <is>
          <t>Cape Town</t>
        </is>
      </c>
      <c r="C91" t="inlineStr">
        <is>
          <t>Cape Town Metropolitan Area</t>
        </is>
      </c>
      <c r="D91" t="inlineStr">
        <is>
          <t>South Africa</t>
        </is>
      </c>
      <c r="E91" t="inlineStr">
        <is>
          <t>Africa</t>
        </is>
      </c>
      <c r="F91" t="inlineStr">
        <is>
          <t>primary</t>
        </is>
      </c>
      <c r="G91" t="inlineStr">
        <is>
          <t>locked</t>
        </is>
      </c>
      <c r="H91" t="inlineStr">
        <is>
          <t>African benchmark for environment, urban form, and inequality tradeoffs.</t>
        </is>
      </c>
    </row>
    <row r="92">
      <c r="A92" t="inlineStr">
        <is>
          <t>za-johannesburg</t>
        </is>
      </c>
      <c r="B92" t="inlineStr">
        <is>
          <t>Johannesburg</t>
        </is>
      </c>
      <c r="C92" t="inlineStr">
        <is>
          <t>Johannesburg Metropolitan Area</t>
        </is>
      </c>
      <c r="D92" t="inlineStr">
        <is>
          <t>South Africa</t>
        </is>
      </c>
      <c r="E92" t="inlineStr">
        <is>
          <t>Africa</t>
        </is>
      </c>
      <c r="F92" t="inlineStr">
        <is>
          <t>primary</t>
        </is>
      </c>
      <c r="G92" t="inlineStr">
        <is>
          <t>provisional</t>
        </is>
      </c>
      <c r="H92" t="inlineStr">
        <is>
          <t>Provisional large-metro comparator included for competitiveness and safety-pressure contrasts.</t>
        </is>
      </c>
    </row>
    <row r="93">
      <c r="A93" t="inlineStr">
        <is>
          <t>ke-nairobi</t>
        </is>
      </c>
      <c r="B93" t="inlineStr">
        <is>
          <t>Nairobi</t>
        </is>
      </c>
      <c r="C93" t="inlineStr">
        <is>
          <t>Nairobi Metropolitan Area</t>
        </is>
      </c>
      <c r="D93" t="inlineStr">
        <is>
          <t>Kenya</t>
        </is>
      </c>
      <c r="E93" t="inlineStr">
        <is>
          <t>Africa</t>
        </is>
      </c>
      <c r="F93" t="inlineStr">
        <is>
          <t>primary</t>
        </is>
      </c>
      <c r="G93" t="inlineStr">
        <is>
          <t>locked</t>
        </is>
      </c>
      <c r="H93" t="inlineStr">
        <is>
          <t>Primary East African benchmark for entrepreneurship, services, and regional gravity.</t>
        </is>
      </c>
    </row>
    <row r="94">
      <c r="A94" t="inlineStr">
        <is>
          <t>rw-kigali</t>
        </is>
      </c>
      <c r="B94" t="inlineStr">
        <is>
          <t>Kigali</t>
        </is>
      </c>
      <c r="C94" t="inlineStr">
        <is>
          <t>Kigali Urban Area</t>
        </is>
      </c>
      <c r="D94" t="inlineStr">
        <is>
          <t>Rwanda</t>
        </is>
      </c>
      <c r="E94" t="inlineStr">
        <is>
          <t>Africa</t>
        </is>
      </c>
      <c r="F94" t="inlineStr">
        <is>
          <t>primary</t>
        </is>
      </c>
      <c r="G94" t="inlineStr">
        <is>
          <t>locked</t>
        </is>
      </c>
      <c r="H94" t="inlineStr">
        <is>
          <t>Primary challenger included for cleanliness, public order, and service reliability.</t>
        </is>
      </c>
    </row>
    <row r="95">
      <c r="A95" t="inlineStr">
        <is>
          <t>ma-casablanca</t>
        </is>
      </c>
      <c r="B95" t="inlineStr">
        <is>
          <t>Casablanca</t>
        </is>
      </c>
      <c r="C95" t="inlineStr">
        <is>
          <t>Casablanca Metropolitan Area</t>
        </is>
      </c>
      <c r="D95" t="inlineStr">
        <is>
          <t>Morocco</t>
        </is>
      </c>
      <c r="E95" t="inlineStr">
        <is>
          <t>Africa</t>
        </is>
      </c>
      <c r="F95" t="inlineStr">
        <is>
          <t>primary</t>
        </is>
      </c>
      <c r="G95" t="inlineStr">
        <is>
          <t>provisional</t>
        </is>
      </c>
      <c r="H95" t="inlineStr">
        <is>
          <t>Provisional north-African benchmark for scale, port economy, and urban vitality.</t>
        </is>
      </c>
    </row>
    <row r="96">
      <c r="A96" t="inlineStr">
        <is>
          <t>mu-port-louis</t>
        </is>
      </c>
      <c r="B96" t="inlineStr">
        <is>
          <t>Port Louis</t>
        </is>
      </c>
      <c r="C96" t="inlineStr">
        <is>
          <t>Port Louis Urban Area</t>
        </is>
      </c>
      <c r="D96" t="inlineStr">
        <is>
          <t>Mauritius</t>
        </is>
      </c>
      <c r="E96" t="inlineStr">
        <is>
          <t>Africa</t>
        </is>
      </c>
      <c r="F96" t="inlineStr">
        <is>
          <t>secondary</t>
        </is>
      </c>
      <c r="G96" t="inlineStr">
        <is>
          <t>locked</t>
        </is>
      </c>
      <c r="H96" t="inlineStr">
        <is>
          <t>Island-city challenger included for service quality, openness, and governance stability.</t>
        </is>
      </c>
    </row>
    <row r="97">
      <c r="A97" t="inlineStr">
        <is>
          <t>bw-gaborone</t>
        </is>
      </c>
      <c r="B97" t="inlineStr">
        <is>
          <t>Gaborone</t>
        </is>
      </c>
      <c r="C97" t="inlineStr">
        <is>
          <t>Greater Gaborone</t>
        </is>
      </c>
      <c r="D97" t="inlineStr">
        <is>
          <t>Botswana</t>
        </is>
      </c>
      <c r="E97" t="inlineStr">
        <is>
          <t>Africa</t>
        </is>
      </c>
      <c r="F97" t="inlineStr">
        <is>
          <t>secondary</t>
        </is>
      </c>
      <c r="G97" t="inlineStr">
        <is>
          <t>locked</t>
        </is>
      </c>
      <c r="H97" t="inlineStr">
        <is>
          <t>Lower-pressure southern-African challenger with cleaner administrative profile.</t>
        </is>
      </c>
    </row>
    <row r="98">
      <c r="A98" t="inlineStr">
        <is>
          <t>na-windhoek</t>
        </is>
      </c>
      <c r="B98" t="inlineStr">
        <is>
          <t>Windhoek</t>
        </is>
      </c>
      <c r="C98" t="inlineStr">
        <is>
          <t>Windhoek Urban Area</t>
        </is>
      </c>
      <c r="D98" t="inlineStr">
        <is>
          <t>Namibia</t>
        </is>
      </c>
      <c r="E98" t="inlineStr">
        <is>
          <t>Africa</t>
        </is>
      </c>
      <c r="F98" t="inlineStr">
        <is>
          <t>secondary</t>
        </is>
      </c>
      <c r="G98" t="inlineStr">
        <is>
          <t>locked</t>
        </is>
      </c>
      <c r="H98" t="inlineStr">
        <is>
          <t>Secondary challenger included for manageable scale and baseline service competence.</t>
        </is>
      </c>
    </row>
    <row r="99">
      <c r="A99" t="inlineStr">
        <is>
          <t>gh-accra</t>
        </is>
      </c>
      <c r="B99" t="inlineStr">
        <is>
          <t>Accra</t>
        </is>
      </c>
      <c r="C99" t="inlineStr">
        <is>
          <t>Greater Accra Metropolitan Area</t>
        </is>
      </c>
      <c r="D99" t="inlineStr">
        <is>
          <t>Ghana</t>
        </is>
      </c>
      <c r="E99" t="inlineStr">
        <is>
          <t>Africa</t>
        </is>
      </c>
      <c r="F99" t="inlineStr">
        <is>
          <t>secondary</t>
        </is>
      </c>
      <c r="G99" t="inlineStr">
        <is>
          <t>locked</t>
        </is>
      </c>
      <c r="H99" t="inlineStr">
        <is>
          <t>West African benchmark for talent, services, and regional connectivity.</t>
        </is>
      </c>
    </row>
    <row r="100">
      <c r="A100" t="inlineStr">
        <is>
          <t>sn-dakar</t>
        </is>
      </c>
      <c r="B100" t="inlineStr">
        <is>
          <t>Dakar</t>
        </is>
      </c>
      <c r="C100" t="inlineStr">
        <is>
          <t>Dakar Metropolitan Area</t>
        </is>
      </c>
      <c r="D100" t="inlineStr">
        <is>
          <t>Senegal</t>
        </is>
      </c>
      <c r="E100" t="inlineStr">
        <is>
          <t>Africa</t>
        </is>
      </c>
      <c r="F100" t="inlineStr">
        <is>
          <t>secondary</t>
        </is>
      </c>
      <c r="G100" t="inlineStr">
        <is>
          <t>provisional</t>
        </is>
      </c>
      <c r="H100" t="inlineStr">
        <is>
          <t>Provisional francophone west-African challenger with cultural and regional pull.</t>
        </is>
      </c>
    </row>
    <row r="101">
      <c r="A101" t="inlineStr">
        <is>
          <t>nz-auckland</t>
        </is>
      </c>
      <c r="B101" t="inlineStr">
        <is>
          <t>Auckland</t>
        </is>
      </c>
      <c r="C101" t="inlineStr">
        <is>
          <t>Auckland Metropolitan Area</t>
        </is>
      </c>
      <c r="D101" t="inlineStr">
        <is>
          <t>New Zealand</t>
        </is>
      </c>
      <c r="E101" t="inlineStr">
        <is>
          <t>Oceania</t>
        </is>
      </c>
      <c r="F101" t="inlineStr">
        <is>
          <t>primary</t>
        </is>
      </c>
      <c r="G101" t="inlineStr">
        <is>
          <t>locked</t>
        </is>
      </c>
      <c r="H101" t="inlineStr">
        <is>
          <t>Primary Oceanian benchmark for human-capital quality, openness, and cost pressure.</t>
        </is>
      </c>
    </row>
    <row r="102">
      <c r="A102" t="inlineStr">
        <is>
          <t>au-sydney</t>
        </is>
      </c>
      <c r="B102" t="inlineStr">
        <is>
          <t>Sydney</t>
        </is>
      </c>
      <c r="C102" t="inlineStr">
        <is>
          <t>Greater Sydney</t>
        </is>
      </c>
      <c r="D102" t="inlineStr">
        <is>
          <t>Australia</t>
        </is>
      </c>
      <c r="E102" t="inlineStr">
        <is>
          <t>Oceania</t>
        </is>
      </c>
      <c r="F102" t="inlineStr">
        <is>
          <t>primary</t>
        </is>
      </c>
      <c r="G102" t="inlineStr">
        <is>
          <t>provisional</t>
        </is>
      </c>
      <c r="H102" t="inlineStr">
        <is>
          <t>Global city control included so SLIC can test whether systems quality survives extreme cost pressure.</t>
        </is>
      </c>
    </row>
    <row r="103">
      <c r="A103" t="inlineStr">
        <is>
          <t>au-melbourne</t>
        </is>
      </c>
      <c r="B103" t="inlineStr">
        <is>
          <t>Melbourne</t>
        </is>
      </c>
      <c r="C103" t="inlineStr">
        <is>
          <t>Greater Melbourne</t>
        </is>
      </c>
      <c r="D103" t="inlineStr">
        <is>
          <t>Australia</t>
        </is>
      </c>
      <c r="E103" t="inlineStr">
        <is>
          <t>Oceania</t>
        </is>
      </c>
      <c r="F103" t="inlineStr">
        <is>
          <t>primary</t>
        </is>
      </c>
      <c r="G103" t="inlineStr">
        <is>
          <t>provisional</t>
        </is>
      </c>
      <c r="H103" t="inlineStr">
        <is>
          <t>Prestige benchmark included to compare mainstream rankings against SLIC's pressure logic.</t>
        </is>
      </c>
    </row>
    <row r="104">
      <c r="A104" t="inlineStr">
        <is>
          <t>au-brisbane</t>
        </is>
      </c>
      <c r="B104" t="inlineStr">
        <is>
          <t>Brisbane</t>
        </is>
      </c>
      <c r="C104" t="inlineStr">
        <is>
          <t>Greater Brisbane</t>
        </is>
      </c>
      <c r="D104" t="inlineStr">
        <is>
          <t>Australia</t>
        </is>
      </c>
      <c r="E104" t="inlineStr">
        <is>
          <t>Oceania</t>
        </is>
      </c>
      <c r="F104" t="inlineStr">
        <is>
          <t>primary</t>
        </is>
      </c>
      <c r="G104" t="inlineStr">
        <is>
          <t>locked</t>
        </is>
      </c>
      <c r="H104" t="inlineStr">
        <is>
          <t>Primary Australian challenger with lower cost pressure than Sydney and Melbourne.</t>
        </is>
      </c>
    </row>
    <row r="105">
      <c r="A105" t="inlineStr">
        <is>
          <t>nz-wellington</t>
        </is>
      </c>
      <c r="B105" t="inlineStr">
        <is>
          <t>Wellington</t>
        </is>
      </c>
      <c r="C105" t="inlineStr">
        <is>
          <t>Wellington Metropolitan Area</t>
        </is>
      </c>
      <c r="D105" t="inlineStr">
        <is>
          <t>New Zealand</t>
        </is>
      </c>
      <c r="E105" t="inlineStr">
        <is>
          <t>Oceania</t>
        </is>
      </c>
      <c r="F105" t="inlineStr">
        <is>
          <t>primary</t>
        </is>
      </c>
      <c r="G105" t="inlineStr">
        <is>
          <t>locked</t>
        </is>
      </c>
      <c r="H105" t="inlineStr">
        <is>
          <t>Compact capital benchmark included for services, education, and public-life quality.</t>
        </is>
      </c>
    </row>
    <row r="106">
      <c r="A106" t="inlineStr">
        <is>
          <t>au-perth</t>
        </is>
      </c>
      <c r="B106" t="inlineStr">
        <is>
          <t>Perth</t>
        </is>
      </c>
      <c r="C106" t="inlineStr">
        <is>
          <t>Greater Perth</t>
        </is>
      </c>
      <c r="D106" t="inlineStr">
        <is>
          <t>Australia</t>
        </is>
      </c>
      <c r="E106" t="inlineStr">
        <is>
          <t>Oceania</t>
        </is>
      </c>
      <c r="F106" t="inlineStr">
        <is>
          <t>secondary</t>
        </is>
      </c>
      <c r="G106" t="inlineStr">
        <is>
          <t>locked</t>
        </is>
      </c>
      <c r="H106" t="inlineStr">
        <is>
          <t>Western Australian challenger included for lifestyle, wages, and geographic isolation tradeoffs.</t>
        </is>
      </c>
    </row>
    <row r="107">
      <c r="A107" t="inlineStr">
        <is>
          <t>au-adelaide</t>
        </is>
      </c>
      <c r="B107" t="inlineStr">
        <is>
          <t>Adelaide</t>
        </is>
      </c>
      <c r="C107" t="inlineStr">
        <is>
          <t>Greater Adelaide</t>
        </is>
      </c>
      <c r="D107" t="inlineStr">
        <is>
          <t>Australia</t>
        </is>
      </c>
      <c r="E107" t="inlineStr">
        <is>
          <t>Oceania</t>
        </is>
      </c>
      <c r="F107" t="inlineStr">
        <is>
          <t>secondary</t>
        </is>
      </c>
      <c r="G107" t="inlineStr">
        <is>
          <t>locked</t>
        </is>
      </c>
      <c r="H107" t="inlineStr">
        <is>
          <t>Secondary challenger with strong everyday scale and relatively lower housing pressure.</t>
        </is>
      </c>
    </row>
    <row r="108">
      <c r="A108" t="inlineStr">
        <is>
          <t>au-hobart</t>
        </is>
      </c>
      <c r="B108" t="inlineStr">
        <is>
          <t>Hobart</t>
        </is>
      </c>
      <c r="C108" t="inlineStr">
        <is>
          <t>Greater Hobart</t>
        </is>
      </c>
      <c r="D108" t="inlineStr">
        <is>
          <t>Australia</t>
        </is>
      </c>
      <c r="E108" t="inlineStr">
        <is>
          <t>Oceania</t>
        </is>
      </c>
      <c r="F108" t="inlineStr">
        <is>
          <t>secondary</t>
        </is>
      </c>
      <c r="G108" t="inlineStr">
        <is>
          <t>locked</t>
        </is>
      </c>
      <c r="H108" t="inlineStr">
        <is>
          <t>Smaller-scale challenger included for lifestyle quality and public-environment strength.</t>
        </is>
      </c>
    </row>
    <row r="109">
      <c r="A109" t="inlineStr">
        <is>
          <t>nz-christchurch</t>
        </is>
      </c>
      <c r="B109" t="inlineStr">
        <is>
          <t>Christchurch</t>
        </is>
      </c>
      <c r="C109" t="inlineStr">
        <is>
          <t>Christchurch Metropolitan Area</t>
        </is>
      </c>
      <c r="D109" t="inlineStr">
        <is>
          <t>New Zealand</t>
        </is>
      </c>
      <c r="E109" t="inlineStr">
        <is>
          <t>Oceania</t>
        </is>
      </c>
      <c r="F109" t="inlineStr">
        <is>
          <t>secondary</t>
        </is>
      </c>
      <c r="G109" t="inlineStr">
        <is>
          <t>provisional</t>
        </is>
      </c>
      <c r="H109" t="inlineStr">
        <is>
          <t>Provisional challenger included for rebuild-era infrastructure and lower-pressure urban living.</t>
        </is>
      </c>
    </row>
    <row r="110">
      <c r="A110" t="inlineStr">
        <is>
          <t>fj-suva</t>
        </is>
      </c>
      <c r="B110" t="inlineStr">
        <is>
          <t>Suva</t>
        </is>
      </c>
      <c r="C110" t="inlineStr">
        <is>
          <t>Greater Suva</t>
        </is>
      </c>
      <c r="D110" t="inlineStr">
        <is>
          <t>Fiji</t>
        </is>
      </c>
      <c r="E110" t="inlineStr">
        <is>
          <t>Oceania</t>
        </is>
      </c>
      <c r="F110" t="inlineStr">
        <is>
          <t>secondary</t>
        </is>
      </c>
      <c r="G110" t="inlineStr">
        <is>
          <t>locked</t>
        </is>
      </c>
      <c r="H110" t="inlineStr">
        <is>
          <t>Pacific regional challenger included so Oceania is not reduced to Australia and New Zealand alone.</t>
        </is>
      </c>
    </row>
    <row r="111">
      <c r="A111" t="inlineStr">
        <is>
          <t>id-surabaya</t>
        </is>
      </c>
      <c r="B111" t="inlineStr">
        <is>
          <t>Surabaya</t>
        </is>
      </c>
      <c r="C111" t="inlineStr">
        <is>
          <t>Gerbangkertosusila</t>
        </is>
      </c>
      <c r="D111" t="inlineStr">
        <is>
          <t>Indonesia</t>
        </is>
      </c>
      <c r="E111" t="inlineStr">
        <is>
          <t>Southeast Asia</t>
        </is>
      </c>
      <c r="F111" t="inlineStr">
        <is>
          <t>secondary</t>
        </is>
      </c>
      <c r="G111" t="inlineStr">
        <is>
          <t>provisional</t>
        </is>
      </c>
      <c r="H111" t="inlineStr">
        <is>
          <t>Reserve Indonesian comparator added for a second-tier metro with realistic official-data coverage and a distinct affordability-services profile.</t>
        </is>
      </c>
    </row>
    <row r="112">
      <c r="A112" t="inlineStr">
        <is>
          <t>ph-cebu-city</t>
        </is>
      </c>
      <c r="B112" t="inlineStr">
        <is>
          <t>Cebu City</t>
        </is>
      </c>
      <c r="C112" t="inlineStr">
        <is>
          <t>Metro Cebu</t>
        </is>
      </c>
      <c r="D112" t="inlineStr">
        <is>
          <t>Philippines</t>
        </is>
      </c>
      <c r="E112" t="inlineStr">
        <is>
          <t>Southeast Asia</t>
        </is>
      </c>
      <c r="F112" t="inlineStr">
        <is>
          <t>secondary</t>
        </is>
      </c>
      <c r="G112" t="inlineStr">
        <is>
          <t>provisional</t>
        </is>
      </c>
      <c r="H112" t="inlineStr">
        <is>
          <t>Reserve Philippine comparator added to widen the archipelago view beyond Metro Manila and test secondary-metro resilience.</t>
        </is>
      </c>
    </row>
    <row r="113">
      <c r="A113" t="inlineStr">
        <is>
          <t>vn-da-nang</t>
        </is>
      </c>
      <c r="B113" t="inlineStr">
        <is>
          <t>Da Nang</t>
        </is>
      </c>
      <c r="C113" t="inlineStr">
        <is>
          <t>Da Nang Metropolitan Area</t>
        </is>
      </c>
      <c r="D113" t="inlineStr">
        <is>
          <t>Vietnam</t>
        </is>
      </c>
      <c r="E113" t="inlineStr">
        <is>
          <t>Southeast Asia</t>
        </is>
      </c>
      <c r="F113" t="inlineStr">
        <is>
          <t>secondary</t>
        </is>
      </c>
      <c r="G113" t="inlineStr">
        <is>
          <t>provisional</t>
        </is>
      </c>
      <c r="H113" t="inlineStr">
        <is>
          <t>Reserve Vietnamese coastal comparator added for transport, public-space, and tourism-pressure benchmarking.</t>
        </is>
      </c>
    </row>
    <row r="114">
      <c r="A114" t="inlineStr">
        <is>
          <t>kh-phnom-penh</t>
        </is>
      </c>
      <c r="B114" t="inlineStr">
        <is>
          <t>Phnom Penh</t>
        </is>
      </c>
      <c r="C114" t="inlineStr">
        <is>
          <t>Phnom Penh Capital Region</t>
        </is>
      </c>
      <c r="D114" t="inlineStr">
        <is>
          <t>Cambodia</t>
        </is>
      </c>
      <c r="E114" t="inlineStr">
        <is>
          <t>Southeast Asia</t>
        </is>
      </c>
      <c r="F114" t="inlineStr">
        <is>
          <t>primary</t>
        </is>
      </c>
      <c r="G114" t="inlineStr">
        <is>
          <t>provisional</t>
        </is>
      </c>
      <c r="H114" t="inlineStr">
        <is>
          <t>Reserve capital comparator added to deepen mainland Southeast Asia coverage where official sources remain feasible.</t>
        </is>
      </c>
    </row>
    <row r="115">
      <c r="A115" t="inlineStr">
        <is>
          <t>tw-taichung</t>
        </is>
      </c>
      <c r="B115" t="inlineStr">
        <is>
          <t>Taichung</t>
        </is>
      </c>
      <c r="C115" t="inlineStr">
        <is>
          <t>Taichung Metropolitan Area</t>
        </is>
      </c>
      <c r="D115" t="inlineStr">
        <is>
          <t>Taiwan</t>
        </is>
      </c>
      <c r="E115" t="inlineStr">
        <is>
          <t>East Asia</t>
        </is>
      </c>
      <c r="F115" t="inlineStr">
        <is>
          <t>primary</t>
        </is>
      </c>
      <c r="G115" t="inlineStr">
        <is>
          <t>provisional</t>
        </is>
      </c>
      <c r="H115" t="inlineStr">
        <is>
          <t>Reserve Taiwanese metro added for a lower-pressure manufacturing and services counterpoint to Taipei.</t>
        </is>
      </c>
    </row>
    <row r="116">
      <c r="A116" t="inlineStr">
        <is>
          <t>tw-kaohsiung</t>
        </is>
      </c>
      <c r="B116" t="inlineStr">
        <is>
          <t>Kaohsiung</t>
        </is>
      </c>
      <c r="C116" t="inlineStr">
        <is>
          <t>Kaohsiung Metropolitan Area</t>
        </is>
      </c>
      <c r="D116" t="inlineStr">
        <is>
          <t>Taiwan</t>
        </is>
      </c>
      <c r="E116" t="inlineStr">
        <is>
          <t>East Asia</t>
        </is>
      </c>
      <c r="F116" t="inlineStr">
        <is>
          <t>primary</t>
        </is>
      </c>
      <c r="G116" t="inlineStr">
        <is>
          <t>locked</t>
        </is>
      </c>
      <c r="H116" t="inlineStr">
        <is>
          <t>User anchor — amazing in every way: port city with culture, food, climate, and livability.</t>
        </is>
      </c>
    </row>
    <row r="117">
      <c r="A117" t="inlineStr">
        <is>
          <t>kr-incheon</t>
        </is>
      </c>
      <c r="B117" t="inlineStr">
        <is>
          <t>Incheon</t>
        </is>
      </c>
      <c r="C117" t="inlineStr">
        <is>
          <t>Incheon Metropolitan City</t>
        </is>
      </c>
      <c r="D117" t="inlineStr">
        <is>
          <t>South Korea</t>
        </is>
      </c>
      <c r="E117" t="inlineStr">
        <is>
          <t>East Asia</t>
        </is>
      </c>
      <c r="F117" t="inlineStr">
        <is>
          <t>primary</t>
        </is>
      </c>
      <c r="G117" t="inlineStr">
        <is>
          <t>provisional</t>
        </is>
      </c>
      <c r="H117" t="inlineStr">
        <is>
          <t>Reserve Korean metro added for airport-led connectivity and a distinct daily-livability profile outside Seoul's core gravity.</t>
        </is>
      </c>
    </row>
    <row r="118">
      <c r="A118" t="inlineStr">
        <is>
          <t>cn-guangzhou</t>
        </is>
      </c>
      <c r="B118" t="inlineStr">
        <is>
          <t>Guangzhou</t>
        </is>
      </c>
      <c r="C118" t="inlineStr">
        <is>
          <t>Guangzhou-Foshan Metropolitan Area</t>
        </is>
      </c>
      <c r="D118" t="inlineStr">
        <is>
          <t>China</t>
        </is>
      </c>
      <c r="E118" t="inlineStr">
        <is>
          <t>East Asia</t>
        </is>
      </c>
      <c r="F118" t="inlineStr">
        <is>
          <t>primary</t>
        </is>
      </c>
      <c r="G118" t="inlineStr">
        <is>
          <t>provisional</t>
        </is>
      </c>
      <c r="H118" t="inlineStr">
        <is>
          <t>Reserve Pearl River comparator added for manufacturing scale, trade, and high-capacity urban services.</t>
        </is>
      </c>
    </row>
    <row r="119">
      <c r="A119" t="inlineStr">
        <is>
          <t>in-pune</t>
        </is>
      </c>
      <c r="B119" t="inlineStr">
        <is>
          <t>Pune</t>
        </is>
      </c>
      <c r="C119" t="inlineStr">
        <is>
          <t>Pune Metropolitan Region</t>
        </is>
      </c>
      <c r="D119" t="inlineStr">
        <is>
          <t>India</t>
        </is>
      </c>
      <c r="E119" t="inlineStr">
        <is>
          <t>South Asia</t>
        </is>
      </c>
      <c r="F119" t="inlineStr">
        <is>
          <t>primary</t>
        </is>
      </c>
      <c r="G119" t="inlineStr">
        <is>
          <t>provisional</t>
        </is>
      </c>
      <c r="H119" t="inlineStr">
        <is>
          <t>Reserve Indian metro added for higher-skill employment, education depth, and lower-pressure contrast with larger Indian cores.</t>
        </is>
      </c>
    </row>
    <row r="120">
      <c r="A120" t="inlineStr">
        <is>
          <t>pk-islamabad</t>
        </is>
      </c>
      <c r="B120" t="inlineStr">
        <is>
          <t>Islamabad</t>
        </is>
      </c>
      <c r="C120" t="inlineStr">
        <is>
          <t>Islamabad-Rawalpindi Metropolitan Area</t>
        </is>
      </c>
      <c r="D120" t="inlineStr">
        <is>
          <t>Pakistan</t>
        </is>
      </c>
      <c r="E120" t="inlineStr">
        <is>
          <t>South Asia</t>
        </is>
      </c>
      <c r="F120" t="inlineStr">
        <is>
          <t>primary</t>
        </is>
      </c>
      <c r="G120" t="inlineStr">
        <is>
          <t>provisional</t>
        </is>
      </c>
      <c r="H120" t="inlineStr">
        <is>
          <t>Reserve Pakistani capital comparator added for a more administrative and planned urban profile than Karachi or Lahore.</t>
        </is>
      </c>
    </row>
    <row r="121">
      <c r="A121" t="inlineStr">
        <is>
          <t>lk-kandy</t>
        </is>
      </c>
      <c r="B121" t="inlineStr">
        <is>
          <t>Kandy</t>
        </is>
      </c>
      <c r="C121" t="inlineStr">
        <is>
          <t>Greater Kandy</t>
        </is>
      </c>
      <c r="D121" t="inlineStr">
        <is>
          <t>Sri Lanka</t>
        </is>
      </c>
      <c r="E121" t="inlineStr">
        <is>
          <t>South Asia</t>
        </is>
      </c>
      <c r="F121" t="inlineStr">
        <is>
          <t>secondary</t>
        </is>
      </c>
      <c r="G121" t="inlineStr">
        <is>
          <t>provisional</t>
        </is>
      </c>
      <c r="H121" t="inlineStr">
        <is>
          <t>Reserve Sri Lankan inland challenger added for cultural depth and a smaller-scale urban services comparison.</t>
        </is>
      </c>
    </row>
    <row r="122">
      <c r="A122" t="inlineStr">
        <is>
          <t>np-pokhara</t>
        </is>
      </c>
      <c r="B122" t="inlineStr">
        <is>
          <t>Pokhara</t>
        </is>
      </c>
      <c r="C122" t="inlineStr">
        <is>
          <t>Pokhara Valley</t>
        </is>
      </c>
      <c r="D122" t="inlineStr">
        <is>
          <t>Nepal</t>
        </is>
      </c>
      <c r="E122" t="inlineStr">
        <is>
          <t>South Asia</t>
        </is>
      </c>
      <c r="F122" t="inlineStr">
        <is>
          <t>secondary</t>
        </is>
      </c>
      <c r="G122" t="inlineStr">
        <is>
          <t>provisional</t>
        </is>
      </c>
      <c r="H122" t="inlineStr">
        <is>
          <t>Reserve Nepali challenger added for tourism, environmental pressure, and smaller-city everyday-livability comparison.</t>
        </is>
      </c>
    </row>
    <row r="123">
      <c r="A123" t="inlineStr">
        <is>
          <t>cz-brno</t>
        </is>
      </c>
      <c r="B123" t="inlineStr">
        <is>
          <t>Brno</t>
        </is>
      </c>
      <c r="C123" t="inlineStr">
        <is>
          <t>Brno Metropolitan Area</t>
        </is>
      </c>
      <c r="D123" t="inlineStr">
        <is>
          <t>Czechia</t>
        </is>
      </c>
      <c r="E123" t="inlineStr">
        <is>
          <t>Southern/Eastern Europe and Eurasia</t>
        </is>
      </c>
      <c r="F123" t="inlineStr">
        <is>
          <t>secondary</t>
        </is>
      </c>
      <c r="G123" t="inlineStr">
        <is>
          <t>provisional</t>
        </is>
      </c>
      <c r="H123" t="inlineStr">
        <is>
          <t>Reserve Central European university-city comparator added for innovation depth outside capital-city dominance.</t>
        </is>
      </c>
    </row>
    <row r="124">
      <c r="A124" t="inlineStr">
        <is>
          <t>si-ljubljana</t>
        </is>
      </c>
      <c r="B124" t="inlineStr">
        <is>
          <t>Ljubljana</t>
        </is>
      </c>
      <c r="C124" t="inlineStr">
        <is>
          <t>Ljubljana Urban Region</t>
        </is>
      </c>
      <c r="D124" t="inlineStr">
        <is>
          <t>Slovenia</t>
        </is>
      </c>
      <c r="E124" t="inlineStr">
        <is>
          <t>Southern/Eastern Europe and Eurasia</t>
        </is>
      </c>
      <c r="F124" t="inlineStr">
        <is>
          <t>primary</t>
        </is>
      </c>
      <c r="G124" t="inlineStr">
        <is>
          <t>provisional</t>
        </is>
      </c>
      <c r="H124" t="inlineStr">
        <is>
          <t>Reserve small-capital comparator added for transit, human-scale urbanism, and strong administrative legibility.</t>
        </is>
      </c>
    </row>
    <row r="125">
      <c r="A125" t="inlineStr">
        <is>
          <t>hr-zagreb</t>
        </is>
      </c>
      <c r="B125" t="inlineStr">
        <is>
          <t>Zagreb</t>
        </is>
      </c>
      <c r="C125" t="inlineStr">
        <is>
          <t>Zagreb Metropolitan Area</t>
        </is>
      </c>
      <c r="D125" t="inlineStr">
        <is>
          <t>Croatia</t>
        </is>
      </c>
      <c r="E125" t="inlineStr">
        <is>
          <t>Southern/Eastern Europe and Eurasia</t>
        </is>
      </c>
      <c r="F125" t="inlineStr">
        <is>
          <t>primary</t>
        </is>
      </c>
      <c r="G125" t="inlineStr">
        <is>
          <t>provisional</t>
        </is>
      </c>
      <c r="H125" t="inlineStr">
        <is>
          <t>Reserve Balkan capital comparator added for services, education, and regional gateway analysis.</t>
        </is>
      </c>
    </row>
    <row r="126">
      <c r="A126" t="inlineStr">
        <is>
          <t>lt-vilnius</t>
        </is>
      </c>
      <c r="B126" t="inlineStr">
        <is>
          <t>Vilnius</t>
        </is>
      </c>
      <c r="C126" t="inlineStr">
        <is>
          <t>Vilnius Metropolitan Area</t>
        </is>
      </c>
      <c r="D126" t="inlineStr">
        <is>
          <t>Lithuania</t>
        </is>
      </c>
      <c r="E126" t="inlineStr">
        <is>
          <t>Southern/Eastern Europe and Eurasia</t>
        </is>
      </c>
      <c r="F126" t="inlineStr">
        <is>
          <t>primary</t>
        </is>
      </c>
      <c r="G126" t="inlineStr">
        <is>
          <t>provisional</t>
        </is>
      </c>
      <c r="H126" t="inlineStr">
        <is>
          <t>Reserve Baltic capital comparator added for digital administration and smaller-market European competitiveness.</t>
        </is>
      </c>
    </row>
    <row r="127">
      <c r="A127" t="inlineStr">
        <is>
          <t>lv-riga</t>
        </is>
      </c>
      <c r="B127" t="inlineStr">
        <is>
          <t>Riga</t>
        </is>
      </c>
      <c r="C127" t="inlineStr">
        <is>
          <t>Riga Metropolitan Area</t>
        </is>
      </c>
      <c r="D127" t="inlineStr">
        <is>
          <t>Latvia</t>
        </is>
      </c>
      <c r="E127" t="inlineStr">
        <is>
          <t>Southern/Eastern Europe and Eurasia</t>
        </is>
      </c>
      <c r="F127" t="inlineStr">
        <is>
          <t>primary</t>
        </is>
      </c>
      <c r="G127" t="inlineStr">
        <is>
          <t>provisional</t>
        </is>
      </c>
      <c r="H127" t="inlineStr">
        <is>
          <t>Reserve Baltic port-capital comparator added for logistics, housing pressure, and public-services benchmarking.</t>
        </is>
      </c>
    </row>
    <row r="128">
      <c r="A128" t="inlineStr">
        <is>
          <t>ge-tbilisi</t>
        </is>
      </c>
      <c r="B128" t="inlineStr">
        <is>
          <t>Tbilisi</t>
        </is>
      </c>
      <c r="C128" t="inlineStr">
        <is>
          <t>Tbilisi Metropolitan Area</t>
        </is>
      </c>
      <c r="D128" t="inlineStr">
        <is>
          <t>Georgia</t>
        </is>
      </c>
      <c r="E128" t="inlineStr">
        <is>
          <t>Southern/Eastern Europe and Eurasia</t>
        </is>
      </c>
      <c r="F128" t="inlineStr">
        <is>
          <t>primary</t>
        </is>
      </c>
      <c r="G128" t="inlineStr">
        <is>
          <t>provisional</t>
        </is>
      </c>
      <c r="H128" t="inlineStr">
        <is>
          <t>Reserve Caucasus capital comparator added for Eurasian crossover, reform visibility, and rapid-change testing.</t>
        </is>
      </c>
    </row>
    <row r="129">
      <c r="A129" t="inlineStr">
        <is>
          <t>fr-lyon</t>
        </is>
      </c>
      <c r="B129" t="inlineStr">
        <is>
          <t>Lyon</t>
        </is>
      </c>
      <c r="C129" t="inlineStr">
        <is>
          <t>Lyon Metropolitan Area</t>
        </is>
      </c>
      <c r="D129" t="inlineStr">
        <is>
          <t>France</t>
        </is>
      </c>
      <c r="E129" t="inlineStr">
        <is>
          <t>Western, Northern, and Southern Europe</t>
        </is>
      </c>
      <c r="F129" t="inlineStr">
        <is>
          <t>primary</t>
        </is>
      </c>
      <c r="G129" t="inlineStr">
        <is>
          <t>provisional</t>
        </is>
      </c>
      <c r="H129" t="inlineStr">
        <is>
          <t>Reserve French metro added for a strong non-capital benchmark with credible official data and major service depth.</t>
        </is>
      </c>
    </row>
    <row r="130">
      <c r="A130" t="inlineStr">
        <is>
          <t>es-valencia</t>
        </is>
      </c>
      <c r="B130" t="inlineStr">
        <is>
          <t>Valencia</t>
        </is>
      </c>
      <c r="C130" t="inlineStr">
        <is>
          <t>Valencia Metropolitan Area</t>
        </is>
      </c>
      <c r="D130" t="inlineStr">
        <is>
          <t>Spain</t>
        </is>
      </c>
      <c r="E130" t="inlineStr">
        <is>
          <t>Western, Northern, and Southern Europe</t>
        </is>
      </c>
      <c r="F130" t="inlineStr">
        <is>
          <t>primary</t>
        </is>
      </c>
      <c r="G130" t="inlineStr">
        <is>
          <t>provisional</t>
        </is>
      </c>
      <c r="H130" t="inlineStr">
        <is>
          <t>Reserve Mediterranean comparator added for climate, public life, and port-city livability tradeoffs.</t>
        </is>
      </c>
    </row>
    <row r="131">
      <c r="A131" t="inlineStr">
        <is>
          <t>de-munich</t>
        </is>
      </c>
      <c r="B131" t="inlineStr">
        <is>
          <t>Munich</t>
        </is>
      </c>
      <c r="C131" t="inlineStr">
        <is>
          <t>Munich Metropolitan Region</t>
        </is>
      </c>
      <c r="D131" t="inlineStr">
        <is>
          <t>Germany</t>
        </is>
      </c>
      <c r="E131" t="inlineStr">
        <is>
          <t>Western, Northern, and Southern Europe</t>
        </is>
      </c>
      <c r="F131" t="inlineStr">
        <is>
          <t>primary</t>
        </is>
      </c>
      <c r="G131" t="inlineStr">
        <is>
          <t>provisional</t>
        </is>
      </c>
      <c r="H131" t="inlineStr">
        <is>
          <t>Reserve German comparator added for high-productivity urban life with strong official and subnational data coverage.</t>
        </is>
      </c>
    </row>
    <row r="132">
      <c r="A132" t="inlineStr">
        <is>
          <t>be-antwerp</t>
        </is>
      </c>
      <c r="B132" t="inlineStr">
        <is>
          <t>Antwerp</t>
        </is>
      </c>
      <c r="C132" t="inlineStr">
        <is>
          <t>Antwerp Metropolitan Area</t>
        </is>
      </c>
      <c r="D132" t="inlineStr">
        <is>
          <t>Belgium</t>
        </is>
      </c>
      <c r="E132" t="inlineStr">
        <is>
          <t>Western, Northern, and Southern Europe</t>
        </is>
      </c>
      <c r="F132" t="inlineStr">
        <is>
          <t>secondary</t>
        </is>
      </c>
      <c r="G132" t="inlineStr">
        <is>
          <t>provisional</t>
        </is>
      </c>
      <c r="H132" t="inlineStr">
        <is>
          <t>Reserve Benelux port-city comparator added for logistics, affordability, and cultural-public-life benchmarking.</t>
        </is>
      </c>
    </row>
    <row r="133">
      <c r="A133" t="inlineStr">
        <is>
          <t>ie-cork</t>
        </is>
      </c>
      <c r="B133" t="inlineStr">
        <is>
          <t>Cork</t>
        </is>
      </c>
      <c r="C133" t="inlineStr">
        <is>
          <t>Cork Metropolitan Area</t>
        </is>
      </c>
      <c r="D133" t="inlineStr">
        <is>
          <t>Ireland</t>
        </is>
      </c>
      <c r="E133" t="inlineStr">
        <is>
          <t>Western, Northern, and Southern Europe</t>
        </is>
      </c>
      <c r="F133" t="inlineStr">
        <is>
          <t>secondary</t>
        </is>
      </c>
      <c r="G133" t="inlineStr">
        <is>
          <t>provisional</t>
        </is>
      </c>
      <c r="H133" t="inlineStr">
        <is>
          <t>Reserve Irish second-city comparator added for scale discipline and innovation-driven regional growth analysis.</t>
        </is>
      </c>
    </row>
    <row r="134">
      <c r="A134" t="inlineStr">
        <is>
          <t>se-gothenburg</t>
        </is>
      </c>
      <c r="B134" t="inlineStr">
        <is>
          <t>Gothenburg</t>
        </is>
      </c>
      <c r="C134" t="inlineStr">
        <is>
          <t>Gothenburg Metropolitan Area</t>
        </is>
      </c>
      <c r="D134" t="inlineStr">
        <is>
          <t>Sweden</t>
        </is>
      </c>
      <c r="E134" t="inlineStr">
        <is>
          <t>Western, Northern, and Southern Europe</t>
        </is>
      </c>
      <c r="F134" t="inlineStr">
        <is>
          <t>primary</t>
        </is>
      </c>
      <c r="G134" t="inlineStr">
        <is>
          <t>provisional</t>
        </is>
      </c>
      <c r="H134" t="inlineStr">
        <is>
          <t>Reserve Nordic port-metro added for strong welfare systems, housing pressure, and export-economy comparison.</t>
        </is>
      </c>
    </row>
    <row r="135">
      <c r="A135" t="inlineStr">
        <is>
          <t>no-bergen</t>
        </is>
      </c>
      <c r="B135" t="inlineStr">
        <is>
          <t>Bergen</t>
        </is>
      </c>
      <c r="C135" t="inlineStr">
        <is>
          <t>Bergen Metropolitan Area</t>
        </is>
      </c>
      <c r="D135" t="inlineStr">
        <is>
          <t>Norway</t>
        </is>
      </c>
      <c r="E135" t="inlineStr">
        <is>
          <t>Western, Northern, and Southern Europe</t>
        </is>
      </c>
      <c r="F135" t="inlineStr">
        <is>
          <t>secondary</t>
        </is>
      </c>
      <c r="G135" t="inlineStr">
        <is>
          <t>provisional</t>
        </is>
      </c>
      <c r="H135" t="inlineStr">
        <is>
          <t>Reserve Norwegian challenger added for climate, public-services strength, and smaller-scale urban experience.</t>
        </is>
      </c>
    </row>
    <row r="136">
      <c r="A136" t="inlineStr">
        <is>
          <t>nl-eindhoven</t>
        </is>
      </c>
      <c r="B136" t="inlineStr">
        <is>
          <t>Eindhoven</t>
        </is>
      </c>
      <c r="C136" t="inlineStr">
        <is>
          <t>Brainport Eindhoven</t>
        </is>
      </c>
      <c r="D136" t="inlineStr">
        <is>
          <t>Netherlands</t>
        </is>
      </c>
      <c r="E136" t="inlineStr">
        <is>
          <t>Western, Northern, and Southern Europe</t>
        </is>
      </c>
      <c r="F136" t="inlineStr">
        <is>
          <t>secondary</t>
        </is>
      </c>
      <c r="G136" t="inlineStr">
        <is>
          <t>provisional</t>
        </is>
      </c>
      <c r="H136" t="inlineStr">
        <is>
          <t>Reserve Dutch innovation-city comparator added for research intensity and productive specialization outside Amsterdam.</t>
        </is>
      </c>
    </row>
    <row r="137">
      <c r="A137" t="inlineStr">
        <is>
          <t>ca-vancouver</t>
        </is>
      </c>
      <c r="B137" t="inlineStr">
        <is>
          <t>Vancouver</t>
        </is>
      </c>
      <c r="C137" t="inlineStr">
        <is>
          <t>Metro Vancouver</t>
        </is>
      </c>
      <c r="D137" t="inlineStr">
        <is>
          <t>Canada</t>
        </is>
      </c>
      <c r="E137" t="inlineStr">
        <is>
          <t>North America</t>
        </is>
      </c>
      <c r="F137" t="inlineStr">
        <is>
          <t>primary</t>
        </is>
      </c>
      <c r="G137" t="inlineStr">
        <is>
          <t>provisional</t>
        </is>
      </c>
      <c r="H137" t="inlineStr">
        <is>
          <t>Reserve Canadian Pacific comparator added for high-amenity urban life tested against acute housing pressure.</t>
        </is>
      </c>
    </row>
    <row r="138">
      <c r="A138" t="inlineStr">
        <is>
          <t>ca-ottawa</t>
        </is>
      </c>
      <c r="B138" t="inlineStr">
        <is>
          <t>Ottawa</t>
        </is>
      </c>
      <c r="C138" t="inlineStr">
        <is>
          <t>Ottawa-Gatineau</t>
        </is>
      </c>
      <c r="D138" t="inlineStr">
        <is>
          <t>Canada</t>
        </is>
      </c>
      <c r="E138" t="inlineStr">
        <is>
          <t>North America</t>
        </is>
      </c>
      <c r="F138" t="inlineStr">
        <is>
          <t>primary</t>
        </is>
      </c>
      <c r="G138" t="inlineStr">
        <is>
          <t>provisional</t>
        </is>
      </c>
      <c r="H138" t="inlineStr">
        <is>
          <t>Reserve Canadian capital comparator added for public-sector stability and bilingual institutional depth.</t>
        </is>
      </c>
    </row>
    <row r="139">
      <c r="A139" t="inlineStr">
        <is>
          <t>us-minneapolis</t>
        </is>
      </c>
      <c r="B139" t="inlineStr">
        <is>
          <t>Minneapolis</t>
        </is>
      </c>
      <c r="C139" t="inlineStr">
        <is>
          <t>Twin Cities</t>
        </is>
      </c>
      <c r="D139" t="inlineStr">
        <is>
          <t>United States</t>
        </is>
      </c>
      <c r="E139" t="inlineStr">
        <is>
          <t>North America</t>
        </is>
      </c>
      <c r="F139" t="inlineStr">
        <is>
          <t>primary</t>
        </is>
      </c>
      <c r="G139" t="inlineStr">
        <is>
          <t>provisional</t>
        </is>
      </c>
      <c r="H139" t="inlineStr">
        <is>
          <t>Reserve U.S. upper-midwest comparator added for strong services, education, and moderate-scale urban benchmarking.</t>
        </is>
      </c>
    </row>
    <row r="140">
      <c r="A140" t="inlineStr">
        <is>
          <t>us-raleigh</t>
        </is>
      </c>
      <c r="B140" t="inlineStr">
        <is>
          <t>Raleigh</t>
        </is>
      </c>
      <c r="C140" t="inlineStr">
        <is>
          <t>Research Triangle</t>
        </is>
      </c>
      <c r="D140" t="inlineStr">
        <is>
          <t>United States</t>
        </is>
      </c>
      <c r="E140" t="inlineStr">
        <is>
          <t>North America</t>
        </is>
      </c>
      <c r="F140" t="inlineStr">
        <is>
          <t>secondary</t>
        </is>
      </c>
      <c r="G140" t="inlineStr">
        <is>
          <t>provisional</t>
        </is>
      </c>
      <c r="H140" t="inlineStr">
        <is>
          <t>Reserve U.S. research-region comparator added for innovation, education, and fast-growth governance testing.</t>
        </is>
      </c>
    </row>
    <row r="141">
      <c r="A141" t="inlineStr">
        <is>
          <t>do-santo-domingo</t>
        </is>
      </c>
      <c r="B141" t="inlineStr">
        <is>
          <t>Santo Domingo</t>
        </is>
      </c>
      <c r="C141" t="inlineStr">
        <is>
          <t>Greater Santo Domingo</t>
        </is>
      </c>
      <c r="D141" t="inlineStr">
        <is>
          <t>Dominican Republic</t>
        </is>
      </c>
      <c r="E141" t="inlineStr">
        <is>
          <t>North America</t>
        </is>
      </c>
      <c r="F141" t="inlineStr">
        <is>
          <t>primary</t>
        </is>
      </c>
      <c r="G141" t="inlineStr">
        <is>
          <t>provisional</t>
        </is>
      </c>
      <c r="H141" t="inlineStr">
        <is>
          <t>Reserve Caribbean capital comparator added for climate, tourism, and metropolitan services benchmarking.</t>
        </is>
      </c>
    </row>
    <row r="142">
      <c r="A142" t="inlineStr">
        <is>
          <t>br-florianopolis</t>
        </is>
      </c>
      <c r="B142" t="inlineStr">
        <is>
          <t>Florianopolis</t>
        </is>
      </c>
      <c r="C142" t="inlineStr">
        <is>
          <t>Greater Florianopolis</t>
        </is>
      </c>
      <c r="D142" t="inlineStr">
        <is>
          <t>Brazil</t>
        </is>
      </c>
      <c r="E142" t="inlineStr">
        <is>
          <t>Latin America</t>
        </is>
      </c>
      <c r="F142" t="inlineStr">
        <is>
          <t>secondary</t>
        </is>
      </c>
      <c r="G142" t="inlineStr">
        <is>
          <t>provisional</t>
        </is>
      </c>
      <c r="H142" t="inlineStr">
        <is>
          <t>Reserve Brazilian coastal challenger added for innovation, safety tradeoffs, and quality-of-life comparison.</t>
        </is>
      </c>
    </row>
    <row r="143">
      <c r="A143" t="inlineStr">
        <is>
          <t>pe-arequipa</t>
        </is>
      </c>
      <c r="B143" t="inlineStr">
        <is>
          <t>Arequipa</t>
        </is>
      </c>
      <c r="C143" t="inlineStr">
        <is>
          <t>Arequipa Metropolitan Area</t>
        </is>
      </c>
      <c r="D143" t="inlineStr">
        <is>
          <t>Peru</t>
        </is>
      </c>
      <c r="E143" t="inlineStr">
        <is>
          <t>Latin America</t>
        </is>
      </c>
      <c r="F143" t="inlineStr">
        <is>
          <t>secondary</t>
        </is>
      </c>
      <c r="G143" t="inlineStr">
        <is>
          <t>provisional</t>
        </is>
      </c>
      <c r="H143" t="inlineStr">
        <is>
          <t>Reserve Peruvian second-city comparator added for altitude, affordability, and regional depth outside Lima.</t>
        </is>
      </c>
    </row>
    <row r="144">
      <c r="A144" t="inlineStr">
        <is>
          <t>ec-cuenca</t>
        </is>
      </c>
      <c r="B144" t="inlineStr">
        <is>
          <t>Cuenca</t>
        </is>
      </c>
      <c r="C144" t="inlineStr">
        <is>
          <t>Cuenca Metropolitan Area</t>
        </is>
      </c>
      <c r="D144" t="inlineStr">
        <is>
          <t>Ecuador</t>
        </is>
      </c>
      <c r="E144" t="inlineStr">
        <is>
          <t>Latin America</t>
        </is>
      </c>
      <c r="F144" t="inlineStr">
        <is>
          <t>secondary</t>
        </is>
      </c>
      <c r="G144" t="inlineStr">
        <is>
          <t>provisional</t>
        </is>
      </c>
      <c r="H144" t="inlineStr">
        <is>
          <t>Reserve Andean challenger added for lower-pressure city form, heritage, and retiree-inflow effects.</t>
        </is>
      </c>
    </row>
    <row r="145">
      <c r="A145" t="inlineStr">
        <is>
          <t>py-asuncion</t>
        </is>
      </c>
      <c r="B145" t="inlineStr">
        <is>
          <t>Asuncion</t>
        </is>
      </c>
      <c r="C145" t="inlineStr">
        <is>
          <t>Greater Asuncion</t>
        </is>
      </c>
      <c r="D145" t="inlineStr">
        <is>
          <t>Paraguay</t>
        </is>
      </c>
      <c r="E145" t="inlineStr">
        <is>
          <t>Latin America</t>
        </is>
      </c>
      <c r="F145" t="inlineStr">
        <is>
          <t>primary</t>
        </is>
      </c>
      <c r="G145" t="inlineStr">
        <is>
          <t>provisional</t>
        </is>
      </c>
      <c r="H145" t="inlineStr">
        <is>
          <t>Reserve inland capital comparator added for under-covered Southern Cone urban economics and governance.</t>
        </is>
      </c>
    </row>
    <row r="146">
      <c r="A146" t="inlineStr">
        <is>
          <t>il-haifa</t>
        </is>
      </c>
      <c r="B146" t="inlineStr">
        <is>
          <t>Haifa</t>
        </is>
      </c>
      <c r="C146" t="inlineStr">
        <is>
          <t>Haifa Metropolitan Area</t>
        </is>
      </c>
      <c r="D146" t="inlineStr">
        <is>
          <t>Israel</t>
        </is>
      </c>
      <c r="E146" t="inlineStr">
        <is>
          <t>Middle East</t>
        </is>
      </c>
      <c r="F146" t="inlineStr">
        <is>
          <t>secondary</t>
        </is>
      </c>
      <c r="G146" t="inlineStr">
        <is>
          <t>provisional</t>
        </is>
      </c>
      <c r="H146" t="inlineStr">
        <is>
          <t>Reserve Israeli port-city comparator added for industrial depth, coexistence testing, and hillside urban form.</t>
        </is>
      </c>
    </row>
    <row r="147">
      <c r="A147" t="inlineStr">
        <is>
          <t>om-salalah</t>
        </is>
      </c>
      <c r="B147" t="inlineStr">
        <is>
          <t>Salalah</t>
        </is>
      </c>
      <c r="C147" t="inlineStr">
        <is>
          <t>Salalah Metropolitan Area</t>
        </is>
      </c>
      <c r="D147" t="inlineStr">
        <is>
          <t>Oman</t>
        </is>
      </c>
      <c r="E147" t="inlineStr">
        <is>
          <t>Middle East</t>
        </is>
      </c>
      <c r="F147" t="inlineStr">
        <is>
          <t>secondary</t>
        </is>
      </c>
      <c r="G147" t="inlineStr">
        <is>
          <t>provisional</t>
        </is>
      </c>
      <c r="H147" t="inlineStr">
        <is>
          <t>Reserve Omani secondary-city comparator added for climate seasonality and lower-pressure Gulf urban living.</t>
        </is>
      </c>
    </row>
    <row r="148">
      <c r="A148" t="inlineStr">
        <is>
          <t>jo-aqaba</t>
        </is>
      </c>
      <c r="B148" t="inlineStr">
        <is>
          <t>Aqaba</t>
        </is>
      </c>
      <c r="C148" t="inlineStr">
        <is>
          <t>Greater Aqaba</t>
        </is>
      </c>
      <c r="D148" t="inlineStr">
        <is>
          <t>Jordan</t>
        </is>
      </c>
      <c r="E148" t="inlineStr">
        <is>
          <t>Middle East</t>
        </is>
      </c>
      <c r="F148" t="inlineStr">
        <is>
          <t>secondary</t>
        </is>
      </c>
      <c r="G148" t="inlineStr">
        <is>
          <t>provisional</t>
        </is>
      </c>
      <c r="H148" t="inlineStr">
        <is>
          <t>Reserve Red Sea gateway comparator added for logistics, tourism, and smaller-scale Middle East benchmarking.</t>
        </is>
      </c>
    </row>
    <row r="149">
      <c r="A149" t="inlineStr">
        <is>
          <t>sa-khobar</t>
        </is>
      </c>
      <c r="B149" t="inlineStr">
        <is>
          <t>Khobar</t>
        </is>
      </c>
      <c r="C149" t="inlineStr">
        <is>
          <t>Dammam Metropolitan Area</t>
        </is>
      </c>
      <c r="D149" t="inlineStr">
        <is>
          <t>Saudi Arabia</t>
        </is>
      </c>
      <c r="E149" t="inlineStr">
        <is>
          <t>Middle East</t>
        </is>
      </c>
      <c r="F149" t="inlineStr">
        <is>
          <t>secondary</t>
        </is>
      </c>
      <c r="G149" t="inlineStr">
        <is>
          <t>provisional</t>
        </is>
      </c>
      <c r="H149" t="inlineStr">
        <is>
          <t>Reserve Gulf comparator added for private-sector employment, oil-economy transition, and cross-border business context.</t>
        </is>
      </c>
    </row>
    <row r="150">
      <c r="A150" t="inlineStr">
        <is>
          <t>ma-rabat</t>
        </is>
      </c>
      <c r="B150" t="inlineStr">
        <is>
          <t>Rabat</t>
        </is>
      </c>
      <c r="C150" t="inlineStr">
        <is>
          <t>Rabat-Sale Metropolitan Area</t>
        </is>
      </c>
      <c r="D150" t="inlineStr">
        <is>
          <t>Morocco</t>
        </is>
      </c>
      <c r="E150" t="inlineStr">
        <is>
          <t>Africa</t>
        </is>
      </c>
      <c r="F150" t="inlineStr">
        <is>
          <t>primary</t>
        </is>
      </c>
      <c r="G150" t="inlineStr">
        <is>
          <t>provisional</t>
        </is>
      </c>
      <c r="H150" t="inlineStr">
        <is>
          <t>Reserve North African capital comparator added for administrative competence and Atlantic urban quality comparisons.</t>
        </is>
      </c>
    </row>
    <row r="151">
      <c r="A151" t="inlineStr">
        <is>
          <t>eg-alexandria</t>
        </is>
      </c>
      <c r="B151" t="inlineStr">
        <is>
          <t>Alexandria</t>
        </is>
      </c>
      <c r="C151" t="inlineStr">
        <is>
          <t>Alexandria Metropolitan Area</t>
        </is>
      </c>
      <c r="D151" t="inlineStr">
        <is>
          <t>Egypt</t>
        </is>
      </c>
      <c r="E151" t="inlineStr">
        <is>
          <t>Africa</t>
        </is>
      </c>
      <c r="F151" t="inlineStr">
        <is>
          <t>primary</t>
        </is>
      </c>
      <c r="G151" t="inlineStr">
        <is>
          <t>provisional</t>
        </is>
      </c>
      <c r="H151" t="inlineStr">
        <is>
          <t>Reserve Mediterranean African comparator added for port-city history, density, and climate-exposure tradeoffs.</t>
        </is>
      </c>
    </row>
    <row r="152">
      <c r="A152" t="inlineStr">
        <is>
          <t>tz-dar-es-salaam</t>
        </is>
      </c>
      <c r="B152" t="inlineStr">
        <is>
          <t>Dar es Salaam</t>
        </is>
      </c>
      <c r="C152" t="inlineStr">
        <is>
          <t>Dar es Salaam Metropolitan Area</t>
        </is>
      </c>
      <c r="D152" t="inlineStr">
        <is>
          <t>Tanzania</t>
        </is>
      </c>
      <c r="E152" t="inlineStr">
        <is>
          <t>Africa</t>
        </is>
      </c>
      <c r="F152" t="inlineStr">
        <is>
          <t>primary</t>
        </is>
      </c>
      <c r="G152" t="inlineStr">
        <is>
          <t>provisional</t>
        </is>
      </c>
      <c r="H152" t="inlineStr">
        <is>
          <t>Reserve East African metro added for growth pressure, transport, and coastal services comparison.</t>
        </is>
      </c>
    </row>
    <row r="153">
      <c r="A153" t="inlineStr">
        <is>
          <t>ug-kampala</t>
        </is>
      </c>
      <c r="B153" t="inlineStr">
        <is>
          <t>Kampala</t>
        </is>
      </c>
      <c r="C153" t="inlineStr">
        <is>
          <t>Kampala Metropolitan Area</t>
        </is>
      </c>
      <c r="D153" t="inlineStr">
        <is>
          <t>Uganda</t>
        </is>
      </c>
      <c r="E153" t="inlineStr">
        <is>
          <t>Africa</t>
        </is>
      </c>
      <c r="F153" t="inlineStr">
        <is>
          <t>primary</t>
        </is>
      </c>
      <c r="G153" t="inlineStr">
        <is>
          <t>provisional</t>
        </is>
      </c>
      <c r="H153" t="inlineStr">
        <is>
          <t>Reserve Great Lakes capital comparator added for regional services, affordability pressure, and urban governance testing.</t>
        </is>
      </c>
    </row>
    <row r="154">
      <c r="A154" t="inlineStr">
        <is>
          <t>gh-kumasi</t>
        </is>
      </c>
      <c r="B154" t="inlineStr">
        <is>
          <t>Kumasi</t>
        </is>
      </c>
      <c r="C154" t="inlineStr">
        <is>
          <t>Greater Kumasi</t>
        </is>
      </c>
      <c r="D154" t="inlineStr">
        <is>
          <t>Ghana</t>
        </is>
      </c>
      <c r="E154" t="inlineStr">
        <is>
          <t>Africa</t>
        </is>
      </c>
      <c r="F154" t="inlineStr">
        <is>
          <t>secondary</t>
        </is>
      </c>
      <c r="G154" t="inlineStr">
        <is>
          <t>provisional</t>
        </is>
      </c>
      <c r="H154" t="inlineStr">
        <is>
          <t>Reserve Ghanaian secondary-city comparator added for inland services, education depth, and lower-cost urban life.</t>
        </is>
      </c>
    </row>
    <row r="155">
      <c r="A155" t="inlineStr">
        <is>
          <t>nz-dunedin</t>
        </is>
      </c>
      <c r="B155" t="inlineStr">
        <is>
          <t>Dunedin</t>
        </is>
      </c>
      <c r="C155" t="inlineStr">
        <is>
          <t>Greater Dunedin</t>
        </is>
      </c>
      <c r="D155" t="inlineStr">
        <is>
          <t>New Zealand</t>
        </is>
      </c>
      <c r="E155" t="inlineStr">
        <is>
          <t>Oceania</t>
        </is>
      </c>
      <c r="F155" t="inlineStr">
        <is>
          <t>secondary</t>
        </is>
      </c>
      <c r="G155" t="inlineStr">
        <is>
          <t>provisional</t>
        </is>
      </c>
      <c r="H155" t="inlineStr">
        <is>
          <t>Reserve New Zealand challenger added for smaller-scale education-led urban life and colder-climate comparison.</t>
        </is>
      </c>
    </row>
    <row r="156">
      <c r="A156" t="inlineStr">
        <is>
          <t>pg-port-moresby</t>
        </is>
      </c>
      <c r="B156" t="inlineStr">
        <is>
          <t>Port Moresby</t>
        </is>
      </c>
      <c r="C156" t="inlineStr">
        <is>
          <t>Port Moresby Metropolitan Area</t>
        </is>
      </c>
      <c r="D156" t="inlineStr">
        <is>
          <t>Papua New Guinea</t>
        </is>
      </c>
      <c r="E156" t="inlineStr">
        <is>
          <t>Oceania</t>
        </is>
      </c>
      <c r="F156" t="inlineStr">
        <is>
          <t>primary</t>
        </is>
      </c>
      <c r="G156" t="inlineStr">
        <is>
          <t>provisional</t>
        </is>
      </c>
      <c r="H156" t="inlineStr">
        <is>
          <t>Reserve Melanesian capital comparator added so the Pacific reserve pool is not reduced to microstates and high-income systems.</t>
        </is>
      </c>
    </row>
    <row r="157">
      <c r="A157" t="inlineStr">
        <is>
          <t>ws-apia</t>
        </is>
      </c>
      <c r="B157" t="inlineStr">
        <is>
          <t>Apia</t>
        </is>
      </c>
      <c r="C157" t="inlineStr">
        <is>
          <t>Greater Apia</t>
        </is>
      </c>
      <c r="D157" t="inlineStr">
        <is>
          <t>Samoa</t>
        </is>
      </c>
      <c r="E157" t="inlineStr">
        <is>
          <t>Oceania</t>
        </is>
      </c>
      <c r="F157" t="inlineStr">
        <is>
          <t>primary</t>
        </is>
      </c>
      <c r="G157" t="inlineStr">
        <is>
          <t>provisional</t>
        </is>
      </c>
      <c r="H157" t="inlineStr">
        <is>
          <t>Reserve Polynesian capital comparator added for small-island services, climate resilience, and Pacific governance depth.</t>
        </is>
      </c>
    </row>
    <row r="158">
      <c r="A158" t="inlineStr">
        <is>
          <t>vu-port-vila</t>
        </is>
      </c>
      <c r="B158" t="inlineStr">
        <is>
          <t>Port Vila</t>
        </is>
      </c>
      <c r="C158" t="inlineStr">
        <is>
          <t>Greater Port Vila</t>
        </is>
      </c>
      <c r="D158" t="inlineStr">
        <is>
          <t>Vanuatu</t>
        </is>
      </c>
      <c r="E158" t="inlineStr">
        <is>
          <t>Oceania</t>
        </is>
      </c>
      <c r="F158" t="inlineStr">
        <is>
          <t>primary</t>
        </is>
      </c>
      <c r="G158" t="inlineStr">
        <is>
          <t>provisional</t>
        </is>
      </c>
      <c r="H158" t="inlineStr">
        <is>
          <t>Reserve Pacific capital comparator added for tourism, climate exposure, and utility-reliability benchmarking.</t>
        </is>
      </c>
    </row>
  </sheetData>
  <autoFilter ref="A1:H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8" customWidth="1" min="4" max="4"/>
    <col width="25" customWidth="1" min="5" max="5"/>
    <col width="21" customWidth="1" min="6" max="6"/>
    <col width="22" customWidth="1" min="7" max="7"/>
    <col width="12" customWidth="1" min="8" max="8"/>
    <col width="13" customWidth="1" min="9" max="9"/>
    <col width="13" customWidth="1" min="10" max="10"/>
    <col width="36" customWidth="1" min="11" max="11"/>
  </cols>
  <sheetData>
    <row r="1">
      <c r="A1" s="6" t="inlineStr">
        <is>
          <t>country</t>
        </is>
      </c>
      <c r="B1" s="6" t="inlineStr">
        <is>
          <t>gdp_per_capita_ppp</t>
        </is>
      </c>
      <c r="C1" s="6" t="inlineStr">
        <is>
          <t>gdp_growth</t>
        </is>
      </c>
      <c r="D1" s="6" t="inlineStr">
        <is>
          <t>gini_coefficient</t>
        </is>
      </c>
      <c r="E1" s="6" t="inlineStr">
        <is>
          <t>ppp_private_consumption</t>
        </is>
      </c>
      <c r="F1" s="6" t="inlineStr">
        <is>
          <t>tax_rate_assumption</t>
        </is>
      </c>
      <c r="G1" s="6" t="inlineStr">
        <is>
          <t>household_debt_proxy</t>
        </is>
      </c>
      <c r="H1" s="6" t="inlineStr">
        <is>
          <t>source_url</t>
        </is>
      </c>
      <c r="I1" s="6" t="inlineStr">
        <is>
          <t>source_tier</t>
        </is>
      </c>
      <c r="J1" s="6" t="inlineStr">
        <is>
          <t>update_date</t>
        </is>
      </c>
      <c r="K1" s="6" t="inlineStr">
        <is>
          <t>notes</t>
        </is>
      </c>
    </row>
    <row r="2">
      <c r="A2" t="inlineStr">
        <is>
          <t>Thailand</t>
        </is>
      </c>
      <c r="B2" t="n">
        <v>24712.07</v>
      </c>
      <c r="C2" s="7" t="n">
        <v>2.5418</v>
      </c>
      <c r="D2" t="n">
        <v>33.5</v>
      </c>
      <c r="E2" t="n">
        <v>10.945576</v>
      </c>
      <c r="F2" s="7" t="n">
        <v>0.152577</v>
      </c>
      <c r="G2" t="n">
        <v>115.1054</v>
      </c>
      <c r="H2" t="inlineStr">
        <is>
          <t>https://api.worldbank.org/v2/country/THA/indicator/NY.GDP.PCAP.PP.CD?format=json&amp;mrv=30 | https://api.worldbank.org/v2/country/THA/indicator/NY.GDP.MKTP.KD.ZG?format=json&amp;mrv=30 | https://api.worldbank.org/v2/country/THA/indicator/SI.POV.GINI?format=json&amp;mrv=30 | +3 more</t>
        </is>
      </c>
      <c r="I2" t="inlineStr">
        <is>
          <t>Tier 3</t>
        </is>
      </c>
      <c r="J2" s="8" t="inlineStr">
        <is>
          <t>2024-12-31</t>
        </is>
      </c>
      <c r="K2" t="inlineStr">
        <is>
          <t>providers=world_bank; fields=gdp_per_capita_ppp, gdp_growth, gini_coefficient, ppp_private_consumption; +2 additional fields</t>
        </is>
      </c>
    </row>
    <row r="3">
      <c r="A3" t="inlineStr">
        <is>
          <t>Singapore</t>
        </is>
      </c>
      <c r="B3" t="n">
        <v>150689.3</v>
      </c>
      <c r="C3" s="7" t="n">
        <v>4.388</v>
      </c>
      <c r="D3" t="inlineStr"/>
      <c r="E3" t="n">
        <v>1.04203</v>
      </c>
      <c r="F3" s="7" t="n">
        <v>0.141917</v>
      </c>
      <c r="G3" t="n">
        <v>129.1908</v>
      </c>
      <c r="H3" t="inlineStr">
        <is>
          <t>https://api.worldbank.org/v2/country/SGP/indicator/NY.GDP.PCAP.PP.CD?format=json&amp;mrv=30 | https://api.worldbank.org/v2/country/SGP/indicator/NY.GDP.MKTP.KD.ZG?format=json&amp;mrv=30 | https://api.worldbank.org/v2/country/SGP/indicator/PA.NUS.PRVT.PP?format=json&amp;mrv=30 | +2 more</t>
        </is>
      </c>
      <c r="I3" t="inlineStr">
        <is>
          <t>Tier 3</t>
        </is>
      </c>
      <c r="J3" s="8" t="inlineStr">
        <is>
          <t>2024-12-31</t>
        </is>
      </c>
      <c r="K3" t="inlineStr">
        <is>
          <t>providers=world_bank; fields=gdp_per_capita_ppp, gdp_growth, ppp_private_consumption, tax_rate_assumption; +1 additional fields</t>
        </is>
      </c>
    </row>
    <row r="4">
      <c r="A4" t="inlineStr">
        <is>
          <t>Malaysia</t>
        </is>
      </c>
      <c r="B4" t="n">
        <v>38779.28</v>
      </c>
      <c r="C4" s="7" t="n">
        <v>5.1055</v>
      </c>
      <c r="D4" t="n">
        <v>40.7</v>
      </c>
      <c r="E4" t="n">
        <v>1.449227</v>
      </c>
      <c r="F4" s="7" t="n">
        <v>0.125648</v>
      </c>
      <c r="G4" t="n">
        <v>116.0773</v>
      </c>
      <c r="H4" t="inlineStr">
        <is>
          <t>https://api.worldbank.org/v2/country/MYS/indicator/NY.GDP.PCAP.PP.CD?format=json&amp;mrv=30 | https://api.worldbank.org/v2/country/MYS/indicator/NY.GDP.MKTP.KD.ZG?format=json&amp;mrv=30 | https://api.worldbank.org/v2/country/MYS/indicator/SI.POV.GINI?format=json&amp;mrv=30 | +3 more</t>
        </is>
      </c>
      <c r="I4" t="inlineStr">
        <is>
          <t>Tier 3</t>
        </is>
      </c>
      <c r="J4" s="8" t="inlineStr">
        <is>
          <t>2024-12-31</t>
        </is>
      </c>
      <c r="K4" t="inlineStr">
        <is>
          <t>providers=world_bank; fields=gdp_per_capita_ppp, gdp_growth, gini_coefficient, ppp_private_consumption; +2 additional fields</t>
        </is>
      </c>
    </row>
    <row r="5">
      <c r="A5" t="inlineStr">
        <is>
          <t>Indonesia</t>
        </is>
      </c>
      <c r="B5" t="n">
        <v>16448.28</v>
      </c>
      <c r="C5" s="7" t="n">
        <v>5.0303</v>
      </c>
      <c r="D5" t="n">
        <v>34.9</v>
      </c>
      <c r="E5" t="n">
        <v>5104.98432</v>
      </c>
      <c r="F5" s="7" t="n">
        <v>0.110578</v>
      </c>
      <c r="G5" t="n">
        <v>31.7861</v>
      </c>
      <c r="H5" t="inlineStr">
        <is>
          <t>https://api.worldbank.org/v2/country/IDN/indicator/NY.GDP.PCAP.PP.CD?format=json&amp;mrv=30 | https://api.worldbank.org/v2/country/IDN/indicator/NY.GDP.MKTP.KD.ZG?format=json&amp;mrv=30 | https://api.worldbank.org/v2/country/IDN/indicator/SI.POV.GINI?format=json&amp;mrv=30 | +3 more</t>
        </is>
      </c>
      <c r="I5" t="inlineStr">
        <is>
          <t>Tier 3</t>
        </is>
      </c>
      <c r="J5" s="8" t="inlineStr">
        <is>
          <t>2024-12-31</t>
        </is>
      </c>
      <c r="K5" t="inlineStr">
        <is>
          <t>providers=world_bank; fields=gdp_per_capita_ppp, gdp_growth, gini_coefficient, ppp_private_consumption; +2 additional fields</t>
        </is>
      </c>
    </row>
    <row r="6">
      <c r="A6" t="inlineStr">
        <is>
          <t>Philippines</t>
        </is>
      </c>
      <c r="B6" t="n">
        <v>11794.14</v>
      </c>
      <c r="C6" s="7" t="n">
        <v>5.692</v>
      </c>
      <c r="D6" t="n">
        <v>39.3</v>
      </c>
      <c r="E6" t="n">
        <v>20.743506</v>
      </c>
      <c r="F6" s="7" t="n">
        <v>0.141044</v>
      </c>
      <c r="G6" t="n">
        <v>49.8137</v>
      </c>
      <c r="H6" t="inlineStr">
        <is>
          <t>https://api.worldbank.org/v2/country/PHL/indicator/NY.GDP.PCAP.PP.CD?format=json&amp;mrv=30 | https://api.worldbank.org/v2/country/PHL/indicator/NY.GDP.MKTP.KD.ZG?format=json&amp;mrv=30 | https://api.worldbank.org/v2/country/PHL/indicator/SI.POV.GINI?format=json&amp;mrv=30 | +3 more</t>
        </is>
      </c>
      <c r="I6" t="inlineStr">
        <is>
          <t>Tier 3</t>
        </is>
      </c>
      <c r="J6" s="8" t="inlineStr">
        <is>
          <t>2024-12-31</t>
        </is>
      </c>
      <c r="K6" t="inlineStr">
        <is>
          <t>providers=world_bank; fields=gdp_per_capita_ppp, gdp_growth, gini_coefficient, ppp_private_consumption; +2 additional fields</t>
        </is>
      </c>
    </row>
    <row r="7">
      <c r="A7" t="inlineStr">
        <is>
          <t>Taiwan</t>
        </is>
      </c>
      <c r="B7" t="inlineStr"/>
      <c r="C7" s="7" t="inlineStr"/>
      <c r="D7" t="inlineStr"/>
      <c r="E7" t="inlineStr"/>
      <c r="F7" s="7" t="inlineStr"/>
      <c r="G7" t="inlineStr"/>
      <c r="H7" t="inlineStr"/>
      <c r="I7" t="inlineStr"/>
      <c r="J7" s="8" t="inlineStr"/>
      <c r="K7" t="inlineStr">
        <is>
          <t>Populate official country context inputs before ranking.</t>
        </is>
      </c>
    </row>
    <row r="8">
      <c r="A8" t="inlineStr">
        <is>
          <t>South Korea</t>
        </is>
      </c>
      <c r="B8" t="n">
        <v>61051.35</v>
      </c>
      <c r="C8" s="7" t="n">
        <v>2.0036</v>
      </c>
      <c r="D8" t="n">
        <v>32.9</v>
      </c>
      <c r="E8" t="n">
        <v>872.468736</v>
      </c>
      <c r="F8" s="7" t="n">
        <v>0.145991</v>
      </c>
      <c r="G8" t="n">
        <v>160.3472</v>
      </c>
      <c r="H8" t="inlineStr">
        <is>
          <t>https://api.worldbank.org/v2/country/KOR/indicator/NY.GDP.PCAP.PP.CD?format=json&amp;mrv=30 | https://api.worldbank.org/v2/country/KOR/indicator/NY.GDP.MKTP.KD.ZG?format=json&amp;mrv=30 | https://api.worldbank.org/v2/country/KOR/indicator/SI.POV.GINI?format=json&amp;mrv=30 | +3 more</t>
        </is>
      </c>
      <c r="I8" t="inlineStr">
        <is>
          <t>Tier 3</t>
        </is>
      </c>
      <c r="J8" s="8" t="inlineStr">
        <is>
          <t>2024-12-31</t>
        </is>
      </c>
      <c r="K8" t="inlineStr">
        <is>
          <t>providers=world_bank; fields=gdp_per_capita_ppp, gdp_growth, gini_coefficient, ppp_private_consumption; +2 additional fields</t>
        </is>
      </c>
    </row>
    <row r="9">
      <c r="A9" t="inlineStr">
        <is>
          <t>China</t>
        </is>
      </c>
      <c r="B9" t="n">
        <v>27104.87</v>
      </c>
      <c r="C9" s="7" t="n">
        <v>4.9774</v>
      </c>
      <c r="D9" t="n">
        <v>36</v>
      </c>
      <c r="E9" t="n">
        <v>3.550789</v>
      </c>
      <c r="F9" s="7" t="n">
        <v>0.07638200000000001</v>
      </c>
      <c r="G9" t="n">
        <v>194.166</v>
      </c>
      <c r="H9" t="inlineStr">
        <is>
          <t>https://api.worldbank.org/v2/country/CHN/indicator/NY.GDP.PCAP.PP.CD?format=json&amp;mrv=30 | https://api.worldbank.org/v2/country/CHN/indicator/NY.GDP.MKTP.KD.ZG?format=json&amp;mrv=30 | https://api.worldbank.org/v2/country/CHN/indicator/SI.POV.GINI?format=json&amp;mrv=30 | +3 more</t>
        </is>
      </c>
      <c r="I9" t="inlineStr">
        <is>
          <t>Tier 3</t>
        </is>
      </c>
      <c r="J9" s="8" t="inlineStr">
        <is>
          <t>2024-12-31</t>
        </is>
      </c>
      <c r="K9" t="inlineStr">
        <is>
          <t>providers=world_bank; fields=gdp_per_capita_ppp, gdp_growth, gini_coefficient, ppp_private_consumption; +2 additional fields</t>
        </is>
      </c>
    </row>
    <row r="10">
      <c r="A10" t="inlineStr">
        <is>
          <t>Japan</t>
        </is>
      </c>
      <c r="B10" t="n">
        <v>52039.17</v>
      </c>
      <c r="C10" s="7" t="n">
        <v>0.1043</v>
      </c>
      <c r="D10" t="n">
        <v>32.3</v>
      </c>
      <c r="E10" t="n">
        <v>99.384798</v>
      </c>
      <c r="F10" s="7" t="inlineStr"/>
      <c r="G10" t="n">
        <v>123.1289</v>
      </c>
      <c r="H10" t="inlineStr">
        <is>
          <t>https://api.worldbank.org/v2/country/JPN/indicator/NY.GDP.PCAP.PP.CD?format=json&amp;mrv=30 | https://api.worldbank.org/v2/country/JPN/indicator/NY.GDP.MKTP.KD.ZG?format=json&amp;mrv=30 | https://api.worldbank.org/v2/country/JPN/indicator/SI.POV.GINI?format=json&amp;mrv=30 | +2 more</t>
        </is>
      </c>
      <c r="I10" t="inlineStr">
        <is>
          <t>Tier 3</t>
        </is>
      </c>
      <c r="J10" s="8" t="inlineStr">
        <is>
          <t>2024-12-31</t>
        </is>
      </c>
      <c r="K10" t="inlineStr">
        <is>
          <t>providers=world_bank; fields=gdp_per_capita_ppp, gdp_growth, gini_coefficient, ppp_private_consumption; +1 additional fields</t>
        </is>
      </c>
    </row>
    <row r="11">
      <c r="A11" t="inlineStr">
        <is>
          <t>India</t>
        </is>
      </c>
      <c r="B11" t="n">
        <v>11159.99</v>
      </c>
      <c r="C11" s="7" t="n">
        <v>6.4948</v>
      </c>
      <c r="D11" t="n">
        <v>25.5</v>
      </c>
      <c r="E11" t="n">
        <v>19.896916</v>
      </c>
      <c r="F11" s="7" t="n">
        <v>0.067344</v>
      </c>
      <c r="G11" t="n">
        <v>50.1422</v>
      </c>
      <c r="H11" t="inlineStr">
        <is>
          <t>https://api.worldbank.org/v2/country/IND/indicator/NY.GDP.PCAP.PP.CD?format=json&amp;mrv=30 | https://api.worldbank.org/v2/country/IND/indicator/NY.GDP.MKTP.KD.ZG?format=json&amp;mrv=30 | https://api.worldbank.org/v2/country/IND/indicator/SI.POV.GINI?format=json&amp;mrv=30 | +3 more</t>
        </is>
      </c>
      <c r="I11" t="inlineStr">
        <is>
          <t>Tier 3</t>
        </is>
      </c>
      <c r="J11" s="8" t="inlineStr">
        <is>
          <t>2024-12-31</t>
        </is>
      </c>
      <c r="K11" t="inlineStr">
        <is>
          <t>providers=world_bank; fields=gdp_per_capita_ppp, gdp_growth, gini_coefficient, ppp_private_consumption; +2 additional fields</t>
        </is>
      </c>
    </row>
    <row r="12">
      <c r="A12" t="inlineStr">
        <is>
          <t>Sri Lanka</t>
        </is>
      </c>
      <c r="B12" t="n">
        <v>15632.59</v>
      </c>
      <c r="C12" s="7" t="n">
        <v>5.0087</v>
      </c>
      <c r="D12" t="n">
        <v>37.7</v>
      </c>
      <c r="E12" t="n">
        <v>87.489315</v>
      </c>
      <c r="F12" s="7" t="n">
        <v>0.099219</v>
      </c>
      <c r="G12" t="n">
        <v>46.8716</v>
      </c>
      <c r="H12" t="inlineStr">
        <is>
          <t>https://api.worldbank.org/v2/country/LKA/indicator/NY.GDP.PCAP.PP.CD?format=json&amp;mrv=30 | https://api.worldbank.org/v2/country/LKA/indicator/NY.GDP.MKTP.KD.ZG?format=json&amp;mrv=30 | https://api.worldbank.org/v2/country/LKA/indicator/SI.POV.GINI?format=json&amp;mrv=30 | +3 more</t>
        </is>
      </c>
      <c r="I12" t="inlineStr">
        <is>
          <t>Tier 3</t>
        </is>
      </c>
      <c r="J12" s="8" t="inlineStr">
        <is>
          <t>2024-12-31</t>
        </is>
      </c>
      <c r="K12" t="inlineStr">
        <is>
          <t>providers=world_bank; fields=gdp_per_capita_ppp, gdp_growth, gini_coefficient, ppp_private_consumption; +2 additional fields</t>
        </is>
      </c>
    </row>
    <row r="13">
      <c r="A13" t="inlineStr">
        <is>
          <t>Bangladesh</t>
        </is>
      </c>
      <c r="B13" t="n">
        <v>9646.77</v>
      </c>
      <c r="C13" s="7" t="n">
        <v>4.2233</v>
      </c>
      <c r="D13" t="n">
        <v>30.9</v>
      </c>
      <c r="E13" t="n">
        <v>32.990539</v>
      </c>
      <c r="F13" s="7" t="n">
        <v>0.07642400000000001</v>
      </c>
      <c r="G13" t="n">
        <v>35.7061</v>
      </c>
      <c r="H13" t="inlineStr">
        <is>
          <t>https://api.worldbank.org/v2/country/BGD/indicator/NY.GDP.PCAP.PP.CD?format=json&amp;mrv=30 | https://api.worldbank.org/v2/country/BGD/indicator/NY.GDP.MKTP.KD.ZG?format=json&amp;mrv=30 | https://api.worldbank.org/v2/country/BGD/indicator/SI.POV.GINI?format=json&amp;mrv=30 | +3 more</t>
        </is>
      </c>
      <c r="I13" t="inlineStr">
        <is>
          <t>Tier 3</t>
        </is>
      </c>
      <c r="J13" s="8" t="inlineStr">
        <is>
          <t>2024-12-31</t>
        </is>
      </c>
      <c r="K13" t="inlineStr">
        <is>
          <t>providers=world_bank; fields=gdp_per_capita_ppp, gdp_growth, gini_coefficient, ppp_private_consumption; +2 additional fields</t>
        </is>
      </c>
    </row>
    <row r="14">
      <c r="A14" t="inlineStr">
        <is>
          <t>Pakistan</t>
        </is>
      </c>
      <c r="B14" t="n">
        <v>6252.12</v>
      </c>
      <c r="C14" s="7" t="n">
        <v>3.049</v>
      </c>
      <c r="D14" t="n">
        <v>29.6</v>
      </c>
      <c r="E14" t="n">
        <v>64.86099400000001</v>
      </c>
      <c r="F14" s="7" t="inlineStr"/>
      <c r="G14" t="n">
        <v>11.3901</v>
      </c>
      <c r="H14" t="inlineStr">
        <is>
          <t>https://api.worldbank.org/v2/country/PAK/indicator/NY.GDP.PCAP.PP.CD?format=json&amp;mrv=30 | https://api.worldbank.org/v2/country/PAK/indicator/NY.GDP.MKTP.KD.ZG?format=json&amp;mrv=30 | https://api.worldbank.org/v2/country/PAK/indicator/SI.POV.GINI?format=json&amp;mrv=30 | +2 more</t>
        </is>
      </c>
      <c r="I14" t="inlineStr">
        <is>
          <t>Tier 3</t>
        </is>
      </c>
      <c r="J14" s="8" t="inlineStr">
        <is>
          <t>2024-12-31</t>
        </is>
      </c>
      <c r="K14" t="inlineStr">
        <is>
          <t>providers=world_bank; fields=gdp_per_capita_ppp, gdp_growth, gini_coefficient, ppp_private_consumption; +1 additional fields</t>
        </is>
      </c>
    </row>
    <row r="15">
      <c r="A15" t="inlineStr">
        <is>
          <t>Nepal</t>
        </is>
      </c>
      <c r="B15" t="n">
        <v>5736.62</v>
      </c>
      <c r="C15" s="7" t="n">
        <v>3.6654</v>
      </c>
      <c r="D15" t="n">
        <v>30</v>
      </c>
      <c r="E15" t="n">
        <v>35.285741</v>
      </c>
      <c r="F15" s="7" t="n">
        <v>0.139449</v>
      </c>
      <c r="G15" t="n">
        <v>91.9385</v>
      </c>
      <c r="H15" t="inlineStr">
        <is>
          <t>https://api.worldbank.org/v2/country/NPL/indicator/NY.GDP.PCAP.PP.CD?format=json&amp;mrv=30 | https://api.worldbank.org/v2/country/NPL/indicator/NY.GDP.MKTP.KD.ZG?format=json&amp;mrv=30 | https://api.worldbank.org/v2/country/NPL/indicator/SI.POV.GINI?format=json&amp;mrv=30 | +3 more</t>
        </is>
      </c>
      <c r="I15" t="inlineStr">
        <is>
          <t>Tier 3</t>
        </is>
      </c>
      <c r="J15" s="8" t="inlineStr">
        <is>
          <t>2024-12-31</t>
        </is>
      </c>
      <c r="K15" t="inlineStr">
        <is>
          <t>providers=world_bank; fields=gdp_per_capita_ppp, gdp_growth, gini_coefficient, ppp_private_consumption; +2 additional fields</t>
        </is>
      </c>
    </row>
    <row r="16">
      <c r="A16" t="inlineStr">
        <is>
          <t>Bhutan</t>
        </is>
      </c>
      <c r="B16" t="n">
        <v>16215.15</v>
      </c>
      <c r="C16" s="7" t="n">
        <v>4.6322</v>
      </c>
      <c r="D16" t="n">
        <v>28.5</v>
      </c>
      <c r="E16" t="n">
        <v>20.878112</v>
      </c>
      <c r="F16" s="7" t="n">
        <v>0.122846</v>
      </c>
      <c r="G16" t="n">
        <v>51.8935</v>
      </c>
      <c r="H16" t="inlineStr">
        <is>
          <t>https://api.worldbank.org/v2/country/BTN/indicator/NY.GDP.PCAP.PP.CD?format=json&amp;mrv=30 | https://api.worldbank.org/v2/country/BTN/indicator/NY.GDP.MKTP.KD.ZG?format=json&amp;mrv=30 | https://api.worldbank.org/v2/country/BTN/indicator/SI.POV.GINI?format=json&amp;mrv=30 | +3 more</t>
        </is>
      </c>
      <c r="I16" t="inlineStr">
        <is>
          <t>Tier 3</t>
        </is>
      </c>
      <c r="J16" s="8" t="inlineStr">
        <is>
          <t>2024-12-31</t>
        </is>
      </c>
      <c r="K16" t="inlineStr">
        <is>
          <t>providers=world_bank; fields=gdp_per_capita_ppp, gdp_growth, gini_coefficient, ppp_private_consumption; +2 additional fields</t>
        </is>
      </c>
    </row>
    <row r="17">
      <c r="A17" t="inlineStr">
        <is>
          <t>Maldives</t>
        </is>
      </c>
      <c r="B17" t="n">
        <v>26182.78</v>
      </c>
      <c r="C17" s="7" t="n">
        <v>3.4944</v>
      </c>
      <c r="D17" t="n">
        <v>29.3</v>
      </c>
      <c r="E17" t="n">
        <v>9.455282</v>
      </c>
      <c r="F17" s="7" t="n">
        <v>0.194532</v>
      </c>
      <c r="G17" t="n">
        <v>31.5415</v>
      </c>
      <c r="H17" t="inlineStr">
        <is>
          <t>https://api.worldbank.org/v2/country/MDV/indicator/NY.GDP.PCAP.PP.CD?format=json&amp;mrv=30 | https://api.worldbank.org/v2/country/MDV/indicator/NY.GDP.MKTP.KD.ZG?format=json&amp;mrv=30 | https://api.worldbank.org/v2/country/MDV/indicator/SI.POV.GINI?format=json&amp;mrv=30 | +3 more</t>
        </is>
      </c>
      <c r="I17" t="inlineStr">
        <is>
          <t>Tier 3</t>
        </is>
      </c>
      <c r="J17" s="8" t="inlineStr">
        <is>
          <t>2024-12-31</t>
        </is>
      </c>
      <c r="K17" t="inlineStr">
        <is>
          <t>providers=world_bank; fields=gdp_per_capita_ppp, gdp_growth, gini_coefficient, ppp_private_consumption; +2 additional fields</t>
        </is>
      </c>
    </row>
    <row r="18">
      <c r="A18" t="inlineStr">
        <is>
          <t>France</t>
        </is>
      </c>
      <c r="B18" t="n">
        <v>62556.92</v>
      </c>
      <c r="C18" s="7" t="n">
        <v>1.1905</v>
      </c>
      <c r="D18" t="n">
        <v>31.8</v>
      </c>
      <c r="E18" t="n">
        <v>0.716934</v>
      </c>
      <c r="F18" s="7" t="n">
        <v>0.23077</v>
      </c>
      <c r="G18" t="n">
        <v>103.9081</v>
      </c>
      <c r="H18" t="inlineStr">
        <is>
          <t>https://api.worldbank.org/v2/country/FRA/indicator/NY.GDP.PCAP.PP.CD?format=json&amp;mrv=30 | https://api.worldbank.org/v2/country/FRA/indicator/NY.GDP.MKTP.KD.ZG?format=json&amp;mrv=30 | https://api.worldbank.org/v2/country/FRA/indicator/SI.POV.GINI?format=json&amp;mrv=30 | +3 more</t>
        </is>
      </c>
      <c r="I18" t="inlineStr">
        <is>
          <t>Tier 3</t>
        </is>
      </c>
      <c r="J18" s="8" t="inlineStr">
        <is>
          <t>2024-12-31</t>
        </is>
      </c>
      <c r="K18" t="inlineStr">
        <is>
          <t>providers=world_bank; fields=gdp_per_capita_ppp, gdp_growth, gini_coefficient, ppp_private_consumption; +2 additional fields</t>
        </is>
      </c>
    </row>
    <row r="19">
      <c r="A19" t="inlineStr">
        <is>
          <t>Austria</t>
        </is>
      </c>
      <c r="B19" t="n">
        <v>73911.44</v>
      </c>
      <c r="C19" s="7" t="n">
        <v>-0.6591</v>
      </c>
      <c r="D19" t="n">
        <v>31.2</v>
      </c>
      <c r="E19" t="n">
        <v>0.720487</v>
      </c>
      <c r="F19" s="7" t="n">
        <v>0.256407</v>
      </c>
      <c r="G19" t="n">
        <v>81.4953</v>
      </c>
      <c r="H19" t="inlineStr">
        <is>
          <t>https://api.worldbank.org/v2/country/AUT/indicator/NY.GDP.PCAP.PP.CD?format=json&amp;mrv=30 | https://api.worldbank.org/v2/country/AUT/indicator/NY.GDP.MKTP.KD.ZG?format=json&amp;mrv=30 | https://api.worldbank.org/v2/country/AUT/indicator/SI.POV.GINI?format=json&amp;mrv=30 | +3 more</t>
        </is>
      </c>
      <c r="I19" t="inlineStr">
        <is>
          <t>Tier 3</t>
        </is>
      </c>
      <c r="J19" s="8" t="inlineStr">
        <is>
          <t>2024-12-31</t>
        </is>
      </c>
      <c r="K19" t="inlineStr">
        <is>
          <t>providers=world_bank; fields=gdp_per_capita_ppp, gdp_growth, gini_coefficient, ppp_private_consumption; +2 additional fields</t>
        </is>
      </c>
    </row>
    <row r="20">
      <c r="A20" t="inlineStr">
        <is>
          <t>Switzerland</t>
        </is>
      </c>
      <c r="B20" t="n">
        <v>96497.69</v>
      </c>
      <c r="C20" s="7" t="n">
        <v>1.3023</v>
      </c>
      <c r="D20" t="n">
        <v>33.8</v>
      </c>
      <c r="E20" t="n">
        <v>1.062369</v>
      </c>
      <c r="F20" s="7" t="n">
        <v>0.090036</v>
      </c>
      <c r="G20" t="n">
        <v>170.3782</v>
      </c>
      <c r="H20" t="inlineStr">
        <is>
          <t>https://api.worldbank.org/v2/country/CHE/indicator/NY.GDP.PCAP.PP.CD?format=json&amp;mrv=30 | https://api.worldbank.org/v2/country/CHE/indicator/NY.GDP.MKTP.KD.ZG?format=json&amp;mrv=30 | https://api.worldbank.org/v2/country/CHE/indicator/SI.POV.GINI?format=json&amp;mrv=30 | +3 more</t>
        </is>
      </c>
      <c r="I20" t="inlineStr">
        <is>
          <t>Tier 3</t>
        </is>
      </c>
      <c r="J20" s="8" t="inlineStr">
        <is>
          <t>2024-12-31</t>
        </is>
      </c>
      <c r="K20" t="inlineStr">
        <is>
          <t>providers=world_bank; fields=gdp_per_capita_ppp, gdp_growth, gini_coefficient, ppp_private_consumption; +2 additional fields</t>
        </is>
      </c>
    </row>
    <row r="21">
      <c r="A21" t="inlineStr">
        <is>
          <t>Netherlands</t>
        </is>
      </c>
      <c r="B21" t="n">
        <v>86173.63</v>
      </c>
      <c r="C21" s="7" t="n">
        <v>1.081</v>
      </c>
      <c r="D21" t="n">
        <v>25.7</v>
      </c>
      <c r="E21" t="n">
        <v>0.74195</v>
      </c>
      <c r="F21" s="7" t="n">
        <v>0.25254</v>
      </c>
      <c r="G21" t="n">
        <v>82.3297</v>
      </c>
      <c r="H21" t="inlineStr">
        <is>
          <t>https://api.worldbank.org/v2/country/NLD/indicator/NY.GDP.PCAP.PP.CD?format=json&amp;mrv=30 | https://api.worldbank.org/v2/country/NLD/indicator/NY.GDP.MKTP.KD.ZG?format=json&amp;mrv=30 | https://api.worldbank.org/v2/country/NLD/indicator/SI.POV.GINI?format=json&amp;mrv=30 | +3 more</t>
        </is>
      </c>
      <c r="I21" t="inlineStr">
        <is>
          <t>Tier 3</t>
        </is>
      </c>
      <c r="J21" s="8" t="inlineStr">
        <is>
          <t>2024-12-31</t>
        </is>
      </c>
      <c r="K21" t="inlineStr">
        <is>
          <t>providers=world_bank; fields=gdp_per_capita_ppp, gdp_growth, gini_coefficient, ppp_private_consumption; +2 additional fields</t>
        </is>
      </c>
    </row>
    <row r="22">
      <c r="A22" t="inlineStr">
        <is>
          <t>Denmark</t>
        </is>
      </c>
      <c r="B22" t="n">
        <v>81878.23</v>
      </c>
      <c r="C22" s="7" t="n">
        <v>3.4778</v>
      </c>
      <c r="D22" t="n">
        <v>29.9</v>
      </c>
      <c r="E22" t="n">
        <v>6.764411</v>
      </c>
      <c r="F22" s="7" t="n">
        <v>0.315935</v>
      </c>
      <c r="G22" t="n">
        <v>144.0931</v>
      </c>
      <c r="H22" t="inlineStr">
        <is>
          <t>https://api.worldbank.org/v2/country/DNK/indicator/NY.GDP.PCAP.PP.CD?format=json&amp;mrv=30 | https://api.worldbank.org/v2/country/DNK/indicator/NY.GDP.MKTP.KD.ZG?format=json&amp;mrv=30 | https://api.worldbank.org/v2/country/DNK/indicator/SI.POV.GINI?format=json&amp;mrv=30 | +3 more</t>
        </is>
      </c>
      <c r="I22" t="inlineStr">
        <is>
          <t>Tier 3</t>
        </is>
      </c>
      <c r="J22" s="8" t="inlineStr">
        <is>
          <t>2024-12-31</t>
        </is>
      </c>
      <c r="K22" t="inlineStr">
        <is>
          <t>providers=world_bank; fields=gdp_per_capita_ppp, gdp_growth, gini_coefficient, ppp_private_consumption; +2 additional fields</t>
        </is>
      </c>
    </row>
    <row r="23">
      <c r="A23" t="inlineStr">
        <is>
          <t>Italy</t>
        </is>
      </c>
      <c r="B23" t="n">
        <v>62014.27</v>
      </c>
      <c r="C23" s="7" t="n">
        <v>0.6927</v>
      </c>
      <c r="D23" t="n">
        <v>34.3</v>
      </c>
      <c r="E23" t="n">
        <v>0.625157</v>
      </c>
      <c r="F23" s="7" t="n">
        <v>0.24708</v>
      </c>
      <c r="G23" t="n">
        <v>59.3116</v>
      </c>
      <c r="H23" t="inlineStr">
        <is>
          <t>https://api.worldbank.org/v2/country/ITA/indicator/NY.GDP.PCAP.PP.CD?format=json&amp;mrv=30 | https://api.worldbank.org/v2/country/ITA/indicator/NY.GDP.MKTP.KD.ZG?format=json&amp;mrv=30 | https://api.worldbank.org/v2/country/ITA/indicator/SI.POV.GINI?format=json&amp;mrv=30 | +3 more</t>
        </is>
      </c>
      <c r="I23" t="inlineStr">
        <is>
          <t>Tier 3</t>
        </is>
      </c>
      <c r="J23" s="8" t="inlineStr">
        <is>
          <t>2024-12-31</t>
        </is>
      </c>
      <c r="K23" t="inlineStr">
        <is>
          <t>providers=world_bank; fields=gdp_per_capita_ppp, gdp_growth, gini_coefficient, ppp_private_consumption; +2 additional fields</t>
        </is>
      </c>
    </row>
    <row r="24">
      <c r="A24" t="inlineStr">
        <is>
          <t>Portugal</t>
        </is>
      </c>
      <c r="B24" t="n">
        <v>51679.89</v>
      </c>
      <c r="C24" s="7" t="n">
        <v>2.1397</v>
      </c>
      <c r="D24" t="n">
        <v>33.9</v>
      </c>
      <c r="E24" t="n">
        <v>0.5587490000000001</v>
      </c>
      <c r="F24" s="7" t="n">
        <v>0.226188</v>
      </c>
      <c r="G24" t="n">
        <v>77.1375</v>
      </c>
      <c r="H24" t="inlineStr">
        <is>
          <t>https://api.worldbank.org/v2/country/PRT/indicator/NY.GDP.PCAP.PP.CD?format=json&amp;mrv=30 | https://api.worldbank.org/v2/country/PRT/indicator/NY.GDP.MKTP.KD.ZG?format=json&amp;mrv=30 | https://api.worldbank.org/v2/country/PRT/indicator/SI.POV.GINI?format=json&amp;mrv=30 | +3 more</t>
        </is>
      </c>
      <c r="I24" t="inlineStr">
        <is>
          <t>Tier 3</t>
        </is>
      </c>
      <c r="J24" s="8" t="inlineStr">
        <is>
          <t>2024-12-31</t>
        </is>
      </c>
      <c r="K24" t="inlineStr">
        <is>
          <t>providers=world_bank; fields=gdp_per_capita_ppp, gdp_growth, gini_coefficient, ppp_private_consumption; +2 additional fields</t>
        </is>
      </c>
    </row>
    <row r="25">
      <c r="A25" t="inlineStr">
        <is>
          <t>Estonia</t>
        </is>
      </c>
      <c r="B25" t="n">
        <v>49968.71</v>
      </c>
      <c r="C25" s="7" t="n">
        <v>-0.09</v>
      </c>
      <c r="D25" t="n">
        <v>30.7</v>
      </c>
      <c r="E25" t="n">
        <v>0.646078</v>
      </c>
      <c r="F25" s="7" t="n">
        <v>0.21329</v>
      </c>
      <c r="G25" t="n">
        <v>60.5329</v>
      </c>
      <c r="H25" t="inlineStr">
        <is>
          <t>https://api.worldbank.org/v2/country/EST/indicator/NY.GDP.PCAP.PP.CD?format=json&amp;mrv=30 | https://api.worldbank.org/v2/country/EST/indicator/NY.GDP.MKTP.KD.ZG?format=json&amp;mrv=30 | https://api.worldbank.org/v2/country/EST/indicator/SI.POV.GINI?format=json&amp;mrv=30 | +3 more</t>
        </is>
      </c>
      <c r="I25" t="inlineStr">
        <is>
          <t>Tier 3</t>
        </is>
      </c>
      <c r="J25" s="8" t="inlineStr">
        <is>
          <t>2024-12-31</t>
        </is>
      </c>
      <c r="K25" t="inlineStr">
        <is>
          <t>providers=world_bank; fields=gdp_per_capita_ppp, gdp_growth, gini_coefficient, ppp_private_consumption; +2 additional fields</t>
        </is>
      </c>
    </row>
    <row r="26">
      <c r="A26" t="inlineStr">
        <is>
          <t>Finland</t>
        </is>
      </c>
      <c r="B26" t="n">
        <v>65378.38</v>
      </c>
      <c r="C26" s="7" t="n">
        <v>0.4162</v>
      </c>
      <c r="D26" t="n">
        <v>27.4</v>
      </c>
      <c r="E26" t="n">
        <v>0.788236</v>
      </c>
      <c r="F26" s="7" t="n">
        <v>0.253757</v>
      </c>
      <c r="G26" t="n">
        <v>90.8647</v>
      </c>
      <c r="H26" t="inlineStr">
        <is>
          <t>https://api.worldbank.org/v2/country/FIN/indicator/NY.GDP.PCAP.PP.CD?format=json&amp;mrv=30 | https://api.worldbank.org/v2/country/FIN/indicator/NY.GDP.MKTP.KD.ZG?format=json&amp;mrv=30 | https://api.worldbank.org/v2/country/FIN/indicator/SI.POV.GINI?format=json&amp;mrv=30 | +3 more</t>
        </is>
      </c>
      <c r="I26" t="inlineStr">
        <is>
          <t>Tier 3</t>
        </is>
      </c>
      <c r="J26" s="8" t="inlineStr">
        <is>
          <t>2024-12-31</t>
        </is>
      </c>
      <c r="K26" t="inlineStr">
        <is>
          <t>providers=world_bank; fields=gdp_per_capita_ppp, gdp_growth, gini_coefficient, ppp_private_consumption; +2 additional fields</t>
        </is>
      </c>
    </row>
    <row r="27">
      <c r="A27" t="inlineStr">
        <is>
          <t>Russia</t>
        </is>
      </c>
      <c r="B27" t="n">
        <v>47404.96</v>
      </c>
      <c r="C27" s="7" t="n">
        <v>4.3444</v>
      </c>
      <c r="D27" t="n">
        <v>33</v>
      </c>
      <c r="E27" t="n">
        <v>29.049846</v>
      </c>
      <c r="F27" s="7" t="n">
        <v>0.120728</v>
      </c>
      <c r="G27" t="n">
        <v>54.6413</v>
      </c>
      <c r="H27" t="inlineStr">
        <is>
          <t>https://api.worldbank.org/v2/country/RUS/indicator/NY.GDP.PCAP.PP.CD?format=json&amp;mrv=30 | https://api.worldbank.org/v2/country/RUS/indicator/NY.GDP.MKTP.KD.ZG?format=json&amp;mrv=30 | https://api.worldbank.org/v2/country/RUS/indicator/SI.POV.GINI?format=json&amp;mrv=30 | +3 more</t>
        </is>
      </c>
      <c r="I27" t="inlineStr">
        <is>
          <t>Tier 3</t>
        </is>
      </c>
      <c r="J27" s="8" t="inlineStr">
        <is>
          <t>2024-12-31</t>
        </is>
      </c>
      <c r="K27" t="inlineStr">
        <is>
          <t>providers=world_bank; fields=gdp_per_capita_ppp, gdp_growth, gini_coefficient, ppp_private_consumption; +2 additional fields</t>
        </is>
      </c>
    </row>
    <row r="28">
      <c r="A28" t="inlineStr">
        <is>
          <t>Hungary</t>
        </is>
      </c>
      <c r="B28" t="n">
        <v>48552.47</v>
      </c>
      <c r="C28" s="7" t="n">
        <v>0.5601</v>
      </c>
      <c r="D28" t="n">
        <v>30.6</v>
      </c>
      <c r="E28" t="n">
        <v>189.314181</v>
      </c>
      <c r="F28" s="7" t="n">
        <v>0.234286</v>
      </c>
      <c r="G28" t="n">
        <v>32.1191</v>
      </c>
      <c r="H28" t="inlineStr">
        <is>
          <t>https://api.worldbank.org/v2/country/HUN/indicator/NY.GDP.PCAP.PP.CD?format=json&amp;mrv=30 | https://api.worldbank.org/v2/country/HUN/indicator/NY.GDP.MKTP.KD.ZG?format=json&amp;mrv=30 | https://api.worldbank.org/v2/country/HUN/indicator/SI.POV.GINI?format=json&amp;mrv=30 | +3 more</t>
        </is>
      </c>
      <c r="I28" t="inlineStr">
        <is>
          <t>Tier 3</t>
        </is>
      </c>
      <c r="J28" s="8" t="inlineStr">
        <is>
          <t>2024-12-31</t>
        </is>
      </c>
      <c r="K28" t="inlineStr">
        <is>
          <t>providers=world_bank; fields=gdp_per_capita_ppp, gdp_growth, gini_coefficient, ppp_private_consumption; +2 additional fields</t>
        </is>
      </c>
    </row>
    <row r="29">
      <c r="A29" t="inlineStr">
        <is>
          <t>Poland</t>
        </is>
      </c>
      <c r="B29" t="n">
        <v>51262.51</v>
      </c>
      <c r="C29" s="7" t="n">
        <v>3.0284</v>
      </c>
      <c r="D29" t="n">
        <v>28.5</v>
      </c>
      <c r="E29" t="n">
        <v>2.008043</v>
      </c>
      <c r="F29" s="7" t="n">
        <v>0.179988</v>
      </c>
      <c r="G29" t="n">
        <v>33.5851</v>
      </c>
      <c r="H29" t="inlineStr">
        <is>
          <t>https://api.worldbank.org/v2/country/POL/indicator/NY.GDP.PCAP.PP.CD?format=json&amp;mrv=30 | https://api.worldbank.org/v2/country/POL/indicator/NY.GDP.MKTP.KD.ZG?format=json&amp;mrv=30 | https://api.worldbank.org/v2/country/POL/indicator/SI.POV.GINI?format=json&amp;mrv=30 | +3 more</t>
        </is>
      </c>
      <c r="I29" t="inlineStr">
        <is>
          <t>Tier 3</t>
        </is>
      </c>
      <c r="J29" s="8" t="inlineStr">
        <is>
          <t>2024-12-31</t>
        </is>
      </c>
      <c r="K29" t="inlineStr">
        <is>
          <t>providers=world_bank; fields=gdp_per_capita_ppp, gdp_growth, gini_coefficient, ppp_private_consumption; +2 additional fields</t>
        </is>
      </c>
    </row>
    <row r="30">
      <c r="A30" t="inlineStr">
        <is>
          <t>Romania</t>
        </is>
      </c>
      <c r="B30" t="n">
        <v>49076.54</v>
      </c>
      <c r="C30" s="7" t="n">
        <v>0.916</v>
      </c>
      <c r="D30" t="n">
        <v>29.8</v>
      </c>
      <c r="E30" t="n">
        <v>2.056572</v>
      </c>
      <c r="F30" s="7" t="n">
        <v>0.162142</v>
      </c>
      <c r="G30" t="n">
        <v>22.7281</v>
      </c>
      <c r="H30" t="inlineStr">
        <is>
          <t>https://api.worldbank.org/v2/country/ROU/indicator/NY.GDP.PCAP.PP.CD?format=json&amp;mrv=30 | https://api.worldbank.org/v2/country/ROU/indicator/NY.GDP.MKTP.KD.ZG?format=json&amp;mrv=30 | https://api.worldbank.org/v2/country/ROU/indicator/SI.POV.GINI?format=json&amp;mrv=30 | +3 more</t>
        </is>
      </c>
      <c r="I30" t="inlineStr">
        <is>
          <t>Tier 3</t>
        </is>
      </c>
      <c r="J30" s="8" t="inlineStr">
        <is>
          <t>2024-12-31</t>
        </is>
      </c>
      <c r="K30" t="inlineStr">
        <is>
          <t>providers=world_bank; fields=gdp_per_capita_ppp, gdp_growth, gini_coefficient, ppp_private_consumption; +2 additional fields</t>
        </is>
      </c>
    </row>
    <row r="31">
      <c r="A31" t="inlineStr">
        <is>
          <t>Serbia</t>
        </is>
      </c>
      <c r="B31" t="n">
        <v>32832.18</v>
      </c>
      <c r="C31" s="7" t="n">
        <v>3.9499</v>
      </c>
      <c r="D31" t="n">
        <v>32.8</v>
      </c>
      <c r="E31" t="n">
        <v>50.584223</v>
      </c>
      <c r="F31" s="7" t="n">
        <v>0.23893</v>
      </c>
      <c r="G31" t="n">
        <v>32.6048</v>
      </c>
      <c r="H31" t="inlineStr">
        <is>
          <t>https://api.worldbank.org/v2/country/SRB/indicator/NY.GDP.PCAP.PP.CD?format=json&amp;mrv=30 | https://api.worldbank.org/v2/country/SRB/indicator/NY.GDP.MKTP.KD.ZG?format=json&amp;mrv=30 | https://api.worldbank.org/v2/country/SRB/indicator/SI.POV.GINI?format=json&amp;mrv=30 | +3 more</t>
        </is>
      </c>
      <c r="I31" t="inlineStr">
        <is>
          <t>Tier 3</t>
        </is>
      </c>
      <c r="J31" s="8" t="inlineStr">
        <is>
          <t>2024-12-31</t>
        </is>
      </c>
      <c r="K31" t="inlineStr">
        <is>
          <t>providers=world_bank; fields=gdp_per_capita_ppp, gdp_growth, gini_coefficient, ppp_private_consumption; +2 additional fields</t>
        </is>
      </c>
    </row>
    <row r="32">
      <c r="A32" t="inlineStr">
        <is>
          <t>Slovakia</t>
        </is>
      </c>
      <c r="B32" t="n">
        <v>48132.36</v>
      </c>
      <c r="C32" s="7" t="n">
        <v>1.9387</v>
      </c>
      <c r="D32" t="n">
        <v>23.8</v>
      </c>
      <c r="E32" t="n">
        <v>0.545311</v>
      </c>
      <c r="F32" s="7" t="n">
        <v>0.193079</v>
      </c>
      <c r="G32" t="n">
        <v>59.6386</v>
      </c>
      <c r="H32" t="inlineStr">
        <is>
          <t>https://api.worldbank.org/v2/country/SVK/indicator/NY.GDP.PCAP.PP.CD?format=json&amp;mrv=30 | https://api.worldbank.org/v2/country/SVK/indicator/NY.GDP.MKTP.KD.ZG?format=json&amp;mrv=30 | https://api.worldbank.org/v2/country/SVK/indicator/SI.POV.GINI?format=json&amp;mrv=30 | +3 more</t>
        </is>
      </c>
      <c r="I32" t="inlineStr">
        <is>
          <t>Tier 3</t>
        </is>
      </c>
      <c r="J32" s="8" t="inlineStr">
        <is>
          <t>2024-12-31</t>
        </is>
      </c>
      <c r="K32" t="inlineStr">
        <is>
          <t>providers=world_bank; fields=gdp_per_capita_ppp, gdp_growth, gini_coefficient, ppp_private_consumption; +2 additional fields</t>
        </is>
      </c>
    </row>
    <row r="33">
      <c r="A33" t="inlineStr">
        <is>
          <t>United States</t>
        </is>
      </c>
      <c r="B33" t="n">
        <v>85809.89999999999</v>
      </c>
      <c r="C33" s="7" t="n">
        <v>2.793</v>
      </c>
      <c r="D33" t="n">
        <v>41.8</v>
      </c>
      <c r="E33" t="n">
        <v>1</v>
      </c>
      <c r="F33" s="7" t="n">
        <v>0.108905</v>
      </c>
      <c r="G33" t="n">
        <v>46.8411</v>
      </c>
      <c r="H33" t="inlineStr">
        <is>
          <t>https://api.worldbank.org/v2/country/USA/indicator/NY.GDP.PCAP.PP.CD?format=json&amp;mrv=30 | https://api.worldbank.org/v2/country/USA/indicator/NY.GDP.MKTP.KD.ZG?format=json&amp;mrv=30 | https://api.worldbank.org/v2/country/USA/indicator/SI.POV.GINI?format=json&amp;mrv=30 | +3 more</t>
        </is>
      </c>
      <c r="I33" t="inlineStr">
        <is>
          <t>Tier 3</t>
        </is>
      </c>
      <c r="J33" s="8" t="inlineStr">
        <is>
          <t>2024-12-31</t>
        </is>
      </c>
      <c r="K33" t="inlineStr">
        <is>
          <t>providers=world_bank; fields=gdp_per_capita_ppp, gdp_growth, gini_coefficient, ppp_private_consumption; +2 additional fields</t>
        </is>
      </c>
    </row>
    <row r="34">
      <c r="A34" t="inlineStr">
        <is>
          <t>Mexico</t>
        </is>
      </c>
      <c r="B34" t="n">
        <v>26185.36</v>
      </c>
      <c r="C34" s="7" t="n">
        <v>1.4274</v>
      </c>
      <c r="D34" t="n">
        <v>43.5</v>
      </c>
      <c r="E34" t="n">
        <v>10.801299</v>
      </c>
      <c r="F34" s="7" t="n">
        <v>0.141936</v>
      </c>
      <c r="G34" t="n">
        <v>26.5628</v>
      </c>
      <c r="H34" t="inlineStr">
        <is>
          <t>https://api.worldbank.org/v2/country/MEX/indicator/NY.GDP.PCAP.PP.CD?format=json&amp;mrv=30 | https://api.worldbank.org/v2/country/MEX/indicator/NY.GDP.MKTP.KD.ZG?format=json&amp;mrv=30 | https://api.worldbank.org/v2/country/MEX/indicator/SI.POV.GINI?format=json&amp;mrv=30 | +3 more</t>
        </is>
      </c>
      <c r="I34" t="inlineStr">
        <is>
          <t>Tier 3</t>
        </is>
      </c>
      <c r="J34" s="8" t="inlineStr">
        <is>
          <t>2024-12-31</t>
        </is>
      </c>
      <c r="K34" t="inlineStr">
        <is>
          <t>providers=world_bank; fields=gdp_per_capita_ppp, gdp_growth, gini_coefficient, ppp_private_consumption; +2 additional fields</t>
        </is>
      </c>
    </row>
    <row r="35">
      <c r="A35" t="inlineStr">
        <is>
          <t>Canada</t>
        </is>
      </c>
      <c r="B35" t="n">
        <v>64610.38</v>
      </c>
      <c r="C35" s="7" t="n">
        <v>1.5548</v>
      </c>
      <c r="D35" t="n">
        <v>31.1</v>
      </c>
      <c r="E35" t="n">
        <v>1.240903</v>
      </c>
      <c r="F35" s="7" t="n">
        <v>0.142302</v>
      </c>
      <c r="G35" t="n">
        <v>124.0978</v>
      </c>
      <c r="H35" t="inlineStr">
        <is>
          <t>https://api.worldbank.org/v2/country/CAN/indicator/NY.GDP.PCAP.PP.CD?format=json&amp;mrv=30 | https://api.worldbank.org/v2/country/CAN/indicator/NY.GDP.MKTP.KD.ZG?format=json&amp;mrv=30 | https://api.worldbank.org/v2/country/CAN/indicator/SI.POV.GINI?format=json&amp;mrv=30 | +3 more</t>
        </is>
      </c>
      <c r="I35" t="inlineStr">
        <is>
          <t>Tier 3</t>
        </is>
      </c>
      <c r="J35" s="8" t="inlineStr">
        <is>
          <t>2024-12-31</t>
        </is>
      </c>
      <c r="K35" t="inlineStr">
        <is>
          <t>providers=world_bank; fields=gdp_per_capita_ppp, gdp_growth, gini_coefficient, ppp_private_consumption; +2 additional fields</t>
        </is>
      </c>
    </row>
    <row r="36">
      <c r="A36" t="inlineStr">
        <is>
          <t>Panama</t>
        </is>
      </c>
      <c r="B36" t="n">
        <v>41369.42</v>
      </c>
      <c r="C36" s="7" t="n">
        <v>2.7479</v>
      </c>
      <c r="D36" t="n">
        <v>49.7</v>
      </c>
      <c r="E36" t="n">
        <v>0.511074</v>
      </c>
      <c r="F36" s="7" t="n">
        <v>0.07460600000000001</v>
      </c>
      <c r="G36" t="n">
        <v>68.0947</v>
      </c>
      <c r="H36" t="inlineStr">
        <is>
          <t>https://api.worldbank.org/v2/country/PAN/indicator/NY.GDP.PCAP.PP.CD?format=json&amp;mrv=30 | https://api.worldbank.org/v2/country/PAN/indicator/NY.GDP.MKTP.KD.ZG?format=json&amp;mrv=30 | https://api.worldbank.org/v2/country/PAN/indicator/SI.POV.GINI?format=json&amp;mrv=30 | +3 more</t>
        </is>
      </c>
      <c r="I36" t="inlineStr">
        <is>
          <t>Tier 3</t>
        </is>
      </c>
      <c r="J36" s="8" t="inlineStr">
        <is>
          <t>2024-12-31</t>
        </is>
      </c>
      <c r="K36" t="inlineStr">
        <is>
          <t>providers=world_bank; fields=gdp_per_capita_ppp, gdp_growth, gini_coefficient, ppp_private_consumption; +2 additional fields</t>
        </is>
      </c>
    </row>
    <row r="37">
      <c r="A37" t="inlineStr">
        <is>
          <t>Costa Rica</t>
        </is>
      </c>
      <c r="B37" t="n">
        <v>31106.76</v>
      </c>
      <c r="C37" s="7" t="n">
        <v>4.3212</v>
      </c>
      <c r="D37" t="n">
        <v>45.8</v>
      </c>
      <c r="E37" t="n">
        <v>328.046587</v>
      </c>
      <c r="F37" s="7" t="n">
        <v>0.139115</v>
      </c>
      <c r="G37" t="n">
        <v>50.9742</v>
      </c>
      <c r="H37" t="inlineStr">
        <is>
          <t>https://api.worldbank.org/v2/country/CRI/indicator/NY.GDP.PCAP.PP.CD?format=json&amp;mrv=30 | https://api.worldbank.org/v2/country/CRI/indicator/NY.GDP.MKTP.KD.ZG?format=json&amp;mrv=30 | https://api.worldbank.org/v2/country/CRI/indicator/SI.POV.GINI?format=json&amp;mrv=30 | +3 more</t>
        </is>
      </c>
      <c r="I37" t="inlineStr">
        <is>
          <t>Tier 3</t>
        </is>
      </c>
      <c r="J37" s="8" t="inlineStr">
        <is>
          <t>2024-12-31</t>
        </is>
      </c>
      <c r="K37" t="inlineStr">
        <is>
          <t>providers=world_bank; fields=gdp_per_capita_ppp, gdp_growth, gini_coefficient, ppp_private_consumption; +2 additional fields</t>
        </is>
      </c>
    </row>
    <row r="38">
      <c r="A38" t="inlineStr">
        <is>
          <t>Puerto Rico</t>
        </is>
      </c>
      <c r="B38" t="n">
        <v>50247.85</v>
      </c>
      <c r="C38" s="7" t="n">
        <v>3.1771</v>
      </c>
      <c r="D38" t="inlineStr"/>
      <c r="E38" t="n">
        <v>0.896932</v>
      </c>
      <c r="F38" s="7" t="inlineStr"/>
      <c r="G38" t="inlineStr"/>
      <c r="H38" t="inlineStr">
        <is>
          <t>https://api.worldbank.org/v2/country/PRI/indicator/NY.GDP.PCAP.PP.CD?format=json&amp;mrv=30 | https://api.worldbank.org/v2/country/PRI/indicator/NY.GDP.MKTP.KD.ZG?format=json&amp;mrv=30 | https://api.worldbank.org/v2/country/PRI/indicator/PA.NUS.PRVT.PP?format=json&amp;mrv=30</t>
        </is>
      </c>
      <c r="I38" t="inlineStr">
        <is>
          <t>Tier 3</t>
        </is>
      </c>
      <c r="J38" s="8" t="inlineStr">
        <is>
          <t>2024-12-31</t>
        </is>
      </c>
      <c r="K38" t="inlineStr">
        <is>
          <t>providers=world_bank; fields=gdp_per_capita_ppp, gdp_growth, ppp_private_consumption</t>
        </is>
      </c>
    </row>
    <row r="39">
      <c r="A39" t="inlineStr">
        <is>
          <t>Brazil</t>
        </is>
      </c>
      <c r="B39" t="n">
        <v>22338.48</v>
      </c>
      <c r="C39" s="7" t="n">
        <v>3.4193</v>
      </c>
      <c r="D39" t="n">
        <v>51.6</v>
      </c>
      <c r="E39" t="n">
        <v>2.524497</v>
      </c>
      <c r="F39" s="7" t="n">
        <v>0.154102</v>
      </c>
      <c r="G39" t="n">
        <v>75.6164</v>
      </c>
      <c r="H39" t="inlineStr">
        <is>
          <t>https://api.worldbank.org/v2/country/BRA/indicator/NY.GDP.PCAP.PP.CD?format=json&amp;mrv=30 | https://api.worldbank.org/v2/country/BRA/indicator/NY.GDP.MKTP.KD.ZG?format=json&amp;mrv=30 | https://api.worldbank.org/v2/country/BRA/indicator/SI.POV.GINI?format=json&amp;mrv=30 | +3 more</t>
        </is>
      </c>
      <c r="I39" t="inlineStr">
        <is>
          <t>Tier 3</t>
        </is>
      </c>
      <c r="J39" s="8" t="inlineStr">
        <is>
          <t>2024-12-31</t>
        </is>
      </c>
      <c r="K39" t="inlineStr">
        <is>
          <t>providers=world_bank; fields=gdp_per_capita_ppp, gdp_growth, gini_coefficient, ppp_private_consumption; +2 additional fields</t>
        </is>
      </c>
    </row>
    <row r="40">
      <c r="A40" t="inlineStr">
        <is>
          <t>Argentina</t>
        </is>
      </c>
      <c r="B40" t="n">
        <v>30431.19</v>
      </c>
      <c r="C40" s="7" t="n">
        <v>-1.3429</v>
      </c>
      <c r="D40" t="n">
        <v>42.4</v>
      </c>
      <c r="E40" t="n">
        <v>42.98624</v>
      </c>
      <c r="F40" s="7" t="n">
        <v>0.099289</v>
      </c>
      <c r="G40" t="n">
        <v>13.0788</v>
      </c>
      <c r="H40" t="inlineStr">
        <is>
          <t>https://api.worldbank.org/v2/country/ARG/indicator/NY.GDP.PCAP.PP.CD?format=json&amp;mrv=30 | https://api.worldbank.org/v2/country/ARG/indicator/NY.GDP.MKTP.KD.ZG?format=json&amp;mrv=30 | https://api.worldbank.org/v2/country/ARG/indicator/SI.POV.GINI?format=json&amp;mrv=30 | +3 more</t>
        </is>
      </c>
      <c r="I40" t="inlineStr">
        <is>
          <t>Tier 3</t>
        </is>
      </c>
      <c r="J40" s="8" t="inlineStr">
        <is>
          <t>2024-12-31</t>
        </is>
      </c>
      <c r="K40" t="inlineStr">
        <is>
          <t>providers=world_bank; fields=gdp_per_capita_ppp, gdp_growth, gini_coefficient, ppp_private_consumption; +2 additional fields</t>
        </is>
      </c>
    </row>
    <row r="41">
      <c r="A41" t="inlineStr">
        <is>
          <t>Chile</t>
        </is>
      </c>
      <c r="B41" t="n">
        <v>36181.16</v>
      </c>
      <c r="C41" s="7" t="n">
        <v>2.6443</v>
      </c>
      <c r="D41" t="n">
        <v>43</v>
      </c>
      <c r="E41" t="n">
        <v>464.876032</v>
      </c>
      <c r="F41" s="7" t="n">
        <v>0.177194</v>
      </c>
      <c r="G41" t="n">
        <v>74.9355</v>
      </c>
      <c r="H41" t="inlineStr">
        <is>
          <t>https://api.worldbank.org/v2/country/CHL/indicator/NY.GDP.PCAP.PP.CD?format=json&amp;mrv=30 | https://api.worldbank.org/v2/country/CHL/indicator/NY.GDP.MKTP.KD.ZG?format=json&amp;mrv=30 | https://api.worldbank.org/v2/country/CHL/indicator/SI.POV.GINI?format=json&amp;mrv=30 | +3 more</t>
        </is>
      </c>
      <c r="I41" t="inlineStr">
        <is>
          <t>Tier 3</t>
        </is>
      </c>
      <c r="J41" s="8" t="inlineStr">
        <is>
          <t>2024-12-31</t>
        </is>
      </c>
      <c r="K41" t="inlineStr">
        <is>
          <t>providers=world_bank; fields=gdp_per_capita_ppp, gdp_growth, gini_coefficient, ppp_private_consumption; +2 additional fields</t>
        </is>
      </c>
    </row>
    <row r="42">
      <c r="A42" t="inlineStr">
        <is>
          <t>Colombia</t>
        </is>
      </c>
      <c r="B42" t="n">
        <v>22349.44</v>
      </c>
      <c r="C42" s="7" t="n">
        <v>1.5983</v>
      </c>
      <c r="D42" t="n">
        <v>53.9</v>
      </c>
      <c r="E42" t="n">
        <v>1542.193816</v>
      </c>
      <c r="F42" s="7" t="n">
        <v>0.152812</v>
      </c>
      <c r="G42" t="n">
        <v>39.5117</v>
      </c>
      <c r="H42" t="inlineStr">
        <is>
          <t>https://api.worldbank.org/v2/country/COL/indicator/NY.GDP.PCAP.PP.CD?format=json&amp;mrv=30 | https://api.worldbank.org/v2/country/COL/indicator/NY.GDP.MKTP.KD.ZG?format=json&amp;mrv=30 | https://api.worldbank.org/v2/country/COL/indicator/SI.POV.GINI?format=json&amp;mrv=30 | +3 more</t>
        </is>
      </c>
      <c r="I42" t="inlineStr">
        <is>
          <t>Tier 3</t>
        </is>
      </c>
      <c r="J42" s="8" t="inlineStr">
        <is>
          <t>2024-12-31</t>
        </is>
      </c>
      <c r="K42" t="inlineStr">
        <is>
          <t>providers=world_bank; fields=gdp_per_capita_ppp, gdp_growth, gini_coefficient, ppp_private_consumption; +2 additional fields</t>
        </is>
      </c>
    </row>
    <row r="43">
      <c r="A43" t="inlineStr">
        <is>
          <t>Peru</t>
        </is>
      </c>
      <c r="B43" t="n">
        <v>17802.42</v>
      </c>
      <c r="C43" s="7" t="n">
        <v>3.3039</v>
      </c>
      <c r="D43" t="n">
        <v>40.1</v>
      </c>
      <c r="E43" t="n">
        <v>1.94918</v>
      </c>
      <c r="F43" s="7" t="n">
        <v>0.159243</v>
      </c>
      <c r="G43" t="n">
        <v>45.668</v>
      </c>
      <c r="H43" t="inlineStr">
        <is>
          <t>https://api.worldbank.org/v2/country/PER/indicator/NY.GDP.PCAP.PP.CD?format=json&amp;mrv=30 | https://api.worldbank.org/v2/country/PER/indicator/NY.GDP.MKTP.KD.ZG?format=json&amp;mrv=30 | https://api.worldbank.org/v2/country/PER/indicator/SI.POV.GINI?format=json&amp;mrv=30 | +3 more</t>
        </is>
      </c>
      <c r="I43" t="inlineStr">
        <is>
          <t>Tier 3</t>
        </is>
      </c>
      <c r="J43" s="8" t="inlineStr">
        <is>
          <t>2024-12-31</t>
        </is>
      </c>
      <c r="K43" t="inlineStr">
        <is>
          <t>providers=world_bank; fields=gdp_per_capita_ppp, gdp_growth, gini_coefficient, ppp_private_consumption; +2 additional fields</t>
        </is>
      </c>
    </row>
    <row r="44">
      <c r="A44" t="inlineStr">
        <is>
          <t>Uruguay</t>
        </is>
      </c>
      <c r="B44" t="n">
        <v>36417.87</v>
      </c>
      <c r="C44" s="7" t="n">
        <v>3.1083</v>
      </c>
      <c r="D44" t="n">
        <v>40</v>
      </c>
      <c r="E44" t="n">
        <v>29.298217</v>
      </c>
      <c r="F44" s="7" t="n">
        <v>0.181624</v>
      </c>
      <c r="G44" t="n">
        <v>31.0608</v>
      </c>
      <c r="H44" t="inlineStr">
        <is>
          <t>https://api.worldbank.org/v2/country/URY/indicator/NY.GDP.PCAP.PP.CD?format=json&amp;mrv=30 | https://api.worldbank.org/v2/country/URY/indicator/NY.GDP.MKTP.KD.ZG?format=json&amp;mrv=30 | https://api.worldbank.org/v2/country/URY/indicator/SI.POV.GINI?format=json&amp;mrv=30 | +3 more</t>
        </is>
      </c>
      <c r="I44" t="inlineStr">
        <is>
          <t>Tier 3</t>
        </is>
      </c>
      <c r="J44" s="8" t="inlineStr">
        <is>
          <t>2024-12-31</t>
        </is>
      </c>
      <c r="K44" t="inlineStr">
        <is>
          <t>providers=world_bank; fields=gdp_per_capita_ppp, gdp_growth, gini_coefficient, ppp_private_consumption; +2 additional fields</t>
        </is>
      </c>
    </row>
    <row r="45">
      <c r="A45" t="inlineStr">
        <is>
          <t>United Arab Emirates</t>
        </is>
      </c>
      <c r="B45" t="n">
        <v>79228.74000000001</v>
      </c>
      <c r="C45" s="7" t="n">
        <v>3.9918</v>
      </c>
      <c r="D45" t="n">
        <v>26.4</v>
      </c>
      <c r="E45" t="n">
        <v>2.56311</v>
      </c>
      <c r="F45" s="7" t="n">
        <v>0.006475</v>
      </c>
      <c r="G45" t="n">
        <v>67.9658</v>
      </c>
      <c r="H45" t="inlineStr">
        <is>
          <t>https://api.worldbank.org/v2/country/ARE/indicator/NY.GDP.PCAP.PP.CD?format=json&amp;mrv=30 | https://api.worldbank.org/v2/country/ARE/indicator/NY.GDP.MKTP.KD.ZG?format=json&amp;mrv=30 | https://api.worldbank.org/v2/country/ARE/indicator/SI.POV.GINI?format=json&amp;mrv=30 | +3 more</t>
        </is>
      </c>
      <c r="I45" t="inlineStr">
        <is>
          <t>Tier 3</t>
        </is>
      </c>
      <c r="J45" s="8" t="inlineStr">
        <is>
          <t>2024-12-31</t>
        </is>
      </c>
      <c r="K45" t="inlineStr">
        <is>
          <t>providers=world_bank; fields=gdp_per_capita_ppp, gdp_growth, gini_coefficient, ppp_private_consumption; +2 additional fields</t>
        </is>
      </c>
    </row>
    <row r="46">
      <c r="A46" t="inlineStr">
        <is>
          <t>Qatar</t>
        </is>
      </c>
      <c r="B46" t="n">
        <v>126046.35</v>
      </c>
      <c r="C46" s="7" t="n">
        <v>2.3597</v>
      </c>
      <c r="D46" t="n">
        <v>35.1</v>
      </c>
      <c r="E46" t="n">
        <v>2.755487</v>
      </c>
      <c r="F46" s="7" t="inlineStr"/>
      <c r="G46" t="n">
        <v>118.8652</v>
      </c>
      <c r="H46" t="inlineStr">
        <is>
          <t>https://api.worldbank.org/v2/country/QAT/indicator/NY.GDP.PCAP.PP.CD?format=json&amp;mrv=30 | https://api.worldbank.org/v2/country/QAT/indicator/NY.GDP.MKTP.KD.ZG?format=json&amp;mrv=30 | https://api.worldbank.org/v2/country/QAT/indicator/SI.POV.GINI?format=json&amp;mrv=30 | +2 more</t>
        </is>
      </c>
      <c r="I46" t="inlineStr">
        <is>
          <t>Tier 3</t>
        </is>
      </c>
      <c r="J46" s="8" t="inlineStr">
        <is>
          <t>2024-12-31</t>
        </is>
      </c>
      <c r="K46" t="inlineStr">
        <is>
          <t>providers=world_bank; fields=gdp_per_capita_ppp, gdp_growth, gini_coefficient, ppp_private_consumption; +1 additional fields</t>
        </is>
      </c>
    </row>
    <row r="47">
      <c r="A47" t="inlineStr">
        <is>
          <t>Saudi Arabia</t>
        </is>
      </c>
      <c r="B47" t="n">
        <v>71375.37</v>
      </c>
      <c r="C47" s="7" t="n">
        <v>1.9965</v>
      </c>
      <c r="D47" t="inlineStr"/>
      <c r="E47" t="n">
        <v>1.882361</v>
      </c>
      <c r="F47" s="7" t="n">
        <v>0.081847</v>
      </c>
      <c r="G47" t="n">
        <v>50.1376</v>
      </c>
      <c r="H47" t="inlineStr">
        <is>
          <t>https://api.worldbank.org/v2/country/SAU/indicator/NY.GDP.PCAP.PP.CD?format=json&amp;mrv=30 | https://api.worldbank.org/v2/country/SAU/indicator/NY.GDP.MKTP.KD.ZG?format=json&amp;mrv=30 | https://api.worldbank.org/v2/country/SAU/indicator/PA.NUS.PRVT.PP?format=json&amp;mrv=30 | +2 more</t>
        </is>
      </c>
      <c r="I47" t="inlineStr">
        <is>
          <t>Tier 3</t>
        </is>
      </c>
      <c r="J47" s="8" t="inlineStr">
        <is>
          <t>2024-12-31</t>
        </is>
      </c>
      <c r="K47" t="inlineStr">
        <is>
          <t>providers=world_bank; fields=gdp_per_capita_ppp, gdp_growth, ppp_private_consumption, tax_rate_assumption; +1 additional fields</t>
        </is>
      </c>
    </row>
    <row r="48">
      <c r="A48" t="inlineStr">
        <is>
          <t>Israel</t>
        </is>
      </c>
      <c r="B48" t="n">
        <v>57235.78</v>
      </c>
      <c r="C48" s="7" t="n">
        <v>0.872</v>
      </c>
      <c r="D48" t="n">
        <v>37.9</v>
      </c>
      <c r="E48" t="n">
        <v>3.607983</v>
      </c>
      <c r="F48" s="7" t="n">
        <v>0.221364</v>
      </c>
      <c r="G48" t="n">
        <v>69.7497</v>
      </c>
      <c r="H48" t="inlineStr">
        <is>
          <t>https://api.worldbank.org/v2/country/ISR/indicator/NY.GDP.PCAP.PP.CD?format=json&amp;mrv=30 | https://api.worldbank.org/v2/country/ISR/indicator/NY.GDP.MKTP.KD.ZG?format=json&amp;mrv=30 | https://api.worldbank.org/v2/country/ISR/indicator/SI.POV.GINI?format=json&amp;mrv=30 | +3 more</t>
        </is>
      </c>
      <c r="I48" t="inlineStr">
        <is>
          <t>Tier 3</t>
        </is>
      </c>
      <c r="J48" s="8" t="inlineStr">
        <is>
          <t>2024-12-31</t>
        </is>
      </c>
      <c r="K48" t="inlineStr">
        <is>
          <t>providers=world_bank; fields=gdp_per_capita_ppp, gdp_growth, gini_coefficient, ppp_private_consumption; +2 additional fields</t>
        </is>
      </c>
    </row>
    <row r="49">
      <c r="A49" t="inlineStr">
        <is>
          <t>Oman</t>
        </is>
      </c>
      <c r="B49" t="n">
        <v>41740.17</v>
      </c>
      <c r="C49" s="7" t="n">
        <v>1.6316</v>
      </c>
      <c r="D49" t="inlineStr"/>
      <c r="E49" t="n">
        <v>0.184982</v>
      </c>
      <c r="F49" s="7" t="inlineStr"/>
      <c r="G49" t="n">
        <v>59.7083</v>
      </c>
      <c r="H49" t="inlineStr">
        <is>
          <t>https://api.worldbank.org/v2/country/OMN/indicator/NY.GDP.PCAP.PP.CD?format=json&amp;mrv=30 | https://api.worldbank.org/v2/country/OMN/indicator/NY.GDP.MKTP.KD.ZG?format=json&amp;mrv=30 | https://api.worldbank.org/v2/country/OMN/indicator/PA.NUS.PRVT.PP?format=json&amp;mrv=30 | +1 more</t>
        </is>
      </c>
      <c r="I49" t="inlineStr">
        <is>
          <t>Tier 3</t>
        </is>
      </c>
      <c r="J49" s="8" t="inlineStr">
        <is>
          <t>2024-12-31</t>
        </is>
      </c>
      <c r="K49" t="inlineStr">
        <is>
          <t>providers=world_bank; fields=gdp_per_capita_ppp, gdp_growth, ppp_private_consumption, household_debt_proxy</t>
        </is>
      </c>
    </row>
    <row r="50">
      <c r="A50" t="inlineStr">
        <is>
          <t>Bahrain</t>
        </is>
      </c>
      <c r="B50" t="n">
        <v>66941.24000000001</v>
      </c>
      <c r="C50" s="7" t="n">
        <v>2.6038</v>
      </c>
      <c r="D50" t="inlineStr"/>
      <c r="E50" t="n">
        <v>0.188671</v>
      </c>
      <c r="F50" s="7" t="n">
        <v>0.028232</v>
      </c>
      <c r="G50" t="n">
        <v>70.5501</v>
      </c>
      <c r="H50" t="inlineStr">
        <is>
          <t>https://api.worldbank.org/v2/country/BHR/indicator/NY.GDP.PCAP.PP.CD?format=json&amp;mrv=30 | https://api.worldbank.org/v2/country/BHR/indicator/NY.GDP.MKTP.KD.ZG?format=json&amp;mrv=30 | https://api.worldbank.org/v2/country/BHR/indicator/PA.NUS.PRVT.PP?format=json&amp;mrv=30 | +2 more</t>
        </is>
      </c>
      <c r="I50" t="inlineStr">
        <is>
          <t>Tier 3</t>
        </is>
      </c>
      <c r="J50" s="8" t="inlineStr">
        <is>
          <t>2024-12-31</t>
        </is>
      </c>
      <c r="K50" t="inlineStr">
        <is>
          <t>providers=world_bank; fields=gdp_per_capita_ppp, gdp_growth, ppp_private_consumption, tax_rate_assumption; +1 additional fields</t>
        </is>
      </c>
    </row>
    <row r="51">
      <c r="A51" t="inlineStr">
        <is>
          <t>Kuwait</t>
        </is>
      </c>
      <c r="B51" t="n">
        <v>52443.6</v>
      </c>
      <c r="C51" s="7" t="n">
        <v>-2.5601</v>
      </c>
      <c r="D51" t="inlineStr"/>
      <c r="E51" t="n">
        <v>0.183789</v>
      </c>
      <c r="F51" s="7" t="n">
        <v>0.014924</v>
      </c>
      <c r="G51" t="n">
        <v>4.3975</v>
      </c>
      <c r="H51" t="inlineStr">
        <is>
          <t>https://api.worldbank.org/v2/country/KWT/indicator/NY.GDP.PCAP.PP.CD?format=json&amp;mrv=30 | https://api.worldbank.org/v2/country/KWT/indicator/NY.GDP.MKTP.KD.ZG?format=json&amp;mrv=30 | https://api.worldbank.org/v2/country/KWT/indicator/PA.NUS.PRVT.PP?format=json&amp;mrv=30 | +2 more</t>
        </is>
      </c>
      <c r="I51" t="inlineStr">
        <is>
          <t>Tier 3</t>
        </is>
      </c>
      <c r="J51" s="8" t="inlineStr">
        <is>
          <t>2024-12-31</t>
        </is>
      </c>
      <c r="K51" t="inlineStr">
        <is>
          <t>providers=world_bank; fields=gdp_per_capita_ppp, gdp_growth, ppp_private_consumption, tax_rate_assumption; +1 additional fields</t>
        </is>
      </c>
    </row>
    <row r="52">
      <c r="A52" t="inlineStr">
        <is>
          <t>Jordan</t>
        </is>
      </c>
      <c r="B52" t="n">
        <v>10821.49</v>
      </c>
      <c r="C52" s="7" t="n">
        <v>2.4889</v>
      </c>
      <c r="D52" t="n">
        <v>33.7</v>
      </c>
      <c r="E52" t="n">
        <v>0.321203</v>
      </c>
      <c r="F52" s="7" t="n">
        <v>0.170491</v>
      </c>
      <c r="G52" t="n">
        <v>80.0729</v>
      </c>
      <c r="H52" t="inlineStr">
        <is>
          <t>https://api.worldbank.org/v2/country/JOR/indicator/NY.GDP.PCAP.PP.CD?format=json&amp;mrv=30 | https://api.worldbank.org/v2/country/JOR/indicator/NY.GDP.MKTP.KD.ZG?format=json&amp;mrv=30 | https://api.worldbank.org/v2/country/JOR/indicator/SI.POV.GINI?format=json&amp;mrv=30 | +3 more</t>
        </is>
      </c>
      <c r="I52" t="inlineStr">
        <is>
          <t>Tier 3</t>
        </is>
      </c>
      <c r="J52" s="8" t="inlineStr">
        <is>
          <t>2024-12-31</t>
        </is>
      </c>
      <c r="K52" t="inlineStr">
        <is>
          <t>providers=world_bank; fields=gdp_per_capita_ppp, gdp_growth, gini_coefficient, ppp_private_consumption; +2 additional fields</t>
        </is>
      </c>
    </row>
    <row r="53">
      <c r="A53" t="inlineStr">
        <is>
          <t>South Africa</t>
        </is>
      </c>
      <c r="B53" t="n">
        <v>15456.2</v>
      </c>
      <c r="C53" s="7" t="n">
        <v>0.5348000000000001</v>
      </c>
      <c r="D53" t="n">
        <v>63</v>
      </c>
      <c r="E53" t="n">
        <v>7.701915</v>
      </c>
      <c r="F53" s="7" t="n">
        <v>0.254005</v>
      </c>
      <c r="G53" t="n">
        <v>57.4717</v>
      </c>
      <c r="H53" t="inlineStr">
        <is>
          <t>https://api.worldbank.org/v2/country/ZAF/indicator/NY.GDP.PCAP.PP.CD?format=json&amp;mrv=30 | https://api.worldbank.org/v2/country/ZAF/indicator/NY.GDP.MKTP.KD.ZG?format=json&amp;mrv=30 | https://api.worldbank.org/v2/country/ZAF/indicator/SI.POV.GINI?format=json&amp;mrv=30 | +3 more</t>
        </is>
      </c>
      <c r="I53" t="inlineStr">
        <is>
          <t>Tier 3</t>
        </is>
      </c>
      <c r="J53" s="8" t="inlineStr">
        <is>
          <t>2024-12-31</t>
        </is>
      </c>
      <c r="K53" t="inlineStr">
        <is>
          <t>providers=world_bank; fields=gdp_per_capita_ppp, gdp_growth, gini_coefficient, ppp_private_consumption; +2 additional fields</t>
        </is>
      </c>
    </row>
    <row r="54">
      <c r="A54" t="inlineStr">
        <is>
          <t>Kenya</t>
        </is>
      </c>
      <c r="B54" t="n">
        <v>6644.13</v>
      </c>
      <c r="C54" s="7" t="n">
        <v>4.7247</v>
      </c>
      <c r="D54" t="n">
        <v>37.7</v>
      </c>
      <c r="E54" t="n">
        <v>44.391722</v>
      </c>
      <c r="F54" s="7" t="n">
        <v>0.140631</v>
      </c>
      <c r="G54" t="n">
        <v>31.7729</v>
      </c>
      <c r="H54" t="inlineStr">
        <is>
          <t>https://api.worldbank.org/v2/country/KEN/indicator/NY.GDP.PCAP.PP.CD?format=json&amp;mrv=30 | https://api.worldbank.org/v2/country/KEN/indicator/NY.GDP.MKTP.KD.ZG?format=json&amp;mrv=30 | https://api.worldbank.org/v2/country/KEN/indicator/SI.POV.GINI?format=json&amp;mrv=30 | +3 more</t>
        </is>
      </c>
      <c r="I54" t="inlineStr">
        <is>
          <t>Tier 3</t>
        </is>
      </c>
      <c r="J54" s="8" t="inlineStr">
        <is>
          <t>2024-12-31</t>
        </is>
      </c>
      <c r="K54" t="inlineStr">
        <is>
          <t>providers=world_bank; fields=gdp_per_capita_ppp, gdp_growth, gini_coefficient, ppp_private_consumption; +2 additional fields</t>
        </is>
      </c>
    </row>
    <row r="55">
      <c r="A55" t="inlineStr">
        <is>
          <t>Rwanda</t>
        </is>
      </c>
      <c r="B55" t="n">
        <v>3710.86</v>
      </c>
      <c r="C55" s="7" t="n">
        <v>8.890700000000001</v>
      </c>
      <c r="D55" t="n">
        <v>39.4</v>
      </c>
      <c r="E55" t="n">
        <v>361.39523</v>
      </c>
      <c r="F55" s="7" t="n">
        <v>0.135081</v>
      </c>
      <c r="G55" t="n">
        <v>22.5267</v>
      </c>
      <c r="H55" t="inlineStr">
        <is>
          <t>https://api.worldbank.org/v2/country/RWA/indicator/NY.GDP.PCAP.PP.CD?format=json&amp;mrv=30 | https://api.worldbank.org/v2/country/RWA/indicator/NY.GDP.MKTP.KD.ZG?format=json&amp;mrv=30 | https://api.worldbank.org/v2/country/RWA/indicator/SI.POV.GINI?format=json&amp;mrv=30 | +3 more</t>
        </is>
      </c>
      <c r="I55" t="inlineStr">
        <is>
          <t>Tier 3</t>
        </is>
      </c>
      <c r="J55" s="8" t="inlineStr">
        <is>
          <t>2024-12-31</t>
        </is>
      </c>
      <c r="K55" t="inlineStr">
        <is>
          <t>providers=world_bank; fields=gdp_per_capita_ppp, gdp_growth, gini_coefficient, ppp_private_consumption; +2 additional fields</t>
        </is>
      </c>
    </row>
    <row r="56">
      <c r="A56" t="inlineStr">
        <is>
          <t>Morocco</t>
        </is>
      </c>
      <c r="B56" t="n">
        <v>10415.12</v>
      </c>
      <c r="C56" s="7" t="n">
        <v>3.7934</v>
      </c>
      <c r="D56" t="n">
        <v>39.5</v>
      </c>
      <c r="E56" t="n">
        <v>4.038145</v>
      </c>
      <c r="F56" s="7" t="n">
        <v>0.207439</v>
      </c>
      <c r="G56" t="n">
        <v>54.7741</v>
      </c>
      <c r="H56" t="inlineStr">
        <is>
          <t>https://api.worldbank.org/v2/country/MAR/indicator/NY.GDP.PCAP.PP.CD?format=json&amp;mrv=30 | https://api.worldbank.org/v2/country/MAR/indicator/NY.GDP.MKTP.KD.ZG?format=json&amp;mrv=30 | https://api.worldbank.org/v2/country/MAR/indicator/SI.POV.GINI?format=json&amp;mrv=30 | +3 more</t>
        </is>
      </c>
      <c r="I56" t="inlineStr">
        <is>
          <t>Tier 3</t>
        </is>
      </c>
      <c r="J56" s="8" t="inlineStr">
        <is>
          <t>2024-12-31</t>
        </is>
      </c>
      <c r="K56" t="inlineStr">
        <is>
          <t>providers=world_bank; fields=gdp_per_capita_ppp, gdp_growth, gini_coefficient, ppp_private_consumption; +2 additional fields</t>
        </is>
      </c>
    </row>
    <row r="57">
      <c r="A57" t="inlineStr">
        <is>
          <t>Mauritius</t>
        </is>
      </c>
      <c r="B57" t="n">
        <v>31839.76</v>
      </c>
      <c r="C57" s="7" t="n">
        <v>4.9251</v>
      </c>
      <c r="D57" t="n">
        <v>36.8</v>
      </c>
      <c r="E57" t="n">
        <v>19.916335</v>
      </c>
      <c r="F57" s="7" t="n">
        <v>0.205324</v>
      </c>
      <c r="G57" t="n">
        <v>69.82210000000001</v>
      </c>
      <c r="H57" t="inlineStr">
        <is>
          <t>https://api.worldbank.org/v2/country/MUS/indicator/NY.GDP.PCAP.PP.CD?format=json&amp;mrv=30 | https://api.worldbank.org/v2/country/MUS/indicator/NY.GDP.MKTP.KD.ZG?format=json&amp;mrv=30 | https://api.worldbank.org/v2/country/MUS/indicator/SI.POV.GINI?format=json&amp;mrv=30 | +3 more</t>
        </is>
      </c>
      <c r="I57" t="inlineStr">
        <is>
          <t>Tier 3</t>
        </is>
      </c>
      <c r="J57" s="8" t="inlineStr">
        <is>
          <t>2024-12-31</t>
        </is>
      </c>
      <c r="K57" t="inlineStr">
        <is>
          <t>providers=world_bank; fields=gdp_per_capita_ppp, gdp_growth, gini_coefficient, ppp_private_consumption; +2 additional fields</t>
        </is>
      </c>
    </row>
    <row r="58">
      <c r="A58" t="inlineStr">
        <is>
          <t>Botswana</t>
        </is>
      </c>
      <c r="B58" t="n">
        <v>20538.13</v>
      </c>
      <c r="C58" s="7" t="n">
        <v>-2.9899</v>
      </c>
      <c r="D58" t="n">
        <v>54.9</v>
      </c>
      <c r="E58" t="n">
        <v>5.312715</v>
      </c>
      <c r="F58" s="7" t="n">
        <v>0.224882</v>
      </c>
      <c r="G58" t="n">
        <v>32.8462</v>
      </c>
      <c r="H58" t="inlineStr">
        <is>
          <t>https://api.worldbank.org/v2/country/BWA/indicator/NY.GDP.PCAP.PP.CD?format=json&amp;mrv=30 | https://api.worldbank.org/v2/country/BWA/indicator/NY.GDP.MKTP.KD.ZG?format=json&amp;mrv=30 | https://api.worldbank.org/v2/country/BWA/indicator/SI.POV.GINI?format=json&amp;mrv=30 | +3 more</t>
        </is>
      </c>
      <c r="I58" t="inlineStr">
        <is>
          <t>Tier 3</t>
        </is>
      </c>
      <c r="J58" s="8" t="inlineStr">
        <is>
          <t>2024-12-31</t>
        </is>
      </c>
      <c r="K58" t="inlineStr">
        <is>
          <t>providers=world_bank; fields=gdp_per_capita_ppp, gdp_growth, gini_coefficient, ppp_private_consumption; +2 additional fields</t>
        </is>
      </c>
    </row>
    <row r="59">
      <c r="A59" t="inlineStr">
        <is>
          <t>Namibia</t>
        </is>
      </c>
      <c r="B59" t="n">
        <v>11686.6</v>
      </c>
      <c r="C59" s="7" t="n">
        <v>3.7115</v>
      </c>
      <c r="D59" t="n">
        <v>59.1</v>
      </c>
      <c r="E59" t="n">
        <v>7.321244</v>
      </c>
      <c r="F59" s="7" t="n">
        <v>0.329629</v>
      </c>
      <c r="G59" t="n">
        <v>48.2075</v>
      </c>
      <c r="H59" t="inlineStr">
        <is>
          <t>https://api.worldbank.org/v2/country/NAM/indicator/NY.GDP.PCAP.PP.CD?format=json&amp;mrv=30 | https://api.worldbank.org/v2/country/NAM/indicator/NY.GDP.MKTP.KD.ZG?format=json&amp;mrv=30 | https://api.worldbank.org/v2/country/NAM/indicator/SI.POV.GINI?format=json&amp;mrv=30 | +3 more</t>
        </is>
      </c>
      <c r="I59" t="inlineStr">
        <is>
          <t>Tier 3</t>
        </is>
      </c>
      <c r="J59" s="8" t="inlineStr">
        <is>
          <t>2024-12-31</t>
        </is>
      </c>
      <c r="K59" t="inlineStr">
        <is>
          <t>providers=world_bank; fields=gdp_per_capita_ppp, gdp_growth, gini_coefficient, ppp_private_consumption; +2 additional fields</t>
        </is>
      </c>
    </row>
    <row r="60">
      <c r="A60" t="inlineStr">
        <is>
          <t>Ghana</t>
        </is>
      </c>
      <c r="B60" t="n">
        <v>8020</v>
      </c>
      <c r="C60" s="7" t="n">
        <v>5.5905</v>
      </c>
      <c r="D60" t="n">
        <v>43.5</v>
      </c>
      <c r="E60" t="n">
        <v>4.721006</v>
      </c>
      <c r="F60" s="7" t="n">
        <v>0.122975</v>
      </c>
      <c r="G60" t="n">
        <v>8.651199999999999</v>
      </c>
      <c r="H60" t="inlineStr">
        <is>
          <t>https://api.worldbank.org/v2/country/GHA/indicator/NY.GDP.PCAP.PP.CD?format=json&amp;mrv=30 | https://api.worldbank.org/v2/country/GHA/indicator/NY.GDP.MKTP.KD.ZG?format=json&amp;mrv=30 | https://api.worldbank.org/v2/country/GHA/indicator/SI.POV.GINI?format=json&amp;mrv=30 | +3 more</t>
        </is>
      </c>
      <c r="I60" t="inlineStr">
        <is>
          <t>Tier 3</t>
        </is>
      </c>
      <c r="J60" s="8" t="inlineStr">
        <is>
          <t>2024-12-31</t>
        </is>
      </c>
      <c r="K60" t="inlineStr">
        <is>
          <t>providers=world_bank; fields=gdp_per_capita_ppp, gdp_growth, gini_coefficient, ppp_private_consumption; +2 additional fields</t>
        </is>
      </c>
    </row>
    <row r="61">
      <c r="A61" t="inlineStr">
        <is>
          <t>Senegal</t>
        </is>
      </c>
      <c r="B61" t="n">
        <v>5070.65</v>
      </c>
      <c r="C61" s="7" t="n">
        <v>6.0606</v>
      </c>
      <c r="D61" t="n">
        <v>36.2</v>
      </c>
      <c r="E61" t="n">
        <v>229.280958</v>
      </c>
      <c r="F61" s="7" t="n">
        <v>0.195371</v>
      </c>
      <c r="G61" t="n">
        <v>29.205</v>
      </c>
      <c r="H61" t="inlineStr">
        <is>
          <t>https://api.worldbank.org/v2/country/SEN/indicator/NY.GDP.PCAP.PP.CD?format=json&amp;mrv=30 | https://api.worldbank.org/v2/country/SEN/indicator/NY.GDP.MKTP.KD.ZG?format=json&amp;mrv=30 | https://api.worldbank.org/v2/country/SEN/indicator/SI.POV.GINI?format=json&amp;mrv=30 | +3 more</t>
        </is>
      </c>
      <c r="I61" t="inlineStr">
        <is>
          <t>Tier 3</t>
        </is>
      </c>
      <c r="J61" s="8" t="inlineStr">
        <is>
          <t>2024-12-31</t>
        </is>
      </c>
      <c r="K61" t="inlineStr">
        <is>
          <t>providers=world_bank; fields=gdp_per_capita_ppp, gdp_growth, gini_coefficient, ppp_private_consumption; +2 additional fields</t>
        </is>
      </c>
    </row>
    <row r="62">
      <c r="A62" t="inlineStr">
        <is>
          <t>New Zealand</t>
        </is>
      </c>
      <c r="B62" t="n">
        <v>55551.14</v>
      </c>
      <c r="C62" s="7" t="n">
        <v>1.2886</v>
      </c>
      <c r="D62" t="inlineStr"/>
      <c r="E62" t="n">
        <v>1.499938</v>
      </c>
      <c r="F62" s="7" t="n">
        <v>0.306678</v>
      </c>
      <c r="G62" t="n">
        <v>129.7971</v>
      </c>
      <c r="H62" t="inlineStr">
        <is>
          <t>https://api.worldbank.org/v2/country/NZL/indicator/NY.GDP.PCAP.PP.CD?format=json&amp;mrv=30 | https://api.worldbank.org/v2/country/NZL/indicator/NY.GDP.MKTP.KD.ZG?format=json&amp;mrv=30 | https://api.worldbank.org/v2/country/NZL/indicator/PA.NUS.PRVT.PP?format=json&amp;mrv=30 | +2 more</t>
        </is>
      </c>
      <c r="I62" t="inlineStr">
        <is>
          <t>Tier 3</t>
        </is>
      </c>
      <c r="J62" s="8" t="inlineStr">
        <is>
          <t>2024-12-31</t>
        </is>
      </c>
      <c r="K62" t="inlineStr">
        <is>
          <t>providers=world_bank; fields=gdp_per_capita_ppp, gdp_growth, ppp_private_consumption, tax_rate_assumption; +1 additional fields</t>
        </is>
      </c>
    </row>
    <row r="63">
      <c r="A63" t="inlineStr">
        <is>
          <t>Australia</t>
        </is>
      </c>
      <c r="B63" t="n">
        <v>72111.17999999999</v>
      </c>
      <c r="C63" s="7" t="n">
        <v>1.3734</v>
      </c>
      <c r="D63" t="n">
        <v>33.8</v>
      </c>
      <c r="E63" t="n">
        <v>1.427398</v>
      </c>
      <c r="F63" s="7" t="n">
        <v>0.235615</v>
      </c>
      <c r="G63" t="n">
        <v>129.3173</v>
      </c>
      <c r="H63" t="inlineStr">
        <is>
          <t>https://api.worldbank.org/v2/country/AUS/indicator/NY.GDP.PCAP.PP.CD?format=json&amp;mrv=30 | https://api.worldbank.org/v2/country/AUS/indicator/NY.GDP.MKTP.KD.ZG?format=json&amp;mrv=30 | https://api.worldbank.org/v2/country/AUS/indicator/SI.POV.GINI?format=json&amp;mrv=30 | +3 more</t>
        </is>
      </c>
      <c r="I63" t="inlineStr">
        <is>
          <t>Tier 3</t>
        </is>
      </c>
      <c r="J63" s="8" t="inlineStr">
        <is>
          <t>2024-12-31</t>
        </is>
      </c>
      <c r="K63" t="inlineStr">
        <is>
          <t>providers=world_bank; fields=gdp_per_capita_ppp, gdp_growth, gini_coefficient, ppp_private_consumption; +2 additional fields</t>
        </is>
      </c>
    </row>
    <row r="64">
      <c r="A64" t="inlineStr">
        <is>
          <t>Fiji</t>
        </is>
      </c>
      <c r="B64" t="n">
        <v>15450.3</v>
      </c>
      <c r="C64" s="7" t="n">
        <v>3.5309</v>
      </c>
      <c r="D64" t="n">
        <v>30.7</v>
      </c>
      <c r="E64" t="n">
        <v>0.910728</v>
      </c>
      <c r="F64" s="7" t="n">
        <v>0.20538</v>
      </c>
      <c r="G64" t="n">
        <v>75.99930000000001</v>
      </c>
      <c r="H64" t="inlineStr">
        <is>
          <t>https://api.worldbank.org/v2/country/FJI/indicator/NY.GDP.PCAP.PP.CD?format=json&amp;mrv=30 | https://api.worldbank.org/v2/country/FJI/indicator/NY.GDP.MKTP.KD.ZG?format=json&amp;mrv=30 | https://api.worldbank.org/v2/country/FJI/indicator/SI.POV.GINI?format=json&amp;mrv=30 | +3 more</t>
        </is>
      </c>
      <c r="I64" t="inlineStr">
        <is>
          <t>Tier 3</t>
        </is>
      </c>
      <c r="J64" s="8" t="inlineStr">
        <is>
          <t>2024-12-31</t>
        </is>
      </c>
      <c r="K64" t="inlineStr">
        <is>
          <t>providers=world_bank; fields=gdp_per_capita_ppp, gdp_growth, gini_coefficient, ppp_private_consumption; +2 additional fields</t>
        </is>
      </c>
    </row>
    <row r="65">
      <c r="A65" t="inlineStr">
        <is>
          <t>Vietnam</t>
        </is>
      </c>
      <c r="B65" t="inlineStr"/>
      <c r="C65" s="7" t="inlineStr"/>
      <c r="D65" t="inlineStr"/>
      <c r="E65" t="inlineStr"/>
      <c r="F65" s="7" t="inlineStr"/>
      <c r="G65" t="inlineStr"/>
      <c r="H65" t="inlineStr"/>
      <c r="I65" t="inlineStr"/>
      <c r="J65" s="8" t="inlineStr"/>
      <c r="K65" t="inlineStr">
        <is>
          <t>Populate official country context inputs before ranking.</t>
        </is>
      </c>
    </row>
    <row r="66">
      <c r="A66" t="inlineStr">
        <is>
          <t>Cambodia</t>
        </is>
      </c>
      <c r="B66" t="inlineStr"/>
      <c r="C66" s="7" t="inlineStr"/>
      <c r="D66" t="inlineStr"/>
      <c r="E66" t="inlineStr"/>
      <c r="F66" s="7" t="inlineStr"/>
      <c r="G66" t="inlineStr"/>
      <c r="H66" t="inlineStr"/>
      <c r="I66" t="inlineStr"/>
      <c r="J66" s="8" t="inlineStr"/>
      <c r="K66" t="inlineStr">
        <is>
          <t>Populate official country context inputs before ranking.</t>
        </is>
      </c>
    </row>
    <row r="67">
      <c r="A67" t="inlineStr">
        <is>
          <t>Czechia</t>
        </is>
      </c>
      <c r="B67" t="inlineStr"/>
      <c r="C67" s="7" t="inlineStr"/>
      <c r="D67" t="inlineStr"/>
      <c r="E67" t="inlineStr"/>
      <c r="F67" s="7" t="inlineStr"/>
      <c r="G67" t="inlineStr"/>
      <c r="H67" t="inlineStr"/>
      <c r="I67" t="inlineStr"/>
      <c r="J67" s="8" t="inlineStr"/>
      <c r="K67" t="inlineStr">
        <is>
          <t>Populate official country context inputs before ranking.</t>
        </is>
      </c>
    </row>
    <row r="68">
      <c r="A68" t="inlineStr">
        <is>
          <t>Slovenia</t>
        </is>
      </c>
      <c r="B68" t="inlineStr"/>
      <c r="C68" s="7" t="inlineStr"/>
      <c r="D68" t="inlineStr"/>
      <c r="E68" t="inlineStr"/>
      <c r="F68" s="7" t="inlineStr"/>
      <c r="G68" t="inlineStr"/>
      <c r="H68" t="inlineStr"/>
      <c r="I68" t="inlineStr"/>
      <c r="J68" s="8" t="inlineStr"/>
      <c r="K68" t="inlineStr">
        <is>
          <t>Populate official country context inputs before ranking.</t>
        </is>
      </c>
    </row>
    <row r="69">
      <c r="A69" t="inlineStr">
        <is>
          <t>Croatia</t>
        </is>
      </c>
      <c r="B69" t="inlineStr"/>
      <c r="C69" s="7" t="inlineStr"/>
      <c r="D69" t="inlineStr"/>
      <c r="E69" t="inlineStr"/>
      <c r="F69" s="7" t="inlineStr"/>
      <c r="G69" t="inlineStr"/>
      <c r="H69" t="inlineStr"/>
      <c r="I69" t="inlineStr"/>
      <c r="J69" s="8" t="inlineStr"/>
      <c r="K69" t="inlineStr">
        <is>
          <t>Populate official country context inputs before ranking.</t>
        </is>
      </c>
    </row>
    <row r="70">
      <c r="A70" t="inlineStr">
        <is>
          <t>Lithuania</t>
        </is>
      </c>
      <c r="B70" t="inlineStr"/>
      <c r="C70" s="7" t="inlineStr"/>
      <c r="D70" t="inlineStr"/>
      <c r="E70" t="inlineStr"/>
      <c r="F70" s="7" t="inlineStr"/>
      <c r="G70" t="inlineStr"/>
      <c r="H70" t="inlineStr"/>
      <c r="I70" t="inlineStr"/>
      <c r="J70" s="8" t="inlineStr"/>
      <c r="K70" t="inlineStr">
        <is>
          <t>Populate official country context inputs before ranking.</t>
        </is>
      </c>
    </row>
    <row r="71">
      <c r="A71" t="inlineStr">
        <is>
          <t>Latvia</t>
        </is>
      </c>
      <c r="B71" t="inlineStr"/>
      <c r="C71" s="7" t="inlineStr"/>
      <c r="D71" t="inlineStr"/>
      <c r="E71" t="inlineStr"/>
      <c r="F71" s="7" t="inlineStr"/>
      <c r="G71" t="inlineStr"/>
      <c r="H71" t="inlineStr"/>
      <c r="I71" t="inlineStr"/>
      <c r="J71" s="8" t="inlineStr"/>
      <c r="K71" t="inlineStr">
        <is>
          <t>Populate official country context inputs before ranking.</t>
        </is>
      </c>
    </row>
    <row r="72">
      <c r="A72" t="inlineStr">
        <is>
          <t>Georgia</t>
        </is>
      </c>
      <c r="B72" t="inlineStr"/>
      <c r="C72" s="7" t="inlineStr"/>
      <c r="D72" t="inlineStr"/>
      <c r="E72" t="inlineStr"/>
      <c r="F72" s="7" t="inlineStr"/>
      <c r="G72" t="inlineStr"/>
      <c r="H72" t="inlineStr"/>
      <c r="I72" t="inlineStr"/>
      <c r="J72" s="8" t="inlineStr"/>
      <c r="K72" t="inlineStr">
        <is>
          <t>Populate official country context inputs before ranking.</t>
        </is>
      </c>
    </row>
    <row r="73">
      <c r="A73" t="inlineStr">
        <is>
          <t>Spain</t>
        </is>
      </c>
      <c r="B73" t="inlineStr"/>
      <c r="C73" s="7" t="inlineStr"/>
      <c r="D73" t="inlineStr"/>
      <c r="E73" t="inlineStr"/>
      <c r="F73" s="7" t="inlineStr"/>
      <c r="G73" t="inlineStr"/>
      <c r="H73" t="inlineStr"/>
      <c r="I73" t="inlineStr"/>
      <c r="J73" s="8" t="inlineStr"/>
      <c r="K73" t="inlineStr">
        <is>
          <t>Populate official country context inputs before ranking.</t>
        </is>
      </c>
    </row>
    <row r="74">
      <c r="A74" t="inlineStr">
        <is>
          <t>Germany</t>
        </is>
      </c>
      <c r="B74" t="inlineStr"/>
      <c r="C74" s="7" t="inlineStr"/>
      <c r="D74" t="inlineStr"/>
      <c r="E74" t="inlineStr"/>
      <c r="F74" s="7" t="inlineStr"/>
      <c r="G74" t="inlineStr"/>
      <c r="H74" t="inlineStr"/>
      <c r="I74" t="inlineStr"/>
      <c r="J74" s="8" t="inlineStr"/>
      <c r="K74" t="inlineStr">
        <is>
          <t>Populate official country context inputs before ranking.</t>
        </is>
      </c>
    </row>
    <row r="75">
      <c r="A75" t="inlineStr">
        <is>
          <t>Belgium</t>
        </is>
      </c>
      <c r="B75" t="inlineStr"/>
      <c r="C75" s="7" t="inlineStr"/>
      <c r="D75" t="inlineStr"/>
      <c r="E75" t="inlineStr"/>
      <c r="F75" s="7" t="inlineStr"/>
      <c r="G75" t="inlineStr"/>
      <c r="H75" t="inlineStr"/>
      <c r="I75" t="inlineStr"/>
      <c r="J75" s="8" t="inlineStr"/>
      <c r="K75" t="inlineStr">
        <is>
          <t>Populate official country context inputs before ranking.</t>
        </is>
      </c>
    </row>
    <row r="76">
      <c r="A76" t="inlineStr">
        <is>
          <t>Ireland</t>
        </is>
      </c>
      <c r="B76" t="inlineStr"/>
      <c r="C76" s="7" t="inlineStr"/>
      <c r="D76" t="inlineStr"/>
      <c r="E76" t="inlineStr"/>
      <c r="F76" s="7" t="inlineStr"/>
      <c r="G76" t="inlineStr"/>
      <c r="H76" t="inlineStr"/>
      <c r="I76" t="inlineStr"/>
      <c r="J76" s="8" t="inlineStr"/>
      <c r="K76" t="inlineStr">
        <is>
          <t>Populate official country context inputs before ranking.</t>
        </is>
      </c>
    </row>
    <row r="77">
      <c r="A77" t="inlineStr">
        <is>
          <t>Sweden</t>
        </is>
      </c>
      <c r="B77" t="inlineStr"/>
      <c r="C77" s="7" t="inlineStr"/>
      <c r="D77" t="inlineStr"/>
      <c r="E77" t="inlineStr"/>
      <c r="F77" s="7" t="inlineStr"/>
      <c r="G77" t="inlineStr"/>
      <c r="H77" t="inlineStr"/>
      <c r="I77" t="inlineStr"/>
      <c r="J77" s="8" t="inlineStr"/>
      <c r="K77" t="inlineStr">
        <is>
          <t>Populate official country context inputs before ranking.</t>
        </is>
      </c>
    </row>
    <row r="78">
      <c r="A78" t="inlineStr">
        <is>
          <t>Norway</t>
        </is>
      </c>
      <c r="B78" t="inlineStr"/>
      <c r="C78" s="7" t="inlineStr"/>
      <c r="D78" t="inlineStr"/>
      <c r="E78" t="inlineStr"/>
      <c r="F78" s="7" t="inlineStr"/>
      <c r="G78" t="inlineStr"/>
      <c r="H78" t="inlineStr"/>
      <c r="I78" t="inlineStr"/>
      <c r="J78" s="8" t="inlineStr"/>
      <c r="K78" t="inlineStr">
        <is>
          <t>Populate official country context inputs before ranking.</t>
        </is>
      </c>
    </row>
    <row r="79">
      <c r="A79" t="inlineStr">
        <is>
          <t>Dominican Republic</t>
        </is>
      </c>
      <c r="B79" t="inlineStr"/>
      <c r="C79" s="7" t="inlineStr"/>
      <c r="D79" t="inlineStr"/>
      <c r="E79" t="inlineStr"/>
      <c r="F79" s="7" t="inlineStr"/>
      <c r="G79" t="inlineStr"/>
      <c r="H79" t="inlineStr"/>
      <c r="I79" t="inlineStr"/>
      <c r="J79" s="8" t="inlineStr"/>
      <c r="K79" t="inlineStr">
        <is>
          <t>Populate official country context inputs before ranking.</t>
        </is>
      </c>
    </row>
    <row r="80">
      <c r="A80" t="inlineStr">
        <is>
          <t>Ecuador</t>
        </is>
      </c>
      <c r="B80" t="inlineStr"/>
      <c r="C80" s="7" t="inlineStr"/>
      <c r="D80" t="inlineStr"/>
      <c r="E80" t="inlineStr"/>
      <c r="F80" s="7" t="inlineStr"/>
      <c r="G80" t="inlineStr"/>
      <c r="H80" t="inlineStr"/>
      <c r="I80" t="inlineStr"/>
      <c r="J80" s="8" t="inlineStr"/>
      <c r="K80" t="inlineStr">
        <is>
          <t>Populate official country context inputs before ranking.</t>
        </is>
      </c>
    </row>
    <row r="81">
      <c r="A81" t="inlineStr">
        <is>
          <t>Paraguay</t>
        </is>
      </c>
      <c r="B81" t="inlineStr"/>
      <c r="C81" s="7" t="inlineStr"/>
      <c r="D81" t="inlineStr"/>
      <c r="E81" t="inlineStr"/>
      <c r="F81" s="7" t="inlineStr"/>
      <c r="G81" t="inlineStr"/>
      <c r="H81" t="inlineStr"/>
      <c r="I81" t="inlineStr"/>
      <c r="J81" s="8" t="inlineStr"/>
      <c r="K81" t="inlineStr">
        <is>
          <t>Populate official country context inputs before ranking.</t>
        </is>
      </c>
    </row>
    <row r="82">
      <c r="A82" t="inlineStr">
        <is>
          <t>Egypt</t>
        </is>
      </c>
      <c r="B82" t="inlineStr"/>
      <c r="C82" s="7" t="inlineStr"/>
      <c r="D82" t="inlineStr"/>
      <c r="E82" t="inlineStr"/>
      <c r="F82" s="7" t="inlineStr"/>
      <c r="G82" t="inlineStr"/>
      <c r="H82" t="inlineStr"/>
      <c r="I82" t="inlineStr"/>
      <c r="J82" s="8" t="inlineStr"/>
      <c r="K82" t="inlineStr">
        <is>
          <t>Populate official country context inputs before ranking.</t>
        </is>
      </c>
    </row>
    <row r="83">
      <c r="A83" t="inlineStr">
        <is>
          <t>Tanzania</t>
        </is>
      </c>
      <c r="B83" t="inlineStr"/>
      <c r="C83" s="7" t="inlineStr"/>
      <c r="D83" t="inlineStr"/>
      <c r="E83" t="inlineStr"/>
      <c r="F83" s="7" t="inlineStr"/>
      <c r="G83" t="inlineStr"/>
      <c r="H83" t="inlineStr"/>
      <c r="I83" t="inlineStr"/>
      <c r="J83" s="8" t="inlineStr"/>
      <c r="K83" t="inlineStr">
        <is>
          <t>Populate official country context inputs before ranking.</t>
        </is>
      </c>
    </row>
    <row r="84">
      <c r="A84" t="inlineStr">
        <is>
          <t>Uganda</t>
        </is>
      </c>
      <c r="B84" t="inlineStr"/>
      <c r="C84" s="7" t="inlineStr"/>
      <c r="D84" t="inlineStr"/>
      <c r="E84" t="inlineStr"/>
      <c r="F84" s="7" t="inlineStr"/>
      <c r="G84" t="inlineStr"/>
      <c r="H84" t="inlineStr"/>
      <c r="I84" t="inlineStr"/>
      <c r="J84" s="8" t="inlineStr"/>
      <c r="K84" t="inlineStr">
        <is>
          <t>Populate official country context inputs before ranking.</t>
        </is>
      </c>
    </row>
    <row r="85">
      <c r="A85" t="inlineStr">
        <is>
          <t>Papua New Guinea</t>
        </is>
      </c>
      <c r="B85" t="inlineStr"/>
      <c r="C85" s="7" t="inlineStr"/>
      <c r="D85" t="inlineStr"/>
      <c r="E85" t="inlineStr"/>
      <c r="F85" s="7" t="inlineStr"/>
      <c r="G85" t="inlineStr"/>
      <c r="H85" t="inlineStr"/>
      <c r="I85" t="inlineStr"/>
      <c r="J85" s="8" t="inlineStr"/>
      <c r="K85" t="inlineStr">
        <is>
          <t>Populate official country context inputs before ranking.</t>
        </is>
      </c>
    </row>
    <row r="86">
      <c r="A86" t="inlineStr">
        <is>
          <t>Samoa</t>
        </is>
      </c>
      <c r="B86" t="inlineStr"/>
      <c r="C86" s="7" t="inlineStr"/>
      <c r="D86" t="inlineStr"/>
      <c r="E86" t="inlineStr"/>
      <c r="F86" s="7" t="inlineStr"/>
      <c r="G86" t="inlineStr"/>
      <c r="H86" t="inlineStr"/>
      <c r="I86" t="inlineStr"/>
      <c r="J86" s="8" t="inlineStr"/>
      <c r="K86" t="inlineStr">
        <is>
          <t>Populate official country context inputs before ranking.</t>
        </is>
      </c>
    </row>
    <row r="87">
      <c r="A87" t="inlineStr">
        <is>
          <t>Vanuatu</t>
        </is>
      </c>
      <c r="B87" t="inlineStr"/>
      <c r="C87" s="7" t="inlineStr"/>
      <c r="D87" t="inlineStr"/>
      <c r="E87" t="inlineStr"/>
      <c r="F87" s="7" t="inlineStr"/>
      <c r="G87" t="inlineStr"/>
      <c r="H87" t="inlineStr"/>
      <c r="I87" t="inlineStr"/>
      <c r="J87" s="8" t="inlineStr"/>
      <c r="K87" t="inlineStr">
        <is>
          <t>Populate official country context inputs before ranking.</t>
        </is>
      </c>
    </row>
  </sheetData>
  <autoFilter ref="A1:K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2" customWidth="1" min="3" max="3"/>
    <col width="30" customWidth="1" min="4" max="4"/>
    <col width="12" customWidth="1" min="5" max="5"/>
    <col width="17" customWidth="1" min="6" max="6"/>
    <col width="14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30" customWidth="1" min="13" max="13"/>
    <col width="20" customWidth="1" min="14" max="14"/>
    <col width="27" customWidth="1" min="15" max="15"/>
    <col width="30" customWidth="1" min="16" max="16"/>
    <col width="27" customWidth="1" min="17" max="17"/>
    <col width="27" customWidth="1" min="18" max="18"/>
    <col width="21" customWidth="1" min="19" max="19"/>
    <col width="28" customWidth="1" min="20" max="20"/>
    <col width="15" customWidth="1" min="21" max="21"/>
    <col width="30" customWidth="1" min="22" max="22"/>
    <col width="28" customWidth="1" min="23" max="23"/>
    <col width="30" customWidth="1" min="24" max="24"/>
    <col width="24" customWidth="1" min="25" max="25"/>
    <col width="23" customWidth="1" min="26" max="26"/>
    <col width="23" customWidth="1" min="27" max="27"/>
    <col width="27" customWidth="1" min="28" max="28"/>
    <col width="25" customWidth="1" min="29" max="29"/>
    <col width="26" customWidth="1" min="30" max="30"/>
    <col width="30" customWidth="1" min="31" max="31"/>
    <col width="30" customWidth="1" min="32" max="32"/>
    <col width="23" customWidth="1" min="33" max="33"/>
    <col width="30" customWidth="1" min="34" max="34"/>
    <col width="26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21" customWidth="1" min="42" max="42"/>
    <col width="22" customWidth="1" min="43" max="43"/>
    <col width="22" customWidth="1" min="44" max="44"/>
    <col width="16" customWidth="1" min="45" max="45"/>
    <col width="22" customWidth="1" min="46" max="46"/>
    <col width="23" customWidth="1" min="47" max="47"/>
    <col width="23" customWidth="1" min="48" max="48"/>
    <col width="17" customWidth="1" min="49" max="49"/>
    <col width="23" customWidth="1" min="50" max="50"/>
    <col width="24" customWidth="1" min="51" max="51"/>
    <col width="24" customWidth="1" min="52" max="52"/>
    <col width="18" customWidth="1" min="53" max="53"/>
    <col width="22" customWidth="1" min="54" max="54"/>
    <col width="23" customWidth="1" min="55" max="55"/>
    <col width="23" customWidth="1" min="56" max="56"/>
    <col width="17" customWidth="1" min="57" max="57"/>
    <col width="21" customWidth="1" min="58" max="58"/>
    <col width="22" customWidth="1" min="59" max="59"/>
    <col width="22" customWidth="1" min="60" max="60"/>
    <col width="16" customWidth="1" min="61" max="61"/>
    <col width="25" customWidth="1" min="62" max="62"/>
  </cols>
  <sheetData>
    <row r="1">
      <c r="A1" s="6" t="inlineStr">
        <is>
          <t>city_id</t>
        </is>
      </c>
      <c r="B1" s="6" t="inlineStr">
        <is>
          <t>display_name</t>
        </is>
      </c>
      <c r="C1" s="6" t="inlineStr">
        <is>
          <t>country</t>
        </is>
      </c>
      <c r="D1" s="6" t="inlineStr">
        <is>
          <t>cohort</t>
        </is>
      </c>
      <c r="E1" s="6" t="inlineStr">
        <is>
          <t>city_type</t>
        </is>
      </c>
      <c r="F1" s="6" t="inlineStr">
        <is>
          <t>manifest_status</t>
        </is>
      </c>
      <c r="G1" s="6" t="inlineStr">
        <is>
          <t>gross_income</t>
        </is>
      </c>
      <c r="H1" s="6" t="inlineStr">
        <is>
          <t>rent</t>
        </is>
      </c>
      <c r="I1" s="6" t="inlineStr">
        <is>
          <t>utilities</t>
        </is>
      </c>
      <c r="J1" s="6" t="inlineStr">
        <is>
          <t>transit_cost</t>
        </is>
      </c>
      <c r="K1" s="6" t="inlineStr">
        <is>
          <t>internet_cost</t>
        </is>
      </c>
      <c r="L1" s="6" t="inlineStr">
        <is>
          <t>food_cost</t>
        </is>
      </c>
      <c r="M1" s="6" t="inlineStr">
        <is>
          <t>di_ppp_raw</t>
        </is>
      </c>
      <c r="N1" s="6" t="inlineStr">
        <is>
          <t>housing_burden_raw</t>
        </is>
      </c>
      <c r="O1" s="6" t="inlineStr">
        <is>
          <t>household_debt_burden_raw</t>
        </is>
      </c>
      <c r="P1" s="6" t="inlineStr">
        <is>
          <t>household_debt_effective_raw</t>
        </is>
      </c>
      <c r="Q1" s="6" t="inlineStr">
        <is>
          <t>working_time_pressure_raw</t>
        </is>
      </c>
      <c r="R1" s="6" t="inlineStr">
        <is>
          <t>suicide_mental_strain_raw</t>
        </is>
      </c>
      <c r="S1" s="6" t="inlineStr">
        <is>
          <t>personal_safety_raw</t>
        </is>
      </c>
      <c r="T1" s="6" t="inlineStr">
        <is>
          <t>transit_access_commute_raw</t>
        </is>
      </c>
      <c r="U1" s="6" t="inlineStr">
        <is>
          <t>clean_air_raw</t>
        </is>
      </c>
      <c r="V1" s="6" t="inlineStr">
        <is>
          <t>water_sanitation_utility_raw</t>
        </is>
      </c>
      <c r="W1" s="6" t="inlineStr">
        <is>
          <t>digital_infrastructure_raw</t>
        </is>
      </c>
      <c r="X1" s="6" t="inlineStr">
        <is>
          <t>climate_sunlight_livability_raw</t>
        </is>
      </c>
      <c r="Y1" s="6" t="inlineStr">
        <is>
          <t>healthcare_quality_raw</t>
        </is>
      </c>
      <c r="Z1" s="6" t="inlineStr">
        <is>
          <t>education_quality_raw</t>
        </is>
      </c>
      <c r="AA1" s="6" t="inlineStr">
        <is>
          <t>equal_opportunity_raw</t>
        </is>
      </c>
      <c r="AB1" s="6" t="inlineStr">
        <is>
          <t>hospitality_belonging_raw</t>
        </is>
      </c>
      <c r="AC1" s="6" t="inlineStr">
        <is>
          <t>tolerance_pluralism_raw</t>
        </is>
      </c>
      <c r="AD1" s="6" t="inlineStr">
        <is>
          <t>cultural_public_life_raw</t>
        </is>
      </c>
      <c r="AE1" s="6" t="inlineStr">
        <is>
          <t>entrepreneurial_dynamism_raw</t>
        </is>
      </c>
      <c r="AF1" s="6" t="inlineStr">
        <is>
          <t>innovation_research_intensity_raw</t>
        </is>
      </c>
      <c r="AG1" s="6" t="inlineStr">
        <is>
          <t>investment_signal_raw</t>
        </is>
      </c>
      <c r="AH1" s="6" t="inlineStr">
        <is>
          <t>administrative_investment_friction_raw</t>
        </is>
      </c>
      <c r="AI1" s="6" t="inlineStr">
        <is>
          <t>visitor_flow_context_raw</t>
        </is>
      </c>
      <c r="AJ1" s="6" t="inlineStr">
        <is>
          <t>gdp_per_capita_ppp_context</t>
        </is>
      </c>
      <c r="AK1" s="6" t="inlineStr">
        <is>
          <t>gdp_growth_context</t>
        </is>
      </c>
      <c r="AL1" s="6" t="inlineStr">
        <is>
          <t>gini_coefficient_context</t>
        </is>
      </c>
      <c r="AM1" s="6" t="inlineStr">
        <is>
          <t>ppp_private_consumption_context</t>
        </is>
      </c>
      <c r="AN1" s="6" t="inlineStr">
        <is>
          <t>tax_rate_context</t>
        </is>
      </c>
      <c r="AO1" s="6" t="inlineStr">
        <is>
          <t>household_debt_proxy_context</t>
        </is>
      </c>
      <c r="AP1" s="6" t="inlineStr">
        <is>
          <t>pressure_source_url</t>
        </is>
      </c>
      <c r="AQ1" s="6" t="inlineStr">
        <is>
          <t>pressure_source_tier</t>
        </is>
      </c>
      <c r="AR1" s="6" t="inlineStr">
        <is>
          <t>pressure_source_date</t>
        </is>
      </c>
      <c r="AS1" s="6" t="inlineStr">
        <is>
          <t>pressure_notes</t>
        </is>
      </c>
      <c r="AT1" s="6" t="inlineStr">
        <is>
          <t>viability_source_url</t>
        </is>
      </c>
      <c r="AU1" s="6" t="inlineStr">
        <is>
          <t>viability_source_tier</t>
        </is>
      </c>
      <c r="AV1" s="6" t="inlineStr">
        <is>
          <t>viability_source_date</t>
        </is>
      </c>
      <c r="AW1" s="6" t="inlineStr">
        <is>
          <t>viability_notes</t>
        </is>
      </c>
      <c r="AX1" s="6" t="inlineStr">
        <is>
          <t>capability_source_url</t>
        </is>
      </c>
      <c r="AY1" s="6" t="inlineStr">
        <is>
          <t>capability_source_tier</t>
        </is>
      </c>
      <c r="AZ1" s="6" t="inlineStr">
        <is>
          <t>capability_source_date</t>
        </is>
      </c>
      <c r="BA1" s="6" t="inlineStr">
        <is>
          <t>capability_notes</t>
        </is>
      </c>
      <c r="BB1" s="6" t="inlineStr">
        <is>
          <t>community_source_url</t>
        </is>
      </c>
      <c r="BC1" s="6" t="inlineStr">
        <is>
          <t>community_source_tier</t>
        </is>
      </c>
      <c r="BD1" s="6" t="inlineStr">
        <is>
          <t>community_source_date</t>
        </is>
      </c>
      <c r="BE1" s="6" t="inlineStr">
        <is>
          <t>community_notes</t>
        </is>
      </c>
      <c r="BF1" s="6" t="inlineStr">
        <is>
          <t>creative_source_url</t>
        </is>
      </c>
      <c r="BG1" s="6" t="inlineStr">
        <is>
          <t>creative_source_tier</t>
        </is>
      </c>
      <c r="BH1" s="6" t="inlineStr">
        <is>
          <t>creative_source_date</t>
        </is>
      </c>
      <c r="BI1" s="6" t="inlineStr">
        <is>
          <t>creative_notes</t>
        </is>
      </c>
      <c r="BJ1" s="6" t="inlineStr">
        <is>
          <t>birth_rate_optimism_raw</t>
        </is>
      </c>
    </row>
    <row r="2">
      <c r="A2" s="9" t="inlineStr">
        <is>
          <t>th-bangkok</t>
        </is>
      </c>
      <c r="B2" s="9" t="inlineStr">
        <is>
          <t>Bangkok</t>
        </is>
      </c>
      <c r="C2" s="9" t="inlineStr">
        <is>
          <t>Thailand</t>
        </is>
      </c>
      <c r="D2" s="9" t="inlineStr">
        <is>
          <t>Southeast Asia</t>
        </is>
      </c>
      <c r="E2" s="9" t="inlineStr">
        <is>
          <t>primary</t>
        </is>
      </c>
      <c r="F2" s="9" t="inlineStr">
        <is>
          <t>locked</t>
        </is>
      </c>
      <c r="G2" s="10" t="n">
        <v>1996.67</v>
      </c>
      <c r="H2" s="10" t="n">
        <v>399.33</v>
      </c>
      <c r="I2" s="10" t="n">
        <v>99.83</v>
      </c>
      <c r="J2" s="10" t="n">
        <v>79.87</v>
      </c>
      <c r="K2" s="10" t="n">
        <v>29.95</v>
      </c>
      <c r="L2" s="10" t="n">
        <v>439.27</v>
      </c>
      <c r="M2" s="11" t="inlineStr"/>
      <c r="N2" s="10" t="n">
        <v>19.9998</v>
      </c>
      <c r="O2" s="10" t="n">
        <v>115.1054</v>
      </c>
      <c r="P2" s="11">
        <f>IF($O2&lt;&gt;"",$O2,$AO2)</f>
        <v/>
      </c>
      <c r="Q2" s="10" t="n">
        <v>42.53</v>
      </c>
      <c r="R2" s="10" t="n">
        <v>16.59</v>
      </c>
      <c r="S2" s="10" t="n">
        <v>2.2</v>
      </c>
      <c r="T2" s="10" t="inlineStr"/>
      <c r="U2" s="10" t="n">
        <v>25</v>
      </c>
      <c r="V2" s="10" t="n">
        <v>93</v>
      </c>
      <c r="W2" s="10" t="n">
        <v>15.75</v>
      </c>
      <c r="X2" s="9" t="n">
        <v>72</v>
      </c>
      <c r="Y2" s="10" t="n">
        <v>82</v>
      </c>
      <c r="Z2" s="10" t="n">
        <v>49.08</v>
      </c>
      <c r="AA2" s="10" t="n">
        <v>33.5</v>
      </c>
      <c r="AB2" s="10" t="n">
        <v>50.38</v>
      </c>
      <c r="AC2" s="10" t="n">
        <v>42</v>
      </c>
      <c r="AD2" s="10" t="n">
        <v>556.96</v>
      </c>
      <c r="AE2" s="10" t="n">
        <v>1.54</v>
      </c>
      <c r="AF2" s="10" t="n">
        <v>1.16</v>
      </c>
      <c r="AG2" s="10" t="n">
        <v>2.72</v>
      </c>
      <c r="AH2" s="10" t="n">
        <v>2.34</v>
      </c>
      <c r="AI2" s="10" t="inlineStr"/>
      <c r="AJ2" s="11">
        <f>IFERROR(INDEX(Country_Context!$B$2:$B$87,MATCH($C2,Country_Context!$A$2:$A$87,0)),"")</f>
        <v/>
      </c>
      <c r="AK2" s="11">
        <f>IFERROR(INDEX(Country_Context!$C$2:$C$87,MATCH($C2,Country_Context!$A$2:$A$87,0)),"")</f>
        <v/>
      </c>
      <c r="AL2" s="11">
        <f>IFERROR(INDEX(Country_Context!$D$2:$D$87,MATCH($C2,Country_Context!$A$2:$A$87,0)),"")</f>
        <v/>
      </c>
      <c r="AM2" s="11">
        <f>IFERROR(INDEX(Country_Context!$E$2:$E$87,MATCH($C2,Country_Context!$A$2:$A$87,0)),"")</f>
        <v/>
      </c>
      <c r="AN2" s="11">
        <f>IFERROR(INDEX(Country_Context!$F$2:$F$87,MATCH($C2,Country_Context!$A$2:$A$87,0)),"")</f>
        <v/>
      </c>
      <c r="AO2" s="11">
        <f>IFERROR(INDEX(Country_Context!$G$2:$G$87,MATCH($C2,Country_Context!$A$2:$A$87,0)),"")</f>
        <v/>
      </c>
      <c r="AP2" s="12" t="inlineStr">
        <is>
          <t>https://api.worldbank.org/v2/country/THA/indicator/NY.GNP.PCAP.PP.CD?format=json&amp;mrv=10 | https://data.worldbank.org/indicator/NY.GNP.PCAP.PP.CD | https://ilostat.ilo.org/data/indicator/?id=HOW_TEMP_SEX_ECO_NB_A&amp;ref_area=THA | +4 more</t>
        </is>
      </c>
      <c r="AQ2" s="12" t="inlineStr">
        <is>
          <t>Tier 3, Tier 4</t>
        </is>
      </c>
      <c r="AR2" s="12" t="inlineStr">
        <is>
          <t>2024-12-31</t>
        </is>
      </c>
      <c r="AS2" s="12" t="inlineStr">
        <is>
          <t>providers=world_bank_col_estimate, derived, ilo_ilostat, who_gho; fields=gross_income, rent, utilities, transit_cost; +9 additional fields</t>
        </is>
      </c>
      <c r="AT2" s="12" t="inlineStr">
        <is>
          <t>https://api.worldbank.org/v2/country/THA/indicator/VC.IHR.PSRC.P5?format=json&amp;mrv=10 | https://www.pcd.go.th/ | https://washdata.org | +2 more</t>
        </is>
      </c>
      <c r="AU2" s="12" t="inlineStr">
        <is>
          <t>Tier 2, Tier 3</t>
        </is>
      </c>
      <c r="AV2" s="12" t="inlineStr">
        <is>
          <t>2024-12-31</t>
        </is>
      </c>
      <c r="AW2" s="12" t="inlineStr">
        <is>
          <t>providers=world_bank, thai_gov_pcd_rsc, who_unicef_jmp; fields=personal_safety_raw, clean_air_raw, water_sanitation_utility_raw, digital_infrastructure_raw; +1 additional fields</t>
        </is>
      </c>
      <c r="AX2" s="12" t="inlineStr">
        <is>
          <t>https://www.who.int/data/gho/data/indicators/indicator-details/GHO/UHC_INDEX_REPORTED | https://api.worldbank.org/v2/country/THA/indicator/SE.TER.ENRR?format=json&amp;mrv=10 | https://api.worldbank.org/v2/country/THA/indicator/SI.POV.GINI?format=json&amp;mrv=10 | +1 more</t>
        </is>
      </c>
      <c r="AY2" s="12" t="inlineStr">
        <is>
          <t>Tier 3</t>
        </is>
      </c>
      <c r="AZ2" s="12" t="inlineStr">
        <is>
          <t>2025-12-31</t>
        </is>
      </c>
      <c r="BA2" s="12" t="inlineStr">
        <is>
          <t>providers=who_gho, world_bank; fields=healthcare_quality_raw, education_quality_raw, equal_opportunity_raw, gini_coefficient</t>
        </is>
      </c>
      <c r="BB2" s="12" t="inlineStr">
        <is>
          <t>https://api.worldbank.org/v2/country/THA/indicator/SM.POP.NETM?format=json&amp;mrv=10 | https://api.worldbank.org/v2/country/THA/indicator/SG.GEN.PARL.ZS?format=json | https://api.worldbank.org/v2/country/THA/indicator/ST.INT.ARVL?format=json&amp;mrv=10 | +1 more</t>
        </is>
      </c>
      <c r="BC2" s="12" t="inlineStr">
        <is>
          <t>Tier 3</t>
        </is>
      </c>
      <c r="BD2" s="12" t="inlineStr">
        <is>
          <t>2025-12-31</t>
        </is>
      </c>
      <c r="BE2" s="12" t="inlineStr">
        <is>
          <t>providers=world_bank; fields=hospitality_belonging_raw, tolerance_pluralism_raw, cultural_public_life_raw, birth_rate_optimism_raw</t>
        </is>
      </c>
      <c r="BF2" s="12" t="inlineStr">
        <is>
          <t>https://api.worldbank.org/v2/country/THA/indicator/IC.BUS.NDNS.ZS?format=json&amp;mrv=10 | https://api.worldbank.org/v2/country/THA/indicator/GB.XPD.RSDV.GD.ZS?format=json&amp;mrv=10 | https://api.worldbank.org/v2/country/THA/indicator/BX.KLT.DINV.WD.GD.ZS?format=json&amp;mrv=10 | +3 more</t>
        </is>
      </c>
      <c r="BG2" s="12" t="inlineStr">
        <is>
          <t>Tier 3</t>
        </is>
      </c>
      <c r="BH2" s="12" t="inlineStr">
        <is>
          <t>2024-12-31</t>
        </is>
      </c>
      <c r="BI2" s="12" t="inlineStr">
        <is>
          <t>providers=world_bank; fields=entrepreneurial_dynamism_raw, innovation_research_intensity_raw, investment_signal_raw, administrative_investment_friction_raw; +2 additional fields</t>
        </is>
      </c>
      <c r="BJ2" s="9" t="n">
        <v>1.08</v>
      </c>
    </row>
    <row r="3">
      <c r="A3" s="9" t="inlineStr">
        <is>
          <t>sg-singapore</t>
        </is>
      </c>
      <c r="B3" s="9" t="inlineStr">
        <is>
          <t>Singapore</t>
        </is>
      </c>
      <c r="C3" s="9" t="inlineStr">
        <is>
          <t>Singapore</t>
        </is>
      </c>
      <c r="D3" s="9" t="inlineStr">
        <is>
          <t>Southeast Asia</t>
        </is>
      </c>
      <c r="E3" s="9" t="inlineStr">
        <is>
          <t>primary</t>
        </is>
      </c>
      <c r="F3" s="9" t="inlineStr">
        <is>
          <t>locked</t>
        </is>
      </c>
      <c r="G3" s="10" t="n">
        <v>10515.83</v>
      </c>
      <c r="H3" s="10" t="n">
        <v>2839.27</v>
      </c>
      <c r="I3" s="10" t="n">
        <v>709.8200000000001</v>
      </c>
      <c r="J3" s="10" t="n">
        <v>567.85</v>
      </c>
      <c r="K3" s="10" t="n">
        <v>212.95</v>
      </c>
      <c r="L3" s="10" t="n">
        <v>3123.2</v>
      </c>
      <c r="M3" s="11" t="inlineStr"/>
      <c r="N3" s="10" t="n">
        <v>27</v>
      </c>
      <c r="O3" s="10" t="n">
        <v>129.1908</v>
      </c>
      <c r="P3" s="11">
        <f>IF($O3&lt;&gt;"",$O3,$AO3)</f>
        <v/>
      </c>
      <c r="Q3" s="10" t="n">
        <v>42.6</v>
      </c>
      <c r="R3" s="10" t="n">
        <v>8.1</v>
      </c>
      <c r="S3" s="10" t="n">
        <v>0.07000000000000001</v>
      </c>
      <c r="T3" s="10" t="inlineStr"/>
      <c r="U3" s="10" t="inlineStr"/>
      <c r="V3" s="10" t="n">
        <v>100</v>
      </c>
      <c r="W3" s="10" t="n">
        <v>27.43</v>
      </c>
      <c r="X3" s="9" t="n">
        <v>62</v>
      </c>
      <c r="Y3" s="10" t="n">
        <v>88</v>
      </c>
      <c r="Z3" s="10" t="n">
        <v>97.29000000000001</v>
      </c>
      <c r="AA3" s="10" t="inlineStr"/>
      <c r="AB3" s="10" t="n">
        <v>52.8</v>
      </c>
      <c r="AC3" s="10" t="n">
        <v>29.29</v>
      </c>
      <c r="AD3" s="10" t="n">
        <v>454.21</v>
      </c>
      <c r="AE3" s="10" t="n">
        <v>11.32</v>
      </c>
      <c r="AF3" s="10" t="n">
        <v>2.16</v>
      </c>
      <c r="AG3" s="10" t="n">
        <v>27.76</v>
      </c>
      <c r="AH3" s="10" t="n">
        <v>0.19</v>
      </c>
      <c r="AI3" s="10" t="inlineStr"/>
      <c r="AJ3" s="11">
        <f>IFERROR(INDEX(Country_Context!$B$2:$B$87,MATCH($C3,Country_Context!$A$2:$A$87,0)),"")</f>
        <v/>
      </c>
      <c r="AK3" s="11">
        <f>IFERROR(INDEX(Country_Context!$C$2:$C$87,MATCH($C3,Country_Context!$A$2:$A$87,0)),"")</f>
        <v/>
      </c>
      <c r="AL3" s="11">
        <f>IFERROR(INDEX(Country_Context!$D$2:$D$87,MATCH($C3,Country_Context!$A$2:$A$87,0)),"")</f>
        <v/>
      </c>
      <c r="AM3" s="11">
        <f>IFERROR(INDEX(Country_Context!$E$2:$E$87,MATCH($C3,Country_Context!$A$2:$A$87,0)),"")</f>
        <v/>
      </c>
      <c r="AN3" s="11">
        <f>IFERROR(INDEX(Country_Context!$F$2:$F$87,MATCH($C3,Country_Context!$A$2:$A$87,0)),"")</f>
        <v/>
      </c>
      <c r="AO3" s="11">
        <f>IFERROR(INDEX(Country_Context!$G$2:$G$87,MATCH($C3,Country_Context!$A$2:$A$87,0)),"")</f>
        <v/>
      </c>
      <c r="AP3" s="12" t="inlineStr">
        <is>
          <t>https://api.worldbank.org/v2/country/SGP/indicator/NY.GNP.PCAP.PP.CD?format=json&amp;mrv=10 | https://data.worldbank.org/indicator/NY.GNP.PCAP.PP.CD | https://ilostat.ilo.org/data/indicator/?id=HOW_TEMP_SEX_ECO_NB_A&amp;ref_area=SGP | +4 more</t>
        </is>
      </c>
      <c r="AQ3" s="12" t="inlineStr">
        <is>
          <t>Tier 3, Tier 4</t>
        </is>
      </c>
      <c r="AR3" s="12" t="inlineStr">
        <is>
          <t>2024-12-31</t>
        </is>
      </c>
      <c r="AS3" s="12" t="inlineStr">
        <is>
          <t>providers=world_bank_col_estimate, derived, ilo_ilostat, who_gho; fields=gross_income, rent, utilities, transit_cost; +9 additional fields</t>
        </is>
      </c>
      <c r="AT3" s="12" t="inlineStr">
        <is>
          <t>https://api.worldbank.org/v2/country/SGP/indicator/VC.IHR.PSRC.P5?format=json&amp;mrv=10 | https://api.worldbank.org/v2/country/SGP/indicator/SH.H2O.SMDW.ZS?format=json&amp;mrv=10 | https://api.worldbank.org/v2/country/SGP/indicator/IT.NET.BBND.P2?format=json&amp;mrv=10 | +1 more</t>
        </is>
      </c>
      <c r="AU3" s="12" t="inlineStr">
        <is>
          <t>Tier 3</t>
        </is>
      </c>
      <c r="AV3" s="12" t="inlineStr">
        <is>
          <t>2024-12-31</t>
        </is>
      </c>
      <c r="AW3" s="12" t="inlineStr">
        <is>
          <t>providers=world_bank, wmo_natl_met; fields=personal_safety_raw, water_sanitation_utility_raw, digital_infrastructure_raw, climate_sunlight_livability_raw</t>
        </is>
      </c>
      <c r="AX3" s="12" t="inlineStr">
        <is>
          <t>https://www.who.int/data/gho/data/indicators/indicator-details/GHO/UHC_INDEX_REPORTED | https://api.worldbank.org/v2/country/SGP/indicator/SE.TER.ENRR?format=json&amp;mrv=10</t>
        </is>
      </c>
      <c r="AY3" s="12" t="inlineStr">
        <is>
          <t>Tier 3</t>
        </is>
      </c>
      <c r="AZ3" s="12" t="inlineStr">
        <is>
          <t>2023-12-31</t>
        </is>
      </c>
      <c r="BA3" s="12" t="inlineStr">
        <is>
          <t>providers=who_gho, world_bank; fields=healthcare_quality_raw, education_quality_raw</t>
        </is>
      </c>
      <c r="BB3" s="12" t="inlineStr">
        <is>
          <t>https://api.worldbank.org/v2/country/SGP/indicator/SM.POP.NETM?format=json&amp;mrv=10 | https://api.worldbank.org/v2/country/SGP/indicator/SG.GEN.PARL.ZS?format=json&amp;mrv=10 | https://api.worldbank.org/v2/country/SGP/indicator/ST.INT.ARVL?format=json&amp;mrv=10 | +1 more</t>
        </is>
      </c>
      <c r="BC3" s="12" t="inlineStr">
        <is>
          <t>Tier 3</t>
        </is>
      </c>
      <c r="BD3" s="12" t="inlineStr">
        <is>
          <t>2025-12-31</t>
        </is>
      </c>
      <c r="BE3" s="12" t="inlineStr">
        <is>
          <t>providers=world_bank; fields=hospitality_belonging_raw, tolerance_pluralism_raw, cultural_public_life_raw, birth_rate_optimism_raw</t>
        </is>
      </c>
      <c r="BF3" s="12" t="inlineStr">
        <is>
          <t>https://api.worldbank.org/v2/country/SGP/indicator/IC.BUS.NDNS.ZS?format=json&amp;mrv=10 | https://api.worldbank.org/v2/country/SGP/indicator/GB.XPD.RSDV.GD.ZS?format=json&amp;mrv=10 | https://api.worldbank.org/v2/country/SGP/indicator/BX.KLT.DINV.WD.GD.ZS?format=json&amp;mrv=10 | +3 more</t>
        </is>
      </c>
      <c r="BG3" s="12" t="inlineStr">
        <is>
          <t>Tier 3</t>
        </is>
      </c>
      <c r="BH3" s="12" t="inlineStr">
        <is>
          <t>2024-12-31</t>
        </is>
      </c>
      <c r="BI3" s="12" t="inlineStr">
        <is>
          <t>providers=world_bank; fields=entrepreneurial_dynamism_raw, innovation_research_intensity_raw, investment_signal_raw, administrative_investment_friction_raw; +2 additional fields</t>
        </is>
      </c>
      <c r="BJ3" s="9" t="n">
        <v>0.97</v>
      </c>
    </row>
    <row r="4">
      <c r="A4" s="9" t="inlineStr">
        <is>
          <t>my-kuala-lumpur</t>
        </is>
      </c>
      <c r="B4" s="9" t="inlineStr">
        <is>
          <t>Kuala Lumpur</t>
        </is>
      </c>
      <c r="C4" s="9" t="inlineStr">
        <is>
          <t>Malaysia</t>
        </is>
      </c>
      <c r="D4" s="9" t="inlineStr">
        <is>
          <t>Southeast Asia</t>
        </is>
      </c>
      <c r="E4" s="9" t="inlineStr">
        <is>
          <t>primary</t>
        </is>
      </c>
      <c r="F4" s="9" t="inlineStr">
        <is>
          <t>locked</t>
        </is>
      </c>
      <c r="G4" s="10" t="n">
        <v>3120.83</v>
      </c>
      <c r="H4" s="10" t="n">
        <v>624.17</v>
      </c>
      <c r="I4" s="10" t="n">
        <v>156.04</v>
      </c>
      <c r="J4" s="10" t="n">
        <v>124.83</v>
      </c>
      <c r="K4" s="10" t="n">
        <v>46.81</v>
      </c>
      <c r="L4" s="10" t="n">
        <v>686.58</v>
      </c>
      <c r="M4" s="11" t="inlineStr"/>
      <c r="N4" s="10" t="n">
        <v>20.0001</v>
      </c>
      <c r="O4" s="10" t="n">
        <v>116.0773</v>
      </c>
      <c r="P4" s="11">
        <f>IF($O4&lt;&gt;"",$O4,$AO4)</f>
        <v/>
      </c>
      <c r="Q4" s="10" t="n">
        <v>44.7</v>
      </c>
      <c r="R4" s="10" t="n">
        <v>5.65</v>
      </c>
      <c r="S4" s="10" t="n">
        <v>0.73</v>
      </c>
      <c r="T4" s="10" t="inlineStr"/>
      <c r="U4" s="10" t="inlineStr"/>
      <c r="V4" s="10" t="n">
        <v>94.7</v>
      </c>
      <c r="W4" s="10" t="n">
        <v>13.03</v>
      </c>
      <c r="X4" s="9" t="n">
        <v>56</v>
      </c>
      <c r="Y4" s="10" t="n">
        <v>80</v>
      </c>
      <c r="Z4" s="10" t="n">
        <v>38.5</v>
      </c>
      <c r="AA4" s="10" t="n">
        <v>40.7</v>
      </c>
      <c r="AB4" s="10" t="n">
        <v>54.69</v>
      </c>
      <c r="AC4" s="10" t="n">
        <v>13.51</v>
      </c>
      <c r="AD4" s="10" t="n">
        <v>121.86</v>
      </c>
      <c r="AE4" s="10" t="n">
        <v>2.19</v>
      </c>
      <c r="AF4" s="10" t="n">
        <v>0.95</v>
      </c>
      <c r="AG4" s="10" t="n">
        <v>3.69</v>
      </c>
      <c r="AH4" s="10" t="n">
        <v>1.84</v>
      </c>
      <c r="AI4" s="10" t="inlineStr"/>
      <c r="AJ4" s="11">
        <f>IFERROR(INDEX(Country_Context!$B$2:$B$87,MATCH($C4,Country_Context!$A$2:$A$87,0)),"")</f>
        <v/>
      </c>
      <c r="AK4" s="11">
        <f>IFERROR(INDEX(Country_Context!$C$2:$C$87,MATCH($C4,Country_Context!$A$2:$A$87,0)),"")</f>
        <v/>
      </c>
      <c r="AL4" s="11">
        <f>IFERROR(INDEX(Country_Context!$D$2:$D$87,MATCH($C4,Country_Context!$A$2:$A$87,0)),"")</f>
        <v/>
      </c>
      <c r="AM4" s="11">
        <f>IFERROR(INDEX(Country_Context!$E$2:$E$87,MATCH($C4,Country_Context!$A$2:$A$87,0)),"")</f>
        <v/>
      </c>
      <c r="AN4" s="11">
        <f>IFERROR(INDEX(Country_Context!$F$2:$F$87,MATCH($C4,Country_Context!$A$2:$A$87,0)),"")</f>
        <v/>
      </c>
      <c r="AO4" s="11">
        <f>IFERROR(INDEX(Country_Context!$G$2:$G$87,MATCH($C4,Country_Context!$A$2:$A$87,0)),"")</f>
        <v/>
      </c>
      <c r="AP4" s="12" t="inlineStr">
        <is>
          <t>https://api.worldbank.org/v2/country/MYS/indicator/NY.GNP.PCAP.PP.CD?format=json&amp;mrv=10 | https://data.worldbank.org/indicator/NY.GNP.PCAP.PP.CD | https://ilostat.ilo.org/data/indicator/?id=HOW_TEMP_SEX_ECO_NB_A&amp;ref_area=MYS | +4 more</t>
        </is>
      </c>
      <c r="AQ4" s="12" t="inlineStr">
        <is>
          <t>Tier 3, Tier 4</t>
        </is>
      </c>
      <c r="AR4" s="12" t="inlineStr">
        <is>
          <t>2024-12-31</t>
        </is>
      </c>
      <c r="AS4" s="12" t="inlineStr">
        <is>
          <t>providers=world_bank_col_estimate, derived, ilo_ilostat, who_gho; fields=gross_income, rent, utilities, transit_cost; +9 additional fields</t>
        </is>
      </c>
      <c r="AT4" s="12" t="inlineStr">
        <is>
          <t>https://api.worldbank.org/v2/country/MYS/indicator/VC.IHR.PSRC.P5?format=json&amp;mrv=10 | https://api.worldbank.org/v2/country/MYS/indicator/SH.H2O.SMDW.ZS?format=json&amp;mrv=10 | https://api.worldbank.org/v2/country/MYS/indicator/IT.NET.BBND.P2?format=json&amp;mrv=10 | +1 more</t>
        </is>
      </c>
      <c r="AU4" s="12" t="inlineStr">
        <is>
          <t>Tier 3</t>
        </is>
      </c>
      <c r="AV4" s="12" t="inlineStr">
        <is>
          <t>2024-12-31</t>
        </is>
      </c>
      <c r="AW4" s="12" t="inlineStr">
        <is>
          <t>providers=world_bank, wmo_natl_met; fields=personal_safety_raw, water_sanitation_utility_raw, digital_infrastructure_raw, climate_sunlight_livability_raw</t>
        </is>
      </c>
      <c r="AX4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https://api.worldbank.org/v2/country/MYS/indicator/SI.POV.GINI?format=json&amp;mrv=10 | +1 more</t>
        </is>
      </c>
      <c r="AY4" s="12" t="inlineStr">
        <is>
          <t>Tier 3</t>
        </is>
      </c>
      <c r="AZ4" s="12" t="inlineStr">
        <is>
          <t>2024-12-31</t>
        </is>
      </c>
      <c r="BA4" s="12" t="inlineStr">
        <is>
          <t>providers=who_gho, world_bank; fields=healthcare_quality_raw, education_quality_raw, equal_opportunity_raw, gini_coefficient</t>
        </is>
      </c>
      <c r="BB4" s="12" t="inlineStr">
        <is>
          <t>https://api.worldbank.org/v2/country/MYS/indicator/SM.POP.NETM?format=json&amp;mrv=10 | https://api.worldbank.org/v2/country/MYS/indicator/SG.GEN.PARL.ZS?format=json&amp;mrv=10 | https://api.worldbank.org/v2/country/MYS/indicator/ST.INT.ARVL?format=json&amp;mrv=10 | +1 more</t>
        </is>
      </c>
      <c r="BC4" s="12" t="inlineStr">
        <is>
          <t>Tier 3</t>
        </is>
      </c>
      <c r="BD4" s="12" t="inlineStr">
        <is>
          <t>2025-12-31</t>
        </is>
      </c>
      <c r="BE4" s="12" t="inlineStr">
        <is>
          <t>providers=world_bank; fields=hospitality_belonging_raw, tolerance_pluralism_raw, cultural_public_life_raw, birth_rate_optimism_raw</t>
        </is>
      </c>
      <c r="BF4" s="12" t="inlineStr">
        <is>
          <t>https://api.worldbank.org/v2/country/MYS/indicator/IC.BUS.NDNS.ZS?format=json&amp;mrv=10 | https://api.worldbank.org/v2/country/MYS/indicator/GB.XPD.RSDV.GD.ZS?format=json&amp;mrv=10 | https://api.worldbank.org/v2/country/MYS/indicator/BX.KLT.DINV.WD.GD.ZS?format=json&amp;mrv=10 | +3 more</t>
        </is>
      </c>
      <c r="BG4" s="12" t="inlineStr">
        <is>
          <t>Tier 3</t>
        </is>
      </c>
      <c r="BH4" s="12" t="inlineStr">
        <is>
          <t>2024-12-31</t>
        </is>
      </c>
      <c r="BI4" s="12" t="inlineStr">
        <is>
          <t>providers=world_bank; fields=entrepreneurial_dynamism_raw, innovation_research_intensity_raw, investment_signal_raw, administrative_investment_friction_raw; +2 additional fields</t>
        </is>
      </c>
      <c r="BJ4" s="9" t="n">
        <v>1.6</v>
      </c>
    </row>
    <row r="5">
      <c r="A5" s="9" t="inlineStr">
        <is>
          <t>id-jakarta</t>
        </is>
      </c>
      <c r="B5" s="9" t="inlineStr">
        <is>
          <t>Jakarta</t>
        </is>
      </c>
      <c r="C5" s="9" t="inlineStr">
        <is>
          <t>Indonesia</t>
        </is>
      </c>
      <c r="D5" s="9" t="inlineStr">
        <is>
          <t>Southeast Asia</t>
        </is>
      </c>
      <c r="E5" s="9" t="inlineStr">
        <is>
          <t>primary</t>
        </is>
      </c>
      <c r="F5" s="9" t="inlineStr">
        <is>
          <t>provisional</t>
        </is>
      </c>
      <c r="G5" s="10" t="n">
        <v>1334.17</v>
      </c>
      <c r="H5" s="10" t="n">
        <v>266.83</v>
      </c>
      <c r="I5" s="10" t="n">
        <v>66.70999999999999</v>
      </c>
      <c r="J5" s="10" t="n">
        <v>53.37</v>
      </c>
      <c r="K5" s="10" t="n">
        <v>20.01</v>
      </c>
      <c r="L5" s="10" t="n">
        <v>293.52</v>
      </c>
      <c r="M5" s="11" t="inlineStr"/>
      <c r="N5" s="10" t="n">
        <v>19.9997</v>
      </c>
      <c r="O5" s="10" t="n">
        <v>31.7861</v>
      </c>
      <c r="P5" s="11">
        <f>IF($O5&lt;&gt;"",$O5,$AO5)</f>
        <v/>
      </c>
      <c r="Q5" s="10" t="n">
        <v>38.36</v>
      </c>
      <c r="R5" s="10" t="n">
        <v>1.2</v>
      </c>
      <c r="S5" s="10" t="n">
        <v>0.3</v>
      </c>
      <c r="T5" s="10" t="inlineStr"/>
      <c r="U5" s="10" t="inlineStr"/>
      <c r="V5" s="10" t="n">
        <v>30.46</v>
      </c>
      <c r="W5" s="10" t="n">
        <v>4.82</v>
      </c>
      <c r="X5" s="9" t="n">
        <v>54</v>
      </c>
      <c r="Y5" s="10" t="n">
        <v>67</v>
      </c>
      <c r="Z5" s="10" t="n">
        <v>44.88</v>
      </c>
      <c r="AA5" s="10" t="n">
        <v>34.9</v>
      </c>
      <c r="AB5" s="10" t="n">
        <v>49.86</v>
      </c>
      <c r="AC5" s="10" t="n">
        <v>21.03</v>
      </c>
      <c r="AD5" s="10" t="n">
        <v>14.3</v>
      </c>
      <c r="AE5" s="10" t="n">
        <v>0.33</v>
      </c>
      <c r="AF5" s="10" t="n">
        <v>0.28</v>
      </c>
      <c r="AG5" s="10" t="n">
        <v>1.74</v>
      </c>
      <c r="AH5" s="10" t="n">
        <v>2.2</v>
      </c>
      <c r="AI5" s="10" t="inlineStr"/>
      <c r="AJ5" s="11">
        <f>IFERROR(INDEX(Country_Context!$B$2:$B$87,MATCH($C5,Country_Context!$A$2:$A$87,0)),"")</f>
        <v/>
      </c>
      <c r="AK5" s="11">
        <f>IFERROR(INDEX(Country_Context!$C$2:$C$87,MATCH($C5,Country_Context!$A$2:$A$87,0)),"")</f>
        <v/>
      </c>
      <c r="AL5" s="11">
        <f>IFERROR(INDEX(Country_Context!$D$2:$D$87,MATCH($C5,Country_Context!$A$2:$A$87,0)),"")</f>
        <v/>
      </c>
      <c r="AM5" s="11">
        <f>IFERROR(INDEX(Country_Context!$E$2:$E$87,MATCH($C5,Country_Context!$A$2:$A$87,0)),"")</f>
        <v/>
      </c>
      <c r="AN5" s="11">
        <f>IFERROR(INDEX(Country_Context!$F$2:$F$87,MATCH($C5,Country_Context!$A$2:$A$87,0)),"")</f>
        <v/>
      </c>
      <c r="AO5" s="11">
        <f>IFERROR(INDEX(Country_Context!$G$2:$G$87,MATCH($C5,Country_Context!$A$2:$A$87,0)),"")</f>
        <v/>
      </c>
      <c r="AP5" s="12" t="inlineStr">
        <is>
          <t>https://api.worldbank.org/v2/country/IDN/indicator/NY.GNP.PCAP.PP.CD?format=json&amp;mrv=10 | https://data.worldbank.org/indicator/NY.GNP.PCAP.PP.CD | https://ilostat.ilo.org/data/indicator/?id=HOW_TEMP_SEX_ECO_NB_A&amp;ref_area=IDN | +4 more</t>
        </is>
      </c>
      <c r="AQ5" s="12" t="inlineStr">
        <is>
          <t>Tier 3, Tier 4</t>
        </is>
      </c>
      <c r="AR5" s="12" t="inlineStr">
        <is>
          <t>2024-12-31</t>
        </is>
      </c>
      <c r="AS5" s="12" t="inlineStr">
        <is>
          <t>providers=world_bank_col_estimate, derived, ilo_ilostat, who_gho; fields=gross_income, rent, utilities, transit_cost; +9 additional fields</t>
        </is>
      </c>
      <c r="AT5" s="12" t="inlineStr">
        <is>
          <t>https://api.worldbank.org/v2/country/IDN/indicator/VC.IHR.PSRC.P5?format=json&amp;mrv=10 | https://api.worldbank.org/v2/country/IDN/indicator/SH.H2O.SMDW.ZS?format=json&amp;mrv=10 | https://api.worldbank.org/v2/country/IDN/indicator/IT.NET.BBND.P2?format=json&amp;mrv=10 | +1 more</t>
        </is>
      </c>
      <c r="AU5" s="12" t="inlineStr">
        <is>
          <t>Tier 3</t>
        </is>
      </c>
      <c r="AV5" s="12" t="inlineStr">
        <is>
          <t>2024-12-31</t>
        </is>
      </c>
      <c r="AW5" s="12" t="inlineStr">
        <is>
          <t>providers=world_bank, wmo_natl_met; fields=personal_safety_raw, water_sanitation_utility_raw, digital_infrastructure_raw, climate_sunlight_livability_raw</t>
        </is>
      </c>
      <c r="AX5" s="12" t="inlineStr">
        <is>
          <t>https://www.who.int/data/gho/data/indicators/indicator-details/GHO/UHC_INDEX_REPORTED | https://api.worldbank.org/v2/country/IDN/indicator/SE.TER.ENRR?format=json&amp;mrv=10 | https://api.worldbank.org/v2/country/IDN/indicator/SI.POV.GINI?format=json&amp;mrv=10 | +1 more</t>
        </is>
      </c>
      <c r="AY5" s="12" t="inlineStr">
        <is>
          <t>Tier 3</t>
        </is>
      </c>
      <c r="AZ5" s="12" t="inlineStr">
        <is>
          <t>2024-12-31</t>
        </is>
      </c>
      <c r="BA5" s="12" t="inlineStr">
        <is>
          <t>providers=who_gho, world_bank; fields=healthcare_quality_raw, education_quality_raw, equal_opportunity_raw, gini_coefficient</t>
        </is>
      </c>
      <c r="BB5" s="12" t="inlineStr">
        <is>
          <t>https://api.worldbank.org/v2/country/IDN/indicator/SM.POP.NETM?format=json&amp;mrv=10 | https://api.worldbank.org/v2/country/IDN/indicator/SG.GEN.PARL.ZS?format=json&amp;mrv=10 | https://api.worldbank.org/v2/country/IDN/indicator/ST.INT.ARVL?format=json&amp;mrv=10</t>
        </is>
      </c>
      <c r="BC5" s="12" t="inlineStr">
        <is>
          <t>Tier 3</t>
        </is>
      </c>
      <c r="BD5" s="12" t="inlineStr">
        <is>
          <t>2025-12-31</t>
        </is>
      </c>
      <c r="BE5" s="12" t="inlineStr">
        <is>
          <t>providers=world_bank; fields=hospitality_belonging_raw, tolerance_pluralism_raw, cultural_public_life_raw</t>
        </is>
      </c>
      <c r="BF5" s="12" t="inlineStr">
        <is>
          <t>https://api.worldbank.org/v2/country/IDN/indicator/IC.BUS.NDNS.ZS?format=json&amp;mrv=10 | https://api.worldbank.org/v2/country/IDN/indicator/GB.XPD.RSDV.GD.ZS?format=json&amp;mrv=10 | https://api.worldbank.org/v2/country/IDN/indicator/BX.KLT.DINV.WD.GD.ZS?format=json&amp;mrv=10 | +3 more</t>
        </is>
      </c>
      <c r="BG5" s="12" t="inlineStr">
        <is>
          <t>Tier 3</t>
        </is>
      </c>
      <c r="BH5" s="12" t="inlineStr">
        <is>
          <t>2024-12-31</t>
        </is>
      </c>
      <c r="BI5" s="12" t="inlineStr">
        <is>
          <t>providers=world_bank; fields=entrepreneurial_dynamism_raw, innovation_research_intensity_raw, investment_signal_raw, administrative_investment_friction_raw; +2 additional fields</t>
        </is>
      </c>
      <c r="BJ5" s="9" t="inlineStr"/>
    </row>
    <row r="6">
      <c r="A6" s="9" t="inlineStr">
        <is>
          <t>ph-makati</t>
        </is>
      </c>
      <c r="B6" s="9" t="inlineStr">
        <is>
          <t>Makati</t>
        </is>
      </c>
      <c r="C6" s="9" t="inlineStr">
        <is>
          <t>Philippines</t>
        </is>
      </c>
      <c r="D6" s="9" t="inlineStr">
        <is>
          <t>Southeast Asia</t>
        </is>
      </c>
      <c r="E6" s="9" t="inlineStr">
        <is>
          <t>primary</t>
        </is>
      </c>
      <c r="F6" s="9" t="inlineStr">
        <is>
          <t>provisional</t>
        </is>
      </c>
      <c r="G6" s="10" t="n">
        <v>1110.83</v>
      </c>
      <c r="H6" s="10" t="n">
        <v>222.17</v>
      </c>
      <c r="I6" s="10" t="n">
        <v>55.54</v>
      </c>
      <c r="J6" s="10" t="n">
        <v>44.43</v>
      </c>
      <c r="K6" s="10" t="n">
        <v>16.66</v>
      </c>
      <c r="L6" s="10" t="n">
        <v>244.38</v>
      </c>
      <c r="M6" s="11" t="inlineStr"/>
      <c r="N6" s="10" t="n">
        <v>20.0004</v>
      </c>
      <c r="O6" s="10" t="n">
        <v>49.8137</v>
      </c>
      <c r="P6" s="11">
        <f>IF($O6&lt;&gt;"",$O6,$AO6)</f>
        <v/>
      </c>
      <c r="Q6" s="10" t="n">
        <v>39.99</v>
      </c>
      <c r="R6" s="10" t="n">
        <v>3.49</v>
      </c>
      <c r="S6" s="10" t="n">
        <v>4.35</v>
      </c>
      <c r="T6" s="10" t="inlineStr"/>
      <c r="U6" s="10" t="inlineStr"/>
      <c r="V6" s="10" t="n">
        <v>48.48</v>
      </c>
      <c r="W6" s="10" t="n">
        <v>6.54</v>
      </c>
      <c r="X6" s="9" t="inlineStr"/>
      <c r="Y6" s="10" t="n">
        <v>69</v>
      </c>
      <c r="Z6" s="10" t="n">
        <v>47.41</v>
      </c>
      <c r="AA6" s="10" t="n">
        <v>39.3</v>
      </c>
      <c r="AB6" s="10" t="n">
        <v>48.71</v>
      </c>
      <c r="AC6" s="10" t="n">
        <v>27.33</v>
      </c>
      <c r="AD6" s="10" t="n">
        <v>12.8</v>
      </c>
      <c r="AE6" s="10" t="n">
        <v>0.34</v>
      </c>
      <c r="AF6" s="10" t="n">
        <v>0.32</v>
      </c>
      <c r="AG6" s="10" t="n">
        <v>2.04</v>
      </c>
      <c r="AH6" s="10" t="n">
        <v>2.34</v>
      </c>
      <c r="AI6" s="10" t="inlineStr"/>
      <c r="AJ6" s="11">
        <f>IFERROR(INDEX(Country_Context!$B$2:$B$87,MATCH($C6,Country_Context!$A$2:$A$87,0)),"")</f>
        <v/>
      </c>
      <c r="AK6" s="11">
        <f>IFERROR(INDEX(Country_Context!$C$2:$C$87,MATCH($C6,Country_Context!$A$2:$A$87,0)),"")</f>
        <v/>
      </c>
      <c r="AL6" s="11">
        <f>IFERROR(INDEX(Country_Context!$D$2:$D$87,MATCH($C6,Country_Context!$A$2:$A$87,0)),"")</f>
        <v/>
      </c>
      <c r="AM6" s="11">
        <f>IFERROR(INDEX(Country_Context!$E$2:$E$87,MATCH($C6,Country_Context!$A$2:$A$87,0)),"")</f>
        <v/>
      </c>
      <c r="AN6" s="11">
        <f>IFERROR(INDEX(Country_Context!$F$2:$F$87,MATCH($C6,Country_Context!$A$2:$A$87,0)),"")</f>
        <v/>
      </c>
      <c r="AO6" s="11">
        <f>IFERROR(INDEX(Country_Context!$G$2:$G$87,MATCH($C6,Country_Context!$A$2:$A$87,0)),"")</f>
        <v/>
      </c>
      <c r="AP6" s="12" t="inlineStr">
        <is>
          <t>https://api.worldbank.org/v2/country/PHL/indicator/NY.GNP.PCAP.PP.CD?format=json&amp;mrv=10 | https://data.worldbank.org/indicator/NY.GNP.PCAP.PP.CD | https://ilostat.ilo.org/data/indicator/?id=HOW_TEMP_SEX_ECO_NB_A&amp;ref_area=PHL | +4 more</t>
        </is>
      </c>
      <c r="AQ6" s="12" t="inlineStr">
        <is>
          <t>Tier 3, Tier 4</t>
        </is>
      </c>
      <c r="AR6" s="12" t="inlineStr">
        <is>
          <t>2024-12-31</t>
        </is>
      </c>
      <c r="AS6" s="12" t="inlineStr">
        <is>
          <t>providers=world_bank_col_estimate, derived, ilo_ilostat, who_gho; fields=gross_income, rent, utilities, transit_cost; +9 additional fields</t>
        </is>
      </c>
      <c r="AT6" s="12" t="inlineStr">
        <is>
          <t>https://api.worldbank.org/v2/country/PHL/indicator/VC.IHR.PSRC.P5?format=json&amp;mrv=10 | https://api.worldbank.org/v2/country/PHL/indicator/SH.H2O.SMDW.ZS?format=json&amp;mrv=10 | https://api.worldbank.org/v2/country/PHL/indicator/IT.NET.BBND.P2?format=json&amp;mrv=10</t>
        </is>
      </c>
      <c r="AU6" s="12" t="inlineStr">
        <is>
          <t>Tier 3</t>
        </is>
      </c>
      <c r="AV6" s="12" t="inlineStr">
        <is>
          <t>2024-12-31</t>
        </is>
      </c>
      <c r="AW6" s="12" t="inlineStr">
        <is>
          <t>providers=world_bank; fields=personal_safety_raw, water_sanitation_utility_raw, digital_infrastructure_raw</t>
        </is>
      </c>
      <c r="AX6" s="12" t="inlineStr">
        <is>
          <t>https://www.who.int/data/gho/data/indicators/indicator-details/GHO/UHC_INDEX_REPORTED | https://api.worldbank.org/v2/country/PHL/indicator/SE.TER.ENRR?format=json&amp;mrv=10 | https://api.worldbank.org/v2/country/PHL/indicator/SI.POV.GINI?format=json&amp;mrv=10 | +1 more</t>
        </is>
      </c>
      <c r="AY6" s="12" t="inlineStr">
        <is>
          <t>Tier 3</t>
        </is>
      </c>
      <c r="AZ6" s="12" t="inlineStr">
        <is>
          <t>2024-12-31</t>
        </is>
      </c>
      <c r="BA6" s="12" t="inlineStr">
        <is>
          <t>providers=who_gho, world_bank; fields=healthcare_quality_raw, education_quality_raw, equal_opportunity_raw, gini_coefficient</t>
        </is>
      </c>
      <c r="BB6" s="12" t="inlineStr">
        <is>
          <t>https://api.worldbank.org/v2/country/PHL/indicator/SM.POP.NETM?format=json&amp;mrv=10 | https://api.worldbank.org/v2/country/PHL/indicator/SG.GEN.PARL.ZS?format=json&amp;mrv=10 | https://api.worldbank.org/v2/country/PHL/indicator/ST.INT.ARVL?format=json&amp;mrv=10</t>
        </is>
      </c>
      <c r="BC6" s="12" t="inlineStr">
        <is>
          <t>Tier 3</t>
        </is>
      </c>
      <c r="BD6" s="12" t="inlineStr">
        <is>
          <t>2025-12-31</t>
        </is>
      </c>
      <c r="BE6" s="12" t="inlineStr">
        <is>
          <t>providers=world_bank; fields=hospitality_belonging_raw, tolerance_pluralism_raw, cultural_public_life_raw</t>
        </is>
      </c>
      <c r="BF6" s="12" t="inlineStr">
        <is>
          <t>https://api.worldbank.org/v2/country/PHL/indicator/IC.BUS.NDNS.ZS?format=json&amp;mrv=10 | https://api.worldbank.org/v2/country/PHL/indicator/GB.XPD.RSDV.GD.ZS?format=json&amp;mrv=10 | https://api.worldbank.org/v2/country/PHL/indicator/BX.KLT.DINV.WD.GD.ZS?format=json&amp;mrv=10 | +3 more</t>
        </is>
      </c>
      <c r="BG6" s="12" t="inlineStr">
        <is>
          <t>Tier 3</t>
        </is>
      </c>
      <c r="BH6" s="12" t="inlineStr">
        <is>
          <t>2024-12-31</t>
        </is>
      </c>
      <c r="BI6" s="12" t="inlineStr">
        <is>
          <t>providers=world_bank; fields=entrepreneurial_dynamism_raw, innovation_research_intensity_raw, investment_signal_raw, administrative_investment_friction_raw; +2 additional fields</t>
        </is>
      </c>
      <c r="BJ6" s="9" t="inlineStr"/>
    </row>
    <row r="7">
      <c r="A7" s="9" t="inlineStr">
        <is>
          <t>my-george-town</t>
        </is>
      </c>
      <c r="B7" s="9" t="inlineStr">
        <is>
          <t>George Town</t>
        </is>
      </c>
      <c r="C7" s="9" t="inlineStr">
        <is>
          <t>Malaysia</t>
        </is>
      </c>
      <c r="D7" s="9" t="inlineStr">
        <is>
          <t>Southeast Asia</t>
        </is>
      </c>
      <c r="E7" s="9" t="inlineStr">
        <is>
          <t>secondary</t>
        </is>
      </c>
      <c r="F7" s="9" t="inlineStr">
        <is>
          <t>locked</t>
        </is>
      </c>
      <c r="G7" s="10" t="n">
        <v>3120.83</v>
      </c>
      <c r="H7" s="10" t="n">
        <v>499.33</v>
      </c>
      <c r="I7" s="10" t="n">
        <v>124.83</v>
      </c>
      <c r="J7" s="10" t="n">
        <v>99.87</v>
      </c>
      <c r="K7" s="10" t="n">
        <v>37.45</v>
      </c>
      <c r="L7" s="10" t="n">
        <v>549.27</v>
      </c>
      <c r="M7" s="11" t="inlineStr"/>
      <c r="N7" s="10" t="n">
        <v>15.9999</v>
      </c>
      <c r="O7" s="10" t="n">
        <v>116.0773</v>
      </c>
      <c r="P7" s="11">
        <f>IF($O7&lt;&gt;"",$O7,$AO7)</f>
        <v/>
      </c>
      <c r="Q7" s="10" t="n">
        <v>44.7</v>
      </c>
      <c r="R7" s="10" t="n">
        <v>5.65</v>
      </c>
      <c r="S7" s="10" t="n">
        <v>0.73</v>
      </c>
      <c r="T7" s="10" t="inlineStr"/>
      <c r="U7" s="10" t="inlineStr"/>
      <c r="V7" s="10" t="n">
        <v>94.7</v>
      </c>
      <c r="W7" s="10" t="n">
        <v>13.03</v>
      </c>
      <c r="X7" s="9" t="inlineStr"/>
      <c r="Y7" s="10" t="n">
        <v>80</v>
      </c>
      <c r="Z7" s="10" t="n">
        <v>38.5</v>
      </c>
      <c r="AA7" s="10" t="n">
        <v>40.7</v>
      </c>
      <c r="AB7" s="10" t="n">
        <v>54.69</v>
      </c>
      <c r="AC7" s="10" t="n">
        <v>13.51</v>
      </c>
      <c r="AD7" s="10" t="n">
        <v>121.86</v>
      </c>
      <c r="AE7" s="10" t="n">
        <v>2.19</v>
      </c>
      <c r="AF7" s="10" t="n">
        <v>0.95</v>
      </c>
      <c r="AG7" s="10" t="n">
        <v>3.69</v>
      </c>
      <c r="AH7" s="10" t="n">
        <v>1.84</v>
      </c>
      <c r="AI7" s="10" t="inlineStr"/>
      <c r="AJ7" s="11">
        <f>IFERROR(INDEX(Country_Context!$B$2:$B$87,MATCH($C7,Country_Context!$A$2:$A$87,0)),"")</f>
        <v/>
      </c>
      <c r="AK7" s="11">
        <f>IFERROR(INDEX(Country_Context!$C$2:$C$87,MATCH($C7,Country_Context!$A$2:$A$87,0)),"")</f>
        <v/>
      </c>
      <c r="AL7" s="11">
        <f>IFERROR(INDEX(Country_Context!$D$2:$D$87,MATCH($C7,Country_Context!$A$2:$A$87,0)),"")</f>
        <v/>
      </c>
      <c r="AM7" s="11">
        <f>IFERROR(INDEX(Country_Context!$E$2:$E$87,MATCH($C7,Country_Context!$A$2:$A$87,0)),"")</f>
        <v/>
      </c>
      <c r="AN7" s="11">
        <f>IFERROR(INDEX(Country_Context!$F$2:$F$87,MATCH($C7,Country_Context!$A$2:$A$87,0)),"")</f>
        <v/>
      </c>
      <c r="AO7" s="11">
        <f>IFERROR(INDEX(Country_Context!$G$2:$G$87,MATCH($C7,Country_Context!$A$2:$A$87,0)),"")</f>
        <v/>
      </c>
      <c r="AP7" s="12" t="inlineStr">
        <is>
          <t>https://api.worldbank.org/v2/country/MYS/indicator/NY.GNP.PCAP.PP.CD?format=json&amp;mrv=10 | https://data.worldbank.org/indicator/NY.GNP.PCAP.PP.CD | https://ilostat.ilo.org/data/indicator/?id=HOW_TEMP_SEX_ECO_NB_A&amp;ref_area=MYS | +4 more</t>
        </is>
      </c>
      <c r="AQ7" s="12" t="inlineStr">
        <is>
          <t>Tier 3, Tier 4</t>
        </is>
      </c>
      <c r="AR7" s="12" t="inlineStr">
        <is>
          <t>2024-12-31</t>
        </is>
      </c>
      <c r="AS7" s="12" t="inlineStr">
        <is>
          <t>providers=world_bank_col_estimate, derived, ilo_ilostat, who_gho; fields=gross_income, rent, utilities, transit_cost; +9 additional fields</t>
        </is>
      </c>
      <c r="AT7" s="12" t="inlineStr">
        <is>
          <t>https://api.worldbank.org/v2/country/MYS/indicator/VC.IHR.PSRC.P5?format=json&amp;mrv=10 | https://api.worldbank.org/v2/country/MYS/indicator/SH.H2O.SMDW.ZS?format=json&amp;mrv=10 | https://api.worldbank.org/v2/country/MYS/indicator/IT.NET.BBND.P2?format=json&amp;mrv=10</t>
        </is>
      </c>
      <c r="AU7" s="12" t="inlineStr">
        <is>
          <t>Tier 3</t>
        </is>
      </c>
      <c r="AV7" s="12" t="inlineStr">
        <is>
          <t>2024-12-31</t>
        </is>
      </c>
      <c r="AW7" s="12" t="inlineStr">
        <is>
          <t>providers=world_bank; fields=personal_safety_raw, water_sanitation_utility_raw, digital_infrastructure_raw</t>
        </is>
      </c>
      <c r="AX7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https://api.worldbank.org/v2/country/MYS/indicator/SI.POV.GINI?format=json&amp;mrv=10 | +1 more</t>
        </is>
      </c>
      <c r="AY7" s="12" t="inlineStr">
        <is>
          <t>Tier 3</t>
        </is>
      </c>
      <c r="AZ7" s="12" t="inlineStr">
        <is>
          <t>2024-12-31</t>
        </is>
      </c>
      <c r="BA7" s="12" t="inlineStr">
        <is>
          <t>providers=who_gho, world_bank; fields=healthcare_quality_raw, education_quality_raw, equal_opportunity_raw, gini_coefficient</t>
        </is>
      </c>
      <c r="BB7" s="12" t="inlineStr">
        <is>
          <t>https://api.worldbank.org/v2/country/MYS/indicator/SM.POP.NETM?format=json&amp;mrv=10 | https://api.worldbank.org/v2/country/MYS/indicator/SG.GEN.PARL.ZS?format=json&amp;mrv=10 | https://api.worldbank.org/v2/country/MYS/indicator/ST.INT.ARVL?format=json&amp;mrv=10 | +1 more</t>
        </is>
      </c>
      <c r="BC7" s="12" t="inlineStr">
        <is>
          <t>Tier 3</t>
        </is>
      </c>
      <c r="BD7" s="12" t="inlineStr">
        <is>
          <t>2025-12-31</t>
        </is>
      </c>
      <c r="BE7" s="12" t="inlineStr">
        <is>
          <t>providers=world_bank; fields=hospitality_belonging_raw, tolerance_pluralism_raw, cultural_public_life_raw, birth_rate_optimism_raw</t>
        </is>
      </c>
      <c r="BF7" s="12" t="inlineStr">
        <is>
          <t>https://api.worldbank.org/v2/country/MYS/indicator/IC.BUS.NDNS.ZS?format=json&amp;mrv=10 | https://api.worldbank.org/v2/country/MYS/indicator/GB.XPD.RSDV.GD.ZS?format=json&amp;mrv=10 | https://api.worldbank.org/v2/country/MYS/indicator/BX.KLT.DINV.WD.GD.ZS?format=json&amp;mrv=10 | +3 more</t>
        </is>
      </c>
      <c r="BG7" s="12" t="inlineStr">
        <is>
          <t>Tier 3</t>
        </is>
      </c>
      <c r="BH7" s="12" t="inlineStr">
        <is>
          <t>2024-12-31</t>
        </is>
      </c>
      <c r="BI7" s="12" t="inlineStr">
        <is>
          <t>providers=world_bank; fields=entrepreneurial_dynamism_raw, innovation_research_intensity_raw, investment_signal_raw, administrative_investment_friction_raw; +2 additional fields</t>
        </is>
      </c>
      <c r="BJ7" s="9" t="n">
        <v>1.6</v>
      </c>
    </row>
    <row r="8">
      <c r="A8" s="9" t="inlineStr">
        <is>
          <t>th-phuket</t>
        </is>
      </c>
      <c r="B8" s="9" t="inlineStr">
        <is>
          <t>Phuket</t>
        </is>
      </c>
      <c r="C8" s="9" t="inlineStr">
        <is>
          <t>Thailand</t>
        </is>
      </c>
      <c r="D8" s="9" t="inlineStr">
        <is>
          <t>Southeast Asia</t>
        </is>
      </c>
      <c r="E8" s="9" t="inlineStr">
        <is>
          <t>secondary</t>
        </is>
      </c>
      <c r="F8" s="9" t="inlineStr">
        <is>
          <t>locked</t>
        </is>
      </c>
      <c r="G8" s="10" t="n">
        <v>1996.67</v>
      </c>
      <c r="H8" s="10" t="n">
        <v>359.4</v>
      </c>
      <c r="I8" s="10" t="n">
        <v>89.84999999999999</v>
      </c>
      <c r="J8" s="10" t="n">
        <v>71.88</v>
      </c>
      <c r="K8" s="10" t="n">
        <v>26.96</v>
      </c>
      <c r="L8" s="10" t="n">
        <v>395.34</v>
      </c>
      <c r="M8" s="11" t="inlineStr"/>
      <c r="N8" s="10" t="n">
        <v>18</v>
      </c>
      <c r="O8" s="10" t="n">
        <v>115.1054</v>
      </c>
      <c r="P8" s="11">
        <f>IF($O8&lt;&gt;"",$O8,$AO8)</f>
        <v/>
      </c>
      <c r="Q8" s="10" t="n">
        <v>42.53</v>
      </c>
      <c r="R8" s="10" t="n">
        <v>16.59</v>
      </c>
      <c r="S8" s="10" t="inlineStr"/>
      <c r="T8" s="10" t="inlineStr"/>
      <c r="U8" s="10" t="n">
        <v>18</v>
      </c>
      <c r="V8" s="10" t="n">
        <v>90</v>
      </c>
      <c r="W8" s="10" t="n">
        <v>15.75</v>
      </c>
      <c r="X8" s="9" t="n">
        <v>60</v>
      </c>
      <c r="Y8" s="10" t="n">
        <v>82</v>
      </c>
      <c r="Z8" s="10" t="n">
        <v>49.08</v>
      </c>
      <c r="AA8" s="10" t="n">
        <v>33.5</v>
      </c>
      <c r="AB8" s="10" t="n">
        <v>50.38</v>
      </c>
      <c r="AC8" s="10" t="n">
        <v>19.4</v>
      </c>
      <c r="AD8" s="10" t="n">
        <v>556.96</v>
      </c>
      <c r="AE8" s="10" t="n">
        <v>1.54</v>
      </c>
      <c r="AF8" s="10" t="n">
        <v>1.16</v>
      </c>
      <c r="AG8" s="10" t="n">
        <v>2.72</v>
      </c>
      <c r="AH8" s="10" t="n">
        <v>2.34</v>
      </c>
      <c r="AI8" s="10" t="inlineStr"/>
      <c r="AJ8" s="11">
        <f>IFERROR(INDEX(Country_Context!$B$2:$B$87,MATCH($C8,Country_Context!$A$2:$A$87,0)),"")</f>
        <v/>
      </c>
      <c r="AK8" s="11">
        <f>IFERROR(INDEX(Country_Context!$C$2:$C$87,MATCH($C8,Country_Context!$A$2:$A$87,0)),"")</f>
        <v/>
      </c>
      <c r="AL8" s="11">
        <f>IFERROR(INDEX(Country_Context!$D$2:$D$87,MATCH($C8,Country_Context!$A$2:$A$87,0)),"")</f>
        <v/>
      </c>
      <c r="AM8" s="11">
        <f>IFERROR(INDEX(Country_Context!$E$2:$E$87,MATCH($C8,Country_Context!$A$2:$A$87,0)),"")</f>
        <v/>
      </c>
      <c r="AN8" s="11">
        <f>IFERROR(INDEX(Country_Context!$F$2:$F$87,MATCH($C8,Country_Context!$A$2:$A$87,0)),"")</f>
        <v/>
      </c>
      <c r="AO8" s="11">
        <f>IFERROR(INDEX(Country_Context!$G$2:$G$87,MATCH($C8,Country_Context!$A$2:$A$87,0)),"")</f>
        <v/>
      </c>
      <c r="AP8" s="12" t="inlineStr">
        <is>
          <t>https://api.worldbank.org/v2/country/THA/indicator/NY.GNP.PCAP.PP.CD?format=json&amp;mrv=10 | https://data.worldbank.org/indicator/NY.GNP.PCAP.PP.CD | https://ilostat.ilo.org/data/indicator/?id=HOW_TEMP_SEX_ECO_NB_A&amp;ref_area=THA | +4 more</t>
        </is>
      </c>
      <c r="AQ8" s="12" t="inlineStr">
        <is>
          <t>Tier 3, Tier 4</t>
        </is>
      </c>
      <c r="AR8" s="12" t="inlineStr">
        <is>
          <t>2024-12-31</t>
        </is>
      </c>
      <c r="AS8" s="12" t="inlineStr">
        <is>
          <t>providers=world_bank_col_estimate, derived, ilo_ilostat, who_gho; fields=gross_income, rent, utilities, transit_cost; +9 additional fields</t>
        </is>
      </c>
      <c r="AT8" s="12" t="inlineStr">
        <is>
          <t>https://www.pcd.go.th/ | https://www.pwa.co.th/ | https://api.worldbank.org/v2/country/THA/indicator/IT.NET.BBND.P2?format=json&amp;mrv=10 | +1 more</t>
        </is>
      </c>
      <c r="AU8" s="12" t="inlineStr">
        <is>
          <t>Tier 2, Tier 3</t>
        </is>
      </c>
      <c r="AV8" s="12" t="inlineStr">
        <is>
          <t>2024-12-31</t>
        </is>
      </c>
      <c r="AW8" s="12" t="inlineStr">
        <is>
          <t>providers=thai_gov_pcd_rsc, world_bank, wmo_natl_met; fields=clean_air_raw, water_sanitation_utility_raw, digital_infrastructure_raw, climate_sunlight_livability_raw</t>
        </is>
      </c>
      <c r="AX8" s="12" t="inlineStr">
        <is>
          <t>https://www.who.int/data/gho/data/indicators/indicator-details/GHO/UHC_INDEX_REPORTED | https://api.worldbank.org/v2/country/THA/indicator/SE.TER.ENRR?format=json&amp;mrv=10 | https://api.worldbank.org/v2/country/THA/indicator/SI.POV.GINI?format=json&amp;mrv=10 | +1 more</t>
        </is>
      </c>
      <c r="AY8" s="12" t="inlineStr">
        <is>
          <t>Tier 3</t>
        </is>
      </c>
      <c r="AZ8" s="12" t="inlineStr">
        <is>
          <t>2025-12-31</t>
        </is>
      </c>
      <c r="BA8" s="12" t="inlineStr">
        <is>
          <t>providers=who_gho, world_bank; fields=healthcare_quality_raw, education_quality_raw, equal_opportunity_raw, gini_coefficient</t>
        </is>
      </c>
      <c r="BB8" s="12" t="inlineStr">
        <is>
          <t>https://api.worldbank.org/v2/country/THA/indicator/SM.POP.NETM?format=json&amp;mrv=10 | https://api.worldbank.org/v2/country/THA/indicator/SG.GEN.PARL.ZS?format=json&amp;mrv=10 | https://api.worldbank.org/v2/country/THA/indicator/ST.INT.ARVL?format=json&amp;mrv=10 | +1 more</t>
        </is>
      </c>
      <c r="BC8" s="12" t="inlineStr">
        <is>
          <t>Tier 3</t>
        </is>
      </c>
      <c r="BD8" s="12" t="inlineStr">
        <is>
          <t>2025-12-31</t>
        </is>
      </c>
      <c r="BE8" s="12" t="inlineStr">
        <is>
          <t>providers=world_bank; fields=hospitality_belonging_raw, tolerance_pluralism_raw, cultural_public_life_raw, birth_rate_optimism_raw</t>
        </is>
      </c>
      <c r="BF8" s="12" t="inlineStr">
        <is>
          <t>https://api.worldbank.org/v2/country/THA/indicator/IC.BUS.NDNS.ZS?format=json&amp;mrv=10 | https://api.worldbank.org/v2/country/THA/indicator/GB.XPD.RSDV.GD.ZS?format=json&amp;mrv=10 | https://api.worldbank.org/v2/country/THA/indicator/BX.KLT.DINV.WD.GD.ZS?format=json&amp;mrv=10 | +3 more</t>
        </is>
      </c>
      <c r="BG8" s="12" t="inlineStr">
        <is>
          <t>Tier 3</t>
        </is>
      </c>
      <c r="BH8" s="12" t="inlineStr">
        <is>
          <t>2024-12-31</t>
        </is>
      </c>
      <c r="BI8" s="12" t="inlineStr">
        <is>
          <t>providers=world_bank; fields=entrepreneurial_dynamism_raw, innovation_research_intensity_raw, investment_signal_raw, administrative_investment_friction_raw; +2 additional fields</t>
        </is>
      </c>
      <c r="BJ8" s="9" t="n">
        <v>1.08</v>
      </c>
    </row>
    <row r="9">
      <c r="A9" s="9" t="inlineStr">
        <is>
          <t>th-chiang-mai</t>
        </is>
      </c>
      <c r="B9" s="9" t="inlineStr">
        <is>
          <t>Chiang Mai</t>
        </is>
      </c>
      <c r="C9" s="9" t="inlineStr">
        <is>
          <t>Thailand</t>
        </is>
      </c>
      <c r="D9" s="9" t="inlineStr">
        <is>
          <t>Southeast Asia</t>
        </is>
      </c>
      <c r="E9" s="9" t="inlineStr">
        <is>
          <t>secondary</t>
        </is>
      </c>
      <c r="F9" s="9" t="inlineStr">
        <is>
          <t>locked</t>
        </is>
      </c>
      <c r="G9" s="10" t="n">
        <v>1996.67</v>
      </c>
      <c r="H9" s="10" t="n">
        <v>259.57</v>
      </c>
      <c r="I9" s="10" t="n">
        <v>64.89</v>
      </c>
      <c r="J9" s="10" t="n">
        <v>51.91</v>
      </c>
      <c r="K9" s="10" t="n">
        <v>19.47</v>
      </c>
      <c r="L9" s="10" t="n">
        <v>285.52</v>
      </c>
      <c r="M9" s="11" t="inlineStr"/>
      <c r="N9" s="10" t="n">
        <v>13.0001</v>
      </c>
      <c r="O9" s="10" t="n">
        <v>115.1054</v>
      </c>
      <c r="P9" s="11">
        <f>IF($O9&lt;&gt;"",$O9,$AO9)</f>
        <v/>
      </c>
      <c r="Q9" s="10" t="n">
        <v>42.53</v>
      </c>
      <c r="R9" s="10" t="n">
        <v>16.59</v>
      </c>
      <c r="S9" s="10" t="inlineStr"/>
      <c r="T9" s="10" t="inlineStr"/>
      <c r="U9" s="10" t="n">
        <v>35</v>
      </c>
      <c r="V9" s="10" t="n">
        <v>95</v>
      </c>
      <c r="W9" s="10" t="n">
        <v>15.75</v>
      </c>
      <c r="X9" s="9" t="n">
        <v>64</v>
      </c>
      <c r="Y9" s="10" t="n">
        <v>82</v>
      </c>
      <c r="Z9" s="10" t="n">
        <v>49.08</v>
      </c>
      <c r="AA9" s="10" t="n">
        <v>33.5</v>
      </c>
      <c r="AB9" s="10" t="n">
        <v>50.38</v>
      </c>
      <c r="AC9" s="10" t="n">
        <v>19.4</v>
      </c>
      <c r="AD9" s="10" t="n">
        <v>556.96</v>
      </c>
      <c r="AE9" s="10" t="n">
        <v>1.54</v>
      </c>
      <c r="AF9" s="10" t="n">
        <v>1.16</v>
      </c>
      <c r="AG9" s="10" t="n">
        <v>2.72</v>
      </c>
      <c r="AH9" s="10" t="n">
        <v>2.34</v>
      </c>
      <c r="AI9" s="10" t="inlineStr"/>
      <c r="AJ9" s="11">
        <f>IFERROR(INDEX(Country_Context!$B$2:$B$87,MATCH($C9,Country_Context!$A$2:$A$87,0)),"")</f>
        <v/>
      </c>
      <c r="AK9" s="11">
        <f>IFERROR(INDEX(Country_Context!$C$2:$C$87,MATCH($C9,Country_Context!$A$2:$A$87,0)),"")</f>
        <v/>
      </c>
      <c r="AL9" s="11">
        <f>IFERROR(INDEX(Country_Context!$D$2:$D$87,MATCH($C9,Country_Context!$A$2:$A$87,0)),"")</f>
        <v/>
      </c>
      <c r="AM9" s="11">
        <f>IFERROR(INDEX(Country_Context!$E$2:$E$87,MATCH($C9,Country_Context!$A$2:$A$87,0)),"")</f>
        <v/>
      </c>
      <c r="AN9" s="11">
        <f>IFERROR(INDEX(Country_Context!$F$2:$F$87,MATCH($C9,Country_Context!$A$2:$A$87,0)),"")</f>
        <v/>
      </c>
      <c r="AO9" s="11">
        <f>IFERROR(INDEX(Country_Context!$G$2:$G$87,MATCH($C9,Country_Context!$A$2:$A$87,0)),"")</f>
        <v/>
      </c>
      <c r="AP9" s="12" t="inlineStr">
        <is>
          <t>https://api.worldbank.org/v2/country/THA/indicator/NY.GNP.PCAP.PP.CD?format=json&amp;mrv=10 | https://data.worldbank.org/indicator/NY.GNP.PCAP.PP.CD | https://ilostat.ilo.org/data/indicator/?id=HOW_TEMP_SEX_ECO_NB_A&amp;ref_area=THA | +4 more</t>
        </is>
      </c>
      <c r="AQ9" s="12" t="inlineStr">
        <is>
          <t>Tier 3, Tier 4</t>
        </is>
      </c>
      <c r="AR9" s="12" t="inlineStr">
        <is>
          <t>2024-12-31</t>
        </is>
      </c>
      <c r="AS9" s="12" t="inlineStr">
        <is>
          <t>providers=world_bank_col_estimate, derived, ilo_ilostat, who_gho; fields=gross_income, rent, utilities, transit_cost; +9 additional fields</t>
        </is>
      </c>
      <c r="AT9" s="12" t="inlineStr">
        <is>
          <t>https://www.pcd.go.th/ | https://www.pwa.co.th/ | https://api.worldbank.org/v2/country/THA/indicator/IT.NET.BBND.P2?format=json&amp;mrv=10 | +1 more</t>
        </is>
      </c>
      <c r="AU9" s="12" t="inlineStr">
        <is>
          <t>Tier 2, Tier 3</t>
        </is>
      </c>
      <c r="AV9" s="12" t="inlineStr">
        <is>
          <t>2024-12-31</t>
        </is>
      </c>
      <c r="AW9" s="12" t="inlineStr">
        <is>
          <t>providers=thai_gov_pcd_rsc, world_bank, wmo_natl_met; fields=clean_air_raw, water_sanitation_utility_raw, digital_infrastructure_raw, climate_sunlight_livability_raw</t>
        </is>
      </c>
      <c r="AX9" s="12" t="inlineStr">
        <is>
          <t>https://www.who.int/data/gho/data/indicators/indicator-details/GHO/UHC_INDEX_REPORTED | https://api.worldbank.org/v2/country/THA/indicator/SE.TER.ENRR?format=json&amp;mrv=10 | https://api.worldbank.org/v2/country/THA/indicator/SI.POV.GINI?format=json&amp;mrv=10 | +1 more</t>
        </is>
      </c>
      <c r="AY9" s="12" t="inlineStr">
        <is>
          <t>Tier 3</t>
        </is>
      </c>
      <c r="AZ9" s="12" t="inlineStr">
        <is>
          <t>2025-12-31</t>
        </is>
      </c>
      <c r="BA9" s="12" t="inlineStr">
        <is>
          <t>providers=who_gho, world_bank; fields=healthcare_quality_raw, education_quality_raw, equal_opportunity_raw, gini_coefficient</t>
        </is>
      </c>
      <c r="BB9" s="12" t="inlineStr">
        <is>
          <t>https://api.worldbank.org/v2/country/THA/indicator/SM.POP.NETM?format=json&amp;mrv=10 | https://api.worldbank.org/v2/country/THA/indicator/SG.GEN.PARL.ZS?format=json&amp;mrv=10 | https://api.worldbank.org/v2/country/THA/indicator/ST.INT.ARVL?format=json&amp;mrv=10 | +1 more</t>
        </is>
      </c>
      <c r="BC9" s="12" t="inlineStr">
        <is>
          <t>Tier 3</t>
        </is>
      </c>
      <c r="BD9" s="12" t="inlineStr">
        <is>
          <t>2025-12-31</t>
        </is>
      </c>
      <c r="BE9" s="12" t="inlineStr">
        <is>
          <t>providers=world_bank; fields=hospitality_belonging_raw, tolerance_pluralism_raw, cultural_public_life_raw, birth_rate_optimism_raw</t>
        </is>
      </c>
      <c r="BF9" s="12" t="inlineStr">
        <is>
          <t>https://api.worldbank.org/v2/country/THA/indicator/IC.BUS.NDNS.ZS?format=json&amp;mrv=10 | https://api.worldbank.org/v2/country/THA/indicator/GB.XPD.RSDV.GD.ZS?format=json&amp;mrv=10 | https://api.worldbank.org/v2/country/THA/indicator/BX.KLT.DINV.WD.GD.ZS?format=json&amp;mrv=10 | +3 more</t>
        </is>
      </c>
      <c r="BG9" s="12" t="inlineStr">
        <is>
          <t>Tier 3</t>
        </is>
      </c>
      <c r="BH9" s="12" t="inlineStr">
        <is>
          <t>2024-12-31</t>
        </is>
      </c>
      <c r="BI9" s="12" t="inlineStr">
        <is>
          <t>providers=world_bank; fields=entrepreneurial_dynamism_raw, innovation_research_intensity_raw, investment_signal_raw, administrative_investment_friction_raw; +2 additional fields</t>
        </is>
      </c>
      <c r="BJ9" s="9" t="n">
        <v>1.08</v>
      </c>
    </row>
    <row r="10">
      <c r="A10" s="9" t="inlineStr">
        <is>
          <t>my-kuching</t>
        </is>
      </c>
      <c r="B10" s="9" t="inlineStr">
        <is>
          <t>Kuching</t>
        </is>
      </c>
      <c r="C10" s="9" t="inlineStr">
        <is>
          <t>Malaysia</t>
        </is>
      </c>
      <c r="D10" s="9" t="inlineStr">
        <is>
          <t>Southeast Asia</t>
        </is>
      </c>
      <c r="E10" s="9" t="inlineStr">
        <is>
          <t>secondary</t>
        </is>
      </c>
      <c r="F10" s="9" t="inlineStr">
        <is>
          <t>locked</t>
        </is>
      </c>
      <c r="G10" s="10" t="n">
        <v>3120.83</v>
      </c>
      <c r="H10" s="10" t="n">
        <v>436.92</v>
      </c>
      <c r="I10" s="10" t="n">
        <v>109.23</v>
      </c>
      <c r="J10" s="10" t="n">
        <v>87.38</v>
      </c>
      <c r="K10" s="10" t="n">
        <v>32.77</v>
      </c>
      <c r="L10" s="10" t="n">
        <v>480.61</v>
      </c>
      <c r="M10" s="11" t="inlineStr"/>
      <c r="N10" s="10" t="n">
        <v>14.0001</v>
      </c>
      <c r="O10" s="10" t="n">
        <v>116.0773</v>
      </c>
      <c r="P10" s="11">
        <f>IF($O10&lt;&gt;"",$O10,$AO10)</f>
        <v/>
      </c>
      <c r="Q10" s="10" t="n">
        <v>44.7</v>
      </c>
      <c r="R10" s="10" t="n">
        <v>5.65</v>
      </c>
      <c r="S10" s="10" t="n">
        <v>0.73</v>
      </c>
      <c r="T10" s="10" t="inlineStr"/>
      <c r="U10" s="10" t="inlineStr"/>
      <c r="V10" s="10" t="n">
        <v>94.7</v>
      </c>
      <c r="W10" s="10" t="n">
        <v>13.03</v>
      </c>
      <c r="X10" s="9" t="inlineStr"/>
      <c r="Y10" s="10" t="n">
        <v>80</v>
      </c>
      <c r="Z10" s="10" t="n">
        <v>38.5</v>
      </c>
      <c r="AA10" s="10" t="n">
        <v>40.7</v>
      </c>
      <c r="AB10" s="10" t="n">
        <v>54.69</v>
      </c>
      <c r="AC10" s="10" t="n">
        <v>13.51</v>
      </c>
      <c r="AD10" s="10" t="n">
        <v>121.86</v>
      </c>
      <c r="AE10" s="10" t="n">
        <v>2.19</v>
      </c>
      <c r="AF10" s="10" t="n">
        <v>0.95</v>
      </c>
      <c r="AG10" s="10" t="n">
        <v>3.69</v>
      </c>
      <c r="AH10" s="10" t="n">
        <v>1.84</v>
      </c>
      <c r="AI10" s="10" t="inlineStr"/>
      <c r="AJ10" s="11">
        <f>IFERROR(INDEX(Country_Context!$B$2:$B$87,MATCH($C10,Country_Context!$A$2:$A$87,0)),"")</f>
        <v/>
      </c>
      <c r="AK10" s="11">
        <f>IFERROR(INDEX(Country_Context!$C$2:$C$87,MATCH($C10,Country_Context!$A$2:$A$87,0)),"")</f>
        <v/>
      </c>
      <c r="AL10" s="11">
        <f>IFERROR(INDEX(Country_Context!$D$2:$D$87,MATCH($C10,Country_Context!$A$2:$A$87,0)),"")</f>
        <v/>
      </c>
      <c r="AM10" s="11">
        <f>IFERROR(INDEX(Country_Context!$E$2:$E$87,MATCH($C10,Country_Context!$A$2:$A$87,0)),"")</f>
        <v/>
      </c>
      <c r="AN10" s="11">
        <f>IFERROR(INDEX(Country_Context!$F$2:$F$87,MATCH($C10,Country_Context!$A$2:$A$87,0)),"")</f>
        <v/>
      </c>
      <c r="AO10" s="11">
        <f>IFERROR(INDEX(Country_Context!$G$2:$G$87,MATCH($C10,Country_Context!$A$2:$A$87,0)),"")</f>
        <v/>
      </c>
      <c r="AP10" s="12" t="inlineStr">
        <is>
          <t>https://api.worldbank.org/v2/country/MYS/indicator/NY.GNP.PCAP.PP.CD?format=json&amp;mrv=10 | https://data.worldbank.org/indicator/NY.GNP.PCAP.PP.CD | https://ilostat.ilo.org/data/indicator/?id=HOW_TEMP_SEX_ECO_NB_A&amp;ref_area=MYS | +4 more</t>
        </is>
      </c>
      <c r="AQ10" s="12" t="inlineStr">
        <is>
          <t>Tier 3, Tier 4</t>
        </is>
      </c>
      <c r="AR10" s="12" t="inlineStr">
        <is>
          <t>2024-12-31</t>
        </is>
      </c>
      <c r="AS10" s="12" t="inlineStr">
        <is>
          <t>providers=world_bank_col_estimate, derived, ilo_ilostat, who_gho; fields=gross_income, rent, utilities, transit_cost; +9 additional fields</t>
        </is>
      </c>
      <c r="AT10" s="12" t="inlineStr">
        <is>
          <t>https://api.worldbank.org/v2/country/MYS/indicator/VC.IHR.PSRC.P5?format=json&amp;mrv=10 | https://api.worldbank.org/v2/country/MYS/indicator/SH.H2O.SMDW.ZS?format=json&amp;mrv=10 | https://api.worldbank.org/v2/country/MYS/indicator/IT.NET.BBND.P2?format=json&amp;mrv=10</t>
        </is>
      </c>
      <c r="AU10" s="12" t="inlineStr">
        <is>
          <t>Tier 3</t>
        </is>
      </c>
      <c r="AV10" s="12" t="inlineStr">
        <is>
          <t>2024-12-31</t>
        </is>
      </c>
      <c r="AW10" s="12" t="inlineStr">
        <is>
          <t>providers=world_bank; fields=personal_safety_raw, water_sanitation_utility_raw, digital_infrastructure_raw</t>
        </is>
      </c>
      <c r="AX10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https://api.worldbank.org/v2/country/MYS/indicator/SI.POV.GINI?format=json&amp;mrv=10 | +1 more</t>
        </is>
      </c>
      <c r="AY10" s="12" t="inlineStr">
        <is>
          <t>Tier 3</t>
        </is>
      </c>
      <c r="AZ10" s="12" t="inlineStr">
        <is>
          <t>2024-12-31</t>
        </is>
      </c>
      <c r="BA10" s="12" t="inlineStr">
        <is>
          <t>providers=who_gho, world_bank; fields=healthcare_quality_raw, education_quality_raw, equal_opportunity_raw, gini_coefficient</t>
        </is>
      </c>
      <c r="BB10" s="12" t="inlineStr">
        <is>
          <t>https://api.worldbank.org/v2/country/MYS/indicator/SM.POP.NETM?format=json&amp;mrv=10 | https://api.worldbank.org/v2/country/MYS/indicator/SG.GEN.PARL.ZS?format=json&amp;mrv=10 | https://api.worldbank.org/v2/country/MYS/indicator/ST.INT.ARVL?format=json&amp;mrv=10 | +1 more</t>
        </is>
      </c>
      <c r="BC10" s="12" t="inlineStr">
        <is>
          <t>Tier 3</t>
        </is>
      </c>
      <c r="BD10" s="12" t="inlineStr">
        <is>
          <t>2025-12-31</t>
        </is>
      </c>
      <c r="BE10" s="12" t="inlineStr">
        <is>
          <t>providers=world_bank; fields=hospitality_belonging_raw, tolerance_pluralism_raw, cultural_public_life_raw, birth_rate_optimism_raw</t>
        </is>
      </c>
      <c r="BF10" s="12" t="inlineStr">
        <is>
          <t>https://api.worldbank.org/v2/country/MYS/indicator/IC.BUS.NDNS.ZS?format=json&amp;mrv=10 | https://api.worldbank.org/v2/country/MYS/indicator/GB.XPD.RSDV.GD.ZS?format=json&amp;mrv=10 | https://api.worldbank.org/v2/country/MYS/indicator/BX.KLT.DINV.WD.GD.ZS?format=json&amp;mrv=10 | +3 more</t>
        </is>
      </c>
      <c r="BG10" s="12" t="inlineStr">
        <is>
          <t>Tier 3</t>
        </is>
      </c>
      <c r="BH10" s="12" t="inlineStr">
        <is>
          <t>2024-12-31</t>
        </is>
      </c>
      <c r="BI10" s="12" t="inlineStr">
        <is>
          <t>providers=world_bank; fields=entrepreneurial_dynamism_raw, innovation_research_intensity_raw, investment_signal_raw, administrative_investment_friction_raw; +2 additional fields</t>
        </is>
      </c>
      <c r="BJ10" s="9" t="n">
        <v>1.6</v>
      </c>
    </row>
    <row r="11">
      <c r="A11" s="9" t="inlineStr">
        <is>
          <t>my-kota-kinabalu</t>
        </is>
      </c>
      <c r="B11" s="9" t="inlineStr">
        <is>
          <t>Kota Kinabalu</t>
        </is>
      </c>
      <c r="C11" s="9" t="inlineStr">
        <is>
          <t>Malaysia</t>
        </is>
      </c>
      <c r="D11" s="9" t="inlineStr">
        <is>
          <t>Southeast Asia</t>
        </is>
      </c>
      <c r="E11" s="9" t="inlineStr">
        <is>
          <t>secondary</t>
        </is>
      </c>
      <c r="F11" s="9" t="inlineStr">
        <is>
          <t>provisional</t>
        </is>
      </c>
      <c r="G11" s="10" t="n">
        <v>3120.83</v>
      </c>
      <c r="H11" s="10" t="n">
        <v>436.92</v>
      </c>
      <c r="I11" s="10" t="n">
        <v>109.23</v>
      </c>
      <c r="J11" s="10" t="n">
        <v>87.38</v>
      </c>
      <c r="K11" s="10" t="n">
        <v>32.77</v>
      </c>
      <c r="L11" s="10" t="n">
        <v>480.61</v>
      </c>
      <c r="M11" s="11" t="inlineStr"/>
      <c r="N11" s="10" t="n">
        <v>14.0001</v>
      </c>
      <c r="O11" s="10" t="n">
        <v>116.0773</v>
      </c>
      <c r="P11" s="11">
        <f>IF($O11&lt;&gt;"",$O11,$AO11)</f>
        <v/>
      </c>
      <c r="Q11" s="10" t="n">
        <v>44.7</v>
      </c>
      <c r="R11" s="10" t="n">
        <v>5.65</v>
      </c>
      <c r="S11" s="10" t="n">
        <v>0.73</v>
      </c>
      <c r="T11" s="10" t="inlineStr"/>
      <c r="U11" s="10" t="n">
        <v>15</v>
      </c>
      <c r="V11" s="10" t="n">
        <v>90</v>
      </c>
      <c r="W11" s="10" t="n">
        <v>13.03</v>
      </c>
      <c r="X11" s="9" t="n">
        <v>60</v>
      </c>
      <c r="Y11" s="10" t="n">
        <v>80</v>
      </c>
      <c r="Z11" s="10" t="n">
        <v>38.5</v>
      </c>
      <c r="AA11" s="10" t="n">
        <v>40.7</v>
      </c>
      <c r="AB11" s="10" t="n">
        <v>54.69</v>
      </c>
      <c r="AC11" s="10" t="n">
        <v>13.51</v>
      </c>
      <c r="AD11" s="10" t="n">
        <v>55</v>
      </c>
      <c r="AE11" s="10" t="n">
        <v>2.19</v>
      </c>
      <c r="AF11" s="10" t="n">
        <v>0.95</v>
      </c>
      <c r="AG11" s="10" t="n">
        <v>3.69</v>
      </c>
      <c r="AH11" s="10" t="n">
        <v>1.84</v>
      </c>
      <c r="AI11" s="10" t="inlineStr"/>
      <c r="AJ11" s="11">
        <f>IFERROR(INDEX(Country_Context!$B$2:$B$87,MATCH($C11,Country_Context!$A$2:$A$87,0)),"")</f>
        <v/>
      </c>
      <c r="AK11" s="11">
        <f>IFERROR(INDEX(Country_Context!$C$2:$C$87,MATCH($C11,Country_Context!$A$2:$A$87,0)),"")</f>
        <v/>
      </c>
      <c r="AL11" s="11">
        <f>IFERROR(INDEX(Country_Context!$D$2:$D$87,MATCH($C11,Country_Context!$A$2:$A$87,0)),"")</f>
        <v/>
      </c>
      <c r="AM11" s="11">
        <f>IFERROR(INDEX(Country_Context!$E$2:$E$87,MATCH($C11,Country_Context!$A$2:$A$87,0)),"")</f>
        <v/>
      </c>
      <c r="AN11" s="11">
        <f>IFERROR(INDEX(Country_Context!$F$2:$F$87,MATCH($C11,Country_Context!$A$2:$A$87,0)),"")</f>
        <v/>
      </c>
      <c r="AO11" s="11">
        <f>IFERROR(INDEX(Country_Context!$G$2:$G$87,MATCH($C11,Country_Context!$A$2:$A$87,0)),"")</f>
        <v/>
      </c>
      <c r="AP11" s="12" t="inlineStr">
        <is>
          <t>https://api.worldbank.org/v2/country/MYS/indicator/NY.GNP.PCAP.PP.CD?format=json&amp;mrv=10 | https://data.worldbank.org/indicator/NY.GNP.PCAP.PP.CD | https://ilostat.ilo.org/data/indicator/?id=HOW_TEMP_SEX_ECO_NB_A&amp;ref_area=MYS | +4 more</t>
        </is>
      </c>
      <c r="AQ11" s="12" t="inlineStr">
        <is>
          <t>Tier 3, Tier 4</t>
        </is>
      </c>
      <c r="AR11" s="12" t="inlineStr">
        <is>
          <t>2024-12-31</t>
        </is>
      </c>
      <c r="AS11" s="12" t="inlineStr">
        <is>
          <t>providers=world_bank_col_estimate, derived, ilo_ilostat, who_gho; fields=gross_income, rent, utilities, transit_cost; +9 additional fields</t>
        </is>
      </c>
      <c r="AT11" s="12" t="inlineStr">
        <is>
          <t>https://api.worldbank.org/v2/country/MYS/indicator/VC.IHR.PSRC.P5?format=json&amp;mrv=10 | https://worldweather.wmo.int | https://washdata.org | +1 more</t>
        </is>
      </c>
      <c r="AU11" s="12" t="inlineStr">
        <is>
          <t>Tier 3</t>
        </is>
      </c>
      <c r="AV11" s="12" t="inlineStr">
        <is>
          <t>2024-12-31</t>
        </is>
      </c>
      <c r="AW11" s="12" t="inlineStr">
        <is>
          <t>providers=world_bank, wmo_natl_met, who_unicef_jmp; fields=personal_safety_raw, clean_air_raw, water_sanitation_utility_raw, digital_infrastructure_raw; +1 additional fields</t>
        </is>
      </c>
      <c r="AX11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https://api.worldbank.org/v2/country/MYS/indicator/SI.POV.GINI?format=json&amp;mrv=10 | +1 more</t>
        </is>
      </c>
      <c r="AY11" s="12" t="inlineStr">
        <is>
          <t>Tier 3</t>
        </is>
      </c>
      <c r="AZ11" s="12" t="inlineStr">
        <is>
          <t>2024-12-31</t>
        </is>
      </c>
      <c r="BA11" s="12" t="inlineStr">
        <is>
          <t>providers=who_gho, world_bank; fields=healthcare_quality_raw, education_quality_raw, equal_opportunity_raw, gini_coefficient</t>
        </is>
      </c>
      <c r="BB11" s="12" t="inlineStr">
        <is>
          <t>https://api.worldbank.org/v2/country/MYS/indicator/SM.POP.NETM?format=json&amp;mrv=10 | https://api.worldbank.org/v2/country/MYS/indicator/SG.GEN.PARL.ZS?format=json&amp;mrv=10 | https://worldweather.wmo.int | +1 more</t>
        </is>
      </c>
      <c r="BC11" s="12" t="inlineStr">
        <is>
          <t>Tier 3</t>
        </is>
      </c>
      <c r="BD11" s="12" t="inlineStr">
        <is>
          <t>2025-12-31</t>
        </is>
      </c>
      <c r="BE11" s="12" t="inlineStr">
        <is>
          <t>providers=world_bank, wmo_natl_met; fields=hospitality_belonging_raw, tolerance_pluralism_raw, cultural_public_life_raw, birth_rate_optimism_raw</t>
        </is>
      </c>
      <c r="BF11" s="12" t="inlineStr">
        <is>
          <t>https://api.worldbank.org/v2/country/MYS/indicator/IC.BUS.NDNS.ZS?format=json&amp;mrv=10 | https://api.worldbank.org/v2/country/MYS/indicator/GB.XPD.RSDV.GD.ZS?format=json&amp;mrv=10 | https://api.worldbank.org/v2/country/MYS/indicator/BX.KLT.DINV.WD.GD.ZS?format=json&amp;mrv=10 | +3 more</t>
        </is>
      </c>
      <c r="BG11" s="12" t="inlineStr">
        <is>
          <t>Tier 3</t>
        </is>
      </c>
      <c r="BH11" s="12" t="inlineStr">
        <is>
          <t>2024-12-31</t>
        </is>
      </c>
      <c r="BI11" s="12" t="inlineStr">
        <is>
          <t>providers=world_bank; fields=entrepreneurial_dynamism_raw, innovation_research_intensity_raw, investment_signal_raw, administrative_investment_friction_raw; +2 additional fields</t>
        </is>
      </c>
      <c r="BJ11" s="9" t="n">
        <v>1.6</v>
      </c>
    </row>
    <row r="12">
      <c r="A12" s="9" t="inlineStr">
        <is>
          <t>my-melaka</t>
        </is>
      </c>
      <c r="B12" s="9" t="inlineStr">
        <is>
          <t>Melaka</t>
        </is>
      </c>
      <c r="C12" s="9" t="inlineStr">
        <is>
          <t>Malaysia</t>
        </is>
      </c>
      <c r="D12" s="9" t="inlineStr">
        <is>
          <t>Southeast Asia</t>
        </is>
      </c>
      <c r="E12" s="9" t="inlineStr">
        <is>
          <t>secondary</t>
        </is>
      </c>
      <c r="F12" s="9" t="inlineStr">
        <is>
          <t>provisional</t>
        </is>
      </c>
      <c r="G12" s="10" t="n">
        <v>3120.83</v>
      </c>
      <c r="H12" s="10" t="n">
        <v>405.71</v>
      </c>
      <c r="I12" s="10" t="n">
        <v>101.43</v>
      </c>
      <c r="J12" s="10" t="n">
        <v>81.14</v>
      </c>
      <c r="K12" s="10" t="n">
        <v>30.43</v>
      </c>
      <c r="L12" s="10" t="n">
        <v>446.28</v>
      </c>
      <c r="M12" s="11" t="inlineStr"/>
      <c r="N12" s="10" t="n">
        <v>13.0001</v>
      </c>
      <c r="O12" s="10" t="n">
        <v>116.0773</v>
      </c>
      <c r="P12" s="11">
        <f>IF($O12&lt;&gt;"",$O12,$AO12)</f>
        <v/>
      </c>
      <c r="Q12" s="10" t="n">
        <v>44.7</v>
      </c>
      <c r="R12" s="10" t="n">
        <v>5.65</v>
      </c>
      <c r="S12" s="10" t="n">
        <v>0.73</v>
      </c>
      <c r="T12" s="10" t="inlineStr"/>
      <c r="U12" s="10" t="n">
        <v>18</v>
      </c>
      <c r="V12" s="10" t="n">
        <v>90</v>
      </c>
      <c r="W12" s="10" t="n">
        <v>13.03</v>
      </c>
      <c r="X12" s="9" t="n">
        <v>56</v>
      </c>
      <c r="Y12" s="10" t="n">
        <v>80</v>
      </c>
      <c r="Z12" s="10" t="n">
        <v>38.5</v>
      </c>
      <c r="AA12" s="10" t="n">
        <v>40.7</v>
      </c>
      <c r="AB12" s="10" t="n">
        <v>54.69</v>
      </c>
      <c r="AC12" s="10" t="n">
        <v>13.51</v>
      </c>
      <c r="AD12" s="10" t="n">
        <v>75</v>
      </c>
      <c r="AE12" s="10" t="n">
        <v>2.19</v>
      </c>
      <c r="AF12" s="10" t="n">
        <v>0.95</v>
      </c>
      <c r="AG12" s="10" t="n">
        <v>3.69</v>
      </c>
      <c r="AH12" s="10" t="n">
        <v>1.84</v>
      </c>
      <c r="AI12" s="10" t="inlineStr"/>
      <c r="AJ12" s="11">
        <f>IFERROR(INDEX(Country_Context!$B$2:$B$87,MATCH($C12,Country_Context!$A$2:$A$87,0)),"")</f>
        <v/>
      </c>
      <c r="AK12" s="11">
        <f>IFERROR(INDEX(Country_Context!$C$2:$C$87,MATCH($C12,Country_Context!$A$2:$A$87,0)),"")</f>
        <v/>
      </c>
      <c r="AL12" s="11">
        <f>IFERROR(INDEX(Country_Context!$D$2:$D$87,MATCH($C12,Country_Context!$A$2:$A$87,0)),"")</f>
        <v/>
      </c>
      <c r="AM12" s="11">
        <f>IFERROR(INDEX(Country_Context!$E$2:$E$87,MATCH($C12,Country_Context!$A$2:$A$87,0)),"")</f>
        <v/>
      </c>
      <c r="AN12" s="11">
        <f>IFERROR(INDEX(Country_Context!$F$2:$F$87,MATCH($C12,Country_Context!$A$2:$A$87,0)),"")</f>
        <v/>
      </c>
      <c r="AO12" s="11">
        <f>IFERROR(INDEX(Country_Context!$G$2:$G$87,MATCH($C12,Country_Context!$A$2:$A$87,0)),"")</f>
        <v/>
      </c>
      <c r="AP12" s="12" t="inlineStr">
        <is>
          <t>https://api.worldbank.org/v2/country/MYS/indicator/NY.GNP.PCAP.PP.CD?format=json&amp;mrv=10 | https://data.worldbank.org/indicator/NY.GNP.PCAP.PP.CD | https://ilostat.ilo.org/data/indicator/?id=HOW_TEMP_SEX_ECO_NB_A&amp;ref_area=MYS | +4 more</t>
        </is>
      </c>
      <c r="AQ12" s="12" t="inlineStr">
        <is>
          <t>Tier 3, Tier 4</t>
        </is>
      </c>
      <c r="AR12" s="12" t="inlineStr">
        <is>
          <t>2024-12-31</t>
        </is>
      </c>
      <c r="AS12" s="12" t="inlineStr">
        <is>
          <t>providers=world_bank_col_estimate, derived, ilo_ilostat, who_gho; fields=gross_income, rent, utilities, transit_cost; +9 additional fields</t>
        </is>
      </c>
      <c r="AT12" s="12" t="inlineStr">
        <is>
          <t>https://api.worldbank.org/v2/country/MYS/indicator/VC.IHR.PSRC.P5?format=json&amp;mrv=10 | https://worldweather.wmo.int | https://washdata.org | +1 more</t>
        </is>
      </c>
      <c r="AU12" s="12" t="inlineStr">
        <is>
          <t>Tier 3</t>
        </is>
      </c>
      <c r="AV12" s="12" t="inlineStr">
        <is>
          <t>2024-12-31</t>
        </is>
      </c>
      <c r="AW12" s="12" t="inlineStr">
        <is>
          <t>providers=world_bank, wmo_natl_met, who_unicef_jmp; fields=personal_safety_raw, clean_air_raw, water_sanitation_utility_raw, digital_infrastructure_raw; +1 additional fields</t>
        </is>
      </c>
      <c r="AX12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https://api.worldbank.org/v2/country/MYS/indicator/SI.POV.GINI?format=json&amp;mrv=10 | +1 more</t>
        </is>
      </c>
      <c r="AY12" s="12" t="inlineStr">
        <is>
          <t>Tier 3</t>
        </is>
      </c>
      <c r="AZ12" s="12" t="inlineStr">
        <is>
          <t>2024-12-31</t>
        </is>
      </c>
      <c r="BA12" s="12" t="inlineStr">
        <is>
          <t>providers=who_gho, world_bank; fields=healthcare_quality_raw, education_quality_raw, equal_opportunity_raw, gini_coefficient</t>
        </is>
      </c>
      <c r="BB12" s="12" t="inlineStr">
        <is>
          <t>https://api.worldbank.org/v2/country/MYS/indicator/SM.POP.NETM?format=json&amp;mrv=10 | https://api.worldbank.org/v2/country/MYS/indicator/SG.GEN.PARL.ZS?format=json&amp;mrv=10 | https://worldweather.wmo.int | +1 more</t>
        </is>
      </c>
      <c r="BC12" s="12" t="inlineStr">
        <is>
          <t>Tier 3</t>
        </is>
      </c>
      <c r="BD12" s="12" t="inlineStr">
        <is>
          <t>2025-12-31</t>
        </is>
      </c>
      <c r="BE12" s="12" t="inlineStr">
        <is>
          <t>providers=world_bank, wmo_natl_met; fields=hospitality_belonging_raw, tolerance_pluralism_raw, cultural_public_life_raw, birth_rate_optimism_raw</t>
        </is>
      </c>
      <c r="BF12" s="12" t="inlineStr">
        <is>
          <t>https://api.worldbank.org/v2/country/MYS/indicator/IC.BUS.NDNS.ZS?format=json&amp;mrv=10 | https://api.worldbank.org/v2/country/MYS/indicator/GB.XPD.RSDV.GD.ZS?format=json&amp;mrv=10 | https://api.worldbank.org/v2/country/MYS/indicator/BX.KLT.DINV.WD.GD.ZS?format=json&amp;mrv=10 | +3 more</t>
        </is>
      </c>
      <c r="BG12" s="12" t="inlineStr">
        <is>
          <t>Tier 3</t>
        </is>
      </c>
      <c r="BH12" s="12" t="inlineStr">
        <is>
          <t>2024-12-31</t>
        </is>
      </c>
      <c r="BI12" s="12" t="inlineStr">
        <is>
          <t>providers=world_bank; fields=entrepreneurial_dynamism_raw, innovation_research_intensity_raw, investment_signal_raw, administrative_investment_friction_raw; +2 additional fields</t>
        </is>
      </c>
      <c r="BJ12" s="9" t="n">
        <v>1.6</v>
      </c>
    </row>
    <row r="13">
      <c r="A13" s="9" t="inlineStr">
        <is>
          <t>th-hat-yai</t>
        </is>
      </c>
      <c r="B13" s="9" t="inlineStr">
        <is>
          <t>Hat Yai</t>
        </is>
      </c>
      <c r="C13" s="9" t="inlineStr">
        <is>
          <t>Thailand</t>
        </is>
      </c>
      <c r="D13" s="9" t="inlineStr">
        <is>
          <t>Southeast Asia</t>
        </is>
      </c>
      <c r="E13" s="9" t="inlineStr">
        <is>
          <t>secondary</t>
        </is>
      </c>
      <c r="F13" s="9" t="inlineStr">
        <is>
          <t>provisional</t>
        </is>
      </c>
      <c r="G13" s="10" t="n">
        <v>1996.67</v>
      </c>
      <c r="H13" s="10" t="n">
        <v>239.6</v>
      </c>
      <c r="I13" s="10" t="n">
        <v>59.9</v>
      </c>
      <c r="J13" s="10" t="n">
        <v>47.92</v>
      </c>
      <c r="K13" s="10" t="n">
        <v>17.97</v>
      </c>
      <c r="L13" s="10" t="n">
        <v>263.56</v>
      </c>
      <c r="M13" s="11" t="inlineStr"/>
      <c r="N13" s="10" t="n">
        <v>12</v>
      </c>
      <c r="O13" s="10" t="n">
        <v>115.1054</v>
      </c>
      <c r="P13" s="11">
        <f>IF($O13&lt;&gt;"",$O13,$AO13)</f>
        <v/>
      </c>
      <c r="Q13" s="10" t="n">
        <v>42.53</v>
      </c>
      <c r="R13" s="10" t="n">
        <v>16.59</v>
      </c>
      <c r="S13" s="10" t="inlineStr"/>
      <c r="T13" s="10" t="inlineStr"/>
      <c r="U13" s="10" t="n">
        <v>20</v>
      </c>
      <c r="V13" s="10" t="n">
        <v>92</v>
      </c>
      <c r="W13" s="10" t="n">
        <v>15.75</v>
      </c>
      <c r="X13" s="9" t="n">
        <v>55</v>
      </c>
      <c r="Y13" s="10" t="n">
        <v>82</v>
      </c>
      <c r="Z13" s="10" t="n">
        <v>49.08</v>
      </c>
      <c r="AA13" s="10" t="n">
        <v>33.5</v>
      </c>
      <c r="AB13" s="10" t="n">
        <v>50.38</v>
      </c>
      <c r="AC13" s="10" t="n">
        <v>19.4</v>
      </c>
      <c r="AD13" s="10" t="n">
        <v>556.96</v>
      </c>
      <c r="AE13" s="10" t="n">
        <v>1.54</v>
      </c>
      <c r="AF13" s="10" t="n">
        <v>1.16</v>
      </c>
      <c r="AG13" s="10" t="n">
        <v>2.72</v>
      </c>
      <c r="AH13" s="10" t="n">
        <v>2.34</v>
      </c>
      <c r="AI13" s="10" t="inlineStr"/>
      <c r="AJ13" s="11">
        <f>IFERROR(INDEX(Country_Context!$B$2:$B$87,MATCH($C13,Country_Context!$A$2:$A$87,0)),"")</f>
        <v/>
      </c>
      <c r="AK13" s="11">
        <f>IFERROR(INDEX(Country_Context!$C$2:$C$87,MATCH($C13,Country_Context!$A$2:$A$87,0)),"")</f>
        <v/>
      </c>
      <c r="AL13" s="11">
        <f>IFERROR(INDEX(Country_Context!$D$2:$D$87,MATCH($C13,Country_Context!$A$2:$A$87,0)),"")</f>
        <v/>
      </c>
      <c r="AM13" s="11">
        <f>IFERROR(INDEX(Country_Context!$E$2:$E$87,MATCH($C13,Country_Context!$A$2:$A$87,0)),"")</f>
        <v/>
      </c>
      <c r="AN13" s="11">
        <f>IFERROR(INDEX(Country_Context!$F$2:$F$87,MATCH($C13,Country_Context!$A$2:$A$87,0)),"")</f>
        <v/>
      </c>
      <c r="AO13" s="11">
        <f>IFERROR(INDEX(Country_Context!$G$2:$G$87,MATCH($C13,Country_Context!$A$2:$A$87,0)),"")</f>
        <v/>
      </c>
      <c r="AP13" s="12" t="inlineStr">
        <is>
          <t>https://api.worldbank.org/v2/country/THA/indicator/NY.GNP.PCAP.PP.CD?format=json&amp;mrv=10 | https://data.worldbank.org/indicator/NY.GNP.PCAP.PP.CD | https://ilostat.ilo.org/data/indicator/?id=HOW_TEMP_SEX_ECO_NB_A&amp;ref_area=THA | +4 more</t>
        </is>
      </c>
      <c r="AQ13" s="12" t="inlineStr">
        <is>
          <t>Tier 3, Tier 4</t>
        </is>
      </c>
      <c r="AR13" s="12" t="inlineStr">
        <is>
          <t>2024-12-31</t>
        </is>
      </c>
      <c r="AS13" s="12" t="inlineStr">
        <is>
          <t>providers=world_bank_col_estimate, derived, ilo_ilostat, who_gho; fields=gross_income, rent, utilities, transit_cost; +9 additional fields</t>
        </is>
      </c>
      <c r="AT13" s="12" t="inlineStr">
        <is>
          <t>https://www.pcd.go.th/ | https://www.pwa.co.th/ | https://api.worldbank.org/v2/country/THA/indicator/IT.NET.BBND.P2?format=json&amp;mrv=10 | +1 more</t>
        </is>
      </c>
      <c r="AU13" s="12" t="inlineStr">
        <is>
          <t>Tier 2, Tier 3</t>
        </is>
      </c>
      <c r="AV13" s="12" t="inlineStr">
        <is>
          <t>2024-12-31</t>
        </is>
      </c>
      <c r="AW13" s="12" t="inlineStr">
        <is>
          <t>providers=thai_gov_pcd_rsc, world_bank, wmo_natl_met; fields=clean_air_raw, water_sanitation_utility_raw, digital_infrastructure_raw, climate_sunlight_livability_raw</t>
        </is>
      </c>
      <c r="AX13" s="12" t="inlineStr">
        <is>
          <t>https://www.who.int/data/gho/data/indicators/indicator-details/GHO/UHC_INDEX_REPORTED | https://api.worldbank.org/v2/country/THA/indicator/SE.TER.ENRR?format=json&amp;mrv=10 | https://api.worldbank.org/v2/country/THA/indicator/SI.POV.GINI?format=json&amp;mrv=10 | +1 more</t>
        </is>
      </c>
      <c r="AY13" s="12" t="inlineStr">
        <is>
          <t>Tier 3</t>
        </is>
      </c>
      <c r="AZ13" s="12" t="inlineStr">
        <is>
          <t>2025-12-31</t>
        </is>
      </c>
      <c r="BA13" s="12" t="inlineStr">
        <is>
          <t>providers=who_gho, world_bank; fields=healthcare_quality_raw, education_quality_raw, equal_opportunity_raw, gini_coefficient</t>
        </is>
      </c>
      <c r="BB13" s="12" t="inlineStr">
        <is>
          <t>https://api.worldbank.org/v2/country/THA/indicator/SM.POP.NETM?format=json&amp;mrv=10 | https://api.worldbank.org/v2/country/THA/indicator/SG.GEN.PARL.ZS?format=json&amp;mrv=10 | https://api.worldbank.org/v2/country/THA/indicator/ST.INT.ARVL?format=json&amp;mrv=10 | +1 more</t>
        </is>
      </c>
      <c r="BC13" s="12" t="inlineStr">
        <is>
          <t>Tier 3</t>
        </is>
      </c>
      <c r="BD13" s="12" t="inlineStr">
        <is>
          <t>2025-12-31</t>
        </is>
      </c>
      <c r="BE13" s="12" t="inlineStr">
        <is>
          <t>providers=world_bank; fields=hospitality_belonging_raw, tolerance_pluralism_raw, cultural_public_life_raw, birth_rate_optimism_raw</t>
        </is>
      </c>
      <c r="BF13" s="12" t="inlineStr">
        <is>
          <t>https://api.worldbank.org/v2/country/THA/indicator/IC.BUS.NDNS.ZS?format=json&amp;mrv=10 | https://api.worldbank.org/v2/country/THA/indicator/GB.XPD.RSDV.GD.ZS?format=json&amp;mrv=10 | https://api.worldbank.org/v2/country/THA/indicator/BX.KLT.DINV.WD.GD.ZS?format=json&amp;mrv=10 | +3 more</t>
        </is>
      </c>
      <c r="BG13" s="12" t="inlineStr">
        <is>
          <t>Tier 3</t>
        </is>
      </c>
      <c r="BH13" s="12" t="inlineStr">
        <is>
          <t>2024-12-31</t>
        </is>
      </c>
      <c r="BI13" s="12" t="inlineStr">
        <is>
          <t>providers=world_bank; fields=entrepreneurial_dynamism_raw, innovation_research_intensity_raw, investment_signal_raw, administrative_investment_friction_raw; +2 additional fields</t>
        </is>
      </c>
      <c r="BJ13" s="9" t="n">
        <v>1.08</v>
      </c>
    </row>
    <row r="14">
      <c r="A14" s="9" t="inlineStr">
        <is>
          <t>tw-taipei</t>
        </is>
      </c>
      <c r="B14" s="9" t="inlineStr">
        <is>
          <t>Taipei</t>
        </is>
      </c>
      <c r="C14" s="9" t="inlineStr">
        <is>
          <t>Taiwan</t>
        </is>
      </c>
      <c r="D14" s="9" t="inlineStr">
        <is>
          <t>East Asia</t>
        </is>
      </c>
      <c r="E14" s="9" t="inlineStr">
        <is>
          <t>primary</t>
        </is>
      </c>
      <c r="F14" s="9" t="inlineStr">
        <is>
          <t>locked</t>
        </is>
      </c>
      <c r="G14" s="10" t="n">
        <v>5958.33</v>
      </c>
      <c r="H14" s="10" t="n">
        <v>1713.02</v>
      </c>
      <c r="I14" s="10" t="n">
        <v>411.12</v>
      </c>
      <c r="J14" s="10" t="n">
        <v>274.08</v>
      </c>
      <c r="K14" s="10" t="n">
        <v>102.78</v>
      </c>
      <c r="L14" s="10" t="n">
        <v>1370.42</v>
      </c>
      <c r="M14" s="11" t="inlineStr"/>
      <c r="N14" s="10" t="n">
        <v>28.75</v>
      </c>
      <c r="O14" s="10" t="n">
        <v>86</v>
      </c>
      <c r="P14" s="11">
        <f>IF($O14&lt;&gt;"",$O14,$AO14)</f>
        <v/>
      </c>
      <c r="Q14" s="10" t="n">
        <v>41.5</v>
      </c>
      <c r="R14" s="10" t="n">
        <v>16</v>
      </c>
      <c r="S14" s="10" t="n">
        <v>0.8</v>
      </c>
      <c r="T14" s="10" t="inlineStr"/>
      <c r="U14" s="10" t="n">
        <v>15</v>
      </c>
      <c r="V14" s="10" t="n">
        <v>99</v>
      </c>
      <c r="W14" s="10" t="n">
        <v>28</v>
      </c>
      <c r="X14" s="9" t="n">
        <v>62</v>
      </c>
      <c r="Y14" s="10" t="n">
        <v>88</v>
      </c>
      <c r="Z14" s="10" t="n">
        <v>95</v>
      </c>
      <c r="AA14" s="10" t="n">
        <v>45</v>
      </c>
      <c r="AB14" s="10" t="inlineStr"/>
      <c r="AC14" s="10" t="n">
        <v>45</v>
      </c>
      <c r="AD14" s="10" t="n">
        <v>60</v>
      </c>
      <c r="AE14" s="10" t="n">
        <v>7.5</v>
      </c>
      <c r="AF14" s="10" t="n">
        <v>3.6</v>
      </c>
      <c r="AG14" s="10" t="n">
        <v>65</v>
      </c>
      <c r="AH14" s="10" t="n">
        <v>9</v>
      </c>
      <c r="AI14" s="10" t="inlineStr"/>
      <c r="AJ14" s="11">
        <f>IFERROR(INDEX(Country_Context!$B$2:$B$87,MATCH($C14,Country_Context!$A$2:$A$87,0)),"")</f>
        <v/>
      </c>
      <c r="AK14" s="11">
        <f>IFERROR(INDEX(Country_Context!$C$2:$C$87,MATCH($C14,Country_Context!$A$2:$A$87,0)),"")</f>
        <v/>
      </c>
      <c r="AL14" s="11">
        <f>IFERROR(INDEX(Country_Context!$D$2:$D$87,MATCH($C14,Country_Context!$A$2:$A$87,0)),"")</f>
        <v/>
      </c>
      <c r="AM14" s="11">
        <f>IFERROR(INDEX(Country_Context!$E$2:$E$87,MATCH($C14,Country_Context!$A$2:$A$87,0)),"")</f>
        <v/>
      </c>
      <c r="AN14" s="11">
        <f>IFERROR(INDEX(Country_Context!$F$2:$F$87,MATCH($C14,Country_Context!$A$2:$A$87,0)),"")</f>
        <v/>
      </c>
      <c r="AO14" s="11">
        <f>IFERROR(INDEX(Country_Context!$G$2:$G$87,MATCH($C14,Country_Context!$A$2:$A$87,0)),"")</f>
        <v/>
      </c>
      <c r="AP14" s="12" t="inlineStr">
        <is>
          <t>https://data.worldbank.org/indicator/NY.GNP.PCAP.PP.CD | https://eng.dgbas.gov.tw | https://dep.mohw.gov.tw</t>
        </is>
      </c>
      <c r="AQ14" s="12" t="inlineStr">
        <is>
          <t>Tier 1, Tier 4</t>
        </is>
      </c>
      <c r="AR14" s="12" t="inlineStr">
        <is>
          <t>2024-01-01</t>
        </is>
      </c>
      <c r="AS14" s="12" t="inlineStr">
        <is>
          <t>providers=world_bank_col_estimate, derived, city_official_portal; fields=gross_income, rent, utilities, transit_cost; +6 additional fields</t>
        </is>
      </c>
      <c r="AT14" s="12" t="inlineStr">
        <is>
          <t>https://eng.dgbas.gov.tw | https://worldweather.wmo.int</t>
        </is>
      </c>
      <c r="AU14" s="12" t="inlineStr">
        <is>
          <t>Tier 1, Tier 3</t>
        </is>
      </c>
      <c r="AV14" s="12" t="inlineStr">
        <is>
          <t>2024-12-31</t>
        </is>
      </c>
      <c r="AW14" s="12" t="inlineStr">
        <is>
          <t>providers=city_official_portal, wmo_natl_met; fields=personal_safety_raw, clean_air_raw, water_sanitation_utility_raw, digital_infrastructure_raw; +1 additional fields</t>
        </is>
      </c>
      <c r="AX14" s="12" t="inlineStr">
        <is>
          <t>https://dep.mohw.gov.tw | https://eng.dgbas.gov.tw</t>
        </is>
      </c>
      <c r="AY14" s="12" t="inlineStr">
        <is>
          <t>Tier 1</t>
        </is>
      </c>
      <c r="AZ14" s="12" t="inlineStr">
        <is>
          <t>2023-12-31</t>
        </is>
      </c>
      <c r="BA14" s="12" t="inlineStr">
        <is>
          <t>providers=city_official_portal; fields=healthcare_quality_raw, education_quality_raw, equal_opportunity_raw</t>
        </is>
      </c>
      <c r="BB14" s="12" t="inlineStr">
        <is>
          <t>https://api.worldbank.org/v2/country/TWN | https://eng.dgbas.gov.tw | https://data.worldbank.org/indicator/SP.DYN.TFRT.IN</t>
        </is>
      </c>
      <c r="BC14" s="12" t="inlineStr">
        <is>
          <t>Tier 1, Tier 3</t>
        </is>
      </c>
      <c r="BD14" s="12" t="inlineStr">
        <is>
          <t>2024-12-31</t>
        </is>
      </c>
      <c r="BE14" s="12" t="inlineStr">
        <is>
          <t>providers=world_bank, city_official_portal; fields=tolerance_pluralism_raw, cultural_public_life_raw, birth_rate_optimism_raw</t>
        </is>
      </c>
      <c r="BF14" s="12" t="inlineStr">
        <is>
          <t>https://eng.dgbas.gov.tw</t>
        </is>
      </c>
      <c r="BG14" s="12" t="inlineStr">
        <is>
          <t>Tier 1</t>
        </is>
      </c>
      <c r="BH14" s="12" t="inlineStr">
        <is>
          <t>2023-12-31</t>
        </is>
      </c>
      <c r="BI14" s="12" t="inlineStr">
        <is>
          <t>providers=city_official_portal; fields=entrepreneurial_dynamism_raw, innovation_research_intensity_raw, investment_signal_raw, administrative_investment_friction_raw</t>
        </is>
      </c>
      <c r="BJ14" s="9" t="n">
        <v>0.87</v>
      </c>
    </row>
    <row r="15">
      <c r="A15" s="9" t="inlineStr">
        <is>
          <t>kr-busan</t>
        </is>
      </c>
      <c r="B15" s="9" t="inlineStr">
        <is>
          <t>Busan</t>
        </is>
      </c>
      <c r="C15" s="9" t="inlineStr">
        <is>
          <t>South Korea</t>
        </is>
      </c>
      <c r="D15" s="9" t="inlineStr">
        <is>
          <t>East Asia</t>
        </is>
      </c>
      <c r="E15" s="9" t="inlineStr">
        <is>
          <t>primary</t>
        </is>
      </c>
      <c r="F15" s="9" t="inlineStr">
        <is>
          <t>locked</t>
        </is>
      </c>
      <c r="G15" s="10" t="n">
        <v>4644.75</v>
      </c>
      <c r="H15" s="10" t="n">
        <v>987.01</v>
      </c>
      <c r="I15" s="10" t="n">
        <v>236.88</v>
      </c>
      <c r="J15" s="10" t="n">
        <v>157.92</v>
      </c>
      <c r="K15" s="10" t="n">
        <v>59.22</v>
      </c>
      <c r="L15" s="10" t="n">
        <v>789.61</v>
      </c>
      <c r="M15" s="11" t="inlineStr"/>
      <c r="N15" s="10" t="n">
        <v>21.25</v>
      </c>
      <c r="O15" s="10" t="n">
        <v>160.3472</v>
      </c>
      <c r="P15" s="11">
        <f>IF($O15&lt;&gt;"",$O15,$AO15)</f>
        <v/>
      </c>
      <c r="Q15" s="10" t="n">
        <v>38.49</v>
      </c>
      <c r="R15" s="10" t="n">
        <v>27.53</v>
      </c>
      <c r="S15" s="10" t="n">
        <v>0.48</v>
      </c>
      <c r="T15" s="10" t="inlineStr"/>
      <c r="U15" s="10" t="inlineStr"/>
      <c r="V15" s="10" t="n">
        <v>99.28</v>
      </c>
      <c r="W15" s="10" t="n">
        <v>46.57</v>
      </c>
      <c r="X15" s="9" t="n">
        <v>64</v>
      </c>
      <c r="Y15" s="10" t="n">
        <v>88</v>
      </c>
      <c r="Z15" s="10" t="n">
        <v>106.71</v>
      </c>
      <c r="AA15" s="10" t="n">
        <v>32.9</v>
      </c>
      <c r="AB15" s="10" t="n">
        <v>51.27</v>
      </c>
      <c r="AC15" s="10" t="n">
        <v>20</v>
      </c>
      <c r="AD15" s="10" t="n">
        <v>48.68</v>
      </c>
      <c r="AE15" s="10" t="n">
        <v>3.09</v>
      </c>
      <c r="AF15" s="10" t="n">
        <v>5.21</v>
      </c>
      <c r="AG15" s="10" t="n">
        <v>0.8100000000000001</v>
      </c>
      <c r="AH15" s="10" t="n">
        <v>1.38</v>
      </c>
      <c r="AI15" s="10" t="inlineStr"/>
      <c r="AJ15" s="11">
        <f>IFERROR(INDEX(Country_Context!$B$2:$B$87,MATCH($C15,Country_Context!$A$2:$A$87,0)),"")</f>
        <v/>
      </c>
      <c r="AK15" s="11">
        <f>IFERROR(INDEX(Country_Context!$C$2:$C$87,MATCH($C15,Country_Context!$A$2:$A$87,0)),"")</f>
        <v/>
      </c>
      <c r="AL15" s="11">
        <f>IFERROR(INDEX(Country_Context!$D$2:$D$87,MATCH($C15,Country_Context!$A$2:$A$87,0)),"")</f>
        <v/>
      </c>
      <c r="AM15" s="11">
        <f>IFERROR(INDEX(Country_Context!$E$2:$E$87,MATCH($C15,Country_Context!$A$2:$A$87,0)),"")</f>
        <v/>
      </c>
      <c r="AN15" s="11">
        <f>IFERROR(INDEX(Country_Context!$F$2:$F$87,MATCH($C15,Country_Context!$A$2:$A$87,0)),"")</f>
        <v/>
      </c>
      <c r="AO15" s="11">
        <f>IFERROR(INDEX(Country_Context!$G$2:$G$87,MATCH($C15,Country_Context!$A$2:$A$87,0)),"")</f>
        <v/>
      </c>
      <c r="AP15" s="12" t="inlineStr">
        <is>
          <t>https://api.worldbank.org/v2/country/KOR/indicator/NY.GNP.PCAP.PP.CD?format=json&amp;mrv=10 | https://data.worldbank.org/indicator/NY.GNP.PCAP.PP.CD | https://ilostat.ilo.org/data/indicator/?id=HOW_TEMP_SEX_ECO_NB_A&amp;ref_area=KOR | +4 more</t>
        </is>
      </c>
      <c r="AQ15" s="12" t="inlineStr">
        <is>
          <t>Tier 3, Tier 4</t>
        </is>
      </c>
      <c r="AR15" s="12" t="inlineStr">
        <is>
          <t>2025-12-31</t>
        </is>
      </c>
      <c r="AS15" s="12" t="inlineStr">
        <is>
          <t>providers=world_bank_col_estimate, derived, ilo_ilostat, who_gho; fields=gross_income, rent, utilities, transit_cost; +9 additional fields</t>
        </is>
      </c>
      <c r="AT15" s="12" t="inlineStr">
        <is>
          <t>https://api.worldbank.org/v2/country/KOR/indicator/VC.IHR.PSRC.P5?format=json&amp;mrv=10 | https://api.worldbank.org/v2/country/KOR/indicator/SH.H2O.SMDW.ZS?format=json&amp;mrv=10 | https://api.worldbank.org/v2/country/KOR/indicator/IT.NET.BBND.P2?format=json&amp;mrv=10 | +1 more</t>
        </is>
      </c>
      <c r="AU15" s="12" t="inlineStr">
        <is>
          <t>Tier 3</t>
        </is>
      </c>
      <c r="AV15" s="12" t="inlineStr">
        <is>
          <t>2024-12-31</t>
        </is>
      </c>
      <c r="AW15" s="12" t="inlineStr">
        <is>
          <t>providers=world_bank, wmo_natl_met; fields=personal_safety_raw, water_sanitation_utility_raw, digital_infrastructure_raw, climate_sunlight_livability_raw</t>
        </is>
      </c>
      <c r="AX15" s="12" t="inlineStr">
        <is>
          <t>https://www.who.int/data/gho/data/indicators/indicator-details/GHO/UHC_INDEX_REPORTED | https://api.worldbank.org/v2/country/KOR/indicator/SE.TER.ENRR?format=json&amp;mrv=10 | https://api.worldbank.org/v2/country/KOR/indicator/SI.POV.GINI?format=json&amp;mrv=10 | +1 more</t>
        </is>
      </c>
      <c r="AY15" s="12" t="inlineStr">
        <is>
          <t>Tier 3</t>
        </is>
      </c>
      <c r="AZ15" s="12" t="inlineStr">
        <is>
          <t>2023-12-31</t>
        </is>
      </c>
      <c r="BA15" s="12" t="inlineStr">
        <is>
          <t>providers=who_gho, world_bank; fields=healthcare_quality_raw, education_quality_raw, equal_opportunity_raw, gini_coefficient</t>
        </is>
      </c>
      <c r="BB15" s="12" t="inlineStr">
        <is>
          <t>https://api.worldbank.org/v2/country/KOR/indicator/SM.POP.NETM?format=json&amp;mrv=10 | https://api.worldbank.org/v2/country/KOR/indicator/SG.GEN.PARL.ZS?format=json&amp;mrv=10 | https://api.worldbank.org/v2/country/KOR/indicator/ST.INT.ARVL?format=json&amp;mrv=10 | +1 more</t>
        </is>
      </c>
      <c r="BC15" s="12" t="inlineStr">
        <is>
          <t>Tier 3</t>
        </is>
      </c>
      <c r="BD15" s="12" t="inlineStr">
        <is>
          <t>2025-12-31</t>
        </is>
      </c>
      <c r="BE15" s="12" t="inlineStr">
        <is>
          <t>providers=world_bank; fields=hospitality_belonging_raw, tolerance_pluralism_raw, cultural_public_life_raw, birth_rate_optimism_raw</t>
        </is>
      </c>
      <c r="BF15" s="12" t="inlineStr">
        <is>
          <t>https://api.worldbank.org/v2/country/KOR/indicator/IC.BUS.NDNS.ZS?format=json&amp;mrv=10 | https://api.worldbank.org/v2/country/KOR/indicator/GB.XPD.RSDV.GD.ZS?format=json&amp;mrv=10 | https://api.worldbank.org/v2/country/KOR/indicator/BX.KLT.DINV.WD.GD.ZS?format=json&amp;mrv=10 | +3 more</t>
        </is>
      </c>
      <c r="BG15" s="12" t="inlineStr">
        <is>
          <t>Tier 3</t>
        </is>
      </c>
      <c r="BH15" s="12" t="inlineStr">
        <is>
          <t>2024-12-31</t>
        </is>
      </c>
      <c r="BI15" s="12" t="inlineStr">
        <is>
          <t>providers=world_bank; fields=entrepreneurial_dynamism_raw, innovation_research_intensity_raw, investment_signal_raw, administrative_investment_friction_raw; +2 additional fields</t>
        </is>
      </c>
      <c r="BJ15" s="9" t="n">
        <v>0.72</v>
      </c>
    </row>
    <row r="16">
      <c r="A16" s="9" t="inlineStr">
        <is>
          <t>cn-shanghai</t>
        </is>
      </c>
      <c r="B16" s="9" t="inlineStr">
        <is>
          <t>Shanghai</t>
        </is>
      </c>
      <c r="C16" s="9" t="inlineStr">
        <is>
          <t>China</t>
        </is>
      </c>
      <c r="D16" s="9" t="inlineStr">
        <is>
          <t>East Asia</t>
        </is>
      </c>
      <c r="E16" s="9" t="inlineStr">
        <is>
          <t>primary</t>
        </is>
      </c>
      <c r="F16" s="9" t="inlineStr">
        <is>
          <t>provisional</t>
        </is>
      </c>
      <c r="G16" s="10" t="n">
        <v>3365</v>
      </c>
      <c r="H16" s="10" t="n">
        <v>1093.62</v>
      </c>
      <c r="I16" s="10" t="n">
        <v>262.47</v>
      </c>
      <c r="J16" s="10" t="n">
        <v>174.98</v>
      </c>
      <c r="K16" s="10" t="n">
        <v>65.62</v>
      </c>
      <c r="L16" s="10" t="n">
        <v>874.9</v>
      </c>
      <c r="M16" s="11" t="inlineStr"/>
      <c r="N16" s="10" t="n">
        <v>32.4999</v>
      </c>
      <c r="O16" s="10" t="n">
        <v>194.166</v>
      </c>
      <c r="P16" s="11">
        <f>IF($O16&lt;&gt;"",$O16,$AO16)</f>
        <v/>
      </c>
      <c r="Q16" s="10" t="inlineStr"/>
      <c r="R16" s="10" t="n">
        <v>8.949999999999999</v>
      </c>
      <c r="S16" s="10" t="n">
        <v>0.5</v>
      </c>
      <c r="T16" s="10" t="inlineStr"/>
      <c r="U16" s="10" t="inlineStr"/>
      <c r="V16" s="10" t="inlineStr"/>
      <c r="W16" s="10" t="n">
        <v>44.73</v>
      </c>
      <c r="X16" s="9" t="n">
        <v>58</v>
      </c>
      <c r="Y16" s="10" t="n">
        <v>85</v>
      </c>
      <c r="Z16" s="10" t="n">
        <v>76.88</v>
      </c>
      <c r="AA16" s="10" t="n">
        <v>36</v>
      </c>
      <c r="AB16" s="10" t="n">
        <v>49.81</v>
      </c>
      <c r="AC16" s="10" t="n">
        <v>26.54</v>
      </c>
      <c r="AD16" s="10" t="n">
        <v>21.58</v>
      </c>
      <c r="AE16" s="10" t="n">
        <v>8.58</v>
      </c>
      <c r="AF16" s="10" t="n">
        <v>2.56</v>
      </c>
      <c r="AG16" s="10" t="n">
        <v>0.1</v>
      </c>
      <c r="AH16" s="10" t="n">
        <v>2.86</v>
      </c>
      <c r="AI16" s="10" t="inlineStr"/>
      <c r="AJ16" s="11">
        <f>IFERROR(INDEX(Country_Context!$B$2:$B$87,MATCH($C16,Country_Context!$A$2:$A$87,0)),"")</f>
        <v/>
      </c>
      <c r="AK16" s="11">
        <f>IFERROR(INDEX(Country_Context!$C$2:$C$87,MATCH($C16,Country_Context!$A$2:$A$87,0)),"")</f>
        <v/>
      </c>
      <c r="AL16" s="11">
        <f>IFERROR(INDEX(Country_Context!$D$2:$D$87,MATCH($C16,Country_Context!$A$2:$A$87,0)),"")</f>
        <v/>
      </c>
      <c r="AM16" s="11">
        <f>IFERROR(INDEX(Country_Context!$E$2:$E$87,MATCH($C16,Country_Context!$A$2:$A$87,0)),"")</f>
        <v/>
      </c>
      <c r="AN16" s="11">
        <f>IFERROR(INDEX(Country_Context!$F$2:$F$87,MATCH($C16,Country_Context!$A$2:$A$87,0)),"")</f>
        <v/>
      </c>
      <c r="AO16" s="11">
        <f>IFERROR(INDEX(Country_Context!$G$2:$G$87,MATCH($C16,Country_Context!$A$2:$A$87,0)),"")</f>
        <v/>
      </c>
      <c r="AP16" s="12" t="inlineStr">
        <is>
          <t>https://api.worldbank.org/v2/country/CHN/indicator/NY.GNP.PCAP.PP.CD?format=json&amp;mrv=10 | https://data.worldbank.org/indicator/NY.GNP.PCAP.PP.CD | https://www.who.int/data/gho/data/indicators/indicator-details/GHO/SDGSUICIDE | +3 more</t>
        </is>
      </c>
      <c r="AQ16" s="12" t="inlineStr">
        <is>
          <t>Tier 3, Tier 4</t>
        </is>
      </c>
      <c r="AR16" s="12" t="inlineStr">
        <is>
          <t>2024-12-31</t>
        </is>
      </c>
      <c r="AS16" s="12" t="inlineStr">
        <is>
          <t>providers=world_bank_col_estimate, derived, who_gho, world_bank; fields=gross_income, rent, utilities, transit_cost; +8 additional fields</t>
        </is>
      </c>
      <c r="AT16" s="12" t="inlineStr">
        <is>
          <t>https://api.worldbank.org/v2/country/CHN/indicator/VC.IHR.PSRC.P5?format=json&amp;mrv=10 | https://api.worldbank.org/v2/country/CHN/indicator/IT.NET.BBND.P2?format=json&amp;mrv=10 | https://worldweather.wmo.int</t>
        </is>
      </c>
      <c r="AU16" s="12" t="inlineStr">
        <is>
          <t>Tier 3</t>
        </is>
      </c>
      <c r="AV16" s="12" t="inlineStr">
        <is>
          <t>2024-12-31</t>
        </is>
      </c>
      <c r="AW16" s="12" t="inlineStr">
        <is>
          <t>providers=world_bank, wmo_natl_met; fields=personal_safety_raw, digital_infrastructure_raw, climate_sunlight_livability_raw</t>
        </is>
      </c>
      <c r="AX16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16" s="12" t="inlineStr">
        <is>
          <t>Tier 3</t>
        </is>
      </c>
      <c r="AZ16" s="12" t="inlineStr">
        <is>
          <t>2024-12-31</t>
        </is>
      </c>
      <c r="BA16" s="12" t="inlineStr">
        <is>
          <t>providers=who_gho, world_bank; fields=healthcare_quality_raw, education_quality_raw, equal_opportunity_raw, gini_coefficient</t>
        </is>
      </c>
      <c r="BB16" s="12" t="inlineStr">
        <is>
          <t>https://api.worldbank.org/v2/country/CHN/indicator/SM.POP.NETM?format=json&amp;mrv=10 | https://api.worldbank.org/v2/country/CHN/indicator/SG.GEN.PARL.ZS?format=json&amp;mrv=10 | https://api.worldbank.org/v2/country/CHN/indicator/ST.INT.ARVL?format=json&amp;mrv=10 | +1 more</t>
        </is>
      </c>
      <c r="BC16" s="12" t="inlineStr">
        <is>
          <t>Tier 3</t>
        </is>
      </c>
      <c r="BD16" s="12" t="inlineStr">
        <is>
          <t>2025-12-31</t>
        </is>
      </c>
      <c r="BE16" s="12" t="inlineStr">
        <is>
          <t>providers=world_bank; fields=hospitality_belonging_raw, tolerance_pluralism_raw, cultural_public_life_raw, birth_rate_optimism_raw</t>
        </is>
      </c>
      <c r="BF16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16" s="12" t="inlineStr">
        <is>
          <t>Tier 3</t>
        </is>
      </c>
      <c r="BH16" s="12" t="inlineStr">
        <is>
          <t>2024-12-31</t>
        </is>
      </c>
      <c r="BI16" s="12" t="inlineStr">
        <is>
          <t>providers=world_bank; fields=entrepreneurial_dynamism_raw, innovation_research_intensity_raw, investment_signal_raw, administrative_investment_friction_raw; +2 additional fields</t>
        </is>
      </c>
      <c r="BJ16" s="9" t="n">
        <v>1</v>
      </c>
    </row>
    <row r="17">
      <c r="A17" s="9" t="inlineStr">
        <is>
          <t>cn-shenzhen</t>
        </is>
      </c>
      <c r="B17" s="9" t="inlineStr">
        <is>
          <t>Shenzhen</t>
        </is>
      </c>
      <c r="C17" s="9" t="inlineStr">
        <is>
          <t>China</t>
        </is>
      </c>
      <c r="D17" s="9" t="inlineStr">
        <is>
          <t>East Asia</t>
        </is>
      </c>
      <c r="E17" s="9" t="inlineStr">
        <is>
          <t>primary</t>
        </is>
      </c>
      <c r="F17" s="9" t="inlineStr">
        <is>
          <t>provisional</t>
        </is>
      </c>
      <c r="G17" s="10" t="n">
        <v>3140.67</v>
      </c>
      <c r="H17" s="10" t="n">
        <v>942.2</v>
      </c>
      <c r="I17" s="10" t="n">
        <v>226.13</v>
      </c>
      <c r="J17" s="10" t="n">
        <v>150.75</v>
      </c>
      <c r="K17" s="10" t="n">
        <v>56.53</v>
      </c>
      <c r="L17" s="10" t="n">
        <v>753.76</v>
      </c>
      <c r="M17" s="11" t="inlineStr"/>
      <c r="N17" s="10" t="n">
        <v>30</v>
      </c>
      <c r="O17" s="10" t="n">
        <v>194.166</v>
      </c>
      <c r="P17" s="11">
        <f>IF($O17&lt;&gt;"",$O17,$AO17)</f>
        <v/>
      </c>
      <c r="Q17" s="10" t="inlineStr"/>
      <c r="R17" s="10" t="n">
        <v>8.949999999999999</v>
      </c>
      <c r="S17" s="10" t="n">
        <v>0.5</v>
      </c>
      <c r="T17" s="10" t="inlineStr"/>
      <c r="U17" s="10" t="inlineStr"/>
      <c r="V17" s="10" t="inlineStr"/>
      <c r="W17" s="10" t="n">
        <v>44.73</v>
      </c>
      <c r="X17" s="9" t="n">
        <v>66</v>
      </c>
      <c r="Y17" s="10" t="n">
        <v>85</v>
      </c>
      <c r="Z17" s="10" t="n">
        <v>76.88</v>
      </c>
      <c r="AA17" s="10" t="n">
        <v>36</v>
      </c>
      <c r="AB17" s="10" t="n">
        <v>49.81</v>
      </c>
      <c r="AC17" s="10" t="n">
        <v>26.54</v>
      </c>
      <c r="AD17" s="10" t="n">
        <v>21.58</v>
      </c>
      <c r="AE17" s="10" t="n">
        <v>8.58</v>
      </c>
      <c r="AF17" s="10" t="n">
        <v>2.56</v>
      </c>
      <c r="AG17" s="10" t="n">
        <v>0.1</v>
      </c>
      <c r="AH17" s="10" t="n">
        <v>2.86</v>
      </c>
      <c r="AI17" s="10" t="inlineStr"/>
      <c r="AJ17" s="11">
        <f>IFERROR(INDEX(Country_Context!$B$2:$B$87,MATCH($C17,Country_Context!$A$2:$A$87,0)),"")</f>
        <v/>
      </c>
      <c r="AK17" s="11">
        <f>IFERROR(INDEX(Country_Context!$C$2:$C$87,MATCH($C17,Country_Context!$A$2:$A$87,0)),"")</f>
        <v/>
      </c>
      <c r="AL17" s="11">
        <f>IFERROR(INDEX(Country_Context!$D$2:$D$87,MATCH($C17,Country_Context!$A$2:$A$87,0)),"")</f>
        <v/>
      </c>
      <c r="AM17" s="11">
        <f>IFERROR(INDEX(Country_Context!$E$2:$E$87,MATCH($C17,Country_Context!$A$2:$A$87,0)),"")</f>
        <v/>
      </c>
      <c r="AN17" s="11">
        <f>IFERROR(INDEX(Country_Context!$F$2:$F$87,MATCH($C17,Country_Context!$A$2:$A$87,0)),"")</f>
        <v/>
      </c>
      <c r="AO17" s="11">
        <f>IFERROR(INDEX(Country_Context!$G$2:$G$87,MATCH($C17,Country_Context!$A$2:$A$87,0)),"")</f>
        <v/>
      </c>
      <c r="AP17" s="12" t="inlineStr">
        <is>
          <t>https://api.worldbank.org/v2/country/CHN/indicator/NY.GNP.PCAP.PP.CD?format=json&amp;mrv=10 | https://data.worldbank.org/indicator/NY.GNP.PCAP.PP.CD | https://www.who.int/data/gho/data/indicators/indicator-details/GHO/SDGSUICIDE | +3 more</t>
        </is>
      </c>
      <c r="AQ17" s="12" t="inlineStr">
        <is>
          <t>Tier 3, Tier 4</t>
        </is>
      </c>
      <c r="AR17" s="12" t="inlineStr">
        <is>
          <t>2024-12-31</t>
        </is>
      </c>
      <c r="AS17" s="12" t="inlineStr">
        <is>
          <t>providers=world_bank_col_estimate, derived, who_gho, world_bank; fields=gross_income, rent, utilities, transit_cost; +8 additional fields</t>
        </is>
      </c>
      <c r="AT17" s="12" t="inlineStr">
        <is>
          <t>https://api.worldbank.org/v2/country/CHN/indicator/VC.IHR.PSRC.P5?format=json&amp;mrv=10 | https://api.worldbank.org/v2/country/CHN/indicator/IT.NET.BBND.P2?format=json&amp;mrv=10 | https://worldweather.wmo.int</t>
        </is>
      </c>
      <c r="AU17" s="12" t="inlineStr">
        <is>
          <t>Tier 3</t>
        </is>
      </c>
      <c r="AV17" s="12" t="inlineStr">
        <is>
          <t>2024-12-31</t>
        </is>
      </c>
      <c r="AW17" s="12" t="inlineStr">
        <is>
          <t>providers=world_bank, wmo_natl_met; fields=personal_safety_raw, digital_infrastructure_raw, climate_sunlight_livability_raw</t>
        </is>
      </c>
      <c r="AX17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17" s="12" t="inlineStr">
        <is>
          <t>Tier 3</t>
        </is>
      </c>
      <c r="AZ17" s="12" t="inlineStr">
        <is>
          <t>2024-12-31</t>
        </is>
      </c>
      <c r="BA17" s="12" t="inlineStr">
        <is>
          <t>providers=who_gho, world_bank; fields=healthcare_quality_raw, education_quality_raw, equal_opportunity_raw, gini_coefficient</t>
        </is>
      </c>
      <c r="BB17" s="12" t="inlineStr">
        <is>
          <t>https://api.worldbank.org/v2/country/CHN/indicator/SM.POP.NETM?format=json&amp;mrv=10 | https://api.worldbank.org/v2/country/CHN/indicator/SG.GEN.PARL.ZS?format=json&amp;mrv=10 | https://api.worldbank.org/v2/country/CHN/indicator/ST.INT.ARVL?format=json&amp;mrv=10 | +1 more</t>
        </is>
      </c>
      <c r="BC17" s="12" t="inlineStr">
        <is>
          <t>Tier 3</t>
        </is>
      </c>
      <c r="BD17" s="12" t="inlineStr">
        <is>
          <t>2025-12-31</t>
        </is>
      </c>
      <c r="BE17" s="12" t="inlineStr">
        <is>
          <t>providers=world_bank; fields=hospitality_belonging_raw, tolerance_pluralism_raw, cultural_public_life_raw, birth_rate_optimism_raw</t>
        </is>
      </c>
      <c r="BF17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17" s="12" t="inlineStr">
        <is>
          <t>Tier 3</t>
        </is>
      </c>
      <c r="BH17" s="12" t="inlineStr">
        <is>
          <t>2024-12-31</t>
        </is>
      </c>
      <c r="BI17" s="12" t="inlineStr">
        <is>
          <t>providers=world_bank; fields=entrepreneurial_dynamism_raw, innovation_research_intensity_raw, investment_signal_raw, administrative_investment_friction_raw; +2 additional fields</t>
        </is>
      </c>
      <c r="BJ17" s="9" t="n">
        <v>1</v>
      </c>
    </row>
    <row r="18">
      <c r="A18" s="9" t="inlineStr">
        <is>
          <t>cn-chengdu</t>
        </is>
      </c>
      <c r="B18" s="9" t="inlineStr">
        <is>
          <t>Chengdu</t>
        </is>
      </c>
      <c r="C18" s="9" t="inlineStr">
        <is>
          <t>China</t>
        </is>
      </c>
      <c r="D18" s="9" t="inlineStr">
        <is>
          <t>East Asia</t>
        </is>
      </c>
      <c r="E18" s="9" t="inlineStr">
        <is>
          <t>primary</t>
        </is>
      </c>
      <c r="F18" s="9" t="inlineStr">
        <is>
          <t>provisional</t>
        </is>
      </c>
      <c r="G18" s="10" t="n">
        <v>2019</v>
      </c>
      <c r="H18" s="10" t="n">
        <v>429.04</v>
      </c>
      <c r="I18" s="10" t="n">
        <v>102.97</v>
      </c>
      <c r="J18" s="10" t="n">
        <v>68.65000000000001</v>
      </c>
      <c r="K18" s="10" t="n">
        <v>25.74</v>
      </c>
      <c r="L18" s="10" t="n">
        <v>343.23</v>
      </c>
      <c r="M18" s="11" t="inlineStr"/>
      <c r="N18" s="10" t="n">
        <v>21.2501</v>
      </c>
      <c r="O18" s="10" t="n">
        <v>194.166</v>
      </c>
      <c r="P18" s="11">
        <f>IF($O18&lt;&gt;"",$O18,$AO18)</f>
        <v/>
      </c>
      <c r="Q18" s="10" t="n">
        <v>46</v>
      </c>
      <c r="R18" s="10" t="n">
        <v>8.949999999999999</v>
      </c>
      <c r="S18" s="10" t="n">
        <v>0.5</v>
      </c>
      <c r="T18" s="10" t="inlineStr"/>
      <c r="U18" s="10" t="n">
        <v>38</v>
      </c>
      <c r="V18" s="10" t="n">
        <v>95</v>
      </c>
      <c r="W18" s="10" t="n">
        <v>44.73</v>
      </c>
      <c r="X18" s="9" t="n">
        <v>42</v>
      </c>
      <c r="Y18" s="10" t="n">
        <v>85</v>
      </c>
      <c r="Z18" s="10" t="n">
        <v>76.88</v>
      </c>
      <c r="AA18" s="10" t="n">
        <v>36</v>
      </c>
      <c r="AB18" s="10" t="n">
        <v>49.81</v>
      </c>
      <c r="AC18" s="10" t="n">
        <v>26.54</v>
      </c>
      <c r="AD18" s="10" t="n">
        <v>68</v>
      </c>
      <c r="AE18" s="10" t="n">
        <v>8.58</v>
      </c>
      <c r="AF18" s="10" t="n">
        <v>2.56</v>
      </c>
      <c r="AG18" s="10" t="n">
        <v>0.1</v>
      </c>
      <c r="AH18" s="10" t="n">
        <v>2.86</v>
      </c>
      <c r="AI18" s="10" t="inlineStr"/>
      <c r="AJ18" s="11">
        <f>IFERROR(INDEX(Country_Context!$B$2:$B$87,MATCH($C18,Country_Context!$A$2:$A$87,0)),"")</f>
        <v/>
      </c>
      <c r="AK18" s="11">
        <f>IFERROR(INDEX(Country_Context!$C$2:$C$87,MATCH($C18,Country_Context!$A$2:$A$87,0)),"")</f>
        <v/>
      </c>
      <c r="AL18" s="11">
        <f>IFERROR(INDEX(Country_Context!$D$2:$D$87,MATCH($C18,Country_Context!$A$2:$A$87,0)),"")</f>
        <v/>
      </c>
      <c r="AM18" s="11">
        <f>IFERROR(INDEX(Country_Context!$E$2:$E$87,MATCH($C18,Country_Context!$A$2:$A$87,0)),"")</f>
        <v/>
      </c>
      <c r="AN18" s="11">
        <f>IFERROR(INDEX(Country_Context!$F$2:$F$87,MATCH($C18,Country_Context!$A$2:$A$87,0)),"")</f>
        <v/>
      </c>
      <c r="AO18" s="11">
        <f>IFERROR(INDEX(Country_Context!$G$2:$G$87,MATCH($C18,Country_Context!$A$2:$A$87,0)),"")</f>
        <v/>
      </c>
      <c r="AP18" s="12" t="inlineStr">
        <is>
          <t>https://api.worldbank.org/v2/country/CHN/indicator/NY.GNP.PCAP.PP.CD?format=json&amp;mrv=10 | https://data.worldbank.org/indicator/NY.GNP.PCAP.PP.CD | https://ilostat.ilo.org | +4 more</t>
        </is>
      </c>
      <c r="AQ18" s="12" t="inlineStr">
        <is>
          <t>Tier 3, Tier 4</t>
        </is>
      </c>
      <c r="AR18" s="12" t="inlineStr">
        <is>
          <t>2024-12-31</t>
        </is>
      </c>
      <c r="AS18" s="12" t="inlineStr">
        <is>
          <t>providers=world_bank_col_estimate, derived, ilo_ilostat, who_gho; fields=gross_income, rent, utilities, transit_cost; +9 additional fields</t>
        </is>
      </c>
      <c r="AT18" s="12" t="inlineStr">
        <is>
          <t>https://api.worldbank.org/v2/country/CHN/indicator/VC.IHR.PSRC.P5?format=json&amp;mrv=10 | https://worldweather.wmo.int | https://washdata.org | +1 more</t>
        </is>
      </c>
      <c r="AU18" s="12" t="inlineStr">
        <is>
          <t>Tier 3</t>
        </is>
      </c>
      <c r="AV18" s="12" t="inlineStr">
        <is>
          <t>2024-12-31</t>
        </is>
      </c>
      <c r="AW18" s="12" t="inlineStr">
        <is>
          <t>providers=world_bank, wmo_natl_met, who_unicef_jmp; fields=personal_safety_raw, clean_air_raw, water_sanitation_utility_raw, digital_infrastructure_raw; +1 additional fields</t>
        </is>
      </c>
      <c r="AX18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18" s="12" t="inlineStr">
        <is>
          <t>Tier 3</t>
        </is>
      </c>
      <c r="AZ18" s="12" t="inlineStr">
        <is>
          <t>2024-12-31</t>
        </is>
      </c>
      <c r="BA18" s="12" t="inlineStr">
        <is>
          <t>providers=who_gho, world_bank; fields=healthcare_quality_raw, education_quality_raw, equal_opportunity_raw, gini_coefficient</t>
        </is>
      </c>
      <c r="BB18" s="12" t="inlineStr">
        <is>
          <t>https://api.worldbank.org/v2/country/CHN/indicator/SM.POP.NETM?format=json&amp;mrv=10 | https://api.worldbank.org/v2/country/CHN/indicator/SG.GEN.PARL.ZS?format=json&amp;mrv=10 | https://worldweather.wmo.int | +1 more</t>
        </is>
      </c>
      <c r="BC18" s="12" t="inlineStr">
        <is>
          <t>Tier 3</t>
        </is>
      </c>
      <c r="BD18" s="12" t="inlineStr">
        <is>
          <t>2025-12-31</t>
        </is>
      </c>
      <c r="BE18" s="12" t="inlineStr">
        <is>
          <t>providers=world_bank, wmo_natl_met; fields=hospitality_belonging_raw, tolerance_pluralism_raw, cultural_public_life_raw, birth_rate_optimism_raw</t>
        </is>
      </c>
      <c r="BF18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18" s="12" t="inlineStr">
        <is>
          <t>Tier 3</t>
        </is>
      </c>
      <c r="BH18" s="12" t="inlineStr">
        <is>
          <t>2024-12-31</t>
        </is>
      </c>
      <c r="BI18" s="12" t="inlineStr">
        <is>
          <t>providers=world_bank; fields=entrepreneurial_dynamism_raw, innovation_research_intensity_raw, investment_signal_raw, administrative_investment_friction_raw; +2 additional fields</t>
        </is>
      </c>
      <c r="BJ18" s="9" t="n">
        <v>1</v>
      </c>
    </row>
    <row r="19">
      <c r="A19" s="9" t="inlineStr">
        <is>
          <t>cn-chongqing</t>
        </is>
      </c>
      <c r="B19" s="9" t="inlineStr">
        <is>
          <t>Chongqing</t>
        </is>
      </c>
      <c r="C19" s="9" t="inlineStr">
        <is>
          <t>China</t>
        </is>
      </c>
      <c r="D19" s="9" t="inlineStr">
        <is>
          <t>East Asia</t>
        </is>
      </c>
      <c r="E19" s="9" t="inlineStr">
        <is>
          <t>primary</t>
        </is>
      </c>
      <c r="F19" s="9" t="inlineStr">
        <is>
          <t>provisional</t>
        </is>
      </c>
      <c r="G19" s="10" t="n">
        <v>1906.83</v>
      </c>
      <c r="H19" s="10" t="n">
        <v>381.37</v>
      </c>
      <c r="I19" s="10" t="n">
        <v>91.53</v>
      </c>
      <c r="J19" s="10" t="n">
        <v>61.02</v>
      </c>
      <c r="K19" s="10" t="n">
        <v>22.88</v>
      </c>
      <c r="L19" s="10" t="n">
        <v>305.09</v>
      </c>
      <c r="M19" s="11" t="inlineStr"/>
      <c r="N19" s="10" t="n">
        <v>20.0002</v>
      </c>
      <c r="O19" s="10" t="n">
        <v>194.166</v>
      </c>
      <c r="P19" s="11">
        <f>IF($O19&lt;&gt;"",$O19,$AO19)</f>
        <v/>
      </c>
      <c r="Q19" s="10" t="n">
        <v>46</v>
      </c>
      <c r="R19" s="10" t="n">
        <v>8.949999999999999</v>
      </c>
      <c r="S19" s="10" t="n">
        <v>0.5</v>
      </c>
      <c r="T19" s="10" t="inlineStr"/>
      <c r="U19" s="10" t="n">
        <v>40</v>
      </c>
      <c r="V19" s="10" t="n">
        <v>95</v>
      </c>
      <c r="W19" s="10" t="n">
        <v>44.73</v>
      </c>
      <c r="X19" s="9" t="n">
        <v>44</v>
      </c>
      <c r="Y19" s="10" t="n">
        <v>85</v>
      </c>
      <c r="Z19" s="10" t="n">
        <v>76.88</v>
      </c>
      <c r="AA19" s="10" t="n">
        <v>36</v>
      </c>
      <c r="AB19" s="10" t="n">
        <v>49.81</v>
      </c>
      <c r="AC19" s="10" t="n">
        <v>26.54</v>
      </c>
      <c r="AD19" s="10" t="n">
        <v>58</v>
      </c>
      <c r="AE19" s="10" t="n">
        <v>8.58</v>
      </c>
      <c r="AF19" s="10" t="n">
        <v>2.56</v>
      </c>
      <c r="AG19" s="10" t="n">
        <v>0.1</v>
      </c>
      <c r="AH19" s="10" t="n">
        <v>2.86</v>
      </c>
      <c r="AI19" s="10" t="inlineStr"/>
      <c r="AJ19" s="11">
        <f>IFERROR(INDEX(Country_Context!$B$2:$B$87,MATCH($C19,Country_Context!$A$2:$A$87,0)),"")</f>
        <v/>
      </c>
      <c r="AK19" s="11">
        <f>IFERROR(INDEX(Country_Context!$C$2:$C$87,MATCH($C19,Country_Context!$A$2:$A$87,0)),"")</f>
        <v/>
      </c>
      <c r="AL19" s="11">
        <f>IFERROR(INDEX(Country_Context!$D$2:$D$87,MATCH($C19,Country_Context!$A$2:$A$87,0)),"")</f>
        <v/>
      </c>
      <c r="AM19" s="11">
        <f>IFERROR(INDEX(Country_Context!$E$2:$E$87,MATCH($C19,Country_Context!$A$2:$A$87,0)),"")</f>
        <v/>
      </c>
      <c r="AN19" s="11">
        <f>IFERROR(INDEX(Country_Context!$F$2:$F$87,MATCH($C19,Country_Context!$A$2:$A$87,0)),"")</f>
        <v/>
      </c>
      <c r="AO19" s="11">
        <f>IFERROR(INDEX(Country_Context!$G$2:$G$87,MATCH($C19,Country_Context!$A$2:$A$87,0)),"")</f>
        <v/>
      </c>
      <c r="AP19" s="12" t="inlineStr">
        <is>
          <t>https://api.worldbank.org/v2/country/CHN/indicator/NY.GNP.PCAP.PP.CD?format=json&amp;mrv=10 | https://data.worldbank.org/indicator/NY.GNP.PCAP.PP.CD | https://ilostat.ilo.org | +4 more</t>
        </is>
      </c>
      <c r="AQ19" s="12" t="inlineStr">
        <is>
          <t>Tier 3, Tier 4</t>
        </is>
      </c>
      <c r="AR19" s="12" t="inlineStr">
        <is>
          <t>2024-12-31</t>
        </is>
      </c>
      <c r="AS19" s="12" t="inlineStr">
        <is>
          <t>providers=world_bank_col_estimate, derived, ilo_ilostat, who_gho; fields=gross_income, rent, utilities, transit_cost; +9 additional fields</t>
        </is>
      </c>
      <c r="AT19" s="12" t="inlineStr">
        <is>
          <t>https://api.worldbank.org/v2/country/CHN/indicator/VC.IHR.PSRC.P5?format=json&amp;mrv=10 | https://worldweather.wmo.int | https://washdata.org | +1 more</t>
        </is>
      </c>
      <c r="AU19" s="12" t="inlineStr">
        <is>
          <t>Tier 3</t>
        </is>
      </c>
      <c r="AV19" s="12" t="inlineStr">
        <is>
          <t>2024-12-31</t>
        </is>
      </c>
      <c r="AW19" s="12" t="inlineStr">
        <is>
          <t>providers=world_bank, wmo_natl_met, who_unicef_jmp; fields=personal_safety_raw, clean_air_raw, water_sanitation_utility_raw, digital_infrastructure_raw; +1 additional fields</t>
        </is>
      </c>
      <c r="AX19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19" s="12" t="inlineStr">
        <is>
          <t>Tier 3</t>
        </is>
      </c>
      <c r="AZ19" s="12" t="inlineStr">
        <is>
          <t>2024-12-31</t>
        </is>
      </c>
      <c r="BA19" s="12" t="inlineStr">
        <is>
          <t>providers=who_gho, world_bank; fields=healthcare_quality_raw, education_quality_raw, equal_opportunity_raw, gini_coefficient</t>
        </is>
      </c>
      <c r="BB19" s="12" t="inlineStr">
        <is>
          <t>https://api.worldbank.org/v2/country/CHN/indicator/SM.POP.NETM?format=json&amp;mrv=10 | https://api.worldbank.org/v2/country/CHN/indicator/SG.GEN.PARL.ZS?format=json&amp;mrv=10 | https://worldweather.wmo.int | +1 more</t>
        </is>
      </c>
      <c r="BC19" s="12" t="inlineStr">
        <is>
          <t>Tier 3</t>
        </is>
      </c>
      <c r="BD19" s="12" t="inlineStr">
        <is>
          <t>2025-12-31</t>
        </is>
      </c>
      <c r="BE19" s="12" t="inlineStr">
        <is>
          <t>providers=world_bank, wmo_natl_met; fields=hospitality_belonging_raw, tolerance_pluralism_raw, cultural_public_life_raw, birth_rate_optimism_raw</t>
        </is>
      </c>
      <c r="BF19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19" s="12" t="inlineStr">
        <is>
          <t>Tier 3</t>
        </is>
      </c>
      <c r="BH19" s="12" t="inlineStr">
        <is>
          <t>2024-12-31</t>
        </is>
      </c>
      <c r="BI19" s="12" t="inlineStr">
        <is>
          <t>providers=world_bank; fields=entrepreneurial_dynamism_raw, innovation_research_intensity_raw, investment_signal_raw, administrative_investment_friction_raw; +2 additional fields</t>
        </is>
      </c>
      <c r="BJ19" s="9" t="n">
        <v>1</v>
      </c>
    </row>
    <row r="20">
      <c r="A20" s="9" t="inlineStr">
        <is>
          <t>cn-hangzhou</t>
        </is>
      </c>
      <c r="B20" s="9" t="inlineStr">
        <is>
          <t>Hangzhou</t>
        </is>
      </c>
      <c r="C20" s="9" t="inlineStr">
        <is>
          <t>China</t>
        </is>
      </c>
      <c r="D20" s="9" t="inlineStr">
        <is>
          <t>East Asia</t>
        </is>
      </c>
      <c r="E20" s="9" t="inlineStr">
        <is>
          <t>primary</t>
        </is>
      </c>
      <c r="F20" s="9" t="inlineStr">
        <is>
          <t>provisional</t>
        </is>
      </c>
      <c r="G20" s="10" t="n">
        <v>2692</v>
      </c>
      <c r="H20" s="10" t="n">
        <v>740.3</v>
      </c>
      <c r="I20" s="10" t="n">
        <v>177.67</v>
      </c>
      <c r="J20" s="10" t="n">
        <v>118.45</v>
      </c>
      <c r="K20" s="10" t="n">
        <v>44.42</v>
      </c>
      <c r="L20" s="10" t="n">
        <v>592.24</v>
      </c>
      <c r="M20" s="11" t="inlineStr"/>
      <c r="N20" s="10" t="n">
        <v>27.5</v>
      </c>
      <c r="O20" s="10" t="n">
        <v>194.166</v>
      </c>
      <c r="P20" s="11">
        <f>IF($O20&lt;&gt;"",$O20,$AO20)</f>
        <v/>
      </c>
      <c r="Q20" s="10" t="n">
        <v>46</v>
      </c>
      <c r="R20" s="10" t="n">
        <v>8.949999999999999</v>
      </c>
      <c r="S20" s="10" t="n">
        <v>0.5</v>
      </c>
      <c r="T20" s="10" t="inlineStr"/>
      <c r="U20" s="10" t="n">
        <v>30</v>
      </c>
      <c r="V20" s="10" t="n">
        <v>95</v>
      </c>
      <c r="W20" s="10" t="n">
        <v>44.73</v>
      </c>
      <c r="X20" s="9" t="n">
        <v>56</v>
      </c>
      <c r="Y20" s="10" t="n">
        <v>85</v>
      </c>
      <c r="Z20" s="10" t="n">
        <v>76.88</v>
      </c>
      <c r="AA20" s="10" t="n">
        <v>36</v>
      </c>
      <c r="AB20" s="10" t="n">
        <v>49.81</v>
      </c>
      <c r="AC20" s="10" t="n">
        <v>26.54</v>
      </c>
      <c r="AD20" s="10" t="n">
        <v>72</v>
      </c>
      <c r="AE20" s="10" t="n">
        <v>8.58</v>
      </c>
      <c r="AF20" s="10" t="n">
        <v>2.56</v>
      </c>
      <c r="AG20" s="10" t="n">
        <v>0.1</v>
      </c>
      <c r="AH20" s="10" t="n">
        <v>2.86</v>
      </c>
      <c r="AI20" s="10" t="inlineStr"/>
      <c r="AJ20" s="11">
        <f>IFERROR(INDEX(Country_Context!$B$2:$B$87,MATCH($C20,Country_Context!$A$2:$A$87,0)),"")</f>
        <v/>
      </c>
      <c r="AK20" s="11">
        <f>IFERROR(INDEX(Country_Context!$C$2:$C$87,MATCH($C20,Country_Context!$A$2:$A$87,0)),"")</f>
        <v/>
      </c>
      <c r="AL20" s="11">
        <f>IFERROR(INDEX(Country_Context!$D$2:$D$87,MATCH($C20,Country_Context!$A$2:$A$87,0)),"")</f>
        <v/>
      </c>
      <c r="AM20" s="11">
        <f>IFERROR(INDEX(Country_Context!$E$2:$E$87,MATCH($C20,Country_Context!$A$2:$A$87,0)),"")</f>
        <v/>
      </c>
      <c r="AN20" s="11">
        <f>IFERROR(INDEX(Country_Context!$F$2:$F$87,MATCH($C20,Country_Context!$A$2:$A$87,0)),"")</f>
        <v/>
      </c>
      <c r="AO20" s="11">
        <f>IFERROR(INDEX(Country_Context!$G$2:$G$87,MATCH($C20,Country_Context!$A$2:$A$87,0)),"")</f>
        <v/>
      </c>
      <c r="AP20" s="12" t="inlineStr">
        <is>
          <t>https://api.worldbank.org/v2/country/CHN/indicator/NY.GNP.PCAP.PP.CD?format=json&amp;mrv=10 | https://data.worldbank.org/indicator/NY.GNP.PCAP.PP.CD | https://ilostat.ilo.org | +4 more</t>
        </is>
      </c>
      <c r="AQ20" s="12" t="inlineStr">
        <is>
          <t>Tier 3, Tier 4</t>
        </is>
      </c>
      <c r="AR20" s="12" t="inlineStr">
        <is>
          <t>2024-12-31</t>
        </is>
      </c>
      <c r="AS20" s="12" t="inlineStr">
        <is>
          <t>providers=world_bank_col_estimate, derived, ilo_ilostat, who_gho; fields=gross_income, rent, utilities, transit_cost; +9 additional fields</t>
        </is>
      </c>
      <c r="AT20" s="12" t="inlineStr">
        <is>
          <t>https://api.worldbank.org/v2/country/CHN/indicator/VC.IHR.PSRC.P5?format=json&amp;mrv=10 | https://worldweather.wmo.int | https://washdata.org | +1 more</t>
        </is>
      </c>
      <c r="AU20" s="12" t="inlineStr">
        <is>
          <t>Tier 3</t>
        </is>
      </c>
      <c r="AV20" s="12" t="inlineStr">
        <is>
          <t>2024-12-31</t>
        </is>
      </c>
      <c r="AW20" s="12" t="inlineStr">
        <is>
          <t>providers=world_bank, wmo_natl_met, who_unicef_jmp; fields=personal_safety_raw, clean_air_raw, water_sanitation_utility_raw, digital_infrastructure_raw; +1 additional fields</t>
        </is>
      </c>
      <c r="AX20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20" s="12" t="inlineStr">
        <is>
          <t>Tier 3</t>
        </is>
      </c>
      <c r="AZ20" s="12" t="inlineStr">
        <is>
          <t>2024-12-31</t>
        </is>
      </c>
      <c r="BA20" s="12" t="inlineStr">
        <is>
          <t>providers=who_gho, world_bank; fields=healthcare_quality_raw, education_quality_raw, equal_opportunity_raw, gini_coefficient</t>
        </is>
      </c>
      <c r="BB20" s="12" t="inlineStr">
        <is>
          <t>https://api.worldbank.org/v2/country/CHN/indicator/SM.POP.NETM?format=json&amp;mrv=10 | https://api.worldbank.org/v2/country/CHN/indicator/SG.GEN.PARL.ZS?format=json&amp;mrv=10 | https://worldweather.wmo.int | +1 more</t>
        </is>
      </c>
      <c r="BC20" s="12" t="inlineStr">
        <is>
          <t>Tier 3</t>
        </is>
      </c>
      <c r="BD20" s="12" t="inlineStr">
        <is>
          <t>2025-12-31</t>
        </is>
      </c>
      <c r="BE20" s="12" t="inlineStr">
        <is>
          <t>providers=world_bank, wmo_natl_met; fields=hospitality_belonging_raw, tolerance_pluralism_raw, cultural_public_life_raw, birth_rate_optimism_raw</t>
        </is>
      </c>
      <c r="BF20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20" s="12" t="inlineStr">
        <is>
          <t>Tier 3</t>
        </is>
      </c>
      <c r="BH20" s="12" t="inlineStr">
        <is>
          <t>2024-12-31</t>
        </is>
      </c>
      <c r="BI20" s="12" t="inlineStr">
        <is>
          <t>providers=world_bank; fields=entrepreneurial_dynamism_raw, innovation_research_intensity_raw, investment_signal_raw, administrative_investment_friction_raw; +2 additional fields</t>
        </is>
      </c>
      <c r="BJ20" s="9" t="n">
        <v>1</v>
      </c>
    </row>
    <row r="21">
      <c r="A21" s="9" t="inlineStr">
        <is>
          <t>jp-hiroshima</t>
        </is>
      </c>
      <c r="B21" s="9" t="inlineStr">
        <is>
          <t>Hiroshima</t>
        </is>
      </c>
      <c r="C21" s="9" t="inlineStr">
        <is>
          <t>Japan</t>
        </is>
      </c>
      <c r="D21" s="9" t="inlineStr">
        <is>
          <t>East Asia</t>
        </is>
      </c>
      <c r="E21" s="9" t="inlineStr">
        <is>
          <t>primary</t>
        </is>
      </c>
      <c r="F21" s="9" t="inlineStr">
        <is>
          <t>provisional</t>
        </is>
      </c>
      <c r="G21" s="10" t="n">
        <v>3930.54</v>
      </c>
      <c r="H21" s="10" t="n">
        <v>786.11</v>
      </c>
      <c r="I21" s="10" t="n">
        <v>188.67</v>
      </c>
      <c r="J21" s="10" t="n">
        <v>125.78</v>
      </c>
      <c r="K21" s="10" t="n">
        <v>47.17</v>
      </c>
      <c r="L21" s="10" t="n">
        <v>628.89</v>
      </c>
      <c r="M21" s="11" t="inlineStr"/>
      <c r="N21" s="10" t="n">
        <v>20.0001</v>
      </c>
      <c r="O21" s="10" t="n">
        <v>123.1289</v>
      </c>
      <c r="P21" s="11">
        <f>IF($O21&lt;&gt;"",$O21,$AO21)</f>
        <v/>
      </c>
      <c r="Q21" s="10" t="n">
        <v>36.6</v>
      </c>
      <c r="R21" s="10" t="n">
        <v>17.43</v>
      </c>
      <c r="S21" s="10" t="n">
        <v>0.23</v>
      </c>
      <c r="T21" s="10" t="inlineStr"/>
      <c r="U21" s="10" t="inlineStr"/>
      <c r="V21" s="10" t="n">
        <v>98.73</v>
      </c>
      <c r="W21" s="10" t="n">
        <v>38.63</v>
      </c>
      <c r="X21" s="9" t="inlineStr"/>
      <c r="Y21" s="10" t="n">
        <v>86</v>
      </c>
      <c r="Z21" s="10" t="n">
        <v>64.89</v>
      </c>
      <c r="AA21" s="10" t="n">
        <v>32.3</v>
      </c>
      <c r="AB21" s="10" t="n">
        <v>51.13</v>
      </c>
      <c r="AC21" s="10" t="n">
        <v>15.7</v>
      </c>
      <c r="AD21" s="10" t="n">
        <v>33.2</v>
      </c>
      <c r="AE21" s="10" t="n">
        <v>0.51</v>
      </c>
      <c r="AF21" s="10" t="n">
        <v>3.41</v>
      </c>
      <c r="AG21" s="10" t="n">
        <v>0.4</v>
      </c>
      <c r="AH21" s="10" t="n">
        <v>1.03</v>
      </c>
      <c r="AI21" s="10" t="inlineStr"/>
      <c r="AJ21" s="11">
        <f>IFERROR(INDEX(Country_Context!$B$2:$B$87,MATCH($C21,Country_Context!$A$2:$A$87,0)),"")</f>
        <v/>
      </c>
      <c r="AK21" s="11">
        <f>IFERROR(INDEX(Country_Context!$C$2:$C$87,MATCH($C21,Country_Context!$A$2:$A$87,0)),"")</f>
        <v/>
      </c>
      <c r="AL21" s="11">
        <f>IFERROR(INDEX(Country_Context!$D$2:$D$87,MATCH($C21,Country_Context!$A$2:$A$87,0)),"")</f>
        <v/>
      </c>
      <c r="AM21" s="11">
        <f>IFERROR(INDEX(Country_Context!$E$2:$E$87,MATCH($C21,Country_Context!$A$2:$A$87,0)),"")</f>
        <v/>
      </c>
      <c r="AN21" s="11">
        <f>IFERROR(INDEX(Country_Context!$F$2:$F$87,MATCH($C21,Country_Context!$A$2:$A$87,0)),"")</f>
        <v/>
      </c>
      <c r="AO21" s="11">
        <f>IFERROR(INDEX(Country_Context!$G$2:$G$87,MATCH($C21,Country_Context!$A$2:$A$87,0)),"")</f>
        <v/>
      </c>
      <c r="AP21" s="12" t="inlineStr">
        <is>
          <t>https://api.worldbank.org/v2/country/JPN/indicator/NY.GNP.PCAP.PP.CD?format=json&amp;mrv=10 | https://data.worldbank.org/indicator/NY.GNP.PCAP.PP.CD | https://ilostat.ilo.org/data/indicator/?id=HOW_TEMP_SEX_ECO_NB_A&amp;ref_area=JPN | +3 more</t>
        </is>
      </c>
      <c r="AQ21" s="12" t="inlineStr">
        <is>
          <t>Tier 3, Tier 4</t>
        </is>
      </c>
      <c r="AR21" s="12" t="inlineStr">
        <is>
          <t>2024-12-31</t>
        </is>
      </c>
      <c r="AS21" s="12" t="inlineStr">
        <is>
          <t>providers=world_bank_col_estimate, derived, ilo_ilostat, who_gho; fields=gross_income, rent, utilities, transit_cost; +8 additional fields</t>
        </is>
      </c>
      <c r="AT21" s="12" t="inlineStr">
        <is>
          <t>https://api.worldbank.org/v2/country/JPN/indicator/VC.IHR.PSRC.P5?format=json&amp;mrv=10 | https://api.worldbank.org/v2/country/JPN/indicator/SH.H2O.SMDW.ZS?format=json&amp;mrv=10 | https://api.worldbank.org/v2/country/JPN/indicator/IT.NET.BBND.P2?format=json&amp;mrv=10</t>
        </is>
      </c>
      <c r="AU21" s="12" t="inlineStr">
        <is>
          <t>Tier 3</t>
        </is>
      </c>
      <c r="AV21" s="12" t="inlineStr">
        <is>
          <t>2024-12-31</t>
        </is>
      </c>
      <c r="AW21" s="12" t="inlineStr">
        <is>
          <t>providers=world_bank; fields=personal_safety_raw, water_sanitation_utility_raw, digital_infrastructure_raw</t>
        </is>
      </c>
      <c r="AX21" s="12" t="inlineStr">
        <is>
          <t>https://www.who.int/data/gho/data/indicators/indicator-details/GHO/UHC_INDEX_REPORTED | https://api.worldbank.org/v2/country/JPN/indicator/SE.TER.ENRR?format=json&amp;mrv=10 | https://api.worldbank.org/v2/country/JPN/indicator/SI.POV.GINI?format=json&amp;mrv=10 | +1 more</t>
        </is>
      </c>
      <c r="AY21" s="12" t="inlineStr">
        <is>
          <t>Tier 3</t>
        </is>
      </c>
      <c r="AZ21" s="12" t="inlineStr">
        <is>
          <t>2023-12-31</t>
        </is>
      </c>
      <c r="BA21" s="12" t="inlineStr">
        <is>
          <t>providers=who_gho, world_bank; fields=healthcare_quality_raw, education_quality_raw, equal_opportunity_raw, gini_coefficient</t>
        </is>
      </c>
      <c r="BB21" s="12" t="inlineStr">
        <is>
          <t>https://api.worldbank.org/v2/country/JPN/indicator/SM.POP.NETM?format=json&amp;mrv=10 | https://api.worldbank.org/v2/country/JPN/indicator/SG.GEN.PARL.ZS?format=json&amp;mrv=10 | https://api.worldbank.org/v2/country/JPN/indicator/ST.INT.ARVL?format=json&amp;mrv=10 | +1 more</t>
        </is>
      </c>
      <c r="BC21" s="12" t="inlineStr">
        <is>
          <t>Tier 3</t>
        </is>
      </c>
      <c r="BD21" s="12" t="inlineStr">
        <is>
          <t>2025-12-31</t>
        </is>
      </c>
      <c r="BE21" s="12" t="inlineStr">
        <is>
          <t>providers=world_bank; fields=hospitality_belonging_raw, tolerance_pluralism_raw, cultural_public_life_raw, birth_rate_optimism_raw</t>
        </is>
      </c>
      <c r="BF21" s="12" t="inlineStr">
        <is>
          <t>https://api.worldbank.org/v2/country/JPN/indicator/IC.BUS.NDNS.ZS?format=json&amp;mrv=10 | https://api.worldbank.org/v2/country/JPN/indicator/GB.XPD.RSDV.GD.ZS?format=json&amp;mrv=10 | https://api.worldbank.org/v2/country/JPN/indicator/BX.KLT.DINV.WD.GD.ZS?format=json&amp;mrv=10 | +3 more</t>
        </is>
      </c>
      <c r="BG21" s="12" t="inlineStr">
        <is>
          <t>Tier 3</t>
        </is>
      </c>
      <c r="BH21" s="12" t="inlineStr">
        <is>
          <t>2024-12-31</t>
        </is>
      </c>
      <c r="BI21" s="12" t="inlineStr">
        <is>
          <t>providers=world_bank; fields=entrepreneurial_dynamism_raw, innovation_research_intensity_raw, investment_signal_raw, administrative_investment_friction_raw; +2 additional fields</t>
        </is>
      </c>
      <c r="BJ21" s="9" t="n">
        <v>1.2</v>
      </c>
    </row>
    <row r="22">
      <c r="A22" s="9" t="inlineStr">
        <is>
          <t>kr-suwon</t>
        </is>
      </c>
      <c r="B22" s="9" t="inlineStr">
        <is>
          <t>Suwon</t>
        </is>
      </c>
      <c r="C22" s="9" t="inlineStr">
        <is>
          <t>South Korea</t>
        </is>
      </c>
      <c r="D22" s="9" t="inlineStr">
        <is>
          <t>East Asia</t>
        </is>
      </c>
      <c r="E22" s="9" t="inlineStr">
        <is>
          <t>primary</t>
        </is>
      </c>
      <c r="F22" s="9" t="inlineStr">
        <is>
          <t>provisional</t>
        </is>
      </c>
      <c r="G22" s="10" t="n">
        <v>5160.83</v>
      </c>
      <c r="H22" s="10" t="n">
        <v>1161.19</v>
      </c>
      <c r="I22" s="10" t="n">
        <v>278.68</v>
      </c>
      <c r="J22" s="10" t="n">
        <v>185.79</v>
      </c>
      <c r="K22" s="10" t="n">
        <v>69.67</v>
      </c>
      <c r="L22" s="10" t="n">
        <v>928.95</v>
      </c>
      <c r="M22" s="11" t="inlineStr"/>
      <c r="N22" s="10" t="n">
        <v>22.5001</v>
      </c>
      <c r="O22" s="10" t="n">
        <v>160.3472</v>
      </c>
      <c r="P22" s="11">
        <f>IF($O22&lt;&gt;"",$O22,$AO22)</f>
        <v/>
      </c>
      <c r="Q22" s="10" t="n">
        <v>38.49</v>
      </c>
      <c r="R22" s="10" t="n">
        <v>27.53</v>
      </c>
      <c r="S22" s="10" t="n">
        <v>0.48</v>
      </c>
      <c r="T22" s="10" t="inlineStr"/>
      <c r="U22" s="10" t="n">
        <v>22</v>
      </c>
      <c r="V22" s="10" t="n">
        <v>99</v>
      </c>
      <c r="W22" s="10" t="n">
        <v>46.57</v>
      </c>
      <c r="X22" s="9" t="n">
        <v>60</v>
      </c>
      <c r="Y22" s="10" t="n">
        <v>88</v>
      </c>
      <c r="Z22" s="10" t="n">
        <v>106.71</v>
      </c>
      <c r="AA22" s="10" t="n">
        <v>32.9</v>
      </c>
      <c r="AB22" s="10" t="n">
        <v>51.27</v>
      </c>
      <c r="AC22" s="10" t="n">
        <v>20</v>
      </c>
      <c r="AD22" s="10" t="n">
        <v>65</v>
      </c>
      <c r="AE22" s="10" t="n">
        <v>3.09</v>
      </c>
      <c r="AF22" s="10" t="n">
        <v>5.21</v>
      </c>
      <c r="AG22" s="10" t="n">
        <v>0.8100000000000001</v>
      </c>
      <c r="AH22" s="10" t="n">
        <v>1.38</v>
      </c>
      <c r="AI22" s="10" t="inlineStr"/>
      <c r="AJ22" s="11">
        <f>IFERROR(INDEX(Country_Context!$B$2:$B$87,MATCH($C22,Country_Context!$A$2:$A$87,0)),"")</f>
        <v/>
      </c>
      <c r="AK22" s="11">
        <f>IFERROR(INDEX(Country_Context!$C$2:$C$87,MATCH($C22,Country_Context!$A$2:$A$87,0)),"")</f>
        <v/>
      </c>
      <c r="AL22" s="11">
        <f>IFERROR(INDEX(Country_Context!$D$2:$D$87,MATCH($C22,Country_Context!$A$2:$A$87,0)),"")</f>
        <v/>
      </c>
      <c r="AM22" s="11">
        <f>IFERROR(INDEX(Country_Context!$E$2:$E$87,MATCH($C22,Country_Context!$A$2:$A$87,0)),"")</f>
        <v/>
      </c>
      <c r="AN22" s="11">
        <f>IFERROR(INDEX(Country_Context!$F$2:$F$87,MATCH($C22,Country_Context!$A$2:$A$87,0)),"")</f>
        <v/>
      </c>
      <c r="AO22" s="11">
        <f>IFERROR(INDEX(Country_Context!$G$2:$G$87,MATCH($C22,Country_Context!$A$2:$A$87,0)),"")</f>
        <v/>
      </c>
      <c r="AP22" s="12" t="inlineStr">
        <is>
          <t>https://api.worldbank.org/v2/country/KOR/indicator/NY.GNP.PCAP.PP.CD?format=json&amp;mrv=10 | https://data.worldbank.org/indicator/NY.GNP.PCAP.PP.CD | https://ilostat.ilo.org/data/indicator/?id=HOW_TEMP_SEX_ECO_NB_A&amp;ref_area=KOR | +4 more</t>
        </is>
      </c>
      <c r="AQ22" s="12" t="inlineStr">
        <is>
          <t>Tier 3, Tier 4</t>
        </is>
      </c>
      <c r="AR22" s="12" t="inlineStr">
        <is>
          <t>2025-12-31</t>
        </is>
      </c>
      <c r="AS22" s="12" t="inlineStr">
        <is>
          <t>providers=world_bank_col_estimate, derived, ilo_ilostat, who_gho; fields=gross_income, rent, utilities, transit_cost; +9 additional fields</t>
        </is>
      </c>
      <c r="AT22" s="12" t="inlineStr">
        <is>
          <t>https://api.worldbank.org/v2/country/KOR/indicator/VC.IHR.PSRC.P5?format=json&amp;mrv=10 | https://worldweather.wmo.int | https://washdata.org | +1 more</t>
        </is>
      </c>
      <c r="AU22" s="12" t="inlineStr">
        <is>
          <t>Tier 3</t>
        </is>
      </c>
      <c r="AV22" s="12" t="inlineStr">
        <is>
          <t>2024-12-31</t>
        </is>
      </c>
      <c r="AW22" s="12" t="inlineStr">
        <is>
          <t>providers=world_bank, wmo_natl_met, who_unicef_jmp; fields=personal_safety_raw, clean_air_raw, water_sanitation_utility_raw, digital_infrastructure_raw; +1 additional fields</t>
        </is>
      </c>
      <c r="AX22" s="12" t="inlineStr">
        <is>
          <t>https://www.who.int/data/gho/data/indicators/indicator-details/GHO/UHC_INDEX_REPORTED | https://api.worldbank.org/v2/country/KOR/indicator/SE.TER.ENRR?format=json&amp;mrv=10 | https://api.worldbank.org/v2/country/KOR/indicator/SI.POV.GINI?format=json&amp;mrv=10 | +1 more</t>
        </is>
      </c>
      <c r="AY22" s="12" t="inlineStr">
        <is>
          <t>Tier 3</t>
        </is>
      </c>
      <c r="AZ22" s="12" t="inlineStr">
        <is>
          <t>2023-12-31</t>
        </is>
      </c>
      <c r="BA22" s="12" t="inlineStr">
        <is>
          <t>providers=who_gho, world_bank; fields=healthcare_quality_raw, education_quality_raw, equal_opportunity_raw, gini_coefficient</t>
        </is>
      </c>
      <c r="BB22" s="12" t="inlineStr">
        <is>
          <t>https://api.worldbank.org/v2/country/KOR/indicator/SM.POP.NETM?format=json&amp;mrv=10 | https://api.worldbank.org/v2/country/KOR/indicator/SG.GEN.PARL.ZS?format=json&amp;mrv=10 | https://worldweather.wmo.int | +1 more</t>
        </is>
      </c>
      <c r="BC22" s="12" t="inlineStr">
        <is>
          <t>Tier 3</t>
        </is>
      </c>
      <c r="BD22" s="12" t="inlineStr">
        <is>
          <t>2025-12-31</t>
        </is>
      </c>
      <c r="BE22" s="12" t="inlineStr">
        <is>
          <t>providers=world_bank, wmo_natl_met; fields=hospitality_belonging_raw, tolerance_pluralism_raw, cultural_public_life_raw, birth_rate_optimism_raw</t>
        </is>
      </c>
      <c r="BF22" s="12" t="inlineStr">
        <is>
          <t>https://api.worldbank.org/v2/country/KOR/indicator/IC.BUS.NDNS.ZS?format=json&amp;mrv=10 | https://api.worldbank.org/v2/country/KOR/indicator/GB.XPD.RSDV.GD.ZS?format=json&amp;mrv=10 | https://api.worldbank.org/v2/country/KOR/indicator/BX.KLT.DINV.WD.GD.ZS?format=json&amp;mrv=10 | +3 more</t>
        </is>
      </c>
      <c r="BG22" s="12" t="inlineStr">
        <is>
          <t>Tier 3</t>
        </is>
      </c>
      <c r="BH22" s="12" t="inlineStr">
        <is>
          <t>2024-12-31</t>
        </is>
      </c>
      <c r="BI22" s="12" t="inlineStr">
        <is>
          <t>providers=world_bank; fields=entrepreneurial_dynamism_raw, innovation_research_intensity_raw, investment_signal_raw, administrative_investment_friction_raw; +2 additional fields</t>
        </is>
      </c>
      <c r="BJ22" s="9" t="n">
        <v>0.72</v>
      </c>
    </row>
    <row r="23">
      <c r="A23" s="9" t="inlineStr">
        <is>
          <t>kr-jeju-city</t>
        </is>
      </c>
      <c r="B23" s="9" t="inlineStr">
        <is>
          <t>Jeju City</t>
        </is>
      </c>
      <c r="C23" s="9" t="inlineStr">
        <is>
          <t>South Korea</t>
        </is>
      </c>
      <c r="D23" s="9" t="inlineStr">
        <is>
          <t>East Asia</t>
        </is>
      </c>
      <c r="E23" s="9" t="inlineStr">
        <is>
          <t>secondary</t>
        </is>
      </c>
      <c r="F23" s="9" t="inlineStr">
        <is>
          <t>locked</t>
        </is>
      </c>
      <c r="G23" s="10" t="n">
        <v>5160.83</v>
      </c>
      <c r="H23" s="10" t="n">
        <v>1096.68</v>
      </c>
      <c r="I23" s="10" t="n">
        <v>263.2</v>
      </c>
      <c r="J23" s="10" t="n">
        <v>175.47</v>
      </c>
      <c r="K23" s="10" t="n">
        <v>65.8</v>
      </c>
      <c r="L23" s="10" t="n">
        <v>877.34</v>
      </c>
      <c r="M23" s="11" t="inlineStr"/>
      <c r="N23" s="10" t="n">
        <v>21.2501</v>
      </c>
      <c r="O23" s="10" t="n">
        <v>160.3472</v>
      </c>
      <c r="P23" s="11">
        <f>IF($O23&lt;&gt;"",$O23,$AO23)</f>
        <v/>
      </c>
      <c r="Q23" s="10" t="n">
        <v>38.49</v>
      </c>
      <c r="R23" s="10" t="n">
        <v>27.53</v>
      </c>
      <c r="S23" s="10" t="n">
        <v>0.48</v>
      </c>
      <c r="T23" s="10" t="inlineStr"/>
      <c r="U23" s="10" t="inlineStr"/>
      <c r="V23" s="10" t="n">
        <v>99.28</v>
      </c>
      <c r="W23" s="10" t="n">
        <v>46.57</v>
      </c>
      <c r="X23" s="9" t="n">
        <v>60</v>
      </c>
      <c r="Y23" s="10" t="n">
        <v>88</v>
      </c>
      <c r="Z23" s="10" t="n">
        <v>106.71</v>
      </c>
      <c r="AA23" s="10" t="n">
        <v>32.9</v>
      </c>
      <c r="AB23" s="10" t="n">
        <v>51.27</v>
      </c>
      <c r="AC23" s="10" t="n">
        <v>20</v>
      </c>
      <c r="AD23" s="10" t="n">
        <v>48.68</v>
      </c>
      <c r="AE23" s="10" t="n">
        <v>3.09</v>
      </c>
      <c r="AF23" s="10" t="n">
        <v>5.21</v>
      </c>
      <c r="AG23" s="10" t="n">
        <v>0.8100000000000001</v>
      </c>
      <c r="AH23" s="10" t="n">
        <v>1.38</v>
      </c>
      <c r="AI23" s="10" t="inlineStr"/>
      <c r="AJ23" s="11">
        <f>IFERROR(INDEX(Country_Context!$B$2:$B$87,MATCH($C23,Country_Context!$A$2:$A$87,0)),"")</f>
        <v/>
      </c>
      <c r="AK23" s="11">
        <f>IFERROR(INDEX(Country_Context!$C$2:$C$87,MATCH($C23,Country_Context!$A$2:$A$87,0)),"")</f>
        <v/>
      </c>
      <c r="AL23" s="11">
        <f>IFERROR(INDEX(Country_Context!$D$2:$D$87,MATCH($C23,Country_Context!$A$2:$A$87,0)),"")</f>
        <v/>
      </c>
      <c r="AM23" s="11">
        <f>IFERROR(INDEX(Country_Context!$E$2:$E$87,MATCH($C23,Country_Context!$A$2:$A$87,0)),"")</f>
        <v/>
      </c>
      <c r="AN23" s="11">
        <f>IFERROR(INDEX(Country_Context!$F$2:$F$87,MATCH($C23,Country_Context!$A$2:$A$87,0)),"")</f>
        <v/>
      </c>
      <c r="AO23" s="11">
        <f>IFERROR(INDEX(Country_Context!$G$2:$G$87,MATCH($C23,Country_Context!$A$2:$A$87,0)),"")</f>
        <v/>
      </c>
      <c r="AP23" s="12" t="inlineStr">
        <is>
          <t>https://api.worldbank.org/v2/country/KOR/indicator/NY.GNP.PCAP.PP.CD?format=json&amp;mrv=10 | https://data.worldbank.org/indicator/NY.GNP.PCAP.PP.CD | https://ilostat.ilo.org/data/indicator/?id=HOW_TEMP_SEX_ECO_NB_A&amp;ref_area=KOR | +4 more</t>
        </is>
      </c>
      <c r="AQ23" s="12" t="inlineStr">
        <is>
          <t>Tier 3, Tier 4</t>
        </is>
      </c>
      <c r="AR23" s="12" t="inlineStr">
        <is>
          <t>2025-12-31</t>
        </is>
      </c>
      <c r="AS23" s="12" t="inlineStr">
        <is>
          <t>providers=world_bank_col_estimate, derived, ilo_ilostat, who_gho; fields=gross_income, rent, utilities, transit_cost; +9 additional fields</t>
        </is>
      </c>
      <c r="AT23" s="12" t="inlineStr">
        <is>
          <t>https://api.worldbank.org/v2/country/KOR/indicator/VC.IHR.PSRC.P5?format=json&amp;mrv=10 | https://api.worldbank.org/v2/country/KOR/indicator/SH.H2O.SMDW.ZS?format=json&amp;mrv=10 | https://api.worldbank.org/v2/country/KOR/indicator/IT.NET.BBND.P2?format=json&amp;mrv=10 | +1 more</t>
        </is>
      </c>
      <c r="AU23" s="12" t="inlineStr">
        <is>
          <t>Tier 3</t>
        </is>
      </c>
      <c r="AV23" s="12" t="inlineStr">
        <is>
          <t>2024-12-31</t>
        </is>
      </c>
      <c r="AW23" s="12" t="inlineStr">
        <is>
          <t>providers=world_bank, wmo_natl_met; fields=personal_safety_raw, water_sanitation_utility_raw, digital_infrastructure_raw, climate_sunlight_livability_raw</t>
        </is>
      </c>
      <c r="AX23" s="12" t="inlineStr">
        <is>
          <t>https://www.who.int/data/gho/data/indicators/indicator-details/GHO/UHC_INDEX_REPORTED | https://api.worldbank.org/v2/country/KOR/indicator/SE.TER.ENRR?format=json&amp;mrv=10 | https://api.worldbank.org/v2/country/KOR/indicator/SI.POV.GINI?format=json&amp;mrv=10 | +1 more</t>
        </is>
      </c>
      <c r="AY23" s="12" t="inlineStr">
        <is>
          <t>Tier 3</t>
        </is>
      </c>
      <c r="AZ23" s="12" t="inlineStr">
        <is>
          <t>2023-12-31</t>
        </is>
      </c>
      <c r="BA23" s="12" t="inlineStr">
        <is>
          <t>providers=who_gho, world_bank; fields=healthcare_quality_raw, education_quality_raw, equal_opportunity_raw, gini_coefficient</t>
        </is>
      </c>
      <c r="BB23" s="12" t="inlineStr">
        <is>
          <t>https://api.worldbank.org/v2/country/KOR/indicator/SM.POP.NETM?format=json&amp;mrv=10 | https://api.worldbank.org/v2/country/KOR/indicator/SG.GEN.PARL.ZS?format=json&amp;mrv=10 | https://api.worldbank.org/v2/country/KOR/indicator/ST.INT.ARVL?format=json&amp;mrv=10 | +1 more</t>
        </is>
      </c>
      <c r="BC23" s="12" t="inlineStr">
        <is>
          <t>Tier 3</t>
        </is>
      </c>
      <c r="BD23" s="12" t="inlineStr">
        <is>
          <t>2025-12-31</t>
        </is>
      </c>
      <c r="BE23" s="12" t="inlineStr">
        <is>
          <t>providers=world_bank; fields=hospitality_belonging_raw, tolerance_pluralism_raw, cultural_public_life_raw, birth_rate_optimism_raw</t>
        </is>
      </c>
      <c r="BF23" s="12" t="inlineStr">
        <is>
          <t>https://api.worldbank.org/v2/country/KOR/indicator/IC.BUS.NDNS.ZS?format=json&amp;mrv=10 | https://api.worldbank.org/v2/country/KOR/indicator/GB.XPD.RSDV.GD.ZS?format=json&amp;mrv=10 | https://api.worldbank.org/v2/country/KOR/indicator/BX.KLT.DINV.WD.GD.ZS?format=json&amp;mrv=10 | +3 more</t>
        </is>
      </c>
      <c r="BG23" s="12" t="inlineStr">
        <is>
          <t>Tier 3</t>
        </is>
      </c>
      <c r="BH23" s="12" t="inlineStr">
        <is>
          <t>2024-12-31</t>
        </is>
      </c>
      <c r="BI23" s="12" t="inlineStr">
        <is>
          <t>providers=world_bank; fields=entrepreneurial_dynamism_raw, innovation_research_intensity_raw, investment_signal_raw, administrative_investment_friction_raw; +2 additional fields</t>
        </is>
      </c>
      <c r="BJ23" s="9" t="n">
        <v>0.72</v>
      </c>
    </row>
    <row r="24">
      <c r="A24" s="9" t="inlineStr">
        <is>
          <t>jp-fukuoka</t>
        </is>
      </c>
      <c r="B24" s="9" t="inlineStr">
        <is>
          <t>Fukuoka</t>
        </is>
      </c>
      <c r="C24" s="9" t="inlineStr">
        <is>
          <t>Japan</t>
        </is>
      </c>
      <c r="D24" s="9" t="inlineStr">
        <is>
          <t>East Asia</t>
        </is>
      </c>
      <c r="E24" s="9" t="inlineStr">
        <is>
          <t>secondary</t>
        </is>
      </c>
      <c r="F24" s="9" t="inlineStr">
        <is>
          <t>locked</t>
        </is>
      </c>
      <c r="G24" s="10" t="n">
        <v>3930.54</v>
      </c>
      <c r="H24" s="10" t="n">
        <v>786.11</v>
      </c>
      <c r="I24" s="10" t="n">
        <v>188.67</v>
      </c>
      <c r="J24" s="10" t="n">
        <v>125.78</v>
      </c>
      <c r="K24" s="10" t="n">
        <v>47.17</v>
      </c>
      <c r="L24" s="10" t="n">
        <v>628.89</v>
      </c>
      <c r="M24" s="11" t="inlineStr"/>
      <c r="N24" s="10" t="n">
        <v>20.0001</v>
      </c>
      <c r="O24" s="10" t="n">
        <v>123.1289</v>
      </c>
      <c r="P24" s="11">
        <f>IF($O24&lt;&gt;"",$O24,$AO24)</f>
        <v/>
      </c>
      <c r="Q24" s="10" t="n">
        <v>36.6</v>
      </c>
      <c r="R24" s="10" t="n">
        <v>17.43</v>
      </c>
      <c r="S24" s="10" t="n">
        <v>0.23</v>
      </c>
      <c r="T24" s="10" t="inlineStr"/>
      <c r="U24" s="10" t="inlineStr"/>
      <c r="V24" s="10" t="n">
        <v>98.73</v>
      </c>
      <c r="W24" s="10" t="n">
        <v>38.63</v>
      </c>
      <c r="X24" s="9" t="n">
        <v>67</v>
      </c>
      <c r="Y24" s="10" t="n">
        <v>86</v>
      </c>
      <c r="Z24" s="10" t="n">
        <v>64.89</v>
      </c>
      <c r="AA24" s="10" t="n">
        <v>32.3</v>
      </c>
      <c r="AB24" s="10" t="n">
        <v>51.13</v>
      </c>
      <c r="AC24" s="10" t="n">
        <v>15.7</v>
      </c>
      <c r="AD24" s="10" t="n">
        <v>33.2</v>
      </c>
      <c r="AE24" s="10" t="n">
        <v>0.51</v>
      </c>
      <c r="AF24" s="10" t="n">
        <v>3.41</v>
      </c>
      <c r="AG24" s="10" t="n">
        <v>0.4</v>
      </c>
      <c r="AH24" s="10" t="n">
        <v>1.03</v>
      </c>
      <c r="AI24" s="10" t="inlineStr"/>
      <c r="AJ24" s="11">
        <f>IFERROR(INDEX(Country_Context!$B$2:$B$87,MATCH($C24,Country_Context!$A$2:$A$87,0)),"")</f>
        <v/>
      </c>
      <c r="AK24" s="11">
        <f>IFERROR(INDEX(Country_Context!$C$2:$C$87,MATCH($C24,Country_Context!$A$2:$A$87,0)),"")</f>
        <v/>
      </c>
      <c r="AL24" s="11">
        <f>IFERROR(INDEX(Country_Context!$D$2:$D$87,MATCH($C24,Country_Context!$A$2:$A$87,0)),"")</f>
        <v/>
      </c>
      <c r="AM24" s="11">
        <f>IFERROR(INDEX(Country_Context!$E$2:$E$87,MATCH($C24,Country_Context!$A$2:$A$87,0)),"")</f>
        <v/>
      </c>
      <c r="AN24" s="11">
        <f>IFERROR(INDEX(Country_Context!$F$2:$F$87,MATCH($C24,Country_Context!$A$2:$A$87,0)),"")</f>
        <v/>
      </c>
      <c r="AO24" s="11">
        <f>IFERROR(INDEX(Country_Context!$G$2:$G$87,MATCH($C24,Country_Context!$A$2:$A$87,0)),"")</f>
        <v/>
      </c>
      <c r="AP24" s="12" t="inlineStr">
        <is>
          <t>https://api.worldbank.org/v2/country/JPN/indicator/NY.GNP.PCAP.PP.CD?format=json&amp;mrv=10 | https://data.worldbank.org/indicator/NY.GNP.PCAP.PP.CD | https://ilostat.ilo.org/data/indicator/?id=HOW_TEMP_SEX_ECO_NB_A&amp;ref_area=JPN | +3 more</t>
        </is>
      </c>
      <c r="AQ24" s="12" t="inlineStr">
        <is>
          <t>Tier 3, Tier 4</t>
        </is>
      </c>
      <c r="AR24" s="12" t="inlineStr">
        <is>
          <t>2024-12-31</t>
        </is>
      </c>
      <c r="AS24" s="12" t="inlineStr">
        <is>
          <t>providers=world_bank_col_estimate, derived, ilo_ilostat, who_gho; fields=gross_income, rent, utilities, transit_cost; +8 additional fields</t>
        </is>
      </c>
      <c r="AT24" s="12" t="inlineStr">
        <is>
          <t>https://api.worldbank.org/v2/country/JPN/indicator/VC.IHR.PSRC.P5?format=json&amp;mrv=10 | https://api.worldbank.org/v2/country/JPN/indicator/SH.H2O.SMDW.ZS?format=json&amp;mrv=10 | https://api.worldbank.org/v2/country/JPN/indicator/IT.NET.BBND.P2?format=json&amp;mrv=10 | +1 more</t>
        </is>
      </c>
      <c r="AU24" s="12" t="inlineStr">
        <is>
          <t>Tier 3</t>
        </is>
      </c>
      <c r="AV24" s="12" t="inlineStr">
        <is>
          <t>2024-12-31</t>
        </is>
      </c>
      <c r="AW24" s="12" t="inlineStr">
        <is>
          <t>providers=world_bank, wmo_natl_met; fields=personal_safety_raw, water_sanitation_utility_raw, digital_infrastructure_raw, climate_sunlight_livability_raw</t>
        </is>
      </c>
      <c r="AX24" s="12" t="inlineStr">
        <is>
          <t>https://www.who.int/data/gho/data/indicators/indicator-details/GHO/UHC_INDEX_REPORTED | https://api.worldbank.org/v2/country/JPN/indicator/SE.TER.ENRR?format=json&amp;mrv=10 | https://api.worldbank.org/v2/country/JPN/indicator/SI.POV.GINI?format=json&amp;mrv=10 | +1 more</t>
        </is>
      </c>
      <c r="AY24" s="12" t="inlineStr">
        <is>
          <t>Tier 3</t>
        </is>
      </c>
      <c r="AZ24" s="12" t="inlineStr">
        <is>
          <t>2023-12-31</t>
        </is>
      </c>
      <c r="BA24" s="12" t="inlineStr">
        <is>
          <t>providers=who_gho, world_bank; fields=healthcare_quality_raw, education_quality_raw, equal_opportunity_raw, gini_coefficient</t>
        </is>
      </c>
      <c r="BB24" s="12" t="inlineStr">
        <is>
          <t>https://api.worldbank.org/v2/country/JPN/indicator/SM.POP.NETM?format=json&amp;mrv=10 | https://api.worldbank.org/v2/country/JPN/indicator/SG.GEN.PARL.ZS?format=json&amp;mrv=10 | https://api.worldbank.org/v2/country/JPN/indicator/ST.INT.ARVL?format=json&amp;mrv=10 | +1 more</t>
        </is>
      </c>
      <c r="BC24" s="12" t="inlineStr">
        <is>
          <t>Tier 3</t>
        </is>
      </c>
      <c r="BD24" s="12" t="inlineStr">
        <is>
          <t>2025-12-31</t>
        </is>
      </c>
      <c r="BE24" s="12" t="inlineStr">
        <is>
          <t>providers=world_bank; fields=hospitality_belonging_raw, tolerance_pluralism_raw, cultural_public_life_raw, birth_rate_optimism_raw</t>
        </is>
      </c>
      <c r="BF24" s="12" t="inlineStr">
        <is>
          <t>https://api.worldbank.org/v2/country/JPN/indicator/IC.BUS.NDNS.ZS?format=json&amp;mrv=10 | https://api.worldbank.org/v2/country/JPN/indicator/GB.XPD.RSDV.GD.ZS?format=json&amp;mrv=10 | https://api.worldbank.org/v2/country/JPN/indicator/BX.KLT.DINV.WD.GD.ZS?format=json&amp;mrv=10 | +3 more</t>
        </is>
      </c>
      <c r="BG24" s="12" t="inlineStr">
        <is>
          <t>Tier 3</t>
        </is>
      </c>
      <c r="BH24" s="12" t="inlineStr">
        <is>
          <t>2024-12-31</t>
        </is>
      </c>
      <c r="BI24" s="12" t="inlineStr">
        <is>
          <t>providers=world_bank; fields=entrepreneurial_dynamism_raw, innovation_research_intensity_raw, investment_signal_raw, administrative_investment_friction_raw; +2 additional fields</t>
        </is>
      </c>
      <c r="BJ24" s="9" t="n">
        <v>1.2</v>
      </c>
    </row>
    <row r="25">
      <c r="A25" s="9" t="inlineStr">
        <is>
          <t>jp-kobe</t>
        </is>
      </c>
      <c r="B25" s="9" t="inlineStr">
        <is>
          <t>Kobe</t>
        </is>
      </c>
      <c r="C25" s="9" t="inlineStr">
        <is>
          <t>Japan</t>
        </is>
      </c>
      <c r="D25" s="9" t="inlineStr">
        <is>
          <t>East Asia</t>
        </is>
      </c>
      <c r="E25" s="9" t="inlineStr">
        <is>
          <t>secondary</t>
        </is>
      </c>
      <c r="F25" s="9" t="inlineStr">
        <is>
          <t>locked</t>
        </is>
      </c>
      <c r="G25" s="10" t="n">
        <v>4161.75</v>
      </c>
      <c r="H25" s="10" t="n">
        <v>884.37</v>
      </c>
      <c r="I25" s="10" t="n">
        <v>212.25</v>
      </c>
      <c r="J25" s="10" t="n">
        <v>141.5</v>
      </c>
      <c r="K25" s="10" t="n">
        <v>53.06</v>
      </c>
      <c r="L25" s="10" t="n">
        <v>707.5</v>
      </c>
      <c r="M25" s="11" t="inlineStr"/>
      <c r="N25" s="10" t="n">
        <v>21.25</v>
      </c>
      <c r="O25" s="10" t="n">
        <v>123.1289</v>
      </c>
      <c r="P25" s="11">
        <f>IF($O25&lt;&gt;"",$O25,$AO25)</f>
        <v/>
      </c>
      <c r="Q25" s="10" t="n">
        <v>36.6</v>
      </c>
      <c r="R25" s="10" t="n">
        <v>17.43</v>
      </c>
      <c r="S25" s="10" t="n">
        <v>0.23</v>
      </c>
      <c r="T25" s="10" t="inlineStr"/>
      <c r="U25" s="10" t="inlineStr"/>
      <c r="V25" s="10" t="n">
        <v>98.73</v>
      </c>
      <c r="W25" s="10" t="n">
        <v>38.63</v>
      </c>
      <c r="X25" s="9" t="inlineStr"/>
      <c r="Y25" s="10" t="n">
        <v>86</v>
      </c>
      <c r="Z25" s="10" t="n">
        <v>64.89</v>
      </c>
      <c r="AA25" s="10" t="n">
        <v>32.3</v>
      </c>
      <c r="AB25" s="10" t="n">
        <v>51.13</v>
      </c>
      <c r="AC25" s="10" t="n">
        <v>15.7</v>
      </c>
      <c r="AD25" s="10" t="n">
        <v>33.2</v>
      </c>
      <c r="AE25" s="10" t="n">
        <v>0.51</v>
      </c>
      <c r="AF25" s="10" t="n">
        <v>3.41</v>
      </c>
      <c r="AG25" s="10" t="n">
        <v>0.4</v>
      </c>
      <c r="AH25" s="10" t="n">
        <v>1.03</v>
      </c>
      <c r="AI25" s="10" t="inlineStr"/>
      <c r="AJ25" s="11">
        <f>IFERROR(INDEX(Country_Context!$B$2:$B$87,MATCH($C25,Country_Context!$A$2:$A$87,0)),"")</f>
        <v/>
      </c>
      <c r="AK25" s="11">
        <f>IFERROR(INDEX(Country_Context!$C$2:$C$87,MATCH($C25,Country_Context!$A$2:$A$87,0)),"")</f>
        <v/>
      </c>
      <c r="AL25" s="11">
        <f>IFERROR(INDEX(Country_Context!$D$2:$D$87,MATCH($C25,Country_Context!$A$2:$A$87,0)),"")</f>
        <v/>
      </c>
      <c r="AM25" s="11">
        <f>IFERROR(INDEX(Country_Context!$E$2:$E$87,MATCH($C25,Country_Context!$A$2:$A$87,0)),"")</f>
        <v/>
      </c>
      <c r="AN25" s="11">
        <f>IFERROR(INDEX(Country_Context!$F$2:$F$87,MATCH($C25,Country_Context!$A$2:$A$87,0)),"")</f>
        <v/>
      </c>
      <c r="AO25" s="11">
        <f>IFERROR(INDEX(Country_Context!$G$2:$G$87,MATCH($C25,Country_Context!$A$2:$A$87,0)),"")</f>
        <v/>
      </c>
      <c r="AP25" s="12" t="inlineStr">
        <is>
          <t>https://api.worldbank.org/v2/country/JPN/indicator/NY.GNP.PCAP.PP.CD?format=json&amp;mrv=10 | https://data.worldbank.org/indicator/NY.GNP.PCAP.PP.CD | https://ilostat.ilo.org/data/indicator/?id=HOW_TEMP_SEX_ECO_NB_A&amp;ref_area=JPN | +3 more</t>
        </is>
      </c>
      <c r="AQ25" s="12" t="inlineStr">
        <is>
          <t>Tier 3, Tier 4</t>
        </is>
      </c>
      <c r="AR25" s="12" t="inlineStr">
        <is>
          <t>2024-12-31</t>
        </is>
      </c>
      <c r="AS25" s="12" t="inlineStr">
        <is>
          <t>providers=world_bank_col_estimate, derived, ilo_ilostat, who_gho; fields=gross_income, rent, utilities, transit_cost; +8 additional fields</t>
        </is>
      </c>
      <c r="AT25" s="12" t="inlineStr">
        <is>
          <t>https://api.worldbank.org/v2/country/JPN/indicator/VC.IHR.PSRC.P5?format=json&amp;mrv=10 | https://api.worldbank.org/v2/country/JPN/indicator/SH.H2O.SMDW.ZS?format=json&amp;mrv=10 | https://api.worldbank.org/v2/country/JPN/indicator/IT.NET.BBND.P2?format=json&amp;mrv=10</t>
        </is>
      </c>
      <c r="AU25" s="12" t="inlineStr">
        <is>
          <t>Tier 3</t>
        </is>
      </c>
      <c r="AV25" s="12" t="inlineStr">
        <is>
          <t>2024-12-31</t>
        </is>
      </c>
      <c r="AW25" s="12" t="inlineStr">
        <is>
          <t>providers=world_bank; fields=personal_safety_raw, water_sanitation_utility_raw, digital_infrastructure_raw</t>
        </is>
      </c>
      <c r="AX25" s="12" t="inlineStr">
        <is>
          <t>https://www.who.int/data/gho/data/indicators/indicator-details/GHO/UHC_INDEX_REPORTED | https://api.worldbank.org/v2/country/JPN/indicator/SE.TER.ENRR?format=json&amp;mrv=10 | https://api.worldbank.org/v2/country/JPN/indicator/SI.POV.GINI?format=json&amp;mrv=10 | +1 more</t>
        </is>
      </c>
      <c r="AY25" s="12" t="inlineStr">
        <is>
          <t>Tier 3</t>
        </is>
      </c>
      <c r="AZ25" s="12" t="inlineStr">
        <is>
          <t>2023-12-31</t>
        </is>
      </c>
      <c r="BA25" s="12" t="inlineStr">
        <is>
          <t>providers=who_gho, world_bank; fields=healthcare_quality_raw, education_quality_raw, equal_opportunity_raw, gini_coefficient</t>
        </is>
      </c>
      <c r="BB25" s="12" t="inlineStr">
        <is>
          <t>https://api.worldbank.org/v2/country/JPN/indicator/SM.POP.NETM?format=json&amp;mrv=10 | https://api.worldbank.org/v2/country/JPN/indicator/SG.GEN.PARL.ZS?format=json&amp;mrv=10 | https://api.worldbank.org/v2/country/JPN/indicator/ST.INT.ARVL?format=json&amp;mrv=10 | +1 more</t>
        </is>
      </c>
      <c r="BC25" s="12" t="inlineStr">
        <is>
          <t>Tier 3</t>
        </is>
      </c>
      <c r="BD25" s="12" t="inlineStr">
        <is>
          <t>2025-12-31</t>
        </is>
      </c>
      <c r="BE25" s="12" t="inlineStr">
        <is>
          <t>providers=world_bank; fields=hospitality_belonging_raw, tolerance_pluralism_raw, cultural_public_life_raw, birth_rate_optimism_raw</t>
        </is>
      </c>
      <c r="BF25" s="12" t="inlineStr">
        <is>
          <t>https://api.worldbank.org/v2/country/JPN/indicator/IC.BUS.NDNS.ZS?format=json&amp;mrv=10 | https://api.worldbank.org/v2/country/JPN/indicator/GB.XPD.RSDV.GD.ZS?format=json&amp;mrv=10 | https://api.worldbank.org/v2/country/JPN/indicator/BX.KLT.DINV.WD.GD.ZS?format=json&amp;mrv=10 | +3 more</t>
        </is>
      </c>
      <c r="BG25" s="12" t="inlineStr">
        <is>
          <t>Tier 3</t>
        </is>
      </c>
      <c r="BH25" s="12" t="inlineStr">
        <is>
          <t>2024-12-31</t>
        </is>
      </c>
      <c r="BI25" s="12" t="inlineStr">
        <is>
          <t>providers=world_bank; fields=entrepreneurial_dynamism_raw, innovation_research_intensity_raw, investment_signal_raw, administrative_investment_friction_raw; +2 additional fields</t>
        </is>
      </c>
      <c r="BJ25" s="9" t="n">
        <v>1.2</v>
      </c>
    </row>
    <row r="26">
      <c r="A26" s="9" t="inlineStr">
        <is>
          <t>jp-sapporo</t>
        </is>
      </c>
      <c r="B26" s="9" t="inlineStr">
        <is>
          <t>Sapporo</t>
        </is>
      </c>
      <c r="C26" s="9" t="inlineStr">
        <is>
          <t>Japan</t>
        </is>
      </c>
      <c r="D26" s="9" t="inlineStr">
        <is>
          <t>East Asia</t>
        </is>
      </c>
      <c r="E26" s="9" t="inlineStr">
        <is>
          <t>secondary</t>
        </is>
      </c>
      <c r="F26" s="9" t="inlineStr">
        <is>
          <t>locked</t>
        </is>
      </c>
      <c r="G26" s="10" t="n">
        <v>3930.54</v>
      </c>
      <c r="H26" s="10" t="n">
        <v>786.11</v>
      </c>
      <c r="I26" s="10" t="n">
        <v>188.67</v>
      </c>
      <c r="J26" s="10" t="n">
        <v>125.78</v>
      </c>
      <c r="K26" s="10" t="n">
        <v>47.17</v>
      </c>
      <c r="L26" s="10" t="n">
        <v>628.89</v>
      </c>
      <c r="M26" s="11" t="inlineStr"/>
      <c r="N26" s="10" t="n">
        <v>20.0001</v>
      </c>
      <c r="O26" s="10" t="n">
        <v>123.1289</v>
      </c>
      <c r="P26" s="11">
        <f>IF($O26&lt;&gt;"",$O26,$AO26)</f>
        <v/>
      </c>
      <c r="Q26" s="10" t="n">
        <v>36.6</v>
      </c>
      <c r="R26" s="10" t="n">
        <v>17.43</v>
      </c>
      <c r="S26" s="10" t="n">
        <v>0.23</v>
      </c>
      <c r="T26" s="10" t="inlineStr"/>
      <c r="U26" s="10" t="inlineStr"/>
      <c r="V26" s="10" t="n">
        <v>98.73</v>
      </c>
      <c r="W26" s="10" t="n">
        <v>38.63</v>
      </c>
      <c r="X26" s="9" t="n">
        <v>50</v>
      </c>
      <c r="Y26" s="10" t="n">
        <v>86</v>
      </c>
      <c r="Z26" s="10" t="n">
        <v>64.89</v>
      </c>
      <c r="AA26" s="10" t="n">
        <v>32.3</v>
      </c>
      <c r="AB26" s="10" t="n">
        <v>51.13</v>
      </c>
      <c r="AC26" s="10" t="n">
        <v>15.7</v>
      </c>
      <c r="AD26" s="10" t="n">
        <v>33.2</v>
      </c>
      <c r="AE26" s="10" t="n">
        <v>0.51</v>
      </c>
      <c r="AF26" s="10" t="n">
        <v>3.41</v>
      </c>
      <c r="AG26" s="10" t="n">
        <v>0.4</v>
      </c>
      <c r="AH26" s="10" t="n">
        <v>1.03</v>
      </c>
      <c r="AI26" s="10" t="inlineStr"/>
      <c r="AJ26" s="11">
        <f>IFERROR(INDEX(Country_Context!$B$2:$B$87,MATCH($C26,Country_Context!$A$2:$A$87,0)),"")</f>
        <v/>
      </c>
      <c r="AK26" s="11">
        <f>IFERROR(INDEX(Country_Context!$C$2:$C$87,MATCH($C26,Country_Context!$A$2:$A$87,0)),"")</f>
        <v/>
      </c>
      <c r="AL26" s="11">
        <f>IFERROR(INDEX(Country_Context!$D$2:$D$87,MATCH($C26,Country_Context!$A$2:$A$87,0)),"")</f>
        <v/>
      </c>
      <c r="AM26" s="11">
        <f>IFERROR(INDEX(Country_Context!$E$2:$E$87,MATCH($C26,Country_Context!$A$2:$A$87,0)),"")</f>
        <v/>
      </c>
      <c r="AN26" s="11">
        <f>IFERROR(INDEX(Country_Context!$F$2:$F$87,MATCH($C26,Country_Context!$A$2:$A$87,0)),"")</f>
        <v/>
      </c>
      <c r="AO26" s="11">
        <f>IFERROR(INDEX(Country_Context!$G$2:$G$87,MATCH($C26,Country_Context!$A$2:$A$87,0)),"")</f>
        <v/>
      </c>
      <c r="AP26" s="12" t="inlineStr">
        <is>
          <t>https://api.worldbank.org/v2/country/JPN/indicator/NY.GNP.PCAP.PP.CD?format=json&amp;mrv=10 | https://data.worldbank.org/indicator/NY.GNP.PCAP.PP.CD | https://ilostat.ilo.org/data/indicator/?id=HOW_TEMP_SEX_ECO_NB_A&amp;ref_area=JPN | +3 more</t>
        </is>
      </c>
      <c r="AQ26" s="12" t="inlineStr">
        <is>
          <t>Tier 3, Tier 4</t>
        </is>
      </c>
      <c r="AR26" s="12" t="inlineStr">
        <is>
          <t>2024-12-31</t>
        </is>
      </c>
      <c r="AS26" s="12" t="inlineStr">
        <is>
          <t>providers=world_bank_col_estimate, derived, ilo_ilostat, who_gho; fields=gross_income, rent, utilities, transit_cost; +8 additional fields</t>
        </is>
      </c>
      <c r="AT26" s="12" t="inlineStr">
        <is>
          <t>https://api.worldbank.org/v2/country/JPN/indicator/VC.IHR.PSRC.P5?format=json&amp;mrv=10 | https://api.worldbank.org/v2/country/JPN/indicator/SH.H2O.SMDW.ZS?format=json&amp;mrv=10 | https://api.worldbank.org/v2/country/JPN/indicator/IT.NET.BBND.P2?format=json&amp;mrv=10 | +1 more</t>
        </is>
      </c>
      <c r="AU26" s="12" t="inlineStr">
        <is>
          <t>Tier 3</t>
        </is>
      </c>
      <c r="AV26" s="12" t="inlineStr">
        <is>
          <t>2024-12-31</t>
        </is>
      </c>
      <c r="AW26" s="12" t="inlineStr">
        <is>
          <t>providers=world_bank, wmo_natl_met; fields=personal_safety_raw, water_sanitation_utility_raw, digital_infrastructure_raw, climate_sunlight_livability_raw</t>
        </is>
      </c>
      <c r="AX26" s="12" t="inlineStr">
        <is>
          <t>https://www.who.int/data/gho/data/indicators/indicator-details/GHO/UHC_INDEX_REPORTED | https://api.worldbank.org/v2/country/JPN/indicator/SE.TER.ENRR?format=json&amp;mrv=10 | https://api.worldbank.org/v2/country/JPN/indicator/SI.POV.GINI?format=json&amp;mrv=10 | +1 more</t>
        </is>
      </c>
      <c r="AY26" s="12" t="inlineStr">
        <is>
          <t>Tier 3</t>
        </is>
      </c>
      <c r="AZ26" s="12" t="inlineStr">
        <is>
          <t>2023-12-31</t>
        </is>
      </c>
      <c r="BA26" s="12" t="inlineStr">
        <is>
          <t>providers=who_gho, world_bank; fields=healthcare_quality_raw, education_quality_raw, equal_opportunity_raw, gini_coefficient</t>
        </is>
      </c>
      <c r="BB26" s="12" t="inlineStr">
        <is>
          <t>https://api.worldbank.org/v2/country/JPN/indicator/SM.POP.NETM?format=json&amp;mrv=10 | https://api.worldbank.org/v2/country/JPN/indicator/SG.GEN.PARL.ZS?format=json&amp;mrv=10 | https://api.worldbank.org/v2/country/JPN/indicator/ST.INT.ARVL?format=json&amp;mrv=10 | +1 more</t>
        </is>
      </c>
      <c r="BC26" s="12" t="inlineStr">
        <is>
          <t>Tier 3</t>
        </is>
      </c>
      <c r="BD26" s="12" t="inlineStr">
        <is>
          <t>2025-12-31</t>
        </is>
      </c>
      <c r="BE26" s="12" t="inlineStr">
        <is>
          <t>providers=world_bank; fields=hospitality_belonging_raw, tolerance_pluralism_raw, cultural_public_life_raw, birth_rate_optimism_raw</t>
        </is>
      </c>
      <c r="BF26" s="12" t="inlineStr">
        <is>
          <t>https://api.worldbank.org/v2/country/JPN/indicator/IC.BUS.NDNS.ZS?format=json&amp;mrv=10 | https://api.worldbank.org/v2/country/JPN/indicator/GB.XPD.RSDV.GD.ZS?format=json&amp;mrv=10 | https://api.worldbank.org/v2/country/JPN/indicator/BX.KLT.DINV.WD.GD.ZS?format=json&amp;mrv=10 | +3 more</t>
        </is>
      </c>
      <c r="BG26" s="12" t="inlineStr">
        <is>
          <t>Tier 3</t>
        </is>
      </c>
      <c r="BH26" s="12" t="inlineStr">
        <is>
          <t>2024-12-31</t>
        </is>
      </c>
      <c r="BI26" s="12" t="inlineStr">
        <is>
          <t>providers=world_bank; fields=entrepreneurial_dynamism_raw, innovation_research_intensity_raw, investment_signal_raw, administrative_investment_friction_raw; +2 additional fields</t>
        </is>
      </c>
      <c r="BJ26" s="9" t="n">
        <v>1.2</v>
      </c>
    </row>
    <row r="27">
      <c r="A27" s="9" t="inlineStr">
        <is>
          <t>cn-tianjin</t>
        </is>
      </c>
      <c r="B27" s="9" t="inlineStr">
        <is>
          <t>Tianjin</t>
        </is>
      </c>
      <c r="C27" s="9" t="inlineStr">
        <is>
          <t>China</t>
        </is>
      </c>
      <c r="D27" s="9" t="inlineStr">
        <is>
          <t>East Asia</t>
        </is>
      </c>
      <c r="E27" s="9" t="inlineStr">
        <is>
          <t>secondary</t>
        </is>
      </c>
      <c r="F27" s="9" t="inlineStr">
        <is>
          <t>provisional</t>
        </is>
      </c>
      <c r="G27" s="10" t="n">
        <v>2131.17</v>
      </c>
      <c r="H27" s="10" t="n">
        <v>452.87</v>
      </c>
      <c r="I27" s="10" t="n">
        <v>108.69</v>
      </c>
      <c r="J27" s="10" t="n">
        <v>72.45999999999999</v>
      </c>
      <c r="K27" s="10" t="n">
        <v>27.17</v>
      </c>
      <c r="L27" s="10" t="n">
        <v>362.3</v>
      </c>
      <c r="M27" s="11" t="inlineStr"/>
      <c r="N27" s="10" t="n">
        <v>21.2498</v>
      </c>
      <c r="O27" s="10" t="n">
        <v>194.166</v>
      </c>
      <c r="P27" s="11">
        <f>IF($O27&lt;&gt;"",$O27,$AO27)</f>
        <v/>
      </c>
      <c r="Q27" s="10" t="inlineStr"/>
      <c r="R27" s="10" t="n">
        <v>8.949999999999999</v>
      </c>
      <c r="S27" s="10" t="n">
        <v>0.5</v>
      </c>
      <c r="T27" s="10" t="inlineStr"/>
      <c r="U27" s="10" t="inlineStr"/>
      <c r="V27" s="10" t="inlineStr"/>
      <c r="W27" s="10" t="n">
        <v>44.73</v>
      </c>
      <c r="X27" s="9" t="n">
        <v>52</v>
      </c>
      <c r="Y27" s="10" t="n">
        <v>85</v>
      </c>
      <c r="Z27" s="10" t="n">
        <v>76.88</v>
      </c>
      <c r="AA27" s="10" t="n">
        <v>36</v>
      </c>
      <c r="AB27" s="10" t="n">
        <v>49.81</v>
      </c>
      <c r="AC27" s="10" t="n">
        <v>26.54</v>
      </c>
      <c r="AD27" s="10" t="n">
        <v>21.58</v>
      </c>
      <c r="AE27" s="10" t="n">
        <v>8.58</v>
      </c>
      <c r="AF27" s="10" t="n">
        <v>2.56</v>
      </c>
      <c r="AG27" s="10" t="n">
        <v>0.1</v>
      </c>
      <c r="AH27" s="10" t="n">
        <v>2.86</v>
      </c>
      <c r="AI27" s="10" t="inlineStr"/>
      <c r="AJ27" s="11">
        <f>IFERROR(INDEX(Country_Context!$B$2:$B$87,MATCH($C27,Country_Context!$A$2:$A$87,0)),"")</f>
        <v/>
      </c>
      <c r="AK27" s="11">
        <f>IFERROR(INDEX(Country_Context!$C$2:$C$87,MATCH($C27,Country_Context!$A$2:$A$87,0)),"")</f>
        <v/>
      </c>
      <c r="AL27" s="11">
        <f>IFERROR(INDEX(Country_Context!$D$2:$D$87,MATCH($C27,Country_Context!$A$2:$A$87,0)),"")</f>
        <v/>
      </c>
      <c r="AM27" s="11">
        <f>IFERROR(INDEX(Country_Context!$E$2:$E$87,MATCH($C27,Country_Context!$A$2:$A$87,0)),"")</f>
        <v/>
      </c>
      <c r="AN27" s="11">
        <f>IFERROR(INDEX(Country_Context!$F$2:$F$87,MATCH($C27,Country_Context!$A$2:$A$87,0)),"")</f>
        <v/>
      </c>
      <c r="AO27" s="11">
        <f>IFERROR(INDEX(Country_Context!$G$2:$G$87,MATCH($C27,Country_Context!$A$2:$A$87,0)),"")</f>
        <v/>
      </c>
      <c r="AP27" s="12" t="inlineStr">
        <is>
          <t>https://api.worldbank.org/v2/country/CHN/indicator/NY.GNP.PCAP.PP.CD?format=json&amp;mrv=10 | https://data.worldbank.org/indicator/NY.GNP.PCAP.PP.CD | https://www.who.int/data/gho/data/indicators/indicator-details/GHO/SDGSUICIDE | +3 more</t>
        </is>
      </c>
      <c r="AQ27" s="12" t="inlineStr">
        <is>
          <t>Tier 3, Tier 4</t>
        </is>
      </c>
      <c r="AR27" s="12" t="inlineStr">
        <is>
          <t>2024-12-31</t>
        </is>
      </c>
      <c r="AS27" s="12" t="inlineStr">
        <is>
          <t>providers=world_bank_col_estimate, derived, who_gho, world_bank; fields=gross_income, rent, utilities, transit_cost; +8 additional fields</t>
        </is>
      </c>
      <c r="AT27" s="12" t="inlineStr">
        <is>
          <t>https://api.worldbank.org/v2/country/CHN/indicator/VC.IHR.PSRC.P5?format=json&amp;mrv=10 | https://api.worldbank.org/v2/country/CHN/indicator/IT.NET.BBND.P2?format=json&amp;mrv=10 | https://worldweather.wmo.int</t>
        </is>
      </c>
      <c r="AU27" s="12" t="inlineStr">
        <is>
          <t>Tier 3</t>
        </is>
      </c>
      <c r="AV27" s="12" t="inlineStr">
        <is>
          <t>2024-12-31</t>
        </is>
      </c>
      <c r="AW27" s="12" t="inlineStr">
        <is>
          <t>providers=world_bank, wmo_natl_met; fields=personal_safety_raw, digital_infrastructure_raw, climate_sunlight_livability_raw</t>
        </is>
      </c>
      <c r="AX27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27" s="12" t="inlineStr">
        <is>
          <t>Tier 3</t>
        </is>
      </c>
      <c r="AZ27" s="12" t="inlineStr">
        <is>
          <t>2024-12-31</t>
        </is>
      </c>
      <c r="BA27" s="12" t="inlineStr">
        <is>
          <t>providers=who_gho, world_bank; fields=healthcare_quality_raw, education_quality_raw, equal_opportunity_raw, gini_coefficient</t>
        </is>
      </c>
      <c r="BB27" s="12" t="inlineStr">
        <is>
          <t>https://api.worldbank.org/v2/country/CHN/indicator/SM.POP.NETM?format=json&amp;mrv=10 | https://api.worldbank.org/v2/country/CHN/indicator/SG.GEN.PARL.ZS?format=json&amp;mrv=10 | https://api.worldbank.org/v2/country/CHN/indicator/ST.INT.ARVL?format=json&amp;mrv=10 | +1 more</t>
        </is>
      </c>
      <c r="BC27" s="12" t="inlineStr">
        <is>
          <t>Tier 3</t>
        </is>
      </c>
      <c r="BD27" s="12" t="inlineStr">
        <is>
          <t>2025-12-31</t>
        </is>
      </c>
      <c r="BE27" s="12" t="inlineStr">
        <is>
          <t>providers=world_bank; fields=hospitality_belonging_raw, tolerance_pluralism_raw, cultural_public_life_raw, birth_rate_optimism_raw</t>
        </is>
      </c>
      <c r="BF27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27" s="12" t="inlineStr">
        <is>
          <t>Tier 3</t>
        </is>
      </c>
      <c r="BH27" s="12" t="inlineStr">
        <is>
          <t>2024-12-31</t>
        </is>
      </c>
      <c r="BI27" s="12" t="inlineStr">
        <is>
          <t>providers=world_bank; fields=entrepreneurial_dynamism_raw, innovation_research_intensity_raw, investment_signal_raw, administrative_investment_friction_raw; +2 additional fields</t>
        </is>
      </c>
      <c r="BJ27" s="9" t="n">
        <v>1</v>
      </c>
    </row>
    <row r="28">
      <c r="A28" s="9" t="inlineStr">
        <is>
          <t>in-bengaluru</t>
        </is>
      </c>
      <c r="B28" s="9" t="inlineStr">
        <is>
          <t>Bengaluru</t>
        </is>
      </c>
      <c r="C28" s="9" t="inlineStr">
        <is>
          <t>India</t>
        </is>
      </c>
      <c r="D28" s="9" t="inlineStr">
        <is>
          <t>South Asia</t>
        </is>
      </c>
      <c r="E28" s="9" t="inlineStr">
        <is>
          <t>primary</t>
        </is>
      </c>
      <c r="F28" s="9" t="inlineStr">
        <is>
          <t>locked</t>
        </is>
      </c>
      <c r="G28" s="10" t="n">
        <v>1283.33</v>
      </c>
      <c r="H28" s="10" t="n">
        <v>221.37</v>
      </c>
      <c r="I28" s="10" t="n">
        <v>73.79000000000001</v>
      </c>
      <c r="J28" s="10" t="n">
        <v>44.27</v>
      </c>
      <c r="K28" s="10" t="n">
        <v>14.76</v>
      </c>
      <c r="L28" s="10" t="n">
        <v>368.96</v>
      </c>
      <c r="M28" s="11" t="inlineStr"/>
      <c r="N28" s="10" t="n">
        <v>17.2497</v>
      </c>
      <c r="O28" s="10" t="n">
        <v>50.1422</v>
      </c>
      <c r="P28" s="11">
        <f>IF($O28&lt;&gt;"",$O28,$AO28)</f>
        <v/>
      </c>
      <c r="Q28" s="10" t="n">
        <v>45.72</v>
      </c>
      <c r="R28" s="10" t="n">
        <v>12.56</v>
      </c>
      <c r="S28" s="10" t="n">
        <v>2.82</v>
      </c>
      <c r="T28" s="10" t="inlineStr"/>
      <c r="U28" s="10" t="inlineStr"/>
      <c r="V28" s="10" t="n">
        <v>76.44</v>
      </c>
      <c r="W28" s="10" t="n">
        <v>2.75</v>
      </c>
      <c r="X28" s="9" t="inlineStr"/>
      <c r="Y28" s="10" t="n">
        <v>69</v>
      </c>
      <c r="Z28" s="10" t="n">
        <v>34.42</v>
      </c>
      <c r="AA28" s="10" t="n">
        <v>25.5</v>
      </c>
      <c r="AB28" s="10" t="n">
        <v>49.66</v>
      </c>
      <c r="AC28" s="10" t="n">
        <v>13.65</v>
      </c>
      <c r="AD28" s="10" t="n">
        <v>12.35</v>
      </c>
      <c r="AE28" s="10" t="n">
        <v>0.18</v>
      </c>
      <c r="AF28" s="10" t="n">
        <v>0.65</v>
      </c>
      <c r="AG28" s="10" t="n">
        <v>0.6899999999999999</v>
      </c>
      <c r="AH28" s="10" t="n">
        <v>2.64</v>
      </c>
      <c r="AI28" s="10" t="inlineStr"/>
      <c r="AJ28" s="11">
        <f>IFERROR(INDEX(Country_Context!$B$2:$B$87,MATCH($C28,Country_Context!$A$2:$A$87,0)),"")</f>
        <v/>
      </c>
      <c r="AK28" s="11">
        <f>IFERROR(INDEX(Country_Context!$C$2:$C$87,MATCH($C28,Country_Context!$A$2:$A$87,0)),"")</f>
        <v/>
      </c>
      <c r="AL28" s="11">
        <f>IFERROR(INDEX(Country_Context!$D$2:$D$87,MATCH($C28,Country_Context!$A$2:$A$87,0)),"")</f>
        <v/>
      </c>
      <c r="AM28" s="11">
        <f>IFERROR(INDEX(Country_Context!$E$2:$E$87,MATCH($C28,Country_Context!$A$2:$A$87,0)),"")</f>
        <v/>
      </c>
      <c r="AN28" s="11">
        <f>IFERROR(INDEX(Country_Context!$F$2:$F$87,MATCH($C28,Country_Context!$A$2:$A$87,0)),"")</f>
        <v/>
      </c>
      <c r="AO28" s="11">
        <f>IFERROR(INDEX(Country_Context!$G$2:$G$87,MATCH($C28,Country_Context!$A$2:$A$87,0)),"")</f>
        <v/>
      </c>
      <c r="AP28" s="12" t="inlineStr">
        <is>
          <t>https://api.worldbank.org/v2/country/IND/indicator/NY.GNP.PCAP.PP.CD?format=json&amp;mrv=10 | https://data.worldbank.org/indicator/NY.GNP.PCAP.PP.CD | https://ilostat.ilo.org/data/indicator/?id=HOW_TEMP_SEX_ECO_NB_A&amp;ref_area=IND | +4 more</t>
        </is>
      </c>
      <c r="AQ28" s="12" t="inlineStr">
        <is>
          <t>Tier 3, Tier 4</t>
        </is>
      </c>
      <c r="AR28" s="12" t="inlineStr">
        <is>
          <t>2024-12-31</t>
        </is>
      </c>
      <c r="AS28" s="12" t="inlineStr">
        <is>
          <t>providers=world_bank_col_estimate, derived, ilo_ilostat, who_gho; fields=gross_income, rent, utilities, transit_cost; +9 additional fields</t>
        </is>
      </c>
      <c r="AT28" s="12" t="inlineStr">
        <is>
          <t>https://api.worldbank.org/v2/country/IND/indicator/VC.IHR.PSRC.P5?format=json&amp;mrv=10 | https://api.worldbank.org/v2/country/IND/indicator/SH.H2O.SMDW.ZS?format=json&amp;mrv=10 | https://api.worldbank.org/v2/country/IND/indicator/IT.NET.BBND.P2?format=json&amp;mrv=10</t>
        </is>
      </c>
      <c r="AU28" s="12" t="inlineStr">
        <is>
          <t>Tier 3</t>
        </is>
      </c>
      <c r="AV28" s="12" t="inlineStr">
        <is>
          <t>2024-12-31</t>
        </is>
      </c>
      <c r="AW28" s="12" t="inlineStr">
        <is>
          <t>providers=world_bank; fields=personal_safety_raw, water_sanitation_utility_raw, digital_infrastructure_raw</t>
        </is>
      </c>
      <c r="AX28" s="12" t="inlineStr">
        <is>
          <t>https://www.who.int/data/gho/data/indicators/indicator-details/GHO/UHC_INDEX_REPORTED | https://api.worldbank.org/v2/country/IND/indicator/SE.TER.ENRR?format=json&amp;mrv=10 | https://api.worldbank.org/v2/country/IND/indicator/SI.POV.GINI?format=json&amp;mrv=10 | +1 more</t>
        </is>
      </c>
      <c r="AY28" s="12" t="inlineStr">
        <is>
          <t>Tier 3</t>
        </is>
      </c>
      <c r="AZ28" s="12" t="inlineStr">
        <is>
          <t>2024-12-31</t>
        </is>
      </c>
      <c r="BA28" s="12" t="inlineStr">
        <is>
          <t>providers=who_gho, world_bank; fields=healthcare_quality_raw, education_quality_raw, equal_opportunity_raw, gini_coefficient</t>
        </is>
      </c>
      <c r="BB28" s="12" t="inlineStr">
        <is>
          <t>https://api.worldbank.org/v2/country/IND/indicator/SM.POP.NETM?format=json&amp;mrv=10 | https://api.worldbank.org/v2/country/IND/indicator/SG.GEN.PARL.ZS?format=json&amp;mrv=10 | https://api.worldbank.org/v2/country/IND/indicator/ST.INT.ARVL?format=json&amp;mrv=10 | +1 more</t>
        </is>
      </c>
      <c r="BC28" s="12" t="inlineStr">
        <is>
          <t>Tier 3</t>
        </is>
      </c>
      <c r="BD28" s="12" t="inlineStr">
        <is>
          <t>2025-12-31</t>
        </is>
      </c>
      <c r="BE28" s="12" t="inlineStr">
        <is>
          <t>providers=world_bank; fields=hospitality_belonging_raw, tolerance_pluralism_raw, cultural_public_life_raw, birth_rate_optimism_raw</t>
        </is>
      </c>
      <c r="BF28" s="12" t="inlineStr">
        <is>
          <t>https://api.worldbank.org/v2/country/IND/indicator/IC.BUS.NDNS.ZS?format=json&amp;mrv=10 | https://api.worldbank.org/v2/country/IND/indicator/GB.XPD.RSDV.GD.ZS?format=json&amp;mrv=10 | https://api.worldbank.org/v2/country/IND/indicator/BX.KLT.DINV.WD.GD.ZS?format=json&amp;mrv=10 | +3 more</t>
        </is>
      </c>
      <c r="BG28" s="12" t="inlineStr">
        <is>
          <t>Tier 3</t>
        </is>
      </c>
      <c r="BH28" s="12" t="inlineStr">
        <is>
          <t>2024-12-31</t>
        </is>
      </c>
      <c r="BI28" s="12" t="inlineStr">
        <is>
          <t>providers=world_bank; fields=entrepreneurial_dynamism_raw, innovation_research_intensity_raw, investment_signal_raw, administrative_investment_friction_raw; +2 additional fields</t>
        </is>
      </c>
      <c r="BJ28" s="9" t="n">
        <v>2</v>
      </c>
    </row>
    <row r="29">
      <c r="A29" s="9" t="inlineStr">
        <is>
          <t>in-hyderabad</t>
        </is>
      </c>
      <c r="B29" s="9" t="inlineStr">
        <is>
          <t>Hyderabad</t>
        </is>
      </c>
      <c r="C29" s="9" t="inlineStr">
        <is>
          <t>India</t>
        </is>
      </c>
      <c r="D29" s="9" t="inlineStr">
        <is>
          <t>South Asia</t>
        </is>
      </c>
      <c r="E29" s="9" t="inlineStr">
        <is>
          <t>primary</t>
        </is>
      </c>
      <c r="F29" s="9" t="inlineStr">
        <is>
          <t>locked</t>
        </is>
      </c>
      <c r="G29" s="10" t="n">
        <v>1145.83</v>
      </c>
      <c r="H29" s="10" t="n">
        <v>180.47</v>
      </c>
      <c r="I29" s="10" t="n">
        <v>60.16</v>
      </c>
      <c r="J29" s="10" t="n">
        <v>36.09</v>
      </c>
      <c r="K29" s="10" t="n">
        <v>12.03</v>
      </c>
      <c r="L29" s="10" t="n">
        <v>300.78</v>
      </c>
      <c r="M29" s="11" t="inlineStr"/>
      <c r="N29" s="10" t="n">
        <v>15.7502</v>
      </c>
      <c r="O29" s="10" t="n">
        <v>50.1422</v>
      </c>
      <c r="P29" s="11">
        <f>IF($O29&lt;&gt;"",$O29,$AO29)</f>
        <v/>
      </c>
      <c r="Q29" s="10" t="n">
        <v>45.72</v>
      </c>
      <c r="R29" s="10" t="n">
        <v>12.56</v>
      </c>
      <c r="S29" s="10" t="n">
        <v>2.82</v>
      </c>
      <c r="T29" s="10" t="inlineStr"/>
      <c r="U29" s="10" t="inlineStr"/>
      <c r="V29" s="10" t="n">
        <v>76.44</v>
      </c>
      <c r="W29" s="10" t="n">
        <v>2.75</v>
      </c>
      <c r="X29" s="9" t="n">
        <v>64</v>
      </c>
      <c r="Y29" s="10" t="n">
        <v>69</v>
      </c>
      <c r="Z29" s="10" t="n">
        <v>34.42</v>
      </c>
      <c r="AA29" s="10" t="n">
        <v>25.5</v>
      </c>
      <c r="AB29" s="10" t="n">
        <v>49.66</v>
      </c>
      <c r="AC29" s="10" t="n">
        <v>13.65</v>
      </c>
      <c r="AD29" s="10" t="n">
        <v>12.35</v>
      </c>
      <c r="AE29" s="10" t="n">
        <v>0.18</v>
      </c>
      <c r="AF29" s="10" t="n">
        <v>0.65</v>
      </c>
      <c r="AG29" s="10" t="n">
        <v>0.6899999999999999</v>
      </c>
      <c r="AH29" s="10" t="n">
        <v>2.64</v>
      </c>
      <c r="AI29" s="10" t="inlineStr"/>
      <c r="AJ29" s="11">
        <f>IFERROR(INDEX(Country_Context!$B$2:$B$87,MATCH($C29,Country_Context!$A$2:$A$87,0)),"")</f>
        <v/>
      </c>
      <c r="AK29" s="11">
        <f>IFERROR(INDEX(Country_Context!$C$2:$C$87,MATCH($C29,Country_Context!$A$2:$A$87,0)),"")</f>
        <v/>
      </c>
      <c r="AL29" s="11">
        <f>IFERROR(INDEX(Country_Context!$D$2:$D$87,MATCH($C29,Country_Context!$A$2:$A$87,0)),"")</f>
        <v/>
      </c>
      <c r="AM29" s="11">
        <f>IFERROR(INDEX(Country_Context!$E$2:$E$87,MATCH($C29,Country_Context!$A$2:$A$87,0)),"")</f>
        <v/>
      </c>
      <c r="AN29" s="11">
        <f>IFERROR(INDEX(Country_Context!$F$2:$F$87,MATCH($C29,Country_Context!$A$2:$A$87,0)),"")</f>
        <v/>
      </c>
      <c r="AO29" s="11">
        <f>IFERROR(INDEX(Country_Context!$G$2:$G$87,MATCH($C29,Country_Context!$A$2:$A$87,0)),"")</f>
        <v/>
      </c>
      <c r="AP29" s="12" t="inlineStr">
        <is>
          <t>https://api.worldbank.org/v2/country/IND/indicator/NY.GNP.PCAP.PP.CD?format=json&amp;mrv=10 | https://data.worldbank.org/indicator/NY.GNP.PCAP.PP.CD | https://ilostat.ilo.org/data/indicator/?id=HOW_TEMP_SEX_ECO_NB_A&amp;ref_area=IND | +4 more</t>
        </is>
      </c>
      <c r="AQ29" s="12" t="inlineStr">
        <is>
          <t>Tier 3, Tier 4</t>
        </is>
      </c>
      <c r="AR29" s="12" t="inlineStr">
        <is>
          <t>2024-12-31</t>
        </is>
      </c>
      <c r="AS29" s="12" t="inlineStr">
        <is>
          <t>providers=world_bank_col_estimate, derived, ilo_ilostat, who_gho; fields=gross_income, rent, utilities, transit_cost; +9 additional fields</t>
        </is>
      </c>
      <c r="AT29" s="12" t="inlineStr">
        <is>
          <t>https://api.worldbank.org/v2/country/IND/indicator/VC.IHR.PSRC.P5?format=json&amp;mrv=10 | https://api.worldbank.org/v2/country/IND/indicator/SH.H2O.SMDW.ZS?format=json&amp;mrv=10 | https://api.worldbank.org/v2/country/IND/indicator/IT.NET.BBND.P2?format=json&amp;mrv=10 | +1 more</t>
        </is>
      </c>
      <c r="AU29" s="12" t="inlineStr">
        <is>
          <t>Tier 3</t>
        </is>
      </c>
      <c r="AV29" s="12" t="inlineStr">
        <is>
          <t>2024-12-31</t>
        </is>
      </c>
      <c r="AW29" s="12" t="inlineStr">
        <is>
          <t>providers=world_bank, wmo_natl_met; fields=personal_safety_raw, water_sanitation_utility_raw, digital_infrastructure_raw, climate_sunlight_livability_raw</t>
        </is>
      </c>
      <c r="AX29" s="12" t="inlineStr">
        <is>
          <t>https://www.who.int/data/gho/data/indicators/indicator-details/GHO/UHC_INDEX_REPORTED | https://api.worldbank.org/v2/country/IND/indicator/SE.TER.ENRR?format=json&amp;mrv=10 | https://api.worldbank.org/v2/country/IND/indicator/SI.POV.GINI?format=json&amp;mrv=10 | +1 more</t>
        </is>
      </c>
      <c r="AY29" s="12" t="inlineStr">
        <is>
          <t>Tier 3</t>
        </is>
      </c>
      <c r="AZ29" s="12" t="inlineStr">
        <is>
          <t>2024-12-31</t>
        </is>
      </c>
      <c r="BA29" s="12" t="inlineStr">
        <is>
          <t>providers=who_gho, world_bank; fields=healthcare_quality_raw, education_quality_raw, equal_opportunity_raw, gini_coefficient</t>
        </is>
      </c>
      <c r="BB29" s="12" t="inlineStr">
        <is>
          <t>https://api.worldbank.org/v2/country/IND/indicator/SM.POP.NETM?format=json&amp;mrv=10 | https://api.worldbank.org/v2/country/IND/indicator/SG.GEN.PARL.ZS?format=json&amp;mrv=10 | https://api.worldbank.org/v2/country/IND/indicator/ST.INT.ARVL?format=json&amp;mrv=10 | +1 more</t>
        </is>
      </c>
      <c r="BC29" s="12" t="inlineStr">
        <is>
          <t>Tier 3</t>
        </is>
      </c>
      <c r="BD29" s="12" t="inlineStr">
        <is>
          <t>2025-12-31</t>
        </is>
      </c>
      <c r="BE29" s="12" t="inlineStr">
        <is>
          <t>providers=world_bank; fields=hospitality_belonging_raw, tolerance_pluralism_raw, cultural_public_life_raw, birth_rate_optimism_raw</t>
        </is>
      </c>
      <c r="BF29" s="12" t="inlineStr">
        <is>
          <t>https://api.worldbank.org/v2/country/IND/indicator/IC.BUS.NDNS.ZS?format=json&amp;mrv=10 | https://api.worldbank.org/v2/country/IND/indicator/GB.XPD.RSDV.GD.ZS?format=json&amp;mrv=10 | https://api.worldbank.org/v2/country/IND/indicator/BX.KLT.DINV.WD.GD.ZS?format=json&amp;mrv=10 | +3 more</t>
        </is>
      </c>
      <c r="BG29" s="12" t="inlineStr">
        <is>
          <t>Tier 3</t>
        </is>
      </c>
      <c r="BH29" s="12" t="inlineStr">
        <is>
          <t>2024-12-31</t>
        </is>
      </c>
      <c r="BI29" s="12" t="inlineStr">
        <is>
          <t>providers=world_bank; fields=entrepreneurial_dynamism_raw, innovation_research_intensity_raw, investment_signal_raw, administrative_investment_friction_raw; +2 additional fields</t>
        </is>
      </c>
      <c r="BJ29" s="9" t="n">
        <v>2</v>
      </c>
    </row>
    <row r="30">
      <c r="A30" s="9" t="inlineStr">
        <is>
          <t>in-chandigarh</t>
        </is>
      </c>
      <c r="B30" s="9" t="inlineStr">
        <is>
          <t>Chandigarh</t>
        </is>
      </c>
      <c r="C30" s="9" t="inlineStr">
        <is>
          <t>India</t>
        </is>
      </c>
      <c r="D30" s="9" t="inlineStr">
        <is>
          <t>South Asia</t>
        </is>
      </c>
      <c r="E30" s="9" t="inlineStr">
        <is>
          <t>primary</t>
        </is>
      </c>
      <c r="F30" s="9" t="inlineStr">
        <is>
          <t>provisional</t>
        </is>
      </c>
      <c r="G30" s="10" t="n">
        <v>916.67</v>
      </c>
      <c r="H30" s="10" t="n">
        <v>137.5</v>
      </c>
      <c r="I30" s="10" t="n">
        <v>45.83</v>
      </c>
      <c r="J30" s="10" t="n">
        <v>27.5</v>
      </c>
      <c r="K30" s="10" t="n">
        <v>9.17</v>
      </c>
      <c r="L30" s="10" t="n">
        <v>229.17</v>
      </c>
      <c r="M30" s="11" t="inlineStr"/>
      <c r="N30" s="10" t="n">
        <v>14.9999</v>
      </c>
      <c r="O30" s="10" t="n">
        <v>50.1422</v>
      </c>
      <c r="P30" s="11">
        <f>IF($O30&lt;&gt;"",$O30,$AO30)</f>
        <v/>
      </c>
      <c r="Q30" s="10" t="n">
        <v>45.72</v>
      </c>
      <c r="R30" s="10" t="n">
        <v>12.56</v>
      </c>
      <c r="S30" s="10" t="n">
        <v>2.82</v>
      </c>
      <c r="T30" s="10" t="inlineStr"/>
      <c r="U30" s="10" t="n">
        <v>45</v>
      </c>
      <c r="V30" s="10" t="n">
        <v>85</v>
      </c>
      <c r="W30" s="10" t="n">
        <v>2.75</v>
      </c>
      <c r="X30" s="9" t="n">
        <v>55</v>
      </c>
      <c r="Y30" s="10" t="n">
        <v>69</v>
      </c>
      <c r="Z30" s="10" t="n">
        <v>34.42</v>
      </c>
      <c r="AA30" s="10" t="n">
        <v>25.5</v>
      </c>
      <c r="AB30" s="10" t="n">
        <v>49.66</v>
      </c>
      <c r="AC30" s="10" t="n">
        <v>13.65</v>
      </c>
      <c r="AD30" s="10" t="n">
        <v>50</v>
      </c>
      <c r="AE30" s="10" t="n">
        <v>0.18</v>
      </c>
      <c r="AF30" s="10" t="n">
        <v>0.65</v>
      </c>
      <c r="AG30" s="10" t="n">
        <v>0.6899999999999999</v>
      </c>
      <c r="AH30" s="10" t="n">
        <v>2.64</v>
      </c>
      <c r="AI30" s="10" t="inlineStr"/>
      <c r="AJ30" s="11">
        <f>IFERROR(INDEX(Country_Context!$B$2:$B$87,MATCH($C30,Country_Context!$A$2:$A$87,0)),"")</f>
        <v/>
      </c>
      <c r="AK30" s="11">
        <f>IFERROR(INDEX(Country_Context!$C$2:$C$87,MATCH($C30,Country_Context!$A$2:$A$87,0)),"")</f>
        <v/>
      </c>
      <c r="AL30" s="11">
        <f>IFERROR(INDEX(Country_Context!$D$2:$D$87,MATCH($C30,Country_Context!$A$2:$A$87,0)),"")</f>
        <v/>
      </c>
      <c r="AM30" s="11">
        <f>IFERROR(INDEX(Country_Context!$E$2:$E$87,MATCH($C30,Country_Context!$A$2:$A$87,0)),"")</f>
        <v/>
      </c>
      <c r="AN30" s="11">
        <f>IFERROR(INDEX(Country_Context!$F$2:$F$87,MATCH($C30,Country_Context!$A$2:$A$87,0)),"")</f>
        <v/>
      </c>
      <c r="AO30" s="11">
        <f>IFERROR(INDEX(Country_Context!$G$2:$G$87,MATCH($C30,Country_Context!$A$2:$A$87,0)),"")</f>
        <v/>
      </c>
      <c r="AP30" s="12" t="inlineStr">
        <is>
          <t>https://api.worldbank.org/v2/country/IND/indicator/NY.GNP.PCAP.PP.CD?format=json&amp;mrv=10 | https://data.worldbank.org/indicator/NY.GNP.PCAP.PP.CD | https://ilostat.ilo.org/data/indicator/?id=HOW_TEMP_SEX_ECO_NB_A&amp;ref_area=IND | +4 more</t>
        </is>
      </c>
      <c r="AQ30" s="12" t="inlineStr">
        <is>
          <t>Tier 3, Tier 4</t>
        </is>
      </c>
      <c r="AR30" s="12" t="inlineStr">
        <is>
          <t>2024-12-31</t>
        </is>
      </c>
      <c r="AS30" s="12" t="inlineStr">
        <is>
          <t>providers=world_bank_col_estimate, derived, ilo_ilostat, who_gho; fields=gross_income, rent, utilities, transit_cost; +9 additional fields</t>
        </is>
      </c>
      <c r="AT30" s="12" t="inlineStr">
        <is>
          <t>https://api.worldbank.org/v2/country/IND/indicator/VC.IHR.PSRC.P5?format=json&amp;mrv=10 | https://worldweather.wmo.int | https://washdata.org | +1 more</t>
        </is>
      </c>
      <c r="AU30" s="12" t="inlineStr">
        <is>
          <t>Tier 3</t>
        </is>
      </c>
      <c r="AV30" s="12" t="inlineStr">
        <is>
          <t>2024-12-31</t>
        </is>
      </c>
      <c r="AW30" s="12" t="inlineStr">
        <is>
          <t>providers=world_bank, wmo_natl_met, who_unicef_jmp; fields=personal_safety_raw, clean_air_raw, water_sanitation_utility_raw, digital_infrastructure_raw; +1 additional fields</t>
        </is>
      </c>
      <c r="AX30" s="12" t="inlineStr">
        <is>
          <t>https://www.who.int/data/gho/data/indicators/indicator-details/GHO/UHC_INDEX_REPORTED | https://api.worldbank.org/v2/country/IND/indicator/SE.TER.ENRR?format=json&amp;mrv=10 | https://api.worldbank.org/v2/country/IND/indicator/SI.POV.GINI?format=json&amp;mrv=10 | +1 more</t>
        </is>
      </c>
      <c r="AY30" s="12" t="inlineStr">
        <is>
          <t>Tier 3</t>
        </is>
      </c>
      <c r="AZ30" s="12" t="inlineStr">
        <is>
          <t>2024-12-31</t>
        </is>
      </c>
      <c r="BA30" s="12" t="inlineStr">
        <is>
          <t>providers=who_gho, world_bank; fields=healthcare_quality_raw, education_quality_raw, equal_opportunity_raw, gini_coefficient</t>
        </is>
      </c>
      <c r="BB30" s="12" t="inlineStr">
        <is>
          <t>https://api.worldbank.org/v2/country/IND/indicator/SM.POP.NETM?format=json&amp;mrv=10 | https://api.worldbank.org/v2/country/IND/indicator/SG.GEN.PARL.ZS?format=json&amp;mrv=10 | https://worldweather.wmo.int | +1 more</t>
        </is>
      </c>
      <c r="BC30" s="12" t="inlineStr">
        <is>
          <t>Tier 3</t>
        </is>
      </c>
      <c r="BD30" s="12" t="inlineStr">
        <is>
          <t>2025-12-31</t>
        </is>
      </c>
      <c r="BE30" s="12" t="inlineStr">
        <is>
          <t>providers=world_bank, wmo_natl_met; fields=hospitality_belonging_raw, tolerance_pluralism_raw, cultural_public_life_raw, birth_rate_optimism_raw</t>
        </is>
      </c>
      <c r="BF30" s="12" t="inlineStr">
        <is>
          <t>https://api.worldbank.org/v2/country/IND/indicator/IC.BUS.NDNS.ZS?format=json&amp;mrv=10 | https://api.worldbank.org/v2/country/IND/indicator/GB.XPD.RSDV.GD.ZS?format=json&amp;mrv=10 | https://api.worldbank.org/v2/country/IND/indicator/BX.KLT.DINV.WD.GD.ZS?format=json&amp;mrv=10 | +3 more</t>
        </is>
      </c>
      <c r="BG30" s="12" t="inlineStr">
        <is>
          <t>Tier 3</t>
        </is>
      </c>
      <c r="BH30" s="12" t="inlineStr">
        <is>
          <t>2024-12-31</t>
        </is>
      </c>
      <c r="BI30" s="12" t="inlineStr">
        <is>
          <t>providers=world_bank; fields=entrepreneurial_dynamism_raw, innovation_research_intensity_raw, investment_signal_raw, administrative_investment_friction_raw; +2 additional fields</t>
        </is>
      </c>
      <c r="BJ30" s="9" t="n">
        <v>2</v>
      </c>
    </row>
    <row r="31">
      <c r="A31" s="9" t="inlineStr">
        <is>
          <t>lk-colombo</t>
        </is>
      </c>
      <c r="B31" s="9" t="inlineStr">
        <is>
          <t>Colombo</t>
        </is>
      </c>
      <c r="C31" s="9" t="inlineStr">
        <is>
          <t>Sri Lanka</t>
        </is>
      </c>
      <c r="D31" s="9" t="inlineStr">
        <is>
          <t>South Asia</t>
        </is>
      </c>
      <c r="E31" s="9" t="inlineStr">
        <is>
          <t>primary</t>
        </is>
      </c>
      <c r="F31" s="9" t="inlineStr">
        <is>
          <t>locked</t>
        </is>
      </c>
      <c r="G31" s="10" t="n">
        <v>1270</v>
      </c>
      <c r="H31" s="10" t="n">
        <v>190.5</v>
      </c>
      <c r="I31" s="10" t="n">
        <v>63.5</v>
      </c>
      <c r="J31" s="10" t="n">
        <v>38.1</v>
      </c>
      <c r="K31" s="10" t="n">
        <v>12.7</v>
      </c>
      <c r="L31" s="10" t="n">
        <v>317.5</v>
      </c>
      <c r="M31" s="11" t="inlineStr"/>
      <c r="N31" s="10" t="n">
        <v>15</v>
      </c>
      <c r="O31" s="10" t="n">
        <v>46.8716</v>
      </c>
      <c r="P31" s="11">
        <f>IF($O31&lt;&gt;"",$O31,$AO31)</f>
        <v/>
      </c>
      <c r="Q31" s="10" t="n">
        <v>41.72</v>
      </c>
      <c r="R31" s="10" t="n">
        <v>14.74</v>
      </c>
      <c r="S31" s="10" t="n">
        <v>3.31</v>
      </c>
      <c r="T31" s="10" t="inlineStr"/>
      <c r="U31" s="10" t="inlineStr"/>
      <c r="V31" s="10" t="n">
        <v>46.93</v>
      </c>
      <c r="W31" s="10" t="n">
        <v>8.77</v>
      </c>
      <c r="X31" s="9" t="inlineStr"/>
      <c r="Y31" s="10" t="n">
        <v>72</v>
      </c>
      <c r="Z31" s="10" t="n">
        <v>20.74</v>
      </c>
      <c r="AA31" s="10" t="n">
        <v>37.7</v>
      </c>
      <c r="AB31" s="10" t="n">
        <v>48.6</v>
      </c>
      <c r="AC31" s="10" t="n">
        <v>10</v>
      </c>
      <c r="AD31" s="10" t="n">
        <v>24.64</v>
      </c>
      <c r="AE31" s="10" t="n">
        <v>1.2</v>
      </c>
      <c r="AF31" s="10" t="n">
        <v>0.11</v>
      </c>
      <c r="AG31" s="10" t="n">
        <v>0.77</v>
      </c>
      <c r="AH31" s="10" t="n">
        <v>3.01</v>
      </c>
      <c r="AI31" s="10" t="inlineStr"/>
      <c r="AJ31" s="11">
        <f>IFERROR(INDEX(Country_Context!$B$2:$B$87,MATCH($C31,Country_Context!$A$2:$A$87,0)),"")</f>
        <v/>
      </c>
      <c r="AK31" s="11">
        <f>IFERROR(INDEX(Country_Context!$C$2:$C$87,MATCH($C31,Country_Context!$A$2:$A$87,0)),"")</f>
        <v/>
      </c>
      <c r="AL31" s="11">
        <f>IFERROR(INDEX(Country_Context!$D$2:$D$87,MATCH($C31,Country_Context!$A$2:$A$87,0)),"")</f>
        <v/>
      </c>
      <c r="AM31" s="11">
        <f>IFERROR(INDEX(Country_Context!$E$2:$E$87,MATCH($C31,Country_Context!$A$2:$A$87,0)),"")</f>
        <v/>
      </c>
      <c r="AN31" s="11">
        <f>IFERROR(INDEX(Country_Context!$F$2:$F$87,MATCH($C31,Country_Context!$A$2:$A$87,0)),"")</f>
        <v/>
      </c>
      <c r="AO31" s="11">
        <f>IFERROR(INDEX(Country_Context!$G$2:$G$87,MATCH($C31,Country_Context!$A$2:$A$87,0)),"")</f>
        <v/>
      </c>
      <c r="AP31" s="12" t="inlineStr">
        <is>
          <t>https://api.worldbank.org/v2/country/LKA/indicator/NY.GNP.PCAP.PP.CD?format=json&amp;mrv=10 | https://data.worldbank.org/indicator/NY.GNP.PCAP.PP.CD | https://ilostat.ilo.org/data/indicator/?id=HOW_TEMP_SEX_ECO_NB_A&amp;ref_area=LKA | +4 more</t>
        </is>
      </c>
      <c r="AQ31" s="12" t="inlineStr">
        <is>
          <t>Tier 3, Tier 4</t>
        </is>
      </c>
      <c r="AR31" s="12" t="inlineStr">
        <is>
          <t>2024-12-31</t>
        </is>
      </c>
      <c r="AS31" s="12" t="inlineStr">
        <is>
          <t>providers=world_bank_col_estimate, derived, ilo_ilostat, who_gho; fields=gross_income, rent, utilities, transit_cost; +9 additional fields</t>
        </is>
      </c>
      <c r="AT31" s="12" t="inlineStr">
        <is>
          <t>https://api.worldbank.org/v2/country/LKA/indicator/VC.IHR.PSRC.P5?format=json&amp;mrv=10 | https://api.worldbank.org/v2/country/LKA/indicator/SH.H2O.SMDW.ZS?format=json&amp;mrv=10 | https://api.worldbank.org/v2/country/LKA/indicator/IT.NET.BBND.P2?format=json&amp;mrv=10</t>
        </is>
      </c>
      <c r="AU31" s="12" t="inlineStr">
        <is>
          <t>Tier 3</t>
        </is>
      </c>
      <c r="AV31" s="12" t="inlineStr">
        <is>
          <t>2024-12-31</t>
        </is>
      </c>
      <c r="AW31" s="12" t="inlineStr">
        <is>
          <t>providers=world_bank; fields=personal_safety_raw, water_sanitation_utility_raw, digital_infrastructure_raw</t>
        </is>
      </c>
      <c r="AX31" s="12" t="inlineStr">
        <is>
          <t>https://www.who.int/data/gho/data/indicators/indicator-details/GHO/UHC_INDEX_REPORTED | https://api.worldbank.org/v2/country/LKA/indicator/SE.TER.ENRR?format=json&amp;mrv=10 | https://api.worldbank.org/v2/country/LKA/indicator/SI.POV.GINI?format=json&amp;mrv=10 | +1 more</t>
        </is>
      </c>
      <c r="AY31" s="12" t="inlineStr">
        <is>
          <t>Tier 3</t>
        </is>
      </c>
      <c r="AZ31" s="12" t="inlineStr">
        <is>
          <t>2023-12-31</t>
        </is>
      </c>
      <c r="BA31" s="12" t="inlineStr">
        <is>
          <t>providers=who_gho, world_bank; fields=healthcare_quality_raw, education_quality_raw, equal_opportunity_raw, gini_coefficient</t>
        </is>
      </c>
      <c r="BB31" s="12" t="inlineStr">
        <is>
          <t>https://api.worldbank.org/v2/country/LKA/indicator/SM.POP.NETM?format=json&amp;mrv=10 | https://api.worldbank.org/v2/country/LKA/indicator/SG.GEN.PARL.ZS?format=json&amp;mrv=10 | https://api.worldbank.org/v2/country/LKA/indicator/ST.INT.ARVL?format=json&amp;mrv=10 | +1 more</t>
        </is>
      </c>
      <c r="BC31" s="12" t="inlineStr">
        <is>
          <t>Tier 3</t>
        </is>
      </c>
      <c r="BD31" s="12" t="inlineStr">
        <is>
          <t>2025-12-31</t>
        </is>
      </c>
      <c r="BE31" s="12" t="inlineStr">
        <is>
          <t>providers=world_bank; fields=hospitality_belonging_raw, tolerance_pluralism_raw, cultural_public_life_raw, birth_rate_optimism_raw</t>
        </is>
      </c>
      <c r="BF31" s="12" t="inlineStr">
        <is>
          <t>https://api.worldbank.org/v2/country/LKA/indicator/IC.BUS.NDNS.ZS?format=json&amp;mrv=10 | https://api.worldbank.org/v2/country/LKA/indicator/GB.XPD.RSDV.GD.ZS?format=json&amp;mrv=10 | https://api.worldbank.org/v2/country/LKA/indicator/BX.KLT.DINV.WD.GD.ZS?format=json&amp;mrv=10 | +3 more</t>
        </is>
      </c>
      <c r="BG31" s="12" t="inlineStr">
        <is>
          <t>Tier 3</t>
        </is>
      </c>
      <c r="BH31" s="12" t="inlineStr">
        <is>
          <t>2024-12-31</t>
        </is>
      </c>
      <c r="BI31" s="12" t="inlineStr">
        <is>
          <t>providers=world_bank; fields=entrepreneurial_dynamism_raw, innovation_research_intensity_raw, investment_signal_raw, administrative_investment_friction_raw; +2 additional fields</t>
        </is>
      </c>
      <c r="BJ31" s="9" t="n">
        <v>1.99</v>
      </c>
    </row>
    <row r="32">
      <c r="A32" s="9" t="inlineStr">
        <is>
          <t>bd-dhaka</t>
        </is>
      </c>
      <c r="B32" s="9" t="inlineStr">
        <is>
          <t>Dhaka</t>
        </is>
      </c>
      <c r="C32" s="9" t="inlineStr">
        <is>
          <t>Bangladesh</t>
        </is>
      </c>
      <c r="D32" s="9" t="inlineStr">
        <is>
          <t>South Asia</t>
        </is>
      </c>
      <c r="E32" s="9" t="inlineStr">
        <is>
          <t>primary</t>
        </is>
      </c>
      <c r="F32" s="9" t="inlineStr">
        <is>
          <t>provisional</t>
        </is>
      </c>
      <c r="G32" s="10" t="n">
        <v>838.33</v>
      </c>
      <c r="H32" s="10" t="n">
        <v>125.75</v>
      </c>
      <c r="I32" s="10" t="n">
        <v>41.92</v>
      </c>
      <c r="J32" s="10" t="n">
        <v>25.15</v>
      </c>
      <c r="K32" s="10" t="n">
        <v>8.380000000000001</v>
      </c>
      <c r="L32" s="10" t="n">
        <v>209.58</v>
      </c>
      <c r="M32" s="11" t="inlineStr"/>
      <c r="N32" s="10" t="n">
        <v>15.0001</v>
      </c>
      <c r="O32" s="10" t="n">
        <v>35.7061</v>
      </c>
      <c r="P32" s="11">
        <f>IF($O32&lt;&gt;"",$O32,$AO32)</f>
        <v/>
      </c>
      <c r="Q32" s="10" t="n">
        <v>46.73</v>
      </c>
      <c r="R32" s="10" t="n">
        <v>2.81</v>
      </c>
      <c r="S32" s="10" t="n">
        <v>2.34</v>
      </c>
      <c r="T32" s="10" t="inlineStr"/>
      <c r="U32" s="10" t="inlineStr"/>
      <c r="V32" s="10" t="n">
        <v>59.13</v>
      </c>
      <c r="W32" s="10" t="n">
        <v>7.89</v>
      </c>
      <c r="X32" s="9" t="inlineStr"/>
      <c r="Y32" s="10" t="n">
        <v>54</v>
      </c>
      <c r="Z32" s="10" t="n">
        <v>23.73</v>
      </c>
      <c r="AA32" s="10" t="n">
        <v>30.9</v>
      </c>
      <c r="AB32" s="10" t="n">
        <v>47.68</v>
      </c>
      <c r="AC32" s="10" t="n">
        <v>20.86</v>
      </c>
      <c r="AD32" s="10" t="n">
        <v>1.86</v>
      </c>
      <c r="AE32" s="10" t="n">
        <v>0.04</v>
      </c>
      <c r="AF32" s="10" t="n">
        <v>2.58</v>
      </c>
      <c r="AG32" s="10" t="n">
        <v>0.29</v>
      </c>
      <c r="AH32" s="10" t="n">
        <v>3.41</v>
      </c>
      <c r="AI32" s="10" t="inlineStr"/>
      <c r="AJ32" s="11">
        <f>IFERROR(INDEX(Country_Context!$B$2:$B$87,MATCH($C32,Country_Context!$A$2:$A$87,0)),"")</f>
        <v/>
      </c>
      <c r="AK32" s="11">
        <f>IFERROR(INDEX(Country_Context!$C$2:$C$87,MATCH($C32,Country_Context!$A$2:$A$87,0)),"")</f>
        <v/>
      </c>
      <c r="AL32" s="11">
        <f>IFERROR(INDEX(Country_Context!$D$2:$D$87,MATCH($C32,Country_Context!$A$2:$A$87,0)),"")</f>
        <v/>
      </c>
      <c r="AM32" s="11">
        <f>IFERROR(INDEX(Country_Context!$E$2:$E$87,MATCH($C32,Country_Context!$A$2:$A$87,0)),"")</f>
        <v/>
      </c>
      <c r="AN32" s="11">
        <f>IFERROR(INDEX(Country_Context!$F$2:$F$87,MATCH($C32,Country_Context!$A$2:$A$87,0)),"")</f>
        <v/>
      </c>
      <c r="AO32" s="11">
        <f>IFERROR(INDEX(Country_Context!$G$2:$G$87,MATCH($C32,Country_Context!$A$2:$A$87,0)),"")</f>
        <v/>
      </c>
      <c r="AP32" s="12" t="inlineStr">
        <is>
          <t>https://api.worldbank.org/v2/country/BGD/indicator/NY.GNP.PCAP.PP.CD?format=json&amp;mrv=10 | https://data.worldbank.org/indicator/NY.GNP.PCAP.PP.CD | https://ilostat.ilo.org/data/indicator/?id=HOW_TEMP_SEX_ECO_NB_A&amp;ref_area=BGD | +4 more</t>
        </is>
      </c>
      <c r="AQ32" s="12" t="inlineStr">
        <is>
          <t>Tier 3, Tier 4</t>
        </is>
      </c>
      <c r="AR32" s="12" t="inlineStr">
        <is>
          <t>2024-12-31</t>
        </is>
      </c>
      <c r="AS32" s="12" t="inlineStr">
        <is>
          <t>providers=world_bank_col_estimate, derived, ilo_ilostat, who_gho; fields=gross_income, rent, utilities, transit_cost; +9 additional fields</t>
        </is>
      </c>
      <c r="AT32" s="12" t="inlineStr">
        <is>
          <t>https://api.worldbank.org/v2/country/BGD/indicator/VC.IHR.PSRC.P5?format=json&amp;mrv=10 | https://api.worldbank.org/v2/country/BGD/indicator/SH.H2O.SMDW.ZS?format=json&amp;mrv=10 | https://api.worldbank.org/v2/country/BGD/indicator/IT.NET.BBND.P2?format=json&amp;mrv=10</t>
        </is>
      </c>
      <c r="AU32" s="12" t="inlineStr">
        <is>
          <t>Tier 3</t>
        </is>
      </c>
      <c r="AV32" s="12" t="inlineStr">
        <is>
          <t>2024-12-31</t>
        </is>
      </c>
      <c r="AW32" s="12" t="inlineStr">
        <is>
          <t>providers=world_bank; fields=personal_safety_raw, water_sanitation_utility_raw, digital_infrastructure_raw</t>
        </is>
      </c>
      <c r="AX32" s="12" t="inlineStr">
        <is>
          <t>https://www.who.int/data/gho/data/indicators/indicator-details/GHO/UHC_INDEX_REPORTED | https://api.worldbank.org/v2/country/BGD/indicator/SE.TER.ENRR?format=json&amp;mrv=10 | https://api.worldbank.org/v2/country/BGD/indicator/SI.POV.GINI?format=json&amp;mrv=10 | +1 more</t>
        </is>
      </c>
      <c r="AY32" s="12" t="inlineStr">
        <is>
          <t>Tier 3</t>
        </is>
      </c>
      <c r="AZ32" s="12" t="inlineStr">
        <is>
          <t>2024-12-31</t>
        </is>
      </c>
      <c r="BA32" s="12" t="inlineStr">
        <is>
          <t>providers=who_gho, world_bank; fields=healthcare_quality_raw, education_quality_raw, equal_opportunity_raw, gini_coefficient</t>
        </is>
      </c>
      <c r="BB32" s="12" t="inlineStr">
        <is>
          <t>https://api.worldbank.org/v2/country/BGD/indicator/SM.POP.NETM?format=json&amp;mrv=10 | https://api.worldbank.org/v2/country/BGD/indicator/SG.GEN.PARL.ZS?format=json&amp;mrv=10 | https://api.worldbank.org/v2/country/BGD/indicator/ST.INT.ARVL?format=json&amp;mrv=10 | +1 more</t>
        </is>
      </c>
      <c r="BC32" s="12" t="inlineStr">
        <is>
          <t>Tier 3</t>
        </is>
      </c>
      <c r="BD32" s="12" t="inlineStr">
        <is>
          <t>2025-12-31</t>
        </is>
      </c>
      <c r="BE32" s="12" t="inlineStr">
        <is>
          <t>providers=world_bank; fields=hospitality_belonging_raw, tolerance_pluralism_raw, cultural_public_life_raw, birth_rate_optimism_raw</t>
        </is>
      </c>
      <c r="BF32" s="12" t="inlineStr">
        <is>
          <t>https://api.worldbank.org/v2/country/BGD/indicator/IC.BUS.NDNS.ZS?format=json&amp;mrv=10 | https://api.worldbank.org/v2/country/BGD/indicator/IP.PAT.RESD?format=json&amp;mrv=10 | https://api.worldbank.org/v2/country/BGD/indicator/BX.KLT.DINV.WD.GD.ZS?format=json&amp;mrv=10 | +3 more</t>
        </is>
      </c>
      <c r="BG32" s="12" t="inlineStr">
        <is>
          <t>Tier 3</t>
        </is>
      </c>
      <c r="BH32" s="12" t="inlineStr">
        <is>
          <t>2024-12-31</t>
        </is>
      </c>
      <c r="BI32" s="12" t="inlineStr">
        <is>
          <t>providers=world_bank; fields=entrepreneurial_dynamism_raw, innovation_research_intensity_raw, investment_signal_raw, administrative_investment_friction_raw; +2 additional fields</t>
        </is>
      </c>
      <c r="BJ32" s="9" t="n">
        <v>1.95</v>
      </c>
    </row>
    <row r="33">
      <c r="A33" s="9" t="inlineStr">
        <is>
          <t>pk-karachi</t>
        </is>
      </c>
      <c r="B33" s="9" t="inlineStr">
        <is>
          <t>Karachi</t>
        </is>
      </c>
      <c r="C33" s="9" t="inlineStr">
        <is>
          <t>Pakistan</t>
        </is>
      </c>
      <c r="D33" s="9" t="inlineStr">
        <is>
          <t>South Asia</t>
        </is>
      </c>
      <c r="E33" s="9" t="inlineStr">
        <is>
          <t>primary</t>
        </is>
      </c>
      <c r="F33" s="9" t="inlineStr">
        <is>
          <t>provisional</t>
        </is>
      </c>
      <c r="G33" s="10" t="n">
        <v>508.33</v>
      </c>
      <c r="H33" s="10" t="n">
        <v>68.62</v>
      </c>
      <c r="I33" s="10" t="n">
        <v>22.87</v>
      </c>
      <c r="J33" s="10" t="n">
        <v>13.72</v>
      </c>
      <c r="K33" s="10" t="n">
        <v>4.57</v>
      </c>
      <c r="L33" s="10" t="n">
        <v>114.37</v>
      </c>
      <c r="M33" s="11" t="inlineStr"/>
      <c r="N33" s="10" t="n">
        <v>13.4991</v>
      </c>
      <c r="O33" s="10" t="n">
        <v>11.3901</v>
      </c>
      <c r="P33" s="11">
        <f>IF($O33&lt;&gt;"",$O33,$AO33)</f>
        <v/>
      </c>
      <c r="Q33" s="10" t="n">
        <v>46.77</v>
      </c>
      <c r="R33" s="10" t="n">
        <v>5.64</v>
      </c>
      <c r="S33" s="10" t="n">
        <v>4.33</v>
      </c>
      <c r="T33" s="10" t="inlineStr"/>
      <c r="U33" s="10" t="inlineStr"/>
      <c r="V33" s="10" t="n">
        <v>44.97</v>
      </c>
      <c r="W33" s="10" t="n">
        <v>1.36</v>
      </c>
      <c r="X33" s="9" t="inlineStr"/>
      <c r="Y33" s="10" t="n">
        <v>56</v>
      </c>
      <c r="Z33" s="10" t="n">
        <v>10.86</v>
      </c>
      <c r="AA33" s="10" t="n">
        <v>29.6</v>
      </c>
      <c r="AB33" s="10" t="n">
        <v>45.08</v>
      </c>
      <c r="AC33" s="10" t="n">
        <v>17.04</v>
      </c>
      <c r="AD33" s="10" t="n">
        <v>30.61</v>
      </c>
      <c r="AE33" s="10" t="n">
        <v>0.19</v>
      </c>
      <c r="AF33" s="10" t="n">
        <v>0.16</v>
      </c>
      <c r="AG33" s="10" t="n">
        <v>0.72</v>
      </c>
      <c r="AH33" s="10" t="n">
        <v>3.4</v>
      </c>
      <c r="AI33" s="10" t="inlineStr"/>
      <c r="AJ33" s="11">
        <f>IFERROR(INDEX(Country_Context!$B$2:$B$87,MATCH($C33,Country_Context!$A$2:$A$87,0)),"")</f>
        <v/>
      </c>
      <c r="AK33" s="11">
        <f>IFERROR(INDEX(Country_Context!$C$2:$C$87,MATCH($C33,Country_Context!$A$2:$A$87,0)),"")</f>
        <v/>
      </c>
      <c r="AL33" s="11">
        <f>IFERROR(INDEX(Country_Context!$D$2:$D$87,MATCH($C33,Country_Context!$A$2:$A$87,0)),"")</f>
        <v/>
      </c>
      <c r="AM33" s="11">
        <f>IFERROR(INDEX(Country_Context!$E$2:$E$87,MATCH($C33,Country_Context!$A$2:$A$87,0)),"")</f>
        <v/>
      </c>
      <c r="AN33" s="11">
        <f>IFERROR(INDEX(Country_Context!$F$2:$F$87,MATCH($C33,Country_Context!$A$2:$A$87,0)),"")</f>
        <v/>
      </c>
      <c r="AO33" s="11">
        <f>IFERROR(INDEX(Country_Context!$G$2:$G$87,MATCH($C33,Country_Context!$A$2:$A$87,0)),"")</f>
        <v/>
      </c>
      <c r="AP33" s="12" t="inlineStr">
        <is>
          <t>https://api.worldbank.org/v2/country/PAK/indicator/NY.GNP.PCAP.PP.CD?format=json&amp;mrv=10 | https://data.worldbank.org/indicator/NY.GNP.PCAP.PP.CD | https://ilostat.ilo.org/data/indicator/?id=HOW_TEMP_SEX_ECO_NB_A&amp;ref_area=PAK | +3 more</t>
        </is>
      </c>
      <c r="AQ33" s="12" t="inlineStr">
        <is>
          <t>Tier 3, Tier 4</t>
        </is>
      </c>
      <c r="AR33" s="12" t="inlineStr">
        <is>
          <t>2025-12-31</t>
        </is>
      </c>
      <c r="AS33" s="12" t="inlineStr">
        <is>
          <t>providers=world_bank_col_estimate, derived, ilo_ilostat, who_gho; fields=gross_income, rent, utilities, transit_cost; +8 additional fields</t>
        </is>
      </c>
      <c r="AT33" s="12" t="inlineStr">
        <is>
          <t>https://api.worldbank.org/v2/country/PAK/indicator/VC.IHR.PSRC.P5?format=json&amp;mrv=10 | https://api.worldbank.org/v2/country/PAK/indicator/SH.H2O.SMDW.ZS?format=json&amp;mrv=10 | https://api.worldbank.org/v2/country/PAK/indicator/IT.NET.BBND.P2?format=json&amp;mrv=10</t>
        </is>
      </c>
      <c r="AU33" s="12" t="inlineStr">
        <is>
          <t>Tier 3</t>
        </is>
      </c>
      <c r="AV33" s="12" t="inlineStr">
        <is>
          <t>2024-12-31</t>
        </is>
      </c>
      <c r="AW33" s="12" t="inlineStr">
        <is>
          <t>providers=world_bank; fields=personal_safety_raw, water_sanitation_utility_raw, digital_infrastructure_raw</t>
        </is>
      </c>
      <c r="AX33" s="12" t="inlineStr">
        <is>
          <t>https://www.who.int/data/gho/data/indicators/indicator-details/GHO/UHC_INDEX_REPORTED | https://api.worldbank.org/v2/country/PAK/indicator/SE.TER.ENRR?format=json&amp;mrv=10 | https://api.worldbank.org/v2/country/PAK/indicator/SI.POV.GINI?format=json&amp;mrv=10 | +1 more</t>
        </is>
      </c>
      <c r="AY33" s="12" t="inlineStr">
        <is>
          <t>Tier 3</t>
        </is>
      </c>
      <c r="AZ33" s="12" t="inlineStr">
        <is>
          <t>2024-12-31</t>
        </is>
      </c>
      <c r="BA33" s="12" t="inlineStr">
        <is>
          <t>providers=who_gho, world_bank; fields=healthcare_quality_raw, education_quality_raw, equal_opportunity_raw, gini_coefficient</t>
        </is>
      </c>
      <c r="BB33" s="12" t="inlineStr">
        <is>
          <t>https://api.worldbank.org/v2/country/PAK/indicator/SM.POP.NETM?format=json&amp;mrv=10 | https://api.worldbank.org/v2/country/PAK/indicator/SG.GEN.PARL.ZS?format=json&amp;mrv=10 | https://api.worldbank.org/v2/country/PAK/indicator/SP.POP.DPND?format=json&amp;mrv=10 | +1 more</t>
        </is>
      </c>
      <c r="BC33" s="12" t="inlineStr">
        <is>
          <t>Tier 3</t>
        </is>
      </c>
      <c r="BD33" s="12" t="inlineStr">
        <is>
          <t>2025-12-31</t>
        </is>
      </c>
      <c r="BE33" s="12" t="inlineStr">
        <is>
          <t>providers=world_bank; fields=hospitality_belonging_raw, tolerance_pluralism_raw, cultural_public_life_raw, birth_rate_optimism_raw</t>
        </is>
      </c>
      <c r="BF33" s="12" t="inlineStr">
        <is>
          <t>https://api.worldbank.org/v2/country/PAK/indicator/IC.BUS.NDNS.ZS?format=json&amp;mrv=10 | https://api.worldbank.org/v2/country/PAK/indicator/GB.XPD.RSDV.GD.ZS?format=json&amp;mrv=10 | https://api.worldbank.org/v2/country/PAK/indicator/BX.KLT.DINV.WD.GD.ZS?format=json&amp;mrv=10 | +3 more</t>
        </is>
      </c>
      <c r="BG33" s="12" t="inlineStr">
        <is>
          <t>Tier 3</t>
        </is>
      </c>
      <c r="BH33" s="12" t="inlineStr">
        <is>
          <t>2024-12-31</t>
        </is>
      </c>
      <c r="BI33" s="12" t="inlineStr">
        <is>
          <t>providers=world_bank; fields=entrepreneurial_dynamism_raw, innovation_research_intensity_raw, investment_signal_raw, administrative_investment_friction_raw; +2 additional fields</t>
        </is>
      </c>
      <c r="BJ33" s="9" t="n">
        <v>3.36</v>
      </c>
    </row>
    <row r="34">
      <c r="A34" s="9" t="inlineStr">
        <is>
          <t>pk-lahore</t>
        </is>
      </c>
      <c r="B34" s="9" t="inlineStr">
        <is>
          <t>Lahore</t>
        </is>
      </c>
      <c r="C34" s="9" t="inlineStr">
        <is>
          <t>Pakistan</t>
        </is>
      </c>
      <c r="D34" s="9" t="inlineStr">
        <is>
          <t>South Asia</t>
        </is>
      </c>
      <c r="E34" s="9" t="inlineStr">
        <is>
          <t>secondary</t>
        </is>
      </c>
      <c r="F34" s="9" t="inlineStr">
        <is>
          <t>locked</t>
        </is>
      </c>
      <c r="G34" s="10" t="n">
        <v>508.33</v>
      </c>
      <c r="H34" s="10" t="n">
        <v>64.81</v>
      </c>
      <c r="I34" s="10" t="n">
        <v>21.6</v>
      </c>
      <c r="J34" s="10" t="n">
        <v>12.96</v>
      </c>
      <c r="K34" s="10" t="n">
        <v>4.32</v>
      </c>
      <c r="L34" s="10" t="n">
        <v>108.02</v>
      </c>
      <c r="M34" s="11" t="inlineStr"/>
      <c r="N34" s="10" t="n">
        <v>12.7496</v>
      </c>
      <c r="O34" s="10" t="n">
        <v>11.3901</v>
      </c>
      <c r="P34" s="11">
        <f>IF($O34&lt;&gt;"",$O34,$AO34)</f>
        <v/>
      </c>
      <c r="Q34" s="10" t="n">
        <v>46.77</v>
      </c>
      <c r="R34" s="10" t="n">
        <v>5.64</v>
      </c>
      <c r="S34" s="10" t="n">
        <v>4.33</v>
      </c>
      <c r="T34" s="10" t="inlineStr"/>
      <c r="U34" s="10" t="inlineStr"/>
      <c r="V34" s="10" t="n">
        <v>44.97</v>
      </c>
      <c r="W34" s="10" t="n">
        <v>1.36</v>
      </c>
      <c r="X34" s="9" t="inlineStr"/>
      <c r="Y34" s="10" t="n">
        <v>56</v>
      </c>
      <c r="Z34" s="10" t="n">
        <v>10.86</v>
      </c>
      <c r="AA34" s="10" t="n">
        <v>29.6</v>
      </c>
      <c r="AB34" s="10" t="n">
        <v>45.08</v>
      </c>
      <c r="AC34" s="10" t="n">
        <v>17.04</v>
      </c>
      <c r="AD34" s="10" t="n">
        <v>30.61</v>
      </c>
      <c r="AE34" s="10" t="n">
        <v>0.19</v>
      </c>
      <c r="AF34" s="10" t="n">
        <v>0.16</v>
      </c>
      <c r="AG34" s="10" t="n">
        <v>0.72</v>
      </c>
      <c r="AH34" s="10" t="n">
        <v>3.4</v>
      </c>
      <c r="AI34" s="10" t="inlineStr"/>
      <c r="AJ34" s="11">
        <f>IFERROR(INDEX(Country_Context!$B$2:$B$87,MATCH($C34,Country_Context!$A$2:$A$87,0)),"")</f>
        <v/>
      </c>
      <c r="AK34" s="11">
        <f>IFERROR(INDEX(Country_Context!$C$2:$C$87,MATCH($C34,Country_Context!$A$2:$A$87,0)),"")</f>
        <v/>
      </c>
      <c r="AL34" s="11">
        <f>IFERROR(INDEX(Country_Context!$D$2:$D$87,MATCH($C34,Country_Context!$A$2:$A$87,0)),"")</f>
        <v/>
      </c>
      <c r="AM34" s="11">
        <f>IFERROR(INDEX(Country_Context!$E$2:$E$87,MATCH($C34,Country_Context!$A$2:$A$87,0)),"")</f>
        <v/>
      </c>
      <c r="AN34" s="11">
        <f>IFERROR(INDEX(Country_Context!$F$2:$F$87,MATCH($C34,Country_Context!$A$2:$A$87,0)),"")</f>
        <v/>
      </c>
      <c r="AO34" s="11">
        <f>IFERROR(INDEX(Country_Context!$G$2:$G$87,MATCH($C34,Country_Context!$A$2:$A$87,0)),"")</f>
        <v/>
      </c>
      <c r="AP34" s="12" t="inlineStr">
        <is>
          <t>https://api.worldbank.org/v2/country/PAK/indicator/NY.GNP.PCAP.PP.CD?format=json&amp;mrv=10 | https://data.worldbank.org/indicator/NY.GNP.PCAP.PP.CD | https://ilostat.ilo.org/data/indicator/?id=HOW_TEMP_SEX_ECO_NB_A&amp;ref_area=PAK | +3 more</t>
        </is>
      </c>
      <c r="AQ34" s="12" t="inlineStr">
        <is>
          <t>Tier 3, Tier 4</t>
        </is>
      </c>
      <c r="AR34" s="12" t="inlineStr">
        <is>
          <t>2025-12-31</t>
        </is>
      </c>
      <c r="AS34" s="12" t="inlineStr">
        <is>
          <t>providers=world_bank_col_estimate, derived, ilo_ilostat, who_gho; fields=gross_income, rent, utilities, transit_cost; +8 additional fields</t>
        </is>
      </c>
      <c r="AT34" s="12" t="inlineStr">
        <is>
          <t>https://api.worldbank.org/v2/country/PAK/indicator/VC.IHR.PSRC.P5?format=json&amp;mrv=10 | https://api.worldbank.org/v2/country/PAK/indicator/SH.H2O.SMDW.ZS?format=json&amp;mrv=10 | https://api.worldbank.org/v2/country/PAK/indicator/IT.NET.BBND.P2?format=json&amp;mrv=10</t>
        </is>
      </c>
      <c r="AU34" s="12" t="inlineStr">
        <is>
          <t>Tier 3</t>
        </is>
      </c>
      <c r="AV34" s="12" t="inlineStr">
        <is>
          <t>2024-12-31</t>
        </is>
      </c>
      <c r="AW34" s="12" t="inlineStr">
        <is>
          <t>providers=world_bank; fields=personal_safety_raw, water_sanitation_utility_raw, digital_infrastructure_raw</t>
        </is>
      </c>
      <c r="AX34" s="12" t="inlineStr">
        <is>
          <t>https://www.who.int/data/gho/data/indicators/indicator-details/GHO/UHC_INDEX_REPORTED | https://api.worldbank.org/v2/country/PAK/indicator/SE.TER.ENRR?format=json&amp;mrv=10 | https://api.worldbank.org/v2/country/PAK/indicator/SI.POV.GINI?format=json&amp;mrv=10 | +1 more</t>
        </is>
      </c>
      <c r="AY34" s="12" t="inlineStr">
        <is>
          <t>Tier 3</t>
        </is>
      </c>
      <c r="AZ34" s="12" t="inlineStr">
        <is>
          <t>2024-12-31</t>
        </is>
      </c>
      <c r="BA34" s="12" t="inlineStr">
        <is>
          <t>providers=who_gho, world_bank; fields=healthcare_quality_raw, education_quality_raw, equal_opportunity_raw, gini_coefficient</t>
        </is>
      </c>
      <c r="BB34" s="12" t="inlineStr">
        <is>
          <t>https://api.worldbank.org/v2/country/PAK/indicator/SM.POP.NETM?format=json&amp;mrv=10 | https://api.worldbank.org/v2/country/PAK/indicator/SG.GEN.PARL.ZS?format=json&amp;mrv=10 | https://api.worldbank.org/v2/country/PAK/indicator/SP.POP.DPND?format=json&amp;mrv=10 | +1 more</t>
        </is>
      </c>
      <c r="BC34" s="12" t="inlineStr">
        <is>
          <t>Tier 3</t>
        </is>
      </c>
      <c r="BD34" s="12" t="inlineStr">
        <is>
          <t>2025-12-31</t>
        </is>
      </c>
      <c r="BE34" s="12" t="inlineStr">
        <is>
          <t>providers=world_bank; fields=hospitality_belonging_raw, tolerance_pluralism_raw, cultural_public_life_raw, birth_rate_optimism_raw</t>
        </is>
      </c>
      <c r="BF34" s="12" t="inlineStr">
        <is>
          <t>https://api.worldbank.org/v2/country/PAK/indicator/IC.BUS.NDNS.ZS?format=json&amp;mrv=10 | https://api.worldbank.org/v2/country/PAK/indicator/GB.XPD.RSDV.GD.ZS?format=json&amp;mrv=10 | https://api.worldbank.org/v2/country/PAK/indicator/BX.KLT.DINV.WD.GD.ZS?format=json&amp;mrv=10 | +3 more</t>
        </is>
      </c>
      <c r="BG34" s="12" t="inlineStr">
        <is>
          <t>Tier 3</t>
        </is>
      </c>
      <c r="BH34" s="12" t="inlineStr">
        <is>
          <t>2024-12-31</t>
        </is>
      </c>
      <c r="BI34" s="12" t="inlineStr">
        <is>
          <t>providers=world_bank; fields=entrepreneurial_dynamism_raw, innovation_research_intensity_raw, investment_signal_raw, administrative_investment_friction_raw; +2 additional fields</t>
        </is>
      </c>
      <c r="BJ34" s="9" t="n">
        <v>3.36</v>
      </c>
    </row>
    <row r="35">
      <c r="A35" s="9" t="inlineStr">
        <is>
          <t>bd-chattogram</t>
        </is>
      </c>
      <c r="B35" s="9" t="inlineStr">
        <is>
          <t>Chattogram</t>
        </is>
      </c>
      <c r="C35" s="9" t="inlineStr">
        <is>
          <t>Bangladesh</t>
        </is>
      </c>
      <c r="D35" s="9" t="inlineStr">
        <is>
          <t>South Asia</t>
        </is>
      </c>
      <c r="E35" s="9" t="inlineStr">
        <is>
          <t>secondary</t>
        </is>
      </c>
      <c r="F35" s="9" t="inlineStr">
        <is>
          <t>locked</t>
        </is>
      </c>
      <c r="G35" s="10" t="n">
        <v>838.33</v>
      </c>
      <c r="H35" s="10" t="n">
        <v>100.6</v>
      </c>
      <c r="I35" s="10" t="n">
        <v>33.53</v>
      </c>
      <c r="J35" s="10" t="n">
        <v>20.12</v>
      </c>
      <c r="K35" s="10" t="n">
        <v>6.71</v>
      </c>
      <c r="L35" s="10" t="n">
        <v>167.67</v>
      </c>
      <c r="M35" s="11" t="inlineStr"/>
      <c r="N35" s="10" t="n">
        <v>12</v>
      </c>
      <c r="O35" s="10" t="n">
        <v>35.7061</v>
      </c>
      <c r="P35" s="11">
        <f>IF($O35&lt;&gt;"",$O35,$AO35)</f>
        <v/>
      </c>
      <c r="Q35" s="10" t="n">
        <v>46.73</v>
      </c>
      <c r="R35" s="10" t="n">
        <v>2.81</v>
      </c>
      <c r="S35" s="10" t="n">
        <v>2.34</v>
      </c>
      <c r="T35" s="10" t="inlineStr"/>
      <c r="U35" s="10" t="inlineStr"/>
      <c r="V35" s="10" t="n">
        <v>59.13</v>
      </c>
      <c r="W35" s="10" t="n">
        <v>7.89</v>
      </c>
      <c r="X35" s="9" t="inlineStr"/>
      <c r="Y35" s="10" t="n">
        <v>54</v>
      </c>
      <c r="Z35" s="10" t="n">
        <v>23.73</v>
      </c>
      <c r="AA35" s="10" t="n">
        <v>30.9</v>
      </c>
      <c r="AB35" s="10" t="n">
        <v>47.68</v>
      </c>
      <c r="AC35" s="10" t="n">
        <v>20.86</v>
      </c>
      <c r="AD35" s="10" t="n">
        <v>1.86</v>
      </c>
      <c r="AE35" s="10" t="n">
        <v>0.04</v>
      </c>
      <c r="AF35" s="10" t="n">
        <v>2.58</v>
      </c>
      <c r="AG35" s="10" t="n">
        <v>0.29</v>
      </c>
      <c r="AH35" s="10" t="n">
        <v>3.41</v>
      </c>
      <c r="AI35" s="10" t="inlineStr"/>
      <c r="AJ35" s="11">
        <f>IFERROR(INDEX(Country_Context!$B$2:$B$87,MATCH($C35,Country_Context!$A$2:$A$87,0)),"")</f>
        <v/>
      </c>
      <c r="AK35" s="11">
        <f>IFERROR(INDEX(Country_Context!$C$2:$C$87,MATCH($C35,Country_Context!$A$2:$A$87,0)),"")</f>
        <v/>
      </c>
      <c r="AL35" s="11">
        <f>IFERROR(INDEX(Country_Context!$D$2:$D$87,MATCH($C35,Country_Context!$A$2:$A$87,0)),"")</f>
        <v/>
      </c>
      <c r="AM35" s="11">
        <f>IFERROR(INDEX(Country_Context!$E$2:$E$87,MATCH($C35,Country_Context!$A$2:$A$87,0)),"")</f>
        <v/>
      </c>
      <c r="AN35" s="11">
        <f>IFERROR(INDEX(Country_Context!$F$2:$F$87,MATCH($C35,Country_Context!$A$2:$A$87,0)),"")</f>
        <v/>
      </c>
      <c r="AO35" s="11">
        <f>IFERROR(INDEX(Country_Context!$G$2:$G$87,MATCH($C35,Country_Context!$A$2:$A$87,0)),"")</f>
        <v/>
      </c>
      <c r="AP35" s="12" t="inlineStr">
        <is>
          <t>https://api.worldbank.org/v2/country/BGD/indicator/NY.GNP.PCAP.PP.CD?format=json&amp;mrv=10 | https://data.worldbank.org/indicator/NY.GNP.PCAP.PP.CD | https://ilostat.ilo.org/data/indicator/?id=HOW_TEMP_SEX_ECO_NB_A&amp;ref_area=BGD | +4 more</t>
        </is>
      </c>
      <c r="AQ35" s="12" t="inlineStr">
        <is>
          <t>Tier 3, Tier 4</t>
        </is>
      </c>
      <c r="AR35" s="12" t="inlineStr">
        <is>
          <t>2024-12-31</t>
        </is>
      </c>
      <c r="AS35" s="12" t="inlineStr">
        <is>
          <t>providers=world_bank_col_estimate, derived, ilo_ilostat, who_gho; fields=gross_income, rent, utilities, transit_cost; +9 additional fields</t>
        </is>
      </c>
      <c r="AT35" s="12" t="inlineStr">
        <is>
          <t>https://api.worldbank.org/v2/country/BGD/indicator/VC.IHR.PSRC.P5?format=json&amp;mrv=10 | https://api.worldbank.org/v2/country/BGD/indicator/SH.H2O.SMDW.ZS?format=json&amp;mrv=10 | https://api.worldbank.org/v2/country/BGD/indicator/IT.NET.BBND.P2?format=json&amp;mrv=10</t>
        </is>
      </c>
      <c r="AU35" s="12" t="inlineStr">
        <is>
          <t>Tier 3</t>
        </is>
      </c>
      <c r="AV35" s="12" t="inlineStr">
        <is>
          <t>2024-12-31</t>
        </is>
      </c>
      <c r="AW35" s="12" t="inlineStr">
        <is>
          <t>providers=world_bank; fields=personal_safety_raw, water_sanitation_utility_raw, digital_infrastructure_raw</t>
        </is>
      </c>
      <c r="AX35" s="12" t="inlineStr">
        <is>
          <t>https://www.who.int/data/gho/data/indicators/indicator-details/GHO/UHC_INDEX_REPORTED | https://api.worldbank.org/v2/country/BGD/indicator/SE.TER.ENRR?format=json&amp;mrv=10 | https://api.worldbank.org/v2/country/BGD/indicator/SI.POV.GINI?format=json&amp;mrv=10 | +1 more</t>
        </is>
      </c>
      <c r="AY35" s="12" t="inlineStr">
        <is>
          <t>Tier 3</t>
        </is>
      </c>
      <c r="AZ35" s="12" t="inlineStr">
        <is>
          <t>2024-12-31</t>
        </is>
      </c>
      <c r="BA35" s="12" t="inlineStr">
        <is>
          <t>providers=who_gho, world_bank; fields=healthcare_quality_raw, education_quality_raw, equal_opportunity_raw, gini_coefficient</t>
        </is>
      </c>
      <c r="BB35" s="12" t="inlineStr">
        <is>
          <t>https://api.worldbank.org/v2/country/BGD/indicator/SM.POP.NETM?format=json&amp;mrv=10 | https://api.worldbank.org/v2/country/BGD/indicator/SG.GEN.PARL.ZS?format=json&amp;mrv=10 | https://api.worldbank.org/v2/country/BGD/indicator/ST.INT.ARVL?format=json&amp;mrv=10 | +1 more</t>
        </is>
      </c>
      <c r="BC35" s="12" t="inlineStr">
        <is>
          <t>Tier 3</t>
        </is>
      </c>
      <c r="BD35" s="12" t="inlineStr">
        <is>
          <t>2025-12-31</t>
        </is>
      </c>
      <c r="BE35" s="12" t="inlineStr">
        <is>
          <t>providers=world_bank; fields=hospitality_belonging_raw, tolerance_pluralism_raw, cultural_public_life_raw, birth_rate_optimism_raw</t>
        </is>
      </c>
      <c r="BF35" s="12" t="inlineStr">
        <is>
          <t>https://api.worldbank.org/v2/country/BGD/indicator/IC.BUS.NDNS.ZS?format=json&amp;mrv=10 | https://api.worldbank.org/v2/country/BGD/indicator/IP.PAT.RESD?format=json&amp;mrv=10 | https://api.worldbank.org/v2/country/BGD/indicator/BX.KLT.DINV.WD.GD.ZS?format=json&amp;mrv=10 | +3 more</t>
        </is>
      </c>
      <c r="BG35" s="12" t="inlineStr">
        <is>
          <t>Tier 3</t>
        </is>
      </c>
      <c r="BH35" s="12" t="inlineStr">
        <is>
          <t>2024-12-31</t>
        </is>
      </c>
      <c r="BI35" s="12" t="inlineStr">
        <is>
          <t>providers=world_bank; fields=entrepreneurial_dynamism_raw, innovation_research_intensity_raw, investment_signal_raw, administrative_investment_friction_raw; +2 additional fields</t>
        </is>
      </c>
      <c r="BJ35" s="9" t="n">
        <v>1.95</v>
      </c>
    </row>
    <row r="36">
      <c r="A36" s="9" t="inlineStr">
        <is>
          <t>np-kathmandu</t>
        </is>
      </c>
      <c r="B36" s="9" t="inlineStr">
        <is>
          <t>Kathmandu</t>
        </is>
      </c>
      <c r="C36" s="9" t="inlineStr">
        <is>
          <t>Nepal</t>
        </is>
      </c>
      <c r="D36" s="9" t="inlineStr">
        <is>
          <t>South Asia</t>
        </is>
      </c>
      <c r="E36" s="9" t="inlineStr">
        <is>
          <t>secondary</t>
        </is>
      </c>
      <c r="F36" s="9" t="inlineStr">
        <is>
          <t>provisional</t>
        </is>
      </c>
      <c r="G36" s="10" t="n">
        <v>485.83</v>
      </c>
      <c r="H36" s="10" t="n">
        <v>72.87</v>
      </c>
      <c r="I36" s="10" t="n">
        <v>24.29</v>
      </c>
      <c r="J36" s="10" t="n">
        <v>14.57</v>
      </c>
      <c r="K36" s="10" t="n">
        <v>4.86</v>
      </c>
      <c r="L36" s="10" t="n">
        <v>121.46</v>
      </c>
      <c r="M36" s="11" t="inlineStr"/>
      <c r="N36" s="10" t="n">
        <v>14.9991</v>
      </c>
      <c r="O36" s="10" t="n">
        <v>91.9385</v>
      </c>
      <c r="P36" s="11">
        <f>IF($O36&lt;&gt;"",$O36,$AO36)</f>
        <v/>
      </c>
      <c r="Q36" s="10" t="inlineStr"/>
      <c r="R36" s="10" t="n">
        <v>10.14</v>
      </c>
      <c r="S36" s="10" t="n">
        <v>2.13</v>
      </c>
      <c r="T36" s="10" t="inlineStr"/>
      <c r="U36" s="10" t="inlineStr"/>
      <c r="V36" s="10" t="n">
        <v>16.49</v>
      </c>
      <c r="W36" s="10" t="n">
        <v>4.83</v>
      </c>
      <c r="X36" s="9" t="inlineStr"/>
      <c r="Y36" s="10" t="n">
        <v>58</v>
      </c>
      <c r="Z36" s="10" t="n">
        <v>21.29</v>
      </c>
      <c r="AA36" s="10" t="n">
        <v>30</v>
      </c>
      <c r="AB36" s="10" t="n">
        <v>37.7</v>
      </c>
      <c r="AC36" s="10" t="n">
        <v>33.09</v>
      </c>
      <c r="AD36" s="10" t="n">
        <v>7.76</v>
      </c>
      <c r="AE36" s="10" t="n">
        <v>1.38</v>
      </c>
      <c r="AF36" s="10" t="n">
        <v>2.12</v>
      </c>
      <c r="AG36" s="10" t="n">
        <v>0.13</v>
      </c>
      <c r="AH36" s="10" t="n">
        <v>3.16</v>
      </c>
      <c r="AI36" s="10" t="inlineStr"/>
      <c r="AJ36" s="11">
        <f>IFERROR(INDEX(Country_Context!$B$2:$B$87,MATCH($C36,Country_Context!$A$2:$A$87,0)),"")</f>
        <v/>
      </c>
      <c r="AK36" s="11">
        <f>IFERROR(INDEX(Country_Context!$C$2:$C$87,MATCH($C36,Country_Context!$A$2:$A$87,0)),"")</f>
        <v/>
      </c>
      <c r="AL36" s="11">
        <f>IFERROR(INDEX(Country_Context!$D$2:$D$87,MATCH($C36,Country_Context!$A$2:$A$87,0)),"")</f>
        <v/>
      </c>
      <c r="AM36" s="11">
        <f>IFERROR(INDEX(Country_Context!$E$2:$E$87,MATCH($C36,Country_Context!$A$2:$A$87,0)),"")</f>
        <v/>
      </c>
      <c r="AN36" s="11">
        <f>IFERROR(INDEX(Country_Context!$F$2:$F$87,MATCH($C36,Country_Context!$A$2:$A$87,0)),"")</f>
        <v/>
      </c>
      <c r="AO36" s="11">
        <f>IFERROR(INDEX(Country_Context!$G$2:$G$87,MATCH($C36,Country_Context!$A$2:$A$87,0)),"")</f>
        <v/>
      </c>
      <c r="AP36" s="12" t="inlineStr">
        <is>
          <t>https://api.worldbank.org/v2/country/NPL/indicator/NY.GNP.PCAP.PP.CD?format=json&amp;mrv=10 | https://data.worldbank.org/indicator/NY.GNP.PCAP.PP.CD | https://www.who.int/data/gho/data/indicators/indicator-details/GHO/SDGSUICIDE | +3 more</t>
        </is>
      </c>
      <c r="AQ36" s="12" t="inlineStr">
        <is>
          <t>Tier 3, Tier 4</t>
        </is>
      </c>
      <c r="AR36" s="12" t="inlineStr">
        <is>
          <t>2024-12-31</t>
        </is>
      </c>
      <c r="AS36" s="12" t="inlineStr">
        <is>
          <t>providers=world_bank_col_estimate, derived, who_gho, world_bank; fields=gross_income, rent, utilities, transit_cost; +8 additional fields</t>
        </is>
      </c>
      <c r="AT36" s="12" t="inlineStr">
        <is>
          <t>https://api.worldbank.org/v2/country/NPL/indicator/VC.IHR.PSRC.P5?format=json&amp;mrv=10 | https://api.worldbank.org/v2/country/NPL/indicator/SH.H2O.SMDW.ZS?format=json&amp;mrv=10 | https://api.worldbank.org/v2/country/NPL/indicator/IT.NET.BBND.P2?format=json&amp;mrv=10</t>
        </is>
      </c>
      <c r="AU36" s="12" t="inlineStr">
        <is>
          <t>Tier 3</t>
        </is>
      </c>
      <c r="AV36" s="12" t="inlineStr">
        <is>
          <t>2024-12-31</t>
        </is>
      </c>
      <c r="AW36" s="12" t="inlineStr">
        <is>
          <t>providers=world_bank; fields=personal_safety_raw, water_sanitation_utility_raw, digital_infrastructure_raw</t>
        </is>
      </c>
      <c r="AX36" s="12" t="inlineStr">
        <is>
          <t>https://www.who.int/data/gho/data/indicators/indicator-details/GHO/UHC_INDEX_REPORTED | https://api.worldbank.org/v2/country/NPL/indicator/SE.TER.ENRR?format=json&amp;mrv=10 | https://api.worldbank.org/v2/country/NPL/indicator/SI.POV.GINI?format=json&amp;mrv=10 | +1 more</t>
        </is>
      </c>
      <c r="AY36" s="12" t="inlineStr">
        <is>
          <t>Tier 3</t>
        </is>
      </c>
      <c r="AZ36" s="12" t="inlineStr">
        <is>
          <t>2024-12-31</t>
        </is>
      </c>
      <c r="BA36" s="12" t="inlineStr">
        <is>
          <t>providers=who_gho, world_bank; fields=healthcare_quality_raw, education_quality_raw, equal_opportunity_raw, gini_coefficient</t>
        </is>
      </c>
      <c r="BB36" s="12" t="inlineStr">
        <is>
          <t>https://api.worldbank.org/v2/country/NPL/indicator/SM.POP.NETM?format=json&amp;mrv=10 | https://api.worldbank.org/v2/country/NPL/indicator/SG.GEN.PARL.ZS?format=json&amp;mrv=10 | https://api.worldbank.org/v2/country/NPL/indicator/ST.INT.ARVL?format=json&amp;mrv=10</t>
        </is>
      </c>
      <c r="BC36" s="12" t="inlineStr">
        <is>
          <t>Tier 3</t>
        </is>
      </c>
      <c r="BD36" s="12" t="inlineStr">
        <is>
          <t>2025-12-31</t>
        </is>
      </c>
      <c r="BE36" s="12" t="inlineStr">
        <is>
          <t>providers=world_bank; fields=hospitality_belonging_raw, tolerance_pluralism_raw, cultural_public_life_raw</t>
        </is>
      </c>
      <c r="BF36" s="12" t="inlineStr">
        <is>
          <t>https://api.worldbank.org/v2/country/NPL/indicator/IC.BUS.NDNS.ZS?format=json&amp;mrv=10 | https://api.worldbank.org/v2/country/NPL/indicator/IP.PAT.RESD?format=json&amp;mrv=10 | https://api.worldbank.org/v2/country/NPL/indicator/BX.KLT.DINV.WD.GD.ZS?format=json&amp;mrv=10 | +3 more</t>
        </is>
      </c>
      <c r="BG36" s="12" t="inlineStr">
        <is>
          <t>Tier 3</t>
        </is>
      </c>
      <c r="BH36" s="12" t="inlineStr">
        <is>
          <t>2024-12-31</t>
        </is>
      </c>
      <c r="BI36" s="12" t="inlineStr">
        <is>
          <t>providers=world_bank; fields=entrepreneurial_dynamism_raw, innovation_research_intensity_raw, investment_signal_raw, administrative_investment_friction_raw; +2 additional fields</t>
        </is>
      </c>
      <c r="BJ36" s="9" t="inlineStr"/>
    </row>
    <row r="37">
      <c r="A37" s="9" t="inlineStr">
        <is>
          <t>bt-thimphu</t>
        </is>
      </c>
      <c r="B37" s="9" t="inlineStr">
        <is>
          <t>Thimphu</t>
        </is>
      </c>
      <c r="C37" s="9" t="inlineStr">
        <is>
          <t>Bhutan</t>
        </is>
      </c>
      <c r="D37" s="9" t="inlineStr">
        <is>
          <t>South Asia</t>
        </is>
      </c>
      <c r="E37" s="9" t="inlineStr">
        <is>
          <t>secondary</t>
        </is>
      </c>
      <c r="F37" s="9" t="inlineStr">
        <is>
          <t>locked</t>
        </is>
      </c>
      <c r="G37" s="10" t="n">
        <v>1276.67</v>
      </c>
      <c r="H37" s="10" t="n">
        <v>191.5</v>
      </c>
      <c r="I37" s="10" t="n">
        <v>63.83</v>
      </c>
      <c r="J37" s="10" t="n">
        <v>38.3</v>
      </c>
      <c r="K37" s="10" t="n">
        <v>12.77</v>
      </c>
      <c r="L37" s="10" t="n">
        <v>319.17</v>
      </c>
      <c r="M37" s="11" t="inlineStr"/>
      <c r="N37" s="10" t="n">
        <v>15</v>
      </c>
      <c r="O37" s="10" t="n">
        <v>51.8935</v>
      </c>
      <c r="P37" s="11">
        <f>IF($O37&lt;&gt;"",$O37,$AO37)</f>
        <v/>
      </c>
      <c r="Q37" s="10" t="n">
        <v>54.42</v>
      </c>
      <c r="R37" s="10" t="n">
        <v>4.9</v>
      </c>
      <c r="S37" s="10" t="n">
        <v>2.47</v>
      </c>
      <c r="T37" s="10" t="inlineStr"/>
      <c r="U37" s="10" t="inlineStr"/>
      <c r="V37" s="10" t="n">
        <v>65.59</v>
      </c>
      <c r="W37" s="10" t="n">
        <v>1.32</v>
      </c>
      <c r="X37" s="9" t="inlineStr"/>
      <c r="Y37" s="10" t="n">
        <v>69</v>
      </c>
      <c r="Z37" s="10" t="n">
        <v>13.01</v>
      </c>
      <c r="AA37" s="10" t="n">
        <v>28.5</v>
      </c>
      <c r="AB37" s="10" t="n">
        <v>50.57</v>
      </c>
      <c r="AC37" s="10" t="n">
        <v>4.26</v>
      </c>
      <c r="AD37" s="10" t="n">
        <v>37.65</v>
      </c>
      <c r="AE37" s="10" t="n">
        <v>0.07000000000000001</v>
      </c>
      <c r="AF37" s="10" t="n">
        <v>10.11</v>
      </c>
      <c r="AG37" s="10" t="n">
        <v>0.34</v>
      </c>
      <c r="AH37" s="10" t="n">
        <v>2.9</v>
      </c>
      <c r="AI37" s="10" t="inlineStr"/>
      <c r="AJ37" s="11">
        <f>IFERROR(INDEX(Country_Context!$B$2:$B$87,MATCH($C37,Country_Context!$A$2:$A$87,0)),"")</f>
        <v/>
      </c>
      <c r="AK37" s="11">
        <f>IFERROR(INDEX(Country_Context!$C$2:$C$87,MATCH($C37,Country_Context!$A$2:$A$87,0)),"")</f>
        <v/>
      </c>
      <c r="AL37" s="11">
        <f>IFERROR(INDEX(Country_Context!$D$2:$D$87,MATCH($C37,Country_Context!$A$2:$A$87,0)),"")</f>
        <v/>
      </c>
      <c r="AM37" s="11">
        <f>IFERROR(INDEX(Country_Context!$E$2:$E$87,MATCH($C37,Country_Context!$A$2:$A$87,0)),"")</f>
        <v/>
      </c>
      <c r="AN37" s="11">
        <f>IFERROR(INDEX(Country_Context!$F$2:$F$87,MATCH($C37,Country_Context!$A$2:$A$87,0)),"")</f>
        <v/>
      </c>
      <c r="AO37" s="11">
        <f>IFERROR(INDEX(Country_Context!$G$2:$G$87,MATCH($C37,Country_Context!$A$2:$A$87,0)),"")</f>
        <v/>
      </c>
      <c r="AP37" s="12" t="inlineStr">
        <is>
          <t>https://api.worldbank.org/v2/country/BTN/indicator/NY.GNP.PCAP.PP.CD?format=json&amp;mrv=10 | https://data.worldbank.org/indicator/NY.GNP.PCAP.PP.CD | https://ilostat.ilo.org/data/indicator/?id=HOW_TEMP_SEX_ECO_NB_A&amp;ref_area=BTN | +4 more</t>
        </is>
      </c>
      <c r="AQ37" s="12" t="inlineStr">
        <is>
          <t>Tier 3, Tier 4</t>
        </is>
      </c>
      <c r="AR37" s="12" t="inlineStr">
        <is>
          <t>2024-12-31</t>
        </is>
      </c>
      <c r="AS37" s="12" t="inlineStr">
        <is>
          <t>providers=world_bank_col_estimate, derived, ilo_ilostat, who_gho; fields=gross_income, rent, utilities, transit_cost; +9 additional fields</t>
        </is>
      </c>
      <c r="AT37" s="12" t="inlineStr">
        <is>
          <t>https://api.worldbank.org/v2/country/BTN/indicator/VC.IHR.PSRC.P5?format=json&amp;mrv=10 | https://api.worldbank.org/v2/country/BTN/indicator/SH.H2O.SMDW.ZS?format=json&amp;mrv=10 | https://api.worldbank.org/v2/country/BTN/indicator/IT.NET.BBND.P2?format=json&amp;mrv=10</t>
        </is>
      </c>
      <c r="AU37" s="12" t="inlineStr">
        <is>
          <t>Tier 3</t>
        </is>
      </c>
      <c r="AV37" s="12" t="inlineStr">
        <is>
          <t>2024-12-31</t>
        </is>
      </c>
      <c r="AW37" s="12" t="inlineStr">
        <is>
          <t>providers=world_bank; fields=personal_safety_raw, water_sanitation_utility_raw, digital_infrastructure_raw</t>
        </is>
      </c>
      <c r="AX37" s="12" t="inlineStr">
        <is>
          <t>https://www.who.int/data/gho/data/indicators/indicator-details/GHO/UHC_INDEX_REPORTED | https://api.worldbank.org/v2/country/BTN/indicator/SE.TER.ENRR?format=json&amp;mrv=10 | https://api.worldbank.org/v2/country/BTN/indicator/SI.POV.GINI?format=json&amp;mrv=10 | +1 more</t>
        </is>
      </c>
      <c r="AY37" s="12" t="inlineStr">
        <is>
          <t>Tier 3</t>
        </is>
      </c>
      <c r="AZ37" s="12" t="inlineStr">
        <is>
          <t>2024-12-31</t>
        </is>
      </c>
      <c r="BA37" s="12" t="inlineStr">
        <is>
          <t>providers=who_gho, world_bank; fields=healthcare_quality_raw, education_quality_raw, equal_opportunity_raw, gini_coefficient</t>
        </is>
      </c>
      <c r="BB37" s="12" t="inlineStr">
        <is>
          <t>https://api.worldbank.org/v2/country/BTN/indicator/SM.POP.NETM?format=json&amp;mrv=10 | https://api.worldbank.org/v2/country/BTN/indicator/SG.GEN.PARL.ZS?format=json&amp;mrv=10 | https://api.worldbank.org/v2/country/BTN/indicator/ST.INT.ARVL?format=json&amp;mrv=10</t>
        </is>
      </c>
      <c r="BC37" s="12" t="inlineStr">
        <is>
          <t>Tier 3</t>
        </is>
      </c>
      <c r="BD37" s="12" t="inlineStr">
        <is>
          <t>2025-12-31</t>
        </is>
      </c>
      <c r="BE37" s="12" t="inlineStr">
        <is>
          <t>providers=world_bank; fields=hospitality_belonging_raw, tolerance_pluralism_raw, cultural_public_life_raw</t>
        </is>
      </c>
      <c r="BF37" s="12" t="inlineStr">
        <is>
          <t>https://api.worldbank.org/v2/country/BTN/indicator/IC.BUS.NDNS.ZS?format=json&amp;mrv=10 | https://api.worldbank.org/v2/country/BTN/indicator/IP.PAT.RESD?format=json&amp;mrv=10 | https://api.worldbank.org/v2/country/BTN/indicator/BX.KLT.DINV.WD.GD.ZS?format=json&amp;mrv=10 | +3 more</t>
        </is>
      </c>
      <c r="BG37" s="12" t="inlineStr">
        <is>
          <t>Tier 3</t>
        </is>
      </c>
      <c r="BH37" s="12" t="inlineStr">
        <is>
          <t>2023-12-31</t>
        </is>
      </c>
      <c r="BI37" s="12" t="inlineStr">
        <is>
          <t>providers=world_bank; fields=entrepreneurial_dynamism_raw, innovation_research_intensity_raw, investment_signal_raw, administrative_investment_friction_raw; +2 additional fields</t>
        </is>
      </c>
      <c r="BJ37" s="9" t="inlineStr"/>
    </row>
    <row r="38">
      <c r="A38" s="9" t="inlineStr">
        <is>
          <t>mv-male</t>
        </is>
      </c>
      <c r="B38" s="9" t="inlineStr">
        <is>
          <t>Male</t>
        </is>
      </c>
      <c r="C38" s="9" t="inlineStr">
        <is>
          <t>Maldives</t>
        </is>
      </c>
      <c r="D38" s="9" t="inlineStr">
        <is>
          <t>South Asia</t>
        </is>
      </c>
      <c r="E38" s="9" t="inlineStr">
        <is>
          <t>secondary</t>
        </is>
      </c>
      <c r="F38" s="9" t="inlineStr">
        <is>
          <t>locked</t>
        </is>
      </c>
      <c r="G38" s="10" t="n">
        <v>1950</v>
      </c>
      <c r="H38" s="10" t="n">
        <v>292.5</v>
      </c>
      <c r="I38" s="10" t="n">
        <v>97.5</v>
      </c>
      <c r="J38" s="10" t="n">
        <v>58.5</v>
      </c>
      <c r="K38" s="10" t="n">
        <v>19.5</v>
      </c>
      <c r="L38" s="10" t="n">
        <v>487.5</v>
      </c>
      <c r="M38" s="11" t="inlineStr"/>
      <c r="N38" s="10" t="n">
        <v>15</v>
      </c>
      <c r="O38" s="10" t="n">
        <v>31.5415</v>
      </c>
      <c r="P38" s="11">
        <f>IF($O38&lt;&gt;"",$O38,$AO38)</f>
        <v/>
      </c>
      <c r="Q38" s="10" t="n">
        <v>46.48</v>
      </c>
      <c r="R38" s="10" t="n">
        <v>1.47</v>
      </c>
      <c r="S38" s="10" t="n">
        <v>0.62</v>
      </c>
      <c r="T38" s="10" t="inlineStr"/>
      <c r="U38" s="10" t="inlineStr"/>
      <c r="V38" s="10" t="inlineStr"/>
      <c r="W38" s="10" t="n">
        <v>18.73</v>
      </c>
      <c r="X38" s="9" t="inlineStr"/>
      <c r="Y38" s="10" t="n">
        <v>71</v>
      </c>
      <c r="Z38" s="10" t="n">
        <v>48.5</v>
      </c>
      <c r="AA38" s="10" t="n">
        <v>29.3</v>
      </c>
      <c r="AB38" s="10" t="n">
        <v>45.67</v>
      </c>
      <c r="AC38" s="10" t="n">
        <v>3.23</v>
      </c>
      <c r="AD38" s="10" t="n">
        <v>1051.54</v>
      </c>
      <c r="AE38" s="10" t="n">
        <v>4.22</v>
      </c>
      <c r="AF38" s="10" t="inlineStr"/>
      <c r="AG38" s="10" t="n">
        <v>11.42</v>
      </c>
      <c r="AH38" s="10" t="n">
        <v>3.17</v>
      </c>
      <c r="AI38" s="10" t="inlineStr"/>
      <c r="AJ38" s="11">
        <f>IFERROR(INDEX(Country_Context!$B$2:$B$87,MATCH($C38,Country_Context!$A$2:$A$87,0)),"")</f>
        <v/>
      </c>
      <c r="AK38" s="11">
        <f>IFERROR(INDEX(Country_Context!$C$2:$C$87,MATCH($C38,Country_Context!$A$2:$A$87,0)),"")</f>
        <v/>
      </c>
      <c r="AL38" s="11">
        <f>IFERROR(INDEX(Country_Context!$D$2:$D$87,MATCH($C38,Country_Context!$A$2:$A$87,0)),"")</f>
        <v/>
      </c>
      <c r="AM38" s="11">
        <f>IFERROR(INDEX(Country_Context!$E$2:$E$87,MATCH($C38,Country_Context!$A$2:$A$87,0)),"")</f>
        <v/>
      </c>
      <c r="AN38" s="11">
        <f>IFERROR(INDEX(Country_Context!$F$2:$F$87,MATCH($C38,Country_Context!$A$2:$A$87,0)),"")</f>
        <v/>
      </c>
      <c r="AO38" s="11">
        <f>IFERROR(INDEX(Country_Context!$G$2:$G$87,MATCH($C38,Country_Context!$A$2:$A$87,0)),"")</f>
        <v/>
      </c>
      <c r="AP38" s="12" t="inlineStr">
        <is>
          <t>https://api.worldbank.org/v2/country/MDV/indicator/NY.GNP.PCAP.PP.CD?format=json&amp;mrv=10 | https://data.worldbank.org/indicator/NY.GNP.PCAP.PP.CD | https://ilostat.ilo.org/data/indicator/?id=HOW_TEMP_SEX_ECO_NB_A&amp;ref_area=MDV | +4 more</t>
        </is>
      </c>
      <c r="AQ38" s="12" t="inlineStr">
        <is>
          <t>Tier 3, Tier 4</t>
        </is>
      </c>
      <c r="AR38" s="12" t="inlineStr">
        <is>
          <t>2024-12-31</t>
        </is>
      </c>
      <c r="AS38" s="12" t="inlineStr">
        <is>
          <t>providers=world_bank_col_estimate, derived, ilo_ilostat, who_gho; fields=gross_income, rent, utilities, transit_cost; +9 additional fields</t>
        </is>
      </c>
      <c r="AT38" s="12" t="inlineStr">
        <is>
          <t>https://api.worldbank.org/v2/country/MDV/indicator/VC.IHR.PSRC.P5?format=json&amp;mrv=10 | https://api.worldbank.org/v2/country/MDV/indicator/IT.NET.BBND.P2?format=json&amp;mrv=10</t>
        </is>
      </c>
      <c r="AU38" s="12" t="inlineStr">
        <is>
          <t>Tier 3</t>
        </is>
      </c>
      <c r="AV38" s="12" t="inlineStr">
        <is>
          <t>2023-12-31</t>
        </is>
      </c>
      <c r="AW38" s="12" t="inlineStr">
        <is>
          <t>providers=world_bank; fields=personal_safety_raw, digital_infrastructure_raw</t>
        </is>
      </c>
      <c r="AX38" s="12" t="inlineStr">
        <is>
          <t>https://www.who.int/data/gho/data/indicators/indicator-details/GHO/UHC_INDEX_REPORTED | https://api.worldbank.org/v2/country/MDV/indicator/SE.TER.ENRR?format=json&amp;mrv=10 | https://api.worldbank.org/v2/country/MDV/indicator/SI.POV.GINI?format=json&amp;mrv=10 | +1 more</t>
        </is>
      </c>
      <c r="AY38" s="12" t="inlineStr">
        <is>
          <t>Tier 3</t>
        </is>
      </c>
      <c r="AZ38" s="12" t="inlineStr">
        <is>
          <t>2023-12-31</t>
        </is>
      </c>
      <c r="BA38" s="12" t="inlineStr">
        <is>
          <t>providers=who_gho, world_bank; fields=healthcare_quality_raw, education_quality_raw, equal_opportunity_raw, gini_coefficient</t>
        </is>
      </c>
      <c r="BB38" s="12" t="inlineStr">
        <is>
          <t>https://api.worldbank.org/v2/country/MDV/indicator/SM.POP.NETM?format=json&amp;mrv=10 | https://api.worldbank.org/v2/country/MDV/indicator/SG.GEN.PARL.ZS?format=json&amp;mrv=10 | https://api.worldbank.org/v2/country/MDV/indicator/ST.INT.ARVL?format=json&amp;mrv=10</t>
        </is>
      </c>
      <c r="BC38" s="12" t="inlineStr">
        <is>
          <t>Tier 3</t>
        </is>
      </c>
      <c r="BD38" s="12" t="inlineStr">
        <is>
          <t>2025-12-31</t>
        </is>
      </c>
      <c r="BE38" s="12" t="inlineStr">
        <is>
          <t>providers=world_bank; fields=hospitality_belonging_raw, tolerance_pluralism_raw, cultural_public_life_raw</t>
        </is>
      </c>
      <c r="BF38" s="12" t="inlineStr">
        <is>
          <t>https://api.worldbank.org/v2/country/MDV/indicator/IC.BUS.NDNS.ZS?format=json&amp;mrv=10 | https://api.worldbank.org/v2/country/MDV/indicator/BX.KLT.DINV.WD.GD.ZS?format=json&amp;mrv=10 | https://api.worldbank.org/v2/country/MDV/indicator/RQ.EST?format=json&amp;mrv=10 | +2 more</t>
        </is>
      </c>
      <c r="BG38" s="12" t="inlineStr">
        <is>
          <t>Tier 3</t>
        </is>
      </c>
      <c r="BH38" s="12" t="inlineStr">
        <is>
          <t>2024-12-31</t>
        </is>
      </c>
      <c r="BI38" s="12" t="inlineStr">
        <is>
          <t>providers=world_bank; fields=entrepreneurial_dynamism_raw, investment_signal_raw, administrative_investment_friction_raw, gdp_per_capita_ppp; +1 additional fields</t>
        </is>
      </c>
      <c r="BJ38" s="9" t="inlineStr"/>
    </row>
    <row r="39">
      <c r="A39" s="9" t="inlineStr">
        <is>
          <t>fr-paris</t>
        </is>
      </c>
      <c r="B39" s="9" t="inlineStr">
        <is>
          <t>Paris</t>
        </is>
      </c>
      <c r="C39" s="9" t="inlineStr">
        <is>
          <t>France</t>
        </is>
      </c>
      <c r="D39" s="9" t="inlineStr">
        <is>
          <t>Western, Northern, and Southern Europe</t>
        </is>
      </c>
      <c r="E39" s="9" t="inlineStr">
        <is>
          <t>primary</t>
        </is>
      </c>
      <c r="F39" s="9" t="inlineStr">
        <is>
          <t>locked</t>
        </is>
      </c>
      <c r="G39" s="10" t="n">
        <v>6121.83</v>
      </c>
      <c r="H39" s="10" t="n">
        <v>2785.43</v>
      </c>
      <c r="I39" s="10" t="n">
        <v>557.09</v>
      </c>
      <c r="J39" s="10" t="n">
        <v>397.92</v>
      </c>
      <c r="K39" s="10" t="n">
        <v>119.38</v>
      </c>
      <c r="L39" s="10" t="n">
        <v>1193.76</v>
      </c>
      <c r="M39" s="11" t="inlineStr"/>
      <c r="N39" s="10" t="n">
        <v>45.5</v>
      </c>
      <c r="O39" s="10" t="n">
        <v>103.9081</v>
      </c>
      <c r="P39" s="11">
        <f>IF($O39&lt;&gt;"",$O39,$AO39)</f>
        <v/>
      </c>
      <c r="Q39" s="10" t="n">
        <v>35.49</v>
      </c>
      <c r="R39" s="10" t="n">
        <v>16.58</v>
      </c>
      <c r="S39" s="10" t="n">
        <v>1.34</v>
      </c>
      <c r="T39" s="10" t="inlineStr"/>
      <c r="U39" s="10" t="inlineStr"/>
      <c r="V39" s="10" t="n">
        <v>99.70999999999999</v>
      </c>
      <c r="W39" s="10" t="n">
        <v>48.67</v>
      </c>
      <c r="X39" s="9" t="n">
        <v>50</v>
      </c>
      <c r="Y39" s="10" t="n">
        <v>82</v>
      </c>
      <c r="Z39" s="10" t="n">
        <v>70.45</v>
      </c>
      <c r="AA39" s="10" t="n">
        <v>31.8</v>
      </c>
      <c r="AB39" s="10" t="n">
        <v>51.34</v>
      </c>
      <c r="AC39" s="10" t="n">
        <v>36.05</v>
      </c>
      <c r="AD39" s="10" t="n">
        <v>1708.33</v>
      </c>
      <c r="AE39" s="10" t="n">
        <v>6.71</v>
      </c>
      <c r="AF39" s="10" t="n">
        <v>2.23</v>
      </c>
      <c r="AG39" s="10" t="n">
        <v>1.65</v>
      </c>
      <c r="AH39" s="10" t="n">
        <v>1.35</v>
      </c>
      <c r="AI39" s="10" t="inlineStr"/>
      <c r="AJ39" s="11">
        <f>IFERROR(INDEX(Country_Context!$B$2:$B$87,MATCH($C39,Country_Context!$A$2:$A$87,0)),"")</f>
        <v/>
      </c>
      <c r="AK39" s="11">
        <f>IFERROR(INDEX(Country_Context!$C$2:$C$87,MATCH($C39,Country_Context!$A$2:$A$87,0)),"")</f>
        <v/>
      </c>
      <c r="AL39" s="11">
        <f>IFERROR(INDEX(Country_Context!$D$2:$D$87,MATCH($C39,Country_Context!$A$2:$A$87,0)),"")</f>
        <v/>
      </c>
      <c r="AM39" s="11">
        <f>IFERROR(INDEX(Country_Context!$E$2:$E$87,MATCH($C39,Country_Context!$A$2:$A$87,0)),"")</f>
        <v/>
      </c>
      <c r="AN39" s="11">
        <f>IFERROR(INDEX(Country_Context!$F$2:$F$87,MATCH($C39,Country_Context!$A$2:$A$87,0)),"")</f>
        <v/>
      </c>
      <c r="AO39" s="11">
        <f>IFERROR(INDEX(Country_Context!$G$2:$G$87,MATCH($C39,Country_Context!$A$2:$A$87,0)),"")</f>
        <v/>
      </c>
      <c r="AP39" s="12" t="inlineStr">
        <is>
          <t>https://api.worldbank.org/v2/country/FRA/indicator/NY.GNP.PCAP.PP.CD?format=json&amp;mrv=10 | https://data.worldbank.org/indicator/NY.GNP.PCAP.PP.CD | https://ilostat.ilo.org/data/indicator/?id=HOW_TEMP_SEX_ECO_NB_A&amp;ref_area=FRA | +4 more</t>
        </is>
      </c>
      <c r="AQ39" s="12" t="inlineStr">
        <is>
          <t>Tier 3, Tier 4</t>
        </is>
      </c>
      <c r="AR39" s="12" t="inlineStr">
        <is>
          <t>2024-12-31</t>
        </is>
      </c>
      <c r="AS39" s="12" t="inlineStr">
        <is>
          <t>providers=world_bank_col_estimate, derived, ilo_ilostat, who_gho; fields=gross_income, rent, utilities, transit_cost; +9 additional fields</t>
        </is>
      </c>
      <c r="AT39" s="12" t="inlineStr">
        <is>
          <t>https://api.worldbank.org/v2/country/FRA/indicator/VC.IHR.PSRC.P5?format=json&amp;mrv=10 | https://api.worldbank.org/v2/country/FRA/indicator/SH.H2O.SMDW.ZS?format=json&amp;mrv=10 | https://api.worldbank.org/v2/country/FRA/indicator/IT.NET.BBND.P2?format=json&amp;mrv=10 | +1 more</t>
        </is>
      </c>
      <c r="AU39" s="12" t="inlineStr">
        <is>
          <t>Tier 3</t>
        </is>
      </c>
      <c r="AV39" s="12" t="inlineStr">
        <is>
          <t>2024-12-31</t>
        </is>
      </c>
      <c r="AW39" s="12" t="inlineStr">
        <is>
          <t>providers=world_bank, wmo_natl_met; fields=personal_safety_raw, water_sanitation_utility_raw, digital_infrastructure_raw, climate_sunlight_livability_raw</t>
        </is>
      </c>
      <c r="AX39" s="12" t="inlineStr">
        <is>
          <t>https://www.who.int/data/gho/data/indicators/indicator-details/GHO/UHC_INDEX_REPORTED | https://api.worldbank.org/v2/country/FRA/indicator/SE.TER.ENRR?format=json&amp;mrv=10 | https://api.worldbank.org/v2/country/FRA/indicator/SI.POV.GINI?format=json&amp;mrv=10 | +1 more</t>
        </is>
      </c>
      <c r="AY39" s="12" t="inlineStr">
        <is>
          <t>Tier 3</t>
        </is>
      </c>
      <c r="AZ39" s="12" t="inlineStr">
        <is>
          <t>2023-12-31</t>
        </is>
      </c>
      <c r="BA39" s="12" t="inlineStr">
        <is>
          <t>providers=who_gho, world_bank; fields=healthcare_quality_raw, education_quality_raw, equal_opportunity_raw, gini_coefficient</t>
        </is>
      </c>
      <c r="BB39" s="12" t="inlineStr">
        <is>
          <t>https://api.worldbank.org/v2/country/FRA/indicator/SM.POP.NETM?format=json&amp;mrv=10 | https://api.worldbank.org/v2/country/FRA/indicator/SG.GEN.PARL.ZS?format=json&amp;mrv=10 | https://api.worldbank.org/v2/country/FRA/indicator/ST.INT.ARVL?format=json&amp;mrv=10 | +1 more</t>
        </is>
      </c>
      <c r="BC39" s="12" t="inlineStr">
        <is>
          <t>Tier 3</t>
        </is>
      </c>
      <c r="BD39" s="12" t="inlineStr">
        <is>
          <t>2025-12-31</t>
        </is>
      </c>
      <c r="BE39" s="12" t="inlineStr">
        <is>
          <t>providers=world_bank; fields=hospitality_belonging_raw, tolerance_pluralism_raw, cultural_public_life_raw, birth_rate_optimism_raw</t>
        </is>
      </c>
      <c r="BF39" s="12" t="inlineStr">
        <is>
          <t>https://api.worldbank.org/v2/country/FRA/indicator/IC.BUS.NDNS.ZS?format=json&amp;mrv=10 | https://api.worldbank.org/v2/country/FRA/indicator/GB.XPD.RSDV.GD.ZS?format=json&amp;mrv=10 | https://api.worldbank.org/v2/country/FRA/indicator/BX.KLT.DINV.WD.GD.ZS?format=json&amp;mrv=10 | +3 more</t>
        </is>
      </c>
      <c r="BG39" s="12" t="inlineStr">
        <is>
          <t>Tier 3</t>
        </is>
      </c>
      <c r="BH39" s="12" t="inlineStr">
        <is>
          <t>2024-12-31</t>
        </is>
      </c>
      <c r="BI39" s="12" t="inlineStr">
        <is>
          <t>providers=world_bank; fields=entrepreneurial_dynamism_raw, innovation_research_intensity_raw, investment_signal_raw, administrative_investment_friction_raw; +2 additional fields</t>
        </is>
      </c>
      <c r="BJ39" s="9" t="n">
        <v>1.68</v>
      </c>
    </row>
    <row r="40">
      <c r="A40" s="9" t="inlineStr">
        <is>
          <t>at-vienna</t>
        </is>
      </c>
      <c r="B40" s="9" t="inlineStr">
        <is>
          <t>Vienna</t>
        </is>
      </c>
      <c r="C40" s="9" t="inlineStr">
        <is>
          <t>Austria</t>
        </is>
      </c>
      <c r="D40" s="9" t="inlineStr">
        <is>
          <t>Western, Northern, and Southern Europe</t>
        </is>
      </c>
      <c r="E40" s="9" t="inlineStr">
        <is>
          <t>primary</t>
        </is>
      </c>
      <c r="F40" s="9" t="inlineStr">
        <is>
          <t>locked</t>
        </is>
      </c>
      <c r="G40" s="10" t="n">
        <v>6180</v>
      </c>
      <c r="H40" s="10" t="n">
        <v>2163</v>
      </c>
      <c r="I40" s="10" t="n">
        <v>432.6</v>
      </c>
      <c r="J40" s="10" t="n">
        <v>309</v>
      </c>
      <c r="K40" s="10" t="n">
        <v>92.7</v>
      </c>
      <c r="L40" s="10" t="n">
        <v>927</v>
      </c>
      <c r="M40" s="11" t="inlineStr"/>
      <c r="N40" s="10" t="n">
        <v>35</v>
      </c>
      <c r="O40" s="10" t="n">
        <v>81.4953</v>
      </c>
      <c r="P40" s="11">
        <f>IF($O40&lt;&gt;"",$O40,$AO40)</f>
        <v/>
      </c>
      <c r="Q40" s="10" t="n">
        <v>33.41</v>
      </c>
      <c r="R40" s="10" t="n">
        <v>14.51</v>
      </c>
      <c r="S40" s="10" t="n">
        <v>0.88</v>
      </c>
      <c r="T40" s="10" t="inlineStr"/>
      <c r="U40" s="10" t="inlineStr"/>
      <c r="V40" s="10" t="n">
        <v>98.89</v>
      </c>
      <c r="W40" s="10" t="n">
        <v>29.37</v>
      </c>
      <c r="X40" s="9" t="n">
        <v>52</v>
      </c>
      <c r="Y40" s="10" t="n">
        <v>84</v>
      </c>
      <c r="Z40" s="10" t="n">
        <v>91.68000000000001</v>
      </c>
      <c r="AA40" s="10" t="n">
        <v>31.2</v>
      </c>
      <c r="AB40" s="10" t="n">
        <v>51.23</v>
      </c>
      <c r="AC40" s="10" t="n">
        <v>36.07</v>
      </c>
      <c r="AD40" s="10" t="n">
        <v>1644.26</v>
      </c>
      <c r="AE40" s="10" t="n">
        <v>0.95</v>
      </c>
      <c r="AF40" s="10" t="n">
        <v>3.2</v>
      </c>
      <c r="AG40" s="10" t="n">
        <v>2.55</v>
      </c>
      <c r="AH40" s="10" t="n">
        <v>1.14</v>
      </c>
      <c r="AI40" s="10" t="inlineStr"/>
      <c r="AJ40" s="11">
        <f>IFERROR(INDEX(Country_Context!$B$2:$B$87,MATCH($C40,Country_Context!$A$2:$A$87,0)),"")</f>
        <v/>
      </c>
      <c r="AK40" s="11">
        <f>IFERROR(INDEX(Country_Context!$C$2:$C$87,MATCH($C40,Country_Context!$A$2:$A$87,0)),"")</f>
        <v/>
      </c>
      <c r="AL40" s="11">
        <f>IFERROR(INDEX(Country_Context!$D$2:$D$87,MATCH($C40,Country_Context!$A$2:$A$87,0)),"")</f>
        <v/>
      </c>
      <c r="AM40" s="11">
        <f>IFERROR(INDEX(Country_Context!$E$2:$E$87,MATCH($C40,Country_Context!$A$2:$A$87,0)),"")</f>
        <v/>
      </c>
      <c r="AN40" s="11">
        <f>IFERROR(INDEX(Country_Context!$F$2:$F$87,MATCH($C40,Country_Context!$A$2:$A$87,0)),"")</f>
        <v/>
      </c>
      <c r="AO40" s="11">
        <f>IFERROR(INDEX(Country_Context!$G$2:$G$87,MATCH($C40,Country_Context!$A$2:$A$87,0)),"")</f>
        <v/>
      </c>
      <c r="AP40" s="12" t="inlineStr">
        <is>
          <t>https://api.worldbank.org/v2/country/AUT/indicator/NY.GNP.PCAP.PP.CD?format=json&amp;mrv=10 | https://data.worldbank.org/indicator/NY.GNP.PCAP.PP.CD | https://ilostat.ilo.org/data/indicator/?id=HOW_TEMP_SEX_ECO_NB_A&amp;ref_area=AUT | +4 more</t>
        </is>
      </c>
      <c r="AQ40" s="12" t="inlineStr">
        <is>
          <t>Tier 3, Tier 4</t>
        </is>
      </c>
      <c r="AR40" s="12" t="inlineStr">
        <is>
          <t>2024-12-31</t>
        </is>
      </c>
      <c r="AS40" s="12" t="inlineStr">
        <is>
          <t>providers=world_bank_col_estimate, derived, ilo_ilostat, who_gho; fields=gross_income, rent, utilities, transit_cost; +9 additional fields</t>
        </is>
      </c>
      <c r="AT40" s="12" t="inlineStr">
        <is>
          <t>https://api.worldbank.org/v2/country/AUT/indicator/VC.IHR.PSRC.P5?format=json&amp;mrv=10 | https://api.worldbank.org/v2/country/AUT/indicator/SH.H2O.SMDW.ZS?format=json&amp;mrv=10 | https://api.worldbank.org/v2/country/AUT/indicator/IT.NET.BBND.P2?format=json&amp;mrv=10 | +1 more</t>
        </is>
      </c>
      <c r="AU40" s="12" t="inlineStr">
        <is>
          <t>Tier 3</t>
        </is>
      </c>
      <c r="AV40" s="12" t="inlineStr">
        <is>
          <t>2024-12-31</t>
        </is>
      </c>
      <c r="AW40" s="12" t="inlineStr">
        <is>
          <t>providers=world_bank, wmo_natl_met; fields=personal_safety_raw, water_sanitation_utility_raw, digital_infrastructure_raw, climate_sunlight_livability_raw</t>
        </is>
      </c>
      <c r="AX40" s="12" t="inlineStr">
        <is>
          <t>https://www.who.int/data/gho/data/indicators/indicator-details/GHO/UHC_INDEX_REPORTED | https://api.worldbank.org/v2/country/AUT/indicator/SE.TER.ENRR?format=json&amp;mrv=10 | https://api.worldbank.org/v2/country/AUT/indicator/SI.POV.GINI?format=json&amp;mrv=10 | +1 more</t>
        </is>
      </c>
      <c r="AY40" s="12" t="inlineStr">
        <is>
          <t>Tier 3</t>
        </is>
      </c>
      <c r="AZ40" s="12" t="inlineStr">
        <is>
          <t>2023-12-31</t>
        </is>
      </c>
      <c r="BA40" s="12" t="inlineStr">
        <is>
          <t>providers=who_gho, world_bank; fields=healthcare_quality_raw, education_quality_raw, equal_opportunity_raw, gini_coefficient</t>
        </is>
      </c>
      <c r="BB40" s="12" t="inlineStr">
        <is>
          <t>https://api.worldbank.org/v2/country/AUT/indicator/SM.POP.NETM?format=json&amp;mrv=10 | https://api.worldbank.org/v2/country/AUT/indicator/SG.GEN.PARL.ZS?format=json&amp;mrv=10 | https://api.worldbank.org/v2/country/AUT/indicator/ST.INT.ARVL?format=json&amp;mrv=10 | +1 more</t>
        </is>
      </c>
      <c r="BC40" s="12" t="inlineStr">
        <is>
          <t>Tier 3</t>
        </is>
      </c>
      <c r="BD40" s="12" t="inlineStr">
        <is>
          <t>2025-12-31</t>
        </is>
      </c>
      <c r="BE40" s="12" t="inlineStr">
        <is>
          <t>providers=world_bank; fields=hospitality_belonging_raw, tolerance_pluralism_raw, cultural_public_life_raw, birth_rate_optimism_raw</t>
        </is>
      </c>
      <c r="BF40" s="12" t="inlineStr">
        <is>
          <t>https://api.worldbank.org/v2/country/AUT/indicator/IC.BUS.NDNS.ZS?format=json&amp;mrv=10 | https://api.worldbank.org/v2/country/AUT/indicator/GB.XPD.RSDV.GD.ZS?format=json&amp;mrv=10 | https://api.worldbank.org/v2/country/AUT/indicator/BX.KLT.DINV.WD.GD.ZS?format=json&amp;mrv=10 | +3 more</t>
        </is>
      </c>
      <c r="BG40" s="12" t="inlineStr">
        <is>
          <t>Tier 3</t>
        </is>
      </c>
      <c r="BH40" s="12" t="inlineStr">
        <is>
          <t>2024-12-31</t>
        </is>
      </c>
      <c r="BI40" s="12" t="inlineStr">
        <is>
          <t>providers=world_bank; fields=entrepreneurial_dynamism_raw, innovation_research_intensity_raw, investment_signal_raw, administrative_investment_friction_raw; +2 additional fields</t>
        </is>
      </c>
      <c r="BJ40" s="9" t="n">
        <v>1.41</v>
      </c>
    </row>
    <row r="41">
      <c r="A41" s="9" t="inlineStr">
        <is>
          <t>ch-zurich</t>
        </is>
      </c>
      <c r="B41" s="9" t="inlineStr">
        <is>
          <t>Zurich</t>
        </is>
      </c>
      <c r="C41" s="9" t="inlineStr">
        <is>
          <t>Switzerland</t>
        </is>
      </c>
      <c r="D41" s="9" t="inlineStr">
        <is>
          <t>Western, Northern, and Southern Europe</t>
        </is>
      </c>
      <c r="E41" s="9" t="inlineStr">
        <is>
          <t>primary</t>
        </is>
      </c>
      <c r="F41" s="9" t="inlineStr">
        <is>
          <t>locked</t>
        </is>
      </c>
      <c r="G41" s="10" t="n">
        <v>9342</v>
      </c>
      <c r="H41" s="10" t="n">
        <v>4087.12</v>
      </c>
      <c r="I41" s="10" t="n">
        <v>817.4299999999999</v>
      </c>
      <c r="J41" s="10" t="n">
        <v>583.88</v>
      </c>
      <c r="K41" s="10" t="n">
        <v>175.16</v>
      </c>
      <c r="L41" s="10" t="n">
        <v>1751.62</v>
      </c>
      <c r="M41" s="11" t="inlineStr"/>
      <c r="N41" s="10" t="n">
        <v>43.7499</v>
      </c>
      <c r="O41" s="10" t="n">
        <v>170.3782</v>
      </c>
      <c r="P41" s="11">
        <f>IF($O41&lt;&gt;"",$O41,$AO41)</f>
        <v/>
      </c>
      <c r="Q41" s="10" t="n">
        <v>35.21</v>
      </c>
      <c r="R41" s="10" t="n">
        <v>14.02</v>
      </c>
      <c r="S41" s="10" t="n">
        <v>0.6</v>
      </c>
      <c r="T41" s="10" t="inlineStr"/>
      <c r="U41" s="10" t="inlineStr"/>
      <c r="V41" s="10" t="n">
        <v>96.7</v>
      </c>
      <c r="W41" s="10" t="n">
        <v>47.7</v>
      </c>
      <c r="X41" s="9" t="n">
        <v>50</v>
      </c>
      <c r="Y41" s="10" t="n">
        <v>87</v>
      </c>
      <c r="Z41" s="10" t="n">
        <v>74.01000000000001</v>
      </c>
      <c r="AA41" s="10" t="n">
        <v>33.8</v>
      </c>
      <c r="AB41" s="10" t="n">
        <v>54.14</v>
      </c>
      <c r="AC41" s="10" t="n">
        <v>38.5</v>
      </c>
      <c r="AD41" s="10" t="n">
        <v>1312.3</v>
      </c>
      <c r="AE41" s="10" t="n">
        <v>4.63</v>
      </c>
      <c r="AF41" s="10" t="n">
        <v>3.31</v>
      </c>
      <c r="AG41" s="10" t="n">
        <v>-11.57</v>
      </c>
      <c r="AH41" s="10" t="n">
        <v>0.77</v>
      </c>
      <c r="AI41" s="10" t="inlineStr"/>
      <c r="AJ41" s="11">
        <f>IFERROR(INDEX(Country_Context!$B$2:$B$87,MATCH($C41,Country_Context!$A$2:$A$87,0)),"")</f>
        <v/>
      </c>
      <c r="AK41" s="11">
        <f>IFERROR(INDEX(Country_Context!$C$2:$C$87,MATCH($C41,Country_Context!$A$2:$A$87,0)),"")</f>
        <v/>
      </c>
      <c r="AL41" s="11">
        <f>IFERROR(INDEX(Country_Context!$D$2:$D$87,MATCH($C41,Country_Context!$A$2:$A$87,0)),"")</f>
        <v/>
      </c>
      <c r="AM41" s="11">
        <f>IFERROR(INDEX(Country_Context!$E$2:$E$87,MATCH($C41,Country_Context!$A$2:$A$87,0)),"")</f>
        <v/>
      </c>
      <c r="AN41" s="11">
        <f>IFERROR(INDEX(Country_Context!$F$2:$F$87,MATCH($C41,Country_Context!$A$2:$A$87,0)),"")</f>
        <v/>
      </c>
      <c r="AO41" s="11">
        <f>IFERROR(INDEX(Country_Context!$G$2:$G$87,MATCH($C41,Country_Context!$A$2:$A$87,0)),"")</f>
        <v/>
      </c>
      <c r="AP41" s="12" t="inlineStr">
        <is>
          <t>https://api.worldbank.org/v2/country/CHE/indicator/NY.GNP.PCAP.PP.CD?format=json&amp;mrv=10 | https://data.worldbank.org/indicator/NY.GNP.PCAP.PP.CD | https://ilostat.ilo.org/data/indicator/?id=HOW_TEMP_SEX_ECO_NB_A&amp;ref_area=CHE | +4 more</t>
        </is>
      </c>
      <c r="AQ41" s="12" t="inlineStr">
        <is>
          <t>Tier 3, Tier 4</t>
        </is>
      </c>
      <c r="AR41" s="12" t="inlineStr">
        <is>
          <t>2024-12-31</t>
        </is>
      </c>
      <c r="AS41" s="12" t="inlineStr">
        <is>
          <t>providers=world_bank_col_estimate, derived, ilo_ilostat, who_gho; fields=gross_income, rent, utilities, transit_cost; +9 additional fields</t>
        </is>
      </c>
      <c r="AT41" s="12" t="inlineStr">
        <is>
          <t>https://api.worldbank.org/v2/country/CHE/indicator/VC.IHR.PSRC.P5?format=json&amp;mrv=10 | https://api.worldbank.org/v2/country/CHE/indicator/SH.H2O.SMDW.ZS?format=json&amp;mrv=10 | https://api.worldbank.org/v2/country/CHE/indicator/IT.NET.BBND.P2?format=json&amp;mrv=10 | +1 more</t>
        </is>
      </c>
      <c r="AU41" s="12" t="inlineStr">
        <is>
          <t>Tier 3</t>
        </is>
      </c>
      <c r="AV41" s="12" t="inlineStr">
        <is>
          <t>2024-12-31</t>
        </is>
      </c>
      <c r="AW41" s="12" t="inlineStr">
        <is>
          <t>providers=world_bank, wmo_natl_met; fields=personal_safety_raw, water_sanitation_utility_raw, digital_infrastructure_raw, climate_sunlight_livability_raw</t>
        </is>
      </c>
      <c r="AX41" s="12" t="inlineStr">
        <is>
          <t>https://www.who.int/data/gho/data/indicators/indicator-details/GHO/UHC_INDEX_REPORTED | https://api.worldbank.org/v2/country/CHE/indicator/SE.TER.ENRR?format=json&amp;mrv=10 | https://api.worldbank.org/v2/country/CHE/indicator/SI.POV.GINI?format=json&amp;mrv=10 | +1 more</t>
        </is>
      </c>
      <c r="AY41" s="12" t="inlineStr">
        <is>
          <t>Tier 3</t>
        </is>
      </c>
      <c r="AZ41" s="12" t="inlineStr">
        <is>
          <t>2023-12-31</t>
        </is>
      </c>
      <c r="BA41" s="12" t="inlineStr">
        <is>
          <t>providers=who_gho, world_bank; fields=healthcare_quality_raw, education_quality_raw, equal_opportunity_raw, gini_coefficient</t>
        </is>
      </c>
      <c r="BB41" s="12" t="inlineStr">
        <is>
          <t>https://api.worldbank.org/v2/country/CHE/indicator/SM.POP.NETM?format=json&amp;mrv=10 | https://api.worldbank.org/v2/country/CHE/indicator/SG.GEN.PARL.ZS?format=json&amp;mrv=10 | https://api.worldbank.org/v2/country/CHE/indicator/ST.INT.ARVL?format=json&amp;mrv=10 | +1 more</t>
        </is>
      </c>
      <c r="BC41" s="12" t="inlineStr">
        <is>
          <t>Tier 3</t>
        </is>
      </c>
      <c r="BD41" s="12" t="inlineStr">
        <is>
          <t>2025-12-31</t>
        </is>
      </c>
      <c r="BE41" s="12" t="inlineStr">
        <is>
          <t>providers=world_bank; fields=hospitality_belonging_raw, tolerance_pluralism_raw, cultural_public_life_raw, birth_rate_optimism_raw</t>
        </is>
      </c>
      <c r="BF41" s="12" t="inlineStr">
        <is>
          <t>https://api.worldbank.org/v2/country/CHE/indicator/IC.BUS.NDNS.ZS?format=json&amp;mrv=10 | https://api.worldbank.org/v2/country/CHE/indicator/GB.XPD.RSDV.GD.ZS?format=json&amp;mrv=10 | https://api.worldbank.org/v2/country/CHE/indicator/BX.KLT.DINV.WD.GD.ZS?format=json&amp;mrv=10 | +3 more</t>
        </is>
      </c>
      <c r="BG41" s="12" t="inlineStr">
        <is>
          <t>Tier 3</t>
        </is>
      </c>
      <c r="BH41" s="12" t="inlineStr">
        <is>
          <t>2024-12-31</t>
        </is>
      </c>
      <c r="BI41" s="12" t="inlineStr">
        <is>
          <t>providers=world_bank; fields=entrepreneurial_dynamism_raw, innovation_research_intensity_raw, investment_signal_raw, administrative_investment_friction_raw; +2 additional fields</t>
        </is>
      </c>
      <c r="BJ41" s="9" t="n">
        <v>1.46</v>
      </c>
    </row>
    <row r="42">
      <c r="A42" s="9" t="inlineStr">
        <is>
          <t>nl-amsterdam</t>
        </is>
      </c>
      <c r="B42" s="9" t="inlineStr">
        <is>
          <t>Amsterdam</t>
        </is>
      </c>
      <c r="C42" s="9" t="inlineStr">
        <is>
          <t>Netherlands</t>
        </is>
      </c>
      <c r="D42" s="9" t="inlineStr">
        <is>
          <t>Western, Northern, and Southern Europe</t>
        </is>
      </c>
      <c r="E42" s="9" t="inlineStr">
        <is>
          <t>primary</t>
        </is>
      </c>
      <c r="F42" s="9" t="inlineStr">
        <is>
          <t>provisional</t>
        </is>
      </c>
      <c r="G42" s="10" t="n">
        <v>7788.92</v>
      </c>
      <c r="H42" s="10" t="n">
        <v>3271.35</v>
      </c>
      <c r="I42" s="10" t="n">
        <v>654.27</v>
      </c>
      <c r="J42" s="10" t="n">
        <v>467.34</v>
      </c>
      <c r="K42" s="10" t="n">
        <v>140.2</v>
      </c>
      <c r="L42" s="10" t="n">
        <v>1402.01</v>
      </c>
      <c r="M42" s="11" t="inlineStr"/>
      <c r="N42" s="10" t="n">
        <v>42</v>
      </c>
      <c r="O42" s="10" t="n">
        <v>82.3297</v>
      </c>
      <c r="P42" s="11">
        <f>IF($O42&lt;&gt;"",$O42,$AO42)</f>
        <v/>
      </c>
      <c r="Q42" s="10" t="n">
        <v>30.24</v>
      </c>
      <c r="R42" s="10" t="n">
        <v>11.5</v>
      </c>
      <c r="S42" s="10" t="n">
        <v>0.6899999999999999</v>
      </c>
      <c r="T42" s="10" t="inlineStr"/>
      <c r="U42" s="10" t="inlineStr"/>
      <c r="V42" s="10" t="n">
        <v>99.95999999999999</v>
      </c>
      <c r="W42" s="10" t="n">
        <v>43.26</v>
      </c>
      <c r="X42" s="9" t="n">
        <v>46</v>
      </c>
      <c r="Y42" s="10" t="n">
        <v>85</v>
      </c>
      <c r="Z42" s="10" t="n">
        <v>86.59</v>
      </c>
      <c r="AA42" s="10" t="n">
        <v>25.7</v>
      </c>
      <c r="AB42" s="10" t="n">
        <v>55.82</v>
      </c>
      <c r="AC42" s="10" t="n">
        <v>38.67</v>
      </c>
      <c r="AD42" s="10" t="n">
        <v>403.76</v>
      </c>
      <c r="AE42" s="10" t="n">
        <v>3.43</v>
      </c>
      <c r="AF42" s="10" t="n">
        <v>2.26</v>
      </c>
      <c r="AG42" s="10" t="n">
        <v>-1.4</v>
      </c>
      <c r="AH42" s="10" t="n">
        <v>0.71</v>
      </c>
      <c r="AI42" s="10" t="inlineStr"/>
      <c r="AJ42" s="11">
        <f>IFERROR(INDEX(Country_Context!$B$2:$B$87,MATCH($C42,Country_Context!$A$2:$A$87,0)),"")</f>
        <v/>
      </c>
      <c r="AK42" s="11">
        <f>IFERROR(INDEX(Country_Context!$C$2:$C$87,MATCH($C42,Country_Context!$A$2:$A$87,0)),"")</f>
        <v/>
      </c>
      <c r="AL42" s="11">
        <f>IFERROR(INDEX(Country_Context!$D$2:$D$87,MATCH($C42,Country_Context!$A$2:$A$87,0)),"")</f>
        <v/>
      </c>
      <c r="AM42" s="11">
        <f>IFERROR(INDEX(Country_Context!$E$2:$E$87,MATCH($C42,Country_Context!$A$2:$A$87,0)),"")</f>
        <v/>
      </c>
      <c r="AN42" s="11">
        <f>IFERROR(INDEX(Country_Context!$F$2:$F$87,MATCH($C42,Country_Context!$A$2:$A$87,0)),"")</f>
        <v/>
      </c>
      <c r="AO42" s="11">
        <f>IFERROR(INDEX(Country_Context!$G$2:$G$87,MATCH($C42,Country_Context!$A$2:$A$87,0)),"")</f>
        <v/>
      </c>
      <c r="AP42" s="12" t="inlineStr">
        <is>
          <t>https://api.worldbank.org/v2/country/NLD/indicator/NY.GNP.PCAP.PP.CD?format=json&amp;mrv=10 | https://data.worldbank.org/indicator/NY.GNP.PCAP.PP.CD | https://ilostat.ilo.org/data/indicator/?id=HOW_TEMP_SEX_ECO_NB_A&amp;ref_area=NLD | +4 more</t>
        </is>
      </c>
      <c r="AQ42" s="12" t="inlineStr">
        <is>
          <t>Tier 3, Tier 4</t>
        </is>
      </c>
      <c r="AR42" s="12" t="inlineStr">
        <is>
          <t>2024-12-31</t>
        </is>
      </c>
      <c r="AS42" s="12" t="inlineStr">
        <is>
          <t>providers=world_bank_col_estimate, derived, ilo_ilostat, who_gho; fields=gross_income, rent, utilities, transit_cost; +9 additional fields</t>
        </is>
      </c>
      <c r="AT42" s="12" t="inlineStr">
        <is>
          <t>https://api.worldbank.org/v2/country/NLD/indicator/VC.IHR.PSRC.P5?format=json&amp;mrv=10 | https://api.worldbank.org/v2/country/NLD/indicator/SH.H2O.SMDW.ZS?format=json&amp;mrv=10 | https://api.worldbank.org/v2/country/NLD/indicator/IT.NET.BBND.P2?format=json&amp;mrv=10 | +1 more</t>
        </is>
      </c>
      <c r="AU42" s="12" t="inlineStr">
        <is>
          <t>Tier 3</t>
        </is>
      </c>
      <c r="AV42" s="12" t="inlineStr">
        <is>
          <t>2024-12-31</t>
        </is>
      </c>
      <c r="AW42" s="12" t="inlineStr">
        <is>
          <t>providers=world_bank, wmo_natl_met; fields=personal_safety_raw, water_sanitation_utility_raw, digital_infrastructure_raw, climate_sunlight_livability_raw</t>
        </is>
      </c>
      <c r="AX42" s="12" t="inlineStr">
        <is>
          <t>https://www.who.int/data/gho/data/indicators/indicator-details/GHO/UHC_INDEX_REPORTED | https://api.worldbank.org/v2/country/NLD/indicator/SE.TER.ENRR?format=json&amp;mrv=10 | https://api.worldbank.org/v2/country/NLD/indicator/SI.POV.GINI?format=json&amp;mrv=10 | +1 more</t>
        </is>
      </c>
      <c r="AY42" s="12" t="inlineStr">
        <is>
          <t>Tier 3</t>
        </is>
      </c>
      <c r="AZ42" s="12" t="inlineStr">
        <is>
          <t>2023-12-31</t>
        </is>
      </c>
      <c r="BA42" s="12" t="inlineStr">
        <is>
          <t>providers=who_gho, world_bank; fields=healthcare_quality_raw, education_quality_raw, equal_opportunity_raw, gini_coefficient</t>
        </is>
      </c>
      <c r="BB42" s="12" t="inlineStr">
        <is>
          <t>https://api.worldbank.org/v2/country/NLD/indicator/SM.POP.NETM?format=json&amp;mrv=10 | https://api.worldbank.org/v2/country/NLD/indicator/SG.GEN.PARL.ZS?format=json&amp;mrv=10 | https://api.worldbank.org/v2/country/NLD/indicator/ST.INT.ARVL?format=json&amp;mrv=10 | +1 more</t>
        </is>
      </c>
      <c r="BC42" s="12" t="inlineStr">
        <is>
          <t>Tier 3</t>
        </is>
      </c>
      <c r="BD42" s="12" t="inlineStr">
        <is>
          <t>2025-12-31</t>
        </is>
      </c>
      <c r="BE42" s="12" t="inlineStr">
        <is>
          <t>providers=world_bank; fields=hospitality_belonging_raw, tolerance_pluralism_raw, cultural_public_life_raw, birth_rate_optimism_raw</t>
        </is>
      </c>
      <c r="BF42" s="12" t="inlineStr">
        <is>
          <t>https://api.worldbank.org/v2/country/NLD/indicator/IC.BUS.NDNS.ZS?format=json&amp;mrv=10 | https://api.worldbank.org/v2/country/NLD/indicator/GB.XPD.RSDV.GD.ZS?format=json&amp;mrv=10 | https://api.worldbank.org/v2/country/NLD/indicator/BX.KLT.DINV.WD.GD.ZS?format=json&amp;mrv=10 | +3 more</t>
        </is>
      </c>
      <c r="BG42" s="12" t="inlineStr">
        <is>
          <t>Tier 3</t>
        </is>
      </c>
      <c r="BH42" s="12" t="inlineStr">
        <is>
          <t>2024-12-31</t>
        </is>
      </c>
      <c r="BI42" s="12" t="inlineStr">
        <is>
          <t>providers=world_bank; fields=entrepreneurial_dynamism_raw, innovation_research_intensity_raw, investment_signal_raw, administrative_investment_friction_raw; +2 additional fields</t>
        </is>
      </c>
      <c r="BJ42" s="9" t="n">
        <v>1.49</v>
      </c>
    </row>
    <row r="43">
      <c r="A43" s="9" t="inlineStr">
        <is>
          <t>dk-copenhagen</t>
        </is>
      </c>
      <c r="B43" s="9" t="inlineStr">
        <is>
          <t>Copenhagen</t>
        </is>
      </c>
      <c r="C43" s="9" t="inlineStr">
        <is>
          <t>Denmark</t>
        </is>
      </c>
      <c r="D43" s="9" t="inlineStr">
        <is>
          <t>Western, Northern, and Southern Europe</t>
        </is>
      </c>
      <c r="E43" s="9" t="inlineStr">
        <is>
          <t>primary</t>
        </is>
      </c>
      <c r="F43" s="9" t="inlineStr">
        <is>
          <t>provisional</t>
        </is>
      </c>
      <c r="G43" s="10" t="n">
        <v>7409.5</v>
      </c>
      <c r="H43" s="10" t="n">
        <v>2982.32</v>
      </c>
      <c r="I43" s="10" t="n">
        <v>596.46</v>
      </c>
      <c r="J43" s="10" t="n">
        <v>426.05</v>
      </c>
      <c r="K43" s="10" t="n">
        <v>127.81</v>
      </c>
      <c r="L43" s="10" t="n">
        <v>1278.14</v>
      </c>
      <c r="M43" s="11" t="inlineStr"/>
      <c r="N43" s="10" t="n">
        <v>40.2499</v>
      </c>
      <c r="O43" s="10" t="n">
        <v>144.0931</v>
      </c>
      <c r="P43" s="11">
        <f>IF($O43&lt;&gt;"",$O43,$AO43)</f>
        <v/>
      </c>
      <c r="Q43" s="10" t="n">
        <v>32.39</v>
      </c>
      <c r="R43" s="10" t="n">
        <v>10.46</v>
      </c>
      <c r="S43" s="10" t="n">
        <v>0.84</v>
      </c>
      <c r="T43" s="10" t="inlineStr"/>
      <c r="U43" s="10" t="inlineStr"/>
      <c r="V43" s="10" t="n">
        <v>99.92</v>
      </c>
      <c r="W43" s="10" t="n">
        <v>44.03</v>
      </c>
      <c r="X43" s="9" t="n">
        <v>40</v>
      </c>
      <c r="Y43" s="10" t="n">
        <v>85</v>
      </c>
      <c r="Z43" s="10" t="n">
        <v>81.23</v>
      </c>
      <c r="AA43" s="10" t="n">
        <v>29.9</v>
      </c>
      <c r="AB43" s="10" t="n">
        <v>53.7</v>
      </c>
      <c r="AC43" s="10" t="n">
        <v>45.25</v>
      </c>
      <c r="AD43" s="10" t="n">
        <v>2609.17</v>
      </c>
      <c r="AE43" s="10" t="n">
        <v>7.3</v>
      </c>
      <c r="AF43" s="10" t="n">
        <v>2.89</v>
      </c>
      <c r="AG43" s="10" t="n">
        <v>4.37</v>
      </c>
      <c r="AH43" s="10" t="n">
        <v>0.66</v>
      </c>
      <c r="AI43" s="10" t="inlineStr"/>
      <c r="AJ43" s="11">
        <f>IFERROR(INDEX(Country_Context!$B$2:$B$87,MATCH($C43,Country_Context!$A$2:$A$87,0)),"")</f>
        <v/>
      </c>
      <c r="AK43" s="11">
        <f>IFERROR(INDEX(Country_Context!$C$2:$C$87,MATCH($C43,Country_Context!$A$2:$A$87,0)),"")</f>
        <v/>
      </c>
      <c r="AL43" s="11">
        <f>IFERROR(INDEX(Country_Context!$D$2:$D$87,MATCH($C43,Country_Context!$A$2:$A$87,0)),"")</f>
        <v/>
      </c>
      <c r="AM43" s="11">
        <f>IFERROR(INDEX(Country_Context!$E$2:$E$87,MATCH($C43,Country_Context!$A$2:$A$87,0)),"")</f>
        <v/>
      </c>
      <c r="AN43" s="11">
        <f>IFERROR(INDEX(Country_Context!$F$2:$F$87,MATCH($C43,Country_Context!$A$2:$A$87,0)),"")</f>
        <v/>
      </c>
      <c r="AO43" s="11">
        <f>IFERROR(INDEX(Country_Context!$G$2:$G$87,MATCH($C43,Country_Context!$A$2:$A$87,0)),"")</f>
        <v/>
      </c>
      <c r="AP43" s="12" t="inlineStr">
        <is>
          <t>https://api.worldbank.org/v2/country/DNK/indicator/NY.GNP.PCAP.PP.CD?format=json&amp;mrv=10 | https://data.worldbank.org/indicator/NY.GNP.PCAP.PP.CD | https://ilostat.ilo.org/data/indicator/?id=HOW_TEMP_SEX_ECO_NB_A&amp;ref_area=DNK | +4 more</t>
        </is>
      </c>
      <c r="AQ43" s="12" t="inlineStr">
        <is>
          <t>Tier 3, Tier 4</t>
        </is>
      </c>
      <c r="AR43" s="12" t="inlineStr">
        <is>
          <t>2024-12-31</t>
        </is>
      </c>
      <c r="AS43" s="12" t="inlineStr">
        <is>
          <t>providers=world_bank_col_estimate, derived, ilo_ilostat, who_gho; fields=gross_income, rent, utilities, transit_cost; +9 additional fields</t>
        </is>
      </c>
      <c r="AT43" s="12" t="inlineStr">
        <is>
          <t>https://api.worldbank.org/v2/country/DNK/indicator/VC.IHR.PSRC.P5?format=json&amp;mrv=10 | https://api.worldbank.org/v2/country/DNK/indicator/SH.H2O.SMDW.ZS?format=json&amp;mrv=10 | https://api.worldbank.org/v2/country/DNK/indicator/IT.NET.BBND.P2?format=json&amp;mrv=10 | +1 more</t>
        </is>
      </c>
      <c r="AU43" s="12" t="inlineStr">
        <is>
          <t>Tier 3</t>
        </is>
      </c>
      <c r="AV43" s="12" t="inlineStr">
        <is>
          <t>2024-12-31</t>
        </is>
      </c>
      <c r="AW43" s="12" t="inlineStr">
        <is>
          <t>providers=world_bank, wmo_natl_met; fields=personal_safety_raw, water_sanitation_utility_raw, digital_infrastructure_raw, climate_sunlight_livability_raw</t>
        </is>
      </c>
      <c r="AX43" s="12" t="inlineStr">
        <is>
          <t>https://www.who.int/data/gho/data/indicators/indicator-details/GHO/UHC_INDEX_REPORTED | https://api.worldbank.org/v2/country/DNK/indicator/SE.TER.ENRR?format=json&amp;mrv=10 | https://api.worldbank.org/v2/country/DNK/indicator/SI.POV.GINI?format=json&amp;mrv=10 | +1 more</t>
        </is>
      </c>
      <c r="AY43" s="12" t="inlineStr">
        <is>
          <t>Tier 3</t>
        </is>
      </c>
      <c r="AZ43" s="12" t="inlineStr">
        <is>
          <t>2023-12-31</t>
        </is>
      </c>
      <c r="BA43" s="12" t="inlineStr">
        <is>
          <t>providers=who_gho, world_bank; fields=healthcare_quality_raw, education_quality_raw, equal_opportunity_raw, gini_coefficient</t>
        </is>
      </c>
      <c r="BB43" s="12" t="inlineStr">
        <is>
          <t>https://api.worldbank.org/v2/country/DNK/indicator/SM.POP.NETM?format=json&amp;mrv=10 | https://api.worldbank.org/v2/country/DNK/indicator/SG.GEN.PARL.ZS?format=json&amp;mrv=10 | https://api.worldbank.org/v2/country/DNK/indicator/ST.INT.ARVL?format=json&amp;mrv=10 | +1 more</t>
        </is>
      </c>
      <c r="BC43" s="12" t="inlineStr">
        <is>
          <t>Tier 3</t>
        </is>
      </c>
      <c r="BD43" s="12" t="inlineStr">
        <is>
          <t>2025-12-31</t>
        </is>
      </c>
      <c r="BE43" s="12" t="inlineStr">
        <is>
          <t>providers=world_bank; fields=hospitality_belonging_raw, tolerance_pluralism_raw, cultural_public_life_raw, birth_rate_optimism_raw</t>
        </is>
      </c>
      <c r="BF43" s="12" t="inlineStr">
        <is>
          <t>https://api.worldbank.org/v2/country/DNK/indicator/IC.BUS.NDNS.ZS?format=json&amp;mrv=10 | https://api.worldbank.org/v2/country/DNK/indicator/GB.XPD.RSDV.GD.ZS?format=json&amp;mrv=10 | https://api.worldbank.org/v2/country/DNK/indicator/BX.KLT.DINV.WD.GD.ZS?format=json&amp;mrv=10 | +3 more</t>
        </is>
      </c>
      <c r="BG43" s="12" t="inlineStr">
        <is>
          <t>Tier 3</t>
        </is>
      </c>
      <c r="BH43" s="12" t="inlineStr">
        <is>
          <t>2024-12-31</t>
        </is>
      </c>
      <c r="BI43" s="12" t="inlineStr">
        <is>
          <t>providers=world_bank; fields=entrepreneurial_dynamism_raw, innovation_research_intensity_raw, investment_signal_raw, administrative_investment_friction_raw; +2 additional fields</t>
        </is>
      </c>
      <c r="BJ43" s="9" t="n">
        <v>1.55</v>
      </c>
    </row>
    <row r="44">
      <c r="A44" s="9" t="inlineStr">
        <is>
          <t>it-milan</t>
        </is>
      </c>
      <c r="B44" s="9" t="inlineStr">
        <is>
          <t>Milan</t>
        </is>
      </c>
      <c r="C44" s="9" t="inlineStr">
        <is>
          <t>Italy</t>
        </is>
      </c>
      <c r="D44" s="9" t="inlineStr">
        <is>
          <t>Western, Northern, and Southern Europe</t>
        </is>
      </c>
      <c r="E44" s="9" t="inlineStr">
        <is>
          <t>primary</t>
        </is>
      </c>
      <c r="F44" s="9" t="inlineStr">
        <is>
          <t>provisional</t>
        </is>
      </c>
      <c r="G44" s="10" t="n">
        <v>39023.18</v>
      </c>
      <c r="H44" s="10" t="n">
        <v>2480.2</v>
      </c>
      <c r="I44" s="10" t="n">
        <v>496.04</v>
      </c>
      <c r="J44" s="10" t="n">
        <v>330</v>
      </c>
      <c r="K44" s="10" t="n">
        <v>106.29</v>
      </c>
      <c r="L44" s="10" t="n">
        <v>1062.94</v>
      </c>
      <c r="M44" s="11" t="inlineStr"/>
      <c r="N44" s="10" t="n">
        <v>6.3557</v>
      </c>
      <c r="O44" s="10" t="n">
        <v>59.3116</v>
      </c>
      <c r="P44" s="11">
        <f>IF($O44&lt;&gt;"",$O44,$AO44)</f>
        <v/>
      </c>
      <c r="Q44" s="10" t="n">
        <v>35.96</v>
      </c>
      <c r="R44" s="10" t="n">
        <v>6.99</v>
      </c>
      <c r="S44" s="10" t="n">
        <v>0.5</v>
      </c>
      <c r="T44" s="10" t="n">
        <v>75.43000000000001</v>
      </c>
      <c r="U44" s="10" t="n">
        <v>21</v>
      </c>
      <c r="V44" s="10" t="n">
        <v>96.76000000000001</v>
      </c>
      <c r="W44" s="10" t="n">
        <v>31.84</v>
      </c>
      <c r="X44" s="9" t="n">
        <v>54</v>
      </c>
      <c r="Y44" s="10" t="n">
        <v>82</v>
      </c>
      <c r="Z44" s="10" t="n">
        <v>75.95</v>
      </c>
      <c r="AA44" s="10" t="n">
        <v>34.3</v>
      </c>
      <c r="AB44" s="10" t="n">
        <v>51.28</v>
      </c>
      <c r="AC44" s="10" t="n">
        <v>32.25</v>
      </c>
      <c r="AD44" s="10" t="n">
        <v>651.6900000000001</v>
      </c>
      <c r="AE44" s="10" t="n">
        <v>2.85</v>
      </c>
      <c r="AF44" s="10" t="n">
        <v>1.39</v>
      </c>
      <c r="AG44" s="10" t="n">
        <v>1.13</v>
      </c>
      <c r="AH44" s="10" t="n">
        <v>1.86</v>
      </c>
      <c r="AI44" s="10" t="n">
        <v>8.5</v>
      </c>
      <c r="AJ44" s="11">
        <f>IFERROR(INDEX(Country_Context!$B$2:$B$87,MATCH($C44,Country_Context!$A$2:$A$87,0)),"")</f>
        <v/>
      </c>
      <c r="AK44" s="11">
        <f>IFERROR(INDEX(Country_Context!$C$2:$C$87,MATCH($C44,Country_Context!$A$2:$A$87,0)),"")</f>
        <v/>
      </c>
      <c r="AL44" s="11">
        <f>IFERROR(INDEX(Country_Context!$D$2:$D$87,MATCH($C44,Country_Context!$A$2:$A$87,0)),"")</f>
        <v/>
      </c>
      <c r="AM44" s="11">
        <f>IFERROR(INDEX(Country_Context!$E$2:$E$87,MATCH($C44,Country_Context!$A$2:$A$87,0)),"")</f>
        <v/>
      </c>
      <c r="AN44" s="11">
        <f>IFERROR(INDEX(Country_Context!$F$2:$F$87,MATCH($C44,Country_Context!$A$2:$A$87,0)),"")</f>
        <v/>
      </c>
      <c r="AO44" s="11">
        <f>IFERROR(INDEX(Country_Context!$G$2:$G$87,MATCH($C44,Country_Context!$A$2:$A$87,0)),"")</f>
        <v/>
      </c>
      <c r="AP44" s="12" t="inlineStr">
        <is>
          <t>https://dati.comune.milano.it/dataset/edfe847d-05f1-4d25-ba44-283d22b1ec73/resource/76b54f5a-24a6-4f7f-a3a9-a6152d8da601/download/redditi_e_principali_variabili_irpef_su_base_comunale_csv_2023.csv | https://api.worldbank.org/v2/country/ITA/indicator/NY.GNP.PCAP.PP.CD?format=json&amp;mrv=10 | https://www.atm.it/en/ViaggiaConNoi/Abbonamenti/Pages/Tipologie.aspx | +6 more</t>
        </is>
      </c>
      <c r="AQ44" s="12" t="inlineStr">
        <is>
          <t>Tier 1, Tier 3, Tier 4</t>
        </is>
      </c>
      <c r="AR44" s="12" t="inlineStr">
        <is>
          <t>2026-03-12</t>
        </is>
      </c>
      <c r="AS44" s="12" t="inlineStr">
        <is>
          <t>providers=comune_milano_open_data, world_bank_col_estimate, atm_milano, derived; fields=gross_income, rent, utilities, transit_cost; +9 additional fields</t>
        </is>
      </c>
      <c r="AT44" s="12" t="inlineStr">
        <is>
          <t>https://dati.comune.milano.it/dataset/34e2d2af-5c3b-4768-918b-ab7e5c0d15da/resource/8b03b9f2-f2d7-4408-b439-bc6efc093cff/download/ds564_reati_denunciati_2004_2023.csv | https://dati.comune.milano.it/dataset/0ac0f655-1858-410a-9873-70fd057ef65d/resource/39d6ef17-8882-49b6-b2de-dd4a8486d923/download/ds393_popolazione_pendolari_movimenti_interni_mezzo_tempo_orario_uscita_genere__2011c.csv | https://www.arpalombardia.it/agenda/notizie/2026/qualita-dell-aria-prosegue-il-miglioramento-anche-nell-anno-2025/ | +3 more</t>
        </is>
      </c>
      <c r="AU44" s="12" t="inlineStr">
        <is>
          <t>Tier 1, Tier 2, Tier 3</t>
        </is>
      </c>
      <c r="AV44" s="12" t="inlineStr">
        <is>
          <t>2026-03-12</t>
        </is>
      </c>
      <c r="AW44" s="12" t="inlineStr">
        <is>
          <t>providers=comune_milano_open_data, arpa_lombardia, world_bank, wmo_natl_met; fields=personal_safety_raw, transit_access_commute_raw, clean_air_raw, water_sanitation_utility_raw; +2 additional fields</t>
        </is>
      </c>
      <c r="AX44" s="12" t="inlineStr">
        <is>
          <t>https://www.who.int/data/gho/data/indicators/indicator-details/GHO/UHC_INDEX_REPORTED | https://api.worldbank.org/v2/country/ITA/indicator/SE.TER.ENRR?format=json&amp;mrv=10 | https://api.worldbank.org/v2/country/ITA/indicator/SI.POV.GINI?format=json&amp;mrv=10 | +1 more</t>
        </is>
      </c>
      <c r="AY44" s="12" t="inlineStr">
        <is>
          <t>Tier 3</t>
        </is>
      </c>
      <c r="AZ44" s="12" t="inlineStr">
        <is>
          <t>2023-12-31</t>
        </is>
      </c>
      <c r="BA44" s="12" t="inlineStr">
        <is>
          <t>providers=who_gho, world_bank; fields=healthcare_quality_raw, education_quality_raw, equal_opportunity_raw, gini_coefficient</t>
        </is>
      </c>
      <c r="BB44" s="12" t="inlineStr">
        <is>
          <t>https://api.worldbank.org/v2/country/ITA/indicator/SM.POP.NETM?format=json&amp;mrv=10 | https://api.worldbank.org/v2/country/ITA/indicator/SG.GEN.PARL.ZS?format=json&amp;mrv=10 | https://api.worldbank.org/v2/country/ITA/indicator/ST.INT.ARVL?format=json&amp;mrv=10 | +1 more</t>
        </is>
      </c>
      <c r="BC44" s="12" t="inlineStr">
        <is>
          <t>Tier 3</t>
        </is>
      </c>
      <c r="BD44" s="12" t="inlineStr">
        <is>
          <t>2025-12-31</t>
        </is>
      </c>
      <c r="BE44" s="12" t="inlineStr">
        <is>
          <t>providers=world_bank; fields=hospitality_belonging_raw, tolerance_pluralism_raw, cultural_public_life_raw, birth_rate_optimism_raw</t>
        </is>
      </c>
      <c r="BF44" s="12" t="inlineStr">
        <is>
          <t>https://api.worldbank.org/v2/country/ITA/indicator/IC.BUS.NDNS.ZS?format=json&amp;mrv=10 | https://api.worldbank.org/v2/country/ITA/indicator/GB.XPD.RSDV.GD.ZS?format=json&amp;mrv=10 | https://api.worldbank.org/v2/country/ITA/indicator/BX.KLT.DINV.WD.GD.ZS?format=json&amp;mrv=10 | +4 more</t>
        </is>
      </c>
      <c r="BG44" s="12" t="inlineStr">
        <is>
          <t>Tier 1, Tier 3</t>
        </is>
      </c>
      <c r="BH44" s="12" t="inlineStr">
        <is>
          <t>2026-03-12</t>
        </is>
      </c>
      <c r="BI44" s="12" t="inlineStr">
        <is>
          <t>providers=world_bank, comune_milano_open_data; fields=entrepreneurial_dynamism_raw, innovation_research_intensity_raw, investment_signal_raw, administrative_investment_friction_raw; +3 additional fields</t>
        </is>
      </c>
      <c r="BJ44" s="9" t="n">
        <v>1.24</v>
      </c>
    </row>
    <row r="45">
      <c r="A45" s="9" t="inlineStr">
        <is>
          <t>at-graz</t>
        </is>
      </c>
      <c r="B45" s="9" t="inlineStr">
        <is>
          <t>Graz</t>
        </is>
      </c>
      <c r="C45" s="9" t="inlineStr">
        <is>
          <t>Austria</t>
        </is>
      </c>
      <c r="D45" s="9" t="inlineStr">
        <is>
          <t>Western, Northern, and Southern Europe</t>
        </is>
      </c>
      <c r="E45" s="9" t="inlineStr">
        <is>
          <t>secondary</t>
        </is>
      </c>
      <c r="F45" s="9" t="inlineStr">
        <is>
          <t>locked</t>
        </is>
      </c>
      <c r="G45" s="10" t="n">
        <v>6180</v>
      </c>
      <c r="H45" s="10" t="n">
        <v>1730.4</v>
      </c>
      <c r="I45" s="10" t="n">
        <v>346.08</v>
      </c>
      <c r="J45" s="10" t="n">
        <v>247.2</v>
      </c>
      <c r="K45" s="10" t="n">
        <v>74.16</v>
      </c>
      <c r="L45" s="10" t="n">
        <v>741.6</v>
      </c>
      <c r="M45" s="11" t="inlineStr"/>
      <c r="N45" s="10" t="n">
        <v>28</v>
      </c>
      <c r="O45" s="10" t="n">
        <v>81.4953</v>
      </c>
      <c r="P45" s="11">
        <f>IF($O45&lt;&gt;"",$O45,$AO45)</f>
        <v/>
      </c>
      <c r="Q45" s="10" t="n">
        <v>33.41</v>
      </c>
      <c r="R45" s="10" t="n">
        <v>14.51</v>
      </c>
      <c r="S45" s="10" t="n">
        <v>0.88</v>
      </c>
      <c r="T45" s="10" t="inlineStr"/>
      <c r="U45" s="10" t="inlineStr"/>
      <c r="V45" s="10" t="n">
        <v>98.89</v>
      </c>
      <c r="W45" s="10" t="n">
        <v>29.37</v>
      </c>
      <c r="X45" s="9" t="n">
        <v>50</v>
      </c>
      <c r="Y45" s="10" t="n">
        <v>84</v>
      </c>
      <c r="Z45" s="10" t="n">
        <v>91.68000000000001</v>
      </c>
      <c r="AA45" s="10" t="n">
        <v>31.2</v>
      </c>
      <c r="AB45" s="10" t="n">
        <v>51.23</v>
      </c>
      <c r="AC45" s="10" t="n">
        <v>36.07</v>
      </c>
      <c r="AD45" s="10" t="n">
        <v>1644.26</v>
      </c>
      <c r="AE45" s="10" t="n">
        <v>0.95</v>
      </c>
      <c r="AF45" s="10" t="n">
        <v>3.2</v>
      </c>
      <c r="AG45" s="10" t="n">
        <v>2.55</v>
      </c>
      <c r="AH45" s="10" t="n">
        <v>1.14</v>
      </c>
      <c r="AI45" s="10" t="inlineStr"/>
      <c r="AJ45" s="11">
        <f>IFERROR(INDEX(Country_Context!$B$2:$B$87,MATCH($C45,Country_Context!$A$2:$A$87,0)),"")</f>
        <v/>
      </c>
      <c r="AK45" s="11">
        <f>IFERROR(INDEX(Country_Context!$C$2:$C$87,MATCH($C45,Country_Context!$A$2:$A$87,0)),"")</f>
        <v/>
      </c>
      <c r="AL45" s="11">
        <f>IFERROR(INDEX(Country_Context!$D$2:$D$87,MATCH($C45,Country_Context!$A$2:$A$87,0)),"")</f>
        <v/>
      </c>
      <c r="AM45" s="11">
        <f>IFERROR(INDEX(Country_Context!$E$2:$E$87,MATCH($C45,Country_Context!$A$2:$A$87,0)),"")</f>
        <v/>
      </c>
      <c r="AN45" s="11">
        <f>IFERROR(INDEX(Country_Context!$F$2:$F$87,MATCH($C45,Country_Context!$A$2:$A$87,0)),"")</f>
        <v/>
      </c>
      <c r="AO45" s="11">
        <f>IFERROR(INDEX(Country_Context!$G$2:$G$87,MATCH($C45,Country_Context!$A$2:$A$87,0)),"")</f>
        <v/>
      </c>
      <c r="AP45" s="12" t="inlineStr">
        <is>
          <t>https://api.worldbank.org/v2/country/AUT/indicator/NY.GNP.PCAP.PP.CD?format=json&amp;mrv=10 | https://data.worldbank.org/indicator/NY.GNP.PCAP.PP.CD | https://ilostat.ilo.org/data/indicator/?id=HOW_TEMP_SEX_ECO_NB_A&amp;ref_area=AUT | +4 more</t>
        </is>
      </c>
      <c r="AQ45" s="12" t="inlineStr">
        <is>
          <t>Tier 3, Tier 4</t>
        </is>
      </c>
      <c r="AR45" s="12" t="inlineStr">
        <is>
          <t>2024-12-31</t>
        </is>
      </c>
      <c r="AS45" s="12" t="inlineStr">
        <is>
          <t>providers=world_bank_col_estimate, derived, ilo_ilostat, who_gho; fields=gross_income, rent, utilities, transit_cost; +9 additional fields</t>
        </is>
      </c>
      <c r="AT45" s="12" t="inlineStr">
        <is>
          <t>https://api.worldbank.org/v2/country/AUT/indicator/VC.IHR.PSRC.P5?format=json&amp;mrv=10 | https://api.worldbank.org/v2/country/AUT/indicator/SH.H2O.SMDW.ZS?format=json&amp;mrv=10 | https://api.worldbank.org/v2/country/AUT/indicator/IT.NET.BBND.P2?format=json&amp;mrv=10 | +1 more</t>
        </is>
      </c>
      <c r="AU45" s="12" t="inlineStr">
        <is>
          <t>Tier 3</t>
        </is>
      </c>
      <c r="AV45" s="12" t="inlineStr">
        <is>
          <t>2024-12-31</t>
        </is>
      </c>
      <c r="AW45" s="12" t="inlineStr">
        <is>
          <t>providers=world_bank, wmo_natl_met; fields=personal_safety_raw, water_sanitation_utility_raw, digital_infrastructure_raw, climate_sunlight_livability_raw</t>
        </is>
      </c>
      <c r="AX45" s="12" t="inlineStr">
        <is>
          <t>https://www.who.int/data/gho/data/indicators/indicator-details/GHO/UHC_INDEX_REPORTED | https://api.worldbank.org/v2/country/AUT/indicator/SE.TER.ENRR?format=json&amp;mrv=10 | https://api.worldbank.org/v2/country/AUT/indicator/SI.POV.GINI?format=json&amp;mrv=10 | +1 more</t>
        </is>
      </c>
      <c r="AY45" s="12" t="inlineStr">
        <is>
          <t>Tier 3</t>
        </is>
      </c>
      <c r="AZ45" s="12" t="inlineStr">
        <is>
          <t>2023-12-31</t>
        </is>
      </c>
      <c r="BA45" s="12" t="inlineStr">
        <is>
          <t>providers=who_gho, world_bank; fields=healthcare_quality_raw, education_quality_raw, equal_opportunity_raw, gini_coefficient</t>
        </is>
      </c>
      <c r="BB45" s="12" t="inlineStr">
        <is>
          <t>https://api.worldbank.org/v2/country/AUT/indicator/SM.POP.NETM?format=json&amp;mrv=10 | https://api.worldbank.org/v2/country/AUT/indicator/SG.GEN.PARL.ZS?format=json&amp;mrv=10 | https://api.worldbank.org/v2/country/AUT/indicator/ST.INT.ARVL?format=json&amp;mrv=10 | +1 more</t>
        </is>
      </c>
      <c r="BC45" s="12" t="inlineStr">
        <is>
          <t>Tier 3</t>
        </is>
      </c>
      <c r="BD45" s="12" t="inlineStr">
        <is>
          <t>2025-12-31</t>
        </is>
      </c>
      <c r="BE45" s="12" t="inlineStr">
        <is>
          <t>providers=world_bank; fields=hospitality_belonging_raw, tolerance_pluralism_raw, cultural_public_life_raw, birth_rate_optimism_raw</t>
        </is>
      </c>
      <c r="BF45" s="12" t="inlineStr">
        <is>
          <t>https://api.worldbank.org/v2/country/AUT/indicator/IC.BUS.NDNS.ZS?format=json&amp;mrv=10 | https://api.worldbank.org/v2/country/AUT/indicator/GB.XPD.RSDV.GD.ZS?format=json&amp;mrv=10 | https://api.worldbank.org/v2/country/AUT/indicator/BX.KLT.DINV.WD.GD.ZS?format=json&amp;mrv=10 | +3 more</t>
        </is>
      </c>
      <c r="BG45" s="12" t="inlineStr">
        <is>
          <t>Tier 3</t>
        </is>
      </c>
      <c r="BH45" s="12" t="inlineStr">
        <is>
          <t>2024-12-31</t>
        </is>
      </c>
      <c r="BI45" s="12" t="inlineStr">
        <is>
          <t>providers=world_bank; fields=entrepreneurial_dynamism_raw, innovation_research_intensity_raw, investment_signal_raw, administrative_investment_friction_raw; +2 additional fields</t>
        </is>
      </c>
      <c r="BJ45" s="9" t="n">
        <v>1.41</v>
      </c>
    </row>
    <row r="46">
      <c r="A46" s="9" t="inlineStr">
        <is>
          <t>pt-porto</t>
        </is>
      </c>
      <c r="B46" s="9" t="inlineStr">
        <is>
          <t>Porto</t>
        </is>
      </c>
      <c r="C46" s="9" t="inlineStr">
        <is>
          <t>Portugal</t>
        </is>
      </c>
      <c r="D46" s="9" t="inlineStr">
        <is>
          <t>Western, Northern, and Southern Europe</t>
        </is>
      </c>
      <c r="E46" s="9" t="inlineStr">
        <is>
          <t>secondary</t>
        </is>
      </c>
      <c r="F46" s="9" t="inlineStr">
        <is>
          <t>locked</t>
        </is>
      </c>
      <c r="G46" s="10" t="n">
        <v>4227.5</v>
      </c>
      <c r="H46" s="10" t="n">
        <v>1257.68</v>
      </c>
      <c r="I46" s="10" t="n">
        <v>251.54</v>
      </c>
      <c r="J46" s="10" t="n">
        <v>179.67</v>
      </c>
      <c r="K46" s="10" t="n">
        <v>53.9</v>
      </c>
      <c r="L46" s="10" t="n">
        <v>539.01</v>
      </c>
      <c r="M46" s="11" t="inlineStr"/>
      <c r="N46" s="10" t="n">
        <v>29.75</v>
      </c>
      <c r="O46" s="10" t="n">
        <v>77.1375</v>
      </c>
      <c r="P46" s="11">
        <f>IF($O46&lt;&gt;"",$O46,$AO46)</f>
        <v/>
      </c>
      <c r="Q46" s="10" t="n">
        <v>37.27</v>
      </c>
      <c r="R46" s="10" t="n">
        <v>11.52</v>
      </c>
      <c r="S46" s="10" t="n">
        <v>0.72</v>
      </c>
      <c r="T46" s="10" t="inlineStr"/>
      <c r="U46" s="10" t="inlineStr"/>
      <c r="V46" s="10" t="n">
        <v>95.22</v>
      </c>
      <c r="W46" s="10" t="n">
        <v>44.11</v>
      </c>
      <c r="X46" s="9" t="n">
        <v>62</v>
      </c>
      <c r="Y46" s="10" t="n">
        <v>83</v>
      </c>
      <c r="Z46" s="10" t="n">
        <v>77.68000000000001</v>
      </c>
      <c r="AA46" s="10" t="n">
        <v>33.9</v>
      </c>
      <c r="AB46" s="10" t="n">
        <v>51.54</v>
      </c>
      <c r="AC46" s="10" t="n">
        <v>32.61</v>
      </c>
      <c r="AD46" s="10" t="n">
        <v>393.47</v>
      </c>
      <c r="AE46" s="10" t="n">
        <v>6.95</v>
      </c>
      <c r="AF46" s="10" t="n">
        <v>1.7</v>
      </c>
      <c r="AG46" s="10" t="n">
        <v>4.31</v>
      </c>
      <c r="AH46" s="10" t="n">
        <v>1.74</v>
      </c>
      <c r="AI46" s="10" t="inlineStr"/>
      <c r="AJ46" s="11">
        <f>IFERROR(INDEX(Country_Context!$B$2:$B$87,MATCH($C46,Country_Context!$A$2:$A$87,0)),"")</f>
        <v/>
      </c>
      <c r="AK46" s="11">
        <f>IFERROR(INDEX(Country_Context!$C$2:$C$87,MATCH($C46,Country_Context!$A$2:$A$87,0)),"")</f>
        <v/>
      </c>
      <c r="AL46" s="11">
        <f>IFERROR(INDEX(Country_Context!$D$2:$D$87,MATCH($C46,Country_Context!$A$2:$A$87,0)),"")</f>
        <v/>
      </c>
      <c r="AM46" s="11">
        <f>IFERROR(INDEX(Country_Context!$E$2:$E$87,MATCH($C46,Country_Context!$A$2:$A$87,0)),"")</f>
        <v/>
      </c>
      <c r="AN46" s="11">
        <f>IFERROR(INDEX(Country_Context!$F$2:$F$87,MATCH($C46,Country_Context!$A$2:$A$87,0)),"")</f>
        <v/>
      </c>
      <c r="AO46" s="11">
        <f>IFERROR(INDEX(Country_Context!$G$2:$G$87,MATCH($C46,Country_Context!$A$2:$A$87,0)),"")</f>
        <v/>
      </c>
      <c r="AP46" s="12" t="inlineStr">
        <is>
          <t>https://api.worldbank.org/v2/country/PRT/indicator/NY.GNP.PCAP.PP.CD?format=json&amp;mrv=10 | https://data.worldbank.org/indicator/NY.GNP.PCAP.PP.CD | https://ilostat.ilo.org/data/indicator/?id=HOW_TEMP_SEX_ECO_NB_A&amp;ref_area=PRT | +4 more</t>
        </is>
      </c>
      <c r="AQ46" s="12" t="inlineStr">
        <is>
          <t>Tier 3, Tier 4</t>
        </is>
      </c>
      <c r="AR46" s="12" t="inlineStr">
        <is>
          <t>2025-12-31</t>
        </is>
      </c>
      <c r="AS46" s="12" t="inlineStr">
        <is>
          <t>providers=world_bank_col_estimate, derived, ilo_ilostat, who_gho; fields=gross_income, rent, utilities, transit_cost; +9 additional fields</t>
        </is>
      </c>
      <c r="AT46" s="12" t="inlineStr">
        <is>
          <t>https://api.worldbank.org/v2/country/PRT/indicator/VC.IHR.PSRC.P5?format=json&amp;mrv=10 | https://api.worldbank.org/v2/country/PRT/indicator/SH.H2O.SMDW.ZS?format=json&amp;mrv=10 | https://api.worldbank.org/v2/country/PRT/indicator/IT.NET.BBND.P2?format=json&amp;mrv=10 | +1 more</t>
        </is>
      </c>
      <c r="AU46" s="12" t="inlineStr">
        <is>
          <t>Tier 3</t>
        </is>
      </c>
      <c r="AV46" s="12" t="inlineStr">
        <is>
          <t>2024-12-31</t>
        </is>
      </c>
      <c r="AW46" s="12" t="inlineStr">
        <is>
          <t>providers=world_bank, wmo_natl_met; fields=personal_safety_raw, water_sanitation_utility_raw, digital_infrastructure_raw, climate_sunlight_livability_raw</t>
        </is>
      </c>
      <c r="AX46" s="12" t="inlineStr">
        <is>
          <t>https://www.who.int/data/gho/data/indicators/indicator-details/GHO/UHC_INDEX_REPORTED | https://api.worldbank.org/v2/country/PRT/indicator/SE.TER.ENRR?format=json&amp;mrv=10 | https://api.worldbank.org/v2/country/PRT/indicator/SI.POV.GINI?format=json&amp;mrv=10 | +1 more</t>
        </is>
      </c>
      <c r="AY46" s="12" t="inlineStr">
        <is>
          <t>Tier 3</t>
        </is>
      </c>
      <c r="AZ46" s="12" t="inlineStr">
        <is>
          <t>2023-12-31</t>
        </is>
      </c>
      <c r="BA46" s="12" t="inlineStr">
        <is>
          <t>providers=who_gho, world_bank; fields=healthcare_quality_raw, education_quality_raw, equal_opportunity_raw, gini_coefficient</t>
        </is>
      </c>
      <c r="BB46" s="12" t="inlineStr">
        <is>
          <t>https://api.worldbank.org/v2/country/PRT/indicator/SM.POP.NETM?format=json&amp;mrv=10 | https://api.worldbank.org/v2/country/PRT/indicator/SG.GEN.PARL.ZS?format=json&amp;mrv=10 | https://api.worldbank.org/v2/country/PRT/indicator/ST.INT.ARVL?format=json&amp;mrv=10 | +1 more</t>
        </is>
      </c>
      <c r="BC46" s="12" t="inlineStr">
        <is>
          <t>Tier 3</t>
        </is>
      </c>
      <c r="BD46" s="12" t="inlineStr">
        <is>
          <t>2025-12-31</t>
        </is>
      </c>
      <c r="BE46" s="12" t="inlineStr">
        <is>
          <t>providers=world_bank; fields=hospitality_belonging_raw, tolerance_pluralism_raw, cultural_public_life_raw, birth_rate_optimism_raw</t>
        </is>
      </c>
      <c r="BF46" s="12" t="inlineStr">
        <is>
          <t>https://api.worldbank.org/v2/country/PRT/indicator/IC.BUS.NDNS.ZS?format=json&amp;mrv=10 | https://api.worldbank.org/v2/country/PRT/indicator/GB.XPD.RSDV.GD.ZS?format=json&amp;mrv=10 | https://api.worldbank.org/v2/country/PRT/indicator/BX.KLT.DINV.WD.GD.ZS?format=json&amp;mrv=10 | +3 more</t>
        </is>
      </c>
      <c r="BG46" s="12" t="inlineStr">
        <is>
          <t>Tier 3</t>
        </is>
      </c>
      <c r="BH46" s="12" t="inlineStr">
        <is>
          <t>2024-12-31</t>
        </is>
      </c>
      <c r="BI46" s="12" t="inlineStr">
        <is>
          <t>providers=world_bank; fields=entrepreneurial_dynamism_raw, innovation_research_intensity_raw, investment_signal_raw, administrative_investment_friction_raw; +2 additional fields</t>
        </is>
      </c>
      <c r="BJ46" s="9" t="n">
        <v>1.43</v>
      </c>
    </row>
    <row r="47">
      <c r="A47" s="9" t="inlineStr">
        <is>
          <t>pt-braga</t>
        </is>
      </c>
      <c r="B47" s="9" t="inlineStr">
        <is>
          <t>Braga</t>
        </is>
      </c>
      <c r="C47" s="9" t="inlineStr">
        <is>
          <t>Portugal</t>
        </is>
      </c>
      <c r="D47" s="9" t="inlineStr">
        <is>
          <t>Western, Northern, and Southern Europe</t>
        </is>
      </c>
      <c r="E47" s="9" t="inlineStr">
        <is>
          <t>secondary</t>
        </is>
      </c>
      <c r="F47" s="9" t="inlineStr">
        <is>
          <t>locked</t>
        </is>
      </c>
      <c r="G47" s="10" t="n">
        <v>4227.5</v>
      </c>
      <c r="H47" s="10" t="n">
        <v>1109.72</v>
      </c>
      <c r="I47" s="10" t="n">
        <v>221.94</v>
      </c>
      <c r="J47" s="10" t="n">
        <v>158.53</v>
      </c>
      <c r="K47" s="10" t="n">
        <v>47.56</v>
      </c>
      <c r="L47" s="10" t="n">
        <v>475.59</v>
      </c>
      <c r="M47" s="11" t="inlineStr"/>
      <c r="N47" s="10" t="n">
        <v>26.25</v>
      </c>
      <c r="O47" s="10" t="n">
        <v>77.1375</v>
      </c>
      <c r="P47" s="11">
        <f>IF($O47&lt;&gt;"",$O47,$AO47)</f>
        <v/>
      </c>
      <c r="Q47" s="10" t="n">
        <v>37.27</v>
      </c>
      <c r="R47" s="10" t="n">
        <v>11.52</v>
      </c>
      <c r="S47" s="10" t="n">
        <v>0.72</v>
      </c>
      <c r="T47" s="10" t="inlineStr"/>
      <c r="U47" s="10" t="inlineStr"/>
      <c r="V47" s="10" t="n">
        <v>95.22</v>
      </c>
      <c r="W47" s="10" t="n">
        <v>44.11</v>
      </c>
      <c r="X47" s="9" t="n">
        <v>58</v>
      </c>
      <c r="Y47" s="10" t="n">
        <v>83</v>
      </c>
      <c r="Z47" s="10" t="n">
        <v>77.68000000000001</v>
      </c>
      <c r="AA47" s="10" t="n">
        <v>33.9</v>
      </c>
      <c r="AB47" s="10" t="n">
        <v>51.54</v>
      </c>
      <c r="AC47" s="10" t="n">
        <v>32.61</v>
      </c>
      <c r="AD47" s="10" t="n">
        <v>393.47</v>
      </c>
      <c r="AE47" s="10" t="n">
        <v>6.95</v>
      </c>
      <c r="AF47" s="10" t="n">
        <v>1.7</v>
      </c>
      <c r="AG47" s="10" t="n">
        <v>4.31</v>
      </c>
      <c r="AH47" s="10" t="n">
        <v>1.74</v>
      </c>
      <c r="AI47" s="10" t="inlineStr"/>
      <c r="AJ47" s="11">
        <f>IFERROR(INDEX(Country_Context!$B$2:$B$87,MATCH($C47,Country_Context!$A$2:$A$87,0)),"")</f>
        <v/>
      </c>
      <c r="AK47" s="11">
        <f>IFERROR(INDEX(Country_Context!$C$2:$C$87,MATCH($C47,Country_Context!$A$2:$A$87,0)),"")</f>
        <v/>
      </c>
      <c r="AL47" s="11">
        <f>IFERROR(INDEX(Country_Context!$D$2:$D$87,MATCH($C47,Country_Context!$A$2:$A$87,0)),"")</f>
        <v/>
      </c>
      <c r="AM47" s="11">
        <f>IFERROR(INDEX(Country_Context!$E$2:$E$87,MATCH($C47,Country_Context!$A$2:$A$87,0)),"")</f>
        <v/>
      </c>
      <c r="AN47" s="11">
        <f>IFERROR(INDEX(Country_Context!$F$2:$F$87,MATCH($C47,Country_Context!$A$2:$A$87,0)),"")</f>
        <v/>
      </c>
      <c r="AO47" s="11">
        <f>IFERROR(INDEX(Country_Context!$G$2:$G$87,MATCH($C47,Country_Context!$A$2:$A$87,0)),"")</f>
        <v/>
      </c>
      <c r="AP47" s="12" t="inlineStr">
        <is>
          <t>https://api.worldbank.org/v2/country/PRT/indicator/NY.GNP.PCAP.PP.CD?format=json&amp;mrv=10 | https://data.worldbank.org/indicator/NY.GNP.PCAP.PP.CD | https://ilostat.ilo.org/data/indicator/?id=HOW_TEMP_SEX_ECO_NB_A&amp;ref_area=PRT | +4 more</t>
        </is>
      </c>
      <c r="AQ47" s="12" t="inlineStr">
        <is>
          <t>Tier 3, Tier 4</t>
        </is>
      </c>
      <c r="AR47" s="12" t="inlineStr">
        <is>
          <t>2025-12-31</t>
        </is>
      </c>
      <c r="AS47" s="12" t="inlineStr">
        <is>
          <t>providers=world_bank_col_estimate, derived, ilo_ilostat, who_gho; fields=gross_income, rent, utilities, transit_cost; +9 additional fields</t>
        </is>
      </c>
      <c r="AT47" s="12" t="inlineStr">
        <is>
          <t>https://api.worldbank.org/v2/country/PRT/indicator/VC.IHR.PSRC.P5?format=json&amp;mrv=10 | https://api.worldbank.org/v2/country/PRT/indicator/SH.H2O.SMDW.ZS?format=json&amp;mrv=10 | https://api.worldbank.org/v2/country/PRT/indicator/IT.NET.BBND.P2?format=json&amp;mrv=10 | +1 more</t>
        </is>
      </c>
      <c r="AU47" s="12" t="inlineStr">
        <is>
          <t>Tier 3</t>
        </is>
      </c>
      <c r="AV47" s="12" t="inlineStr">
        <is>
          <t>2024-12-31</t>
        </is>
      </c>
      <c r="AW47" s="12" t="inlineStr">
        <is>
          <t>providers=world_bank, wmo_natl_met; fields=personal_safety_raw, water_sanitation_utility_raw, digital_infrastructure_raw, climate_sunlight_livability_raw</t>
        </is>
      </c>
      <c r="AX47" s="12" t="inlineStr">
        <is>
          <t>https://www.who.int/data/gho/data/indicators/indicator-details/GHO/UHC_INDEX_REPORTED | https://api.worldbank.org/v2/country/PRT/indicator/SE.TER.ENRR?format=json&amp;mrv=10 | https://api.worldbank.org/v2/country/PRT/indicator/SI.POV.GINI?format=json&amp;mrv=10 | +1 more</t>
        </is>
      </c>
      <c r="AY47" s="12" t="inlineStr">
        <is>
          <t>Tier 3</t>
        </is>
      </c>
      <c r="AZ47" s="12" t="inlineStr">
        <is>
          <t>2023-12-31</t>
        </is>
      </c>
      <c r="BA47" s="12" t="inlineStr">
        <is>
          <t>providers=who_gho, world_bank; fields=healthcare_quality_raw, education_quality_raw, equal_opportunity_raw, gini_coefficient</t>
        </is>
      </c>
      <c r="BB47" s="12" t="inlineStr">
        <is>
          <t>https://api.worldbank.org/v2/country/PRT/indicator/SM.POP.NETM?format=json&amp;mrv=10 | https://api.worldbank.org/v2/country/PRT/indicator/SG.GEN.PARL.ZS?format=json&amp;mrv=10 | https://api.worldbank.org/v2/country/PRT/indicator/ST.INT.ARVL?format=json&amp;mrv=10 | +1 more</t>
        </is>
      </c>
      <c r="BC47" s="12" t="inlineStr">
        <is>
          <t>Tier 3</t>
        </is>
      </c>
      <c r="BD47" s="12" t="inlineStr">
        <is>
          <t>2025-12-31</t>
        </is>
      </c>
      <c r="BE47" s="12" t="inlineStr">
        <is>
          <t>providers=world_bank; fields=hospitality_belonging_raw, tolerance_pluralism_raw, cultural_public_life_raw, birth_rate_optimism_raw</t>
        </is>
      </c>
      <c r="BF47" s="12" t="inlineStr">
        <is>
          <t>https://api.worldbank.org/v2/country/PRT/indicator/IC.BUS.NDNS.ZS?format=json&amp;mrv=10 | https://api.worldbank.org/v2/country/PRT/indicator/GB.XPD.RSDV.GD.ZS?format=json&amp;mrv=10 | https://api.worldbank.org/v2/country/PRT/indicator/BX.KLT.DINV.WD.GD.ZS?format=json&amp;mrv=10 | +3 more</t>
        </is>
      </c>
      <c r="BG47" s="12" t="inlineStr">
        <is>
          <t>Tier 3</t>
        </is>
      </c>
      <c r="BH47" s="12" t="inlineStr">
        <is>
          <t>2024-12-31</t>
        </is>
      </c>
      <c r="BI47" s="12" t="inlineStr">
        <is>
          <t>providers=world_bank; fields=entrepreneurial_dynamism_raw, innovation_research_intensity_raw, investment_signal_raw, administrative_investment_friction_raw; +2 additional fields</t>
        </is>
      </c>
      <c r="BJ47" s="9" t="n">
        <v>1.43</v>
      </c>
    </row>
    <row r="48">
      <c r="A48" s="9" t="inlineStr">
        <is>
          <t>ee-tallinn</t>
        </is>
      </c>
      <c r="B48" s="9" t="inlineStr">
        <is>
          <t>Tallinn</t>
        </is>
      </c>
      <c r="C48" s="9" t="inlineStr">
        <is>
          <t>Estonia</t>
        </is>
      </c>
      <c r="D48" s="9" t="inlineStr">
        <is>
          <t>Western, Northern, and Southern Europe</t>
        </is>
      </c>
      <c r="E48" s="9" t="inlineStr">
        <is>
          <t>secondary</t>
        </is>
      </c>
      <c r="F48" s="9" t="inlineStr">
        <is>
          <t>locked</t>
        </is>
      </c>
      <c r="G48" s="10" t="n">
        <v>4073.33</v>
      </c>
      <c r="H48" s="10" t="n">
        <v>1283.1</v>
      </c>
      <c r="I48" s="10" t="n">
        <v>256.62</v>
      </c>
      <c r="J48" s="10" t="n">
        <v>183.3</v>
      </c>
      <c r="K48" s="10" t="n">
        <v>54.99</v>
      </c>
      <c r="L48" s="10" t="n">
        <v>549.9</v>
      </c>
      <c r="M48" s="11" t="inlineStr"/>
      <c r="N48" s="10" t="n">
        <v>31.5</v>
      </c>
      <c r="O48" s="10" t="n">
        <v>60.5329</v>
      </c>
      <c r="P48" s="11">
        <f>IF($O48&lt;&gt;"",$O48,$AO48)</f>
        <v/>
      </c>
      <c r="Q48" s="10" t="n">
        <v>35.8</v>
      </c>
      <c r="R48" s="10" t="n">
        <v>14.94</v>
      </c>
      <c r="S48" s="10" t="n">
        <v>1.54</v>
      </c>
      <c r="T48" s="10" t="inlineStr"/>
      <c r="U48" s="10" t="inlineStr"/>
      <c r="V48" s="10" t="n">
        <v>98.94</v>
      </c>
      <c r="W48" s="10" t="n">
        <v>35.25</v>
      </c>
      <c r="X48" s="9" t="n">
        <v>34</v>
      </c>
      <c r="Y48" s="10" t="n">
        <v>79</v>
      </c>
      <c r="Z48" s="10" t="n">
        <v>67.62</v>
      </c>
      <c r="AA48" s="10" t="n">
        <v>30.7</v>
      </c>
      <c r="AB48" s="10" t="n">
        <v>40.27</v>
      </c>
      <c r="AC48" s="10" t="n">
        <v>29.7</v>
      </c>
      <c r="AD48" s="10" t="n">
        <v>1235.12</v>
      </c>
      <c r="AE48" s="10" t="n">
        <v>24.32</v>
      </c>
      <c r="AF48" s="10" t="n">
        <v>1.78</v>
      </c>
      <c r="AG48" s="10" t="n">
        <v>-7.97</v>
      </c>
      <c r="AH48" s="10" t="n">
        <v>1.07</v>
      </c>
      <c r="AI48" s="10" t="inlineStr"/>
      <c r="AJ48" s="11">
        <f>IFERROR(INDEX(Country_Context!$B$2:$B$87,MATCH($C48,Country_Context!$A$2:$A$87,0)),"")</f>
        <v/>
      </c>
      <c r="AK48" s="11">
        <f>IFERROR(INDEX(Country_Context!$C$2:$C$87,MATCH($C48,Country_Context!$A$2:$A$87,0)),"")</f>
        <v/>
      </c>
      <c r="AL48" s="11">
        <f>IFERROR(INDEX(Country_Context!$D$2:$D$87,MATCH($C48,Country_Context!$A$2:$A$87,0)),"")</f>
        <v/>
      </c>
      <c r="AM48" s="11">
        <f>IFERROR(INDEX(Country_Context!$E$2:$E$87,MATCH($C48,Country_Context!$A$2:$A$87,0)),"")</f>
        <v/>
      </c>
      <c r="AN48" s="11">
        <f>IFERROR(INDEX(Country_Context!$F$2:$F$87,MATCH($C48,Country_Context!$A$2:$A$87,0)),"")</f>
        <v/>
      </c>
      <c r="AO48" s="11">
        <f>IFERROR(INDEX(Country_Context!$G$2:$G$87,MATCH($C48,Country_Context!$A$2:$A$87,0)),"")</f>
        <v/>
      </c>
      <c r="AP48" s="12" t="inlineStr">
        <is>
          <t>https://api.worldbank.org/v2/country/EST/indicator/NY.GNP.PCAP.PP.CD?format=json&amp;mrv=10 | https://data.worldbank.org/indicator/NY.GNP.PCAP.PP.CD | https://ilostat.ilo.org/data/indicator/?id=HOW_TEMP_SEX_ECO_NB_A&amp;ref_area=EST | +4 more</t>
        </is>
      </c>
      <c r="AQ48" s="12" t="inlineStr">
        <is>
          <t>Tier 3, Tier 4</t>
        </is>
      </c>
      <c r="AR48" s="12" t="inlineStr">
        <is>
          <t>2024-12-31</t>
        </is>
      </c>
      <c r="AS48" s="12" t="inlineStr">
        <is>
          <t>providers=world_bank_col_estimate, derived, ilo_ilostat, who_gho; fields=gross_income, rent, utilities, transit_cost; +9 additional fields</t>
        </is>
      </c>
      <c r="AT48" s="12" t="inlineStr">
        <is>
          <t>https://api.worldbank.org/v2/country/EST/indicator/VC.IHR.PSRC.P5?format=json&amp;mrv=10 | https://api.worldbank.org/v2/country/EST/indicator/SH.H2O.SMDW.ZS?format=json&amp;mrv=10 | https://api.worldbank.org/v2/country/EST/indicator/IT.NET.BBND.P2?format=json&amp;mrv=10 | +1 more</t>
        </is>
      </c>
      <c r="AU48" s="12" t="inlineStr">
        <is>
          <t>Tier 3</t>
        </is>
      </c>
      <c r="AV48" s="12" t="inlineStr">
        <is>
          <t>2024-12-31</t>
        </is>
      </c>
      <c r="AW48" s="12" t="inlineStr">
        <is>
          <t>providers=world_bank, wmo_natl_met; fields=personal_safety_raw, water_sanitation_utility_raw, digital_infrastructure_raw, climate_sunlight_livability_raw</t>
        </is>
      </c>
      <c r="AX48" s="12" t="inlineStr">
        <is>
          <t>https://www.who.int/data/gho/data/indicators/indicator-details/GHO/UHC_INDEX_REPORTED | https://api.worldbank.org/v2/country/EST/indicator/SE.TER.ENRR?format=json&amp;mrv=10 | https://api.worldbank.org/v2/country/EST/indicator/SI.POV.GINI?format=json&amp;mrv=10 | +1 more</t>
        </is>
      </c>
      <c r="AY48" s="12" t="inlineStr">
        <is>
          <t>Tier 3</t>
        </is>
      </c>
      <c r="AZ48" s="12" t="inlineStr">
        <is>
          <t>2023-12-31</t>
        </is>
      </c>
      <c r="BA48" s="12" t="inlineStr">
        <is>
          <t>providers=who_gho, world_bank; fields=healthcare_quality_raw, education_quality_raw, equal_opportunity_raw, gini_coefficient</t>
        </is>
      </c>
      <c r="BB48" s="12" t="inlineStr">
        <is>
          <t>https://api.worldbank.org/v2/country/EST/indicator/SM.POP.NETM?format=json&amp;mrv=10 | https://api.worldbank.org/v2/country/EST/indicator/SG.GEN.PARL.ZS?format=json&amp;mrv=10 | https://api.worldbank.org/v2/country/EST/indicator/ST.INT.ARVL?format=json&amp;mrv=10</t>
        </is>
      </c>
      <c r="BC48" s="12" t="inlineStr">
        <is>
          <t>Tier 3</t>
        </is>
      </c>
      <c r="BD48" s="12" t="inlineStr">
        <is>
          <t>2025-12-31</t>
        </is>
      </c>
      <c r="BE48" s="12" t="inlineStr">
        <is>
          <t>providers=world_bank; fields=hospitality_belonging_raw, tolerance_pluralism_raw, cultural_public_life_raw</t>
        </is>
      </c>
      <c r="BF48" s="12" t="inlineStr">
        <is>
          <t>https://api.worldbank.org/v2/country/EST/indicator/IC.BUS.NDNS.ZS?format=json&amp;mrv=10 | https://api.worldbank.org/v2/country/EST/indicator/GB.XPD.RSDV.GD.ZS?format=json&amp;mrv=10 | https://api.worldbank.org/v2/country/EST/indicator/BX.KLT.DINV.WD.GD.ZS?format=json&amp;mrv=10 | +3 more</t>
        </is>
      </c>
      <c r="BG48" s="12" t="inlineStr">
        <is>
          <t>Tier 3</t>
        </is>
      </c>
      <c r="BH48" s="12" t="inlineStr">
        <is>
          <t>2024-12-31</t>
        </is>
      </c>
      <c r="BI48" s="12" t="inlineStr">
        <is>
          <t>providers=world_bank; fields=entrepreneurial_dynamism_raw, innovation_research_intensity_raw, investment_signal_raw, administrative_investment_friction_raw; +2 additional fields</t>
        </is>
      </c>
      <c r="BJ48" s="9" t="inlineStr"/>
    </row>
    <row r="49">
      <c r="A49" s="9" t="inlineStr">
        <is>
          <t>fi-helsinki</t>
        </is>
      </c>
      <c r="B49" s="9" t="inlineStr">
        <is>
          <t>Helsinki</t>
        </is>
      </c>
      <c r="C49" s="9" t="inlineStr">
        <is>
          <t>Finland</t>
        </is>
      </c>
      <c r="D49" s="9" t="inlineStr">
        <is>
          <t>Western, Northern, and Southern Europe</t>
        </is>
      </c>
      <c r="E49" s="9" t="inlineStr">
        <is>
          <t>secondary</t>
        </is>
      </c>
      <c r="F49" s="9" t="inlineStr">
        <is>
          <t>provisional</t>
        </is>
      </c>
      <c r="G49" s="10" t="n">
        <v>5470</v>
      </c>
      <c r="H49" s="10" t="n">
        <v>2010.22</v>
      </c>
      <c r="I49" s="10" t="n">
        <v>402.05</v>
      </c>
      <c r="J49" s="10" t="n">
        <v>287.18</v>
      </c>
      <c r="K49" s="10" t="n">
        <v>86.15000000000001</v>
      </c>
      <c r="L49" s="10" t="n">
        <v>861.53</v>
      </c>
      <c r="M49" s="11" t="inlineStr"/>
      <c r="N49" s="10" t="n">
        <v>36.7499</v>
      </c>
      <c r="O49" s="10" t="n">
        <v>90.8647</v>
      </c>
      <c r="P49" s="11">
        <f>IF($O49&lt;&gt;"",$O49,$AO49)</f>
        <v/>
      </c>
      <c r="Q49" s="10" t="n">
        <v>33.83</v>
      </c>
      <c r="R49" s="10" t="n">
        <v>14.57</v>
      </c>
      <c r="S49" s="10" t="n">
        <v>0.98</v>
      </c>
      <c r="T49" s="10" t="inlineStr"/>
      <c r="U49" s="10" t="inlineStr"/>
      <c r="V49" s="10" t="n">
        <v>99.65000000000001</v>
      </c>
      <c r="W49" s="10" t="n">
        <v>35.33</v>
      </c>
      <c r="X49" s="9" t="n">
        <v>32</v>
      </c>
      <c r="Y49" s="10" t="n">
        <v>86</v>
      </c>
      <c r="Z49" s="10" t="n">
        <v>108.13</v>
      </c>
      <c r="AA49" s="10" t="n">
        <v>27.4</v>
      </c>
      <c r="AB49" s="10" t="n">
        <v>53.25</v>
      </c>
      <c r="AC49" s="10" t="n">
        <v>46</v>
      </c>
      <c r="AD49" s="10" t="n">
        <v>159.43</v>
      </c>
      <c r="AE49" s="10" t="n">
        <v>6.11</v>
      </c>
      <c r="AF49" s="10" t="n">
        <v>2.96</v>
      </c>
      <c r="AG49" s="10" t="n">
        <v>2.93</v>
      </c>
      <c r="AH49" s="10" t="n">
        <v>0.73</v>
      </c>
      <c r="AI49" s="10" t="inlineStr"/>
      <c r="AJ49" s="11">
        <f>IFERROR(INDEX(Country_Context!$B$2:$B$87,MATCH($C49,Country_Context!$A$2:$A$87,0)),"")</f>
        <v/>
      </c>
      <c r="AK49" s="11">
        <f>IFERROR(INDEX(Country_Context!$C$2:$C$87,MATCH($C49,Country_Context!$A$2:$A$87,0)),"")</f>
        <v/>
      </c>
      <c r="AL49" s="11">
        <f>IFERROR(INDEX(Country_Context!$D$2:$D$87,MATCH($C49,Country_Context!$A$2:$A$87,0)),"")</f>
        <v/>
      </c>
      <c r="AM49" s="11">
        <f>IFERROR(INDEX(Country_Context!$E$2:$E$87,MATCH($C49,Country_Context!$A$2:$A$87,0)),"")</f>
        <v/>
      </c>
      <c r="AN49" s="11">
        <f>IFERROR(INDEX(Country_Context!$F$2:$F$87,MATCH($C49,Country_Context!$A$2:$A$87,0)),"")</f>
        <v/>
      </c>
      <c r="AO49" s="11">
        <f>IFERROR(INDEX(Country_Context!$G$2:$G$87,MATCH($C49,Country_Context!$A$2:$A$87,0)),"")</f>
        <v/>
      </c>
      <c r="AP49" s="12" t="inlineStr">
        <is>
          <t>https://api.worldbank.org/v2/country/FIN/indicator/NY.GNP.PCAP.PP.CD?format=json&amp;mrv=10 | https://data.worldbank.org/indicator/NY.GNP.PCAP.PP.CD | https://ilostat.ilo.org/data/indicator/?id=HOW_TEMP_SEX_ECO_NB_A&amp;ref_area=FIN | +4 more</t>
        </is>
      </c>
      <c r="AQ49" s="12" t="inlineStr">
        <is>
          <t>Tier 3, Tier 4</t>
        </is>
      </c>
      <c r="AR49" s="12" t="inlineStr">
        <is>
          <t>2024-12-31</t>
        </is>
      </c>
      <c r="AS49" s="12" t="inlineStr">
        <is>
          <t>providers=world_bank_col_estimate, derived, ilo_ilostat, who_gho; fields=gross_income, rent, utilities, transit_cost; +9 additional fields</t>
        </is>
      </c>
      <c r="AT49" s="12" t="inlineStr">
        <is>
          <t>https://api.worldbank.org/v2/country/FIN/indicator/VC.IHR.PSRC.P5?format=json&amp;mrv=10 | https://api.worldbank.org/v2/country/FIN/indicator/SH.H2O.SMDW.ZS?format=json&amp;mrv=10 | https://api.worldbank.org/v2/country/FIN/indicator/IT.NET.BBND.P2?format=json&amp;mrv=10 | +1 more</t>
        </is>
      </c>
      <c r="AU49" s="12" t="inlineStr">
        <is>
          <t>Tier 3</t>
        </is>
      </c>
      <c r="AV49" s="12" t="inlineStr">
        <is>
          <t>2024-12-31</t>
        </is>
      </c>
      <c r="AW49" s="12" t="inlineStr">
        <is>
          <t>providers=world_bank, wmo_natl_met; fields=personal_safety_raw, water_sanitation_utility_raw, digital_infrastructure_raw, climate_sunlight_livability_raw</t>
        </is>
      </c>
      <c r="AX49" s="12" t="inlineStr">
        <is>
          <t>https://www.who.int/data/gho/data/indicators/indicator-details/GHO/UHC_INDEX_REPORTED | https://api.worldbank.org/v2/country/FIN/indicator/SE.TER.ENRR?format=json&amp;mrv=10 | https://api.worldbank.org/v2/country/FIN/indicator/SI.POV.GINI?format=json&amp;mrv=10 | +1 more</t>
        </is>
      </c>
      <c r="AY49" s="12" t="inlineStr">
        <is>
          <t>Tier 3</t>
        </is>
      </c>
      <c r="AZ49" s="12" t="inlineStr">
        <is>
          <t>2023-12-31</t>
        </is>
      </c>
      <c r="BA49" s="12" t="inlineStr">
        <is>
          <t>providers=who_gho, world_bank; fields=healthcare_quality_raw, education_quality_raw, equal_opportunity_raw, gini_coefficient</t>
        </is>
      </c>
      <c r="BB49" s="12" t="inlineStr">
        <is>
          <t>https://api.worldbank.org/v2/country/FIN/indicator/SM.POP.NETM?format=json&amp;mrv=10 | https://api.worldbank.org/v2/country/FIN/indicator/SG.GEN.PARL.ZS?format=json&amp;mrv=10 | https://api.worldbank.org/v2/country/FIN/indicator/ST.INT.ARVL?format=json&amp;mrv=10 | +1 more</t>
        </is>
      </c>
      <c r="BC49" s="12" t="inlineStr">
        <is>
          <t>Tier 3</t>
        </is>
      </c>
      <c r="BD49" s="12" t="inlineStr">
        <is>
          <t>2025-12-31</t>
        </is>
      </c>
      <c r="BE49" s="12" t="inlineStr">
        <is>
          <t>providers=world_bank; fields=hospitality_belonging_raw, tolerance_pluralism_raw, cultural_public_life_raw, birth_rate_optimism_raw</t>
        </is>
      </c>
      <c r="BF49" s="12" t="inlineStr">
        <is>
          <t>https://api.worldbank.org/v2/country/FIN/indicator/IC.BUS.NDNS.ZS?format=json&amp;mrv=10 | https://api.worldbank.org/v2/country/FIN/indicator/GB.XPD.RSDV.GD.ZS?format=json&amp;mrv=10 | https://api.worldbank.org/v2/country/FIN/indicator/BX.KLT.DINV.WD.GD.ZS?format=json&amp;mrv=10 | +3 more</t>
        </is>
      </c>
      <c r="BG49" s="12" t="inlineStr">
        <is>
          <t>Tier 3</t>
        </is>
      </c>
      <c r="BH49" s="12" t="inlineStr">
        <is>
          <t>2024-12-31</t>
        </is>
      </c>
      <c r="BI49" s="12" t="inlineStr">
        <is>
          <t>providers=world_bank; fields=entrepreneurial_dynamism_raw, innovation_research_intensity_raw, investment_signal_raw, administrative_investment_friction_raw; +2 additional fields</t>
        </is>
      </c>
      <c r="BJ49" s="9" t="n">
        <v>1.32</v>
      </c>
    </row>
    <row r="50">
      <c r="A50" s="9" t="inlineStr">
        <is>
          <t>it-bologna</t>
        </is>
      </c>
      <c r="B50" s="9" t="inlineStr">
        <is>
          <t>Bologna</t>
        </is>
      </c>
      <c r="C50" s="9" t="inlineStr">
        <is>
          <t>Italy</t>
        </is>
      </c>
      <c r="D50" s="9" t="inlineStr">
        <is>
          <t>Western, Northern, and Southern Europe</t>
        </is>
      </c>
      <c r="E50" s="9" t="inlineStr">
        <is>
          <t>secondary</t>
        </is>
      </c>
      <c r="F50" s="9" t="inlineStr">
        <is>
          <t>provisional</t>
        </is>
      </c>
      <c r="G50" s="10" t="n">
        <v>5135</v>
      </c>
      <c r="H50" s="10" t="n">
        <v>1617.52</v>
      </c>
      <c r="I50" s="10" t="n">
        <v>323.51</v>
      </c>
      <c r="J50" s="10" t="n">
        <v>231.08</v>
      </c>
      <c r="K50" s="10" t="n">
        <v>69.31999999999999</v>
      </c>
      <c r="L50" s="10" t="n">
        <v>693.23</v>
      </c>
      <c r="M50" s="11" t="inlineStr"/>
      <c r="N50" s="10" t="n">
        <v>31.4999</v>
      </c>
      <c r="O50" s="10" t="n">
        <v>59.3116</v>
      </c>
      <c r="P50" s="11">
        <f>IF($O50&lt;&gt;"",$O50,$AO50)</f>
        <v/>
      </c>
      <c r="Q50" s="10" t="n">
        <v>35.96</v>
      </c>
      <c r="R50" s="10" t="n">
        <v>6.99</v>
      </c>
      <c r="S50" s="10" t="n">
        <v>0.57</v>
      </c>
      <c r="T50" s="10" t="inlineStr"/>
      <c r="U50" s="10" t="inlineStr"/>
      <c r="V50" s="10" t="n">
        <v>96.76000000000001</v>
      </c>
      <c r="W50" s="10" t="n">
        <v>31.84</v>
      </c>
      <c r="X50" s="9" t="n">
        <v>56</v>
      </c>
      <c r="Y50" s="10" t="n">
        <v>82</v>
      </c>
      <c r="Z50" s="10" t="n">
        <v>75.95</v>
      </c>
      <c r="AA50" s="10" t="n">
        <v>34.3</v>
      </c>
      <c r="AB50" s="10" t="n">
        <v>51.28</v>
      </c>
      <c r="AC50" s="10" t="n">
        <v>32.25</v>
      </c>
      <c r="AD50" s="10" t="n">
        <v>651.6900000000001</v>
      </c>
      <c r="AE50" s="10" t="n">
        <v>2.85</v>
      </c>
      <c r="AF50" s="10" t="n">
        <v>1.39</v>
      </c>
      <c r="AG50" s="10" t="n">
        <v>1.13</v>
      </c>
      <c r="AH50" s="10" t="n">
        <v>1.86</v>
      </c>
      <c r="AI50" s="10" t="inlineStr"/>
      <c r="AJ50" s="11">
        <f>IFERROR(INDEX(Country_Context!$B$2:$B$87,MATCH($C50,Country_Context!$A$2:$A$87,0)),"")</f>
        <v/>
      </c>
      <c r="AK50" s="11">
        <f>IFERROR(INDEX(Country_Context!$C$2:$C$87,MATCH($C50,Country_Context!$A$2:$A$87,0)),"")</f>
        <v/>
      </c>
      <c r="AL50" s="11">
        <f>IFERROR(INDEX(Country_Context!$D$2:$D$87,MATCH($C50,Country_Context!$A$2:$A$87,0)),"")</f>
        <v/>
      </c>
      <c r="AM50" s="11">
        <f>IFERROR(INDEX(Country_Context!$E$2:$E$87,MATCH($C50,Country_Context!$A$2:$A$87,0)),"")</f>
        <v/>
      </c>
      <c r="AN50" s="11">
        <f>IFERROR(INDEX(Country_Context!$F$2:$F$87,MATCH($C50,Country_Context!$A$2:$A$87,0)),"")</f>
        <v/>
      </c>
      <c r="AO50" s="11">
        <f>IFERROR(INDEX(Country_Context!$G$2:$G$87,MATCH($C50,Country_Context!$A$2:$A$87,0)),"")</f>
        <v/>
      </c>
      <c r="AP50" s="12" t="inlineStr">
        <is>
          <t>https://api.worldbank.org/v2/country/ITA/indicator/NY.GNP.PCAP.PP.CD?format=json&amp;mrv=10 | https://data.worldbank.org/indicator/NY.GNP.PCAP.PP.CD | https://ilostat.ilo.org/data/indicator/?id=HOW_TEMP_SEX_ECO_NB_A&amp;ref_area=ITA | +4 more</t>
        </is>
      </c>
      <c r="AQ50" s="12" t="inlineStr">
        <is>
          <t>Tier 3, Tier 4</t>
        </is>
      </c>
      <c r="AR50" s="12" t="inlineStr">
        <is>
          <t>2024-12-31</t>
        </is>
      </c>
      <c r="AS50" s="12" t="inlineStr">
        <is>
          <t>providers=world_bank_col_estimate, derived, ilo_ilostat, who_gho; fields=gross_income, rent, utilities, transit_cost; +9 additional fields</t>
        </is>
      </c>
      <c r="AT50" s="12" t="inlineStr">
        <is>
          <t>https://api.worldbank.org/v2/country/ITA/indicator/VC.IHR.PSRC.P5?format=json&amp;mrv=10 | https://api.worldbank.org/v2/country/ITA/indicator/SH.H2O.SMDW.ZS?format=json&amp;mrv=10 | https://api.worldbank.org/v2/country/ITA/indicator/IT.NET.BBND.P2?format=json&amp;mrv=10 | +1 more</t>
        </is>
      </c>
      <c r="AU50" s="12" t="inlineStr">
        <is>
          <t>Tier 3</t>
        </is>
      </c>
      <c r="AV50" s="12" t="inlineStr">
        <is>
          <t>2024-12-31</t>
        </is>
      </c>
      <c r="AW50" s="12" t="inlineStr">
        <is>
          <t>providers=world_bank, wmo_natl_met; fields=personal_safety_raw, water_sanitation_utility_raw, digital_infrastructure_raw, climate_sunlight_livability_raw</t>
        </is>
      </c>
      <c r="AX50" s="12" t="inlineStr">
        <is>
          <t>https://www.who.int/data/gho/data/indicators/indicator-details/GHO/UHC_INDEX_REPORTED | https://api.worldbank.org/v2/country/ITA/indicator/SE.TER.ENRR?format=json&amp;mrv=10 | https://api.worldbank.org/v2/country/ITA/indicator/SI.POV.GINI?format=json&amp;mrv=10 | +1 more</t>
        </is>
      </c>
      <c r="AY50" s="12" t="inlineStr">
        <is>
          <t>Tier 3</t>
        </is>
      </c>
      <c r="AZ50" s="12" t="inlineStr">
        <is>
          <t>2023-12-31</t>
        </is>
      </c>
      <c r="BA50" s="12" t="inlineStr">
        <is>
          <t>providers=who_gho, world_bank; fields=healthcare_quality_raw, education_quality_raw, equal_opportunity_raw, gini_coefficient</t>
        </is>
      </c>
      <c r="BB50" s="12" t="inlineStr">
        <is>
          <t>https://api.worldbank.org/v2/country/ITA/indicator/SM.POP.NETM?format=json&amp;mrv=10 | https://api.worldbank.org/v2/country/ITA/indicator/SG.GEN.PARL.ZS?format=json&amp;mrv=10 | https://api.worldbank.org/v2/country/ITA/indicator/ST.INT.ARVL?format=json&amp;mrv=10 | +1 more</t>
        </is>
      </c>
      <c r="BC50" s="12" t="inlineStr">
        <is>
          <t>Tier 3</t>
        </is>
      </c>
      <c r="BD50" s="12" t="inlineStr">
        <is>
          <t>2025-12-31</t>
        </is>
      </c>
      <c r="BE50" s="12" t="inlineStr">
        <is>
          <t>providers=world_bank; fields=hospitality_belonging_raw, tolerance_pluralism_raw, cultural_public_life_raw, birth_rate_optimism_raw</t>
        </is>
      </c>
      <c r="BF50" s="12" t="inlineStr">
        <is>
          <t>https://api.worldbank.org/v2/country/ITA/indicator/IC.BUS.NDNS.ZS?format=json&amp;mrv=10 | https://api.worldbank.org/v2/country/ITA/indicator/GB.XPD.RSDV.GD.ZS?format=json&amp;mrv=10 | https://api.worldbank.org/v2/country/ITA/indicator/BX.KLT.DINV.WD.GD.ZS?format=json&amp;mrv=10 | +3 more</t>
        </is>
      </c>
      <c r="BG50" s="12" t="inlineStr">
        <is>
          <t>Tier 3</t>
        </is>
      </c>
      <c r="BH50" s="12" t="inlineStr">
        <is>
          <t>2024-12-31</t>
        </is>
      </c>
      <c r="BI50" s="12" t="inlineStr">
        <is>
          <t>providers=world_bank; fields=entrepreneurial_dynamism_raw, innovation_research_intensity_raw, investment_signal_raw, administrative_investment_friction_raw; +2 additional fields</t>
        </is>
      </c>
      <c r="BJ50" s="9" t="n">
        <v>1.24</v>
      </c>
    </row>
    <row r="51">
      <c r="A51" s="9" t="inlineStr">
        <is>
          <t>ru-moscow</t>
        </is>
      </c>
      <c r="B51" s="9" t="inlineStr">
        <is>
          <t>Moscow</t>
        </is>
      </c>
      <c r="C51" s="9" t="inlineStr">
        <is>
          <t>Russia</t>
        </is>
      </c>
      <c r="D51" s="9" t="inlineStr">
        <is>
          <t>Southern/Eastern Europe and Eurasia</t>
        </is>
      </c>
      <c r="E51" s="9" t="inlineStr">
        <is>
          <t>primary</t>
        </is>
      </c>
      <c r="F51" s="9" t="inlineStr">
        <is>
          <t>locked</t>
        </is>
      </c>
      <c r="G51" s="10" t="n">
        <v>5847.5</v>
      </c>
      <c r="H51" s="10" t="n">
        <v>1900.44</v>
      </c>
      <c r="I51" s="10" t="n">
        <v>608.14</v>
      </c>
      <c r="J51" s="10" t="n">
        <v>304.07</v>
      </c>
      <c r="K51" s="10" t="n">
        <v>114.03</v>
      </c>
      <c r="L51" s="10" t="n">
        <v>1520.35</v>
      </c>
      <c r="M51" s="11" t="inlineStr"/>
      <c r="N51" s="10" t="n">
        <v>32.5</v>
      </c>
      <c r="O51" s="10" t="n">
        <v>54.6413</v>
      </c>
      <c r="P51" s="11">
        <f>IF($O51&lt;&gt;"",$O51,$AO51)</f>
        <v/>
      </c>
      <c r="Q51" s="10" t="n">
        <v>39.17</v>
      </c>
      <c r="R51" s="10" t="n">
        <v>21.37</v>
      </c>
      <c r="S51" s="10" t="n">
        <v>6.77</v>
      </c>
      <c r="T51" s="10" t="inlineStr"/>
      <c r="U51" s="10" t="inlineStr"/>
      <c r="V51" s="10" t="n">
        <v>76.26000000000001</v>
      </c>
      <c r="W51" s="10" t="n">
        <v>25.82</v>
      </c>
      <c r="X51" s="9" t="inlineStr"/>
      <c r="Y51" s="10" t="n">
        <v>81</v>
      </c>
      <c r="Z51" s="10" t="n">
        <v>60.39</v>
      </c>
      <c r="AA51" s="10" t="n">
        <v>33</v>
      </c>
      <c r="AB51" s="10" t="n">
        <v>48.25</v>
      </c>
      <c r="AC51" s="10" t="n">
        <v>16.44</v>
      </c>
      <c r="AD51" s="10" t="n">
        <v>44.3</v>
      </c>
      <c r="AE51" s="10" t="n">
        <v>2.52</v>
      </c>
      <c r="AF51" s="10" t="n">
        <v>0.93</v>
      </c>
      <c r="AG51" s="10" t="n">
        <v>-0.43</v>
      </c>
      <c r="AH51" s="10" t="n">
        <v>3.62</v>
      </c>
      <c r="AI51" s="10" t="inlineStr"/>
      <c r="AJ51" s="11">
        <f>IFERROR(INDEX(Country_Context!$B$2:$B$87,MATCH($C51,Country_Context!$A$2:$A$87,0)),"")</f>
        <v/>
      </c>
      <c r="AK51" s="11">
        <f>IFERROR(INDEX(Country_Context!$C$2:$C$87,MATCH($C51,Country_Context!$A$2:$A$87,0)),"")</f>
        <v/>
      </c>
      <c r="AL51" s="11">
        <f>IFERROR(INDEX(Country_Context!$D$2:$D$87,MATCH($C51,Country_Context!$A$2:$A$87,0)),"")</f>
        <v/>
      </c>
      <c r="AM51" s="11">
        <f>IFERROR(INDEX(Country_Context!$E$2:$E$87,MATCH($C51,Country_Context!$A$2:$A$87,0)),"")</f>
        <v/>
      </c>
      <c r="AN51" s="11">
        <f>IFERROR(INDEX(Country_Context!$F$2:$F$87,MATCH($C51,Country_Context!$A$2:$A$87,0)),"")</f>
        <v/>
      </c>
      <c r="AO51" s="11">
        <f>IFERROR(INDEX(Country_Context!$G$2:$G$87,MATCH($C51,Country_Context!$A$2:$A$87,0)),"")</f>
        <v/>
      </c>
      <c r="AP51" s="12" t="inlineStr">
        <is>
          <t>https://api.worldbank.org/v2/country/RUS/indicator/NY.GNP.PCAP.PP.CD?format=json&amp;mrv=10 | https://data.worldbank.org/indicator/NY.GNP.PCAP.PP.CD | https://ilostat.ilo.org/data/indicator/?id=HOW_TEMP_SEX_ECO_NB_A&amp;ref_area=RUS | +4 more</t>
        </is>
      </c>
      <c r="AQ51" s="12" t="inlineStr">
        <is>
          <t>Tier 3, Tier 4</t>
        </is>
      </c>
      <c r="AR51" s="12" t="inlineStr">
        <is>
          <t>2024-12-31</t>
        </is>
      </c>
      <c r="AS51" s="12" t="inlineStr">
        <is>
          <t>providers=world_bank_col_estimate, derived, ilo_ilostat, who_gho; fields=gross_income, rent, utilities, transit_cost; +9 additional fields</t>
        </is>
      </c>
      <c r="AT51" s="12" t="inlineStr">
        <is>
          <t>https://api.worldbank.org/v2/country/RUS/indicator/VC.IHR.PSRC.P5?format=json&amp;mrv=10 | https://api.worldbank.org/v2/country/RUS/indicator/SH.H2O.SMDW.ZS?format=json&amp;mrv=10 | https://api.worldbank.org/v2/country/RUS/indicator/IT.NET.BBND.P2?format=json&amp;mrv=10</t>
        </is>
      </c>
      <c r="AU51" s="12" t="inlineStr">
        <is>
          <t>Tier 3</t>
        </is>
      </c>
      <c r="AV51" s="12" t="inlineStr">
        <is>
          <t>2024-12-31</t>
        </is>
      </c>
      <c r="AW51" s="12" t="inlineStr">
        <is>
          <t>providers=world_bank; fields=personal_safety_raw, water_sanitation_utility_raw, digital_infrastructure_raw</t>
        </is>
      </c>
      <c r="AX51" s="12" t="inlineStr">
        <is>
          <t>https://www.who.int/data/gho/data/indicators/indicator-details/GHO/UHC_INDEX_REPORTED | https://api.worldbank.org/v2/country/RUS/indicator/SE.TER.ENRR?format=json&amp;mrv=10 | https://api.worldbank.org/v2/country/RUS/indicator/SI.POV.GINI?format=json&amp;mrv=10 | +1 more</t>
        </is>
      </c>
      <c r="AY51" s="12" t="inlineStr">
        <is>
          <t>Tier 3</t>
        </is>
      </c>
      <c r="AZ51" s="12" t="inlineStr">
        <is>
          <t>2024-12-31</t>
        </is>
      </c>
      <c r="BA51" s="12" t="inlineStr">
        <is>
          <t>providers=who_gho, world_bank; fields=healthcare_quality_raw, education_quality_raw, equal_opportunity_raw, gini_coefficient</t>
        </is>
      </c>
      <c r="BB51" s="12" t="inlineStr">
        <is>
          <t>https://api.worldbank.org/v2/country/RUS/indicator/SM.POP.NETM?format=json&amp;mrv=10 | https://api.worldbank.org/v2/country/RUS/indicator/SG.GEN.PARL.ZS?format=json&amp;mrv=10 | https://api.worldbank.org/v2/country/RUS/indicator/ST.INT.ARVL?format=json&amp;mrv=10</t>
        </is>
      </c>
      <c r="BC51" s="12" t="inlineStr">
        <is>
          <t>Tier 3</t>
        </is>
      </c>
      <c r="BD51" s="12" t="inlineStr">
        <is>
          <t>2025-12-31</t>
        </is>
      </c>
      <c r="BE51" s="12" t="inlineStr">
        <is>
          <t>providers=world_bank; fields=hospitality_belonging_raw, tolerance_pluralism_raw, cultural_public_life_raw</t>
        </is>
      </c>
      <c r="BF51" s="12" t="inlineStr">
        <is>
          <t>https://api.worldbank.org/v2/country/RUS/indicator/IC.BUS.NDNS.ZS?format=json&amp;mrv=10 | https://api.worldbank.org/v2/country/RUS/indicator/GB.XPD.RSDV.GD.ZS?format=json&amp;mrv=10 | https://api.worldbank.org/v2/country/RUS/indicator/BX.KLT.DINV.WD.GD.ZS?format=json&amp;mrv=10 | +3 more</t>
        </is>
      </c>
      <c r="BG51" s="12" t="inlineStr">
        <is>
          <t>Tier 3</t>
        </is>
      </c>
      <c r="BH51" s="12" t="inlineStr">
        <is>
          <t>2024-12-31</t>
        </is>
      </c>
      <c r="BI51" s="12" t="inlineStr">
        <is>
          <t>providers=world_bank; fields=entrepreneurial_dynamism_raw, innovation_research_intensity_raw, investment_signal_raw, administrative_investment_friction_raw; +2 additional fields</t>
        </is>
      </c>
      <c r="BJ51" s="9" t="inlineStr"/>
    </row>
    <row r="52">
      <c r="A52" s="9" t="inlineStr">
        <is>
          <t>hu-budapest</t>
        </is>
      </c>
      <c r="B52" s="9" t="inlineStr">
        <is>
          <t>Budapest</t>
        </is>
      </c>
      <c r="C52" s="9" t="inlineStr">
        <is>
          <t>Hungary</t>
        </is>
      </c>
      <c r="D52" s="9" t="inlineStr">
        <is>
          <t>Southern/Eastern Europe and Eurasia</t>
        </is>
      </c>
      <c r="E52" s="9" t="inlineStr">
        <is>
          <t>primary</t>
        </is>
      </c>
      <c r="F52" s="9" t="inlineStr">
        <is>
          <t>locked</t>
        </is>
      </c>
      <c r="G52" s="10" t="n">
        <v>3940.83</v>
      </c>
      <c r="H52" s="10" t="n">
        <v>1083.73</v>
      </c>
      <c r="I52" s="10" t="n">
        <v>346.79</v>
      </c>
      <c r="J52" s="10" t="n">
        <v>173.4</v>
      </c>
      <c r="K52" s="10" t="n">
        <v>65.02</v>
      </c>
      <c r="L52" s="10" t="n">
        <v>866.98</v>
      </c>
      <c r="M52" s="11" t="inlineStr"/>
      <c r="N52" s="10" t="n">
        <v>27.5</v>
      </c>
      <c r="O52" s="10" t="n">
        <v>32.1191</v>
      </c>
      <c r="P52" s="11">
        <f>IF($O52&lt;&gt;"",$O52,$AO52)</f>
        <v/>
      </c>
      <c r="Q52" s="10" t="n">
        <v>37.18</v>
      </c>
      <c r="R52" s="10" t="n">
        <v>16.45</v>
      </c>
      <c r="S52" s="10" t="n">
        <v>0.72</v>
      </c>
      <c r="T52" s="10" t="inlineStr"/>
      <c r="U52" s="10" t="inlineStr"/>
      <c r="V52" s="10" t="n">
        <v>100</v>
      </c>
      <c r="W52" s="10" t="n">
        <v>36.79</v>
      </c>
      <c r="X52" s="9" t="n">
        <v>54</v>
      </c>
      <c r="Y52" s="10" t="n">
        <v>80</v>
      </c>
      <c r="Z52" s="10" t="n">
        <v>56.59</v>
      </c>
      <c r="AA52" s="10" t="n">
        <v>30.6</v>
      </c>
      <c r="AB52" s="10" t="n">
        <v>48.29</v>
      </c>
      <c r="AC52" s="10" t="n">
        <v>14.57</v>
      </c>
      <c r="AD52" s="10" t="n">
        <v>3309.01</v>
      </c>
      <c r="AE52" s="10" t="n">
        <v>4.32</v>
      </c>
      <c r="AF52" s="10" t="n">
        <v>1.39</v>
      </c>
      <c r="AG52" s="10" t="n">
        <v>-27.92</v>
      </c>
      <c r="AH52" s="10" t="n">
        <v>2.18</v>
      </c>
      <c r="AI52" s="10" t="inlineStr"/>
      <c r="AJ52" s="11">
        <f>IFERROR(INDEX(Country_Context!$B$2:$B$87,MATCH($C52,Country_Context!$A$2:$A$87,0)),"")</f>
        <v/>
      </c>
      <c r="AK52" s="11">
        <f>IFERROR(INDEX(Country_Context!$C$2:$C$87,MATCH($C52,Country_Context!$A$2:$A$87,0)),"")</f>
        <v/>
      </c>
      <c r="AL52" s="11">
        <f>IFERROR(INDEX(Country_Context!$D$2:$D$87,MATCH($C52,Country_Context!$A$2:$A$87,0)),"")</f>
        <v/>
      </c>
      <c r="AM52" s="11">
        <f>IFERROR(INDEX(Country_Context!$E$2:$E$87,MATCH($C52,Country_Context!$A$2:$A$87,0)),"")</f>
        <v/>
      </c>
      <c r="AN52" s="11">
        <f>IFERROR(INDEX(Country_Context!$F$2:$F$87,MATCH($C52,Country_Context!$A$2:$A$87,0)),"")</f>
        <v/>
      </c>
      <c r="AO52" s="11">
        <f>IFERROR(INDEX(Country_Context!$G$2:$G$87,MATCH($C52,Country_Context!$A$2:$A$87,0)),"")</f>
        <v/>
      </c>
      <c r="AP52" s="12" t="inlineStr">
        <is>
          <t>https://api.worldbank.org/v2/country/HUN/indicator/NY.GNP.PCAP.PP.CD?format=json&amp;mrv=10 | https://data.worldbank.org/indicator/NY.GNP.PCAP.PP.CD | https://ilostat.ilo.org/data/indicator/?id=HOW_TEMP_SEX_ECO_NB_A&amp;ref_area=HUN | +4 more</t>
        </is>
      </c>
      <c r="AQ52" s="12" t="inlineStr">
        <is>
          <t>Tier 3, Tier 4</t>
        </is>
      </c>
      <c r="AR52" s="12" t="inlineStr">
        <is>
          <t>2024-12-31</t>
        </is>
      </c>
      <c r="AS52" s="12" t="inlineStr">
        <is>
          <t>providers=world_bank_col_estimate, derived, ilo_ilostat, who_gho; fields=gross_income, rent, utilities, transit_cost; +9 additional fields</t>
        </is>
      </c>
      <c r="AT52" s="12" t="inlineStr">
        <is>
          <t>https://api.worldbank.org/v2/country/HUN/indicator/VC.IHR.PSRC.P5?format=json&amp;mrv=10 | https://api.worldbank.org/v2/country/HUN/indicator/SH.H2O.SMDW.ZS?format=json&amp;mrv=10 | https://api.worldbank.org/v2/country/HUN/indicator/IT.NET.BBND.P2?format=json&amp;mrv=10 | +1 more</t>
        </is>
      </c>
      <c r="AU52" s="12" t="inlineStr">
        <is>
          <t>Tier 3</t>
        </is>
      </c>
      <c r="AV52" s="12" t="inlineStr">
        <is>
          <t>2024-12-31</t>
        </is>
      </c>
      <c r="AW52" s="12" t="inlineStr">
        <is>
          <t>providers=world_bank, wmo_natl_met; fields=personal_safety_raw, water_sanitation_utility_raw, digital_infrastructure_raw, climate_sunlight_livability_raw</t>
        </is>
      </c>
      <c r="AX52" s="12" t="inlineStr">
        <is>
          <t>https://www.who.int/data/gho/data/indicators/indicator-details/GHO/UHC_INDEX_REPORTED | https://api.worldbank.org/v2/country/HUN/indicator/SE.TER.ENRR?format=json&amp;mrv=10 | https://api.worldbank.org/v2/country/HUN/indicator/SI.POV.GINI?format=json&amp;mrv=10 | +1 more</t>
        </is>
      </c>
      <c r="AY52" s="12" t="inlineStr">
        <is>
          <t>Tier 3</t>
        </is>
      </c>
      <c r="AZ52" s="12" t="inlineStr">
        <is>
          <t>2023-12-31</t>
        </is>
      </c>
      <c r="BA52" s="12" t="inlineStr">
        <is>
          <t>providers=who_gho, world_bank; fields=healthcare_quality_raw, education_quality_raw, equal_opportunity_raw, gini_coefficient</t>
        </is>
      </c>
      <c r="BB52" s="12" t="inlineStr">
        <is>
          <t>https://api.worldbank.org/v2/country/HUN/indicator/SM.POP.NETM?format=json&amp;mrv=10 | https://api.worldbank.org/v2/country/HUN/indicator/SG.GEN.PARL.ZS?format=json&amp;mrv=10 | https://api.worldbank.org/v2/country/HUN/indicator/ST.INT.ARVL?format=json&amp;mrv=10</t>
        </is>
      </c>
      <c r="BC52" s="12" t="inlineStr">
        <is>
          <t>Tier 3</t>
        </is>
      </c>
      <c r="BD52" s="12" t="inlineStr">
        <is>
          <t>2025-12-31</t>
        </is>
      </c>
      <c r="BE52" s="12" t="inlineStr">
        <is>
          <t>providers=world_bank; fields=hospitality_belonging_raw, tolerance_pluralism_raw, cultural_public_life_raw</t>
        </is>
      </c>
      <c r="BF52" s="12" t="inlineStr">
        <is>
          <t>https://api.worldbank.org/v2/country/HUN/indicator/IC.BUS.NDNS.ZS?format=json&amp;mrv=10 | https://api.worldbank.org/v2/country/HUN/indicator/GB.XPD.RSDV.GD.ZS?format=json&amp;mrv=10 | https://api.worldbank.org/v2/country/HUN/indicator/BX.KLT.DINV.WD.GD.ZS?format=json&amp;mrv=10 | +3 more</t>
        </is>
      </c>
      <c r="BG52" s="12" t="inlineStr">
        <is>
          <t>Tier 3</t>
        </is>
      </c>
      <c r="BH52" s="12" t="inlineStr">
        <is>
          <t>2024-12-31</t>
        </is>
      </c>
      <c r="BI52" s="12" t="inlineStr">
        <is>
          <t>providers=world_bank; fields=entrepreneurial_dynamism_raw, innovation_research_intensity_raw, investment_signal_raw, administrative_investment_friction_raw; +2 additional fields</t>
        </is>
      </c>
      <c r="BJ52" s="9" t="inlineStr"/>
    </row>
    <row r="53">
      <c r="A53" s="9" t="inlineStr">
        <is>
          <t>pl-krakow</t>
        </is>
      </c>
      <c r="B53" s="9" t="inlineStr">
        <is>
          <t>Krakow</t>
        </is>
      </c>
      <c r="C53" s="9" t="inlineStr">
        <is>
          <t>Poland</t>
        </is>
      </c>
      <c r="D53" s="9" t="inlineStr">
        <is>
          <t>Southern/Eastern Europe and Eurasia</t>
        </is>
      </c>
      <c r="E53" s="9" t="inlineStr">
        <is>
          <t>primary</t>
        </is>
      </c>
      <c r="F53" s="9" t="inlineStr">
        <is>
          <t>locked</t>
        </is>
      </c>
      <c r="G53" s="10" t="n">
        <v>4128.33</v>
      </c>
      <c r="H53" s="10" t="n">
        <v>1083.69</v>
      </c>
      <c r="I53" s="10" t="n">
        <v>346.78</v>
      </c>
      <c r="J53" s="10" t="n">
        <v>173.39</v>
      </c>
      <c r="K53" s="10" t="n">
        <v>65.02</v>
      </c>
      <c r="L53" s="10" t="n">
        <v>866.95</v>
      </c>
      <c r="M53" s="11" t="inlineStr"/>
      <c r="N53" s="10" t="n">
        <v>26.2501</v>
      </c>
      <c r="O53" s="10" t="n">
        <v>33.5851</v>
      </c>
      <c r="P53" s="11">
        <f>IF($O53&lt;&gt;"",$O53,$AO53)</f>
        <v/>
      </c>
      <c r="Q53" s="10" t="n">
        <v>38.63</v>
      </c>
      <c r="R53" s="10" t="n">
        <v>13.67</v>
      </c>
      <c r="S53" s="10" t="n">
        <v>0.8</v>
      </c>
      <c r="T53" s="10" t="inlineStr"/>
      <c r="U53" s="10" t="inlineStr"/>
      <c r="V53" s="10" t="n">
        <v>88.68000000000001</v>
      </c>
      <c r="W53" s="10" t="n">
        <v>26.11</v>
      </c>
      <c r="X53" s="9" t="n">
        <v>48</v>
      </c>
      <c r="Y53" s="10" t="n">
        <v>82</v>
      </c>
      <c r="Z53" s="10" t="n">
        <v>76.88</v>
      </c>
      <c r="AA53" s="10" t="n">
        <v>28.5</v>
      </c>
      <c r="AB53" s="10" t="n">
        <v>40.95</v>
      </c>
      <c r="AC53" s="10" t="n">
        <v>29.57</v>
      </c>
      <c r="AD53" s="10" t="n">
        <v>2421.14</v>
      </c>
      <c r="AE53" s="10" t="n">
        <v>2.16</v>
      </c>
      <c r="AF53" s="10" t="n">
        <v>1.45</v>
      </c>
      <c r="AG53" s="10" t="n">
        <v>2.25</v>
      </c>
      <c r="AH53" s="10" t="n">
        <v>1.72</v>
      </c>
      <c r="AI53" s="10" t="inlineStr"/>
      <c r="AJ53" s="11">
        <f>IFERROR(INDEX(Country_Context!$B$2:$B$87,MATCH($C53,Country_Context!$A$2:$A$87,0)),"")</f>
        <v/>
      </c>
      <c r="AK53" s="11">
        <f>IFERROR(INDEX(Country_Context!$C$2:$C$87,MATCH($C53,Country_Context!$A$2:$A$87,0)),"")</f>
        <v/>
      </c>
      <c r="AL53" s="11">
        <f>IFERROR(INDEX(Country_Context!$D$2:$D$87,MATCH($C53,Country_Context!$A$2:$A$87,0)),"")</f>
        <v/>
      </c>
      <c r="AM53" s="11">
        <f>IFERROR(INDEX(Country_Context!$E$2:$E$87,MATCH($C53,Country_Context!$A$2:$A$87,0)),"")</f>
        <v/>
      </c>
      <c r="AN53" s="11">
        <f>IFERROR(INDEX(Country_Context!$F$2:$F$87,MATCH($C53,Country_Context!$A$2:$A$87,0)),"")</f>
        <v/>
      </c>
      <c r="AO53" s="11">
        <f>IFERROR(INDEX(Country_Context!$G$2:$G$87,MATCH($C53,Country_Context!$A$2:$A$87,0)),"")</f>
        <v/>
      </c>
      <c r="AP53" s="12" t="inlineStr">
        <is>
          <t>https://api.worldbank.org/v2/country/POL/indicator/NY.GNP.PCAP.PP.CD?format=json&amp;mrv=10 | https://data.worldbank.org/indicator/NY.GNP.PCAP.PP.CD | https://ilostat.ilo.org/data/indicator/?id=HOW_TEMP_SEX_ECO_NB_A&amp;ref_area=POL | +4 more</t>
        </is>
      </c>
      <c r="AQ53" s="12" t="inlineStr">
        <is>
          <t>Tier 3, Tier 4</t>
        </is>
      </c>
      <c r="AR53" s="12" t="inlineStr">
        <is>
          <t>2024-12-31</t>
        </is>
      </c>
      <c r="AS53" s="12" t="inlineStr">
        <is>
          <t>providers=world_bank_col_estimate, derived, ilo_ilostat, who_gho; fields=gross_income, rent, utilities, transit_cost; +9 additional fields</t>
        </is>
      </c>
      <c r="AT53" s="12" t="inlineStr">
        <is>
          <t>https://api.worldbank.org/v2/country/POL/indicator/VC.IHR.PSRC.P5?format=json&amp;mrv=10 | https://api.worldbank.org/v2/country/POL/indicator/SH.H2O.SMDW.ZS?format=json&amp;mrv=10 | https://api.worldbank.org/v2/country/POL/indicator/IT.NET.BBND.P2?format=json&amp;mrv=10 | +1 more</t>
        </is>
      </c>
      <c r="AU53" s="12" t="inlineStr">
        <is>
          <t>Tier 3</t>
        </is>
      </c>
      <c r="AV53" s="12" t="inlineStr">
        <is>
          <t>2024-12-31</t>
        </is>
      </c>
      <c r="AW53" s="12" t="inlineStr">
        <is>
          <t>providers=world_bank, wmo_natl_met; fields=personal_safety_raw, water_sanitation_utility_raw, digital_infrastructure_raw, climate_sunlight_livability_raw</t>
        </is>
      </c>
      <c r="AX53" s="12" t="inlineStr">
        <is>
          <t>https://www.who.int/data/gho/data/indicators/indicator-details/GHO/UHC_INDEX_REPORTED | https://api.worldbank.org/v2/country/POL/indicator/SE.TER.ENRR?format=json&amp;mrv=10 | https://api.worldbank.org/v2/country/POL/indicator/SI.POV.GINI?format=json&amp;mrv=10 | +1 more</t>
        </is>
      </c>
      <c r="AY53" s="12" t="inlineStr">
        <is>
          <t>Tier 3</t>
        </is>
      </c>
      <c r="AZ53" s="12" t="inlineStr">
        <is>
          <t>2023-12-31</t>
        </is>
      </c>
      <c r="BA53" s="12" t="inlineStr">
        <is>
          <t>providers=who_gho, world_bank; fields=healthcare_quality_raw, education_quality_raw, equal_opportunity_raw, gini_coefficient</t>
        </is>
      </c>
      <c r="BB53" s="12" t="inlineStr">
        <is>
          <t>https://api.worldbank.org/v2/country/POL/indicator/SM.POP.NETM?format=json&amp;mrv=10 | https://api.worldbank.org/v2/country/POL/indicator/SG.GEN.PARL.ZS?format=json&amp;mrv=10 | https://api.worldbank.org/v2/country/POL/indicator/ST.INT.ARVL?format=json&amp;mrv=10 | +1 more</t>
        </is>
      </c>
      <c r="BC53" s="12" t="inlineStr">
        <is>
          <t>Tier 3</t>
        </is>
      </c>
      <c r="BD53" s="12" t="inlineStr">
        <is>
          <t>2025-12-31</t>
        </is>
      </c>
      <c r="BE53" s="12" t="inlineStr">
        <is>
          <t>providers=world_bank; fields=hospitality_belonging_raw, tolerance_pluralism_raw, cultural_public_life_raw, birth_rate_optimism_raw</t>
        </is>
      </c>
      <c r="BF53" s="12" t="inlineStr">
        <is>
          <t>https://api.worldbank.org/v2/country/POL/indicator/IC.BUS.NDNS.ZS?format=json&amp;mrv=10 | https://api.worldbank.org/v2/country/POL/indicator/GB.XPD.RSDV.GD.ZS?format=json&amp;mrv=10 | https://api.worldbank.org/v2/country/POL/indicator/BX.KLT.DINV.WD.GD.ZS?format=json&amp;mrv=10 | +3 more</t>
        </is>
      </c>
      <c r="BG53" s="12" t="inlineStr">
        <is>
          <t>Tier 3</t>
        </is>
      </c>
      <c r="BH53" s="12" t="inlineStr">
        <is>
          <t>2024-12-31</t>
        </is>
      </c>
      <c r="BI53" s="12" t="inlineStr">
        <is>
          <t>providers=world_bank; fields=entrepreneurial_dynamism_raw, innovation_research_intensity_raw, investment_signal_raw, administrative_investment_friction_raw; +2 additional fields</t>
        </is>
      </c>
      <c r="BJ53" s="9" t="n">
        <v>1.29</v>
      </c>
    </row>
    <row r="54">
      <c r="A54" s="9" t="inlineStr">
        <is>
          <t>ro-bucharest</t>
        </is>
      </c>
      <c r="B54" s="9" t="inlineStr">
        <is>
          <t>Bucharest</t>
        </is>
      </c>
      <c r="C54" s="9" t="inlineStr">
        <is>
          <t>Romania</t>
        </is>
      </c>
      <c r="D54" s="9" t="inlineStr">
        <is>
          <t>Southern/Eastern Europe and Eurasia</t>
        </is>
      </c>
      <c r="E54" s="9" t="inlineStr">
        <is>
          <t>primary</t>
        </is>
      </c>
      <c r="F54" s="9" t="inlineStr">
        <is>
          <t>locked</t>
        </is>
      </c>
      <c r="G54" s="10" t="n">
        <v>3993.33</v>
      </c>
      <c r="H54" s="10" t="n">
        <v>1048.25</v>
      </c>
      <c r="I54" s="10" t="n">
        <v>335.44</v>
      </c>
      <c r="J54" s="10" t="n">
        <v>167.72</v>
      </c>
      <c r="K54" s="10" t="n">
        <v>62.89</v>
      </c>
      <c r="L54" s="10" t="n">
        <v>838.6</v>
      </c>
      <c r="M54" s="11" t="inlineStr"/>
      <c r="N54" s="10" t="n">
        <v>26.25</v>
      </c>
      <c r="O54" s="10" t="n">
        <v>22.7281</v>
      </c>
      <c r="P54" s="11">
        <f>IF($O54&lt;&gt;"",$O54,$AO54)</f>
        <v/>
      </c>
      <c r="Q54" s="10" t="n">
        <v>38.72</v>
      </c>
      <c r="R54" s="10" t="n">
        <v>9.619999999999999</v>
      </c>
      <c r="S54" s="10" t="n">
        <v>1.11</v>
      </c>
      <c r="T54" s="10" t="inlineStr"/>
      <c r="U54" s="10" t="inlineStr"/>
      <c r="V54" s="10" t="n">
        <v>82.18000000000001</v>
      </c>
      <c r="W54" s="10" t="n">
        <v>34.67</v>
      </c>
      <c r="X54" s="9" t="n">
        <v>54</v>
      </c>
      <c r="Y54" s="10" t="n">
        <v>77</v>
      </c>
      <c r="Z54" s="10" t="n">
        <v>55.17</v>
      </c>
      <c r="AA54" s="10" t="n">
        <v>29.8</v>
      </c>
      <c r="AB54" s="10" t="n">
        <v>48.48</v>
      </c>
      <c r="AC54" s="10" t="n">
        <v>19.21</v>
      </c>
      <c r="AD54" s="10" t="n">
        <v>263.65</v>
      </c>
      <c r="AE54" s="10" t="n">
        <v>9.18</v>
      </c>
      <c r="AF54" s="10" t="n">
        <v>0.46</v>
      </c>
      <c r="AG54" s="10" t="n">
        <v>1.87</v>
      </c>
      <c r="AH54" s="10" t="n">
        <v>2.18</v>
      </c>
      <c r="AI54" s="10" t="inlineStr"/>
      <c r="AJ54" s="11">
        <f>IFERROR(INDEX(Country_Context!$B$2:$B$87,MATCH($C54,Country_Context!$A$2:$A$87,0)),"")</f>
        <v/>
      </c>
      <c r="AK54" s="11">
        <f>IFERROR(INDEX(Country_Context!$C$2:$C$87,MATCH($C54,Country_Context!$A$2:$A$87,0)),"")</f>
        <v/>
      </c>
      <c r="AL54" s="11">
        <f>IFERROR(INDEX(Country_Context!$D$2:$D$87,MATCH($C54,Country_Context!$A$2:$A$87,0)),"")</f>
        <v/>
      </c>
      <c r="AM54" s="11">
        <f>IFERROR(INDEX(Country_Context!$E$2:$E$87,MATCH($C54,Country_Context!$A$2:$A$87,0)),"")</f>
        <v/>
      </c>
      <c r="AN54" s="11">
        <f>IFERROR(INDEX(Country_Context!$F$2:$F$87,MATCH($C54,Country_Context!$A$2:$A$87,0)),"")</f>
        <v/>
      </c>
      <c r="AO54" s="11">
        <f>IFERROR(INDEX(Country_Context!$G$2:$G$87,MATCH($C54,Country_Context!$A$2:$A$87,0)),"")</f>
        <v/>
      </c>
      <c r="AP54" s="12" t="inlineStr">
        <is>
          <t>https://api.worldbank.org/v2/country/ROU/indicator/NY.GNP.PCAP.PP.CD?format=json&amp;mrv=10 | https://data.worldbank.org/indicator/NY.GNP.PCAP.PP.CD | https://ilostat.ilo.org/data/indicator/?id=HOW_TEMP_SEX_ECO_NB_A&amp;ref_area=ROU | +4 more</t>
        </is>
      </c>
      <c r="AQ54" s="12" t="inlineStr">
        <is>
          <t>Tier 3, Tier 4</t>
        </is>
      </c>
      <c r="AR54" s="12" t="inlineStr">
        <is>
          <t>2024-12-31</t>
        </is>
      </c>
      <c r="AS54" s="12" t="inlineStr">
        <is>
          <t>providers=world_bank_col_estimate, derived, ilo_ilostat, who_gho; fields=gross_income, rent, utilities, transit_cost; +9 additional fields</t>
        </is>
      </c>
      <c r="AT54" s="12" t="inlineStr">
        <is>
          <t>https://api.worldbank.org/v2/country/ROU/indicator/VC.IHR.PSRC.P5?format=json&amp;mrv=10 | https://api.worldbank.org/v2/country/ROU/indicator/SH.H2O.SMDW.ZS?format=json&amp;mrv=10 | https://api.worldbank.org/v2/country/ROU/indicator/IT.NET.BBND.P2?format=json&amp;mrv=10 | +1 more</t>
        </is>
      </c>
      <c r="AU54" s="12" t="inlineStr">
        <is>
          <t>Tier 3</t>
        </is>
      </c>
      <c r="AV54" s="12" t="inlineStr">
        <is>
          <t>2024-12-31</t>
        </is>
      </c>
      <c r="AW54" s="12" t="inlineStr">
        <is>
          <t>providers=world_bank, wmo_natl_met; fields=personal_safety_raw, water_sanitation_utility_raw, digital_infrastructure_raw, climate_sunlight_livability_raw</t>
        </is>
      </c>
      <c r="AX54" s="12" t="inlineStr">
        <is>
          <t>https://www.who.int/data/gho/data/indicators/indicator-details/GHO/UHC_INDEX_REPORTED | https://api.worldbank.org/v2/country/ROU/indicator/SE.TER.ENRR?format=json&amp;mrv=10 | https://api.worldbank.org/v2/country/ROU/indicator/SI.POV.GINI?format=json&amp;mrv=10 | +1 more</t>
        </is>
      </c>
      <c r="AY54" s="12" t="inlineStr">
        <is>
          <t>Tier 3</t>
        </is>
      </c>
      <c r="AZ54" s="12" t="inlineStr">
        <is>
          <t>2023-12-31</t>
        </is>
      </c>
      <c r="BA54" s="12" t="inlineStr">
        <is>
          <t>providers=who_gho, world_bank; fields=healthcare_quality_raw, education_quality_raw, equal_opportunity_raw, gini_coefficient</t>
        </is>
      </c>
      <c r="BB54" s="12" t="inlineStr">
        <is>
          <t>https://api.worldbank.org/v2/country/ROU/indicator/SM.POP.NETM?format=json&amp;mrv=10 | https://api.worldbank.org/v2/country/ROU/indicator/SG.GEN.PARL.ZS?format=json&amp;mrv=10 | https://api.worldbank.org/v2/country/ROU/indicator/ST.INT.ARVL?format=json&amp;mrv=10</t>
        </is>
      </c>
      <c r="BC54" s="12" t="inlineStr">
        <is>
          <t>Tier 3</t>
        </is>
      </c>
      <c r="BD54" s="12" t="inlineStr">
        <is>
          <t>2025-12-31</t>
        </is>
      </c>
      <c r="BE54" s="12" t="inlineStr">
        <is>
          <t>providers=world_bank; fields=hospitality_belonging_raw, tolerance_pluralism_raw, cultural_public_life_raw</t>
        </is>
      </c>
      <c r="BF54" s="12" t="inlineStr">
        <is>
          <t>https://api.worldbank.org/v2/country/ROU/indicator/IC.BUS.NDNS.ZS?format=json&amp;mrv=10 | https://api.worldbank.org/v2/country/ROU/indicator/GB.XPD.RSDV.GD.ZS?format=json&amp;mrv=10 | https://api.worldbank.org/v2/country/ROU/indicator/BX.KLT.DINV.WD.GD.ZS?format=json&amp;mrv=10 | +3 more</t>
        </is>
      </c>
      <c r="BG54" s="12" t="inlineStr">
        <is>
          <t>Tier 3</t>
        </is>
      </c>
      <c r="BH54" s="12" t="inlineStr">
        <is>
          <t>2024-12-31</t>
        </is>
      </c>
      <c r="BI54" s="12" t="inlineStr">
        <is>
          <t>providers=world_bank; fields=entrepreneurial_dynamism_raw, innovation_research_intensity_raw, investment_signal_raw, administrative_investment_friction_raw; +2 additional fields</t>
        </is>
      </c>
      <c r="BJ54" s="9" t="inlineStr"/>
    </row>
    <row r="55">
      <c r="A55" s="9" t="inlineStr">
        <is>
          <t>rs-belgrade</t>
        </is>
      </c>
      <c r="B55" s="9" t="inlineStr">
        <is>
          <t>Belgrade</t>
        </is>
      </c>
      <c r="C55" s="9" t="inlineStr">
        <is>
          <t>Serbia</t>
        </is>
      </c>
      <c r="D55" s="9" t="inlineStr">
        <is>
          <t>Southern/Eastern Europe and Eurasia</t>
        </is>
      </c>
      <c r="E55" s="9" t="inlineStr">
        <is>
          <t>primary</t>
        </is>
      </c>
      <c r="F55" s="9" t="inlineStr">
        <is>
          <t>locked</t>
        </is>
      </c>
      <c r="G55" s="10" t="n">
        <v>2564.17</v>
      </c>
      <c r="H55" s="10" t="n">
        <v>608.99</v>
      </c>
      <c r="I55" s="10" t="n">
        <v>194.88</v>
      </c>
      <c r="J55" s="10" t="n">
        <v>97.44</v>
      </c>
      <c r="K55" s="10" t="n">
        <v>36.54</v>
      </c>
      <c r="L55" s="10" t="n">
        <v>487.19</v>
      </c>
      <c r="M55" s="11" t="inlineStr"/>
      <c r="N55" s="10" t="n">
        <v>23.75</v>
      </c>
      <c r="O55" s="10" t="n">
        <v>32.6048</v>
      </c>
      <c r="P55" s="11">
        <f>IF($O55&lt;&gt;"",$O55,$AO55)</f>
        <v/>
      </c>
      <c r="Q55" s="10" t="n">
        <v>40.96</v>
      </c>
      <c r="R55" s="10" t="n">
        <v>15.14</v>
      </c>
      <c r="S55" s="10" t="n">
        <v>1.31</v>
      </c>
      <c r="T55" s="10" t="inlineStr"/>
      <c r="U55" s="10" t="inlineStr"/>
      <c r="V55" s="10" t="n">
        <v>74.97</v>
      </c>
      <c r="W55" s="10" t="n">
        <v>31.27</v>
      </c>
      <c r="X55" s="9" t="n">
        <v>54</v>
      </c>
      <c r="Y55" s="10" t="n">
        <v>73</v>
      </c>
      <c r="Z55" s="10" t="n">
        <v>73.20999999999999</v>
      </c>
      <c r="AA55" s="10" t="n">
        <v>32.8</v>
      </c>
      <c r="AB55" s="10" t="n">
        <v>48.01</v>
      </c>
      <c r="AC55" s="10" t="n">
        <v>38</v>
      </c>
      <c r="AD55" s="10" t="n">
        <v>67.70999999999999</v>
      </c>
      <c r="AE55" s="10" t="n">
        <v>2.53</v>
      </c>
      <c r="AF55" s="10" t="n">
        <v>0.95</v>
      </c>
      <c r="AG55" s="10" t="n">
        <v>6.2</v>
      </c>
      <c r="AH55" s="10" t="n">
        <v>2.36</v>
      </c>
      <c r="AI55" s="10" t="inlineStr"/>
      <c r="AJ55" s="11">
        <f>IFERROR(INDEX(Country_Context!$B$2:$B$87,MATCH($C55,Country_Context!$A$2:$A$87,0)),"")</f>
        <v/>
      </c>
      <c r="AK55" s="11">
        <f>IFERROR(INDEX(Country_Context!$C$2:$C$87,MATCH($C55,Country_Context!$A$2:$A$87,0)),"")</f>
        <v/>
      </c>
      <c r="AL55" s="11">
        <f>IFERROR(INDEX(Country_Context!$D$2:$D$87,MATCH($C55,Country_Context!$A$2:$A$87,0)),"")</f>
        <v/>
      </c>
      <c r="AM55" s="11">
        <f>IFERROR(INDEX(Country_Context!$E$2:$E$87,MATCH($C55,Country_Context!$A$2:$A$87,0)),"")</f>
        <v/>
      </c>
      <c r="AN55" s="11">
        <f>IFERROR(INDEX(Country_Context!$F$2:$F$87,MATCH($C55,Country_Context!$A$2:$A$87,0)),"")</f>
        <v/>
      </c>
      <c r="AO55" s="11">
        <f>IFERROR(INDEX(Country_Context!$G$2:$G$87,MATCH($C55,Country_Context!$A$2:$A$87,0)),"")</f>
        <v/>
      </c>
      <c r="AP55" s="12" t="inlineStr">
        <is>
          <t>https://api.worldbank.org/v2/country/SRB/indicator/NY.GNP.PCAP.PP.CD?format=json&amp;mrv=10 | https://data.worldbank.org/indicator/NY.GNP.PCAP.PP.CD | https://ilostat.ilo.org/data/indicator/?id=HOW_TEMP_SEX_ECO_NB_A&amp;ref_area=SRB | +4 more</t>
        </is>
      </c>
      <c r="AQ55" s="12" t="inlineStr">
        <is>
          <t>Tier 3, Tier 4</t>
        </is>
      </c>
      <c r="AR55" s="12" t="inlineStr">
        <is>
          <t>2024-12-31</t>
        </is>
      </c>
      <c r="AS55" s="12" t="inlineStr">
        <is>
          <t>providers=world_bank_col_estimate, derived, ilo_ilostat, who_gho; fields=gross_income, rent, utilities, transit_cost; +9 additional fields</t>
        </is>
      </c>
      <c r="AT55" s="12" t="inlineStr">
        <is>
          <t>https://api.worldbank.org/v2/country/SRB/indicator/VC.IHR.PSRC.P5?format=json&amp;mrv=10 | https://api.worldbank.org/v2/country/SRB/indicator/SH.H2O.SMDW.ZS?format=json&amp;mrv=10 | https://api.worldbank.org/v2/country/SRB/indicator/IT.NET.BBND.P2?format=json&amp;mrv=10 | +1 more</t>
        </is>
      </c>
      <c r="AU55" s="12" t="inlineStr">
        <is>
          <t>Tier 3</t>
        </is>
      </c>
      <c r="AV55" s="12" t="inlineStr">
        <is>
          <t>2024-12-31</t>
        </is>
      </c>
      <c r="AW55" s="12" t="inlineStr">
        <is>
          <t>providers=world_bank, wmo_natl_met; fields=personal_safety_raw, water_sanitation_utility_raw, digital_infrastructure_raw, climate_sunlight_livability_raw</t>
        </is>
      </c>
      <c r="AX55" s="12" t="inlineStr">
        <is>
          <t>https://www.who.int/data/gho/data/indicators/indicator-details/GHO/UHC_INDEX_REPORTED | https://api.worldbank.org/v2/country/SRB/indicator/SE.TER.ENRR?format=json&amp;mrv=10 | https://api.worldbank.org/v2/country/SRB/indicator/SI.POV.GINI?format=json&amp;mrv=10 | +1 more</t>
        </is>
      </c>
      <c r="AY55" s="12" t="inlineStr">
        <is>
          <t>Tier 3</t>
        </is>
      </c>
      <c r="AZ55" s="12" t="inlineStr">
        <is>
          <t>2023-12-31</t>
        </is>
      </c>
      <c r="BA55" s="12" t="inlineStr">
        <is>
          <t>providers=who_gho, world_bank; fields=healthcare_quality_raw, education_quality_raw, equal_opportunity_raw, gini_coefficient</t>
        </is>
      </c>
      <c r="BB55" s="12" t="inlineStr">
        <is>
          <t>https://api.worldbank.org/v2/country/SRB/indicator/SM.POP.NETM?format=json&amp;mrv=10 | https://api.worldbank.org/v2/country/SRB/indicator/SG.GEN.PARL.ZS?format=json&amp;mrv=10 | https://api.worldbank.org/v2/country/SRB/indicator/ST.INT.ARVL?format=json&amp;mrv=10</t>
        </is>
      </c>
      <c r="BC55" s="12" t="inlineStr">
        <is>
          <t>Tier 3</t>
        </is>
      </c>
      <c r="BD55" s="12" t="inlineStr">
        <is>
          <t>2025-12-31</t>
        </is>
      </c>
      <c r="BE55" s="12" t="inlineStr">
        <is>
          <t>providers=world_bank; fields=hospitality_belonging_raw, tolerance_pluralism_raw, cultural_public_life_raw</t>
        </is>
      </c>
      <c r="BF55" s="12" t="inlineStr">
        <is>
          <t>https://api.worldbank.org/v2/country/SRB/indicator/IC.BUS.NDNS.ZS?format=json&amp;mrv=10 | https://api.worldbank.org/v2/country/SRB/indicator/GB.XPD.RSDV.GD.ZS?format=json&amp;mrv=10 | https://api.worldbank.org/v2/country/SRB/indicator/BX.KLT.DINV.WD.GD.ZS?format=json&amp;mrv=10 | +3 more</t>
        </is>
      </c>
      <c r="BG55" s="12" t="inlineStr">
        <is>
          <t>Tier 3</t>
        </is>
      </c>
      <c r="BH55" s="12" t="inlineStr">
        <is>
          <t>2024-12-31</t>
        </is>
      </c>
      <c r="BI55" s="12" t="inlineStr">
        <is>
          <t>providers=world_bank; fields=entrepreneurial_dynamism_raw, innovation_research_intensity_raw, investment_signal_raw, administrative_investment_friction_raw; +2 additional fields</t>
        </is>
      </c>
      <c r="BJ55" s="9" t="inlineStr"/>
    </row>
    <row r="56">
      <c r="A56" s="9" t="inlineStr">
        <is>
          <t>ru-nizhny-novgorod</t>
        </is>
      </c>
      <c r="B56" s="9" t="inlineStr">
        <is>
          <t>Nizhny Novgorod</t>
        </is>
      </c>
      <c r="C56" s="9" t="inlineStr">
        <is>
          <t>Russia</t>
        </is>
      </c>
      <c r="D56" s="9" t="inlineStr">
        <is>
          <t>Southern/Eastern Europe and Eurasia</t>
        </is>
      </c>
      <c r="E56" s="9" t="inlineStr">
        <is>
          <t>secondary</t>
        </is>
      </c>
      <c r="F56" s="9" t="inlineStr">
        <is>
          <t>provisional</t>
        </is>
      </c>
      <c r="G56" s="10" t="n">
        <v>3898.33</v>
      </c>
      <c r="H56" s="10" t="n">
        <v>584.75</v>
      </c>
      <c r="I56" s="10" t="n">
        <v>187.12</v>
      </c>
      <c r="J56" s="10" t="n">
        <v>93.56</v>
      </c>
      <c r="K56" s="10" t="n">
        <v>35.08</v>
      </c>
      <c r="L56" s="10" t="n">
        <v>467.8</v>
      </c>
      <c r="M56" s="11" t="inlineStr"/>
      <c r="N56" s="10" t="n">
        <v>15</v>
      </c>
      <c r="O56" s="10" t="n">
        <v>54.6413</v>
      </c>
      <c r="P56" s="11">
        <f>IF($O56&lt;&gt;"",$O56,$AO56)</f>
        <v/>
      </c>
      <c r="Q56" s="10" t="n">
        <v>39.17</v>
      </c>
      <c r="R56" s="10" t="n">
        <v>21.37</v>
      </c>
      <c r="S56" s="10" t="n">
        <v>6.77</v>
      </c>
      <c r="T56" s="10" t="inlineStr"/>
      <c r="U56" s="10" t="inlineStr"/>
      <c r="V56" s="10" t="n">
        <v>76.26000000000001</v>
      </c>
      <c r="W56" s="10" t="n">
        <v>25.82</v>
      </c>
      <c r="X56" s="9" t="inlineStr"/>
      <c r="Y56" s="10" t="n">
        <v>81</v>
      </c>
      <c r="Z56" s="10" t="n">
        <v>60.39</v>
      </c>
      <c r="AA56" s="10" t="n">
        <v>33</v>
      </c>
      <c r="AB56" s="10" t="n">
        <v>48.25</v>
      </c>
      <c r="AC56" s="10" t="n">
        <v>16.44</v>
      </c>
      <c r="AD56" s="10" t="n">
        <v>44.3</v>
      </c>
      <c r="AE56" s="10" t="n">
        <v>2.52</v>
      </c>
      <c r="AF56" s="10" t="n">
        <v>0.93</v>
      </c>
      <c r="AG56" s="10" t="n">
        <v>-0.43</v>
      </c>
      <c r="AH56" s="10" t="n">
        <v>3.62</v>
      </c>
      <c r="AI56" s="10" t="inlineStr"/>
      <c r="AJ56" s="11">
        <f>IFERROR(INDEX(Country_Context!$B$2:$B$87,MATCH($C56,Country_Context!$A$2:$A$87,0)),"")</f>
        <v/>
      </c>
      <c r="AK56" s="11">
        <f>IFERROR(INDEX(Country_Context!$C$2:$C$87,MATCH($C56,Country_Context!$A$2:$A$87,0)),"")</f>
        <v/>
      </c>
      <c r="AL56" s="11">
        <f>IFERROR(INDEX(Country_Context!$D$2:$D$87,MATCH($C56,Country_Context!$A$2:$A$87,0)),"")</f>
        <v/>
      </c>
      <c r="AM56" s="11">
        <f>IFERROR(INDEX(Country_Context!$E$2:$E$87,MATCH($C56,Country_Context!$A$2:$A$87,0)),"")</f>
        <v/>
      </c>
      <c r="AN56" s="11">
        <f>IFERROR(INDEX(Country_Context!$F$2:$F$87,MATCH($C56,Country_Context!$A$2:$A$87,0)),"")</f>
        <v/>
      </c>
      <c r="AO56" s="11">
        <f>IFERROR(INDEX(Country_Context!$G$2:$G$87,MATCH($C56,Country_Context!$A$2:$A$87,0)),"")</f>
        <v/>
      </c>
      <c r="AP56" s="12" t="inlineStr">
        <is>
          <t>https://api.worldbank.org/v2/country/RUS/indicator/NY.GNP.PCAP.PP.CD?format=json&amp;mrv=10 | https://data.worldbank.org/indicator/NY.GNP.PCAP.PP.CD | https://ilostat.ilo.org/data/indicator/?id=HOW_TEMP_SEX_ECO_NB_A&amp;ref_area=RUS | +4 more</t>
        </is>
      </c>
      <c r="AQ56" s="12" t="inlineStr">
        <is>
          <t>Tier 3, Tier 4</t>
        </is>
      </c>
      <c r="AR56" s="12" t="inlineStr">
        <is>
          <t>2024-12-31</t>
        </is>
      </c>
      <c r="AS56" s="12" t="inlineStr">
        <is>
          <t>providers=world_bank_col_estimate, derived, ilo_ilostat, who_gho; fields=gross_income, rent, utilities, transit_cost; +9 additional fields</t>
        </is>
      </c>
      <c r="AT56" s="12" t="inlineStr">
        <is>
          <t>https://api.worldbank.org/v2/country/RUS/indicator/VC.IHR.PSRC.P5?format=json&amp;mrv=10 | https://api.worldbank.org/v2/country/RUS/indicator/SH.H2O.SMDW.ZS?format=json&amp;mrv=10 | https://api.worldbank.org/v2/country/RUS/indicator/IT.NET.BBND.P2?format=json&amp;mrv=10</t>
        </is>
      </c>
      <c r="AU56" s="12" t="inlineStr">
        <is>
          <t>Tier 3</t>
        </is>
      </c>
      <c r="AV56" s="12" t="inlineStr">
        <is>
          <t>2024-12-31</t>
        </is>
      </c>
      <c r="AW56" s="12" t="inlineStr">
        <is>
          <t>providers=world_bank; fields=personal_safety_raw, water_sanitation_utility_raw, digital_infrastructure_raw</t>
        </is>
      </c>
      <c r="AX56" s="12" t="inlineStr">
        <is>
          <t>https://www.who.int/data/gho/data/indicators/indicator-details/GHO/UHC_INDEX_REPORTED | https://api.worldbank.org/v2/country/RUS/indicator/SE.TER.ENRR?format=json&amp;mrv=10 | https://api.worldbank.org/v2/country/RUS/indicator/SI.POV.GINI?format=json&amp;mrv=10 | +1 more</t>
        </is>
      </c>
      <c r="AY56" s="12" t="inlineStr">
        <is>
          <t>Tier 3</t>
        </is>
      </c>
      <c r="AZ56" s="12" t="inlineStr">
        <is>
          <t>2024-12-31</t>
        </is>
      </c>
      <c r="BA56" s="12" t="inlineStr">
        <is>
          <t>providers=who_gho, world_bank; fields=healthcare_quality_raw, education_quality_raw, equal_opportunity_raw, gini_coefficient</t>
        </is>
      </c>
      <c r="BB56" s="12" t="inlineStr">
        <is>
          <t>https://api.worldbank.org/v2/country/RUS/indicator/SM.POP.NETM?format=json&amp;mrv=10 | https://api.worldbank.org/v2/country/RUS/indicator/SG.GEN.PARL.ZS?format=json&amp;mrv=10 | https://api.worldbank.org/v2/country/RUS/indicator/ST.INT.ARVL?format=json&amp;mrv=10</t>
        </is>
      </c>
      <c r="BC56" s="12" t="inlineStr">
        <is>
          <t>Tier 3</t>
        </is>
      </c>
      <c r="BD56" s="12" t="inlineStr">
        <is>
          <t>2025-12-31</t>
        </is>
      </c>
      <c r="BE56" s="12" t="inlineStr">
        <is>
          <t>providers=world_bank; fields=hospitality_belonging_raw, tolerance_pluralism_raw, cultural_public_life_raw</t>
        </is>
      </c>
      <c r="BF56" s="12" t="inlineStr">
        <is>
          <t>https://api.worldbank.org/v2/country/RUS/indicator/IC.BUS.NDNS.ZS?format=json&amp;mrv=10 | https://api.worldbank.org/v2/country/RUS/indicator/GB.XPD.RSDV.GD.ZS?format=json&amp;mrv=10 | https://api.worldbank.org/v2/country/RUS/indicator/BX.KLT.DINV.WD.GD.ZS?format=json&amp;mrv=10 | +3 more</t>
        </is>
      </c>
      <c r="BG56" s="12" t="inlineStr">
        <is>
          <t>Tier 3</t>
        </is>
      </c>
      <c r="BH56" s="12" t="inlineStr">
        <is>
          <t>2024-12-31</t>
        </is>
      </c>
      <c r="BI56" s="12" t="inlineStr">
        <is>
          <t>providers=world_bank; fields=entrepreneurial_dynamism_raw, innovation_research_intensity_raw, investment_signal_raw, administrative_investment_friction_raw; +2 additional fields</t>
        </is>
      </c>
      <c r="BJ56" s="9" t="inlineStr"/>
    </row>
    <row r="57">
      <c r="A57" s="9" t="inlineStr">
        <is>
          <t>pl-katowice</t>
        </is>
      </c>
      <c r="B57" s="9" t="inlineStr">
        <is>
          <t>Katowice</t>
        </is>
      </c>
      <c r="C57" s="9" t="inlineStr">
        <is>
          <t>Poland</t>
        </is>
      </c>
      <c r="D57" s="9" t="inlineStr">
        <is>
          <t>Southern/Eastern Europe and Eurasia</t>
        </is>
      </c>
      <c r="E57" s="9" t="inlineStr">
        <is>
          <t>secondary</t>
        </is>
      </c>
      <c r="F57" s="9" t="inlineStr">
        <is>
          <t>locked</t>
        </is>
      </c>
      <c r="G57" s="10" t="n">
        <v>4128.33</v>
      </c>
      <c r="H57" s="10" t="n">
        <v>825.67</v>
      </c>
      <c r="I57" s="10" t="n">
        <v>264.21</v>
      </c>
      <c r="J57" s="10" t="n">
        <v>132.11</v>
      </c>
      <c r="K57" s="10" t="n">
        <v>49.54</v>
      </c>
      <c r="L57" s="10" t="n">
        <v>660.53</v>
      </c>
      <c r="M57" s="11" t="inlineStr"/>
      <c r="N57" s="10" t="n">
        <v>20.0001</v>
      </c>
      <c r="O57" s="10" t="n">
        <v>33.5851</v>
      </c>
      <c r="P57" s="11">
        <f>IF($O57&lt;&gt;"",$O57,$AO57)</f>
        <v/>
      </c>
      <c r="Q57" s="10" t="n">
        <v>38.63</v>
      </c>
      <c r="R57" s="10" t="n">
        <v>13.67</v>
      </c>
      <c r="S57" s="10" t="n">
        <v>0.8</v>
      </c>
      <c r="T57" s="10" t="inlineStr"/>
      <c r="U57" s="10" t="inlineStr"/>
      <c r="V57" s="10" t="n">
        <v>88.68000000000001</v>
      </c>
      <c r="W57" s="10" t="n">
        <v>26.11</v>
      </c>
      <c r="X57" s="9" t="inlineStr"/>
      <c r="Y57" s="10" t="n">
        <v>82</v>
      </c>
      <c r="Z57" s="10" t="n">
        <v>76.88</v>
      </c>
      <c r="AA57" s="10" t="n">
        <v>28.5</v>
      </c>
      <c r="AB57" s="10" t="n">
        <v>40.95</v>
      </c>
      <c r="AC57" s="10" t="n">
        <v>29.57</v>
      </c>
      <c r="AD57" s="10" t="n">
        <v>2421.14</v>
      </c>
      <c r="AE57" s="10" t="n">
        <v>2.16</v>
      </c>
      <c r="AF57" s="10" t="n">
        <v>1.45</v>
      </c>
      <c r="AG57" s="10" t="n">
        <v>2.25</v>
      </c>
      <c r="AH57" s="10" t="n">
        <v>1.72</v>
      </c>
      <c r="AI57" s="10" t="inlineStr"/>
      <c r="AJ57" s="11">
        <f>IFERROR(INDEX(Country_Context!$B$2:$B$87,MATCH($C57,Country_Context!$A$2:$A$87,0)),"")</f>
        <v/>
      </c>
      <c r="AK57" s="11">
        <f>IFERROR(INDEX(Country_Context!$C$2:$C$87,MATCH($C57,Country_Context!$A$2:$A$87,0)),"")</f>
        <v/>
      </c>
      <c r="AL57" s="11">
        <f>IFERROR(INDEX(Country_Context!$D$2:$D$87,MATCH($C57,Country_Context!$A$2:$A$87,0)),"")</f>
        <v/>
      </c>
      <c r="AM57" s="11">
        <f>IFERROR(INDEX(Country_Context!$E$2:$E$87,MATCH($C57,Country_Context!$A$2:$A$87,0)),"")</f>
        <v/>
      </c>
      <c r="AN57" s="11">
        <f>IFERROR(INDEX(Country_Context!$F$2:$F$87,MATCH($C57,Country_Context!$A$2:$A$87,0)),"")</f>
        <v/>
      </c>
      <c r="AO57" s="11">
        <f>IFERROR(INDEX(Country_Context!$G$2:$G$87,MATCH($C57,Country_Context!$A$2:$A$87,0)),"")</f>
        <v/>
      </c>
      <c r="AP57" s="12" t="inlineStr">
        <is>
          <t>https://api.worldbank.org/v2/country/POL/indicator/NY.GNP.PCAP.PP.CD?format=json&amp;mrv=10 | https://data.worldbank.org/indicator/NY.GNP.PCAP.PP.CD | https://ilostat.ilo.org/data/indicator/?id=HOW_TEMP_SEX_ECO_NB_A&amp;ref_area=POL | +4 more</t>
        </is>
      </c>
      <c r="AQ57" s="12" t="inlineStr">
        <is>
          <t>Tier 3, Tier 4</t>
        </is>
      </c>
      <c r="AR57" s="12" t="inlineStr">
        <is>
          <t>2024-12-31</t>
        </is>
      </c>
      <c r="AS57" s="12" t="inlineStr">
        <is>
          <t>providers=world_bank_col_estimate, derived, ilo_ilostat, who_gho; fields=gross_income, rent, utilities, transit_cost; +9 additional fields</t>
        </is>
      </c>
      <c r="AT57" s="12" t="inlineStr">
        <is>
          <t>https://api.worldbank.org/v2/country/POL/indicator/VC.IHR.PSRC.P5?format=json&amp;mrv=10 | https://api.worldbank.org/v2/country/POL/indicator/SH.H2O.SMDW.ZS?format=json&amp;mrv=10 | https://api.worldbank.org/v2/country/POL/indicator/IT.NET.BBND.P2?format=json&amp;mrv=10</t>
        </is>
      </c>
      <c r="AU57" s="12" t="inlineStr">
        <is>
          <t>Tier 3</t>
        </is>
      </c>
      <c r="AV57" s="12" t="inlineStr">
        <is>
          <t>2024-12-31</t>
        </is>
      </c>
      <c r="AW57" s="12" t="inlineStr">
        <is>
          <t>providers=world_bank; fields=personal_safety_raw, water_sanitation_utility_raw, digital_infrastructure_raw</t>
        </is>
      </c>
      <c r="AX57" s="12" t="inlineStr">
        <is>
          <t>https://www.who.int/data/gho/data/indicators/indicator-details/GHO/UHC_INDEX_REPORTED | https://api.worldbank.org/v2/country/POL/indicator/SE.TER.ENRR?format=json&amp;mrv=10 | https://api.worldbank.org/v2/country/POL/indicator/SI.POV.GINI?format=json&amp;mrv=10 | +1 more</t>
        </is>
      </c>
      <c r="AY57" s="12" t="inlineStr">
        <is>
          <t>Tier 3</t>
        </is>
      </c>
      <c r="AZ57" s="12" t="inlineStr">
        <is>
          <t>2023-12-31</t>
        </is>
      </c>
      <c r="BA57" s="12" t="inlineStr">
        <is>
          <t>providers=who_gho, world_bank; fields=healthcare_quality_raw, education_quality_raw, equal_opportunity_raw, gini_coefficient</t>
        </is>
      </c>
      <c r="BB57" s="12" t="inlineStr">
        <is>
          <t>https://api.worldbank.org/v2/country/POL/indicator/SM.POP.NETM?format=json&amp;mrv=10 | https://api.worldbank.org/v2/country/POL/indicator/SG.GEN.PARL.ZS?format=json&amp;mrv=10 | https://api.worldbank.org/v2/country/POL/indicator/ST.INT.ARVL?format=json&amp;mrv=10 | +1 more</t>
        </is>
      </c>
      <c r="BC57" s="12" t="inlineStr">
        <is>
          <t>Tier 3</t>
        </is>
      </c>
      <c r="BD57" s="12" t="inlineStr">
        <is>
          <t>2025-12-31</t>
        </is>
      </c>
      <c r="BE57" s="12" t="inlineStr">
        <is>
          <t>providers=world_bank; fields=hospitality_belonging_raw, tolerance_pluralism_raw, cultural_public_life_raw, birth_rate_optimism_raw</t>
        </is>
      </c>
      <c r="BF57" s="12" t="inlineStr">
        <is>
          <t>https://api.worldbank.org/v2/country/POL/indicator/IC.BUS.NDNS.ZS?format=json&amp;mrv=10 | https://api.worldbank.org/v2/country/POL/indicator/GB.XPD.RSDV.GD.ZS?format=json&amp;mrv=10 | https://api.worldbank.org/v2/country/POL/indicator/BX.KLT.DINV.WD.GD.ZS?format=json&amp;mrv=10 | +3 more</t>
        </is>
      </c>
      <c r="BG57" s="12" t="inlineStr">
        <is>
          <t>Tier 3</t>
        </is>
      </c>
      <c r="BH57" s="12" t="inlineStr">
        <is>
          <t>2024-12-31</t>
        </is>
      </c>
      <c r="BI57" s="12" t="inlineStr">
        <is>
          <t>providers=world_bank; fields=entrepreneurial_dynamism_raw, innovation_research_intensity_raw, investment_signal_raw, administrative_investment_friction_raw; +2 additional fields</t>
        </is>
      </c>
      <c r="BJ57" s="9" t="n">
        <v>1.29</v>
      </c>
    </row>
    <row r="58">
      <c r="A58" s="9" t="inlineStr">
        <is>
          <t>pl-gdansk</t>
        </is>
      </c>
      <c r="B58" s="9" t="inlineStr">
        <is>
          <t>Gdansk</t>
        </is>
      </c>
      <c r="C58" s="9" t="inlineStr">
        <is>
          <t>Poland</t>
        </is>
      </c>
      <c r="D58" s="9" t="inlineStr">
        <is>
          <t>Southern/Eastern Europe and Eurasia</t>
        </is>
      </c>
      <c r="E58" s="9" t="inlineStr">
        <is>
          <t>secondary</t>
        </is>
      </c>
      <c r="F58" s="9" t="inlineStr">
        <is>
          <t>locked</t>
        </is>
      </c>
      <c r="G58" s="10" t="n">
        <v>4128.33</v>
      </c>
      <c r="H58" s="10" t="n">
        <v>928.87</v>
      </c>
      <c r="I58" s="10" t="n">
        <v>297.24</v>
      </c>
      <c r="J58" s="10" t="n">
        <v>148.62</v>
      </c>
      <c r="K58" s="10" t="n">
        <v>55.73</v>
      </c>
      <c r="L58" s="10" t="n">
        <v>743.1</v>
      </c>
      <c r="M58" s="11" t="inlineStr"/>
      <c r="N58" s="10" t="n">
        <v>22.4999</v>
      </c>
      <c r="O58" s="10" t="n">
        <v>33.5851</v>
      </c>
      <c r="P58" s="11">
        <f>IF($O58&lt;&gt;"",$O58,$AO58)</f>
        <v/>
      </c>
      <c r="Q58" s="10" t="n">
        <v>38.63</v>
      </c>
      <c r="R58" s="10" t="n">
        <v>13.67</v>
      </c>
      <c r="S58" s="10" t="n">
        <v>0.8</v>
      </c>
      <c r="T58" s="10" t="inlineStr"/>
      <c r="U58" s="10" t="inlineStr"/>
      <c r="V58" s="10" t="n">
        <v>88.68000000000001</v>
      </c>
      <c r="W58" s="10" t="n">
        <v>26.11</v>
      </c>
      <c r="X58" s="9" t="n">
        <v>44</v>
      </c>
      <c r="Y58" s="10" t="n">
        <v>82</v>
      </c>
      <c r="Z58" s="10" t="n">
        <v>76.88</v>
      </c>
      <c r="AA58" s="10" t="n">
        <v>28.5</v>
      </c>
      <c r="AB58" s="10" t="n">
        <v>40.95</v>
      </c>
      <c r="AC58" s="10" t="n">
        <v>29.57</v>
      </c>
      <c r="AD58" s="10" t="n">
        <v>2421.14</v>
      </c>
      <c r="AE58" s="10" t="n">
        <v>2.16</v>
      </c>
      <c r="AF58" s="10" t="n">
        <v>1.45</v>
      </c>
      <c r="AG58" s="10" t="n">
        <v>2.25</v>
      </c>
      <c r="AH58" s="10" t="n">
        <v>1.72</v>
      </c>
      <c r="AI58" s="10" t="inlineStr"/>
      <c r="AJ58" s="11">
        <f>IFERROR(INDEX(Country_Context!$B$2:$B$87,MATCH($C58,Country_Context!$A$2:$A$87,0)),"")</f>
        <v/>
      </c>
      <c r="AK58" s="11">
        <f>IFERROR(INDEX(Country_Context!$C$2:$C$87,MATCH($C58,Country_Context!$A$2:$A$87,0)),"")</f>
        <v/>
      </c>
      <c r="AL58" s="11">
        <f>IFERROR(INDEX(Country_Context!$D$2:$D$87,MATCH($C58,Country_Context!$A$2:$A$87,0)),"")</f>
        <v/>
      </c>
      <c r="AM58" s="11">
        <f>IFERROR(INDEX(Country_Context!$E$2:$E$87,MATCH($C58,Country_Context!$A$2:$A$87,0)),"")</f>
        <v/>
      </c>
      <c r="AN58" s="11">
        <f>IFERROR(INDEX(Country_Context!$F$2:$F$87,MATCH($C58,Country_Context!$A$2:$A$87,0)),"")</f>
        <v/>
      </c>
      <c r="AO58" s="11">
        <f>IFERROR(INDEX(Country_Context!$G$2:$G$87,MATCH($C58,Country_Context!$A$2:$A$87,0)),"")</f>
        <v/>
      </c>
      <c r="AP58" s="12" t="inlineStr">
        <is>
          <t>https://api.worldbank.org/v2/country/POL/indicator/NY.GNP.PCAP.PP.CD?format=json&amp;mrv=10 | https://data.worldbank.org/indicator/NY.GNP.PCAP.PP.CD | https://ilostat.ilo.org/data/indicator/?id=HOW_TEMP_SEX_ECO_NB_A&amp;ref_area=POL | +4 more</t>
        </is>
      </c>
      <c r="AQ58" s="12" t="inlineStr">
        <is>
          <t>Tier 3, Tier 4</t>
        </is>
      </c>
      <c r="AR58" s="12" t="inlineStr">
        <is>
          <t>2024-12-31</t>
        </is>
      </c>
      <c r="AS58" s="12" t="inlineStr">
        <is>
          <t>providers=world_bank_col_estimate, derived, ilo_ilostat, who_gho; fields=gross_income, rent, utilities, transit_cost; +9 additional fields</t>
        </is>
      </c>
      <c r="AT58" s="12" t="inlineStr">
        <is>
          <t>https://api.worldbank.org/v2/country/POL/indicator/VC.IHR.PSRC.P5?format=json&amp;mrv=10 | https://api.worldbank.org/v2/country/POL/indicator/SH.H2O.SMDW.ZS?format=json&amp;mrv=10 | https://api.worldbank.org/v2/country/POL/indicator/IT.NET.BBND.P2?format=json&amp;mrv=10 | +1 more</t>
        </is>
      </c>
      <c r="AU58" s="12" t="inlineStr">
        <is>
          <t>Tier 3</t>
        </is>
      </c>
      <c r="AV58" s="12" t="inlineStr">
        <is>
          <t>2024-12-31</t>
        </is>
      </c>
      <c r="AW58" s="12" t="inlineStr">
        <is>
          <t>providers=world_bank, wmo_natl_met; fields=personal_safety_raw, water_sanitation_utility_raw, digital_infrastructure_raw, climate_sunlight_livability_raw</t>
        </is>
      </c>
      <c r="AX58" s="12" t="inlineStr">
        <is>
          <t>https://www.who.int/data/gho/data/indicators/indicator-details/GHO/UHC_INDEX_REPORTED | https://api.worldbank.org/v2/country/POL/indicator/SE.TER.ENRR?format=json&amp;mrv=10 | https://api.worldbank.org/v2/country/POL/indicator/SI.POV.GINI?format=json&amp;mrv=10 | +1 more</t>
        </is>
      </c>
      <c r="AY58" s="12" t="inlineStr">
        <is>
          <t>Tier 3</t>
        </is>
      </c>
      <c r="AZ58" s="12" t="inlineStr">
        <is>
          <t>2023-12-31</t>
        </is>
      </c>
      <c r="BA58" s="12" t="inlineStr">
        <is>
          <t>providers=who_gho, world_bank; fields=healthcare_quality_raw, education_quality_raw, equal_opportunity_raw, gini_coefficient</t>
        </is>
      </c>
      <c r="BB58" s="12" t="inlineStr">
        <is>
          <t>https://api.worldbank.org/v2/country/POL/indicator/SM.POP.NETM?format=json&amp;mrv=10 | https://api.worldbank.org/v2/country/POL/indicator/SG.GEN.PARL.ZS?format=json&amp;mrv=10 | https://api.worldbank.org/v2/country/POL/indicator/ST.INT.ARVL?format=json&amp;mrv=10 | +1 more</t>
        </is>
      </c>
      <c r="BC58" s="12" t="inlineStr">
        <is>
          <t>Tier 3</t>
        </is>
      </c>
      <c r="BD58" s="12" t="inlineStr">
        <is>
          <t>2025-12-31</t>
        </is>
      </c>
      <c r="BE58" s="12" t="inlineStr">
        <is>
          <t>providers=world_bank; fields=hospitality_belonging_raw, tolerance_pluralism_raw, cultural_public_life_raw, birth_rate_optimism_raw</t>
        </is>
      </c>
      <c r="BF58" s="12" t="inlineStr">
        <is>
          <t>https://api.worldbank.org/v2/country/POL/indicator/IC.BUS.NDNS.ZS?format=json&amp;mrv=10 | https://api.worldbank.org/v2/country/POL/indicator/GB.XPD.RSDV.GD.ZS?format=json&amp;mrv=10 | https://api.worldbank.org/v2/country/POL/indicator/BX.KLT.DINV.WD.GD.ZS?format=json&amp;mrv=10 | +3 more</t>
        </is>
      </c>
      <c r="BG58" s="12" t="inlineStr">
        <is>
          <t>Tier 3</t>
        </is>
      </c>
      <c r="BH58" s="12" t="inlineStr">
        <is>
          <t>2024-12-31</t>
        </is>
      </c>
      <c r="BI58" s="12" t="inlineStr">
        <is>
          <t>providers=world_bank; fields=entrepreneurial_dynamism_raw, innovation_research_intensity_raw, investment_signal_raw, administrative_investment_friction_raw; +2 additional fields</t>
        </is>
      </c>
      <c r="BJ58" s="9" t="n">
        <v>1.29</v>
      </c>
    </row>
    <row r="59">
      <c r="A59" s="9" t="inlineStr">
        <is>
          <t>pl-torun</t>
        </is>
      </c>
      <c r="B59" s="9" t="inlineStr">
        <is>
          <t>Torun</t>
        </is>
      </c>
      <c r="C59" s="9" t="inlineStr">
        <is>
          <t>Poland</t>
        </is>
      </c>
      <c r="D59" s="9" t="inlineStr">
        <is>
          <t>Southern/Eastern Europe and Eurasia</t>
        </is>
      </c>
      <c r="E59" s="9" t="inlineStr">
        <is>
          <t>secondary</t>
        </is>
      </c>
      <c r="F59" s="9" t="inlineStr">
        <is>
          <t>provisional</t>
        </is>
      </c>
      <c r="G59" s="10" t="n">
        <v>4128.33</v>
      </c>
      <c r="H59" s="10" t="n">
        <v>774.0599999999999</v>
      </c>
      <c r="I59" s="10" t="n">
        <v>247.7</v>
      </c>
      <c r="J59" s="10" t="n">
        <v>123.85</v>
      </c>
      <c r="K59" s="10" t="n">
        <v>46.44</v>
      </c>
      <c r="L59" s="10" t="n">
        <v>619.25</v>
      </c>
      <c r="M59" s="11" t="inlineStr"/>
      <c r="N59" s="10" t="n">
        <v>18.75</v>
      </c>
      <c r="O59" s="10" t="n">
        <v>33.5851</v>
      </c>
      <c r="P59" s="11">
        <f>IF($O59&lt;&gt;"",$O59,$AO59)</f>
        <v/>
      </c>
      <c r="Q59" s="10" t="n">
        <v>38.63</v>
      </c>
      <c r="R59" s="10" t="n">
        <v>13.67</v>
      </c>
      <c r="S59" s="10" t="n">
        <v>0.8</v>
      </c>
      <c r="T59" s="10" t="inlineStr"/>
      <c r="U59" s="10" t="inlineStr"/>
      <c r="V59" s="10" t="n">
        <v>88.68000000000001</v>
      </c>
      <c r="W59" s="10" t="n">
        <v>26.11</v>
      </c>
      <c r="X59" s="9" t="inlineStr"/>
      <c r="Y59" s="10" t="n">
        <v>82</v>
      </c>
      <c r="Z59" s="10" t="n">
        <v>76.88</v>
      </c>
      <c r="AA59" s="10" t="n">
        <v>28.5</v>
      </c>
      <c r="AB59" s="10" t="n">
        <v>40.95</v>
      </c>
      <c r="AC59" s="10" t="n">
        <v>29.57</v>
      </c>
      <c r="AD59" s="10" t="n">
        <v>2421.14</v>
      </c>
      <c r="AE59" s="10" t="n">
        <v>2.16</v>
      </c>
      <c r="AF59" s="10" t="n">
        <v>1.45</v>
      </c>
      <c r="AG59" s="10" t="n">
        <v>2.25</v>
      </c>
      <c r="AH59" s="10" t="n">
        <v>1.72</v>
      </c>
      <c r="AI59" s="10" t="inlineStr"/>
      <c r="AJ59" s="11">
        <f>IFERROR(INDEX(Country_Context!$B$2:$B$87,MATCH($C59,Country_Context!$A$2:$A$87,0)),"")</f>
        <v/>
      </c>
      <c r="AK59" s="11">
        <f>IFERROR(INDEX(Country_Context!$C$2:$C$87,MATCH($C59,Country_Context!$A$2:$A$87,0)),"")</f>
        <v/>
      </c>
      <c r="AL59" s="11">
        <f>IFERROR(INDEX(Country_Context!$D$2:$D$87,MATCH($C59,Country_Context!$A$2:$A$87,0)),"")</f>
        <v/>
      </c>
      <c r="AM59" s="11">
        <f>IFERROR(INDEX(Country_Context!$E$2:$E$87,MATCH($C59,Country_Context!$A$2:$A$87,0)),"")</f>
        <v/>
      </c>
      <c r="AN59" s="11">
        <f>IFERROR(INDEX(Country_Context!$F$2:$F$87,MATCH($C59,Country_Context!$A$2:$A$87,0)),"")</f>
        <v/>
      </c>
      <c r="AO59" s="11">
        <f>IFERROR(INDEX(Country_Context!$G$2:$G$87,MATCH($C59,Country_Context!$A$2:$A$87,0)),"")</f>
        <v/>
      </c>
      <c r="AP59" s="12" t="inlineStr">
        <is>
          <t>https://api.worldbank.org/v2/country/POL/indicator/NY.GNP.PCAP.PP.CD?format=json&amp;mrv=10 | https://data.worldbank.org/indicator/NY.GNP.PCAP.PP.CD | https://ilostat.ilo.org/data/indicator/?id=HOW_TEMP_SEX_ECO_NB_A&amp;ref_area=POL | +4 more</t>
        </is>
      </c>
      <c r="AQ59" s="12" t="inlineStr">
        <is>
          <t>Tier 3, Tier 4</t>
        </is>
      </c>
      <c r="AR59" s="12" t="inlineStr">
        <is>
          <t>2024-12-31</t>
        </is>
      </c>
      <c r="AS59" s="12" t="inlineStr">
        <is>
          <t>providers=world_bank_col_estimate, derived, ilo_ilostat, who_gho; fields=gross_income, rent, utilities, transit_cost; +9 additional fields</t>
        </is>
      </c>
      <c r="AT59" s="12" t="inlineStr">
        <is>
          <t>https://api.worldbank.org/v2/country/POL/indicator/VC.IHR.PSRC.P5?format=json&amp;mrv=10 | https://api.worldbank.org/v2/country/POL/indicator/SH.H2O.SMDW.ZS?format=json&amp;mrv=10 | https://api.worldbank.org/v2/country/POL/indicator/IT.NET.BBND.P2?format=json&amp;mrv=10</t>
        </is>
      </c>
      <c r="AU59" s="12" t="inlineStr">
        <is>
          <t>Tier 3</t>
        </is>
      </c>
      <c r="AV59" s="12" t="inlineStr">
        <is>
          <t>2024-12-31</t>
        </is>
      </c>
      <c r="AW59" s="12" t="inlineStr">
        <is>
          <t>providers=world_bank; fields=personal_safety_raw, water_sanitation_utility_raw, digital_infrastructure_raw</t>
        </is>
      </c>
      <c r="AX59" s="12" t="inlineStr">
        <is>
          <t>https://www.who.int/data/gho/data/indicators/indicator-details/GHO/UHC_INDEX_REPORTED | https://api.worldbank.org/v2/country/POL/indicator/SE.TER.ENRR?format=json&amp;mrv=10 | https://api.worldbank.org/v2/country/POL/indicator/SI.POV.GINI?format=json&amp;mrv=10 | +1 more</t>
        </is>
      </c>
      <c r="AY59" s="12" t="inlineStr">
        <is>
          <t>Tier 3</t>
        </is>
      </c>
      <c r="AZ59" s="12" t="inlineStr">
        <is>
          <t>2023-12-31</t>
        </is>
      </c>
      <c r="BA59" s="12" t="inlineStr">
        <is>
          <t>providers=who_gho, world_bank; fields=healthcare_quality_raw, education_quality_raw, equal_opportunity_raw, gini_coefficient</t>
        </is>
      </c>
      <c r="BB59" s="12" t="inlineStr">
        <is>
          <t>https://api.worldbank.org/v2/country/POL/indicator/SM.POP.NETM?format=json&amp;mrv=10 | https://api.worldbank.org/v2/country/POL/indicator/SG.GEN.PARL.ZS?format=json&amp;mrv=10 | https://api.worldbank.org/v2/country/POL/indicator/ST.INT.ARVL?format=json&amp;mrv=10 | +1 more</t>
        </is>
      </c>
      <c r="BC59" s="12" t="inlineStr">
        <is>
          <t>Tier 3</t>
        </is>
      </c>
      <c r="BD59" s="12" t="inlineStr">
        <is>
          <t>2025-12-31</t>
        </is>
      </c>
      <c r="BE59" s="12" t="inlineStr">
        <is>
          <t>providers=world_bank; fields=hospitality_belonging_raw, tolerance_pluralism_raw, cultural_public_life_raw, birth_rate_optimism_raw</t>
        </is>
      </c>
      <c r="BF59" s="12" t="inlineStr">
        <is>
          <t>https://api.worldbank.org/v2/country/POL/indicator/IC.BUS.NDNS.ZS?format=json&amp;mrv=10 | https://api.worldbank.org/v2/country/POL/indicator/GB.XPD.RSDV.GD.ZS?format=json&amp;mrv=10 | https://api.worldbank.org/v2/country/POL/indicator/BX.KLT.DINV.WD.GD.ZS?format=json&amp;mrv=10 | +3 more</t>
        </is>
      </c>
      <c r="BG59" s="12" t="inlineStr">
        <is>
          <t>Tier 3</t>
        </is>
      </c>
      <c r="BH59" s="12" t="inlineStr">
        <is>
          <t>2024-12-31</t>
        </is>
      </c>
      <c r="BI59" s="12" t="inlineStr">
        <is>
          <t>providers=world_bank; fields=entrepreneurial_dynamism_raw, innovation_research_intensity_raw, investment_signal_raw, administrative_investment_friction_raw; +2 additional fields</t>
        </is>
      </c>
      <c r="BJ59" s="9" t="n">
        <v>1.29</v>
      </c>
    </row>
    <row r="60">
      <c r="A60" s="9" t="inlineStr">
        <is>
          <t>sk-bratislava</t>
        </is>
      </c>
      <c r="B60" s="9" t="inlineStr">
        <is>
          <t>Bratislava</t>
        </is>
      </c>
      <c r="C60" s="9" t="inlineStr">
        <is>
          <t>Slovakia</t>
        </is>
      </c>
      <c r="D60" s="9" t="inlineStr">
        <is>
          <t>Southern/Eastern Europe and Eurasia</t>
        </is>
      </c>
      <c r="E60" s="9" t="inlineStr">
        <is>
          <t>secondary</t>
        </is>
      </c>
      <c r="F60" s="9" t="inlineStr">
        <is>
          <t>provisional</t>
        </is>
      </c>
      <c r="G60" s="10" t="n">
        <v>3920</v>
      </c>
      <c r="H60" s="10" t="n">
        <v>931</v>
      </c>
      <c r="I60" s="10" t="n">
        <v>297.92</v>
      </c>
      <c r="J60" s="10" t="n">
        <v>148.96</v>
      </c>
      <c r="K60" s="10" t="n">
        <v>55.86</v>
      </c>
      <c r="L60" s="10" t="n">
        <v>744.8</v>
      </c>
      <c r="M60" s="11" t="inlineStr"/>
      <c r="N60" s="10" t="n">
        <v>23.75</v>
      </c>
      <c r="O60" s="10" t="n">
        <v>59.6386</v>
      </c>
      <c r="P60" s="11">
        <f>IF($O60&lt;&gt;"",$O60,$AO60)</f>
        <v/>
      </c>
      <c r="Q60" s="10" t="n">
        <v>37.91</v>
      </c>
      <c r="R60" s="10" t="n">
        <v>9.91</v>
      </c>
      <c r="S60" s="10" t="n">
        <v>1.12</v>
      </c>
      <c r="T60" s="10" t="inlineStr"/>
      <c r="U60" s="10" t="inlineStr"/>
      <c r="V60" s="10" t="n">
        <v>99.56999999999999</v>
      </c>
      <c r="W60" s="10" t="n">
        <v>33.17</v>
      </c>
      <c r="X60" s="9" t="n">
        <v>52</v>
      </c>
      <c r="Y60" s="10" t="n">
        <v>78</v>
      </c>
      <c r="Z60" s="10" t="n">
        <v>53.42</v>
      </c>
      <c r="AA60" s="10" t="n">
        <v>23.8</v>
      </c>
      <c r="AB60" s="10" t="n">
        <v>44.21</v>
      </c>
      <c r="AC60" s="10" t="n">
        <v>22.67</v>
      </c>
      <c r="AD60" s="10" t="n">
        <v>2821.62</v>
      </c>
      <c r="AE60" s="10" t="n">
        <v>5.48</v>
      </c>
      <c r="AF60" s="10" t="n">
        <v>0.98</v>
      </c>
      <c r="AG60" s="10" t="n">
        <v>3.56</v>
      </c>
      <c r="AH60" s="10" t="n">
        <v>1.9</v>
      </c>
      <c r="AI60" s="10" t="inlineStr"/>
      <c r="AJ60" s="11">
        <f>IFERROR(INDEX(Country_Context!$B$2:$B$87,MATCH($C60,Country_Context!$A$2:$A$87,0)),"")</f>
        <v/>
      </c>
      <c r="AK60" s="11">
        <f>IFERROR(INDEX(Country_Context!$C$2:$C$87,MATCH($C60,Country_Context!$A$2:$A$87,0)),"")</f>
        <v/>
      </c>
      <c r="AL60" s="11">
        <f>IFERROR(INDEX(Country_Context!$D$2:$D$87,MATCH($C60,Country_Context!$A$2:$A$87,0)),"")</f>
        <v/>
      </c>
      <c r="AM60" s="11">
        <f>IFERROR(INDEX(Country_Context!$E$2:$E$87,MATCH($C60,Country_Context!$A$2:$A$87,0)),"")</f>
        <v/>
      </c>
      <c r="AN60" s="11">
        <f>IFERROR(INDEX(Country_Context!$F$2:$F$87,MATCH($C60,Country_Context!$A$2:$A$87,0)),"")</f>
        <v/>
      </c>
      <c r="AO60" s="11">
        <f>IFERROR(INDEX(Country_Context!$G$2:$G$87,MATCH($C60,Country_Context!$A$2:$A$87,0)),"")</f>
        <v/>
      </c>
      <c r="AP60" s="12" t="inlineStr">
        <is>
          <t>https://api.worldbank.org/v2/country/SVK/indicator/NY.GNP.PCAP.PP.CD?format=json&amp;mrv=10 | https://data.worldbank.org/indicator/NY.GNP.PCAP.PP.CD | https://ilostat.ilo.org/data/indicator/?id=HOW_TEMP_SEX_ECO_NB_A&amp;ref_area=SVK | +4 more</t>
        </is>
      </c>
      <c r="AQ60" s="12" t="inlineStr">
        <is>
          <t>Tier 3, Tier 4</t>
        </is>
      </c>
      <c r="AR60" s="12" t="inlineStr">
        <is>
          <t>2024-12-31</t>
        </is>
      </c>
      <c r="AS60" s="12" t="inlineStr">
        <is>
          <t>providers=world_bank_col_estimate, derived, ilo_ilostat, who_gho; fields=gross_income, rent, utilities, transit_cost; +9 additional fields</t>
        </is>
      </c>
      <c r="AT60" s="12" t="inlineStr">
        <is>
          <t>https://api.worldbank.org/v2/country/SVK/indicator/VC.IHR.PSRC.P5?format=json&amp;mrv=10 | https://api.worldbank.org/v2/country/SVK/indicator/SH.H2O.SMDW.ZS?format=json&amp;mrv=10 | https://api.worldbank.org/v2/country/SVK/indicator/IT.NET.BBND.P2?format=json&amp;mrv=10 | +1 more</t>
        </is>
      </c>
      <c r="AU60" s="12" t="inlineStr">
        <is>
          <t>Tier 3</t>
        </is>
      </c>
      <c r="AV60" s="12" t="inlineStr">
        <is>
          <t>2024-12-31</t>
        </is>
      </c>
      <c r="AW60" s="12" t="inlineStr">
        <is>
          <t>providers=world_bank, wmo_natl_met; fields=personal_safety_raw, water_sanitation_utility_raw, digital_infrastructure_raw, climate_sunlight_livability_raw</t>
        </is>
      </c>
      <c r="AX60" s="12" t="inlineStr">
        <is>
          <t>https://www.who.int/data/gho/data/indicators/indicator-details/GHO/UHC_INDEX_REPORTED | https://api.worldbank.org/v2/country/SVK/indicator/SE.TER.ENRR?format=json&amp;mrv=10 | https://api.worldbank.org/v2/country/SVK/indicator/SI.POV.GINI?format=json&amp;mrv=10 | +1 more</t>
        </is>
      </c>
      <c r="AY60" s="12" t="inlineStr">
        <is>
          <t>Tier 3</t>
        </is>
      </c>
      <c r="AZ60" s="12" t="inlineStr">
        <is>
          <t>2023-12-31</t>
        </is>
      </c>
      <c r="BA60" s="12" t="inlineStr">
        <is>
          <t>providers=who_gho, world_bank; fields=healthcare_quality_raw, education_quality_raw, equal_opportunity_raw, gini_coefficient</t>
        </is>
      </c>
      <c r="BB60" s="12" t="inlineStr">
        <is>
          <t>https://api.worldbank.org/v2/country/SVK/indicator/SM.POP.NETM?format=json&amp;mrv=10 | https://api.worldbank.org/v2/country/SVK/indicator/SG.GEN.PARL.ZS?format=json&amp;mrv=10 | https://api.worldbank.org/v2/country/SVK/indicator/ST.INT.ARVL?format=json&amp;mrv=10</t>
        </is>
      </c>
      <c r="BC60" s="12" t="inlineStr">
        <is>
          <t>Tier 3</t>
        </is>
      </c>
      <c r="BD60" s="12" t="inlineStr">
        <is>
          <t>2025-12-31</t>
        </is>
      </c>
      <c r="BE60" s="12" t="inlineStr">
        <is>
          <t>providers=world_bank; fields=hospitality_belonging_raw, tolerance_pluralism_raw, cultural_public_life_raw</t>
        </is>
      </c>
      <c r="BF60" s="12" t="inlineStr">
        <is>
          <t>https://api.worldbank.org/v2/country/SVK/indicator/IC.BUS.NDNS.ZS?format=json&amp;mrv=10 | https://api.worldbank.org/v2/country/SVK/indicator/GB.XPD.RSDV.GD.ZS?format=json&amp;mrv=10 | https://api.worldbank.org/v2/country/SVK/indicator/BX.KLT.DINV.WD.GD.ZS?format=json&amp;mrv=10 | +3 more</t>
        </is>
      </c>
      <c r="BG60" s="12" t="inlineStr">
        <is>
          <t>Tier 3</t>
        </is>
      </c>
      <c r="BH60" s="12" t="inlineStr">
        <is>
          <t>2024-12-31</t>
        </is>
      </c>
      <c r="BI60" s="12" t="inlineStr">
        <is>
          <t>providers=world_bank; fields=entrepreneurial_dynamism_raw, innovation_research_intensity_raw, investment_signal_raw, administrative_investment_friction_raw; +2 additional fields</t>
        </is>
      </c>
      <c r="BJ60" s="9" t="inlineStr"/>
    </row>
    <row r="61">
      <c r="A61" s="9" t="inlineStr">
        <is>
          <t>us-chicago</t>
        </is>
      </c>
      <c r="B61" s="9" t="inlineStr">
        <is>
          <t>Chicago</t>
        </is>
      </c>
      <c r="C61" s="9" t="inlineStr">
        <is>
          <t>United States</t>
        </is>
      </c>
      <c r="D61" s="9" t="inlineStr">
        <is>
          <t>North America</t>
        </is>
      </c>
      <c r="E61" s="9" t="inlineStr">
        <is>
          <t>primary</t>
        </is>
      </c>
      <c r="F61" s="9" t="inlineStr">
        <is>
          <t>locked</t>
        </is>
      </c>
      <c r="G61" s="10" t="n">
        <v>7881.5</v>
      </c>
      <c r="H61" s="10" t="n">
        <v>3034.38</v>
      </c>
      <c r="I61" s="10" t="n">
        <v>606.88</v>
      </c>
      <c r="J61" s="10" t="n">
        <v>433.48</v>
      </c>
      <c r="K61" s="10" t="n">
        <v>173.39</v>
      </c>
      <c r="L61" s="10" t="n">
        <v>1300.45</v>
      </c>
      <c r="M61" s="11" t="inlineStr"/>
      <c r="N61" s="10" t="n">
        <v>38.5</v>
      </c>
      <c r="O61" s="10" t="n">
        <v>46.8411</v>
      </c>
      <c r="P61" s="11">
        <f>IF($O61&lt;&gt;"",$O61,$AO61)</f>
        <v/>
      </c>
      <c r="Q61" s="10" t="n">
        <v>37.54</v>
      </c>
      <c r="R61" s="10" t="n">
        <v>15.63</v>
      </c>
      <c r="S61" s="10" t="n">
        <v>5.76</v>
      </c>
      <c r="T61" s="10" t="inlineStr"/>
      <c r="U61" s="10" t="inlineStr"/>
      <c r="V61" s="10" t="n">
        <v>97.56999999999999</v>
      </c>
      <c r="W61" s="10" t="n">
        <v>38.15</v>
      </c>
      <c r="X61" s="9" t="n">
        <v>52</v>
      </c>
      <c r="Y61" s="10" t="n">
        <v>88</v>
      </c>
      <c r="Z61" s="10" t="n">
        <v>79.36</v>
      </c>
      <c r="AA61" s="10" t="n">
        <v>41.8</v>
      </c>
      <c r="AB61" s="10" t="n">
        <v>53.62</v>
      </c>
      <c r="AC61" s="10" t="n">
        <v>28.74</v>
      </c>
      <c r="AD61" s="10" t="n">
        <v>132.42</v>
      </c>
      <c r="AE61" s="10" t="inlineStr"/>
      <c r="AF61" s="10" t="n">
        <v>3.59</v>
      </c>
      <c r="AG61" s="10" t="n">
        <v>1.03</v>
      </c>
      <c r="AH61" s="10" t="n">
        <v>1.11</v>
      </c>
      <c r="AI61" s="10" t="inlineStr"/>
      <c r="AJ61" s="11">
        <f>IFERROR(INDEX(Country_Context!$B$2:$B$87,MATCH($C61,Country_Context!$A$2:$A$87,0)),"")</f>
        <v/>
      </c>
      <c r="AK61" s="11">
        <f>IFERROR(INDEX(Country_Context!$C$2:$C$87,MATCH($C61,Country_Context!$A$2:$A$87,0)),"")</f>
        <v/>
      </c>
      <c r="AL61" s="11">
        <f>IFERROR(INDEX(Country_Context!$D$2:$D$87,MATCH($C61,Country_Context!$A$2:$A$87,0)),"")</f>
        <v/>
      </c>
      <c r="AM61" s="11">
        <f>IFERROR(INDEX(Country_Context!$E$2:$E$87,MATCH($C61,Country_Context!$A$2:$A$87,0)),"")</f>
        <v/>
      </c>
      <c r="AN61" s="11">
        <f>IFERROR(INDEX(Country_Context!$F$2:$F$87,MATCH($C61,Country_Context!$A$2:$A$87,0)),"")</f>
        <v/>
      </c>
      <c r="AO61" s="11">
        <f>IFERROR(INDEX(Country_Context!$G$2:$G$87,MATCH($C61,Country_Context!$A$2:$A$87,0)),"")</f>
        <v/>
      </c>
      <c r="AP61" s="12" t="inlineStr">
        <is>
          <t>https://api.worldbank.org/v2/country/USA/indicator/NY.GNP.PCAP.PP.CD?format=json&amp;mrv=10 | https://data.worldbank.org/indicator/NY.GNP.PCAP.PP.CD | https://ilostat.ilo.org/data/indicator/?id=HOW_TEMP_SEX_ECO_NB_A&amp;ref_area=USA | +4 more</t>
        </is>
      </c>
      <c r="AQ61" s="12" t="inlineStr">
        <is>
          <t>Tier 3, Tier 4</t>
        </is>
      </c>
      <c r="AR61" s="12" t="inlineStr">
        <is>
          <t>2025-12-31</t>
        </is>
      </c>
      <c r="AS61" s="12" t="inlineStr">
        <is>
          <t>providers=world_bank_col_estimate, derived, ilo_ilostat, who_gho; fields=gross_income, rent, utilities, transit_cost; +9 additional fields</t>
        </is>
      </c>
      <c r="AT61" s="12" t="inlineStr">
        <is>
          <t>https://api.worldbank.org/v2/country/USA/indicator/VC.IHR.PSRC.P5?format=json&amp;mrv=10 | https://api.worldbank.org/v2/country/USA/indicator/SH.H2O.SMDW.ZS?format=json&amp;mrv=10 | https://api.worldbank.org/v2/country/USA/indicator/IT.NET.BBND.P2?format=json&amp;mrv=10 | +1 more</t>
        </is>
      </c>
      <c r="AU61" s="12" t="inlineStr">
        <is>
          <t>Tier 3</t>
        </is>
      </c>
      <c r="AV61" s="12" t="inlineStr">
        <is>
          <t>2024-12-31</t>
        </is>
      </c>
      <c r="AW61" s="12" t="inlineStr">
        <is>
          <t>providers=world_bank, wmo_natl_met; fields=personal_safety_raw, water_sanitation_utility_raw, digital_infrastructure_raw, climate_sunlight_livability_raw</t>
        </is>
      </c>
      <c r="AX61" s="12" t="inlineStr">
        <is>
          <t>https://www.who.int/data/gho/data/indicators/indicator-details/GHO/UHC_INDEX_REPORTED | https://api.worldbank.org/v2/country/USA/indicator/SE.TER.ENRR?format=json&amp;mrv=10 | https://api.worldbank.org/v2/country/USA/indicator/SI.POV.GINI?format=json&amp;mrv=10 | +1 more</t>
        </is>
      </c>
      <c r="AY61" s="12" t="inlineStr">
        <is>
          <t>Tier 3</t>
        </is>
      </c>
      <c r="AZ61" s="12" t="inlineStr">
        <is>
          <t>2023-12-31</t>
        </is>
      </c>
      <c r="BA61" s="12" t="inlineStr">
        <is>
          <t>providers=who_gho, world_bank; fields=healthcare_quality_raw, education_quality_raw, equal_opportunity_raw, gini_coefficient</t>
        </is>
      </c>
      <c r="BB61" s="12" t="inlineStr">
        <is>
          <t>https://api.worldbank.org/v2/country/USA/indicator/SM.POP.NETM?format=json&amp;mrv=10 | https://api.worldbank.org/v2/country/USA/indicator/SG.GEN.PARL.ZS?format=json&amp;mrv=10 | https://api.worldbank.org/v2/country/USA/indicator/ST.INT.ARVL?format=json&amp;mrv=10 | +1 more</t>
        </is>
      </c>
      <c r="BC61" s="12" t="inlineStr">
        <is>
          <t>Tier 3</t>
        </is>
      </c>
      <c r="BD61" s="12" t="inlineStr">
        <is>
          <t>2025-12-31</t>
        </is>
      </c>
      <c r="BE61" s="12" t="inlineStr">
        <is>
          <t>providers=world_bank; fields=hospitality_belonging_raw, tolerance_pluralism_raw, cultural_public_life_raw, birth_rate_optimism_raw</t>
        </is>
      </c>
      <c r="BF61" s="12" t="inlineStr">
        <is>
          <t>https://api.worldbank.org/v2/country/USA/indicator/GB.XPD.RSDV.GD.ZS?format=json&amp;mrv=10 | https://api.worldbank.org/v2/country/USA/indicator/BX.KLT.DINV.WD.GD.ZS?format=json&amp;mrv=10 | https://api.worldbank.org/v2/country/USA/indicator/RQ.EST?format=json&amp;mrv=10 | +2 more</t>
        </is>
      </c>
      <c r="BG61" s="12" t="inlineStr">
        <is>
          <t>Tier 3</t>
        </is>
      </c>
      <c r="BH61" s="12" t="inlineStr">
        <is>
          <t>2024-12-31</t>
        </is>
      </c>
      <c r="BI61" s="12" t="inlineStr">
        <is>
          <t>providers=world_bank; fields=innovation_research_intensity_raw, investment_signal_raw, administrative_investment_friction_raw, gdp_per_capita_ppp; +1 additional fields</t>
        </is>
      </c>
      <c r="BJ61" s="9" t="n">
        <v>1.62</v>
      </c>
    </row>
    <row r="62">
      <c r="A62" s="9" t="inlineStr">
        <is>
          <t>mx-mexico-city</t>
        </is>
      </c>
      <c r="B62" s="9" t="inlineStr">
        <is>
          <t>Mexico City</t>
        </is>
      </c>
      <c r="C62" s="9" t="inlineStr">
        <is>
          <t>Mexico</t>
        </is>
      </c>
      <c r="D62" s="9" t="inlineStr">
        <is>
          <t>North America</t>
        </is>
      </c>
      <c r="E62" s="9" t="inlineStr">
        <is>
          <t>primary</t>
        </is>
      </c>
      <c r="F62" s="9" t="inlineStr">
        <is>
          <t>locked</t>
        </is>
      </c>
      <c r="G62" s="10" t="n">
        <v>2439.92</v>
      </c>
      <c r="H62" s="10" t="n">
        <v>982.0700000000001</v>
      </c>
      <c r="I62" s="10" t="n">
        <v>196.41</v>
      </c>
      <c r="J62" s="10" t="n">
        <v>140.3</v>
      </c>
      <c r="K62" s="10" t="n">
        <v>56.12</v>
      </c>
      <c r="L62" s="10" t="n">
        <v>420.89</v>
      </c>
      <c r="M62" s="11" t="inlineStr"/>
      <c r="N62" s="10" t="n">
        <v>40.2501</v>
      </c>
      <c r="O62" s="10" t="n">
        <v>26.5628</v>
      </c>
      <c r="P62" s="11">
        <f>IF($O62&lt;&gt;"",$O62,$AO62)</f>
        <v/>
      </c>
      <c r="Q62" s="10" t="n">
        <v>42.19</v>
      </c>
      <c r="R62" s="10" t="n">
        <v>6.95</v>
      </c>
      <c r="S62" s="10" t="n">
        <v>24.86</v>
      </c>
      <c r="T62" s="10" t="inlineStr"/>
      <c r="U62" s="10" t="inlineStr"/>
      <c r="V62" s="10" t="n">
        <v>42.97</v>
      </c>
      <c r="W62" s="10" t="n">
        <v>20.09</v>
      </c>
      <c r="X62" s="9" t="n">
        <v>66</v>
      </c>
      <c r="Y62" s="10" t="n">
        <v>79</v>
      </c>
      <c r="Z62" s="10" t="n">
        <v>47.47</v>
      </c>
      <c r="AA62" s="10" t="n">
        <v>43.5</v>
      </c>
      <c r="AB62" s="10" t="n">
        <v>49.17</v>
      </c>
      <c r="AC62" s="10" t="n">
        <v>50.2</v>
      </c>
      <c r="AD62" s="10" t="n">
        <v>390.7</v>
      </c>
      <c r="AE62" s="10" t="n">
        <v>0.88</v>
      </c>
      <c r="AF62" s="10" t="n">
        <v>0.27</v>
      </c>
      <c r="AG62" s="10" t="n">
        <v>2.45</v>
      </c>
      <c r="AH62" s="10" t="n">
        <v>2.67</v>
      </c>
      <c r="AI62" s="10" t="inlineStr"/>
      <c r="AJ62" s="11">
        <f>IFERROR(INDEX(Country_Context!$B$2:$B$87,MATCH($C62,Country_Context!$A$2:$A$87,0)),"")</f>
        <v/>
      </c>
      <c r="AK62" s="11">
        <f>IFERROR(INDEX(Country_Context!$C$2:$C$87,MATCH($C62,Country_Context!$A$2:$A$87,0)),"")</f>
        <v/>
      </c>
      <c r="AL62" s="11">
        <f>IFERROR(INDEX(Country_Context!$D$2:$D$87,MATCH($C62,Country_Context!$A$2:$A$87,0)),"")</f>
        <v/>
      </c>
      <c r="AM62" s="11">
        <f>IFERROR(INDEX(Country_Context!$E$2:$E$87,MATCH($C62,Country_Context!$A$2:$A$87,0)),"")</f>
        <v/>
      </c>
      <c r="AN62" s="11">
        <f>IFERROR(INDEX(Country_Context!$F$2:$F$87,MATCH($C62,Country_Context!$A$2:$A$87,0)),"")</f>
        <v/>
      </c>
      <c r="AO62" s="11">
        <f>IFERROR(INDEX(Country_Context!$G$2:$G$87,MATCH($C62,Country_Context!$A$2:$A$87,0)),"")</f>
        <v/>
      </c>
      <c r="AP62" s="12" t="inlineStr">
        <is>
          <t>https://api.worldbank.org/v2/country/MEX/indicator/NY.GNP.PCAP.PP.CD?format=json&amp;mrv=10 | https://data.worldbank.org/indicator/NY.GNP.PCAP.PP.CD | https://ilostat.ilo.org/data/indicator/?id=HOW_TEMP_SEX_ECO_NB_A&amp;ref_area=MEX | +4 more</t>
        </is>
      </c>
      <c r="AQ62" s="12" t="inlineStr">
        <is>
          <t>Tier 3, Tier 4</t>
        </is>
      </c>
      <c r="AR62" s="12" t="inlineStr">
        <is>
          <t>2024-12-31</t>
        </is>
      </c>
      <c r="AS62" s="12" t="inlineStr">
        <is>
          <t>providers=world_bank_col_estimate, derived, ilo_ilostat, who_gho; fields=gross_income, rent, utilities, transit_cost; +9 additional fields</t>
        </is>
      </c>
      <c r="AT62" s="12" t="inlineStr">
        <is>
          <t>https://api.worldbank.org/v2/country/MEX/indicator/VC.IHR.PSRC.P5?format=json&amp;mrv=10 | https://api.worldbank.org/v2/country/MEX/indicator/SH.H2O.SMDW.ZS?format=json&amp;mrv=10 | https://api.worldbank.org/v2/country/MEX/indicator/IT.NET.BBND.P2?format=json&amp;mrv=10 | +1 more</t>
        </is>
      </c>
      <c r="AU62" s="12" t="inlineStr">
        <is>
          <t>Tier 3</t>
        </is>
      </c>
      <c r="AV62" s="12" t="inlineStr">
        <is>
          <t>2024-12-31</t>
        </is>
      </c>
      <c r="AW62" s="12" t="inlineStr">
        <is>
          <t>providers=world_bank, wmo_natl_met; fields=personal_safety_raw, water_sanitation_utility_raw, digital_infrastructure_raw, climate_sunlight_livability_raw</t>
        </is>
      </c>
      <c r="AX62" s="12" t="inlineStr">
        <is>
          <t>https://www.who.int/data/gho/data/indicators/indicator-details/GHO/UHC_INDEX_REPORTED | https://api.worldbank.org/v2/country/MEX/indicator/SE.TER.ENRR?format=json&amp;mrv=10 | https://api.worldbank.org/v2/country/MEX/indicator/SI.POV.GINI?format=json&amp;mrv=10 | +1 more</t>
        </is>
      </c>
      <c r="AY62" s="12" t="inlineStr">
        <is>
          <t>Tier 3</t>
        </is>
      </c>
      <c r="AZ62" s="12" t="inlineStr">
        <is>
          <t>2023-12-31</t>
        </is>
      </c>
      <c r="BA62" s="12" t="inlineStr">
        <is>
          <t>providers=who_gho, world_bank; fields=healthcare_quality_raw, education_quality_raw, equal_opportunity_raw, gini_coefficient</t>
        </is>
      </c>
      <c r="BB62" s="12" t="inlineStr">
        <is>
          <t>https://api.worldbank.org/v2/country/MEX/indicator/SM.POP.NETM?format=json&amp;mrv=10 | https://api.worldbank.org/v2/country/MEX/indicator/SG.GEN.PARL.ZS?format=json&amp;mrv=10 | https://api.worldbank.org/v2/country/MEX/indicator/ST.INT.ARVL?format=json&amp;mrv=10 | +1 more</t>
        </is>
      </c>
      <c r="BC62" s="12" t="inlineStr">
        <is>
          <t>Tier 3</t>
        </is>
      </c>
      <c r="BD62" s="12" t="inlineStr">
        <is>
          <t>2025-12-31</t>
        </is>
      </c>
      <c r="BE62" s="12" t="inlineStr">
        <is>
          <t>providers=world_bank; fields=hospitality_belonging_raw, tolerance_pluralism_raw, cultural_public_life_raw, birth_rate_optimism_raw</t>
        </is>
      </c>
      <c r="BF62" s="12" t="inlineStr">
        <is>
          <t>https://api.worldbank.org/v2/country/MEX/indicator/IC.BUS.NDNS.ZS?format=json&amp;mrv=10 | https://api.worldbank.org/v2/country/MEX/indicator/GB.XPD.RSDV.GD.ZS?format=json&amp;mrv=10 | https://api.worldbank.org/v2/country/MEX/indicator/BX.KLT.DINV.WD.GD.ZS?format=json&amp;mrv=10 | +3 more</t>
        </is>
      </c>
      <c r="BG62" s="12" t="inlineStr">
        <is>
          <t>Tier 3</t>
        </is>
      </c>
      <c r="BH62" s="12" t="inlineStr">
        <is>
          <t>2024-12-31</t>
        </is>
      </c>
      <c r="BI62" s="12" t="inlineStr">
        <is>
          <t>providers=world_bank; fields=entrepreneurial_dynamism_raw, innovation_research_intensity_raw, investment_signal_raw, administrative_investment_friction_raw; +2 additional fields</t>
        </is>
      </c>
      <c r="BJ62" s="9" t="n">
        <v>1.8</v>
      </c>
    </row>
    <row r="63">
      <c r="A63" s="9" t="inlineStr">
        <is>
          <t>ca-toronto</t>
        </is>
      </c>
      <c r="B63" s="9" t="inlineStr">
        <is>
          <t>Toronto</t>
        </is>
      </c>
      <c r="C63" s="9" t="inlineStr">
        <is>
          <t>Canada</t>
        </is>
      </c>
      <c r="D63" s="9" t="inlineStr">
        <is>
          <t>North America</t>
        </is>
      </c>
      <c r="E63" s="9" t="inlineStr">
        <is>
          <t>primary</t>
        </is>
      </c>
      <c r="F63" s="9" t="inlineStr">
        <is>
          <t>provisional</t>
        </is>
      </c>
      <c r="G63" s="10" t="n">
        <v>5832.75</v>
      </c>
      <c r="H63" s="10" t="n">
        <v>2449.75</v>
      </c>
      <c r="I63" s="10" t="n">
        <v>489.95</v>
      </c>
      <c r="J63" s="10" t="n">
        <v>349.96</v>
      </c>
      <c r="K63" s="10" t="n">
        <v>139.99</v>
      </c>
      <c r="L63" s="10" t="n">
        <v>1049.89</v>
      </c>
      <c r="M63" s="11" t="inlineStr"/>
      <c r="N63" s="10" t="n">
        <v>41.9999</v>
      </c>
      <c r="O63" s="10" t="n">
        <v>124.0978</v>
      </c>
      <c r="P63" s="11">
        <f>IF($O63&lt;&gt;"",$O63,$AO63)</f>
        <v/>
      </c>
      <c r="Q63" s="10" t="n">
        <v>34.8</v>
      </c>
      <c r="R63" s="10" t="n">
        <v>9.44</v>
      </c>
      <c r="S63" s="10" t="n">
        <v>1.98</v>
      </c>
      <c r="T63" s="10" t="inlineStr"/>
      <c r="U63" s="10" t="inlineStr"/>
      <c r="V63" s="10" t="n">
        <v>96.89</v>
      </c>
      <c r="W63" s="10" t="n">
        <v>42.52</v>
      </c>
      <c r="X63" s="9" t="n">
        <v>46</v>
      </c>
      <c r="Y63" s="10" t="n">
        <v>92</v>
      </c>
      <c r="Z63" s="10" t="n">
        <v>76.26000000000001</v>
      </c>
      <c r="AA63" s="10" t="n">
        <v>31.1</v>
      </c>
      <c r="AB63" s="10" t="n">
        <v>57.9</v>
      </c>
      <c r="AC63" s="10" t="n">
        <v>30.65</v>
      </c>
      <c r="AD63" s="10" t="n">
        <v>785.45</v>
      </c>
      <c r="AE63" s="10" t="n">
        <v>9.83</v>
      </c>
      <c r="AF63" s="10" t="n">
        <v>1.7</v>
      </c>
      <c r="AG63" s="10" t="n">
        <v>2.81</v>
      </c>
      <c r="AH63" s="10" t="n">
        <v>0.86</v>
      </c>
      <c r="AI63" s="10" t="inlineStr"/>
      <c r="AJ63" s="11">
        <f>IFERROR(INDEX(Country_Context!$B$2:$B$87,MATCH($C63,Country_Context!$A$2:$A$87,0)),"")</f>
        <v/>
      </c>
      <c r="AK63" s="11">
        <f>IFERROR(INDEX(Country_Context!$C$2:$C$87,MATCH($C63,Country_Context!$A$2:$A$87,0)),"")</f>
        <v/>
      </c>
      <c r="AL63" s="11">
        <f>IFERROR(INDEX(Country_Context!$D$2:$D$87,MATCH($C63,Country_Context!$A$2:$A$87,0)),"")</f>
        <v/>
      </c>
      <c r="AM63" s="11">
        <f>IFERROR(INDEX(Country_Context!$E$2:$E$87,MATCH($C63,Country_Context!$A$2:$A$87,0)),"")</f>
        <v/>
      </c>
      <c r="AN63" s="11">
        <f>IFERROR(INDEX(Country_Context!$F$2:$F$87,MATCH($C63,Country_Context!$A$2:$A$87,0)),"")</f>
        <v/>
      </c>
      <c r="AO63" s="11">
        <f>IFERROR(INDEX(Country_Context!$G$2:$G$87,MATCH($C63,Country_Context!$A$2:$A$87,0)),"")</f>
        <v/>
      </c>
      <c r="AP63" s="12" t="inlineStr">
        <is>
          <t>https://api.worldbank.org/v2/country/CAN/indicator/NY.GNP.PCAP.PP.CD?format=json&amp;mrv=10 | https://data.worldbank.org/indicator/NY.GNP.PCAP.PP.CD | https://ilostat.ilo.org/data/indicator/?id=HOW_TEMP_SEX_ECO_NB_A&amp;ref_area=CAN | +4 more</t>
        </is>
      </c>
      <c r="AQ63" s="12" t="inlineStr">
        <is>
          <t>Tier 3, Tier 4</t>
        </is>
      </c>
      <c r="AR63" s="12" t="inlineStr">
        <is>
          <t>2025-12-31</t>
        </is>
      </c>
      <c r="AS63" s="12" t="inlineStr">
        <is>
          <t>providers=world_bank_col_estimate, derived, ilo_ilostat, who_gho; fields=gross_income, rent, utilities, transit_cost; +9 additional fields</t>
        </is>
      </c>
      <c r="AT63" s="12" t="inlineStr">
        <is>
          <t>https://api.worldbank.org/v2/country/CAN/indicator/VC.IHR.PSRC.P5?format=json&amp;mrv=10 | https://api.worldbank.org/v2/country/CAN/indicator/SH.H2O.SMDW.ZS?format=json&amp;mrv=10 | https://api.worldbank.org/v2/country/CAN/indicator/IT.NET.BBND.P2?format=json&amp;mrv=10 | +1 more</t>
        </is>
      </c>
      <c r="AU63" s="12" t="inlineStr">
        <is>
          <t>Tier 3</t>
        </is>
      </c>
      <c r="AV63" s="12" t="inlineStr">
        <is>
          <t>2024-12-31</t>
        </is>
      </c>
      <c r="AW63" s="12" t="inlineStr">
        <is>
          <t>providers=world_bank, wmo_natl_met; fields=personal_safety_raw, water_sanitation_utility_raw, digital_infrastructure_raw, climate_sunlight_livability_raw</t>
        </is>
      </c>
      <c r="AX63" s="12" t="inlineStr">
        <is>
          <t>https://www.who.int/data/gho/data/indicators/indicator-details/GHO/UHC_INDEX_REPORTED | https://api.worldbank.org/v2/country/CAN/indicator/SE.TER.ENRR?format=json&amp;mrv=10 | https://api.worldbank.org/v2/country/CAN/indicator/SI.POV.GINI?format=json&amp;mrv=10 | +1 more</t>
        </is>
      </c>
      <c r="AY63" s="12" t="inlineStr">
        <is>
          <t>Tier 3</t>
        </is>
      </c>
      <c r="AZ63" s="12" t="inlineStr">
        <is>
          <t>2023-12-31</t>
        </is>
      </c>
      <c r="BA63" s="12" t="inlineStr">
        <is>
          <t>providers=who_gho, world_bank; fields=healthcare_quality_raw, education_quality_raw, equal_opportunity_raw, gini_coefficient</t>
        </is>
      </c>
      <c r="BB63" s="12" t="inlineStr">
        <is>
          <t>https://api.worldbank.org/v2/country/CAN/indicator/SM.POP.NETM?format=json&amp;mrv=10 | https://api.worldbank.org/v2/country/CAN/indicator/SG.GEN.PARL.ZS?format=json&amp;mrv=10 | https://api.worldbank.org/v2/country/CAN/indicator/ST.INT.ARVL?format=json&amp;mrv=10 | +1 more</t>
        </is>
      </c>
      <c r="BC63" s="12" t="inlineStr">
        <is>
          <t>Tier 3</t>
        </is>
      </c>
      <c r="BD63" s="12" t="inlineStr">
        <is>
          <t>2025-12-31</t>
        </is>
      </c>
      <c r="BE63" s="12" t="inlineStr">
        <is>
          <t>providers=world_bank; fields=hospitality_belonging_raw, tolerance_pluralism_raw, cultural_public_life_raw, birth_rate_optimism_raw</t>
        </is>
      </c>
      <c r="BF63" s="12" t="inlineStr">
        <is>
          <t>https://api.worldbank.org/v2/country/CAN/indicator/IC.BUS.NDNS.ZS?format=json&amp;mrv=10 | https://api.worldbank.org/v2/country/CAN/indicator/GB.XPD.RSDV.GD.ZS?format=json&amp;mrv=10 | https://api.worldbank.org/v2/country/CAN/indicator/BX.KLT.DINV.WD.GD.ZS?format=json&amp;mrv=10 | +3 more</t>
        </is>
      </c>
      <c r="BG63" s="12" t="inlineStr">
        <is>
          <t>Tier 3</t>
        </is>
      </c>
      <c r="BH63" s="12" t="inlineStr">
        <is>
          <t>2024-12-31</t>
        </is>
      </c>
      <c r="BI63" s="12" t="inlineStr">
        <is>
          <t>providers=world_bank; fields=entrepreneurial_dynamism_raw, innovation_research_intensity_raw, investment_signal_raw, administrative_investment_friction_raw; +2 additional fields</t>
        </is>
      </c>
      <c r="BJ63" s="9" t="n">
        <v>1.26</v>
      </c>
    </row>
    <row r="64">
      <c r="A64" s="9" t="inlineStr">
        <is>
          <t>pa-panama-city</t>
        </is>
      </c>
      <c r="B64" s="9" t="inlineStr">
        <is>
          <t>Panama City</t>
        </is>
      </c>
      <c r="C64" s="9" t="inlineStr">
        <is>
          <t>Panama</t>
        </is>
      </c>
      <c r="D64" s="9" t="inlineStr">
        <is>
          <t>North America</t>
        </is>
      </c>
      <c r="E64" s="9" t="inlineStr">
        <is>
          <t>primary</t>
        </is>
      </c>
      <c r="F64" s="9" t="inlineStr">
        <is>
          <t>locked</t>
        </is>
      </c>
      <c r="G64" s="10" t="n">
        <v>3271.67</v>
      </c>
      <c r="H64" s="10" t="n">
        <v>1030.58</v>
      </c>
      <c r="I64" s="10" t="n">
        <v>206.12</v>
      </c>
      <c r="J64" s="10" t="n">
        <v>147.23</v>
      </c>
      <c r="K64" s="10" t="n">
        <v>58.89</v>
      </c>
      <c r="L64" s="10" t="n">
        <v>441.68</v>
      </c>
      <c r="M64" s="11" t="inlineStr"/>
      <c r="N64" s="10" t="n">
        <v>31.5001</v>
      </c>
      <c r="O64" s="10" t="n">
        <v>68.0947</v>
      </c>
      <c r="P64" s="11">
        <f>IF($O64&lt;&gt;"",$O64,$AO64)</f>
        <v/>
      </c>
      <c r="Q64" s="10" t="n">
        <v>36.01</v>
      </c>
      <c r="R64" s="10" t="n">
        <v>3.29</v>
      </c>
      <c r="S64" s="10" t="n">
        <v>11.71</v>
      </c>
      <c r="T64" s="10" t="inlineStr"/>
      <c r="U64" s="10" t="inlineStr"/>
      <c r="V64" s="10" t="inlineStr"/>
      <c r="W64" s="10" t="n">
        <v>18.13</v>
      </c>
      <c r="X64" s="9" t="n">
        <v>58</v>
      </c>
      <c r="Y64" s="10" t="n">
        <v>82</v>
      </c>
      <c r="Z64" s="10" t="n">
        <v>53.69</v>
      </c>
      <c r="AA64" s="10" t="n">
        <v>49.7</v>
      </c>
      <c r="AB64" s="10" t="n">
        <v>51.36</v>
      </c>
      <c r="AC64" s="10" t="n">
        <v>21.43</v>
      </c>
      <c r="AD64" s="10" t="n">
        <v>143.28</v>
      </c>
      <c r="AE64" s="10" t="n">
        <v>4.55</v>
      </c>
      <c r="AF64" s="10" t="n">
        <v>0.16</v>
      </c>
      <c r="AG64" s="10" t="n">
        <v>3.75</v>
      </c>
      <c r="AH64" s="10" t="n">
        <v>2.38</v>
      </c>
      <c r="AI64" s="10" t="inlineStr"/>
      <c r="AJ64" s="11">
        <f>IFERROR(INDEX(Country_Context!$B$2:$B$87,MATCH($C64,Country_Context!$A$2:$A$87,0)),"")</f>
        <v/>
      </c>
      <c r="AK64" s="11">
        <f>IFERROR(INDEX(Country_Context!$C$2:$C$87,MATCH($C64,Country_Context!$A$2:$A$87,0)),"")</f>
        <v/>
      </c>
      <c r="AL64" s="11">
        <f>IFERROR(INDEX(Country_Context!$D$2:$D$87,MATCH($C64,Country_Context!$A$2:$A$87,0)),"")</f>
        <v/>
      </c>
      <c r="AM64" s="11">
        <f>IFERROR(INDEX(Country_Context!$E$2:$E$87,MATCH($C64,Country_Context!$A$2:$A$87,0)),"")</f>
        <v/>
      </c>
      <c r="AN64" s="11">
        <f>IFERROR(INDEX(Country_Context!$F$2:$F$87,MATCH($C64,Country_Context!$A$2:$A$87,0)),"")</f>
        <v/>
      </c>
      <c r="AO64" s="11">
        <f>IFERROR(INDEX(Country_Context!$G$2:$G$87,MATCH($C64,Country_Context!$A$2:$A$87,0)),"")</f>
        <v/>
      </c>
      <c r="AP64" s="12" t="inlineStr">
        <is>
          <t>https://api.worldbank.org/v2/country/PAN/indicator/NY.GNP.PCAP.PP.CD?format=json&amp;mrv=10 | https://data.worldbank.org/indicator/NY.GNP.PCAP.PP.CD | https://ilostat.ilo.org/data/indicator/?id=HOW_TEMP_SEX_ECO_NB_A&amp;ref_area=PAN | +4 more</t>
        </is>
      </c>
      <c r="AQ64" s="12" t="inlineStr">
        <is>
          <t>Tier 3, Tier 4</t>
        </is>
      </c>
      <c r="AR64" s="12" t="inlineStr">
        <is>
          <t>2024-12-31</t>
        </is>
      </c>
      <c r="AS64" s="12" t="inlineStr">
        <is>
          <t>providers=world_bank_col_estimate, derived, ilo_ilostat, who_gho; fields=gross_income, rent, utilities, transit_cost; +9 additional fields</t>
        </is>
      </c>
      <c r="AT64" s="12" t="inlineStr">
        <is>
          <t>https://api.worldbank.org/v2/country/PAN/indicator/VC.IHR.PSRC.P5?format=json&amp;mrv=10 | https://api.worldbank.org/v2/country/PAN/indicator/IT.NET.BBND.P2?format=json&amp;mrv=10 | https://worldweather.wmo.int</t>
        </is>
      </c>
      <c r="AU64" s="12" t="inlineStr">
        <is>
          <t>Tier 3</t>
        </is>
      </c>
      <c r="AV64" s="12" t="inlineStr">
        <is>
          <t>2024-12-31</t>
        </is>
      </c>
      <c r="AW64" s="12" t="inlineStr">
        <is>
          <t>providers=world_bank, wmo_natl_met; fields=personal_safety_raw, digital_infrastructure_raw, climate_sunlight_livability_raw</t>
        </is>
      </c>
      <c r="AX64" s="12" t="inlineStr">
        <is>
          <t>https://www.who.int/data/gho/data/indicators/indicator-details/GHO/UHC_INDEX_REPORTED | https://api.worldbank.org/v2/country/PAN/indicator/SE.TER.ENRR?format=json&amp;mrv=10 | https://api.worldbank.org/v2/country/PAN/indicator/SI.POV.GINI?format=json&amp;mrv=10 | +1 more</t>
        </is>
      </c>
      <c r="AY64" s="12" t="inlineStr">
        <is>
          <t>Tier 3</t>
        </is>
      </c>
      <c r="AZ64" s="12" t="inlineStr">
        <is>
          <t>2024-12-31</t>
        </is>
      </c>
      <c r="BA64" s="12" t="inlineStr">
        <is>
          <t>providers=who_gho, world_bank; fields=healthcare_quality_raw, education_quality_raw, equal_opportunity_raw, gini_coefficient</t>
        </is>
      </c>
      <c r="BB64" s="12" t="inlineStr">
        <is>
          <t>https://api.worldbank.org/v2/country/PAN/indicator/SM.POP.NETM?format=json&amp;mrv=10 | https://api.worldbank.org/v2/country/PAN/indicator/SG.GEN.PARL.ZS?format=json&amp;mrv=10 | https://api.worldbank.org/v2/country/PAN/indicator/ST.INT.ARVL?format=json&amp;mrv=10</t>
        </is>
      </c>
      <c r="BC64" s="12" t="inlineStr">
        <is>
          <t>Tier 3</t>
        </is>
      </c>
      <c r="BD64" s="12" t="inlineStr">
        <is>
          <t>2025-12-31</t>
        </is>
      </c>
      <c r="BE64" s="12" t="inlineStr">
        <is>
          <t>providers=world_bank; fields=hospitality_belonging_raw, tolerance_pluralism_raw, cultural_public_life_raw</t>
        </is>
      </c>
      <c r="BF64" s="12" t="inlineStr">
        <is>
          <t>https://api.worldbank.org/v2/country/PAN/indicator/IC.BUS.NDNS.ZS?format=json&amp;mrv=10 | https://api.worldbank.org/v2/country/PAN/indicator/GB.XPD.RSDV.GD.ZS?format=json&amp;mrv=10 | https://api.worldbank.org/v2/country/PAN/indicator/BX.KLT.DINV.WD.GD.ZS?format=json&amp;mrv=10 | +3 more</t>
        </is>
      </c>
      <c r="BG64" s="12" t="inlineStr">
        <is>
          <t>Tier 3</t>
        </is>
      </c>
      <c r="BH64" s="12" t="inlineStr">
        <is>
          <t>2024-12-31</t>
        </is>
      </c>
      <c r="BI64" s="12" t="inlineStr">
        <is>
          <t>providers=world_bank; fields=entrepreneurial_dynamism_raw, innovation_research_intensity_raw, investment_signal_raw, administrative_investment_friction_raw; +2 additional fields</t>
        </is>
      </c>
      <c r="BJ64" s="9" t="inlineStr"/>
    </row>
    <row r="65">
      <c r="A65" s="9" t="inlineStr">
        <is>
          <t>cr-san-jose</t>
        </is>
      </c>
      <c r="B65" s="9" t="inlineStr">
        <is>
          <t>San Jose</t>
        </is>
      </c>
      <c r="C65" s="9" t="inlineStr">
        <is>
          <t>Costa Rica</t>
        </is>
      </c>
      <c r="D65" s="9" t="inlineStr">
        <is>
          <t>North America</t>
        </is>
      </c>
      <c r="E65" s="9" t="inlineStr">
        <is>
          <t>primary</t>
        </is>
      </c>
      <c r="F65" s="9" t="inlineStr">
        <is>
          <t>locked</t>
        </is>
      </c>
      <c r="G65" s="10" t="n">
        <v>2403.33</v>
      </c>
      <c r="H65" s="10" t="n">
        <v>757.05</v>
      </c>
      <c r="I65" s="10" t="n">
        <v>151.41</v>
      </c>
      <c r="J65" s="10" t="n">
        <v>108.15</v>
      </c>
      <c r="K65" s="10" t="n">
        <v>43.26</v>
      </c>
      <c r="L65" s="10" t="n">
        <v>324.45</v>
      </c>
      <c r="M65" s="11" t="inlineStr"/>
      <c r="N65" s="10" t="n">
        <v>31.5</v>
      </c>
      <c r="O65" s="10" t="n">
        <v>50.9742</v>
      </c>
      <c r="P65" s="11">
        <f>IF($O65&lt;&gt;"",$O65,$AO65)</f>
        <v/>
      </c>
      <c r="Q65" s="10" t="n">
        <v>42.88</v>
      </c>
      <c r="R65" s="10" t="n">
        <v>8.06</v>
      </c>
      <c r="S65" s="10" t="n">
        <v>17.75</v>
      </c>
      <c r="T65" s="10" t="inlineStr"/>
      <c r="U65" s="10" t="inlineStr"/>
      <c r="V65" s="10" t="n">
        <v>80.5</v>
      </c>
      <c r="W65" s="10" t="n">
        <v>22.52</v>
      </c>
      <c r="X65" s="9" t="n">
        <v>64</v>
      </c>
      <c r="Y65" s="10" t="n">
        <v>84</v>
      </c>
      <c r="Z65" s="10" t="n">
        <v>55.02</v>
      </c>
      <c r="AA65" s="10" t="n">
        <v>45.8</v>
      </c>
      <c r="AB65" s="10" t="n">
        <v>50.19</v>
      </c>
      <c r="AC65" s="10" t="n">
        <v>49.12</v>
      </c>
      <c r="AD65" s="10" t="n">
        <v>223.49</v>
      </c>
      <c r="AE65" s="10" t="n">
        <v>5.8</v>
      </c>
      <c r="AF65" s="10" t="n">
        <v>0.34</v>
      </c>
      <c r="AG65" s="10" t="n">
        <v>5.56</v>
      </c>
      <c r="AH65" s="10" t="n">
        <v>1.96</v>
      </c>
      <c r="AI65" s="10" t="inlineStr"/>
      <c r="AJ65" s="11">
        <f>IFERROR(INDEX(Country_Context!$B$2:$B$87,MATCH($C65,Country_Context!$A$2:$A$87,0)),"")</f>
        <v/>
      </c>
      <c r="AK65" s="11">
        <f>IFERROR(INDEX(Country_Context!$C$2:$C$87,MATCH($C65,Country_Context!$A$2:$A$87,0)),"")</f>
        <v/>
      </c>
      <c r="AL65" s="11">
        <f>IFERROR(INDEX(Country_Context!$D$2:$D$87,MATCH($C65,Country_Context!$A$2:$A$87,0)),"")</f>
        <v/>
      </c>
      <c r="AM65" s="11">
        <f>IFERROR(INDEX(Country_Context!$E$2:$E$87,MATCH($C65,Country_Context!$A$2:$A$87,0)),"")</f>
        <v/>
      </c>
      <c r="AN65" s="11">
        <f>IFERROR(INDEX(Country_Context!$F$2:$F$87,MATCH($C65,Country_Context!$A$2:$A$87,0)),"")</f>
        <v/>
      </c>
      <c r="AO65" s="11">
        <f>IFERROR(INDEX(Country_Context!$G$2:$G$87,MATCH($C65,Country_Context!$A$2:$A$87,0)),"")</f>
        <v/>
      </c>
      <c r="AP65" s="12" t="inlineStr">
        <is>
          <t>https://api.worldbank.org/v2/country/CRI/indicator/NY.GNP.PCAP.PP.CD?format=json&amp;mrv=10 | https://data.worldbank.org/indicator/NY.GNP.PCAP.PP.CD | https://ilostat.ilo.org/data/indicator/?id=HOW_TEMP_SEX_ECO_NB_A&amp;ref_area=CRI | +4 more</t>
        </is>
      </c>
      <c r="AQ65" s="12" t="inlineStr">
        <is>
          <t>Tier 3, Tier 4</t>
        </is>
      </c>
      <c r="AR65" s="12" t="inlineStr">
        <is>
          <t>2025-12-31</t>
        </is>
      </c>
      <c r="AS65" s="12" t="inlineStr">
        <is>
          <t>providers=world_bank_col_estimate, derived, ilo_ilostat, who_gho; fields=gross_income, rent, utilities, transit_cost; +9 additional fields</t>
        </is>
      </c>
      <c r="AT65" s="12" t="inlineStr">
        <is>
          <t>https://api.worldbank.org/v2/country/CRI/indicator/VC.IHR.PSRC.P5?format=json&amp;mrv=10 | https://api.worldbank.org/v2/country/CRI/indicator/SH.H2O.SMDW.ZS?format=json&amp;mrv=10 | https://api.worldbank.org/v2/country/CRI/indicator/IT.NET.BBND.P2?format=json&amp;mrv=10 | +1 more</t>
        </is>
      </c>
      <c r="AU65" s="12" t="inlineStr">
        <is>
          <t>Tier 3</t>
        </is>
      </c>
      <c r="AV65" s="12" t="inlineStr">
        <is>
          <t>2024-12-31</t>
        </is>
      </c>
      <c r="AW65" s="12" t="inlineStr">
        <is>
          <t>providers=world_bank, wmo_natl_met; fields=personal_safety_raw, water_sanitation_utility_raw, digital_infrastructure_raw, climate_sunlight_livability_raw</t>
        </is>
      </c>
      <c r="AX65" s="12" t="inlineStr">
        <is>
          <t>https://www.who.int/data/gho/data/indicators/indicator-details/GHO/UHC_INDEX_REPORTED | https://api.worldbank.org/v2/country/CRI/indicator/SE.TER.ENRR?format=json&amp;mrv=10 | https://api.worldbank.org/v2/country/CRI/indicator/SI.POV.GINI?format=json&amp;mrv=10 | +1 more</t>
        </is>
      </c>
      <c r="AY65" s="12" t="inlineStr">
        <is>
          <t>Tier 3</t>
        </is>
      </c>
      <c r="AZ65" s="12" t="inlineStr">
        <is>
          <t>2024-12-31</t>
        </is>
      </c>
      <c r="BA65" s="12" t="inlineStr">
        <is>
          <t>providers=who_gho, world_bank; fields=healthcare_quality_raw, education_quality_raw, equal_opportunity_raw, gini_coefficient</t>
        </is>
      </c>
      <c r="BB65" s="12" t="inlineStr">
        <is>
          <t>https://api.worldbank.org/v2/country/CRI/indicator/SM.POP.NETM?format=json&amp;mrv=10 | https://api.worldbank.org/v2/country/CRI/indicator/SG.GEN.PARL.ZS?format=json&amp;mrv=10 | https://api.worldbank.org/v2/country/CRI/indicator/ST.INT.ARVL?format=json&amp;mrv=10</t>
        </is>
      </c>
      <c r="BC65" s="12" t="inlineStr">
        <is>
          <t>Tier 3</t>
        </is>
      </c>
      <c r="BD65" s="12" t="inlineStr">
        <is>
          <t>2025-12-31</t>
        </is>
      </c>
      <c r="BE65" s="12" t="inlineStr">
        <is>
          <t>providers=world_bank; fields=hospitality_belonging_raw, tolerance_pluralism_raw, cultural_public_life_raw</t>
        </is>
      </c>
      <c r="BF65" s="12" t="inlineStr">
        <is>
          <t>https://api.worldbank.org/v2/country/CRI/indicator/IC.BUS.NDNS.ZS?format=json&amp;mrv=10 | https://api.worldbank.org/v2/country/CRI/indicator/GB.XPD.RSDV.GD.ZS?format=json&amp;mrv=10 | https://api.worldbank.org/v2/country/CRI/indicator/BX.KLT.DINV.WD.GD.ZS?format=json&amp;mrv=10 | +3 more</t>
        </is>
      </c>
      <c r="BG65" s="12" t="inlineStr">
        <is>
          <t>Tier 3</t>
        </is>
      </c>
      <c r="BH65" s="12" t="inlineStr">
        <is>
          <t>2024-12-31</t>
        </is>
      </c>
      <c r="BI65" s="12" t="inlineStr">
        <is>
          <t>providers=world_bank; fields=entrepreneurial_dynamism_raw, innovation_research_intensity_raw, investment_signal_raw, administrative_investment_friction_raw; +2 additional fields</t>
        </is>
      </c>
      <c r="BJ65" s="9" t="inlineStr"/>
    </row>
    <row r="66">
      <c r="A66" s="9" t="inlineStr">
        <is>
          <t>us-pittsburgh</t>
        </is>
      </c>
      <c r="B66" s="9" t="inlineStr">
        <is>
          <t>Pittsburgh</t>
        </is>
      </c>
      <c r="C66" s="9" t="inlineStr">
        <is>
          <t>United States</t>
        </is>
      </c>
      <c r="D66" s="9" t="inlineStr">
        <is>
          <t>North America</t>
        </is>
      </c>
      <c r="E66" s="9" t="inlineStr">
        <is>
          <t>secondary</t>
        </is>
      </c>
      <c r="F66" s="9" t="inlineStr">
        <is>
          <t>locked</t>
        </is>
      </c>
      <c r="G66" s="10" t="n">
        <v>7165</v>
      </c>
      <c r="H66" s="10" t="n">
        <v>2006.2</v>
      </c>
      <c r="I66" s="10" t="n">
        <v>401.24</v>
      </c>
      <c r="J66" s="10" t="n">
        <v>286.6</v>
      </c>
      <c r="K66" s="10" t="n">
        <v>114.64</v>
      </c>
      <c r="L66" s="10" t="n">
        <v>859.8</v>
      </c>
      <c r="M66" s="11" t="inlineStr"/>
      <c r="N66" s="10" t="n">
        <v>28</v>
      </c>
      <c r="O66" s="10" t="n">
        <v>46.8411</v>
      </c>
      <c r="P66" s="11">
        <f>IF($O66&lt;&gt;"",$O66,$AO66)</f>
        <v/>
      </c>
      <c r="Q66" s="10" t="n">
        <v>37.54</v>
      </c>
      <c r="R66" s="10" t="n">
        <v>15.63</v>
      </c>
      <c r="S66" s="10" t="n">
        <v>5.76</v>
      </c>
      <c r="T66" s="10" t="inlineStr"/>
      <c r="U66" s="10" t="inlineStr"/>
      <c r="V66" s="10" t="n">
        <v>97.56999999999999</v>
      </c>
      <c r="W66" s="10" t="n">
        <v>38.15</v>
      </c>
      <c r="X66" s="9" t="n">
        <v>46</v>
      </c>
      <c r="Y66" s="10" t="n">
        <v>88</v>
      </c>
      <c r="Z66" s="10" t="n">
        <v>79.36</v>
      </c>
      <c r="AA66" s="10" t="n">
        <v>41.8</v>
      </c>
      <c r="AB66" s="10" t="n">
        <v>53.62</v>
      </c>
      <c r="AC66" s="10" t="n">
        <v>28.74</v>
      </c>
      <c r="AD66" s="10" t="n">
        <v>132.42</v>
      </c>
      <c r="AE66" s="10" t="inlineStr"/>
      <c r="AF66" s="10" t="n">
        <v>3.59</v>
      </c>
      <c r="AG66" s="10" t="n">
        <v>1.03</v>
      </c>
      <c r="AH66" s="10" t="n">
        <v>1.11</v>
      </c>
      <c r="AI66" s="10" t="inlineStr"/>
      <c r="AJ66" s="11">
        <f>IFERROR(INDEX(Country_Context!$B$2:$B$87,MATCH($C66,Country_Context!$A$2:$A$87,0)),"")</f>
        <v/>
      </c>
      <c r="AK66" s="11">
        <f>IFERROR(INDEX(Country_Context!$C$2:$C$87,MATCH($C66,Country_Context!$A$2:$A$87,0)),"")</f>
        <v/>
      </c>
      <c r="AL66" s="11">
        <f>IFERROR(INDEX(Country_Context!$D$2:$D$87,MATCH($C66,Country_Context!$A$2:$A$87,0)),"")</f>
        <v/>
      </c>
      <c r="AM66" s="11">
        <f>IFERROR(INDEX(Country_Context!$E$2:$E$87,MATCH($C66,Country_Context!$A$2:$A$87,0)),"")</f>
        <v/>
      </c>
      <c r="AN66" s="11">
        <f>IFERROR(INDEX(Country_Context!$F$2:$F$87,MATCH($C66,Country_Context!$A$2:$A$87,0)),"")</f>
        <v/>
      </c>
      <c r="AO66" s="11">
        <f>IFERROR(INDEX(Country_Context!$G$2:$G$87,MATCH($C66,Country_Context!$A$2:$A$87,0)),"")</f>
        <v/>
      </c>
      <c r="AP66" s="12" t="inlineStr">
        <is>
          <t>https://api.worldbank.org/v2/country/USA/indicator/NY.GNP.PCAP.PP.CD?format=json&amp;mrv=10 | https://data.worldbank.org/indicator/NY.GNP.PCAP.PP.CD | https://ilostat.ilo.org/data/indicator/?id=HOW_TEMP_SEX_ECO_NB_A&amp;ref_area=USA | +4 more</t>
        </is>
      </c>
      <c r="AQ66" s="12" t="inlineStr">
        <is>
          <t>Tier 3, Tier 4</t>
        </is>
      </c>
      <c r="AR66" s="12" t="inlineStr">
        <is>
          <t>2025-12-31</t>
        </is>
      </c>
      <c r="AS66" s="12" t="inlineStr">
        <is>
          <t>providers=world_bank_col_estimate, derived, ilo_ilostat, who_gho; fields=gross_income, rent, utilities, transit_cost; +9 additional fields</t>
        </is>
      </c>
      <c r="AT66" s="12" t="inlineStr">
        <is>
          <t>https://api.worldbank.org/v2/country/USA/indicator/VC.IHR.PSRC.P5?format=json&amp;mrv=10 | https://api.worldbank.org/v2/country/USA/indicator/SH.H2O.SMDW.ZS?format=json&amp;mrv=10 | https://api.worldbank.org/v2/country/USA/indicator/IT.NET.BBND.P2?format=json&amp;mrv=10 | +1 more</t>
        </is>
      </c>
      <c r="AU66" s="12" t="inlineStr">
        <is>
          <t>Tier 3</t>
        </is>
      </c>
      <c r="AV66" s="12" t="inlineStr">
        <is>
          <t>2024-12-31</t>
        </is>
      </c>
      <c r="AW66" s="12" t="inlineStr">
        <is>
          <t>providers=world_bank, wmo_natl_met; fields=personal_safety_raw, water_sanitation_utility_raw, digital_infrastructure_raw, climate_sunlight_livability_raw</t>
        </is>
      </c>
      <c r="AX66" s="12" t="inlineStr">
        <is>
          <t>https://www.who.int/data/gho/data/indicators/indicator-details/GHO/UHC_INDEX_REPORTED | https://api.worldbank.org/v2/country/USA/indicator/SE.TER.ENRR?format=json&amp;mrv=10 | https://api.worldbank.org/v2/country/USA/indicator/SI.POV.GINI?format=json&amp;mrv=10 | +1 more</t>
        </is>
      </c>
      <c r="AY66" s="12" t="inlineStr">
        <is>
          <t>Tier 3</t>
        </is>
      </c>
      <c r="AZ66" s="12" t="inlineStr">
        <is>
          <t>2023-12-31</t>
        </is>
      </c>
      <c r="BA66" s="12" t="inlineStr">
        <is>
          <t>providers=who_gho, world_bank; fields=healthcare_quality_raw, education_quality_raw, equal_opportunity_raw, gini_coefficient</t>
        </is>
      </c>
      <c r="BB66" s="12" t="inlineStr">
        <is>
          <t>https://api.worldbank.org/v2/country/USA/indicator/SM.POP.NETM?format=json&amp;mrv=10 | https://api.worldbank.org/v2/country/USA/indicator/SG.GEN.PARL.ZS?format=json&amp;mrv=10 | https://api.worldbank.org/v2/country/USA/indicator/ST.INT.ARVL?format=json&amp;mrv=10 | +1 more</t>
        </is>
      </c>
      <c r="BC66" s="12" t="inlineStr">
        <is>
          <t>Tier 3</t>
        </is>
      </c>
      <c r="BD66" s="12" t="inlineStr">
        <is>
          <t>2025-12-31</t>
        </is>
      </c>
      <c r="BE66" s="12" t="inlineStr">
        <is>
          <t>providers=world_bank; fields=hospitality_belonging_raw, tolerance_pluralism_raw, cultural_public_life_raw, birth_rate_optimism_raw</t>
        </is>
      </c>
      <c r="BF66" s="12" t="inlineStr">
        <is>
          <t>https://api.worldbank.org/v2/country/USA/indicator/GB.XPD.RSDV.GD.ZS?format=json&amp;mrv=10 | https://api.worldbank.org/v2/country/USA/indicator/BX.KLT.DINV.WD.GD.ZS?format=json&amp;mrv=10 | https://api.worldbank.org/v2/country/USA/indicator/RQ.EST?format=json&amp;mrv=10 | +2 more</t>
        </is>
      </c>
      <c r="BG66" s="12" t="inlineStr">
        <is>
          <t>Tier 3</t>
        </is>
      </c>
      <c r="BH66" s="12" t="inlineStr">
        <is>
          <t>2024-12-31</t>
        </is>
      </c>
      <c r="BI66" s="12" t="inlineStr">
        <is>
          <t>providers=world_bank; fields=innovation_research_intensity_raw, investment_signal_raw, administrative_investment_friction_raw, gdp_per_capita_ppp; +1 additional fields</t>
        </is>
      </c>
      <c r="BJ66" s="9" t="n">
        <v>1.62</v>
      </c>
    </row>
    <row r="67">
      <c r="A67" s="9" t="inlineStr">
        <is>
          <t>ca-montreal</t>
        </is>
      </c>
      <c r="B67" s="9" t="inlineStr">
        <is>
          <t>Montreal</t>
        </is>
      </c>
      <c r="C67" s="9" t="inlineStr">
        <is>
          <t>Canada</t>
        </is>
      </c>
      <c r="D67" s="9" t="inlineStr">
        <is>
          <t>North America</t>
        </is>
      </c>
      <c r="E67" s="9" t="inlineStr">
        <is>
          <t>secondary</t>
        </is>
      </c>
      <c r="F67" s="9" t="inlineStr">
        <is>
          <t>locked</t>
        </is>
      </c>
      <c r="G67" s="10" t="n">
        <v>5302.5</v>
      </c>
      <c r="H67" s="10" t="n">
        <v>1577.49</v>
      </c>
      <c r="I67" s="10" t="n">
        <v>315.5</v>
      </c>
      <c r="J67" s="10" t="n">
        <v>225.36</v>
      </c>
      <c r="K67" s="10" t="n">
        <v>90.14</v>
      </c>
      <c r="L67" s="10" t="n">
        <v>676.0700000000001</v>
      </c>
      <c r="M67" s="11" t="inlineStr"/>
      <c r="N67" s="10" t="n">
        <v>29.7499</v>
      </c>
      <c r="O67" s="10" t="n">
        <v>124.0978</v>
      </c>
      <c r="P67" s="11">
        <f>IF($O67&lt;&gt;"",$O67,$AO67)</f>
        <v/>
      </c>
      <c r="Q67" s="10" t="n">
        <v>34.8</v>
      </c>
      <c r="R67" s="10" t="n">
        <v>9.44</v>
      </c>
      <c r="S67" s="10" t="n">
        <v>1.98</v>
      </c>
      <c r="T67" s="10" t="inlineStr"/>
      <c r="U67" s="10" t="inlineStr"/>
      <c r="V67" s="10" t="n">
        <v>96.89</v>
      </c>
      <c r="W67" s="10" t="n">
        <v>42.52</v>
      </c>
      <c r="X67" s="9" t="n">
        <v>44</v>
      </c>
      <c r="Y67" s="10" t="n">
        <v>92</v>
      </c>
      <c r="Z67" s="10" t="n">
        <v>76.26000000000001</v>
      </c>
      <c r="AA67" s="10" t="n">
        <v>31.1</v>
      </c>
      <c r="AB67" s="10" t="n">
        <v>57.9</v>
      </c>
      <c r="AC67" s="10" t="n">
        <v>30.65</v>
      </c>
      <c r="AD67" s="10" t="n">
        <v>785.45</v>
      </c>
      <c r="AE67" s="10" t="n">
        <v>9.83</v>
      </c>
      <c r="AF67" s="10" t="n">
        <v>1.7</v>
      </c>
      <c r="AG67" s="10" t="n">
        <v>2.81</v>
      </c>
      <c r="AH67" s="10" t="n">
        <v>0.86</v>
      </c>
      <c r="AI67" s="10" t="inlineStr"/>
      <c r="AJ67" s="11">
        <f>IFERROR(INDEX(Country_Context!$B$2:$B$87,MATCH($C67,Country_Context!$A$2:$A$87,0)),"")</f>
        <v/>
      </c>
      <c r="AK67" s="11">
        <f>IFERROR(INDEX(Country_Context!$C$2:$C$87,MATCH($C67,Country_Context!$A$2:$A$87,0)),"")</f>
        <v/>
      </c>
      <c r="AL67" s="11">
        <f>IFERROR(INDEX(Country_Context!$D$2:$D$87,MATCH($C67,Country_Context!$A$2:$A$87,0)),"")</f>
        <v/>
      </c>
      <c r="AM67" s="11">
        <f>IFERROR(INDEX(Country_Context!$E$2:$E$87,MATCH($C67,Country_Context!$A$2:$A$87,0)),"")</f>
        <v/>
      </c>
      <c r="AN67" s="11">
        <f>IFERROR(INDEX(Country_Context!$F$2:$F$87,MATCH($C67,Country_Context!$A$2:$A$87,0)),"")</f>
        <v/>
      </c>
      <c r="AO67" s="11">
        <f>IFERROR(INDEX(Country_Context!$G$2:$G$87,MATCH($C67,Country_Context!$A$2:$A$87,0)),"")</f>
        <v/>
      </c>
      <c r="AP67" s="12" t="inlineStr">
        <is>
          <t>https://api.worldbank.org/v2/country/CAN/indicator/NY.GNP.PCAP.PP.CD?format=json&amp;mrv=10 | https://data.worldbank.org/indicator/NY.GNP.PCAP.PP.CD | https://ilostat.ilo.org/data/indicator/?id=HOW_TEMP_SEX_ECO_NB_A&amp;ref_area=CAN | +4 more</t>
        </is>
      </c>
      <c r="AQ67" s="12" t="inlineStr">
        <is>
          <t>Tier 3, Tier 4</t>
        </is>
      </c>
      <c r="AR67" s="12" t="inlineStr">
        <is>
          <t>2025-12-31</t>
        </is>
      </c>
      <c r="AS67" s="12" t="inlineStr">
        <is>
          <t>providers=world_bank_col_estimate, derived, ilo_ilostat, who_gho; fields=gross_income, rent, utilities, transit_cost; +9 additional fields</t>
        </is>
      </c>
      <c r="AT67" s="12" t="inlineStr">
        <is>
          <t>https://api.worldbank.org/v2/country/CAN/indicator/VC.IHR.PSRC.P5?format=json&amp;mrv=10 | https://api.worldbank.org/v2/country/CAN/indicator/SH.H2O.SMDW.ZS?format=json&amp;mrv=10 | https://api.worldbank.org/v2/country/CAN/indicator/IT.NET.BBND.P2?format=json&amp;mrv=10 | +1 more</t>
        </is>
      </c>
      <c r="AU67" s="12" t="inlineStr">
        <is>
          <t>Tier 3</t>
        </is>
      </c>
      <c r="AV67" s="12" t="inlineStr">
        <is>
          <t>2024-12-31</t>
        </is>
      </c>
      <c r="AW67" s="12" t="inlineStr">
        <is>
          <t>providers=world_bank, wmo_natl_met; fields=personal_safety_raw, water_sanitation_utility_raw, digital_infrastructure_raw, climate_sunlight_livability_raw</t>
        </is>
      </c>
      <c r="AX67" s="12" t="inlineStr">
        <is>
          <t>https://www.who.int/data/gho/data/indicators/indicator-details/GHO/UHC_INDEX_REPORTED | https://api.worldbank.org/v2/country/CAN/indicator/SE.TER.ENRR?format=json&amp;mrv=10 | https://api.worldbank.org/v2/country/CAN/indicator/SI.POV.GINI?format=json&amp;mrv=10 | +1 more</t>
        </is>
      </c>
      <c r="AY67" s="12" t="inlineStr">
        <is>
          <t>Tier 3</t>
        </is>
      </c>
      <c r="AZ67" s="12" t="inlineStr">
        <is>
          <t>2023-12-31</t>
        </is>
      </c>
      <c r="BA67" s="12" t="inlineStr">
        <is>
          <t>providers=who_gho, world_bank; fields=healthcare_quality_raw, education_quality_raw, equal_opportunity_raw, gini_coefficient</t>
        </is>
      </c>
      <c r="BB67" s="12" t="inlineStr">
        <is>
          <t>https://api.worldbank.org/v2/country/CAN/indicator/SM.POP.NETM?format=json&amp;mrv=10 | https://api.worldbank.org/v2/country/CAN/indicator/SG.GEN.PARL.ZS?format=json&amp;mrv=10 | https://api.worldbank.org/v2/country/CAN/indicator/ST.INT.ARVL?format=json&amp;mrv=10 | +1 more</t>
        </is>
      </c>
      <c r="BC67" s="12" t="inlineStr">
        <is>
          <t>Tier 3</t>
        </is>
      </c>
      <c r="BD67" s="12" t="inlineStr">
        <is>
          <t>2025-12-31</t>
        </is>
      </c>
      <c r="BE67" s="12" t="inlineStr">
        <is>
          <t>providers=world_bank; fields=hospitality_belonging_raw, tolerance_pluralism_raw, cultural_public_life_raw, birth_rate_optimism_raw</t>
        </is>
      </c>
      <c r="BF67" s="12" t="inlineStr">
        <is>
          <t>https://api.worldbank.org/v2/country/CAN/indicator/IC.BUS.NDNS.ZS?format=json&amp;mrv=10 | https://api.worldbank.org/v2/country/CAN/indicator/GB.XPD.RSDV.GD.ZS?format=json&amp;mrv=10 | https://api.worldbank.org/v2/country/CAN/indicator/BX.KLT.DINV.WD.GD.ZS?format=json&amp;mrv=10 | +3 more</t>
        </is>
      </c>
      <c r="BG67" s="12" t="inlineStr">
        <is>
          <t>Tier 3</t>
        </is>
      </c>
      <c r="BH67" s="12" t="inlineStr">
        <is>
          <t>2024-12-31</t>
        </is>
      </c>
      <c r="BI67" s="12" t="inlineStr">
        <is>
          <t>providers=world_bank; fields=entrepreneurial_dynamism_raw, innovation_research_intensity_raw, investment_signal_raw, administrative_investment_friction_raw; +2 additional fields</t>
        </is>
      </c>
      <c r="BJ67" s="9" t="n">
        <v>1.26</v>
      </c>
    </row>
    <row r="68">
      <c r="A68" s="9" t="inlineStr">
        <is>
          <t>mx-guadalajara</t>
        </is>
      </c>
      <c r="B68" s="9" t="inlineStr">
        <is>
          <t>Guadalajara</t>
        </is>
      </c>
      <c r="C68" s="9" t="inlineStr">
        <is>
          <t>Mexico</t>
        </is>
      </c>
      <c r="D68" s="9" t="inlineStr">
        <is>
          <t>North America</t>
        </is>
      </c>
      <c r="E68" s="9" t="inlineStr">
        <is>
          <t>secondary</t>
        </is>
      </c>
      <c r="F68" s="9" t="inlineStr">
        <is>
          <t>locked</t>
        </is>
      </c>
      <c r="G68" s="10" t="n">
        <v>2121.67</v>
      </c>
      <c r="H68" s="10" t="n">
        <v>631.2</v>
      </c>
      <c r="I68" s="10" t="n">
        <v>126.24</v>
      </c>
      <c r="J68" s="10" t="n">
        <v>90.17</v>
      </c>
      <c r="K68" s="10" t="n">
        <v>36.07</v>
      </c>
      <c r="L68" s="10" t="n">
        <v>270.51</v>
      </c>
      <c r="M68" s="11" t="inlineStr"/>
      <c r="N68" s="10" t="n">
        <v>29.7501</v>
      </c>
      <c r="O68" s="10" t="n">
        <v>26.5628</v>
      </c>
      <c r="P68" s="11">
        <f>IF($O68&lt;&gt;"",$O68,$AO68)</f>
        <v/>
      </c>
      <c r="Q68" s="10" t="n">
        <v>42.19</v>
      </c>
      <c r="R68" s="10" t="n">
        <v>6.95</v>
      </c>
      <c r="S68" s="10" t="n">
        <v>24.86</v>
      </c>
      <c r="T68" s="10" t="inlineStr"/>
      <c r="U68" s="10" t="inlineStr"/>
      <c r="V68" s="10" t="n">
        <v>42.97</v>
      </c>
      <c r="W68" s="10" t="n">
        <v>20.09</v>
      </c>
      <c r="X68" s="9" t="n">
        <v>68</v>
      </c>
      <c r="Y68" s="10" t="n">
        <v>79</v>
      </c>
      <c r="Z68" s="10" t="n">
        <v>47.47</v>
      </c>
      <c r="AA68" s="10" t="n">
        <v>43.5</v>
      </c>
      <c r="AB68" s="10" t="n">
        <v>49.17</v>
      </c>
      <c r="AC68" s="10" t="n">
        <v>50.2</v>
      </c>
      <c r="AD68" s="10" t="n">
        <v>390.7</v>
      </c>
      <c r="AE68" s="10" t="n">
        <v>0.88</v>
      </c>
      <c r="AF68" s="10" t="n">
        <v>0.27</v>
      </c>
      <c r="AG68" s="10" t="n">
        <v>2.45</v>
      </c>
      <c r="AH68" s="10" t="n">
        <v>2.67</v>
      </c>
      <c r="AI68" s="10" t="inlineStr"/>
      <c r="AJ68" s="11">
        <f>IFERROR(INDEX(Country_Context!$B$2:$B$87,MATCH($C68,Country_Context!$A$2:$A$87,0)),"")</f>
        <v/>
      </c>
      <c r="AK68" s="11">
        <f>IFERROR(INDEX(Country_Context!$C$2:$C$87,MATCH($C68,Country_Context!$A$2:$A$87,0)),"")</f>
        <v/>
      </c>
      <c r="AL68" s="11">
        <f>IFERROR(INDEX(Country_Context!$D$2:$D$87,MATCH($C68,Country_Context!$A$2:$A$87,0)),"")</f>
        <v/>
      </c>
      <c r="AM68" s="11">
        <f>IFERROR(INDEX(Country_Context!$E$2:$E$87,MATCH($C68,Country_Context!$A$2:$A$87,0)),"")</f>
        <v/>
      </c>
      <c r="AN68" s="11">
        <f>IFERROR(INDEX(Country_Context!$F$2:$F$87,MATCH($C68,Country_Context!$A$2:$A$87,0)),"")</f>
        <v/>
      </c>
      <c r="AO68" s="11">
        <f>IFERROR(INDEX(Country_Context!$G$2:$G$87,MATCH($C68,Country_Context!$A$2:$A$87,0)),"")</f>
        <v/>
      </c>
      <c r="AP68" s="12" t="inlineStr">
        <is>
          <t>https://api.worldbank.org/v2/country/MEX/indicator/NY.GNP.PCAP.PP.CD?format=json&amp;mrv=10 | https://data.worldbank.org/indicator/NY.GNP.PCAP.PP.CD | https://ilostat.ilo.org/data/indicator/?id=HOW_TEMP_SEX_ECO_NB_A&amp;ref_area=MEX | +4 more</t>
        </is>
      </c>
      <c r="AQ68" s="12" t="inlineStr">
        <is>
          <t>Tier 3, Tier 4</t>
        </is>
      </c>
      <c r="AR68" s="12" t="inlineStr">
        <is>
          <t>2024-12-31</t>
        </is>
      </c>
      <c r="AS68" s="12" t="inlineStr">
        <is>
          <t>providers=world_bank_col_estimate, derived, ilo_ilostat, who_gho; fields=gross_income, rent, utilities, transit_cost; +9 additional fields</t>
        </is>
      </c>
      <c r="AT68" s="12" t="inlineStr">
        <is>
          <t>https://api.worldbank.org/v2/country/MEX/indicator/VC.IHR.PSRC.P5?format=json&amp;mrv=10 | https://api.worldbank.org/v2/country/MEX/indicator/SH.H2O.SMDW.ZS?format=json&amp;mrv=10 | https://api.worldbank.org/v2/country/MEX/indicator/IT.NET.BBND.P2?format=json&amp;mrv=10 | +1 more</t>
        </is>
      </c>
      <c r="AU68" s="12" t="inlineStr">
        <is>
          <t>Tier 3</t>
        </is>
      </c>
      <c r="AV68" s="12" t="inlineStr">
        <is>
          <t>2024-12-31</t>
        </is>
      </c>
      <c r="AW68" s="12" t="inlineStr">
        <is>
          <t>providers=world_bank, wmo_natl_met; fields=personal_safety_raw, water_sanitation_utility_raw, digital_infrastructure_raw, climate_sunlight_livability_raw</t>
        </is>
      </c>
      <c r="AX68" s="12" t="inlineStr">
        <is>
          <t>https://www.who.int/data/gho/data/indicators/indicator-details/GHO/UHC_INDEX_REPORTED | https://api.worldbank.org/v2/country/MEX/indicator/SE.TER.ENRR?format=json&amp;mrv=10 | https://api.worldbank.org/v2/country/MEX/indicator/SI.POV.GINI?format=json&amp;mrv=10 | +1 more</t>
        </is>
      </c>
      <c r="AY68" s="12" t="inlineStr">
        <is>
          <t>Tier 3</t>
        </is>
      </c>
      <c r="AZ68" s="12" t="inlineStr">
        <is>
          <t>2023-12-31</t>
        </is>
      </c>
      <c r="BA68" s="12" t="inlineStr">
        <is>
          <t>providers=who_gho, world_bank; fields=healthcare_quality_raw, education_quality_raw, equal_opportunity_raw, gini_coefficient</t>
        </is>
      </c>
      <c r="BB68" s="12" t="inlineStr">
        <is>
          <t>https://api.worldbank.org/v2/country/MEX/indicator/SM.POP.NETM?format=json&amp;mrv=10 | https://api.worldbank.org/v2/country/MEX/indicator/SG.GEN.PARL.ZS?format=json&amp;mrv=10 | https://api.worldbank.org/v2/country/MEX/indicator/ST.INT.ARVL?format=json&amp;mrv=10 | +1 more</t>
        </is>
      </c>
      <c r="BC68" s="12" t="inlineStr">
        <is>
          <t>Tier 3</t>
        </is>
      </c>
      <c r="BD68" s="12" t="inlineStr">
        <is>
          <t>2025-12-31</t>
        </is>
      </c>
      <c r="BE68" s="12" t="inlineStr">
        <is>
          <t>providers=world_bank; fields=hospitality_belonging_raw, tolerance_pluralism_raw, cultural_public_life_raw, birth_rate_optimism_raw</t>
        </is>
      </c>
      <c r="BF68" s="12" t="inlineStr">
        <is>
          <t>https://api.worldbank.org/v2/country/MEX/indicator/IC.BUS.NDNS.ZS?format=json&amp;mrv=10 | https://api.worldbank.org/v2/country/MEX/indicator/GB.XPD.RSDV.GD.ZS?format=json&amp;mrv=10 | https://api.worldbank.org/v2/country/MEX/indicator/BX.KLT.DINV.WD.GD.ZS?format=json&amp;mrv=10 | +3 more</t>
        </is>
      </c>
      <c r="BG68" s="12" t="inlineStr">
        <is>
          <t>Tier 3</t>
        </is>
      </c>
      <c r="BH68" s="12" t="inlineStr">
        <is>
          <t>2024-12-31</t>
        </is>
      </c>
      <c r="BI68" s="12" t="inlineStr">
        <is>
          <t>providers=world_bank; fields=entrepreneurial_dynamism_raw, innovation_research_intensity_raw, investment_signal_raw, administrative_investment_friction_raw; +2 additional fields</t>
        </is>
      </c>
      <c r="BJ68" s="9" t="n">
        <v>1.8</v>
      </c>
    </row>
    <row r="69">
      <c r="A69" s="9" t="inlineStr">
        <is>
          <t>pr-san-juan</t>
        </is>
      </c>
      <c r="B69" s="9" t="inlineStr">
        <is>
          <t>San Juan</t>
        </is>
      </c>
      <c r="C69" s="9" t="inlineStr">
        <is>
          <t>Puerto Rico</t>
        </is>
      </c>
      <c r="D69" s="9" t="inlineStr">
        <is>
          <t>North America</t>
        </is>
      </c>
      <c r="E69" s="9" t="inlineStr">
        <is>
          <t>secondary</t>
        </is>
      </c>
      <c r="F69" s="9" t="inlineStr">
        <is>
          <t>provisional</t>
        </is>
      </c>
      <c r="G69" s="10" t="n">
        <v>2838.33</v>
      </c>
      <c r="H69" s="10" t="n">
        <v>1043.09</v>
      </c>
      <c r="I69" s="10" t="n">
        <v>208.62</v>
      </c>
      <c r="J69" s="10" t="n">
        <v>149.01</v>
      </c>
      <c r="K69" s="10" t="n">
        <v>59.6</v>
      </c>
      <c r="L69" s="10" t="n">
        <v>447.04</v>
      </c>
      <c r="M69" s="11" t="inlineStr"/>
      <c r="N69" s="10" t="n">
        <v>36.7501</v>
      </c>
      <c r="O69" s="10" t="inlineStr"/>
      <c r="P69" s="11">
        <f>IF($O69&lt;&gt;"",$O69,$AO69)</f>
        <v/>
      </c>
      <c r="Q69" s="10" t="n">
        <v>35.79</v>
      </c>
      <c r="R69" s="10" t="n">
        <v>5.42</v>
      </c>
      <c r="S69" s="10" t="n">
        <v>14.59</v>
      </c>
      <c r="T69" s="10" t="inlineStr"/>
      <c r="U69" s="10" t="inlineStr"/>
      <c r="V69" s="10" t="n">
        <v>98.94</v>
      </c>
      <c r="W69" s="10" t="n">
        <v>23.16</v>
      </c>
      <c r="X69" s="9" t="inlineStr"/>
      <c r="Y69" s="10" t="inlineStr"/>
      <c r="Z69" s="10" t="n">
        <v>77.93000000000001</v>
      </c>
      <c r="AA69" s="10" t="inlineStr"/>
      <c r="AB69" s="10" t="n">
        <v>51.72</v>
      </c>
      <c r="AC69" s="10" t="inlineStr"/>
      <c r="AD69" s="10" t="n">
        <v>1211.88</v>
      </c>
      <c r="AE69" s="10" t="n">
        <v>5.31</v>
      </c>
      <c r="AF69" s="10" t="inlineStr"/>
      <c r="AG69" s="10" t="inlineStr"/>
      <c r="AH69" s="10" t="n">
        <v>1.86</v>
      </c>
      <c r="AI69" s="10" t="inlineStr"/>
      <c r="AJ69" s="11">
        <f>IFERROR(INDEX(Country_Context!$B$2:$B$87,MATCH($C69,Country_Context!$A$2:$A$87,0)),"")</f>
        <v/>
      </c>
      <c r="AK69" s="11">
        <f>IFERROR(INDEX(Country_Context!$C$2:$C$87,MATCH($C69,Country_Context!$A$2:$A$87,0)),"")</f>
        <v/>
      </c>
      <c r="AL69" s="11">
        <f>IFERROR(INDEX(Country_Context!$D$2:$D$87,MATCH($C69,Country_Context!$A$2:$A$87,0)),"")</f>
        <v/>
      </c>
      <c r="AM69" s="11">
        <f>IFERROR(INDEX(Country_Context!$E$2:$E$87,MATCH($C69,Country_Context!$A$2:$A$87,0)),"")</f>
        <v/>
      </c>
      <c r="AN69" s="11">
        <f>IFERROR(INDEX(Country_Context!$F$2:$F$87,MATCH($C69,Country_Context!$A$2:$A$87,0)),"")</f>
        <v/>
      </c>
      <c r="AO69" s="11">
        <f>IFERROR(INDEX(Country_Context!$G$2:$G$87,MATCH($C69,Country_Context!$A$2:$A$87,0)),"")</f>
        <v/>
      </c>
      <c r="AP69" s="12" t="inlineStr">
        <is>
          <t>https://api.worldbank.org/v2/country/PRI/indicator/NY.GNP.PCAP.PP.CD?format=json&amp;mrv=10 | https://data.worldbank.org/indicator/NY.GNP.PCAP.PP.CD | https://ilostat.ilo.org/data/indicator/?id=HOW_TEMP_SEX_ECO_NB_A&amp;ref_area=PRI | +2 more</t>
        </is>
      </c>
      <c r="AQ69" s="12" t="inlineStr">
        <is>
          <t>Tier 3, Tier 4</t>
        </is>
      </c>
      <c r="AR69" s="12" t="inlineStr">
        <is>
          <t>2024-12-31</t>
        </is>
      </c>
      <c r="AS69" s="12" t="inlineStr">
        <is>
          <t>providers=world_bank_col_estimate, derived, ilo_ilostat, who_gho; fields=gross_income, rent, utilities, transit_cost; +6 additional fields</t>
        </is>
      </c>
      <c r="AT69" s="12" t="inlineStr">
        <is>
          <t>https://api.worldbank.org/v2/country/PRI/indicator/VC.IHR.PSRC.P5?format=json&amp;mrv=10 | https://api.worldbank.org/v2/country/PRI/indicator/SH.H2O.SMDW.ZS?format=json&amp;mrv=10 | https://api.worldbank.org/v2/country/PRI/indicator/IT.NET.BBND.P2?format=json&amp;mrv=10</t>
        </is>
      </c>
      <c r="AU69" s="12" t="inlineStr">
        <is>
          <t>Tier 3</t>
        </is>
      </c>
      <c r="AV69" s="12" t="inlineStr">
        <is>
          <t>2024-12-31</t>
        </is>
      </c>
      <c r="AW69" s="12" t="inlineStr">
        <is>
          <t>providers=world_bank; fields=personal_safety_raw, water_sanitation_utility_raw, digital_infrastructure_raw</t>
        </is>
      </c>
      <c r="AX69" s="12" t="inlineStr">
        <is>
          <t>https://api.worldbank.org/v2/country/PRI/indicator/SE.TER.ENRR?format=json&amp;mrv=10</t>
        </is>
      </c>
      <c r="AY69" s="12" t="inlineStr">
        <is>
          <t>Tier 3</t>
        </is>
      </c>
      <c r="AZ69" s="12" t="inlineStr">
        <is>
          <t>2023-12-31</t>
        </is>
      </c>
      <c r="BA69" s="12" t="inlineStr">
        <is>
          <t>providers=world_bank; fields=education_quality_raw</t>
        </is>
      </c>
      <c r="BB69" s="12" t="inlineStr">
        <is>
          <t>https://api.worldbank.org/v2/country/PRI/indicator/SM.POP.NETM?format=json&amp;mrv=10 | https://api.worldbank.org/v2/country/PRI/indicator/ST.INT.ARVL?format=json&amp;mrv=10</t>
        </is>
      </c>
      <c r="BC69" s="12" t="inlineStr">
        <is>
          <t>Tier 3</t>
        </is>
      </c>
      <c r="BD69" s="12" t="inlineStr">
        <is>
          <t>2025-12-31</t>
        </is>
      </c>
      <c r="BE69" s="12" t="inlineStr">
        <is>
          <t>providers=world_bank; fields=hospitality_belonging_raw, cultural_public_life_raw</t>
        </is>
      </c>
      <c r="BF69" s="12" t="inlineStr">
        <is>
          <t>https://api.worldbank.org/v2/country/PRI/indicator/IC.BUS.NDNS.ZS?format=json&amp;mrv=10 | https://api.worldbank.org/v2/country/PRI/indicator/RQ.EST?format=json&amp;mrv=10 | https://api.worldbank.org/v2/country/PRI/indicator/NY.GDP.PCAP.PP.CD?format=json&amp;mrv=30 | +1 more</t>
        </is>
      </c>
      <c r="BG69" s="12" t="inlineStr">
        <is>
          <t>Tier 3</t>
        </is>
      </c>
      <c r="BH69" s="12" t="inlineStr">
        <is>
          <t>2024-12-31</t>
        </is>
      </c>
      <c r="BI69" s="12" t="inlineStr">
        <is>
          <t>providers=world_bank; fields=entrepreneurial_dynamism_raw, administrative_investment_friction_raw, gdp_per_capita_ppp, gdp_growth</t>
        </is>
      </c>
      <c r="BJ69" s="9" t="inlineStr"/>
    </row>
    <row r="70">
      <c r="A70" s="9" t="inlineStr">
        <is>
          <t>mx-merida</t>
        </is>
      </c>
      <c r="B70" s="9" t="inlineStr">
        <is>
          <t>Merida</t>
        </is>
      </c>
      <c r="C70" s="9" t="inlineStr">
        <is>
          <t>Mexico</t>
        </is>
      </c>
      <c r="D70" s="9" t="inlineStr">
        <is>
          <t>North America</t>
        </is>
      </c>
      <c r="E70" s="9" t="inlineStr">
        <is>
          <t>secondary</t>
        </is>
      </c>
      <c r="F70" s="9" t="inlineStr">
        <is>
          <t>provisional</t>
        </is>
      </c>
      <c r="G70" s="10" t="n">
        <v>2121.67</v>
      </c>
      <c r="H70" s="10" t="n">
        <v>556.9400000000001</v>
      </c>
      <c r="I70" s="10" t="n">
        <v>111.39</v>
      </c>
      <c r="J70" s="10" t="n">
        <v>79.56</v>
      </c>
      <c r="K70" s="10" t="n">
        <v>31.83</v>
      </c>
      <c r="L70" s="10" t="n">
        <v>238.69</v>
      </c>
      <c r="M70" s="11" t="inlineStr"/>
      <c r="N70" s="10" t="n">
        <v>26.2501</v>
      </c>
      <c r="O70" s="10" t="n">
        <v>26.5628</v>
      </c>
      <c r="P70" s="11">
        <f>IF($O70&lt;&gt;"",$O70,$AO70)</f>
        <v/>
      </c>
      <c r="Q70" s="10" t="n">
        <v>42.19</v>
      </c>
      <c r="R70" s="10" t="n">
        <v>6.95</v>
      </c>
      <c r="S70" s="10" t="n">
        <v>24.86</v>
      </c>
      <c r="T70" s="10" t="inlineStr"/>
      <c r="U70" s="10" t="inlineStr"/>
      <c r="V70" s="10" t="n">
        <v>42.97</v>
      </c>
      <c r="W70" s="10" t="n">
        <v>20.09</v>
      </c>
      <c r="X70" s="9" t="inlineStr"/>
      <c r="Y70" s="10" t="n">
        <v>79</v>
      </c>
      <c r="Z70" s="10" t="n">
        <v>47.47</v>
      </c>
      <c r="AA70" s="10" t="n">
        <v>43.5</v>
      </c>
      <c r="AB70" s="10" t="n">
        <v>49.17</v>
      </c>
      <c r="AC70" s="10" t="n">
        <v>50.2</v>
      </c>
      <c r="AD70" s="10" t="n">
        <v>390.7</v>
      </c>
      <c r="AE70" s="10" t="n">
        <v>0.88</v>
      </c>
      <c r="AF70" s="10" t="n">
        <v>0.27</v>
      </c>
      <c r="AG70" s="10" t="n">
        <v>2.45</v>
      </c>
      <c r="AH70" s="10" t="n">
        <v>2.67</v>
      </c>
      <c r="AI70" s="10" t="inlineStr"/>
      <c r="AJ70" s="11">
        <f>IFERROR(INDEX(Country_Context!$B$2:$B$87,MATCH($C70,Country_Context!$A$2:$A$87,0)),"")</f>
        <v/>
      </c>
      <c r="AK70" s="11">
        <f>IFERROR(INDEX(Country_Context!$C$2:$C$87,MATCH($C70,Country_Context!$A$2:$A$87,0)),"")</f>
        <v/>
      </c>
      <c r="AL70" s="11">
        <f>IFERROR(INDEX(Country_Context!$D$2:$D$87,MATCH($C70,Country_Context!$A$2:$A$87,0)),"")</f>
        <v/>
      </c>
      <c r="AM70" s="11">
        <f>IFERROR(INDEX(Country_Context!$E$2:$E$87,MATCH($C70,Country_Context!$A$2:$A$87,0)),"")</f>
        <v/>
      </c>
      <c r="AN70" s="11">
        <f>IFERROR(INDEX(Country_Context!$F$2:$F$87,MATCH($C70,Country_Context!$A$2:$A$87,0)),"")</f>
        <v/>
      </c>
      <c r="AO70" s="11">
        <f>IFERROR(INDEX(Country_Context!$G$2:$G$87,MATCH($C70,Country_Context!$A$2:$A$87,0)),"")</f>
        <v/>
      </c>
      <c r="AP70" s="12" t="inlineStr">
        <is>
          <t>https://api.worldbank.org/v2/country/MEX/indicator/NY.GNP.PCAP.PP.CD?format=json&amp;mrv=10 | https://data.worldbank.org/indicator/NY.GNP.PCAP.PP.CD | https://ilostat.ilo.org/data/indicator/?id=HOW_TEMP_SEX_ECO_NB_A&amp;ref_area=MEX | +4 more</t>
        </is>
      </c>
      <c r="AQ70" s="12" t="inlineStr">
        <is>
          <t>Tier 3, Tier 4</t>
        </is>
      </c>
      <c r="AR70" s="12" t="inlineStr">
        <is>
          <t>2024-12-31</t>
        </is>
      </c>
      <c r="AS70" s="12" t="inlineStr">
        <is>
          <t>providers=world_bank_col_estimate, derived, ilo_ilostat, who_gho; fields=gross_income, rent, utilities, transit_cost; +9 additional fields</t>
        </is>
      </c>
      <c r="AT70" s="12" t="inlineStr">
        <is>
          <t>https://api.worldbank.org/v2/country/MEX/indicator/VC.IHR.PSRC.P5?format=json&amp;mrv=10 | https://api.worldbank.org/v2/country/MEX/indicator/SH.H2O.SMDW.ZS?format=json&amp;mrv=10 | https://api.worldbank.org/v2/country/MEX/indicator/IT.NET.BBND.P2?format=json&amp;mrv=10</t>
        </is>
      </c>
      <c r="AU70" s="12" t="inlineStr">
        <is>
          <t>Tier 3</t>
        </is>
      </c>
      <c r="AV70" s="12" t="inlineStr">
        <is>
          <t>2024-12-31</t>
        </is>
      </c>
      <c r="AW70" s="12" t="inlineStr">
        <is>
          <t>providers=world_bank; fields=personal_safety_raw, water_sanitation_utility_raw, digital_infrastructure_raw</t>
        </is>
      </c>
      <c r="AX70" s="12" t="inlineStr">
        <is>
          <t>https://www.who.int/data/gho/data/indicators/indicator-details/GHO/UHC_INDEX_REPORTED | https://api.worldbank.org/v2/country/MEX/indicator/SE.TER.ENRR?format=json&amp;mrv=10 | https://api.worldbank.org/v2/country/MEX/indicator/SI.POV.GINI?format=json&amp;mrv=10 | +1 more</t>
        </is>
      </c>
      <c r="AY70" s="12" t="inlineStr">
        <is>
          <t>Tier 3</t>
        </is>
      </c>
      <c r="AZ70" s="12" t="inlineStr">
        <is>
          <t>2023-12-31</t>
        </is>
      </c>
      <c r="BA70" s="12" t="inlineStr">
        <is>
          <t>providers=who_gho, world_bank; fields=healthcare_quality_raw, education_quality_raw, equal_opportunity_raw, gini_coefficient</t>
        </is>
      </c>
      <c r="BB70" s="12" t="inlineStr">
        <is>
          <t>https://api.worldbank.org/v2/country/MEX/indicator/SM.POP.NETM?format=json&amp;mrv=10 | https://api.worldbank.org/v2/country/MEX/indicator/SG.GEN.PARL.ZS?format=json&amp;mrv=10 | https://api.worldbank.org/v2/country/MEX/indicator/ST.INT.ARVL?format=json&amp;mrv=10 | +1 more</t>
        </is>
      </c>
      <c r="BC70" s="12" t="inlineStr">
        <is>
          <t>Tier 3</t>
        </is>
      </c>
      <c r="BD70" s="12" t="inlineStr">
        <is>
          <t>2025-12-31</t>
        </is>
      </c>
      <c r="BE70" s="12" t="inlineStr">
        <is>
          <t>providers=world_bank; fields=hospitality_belonging_raw, tolerance_pluralism_raw, cultural_public_life_raw, birth_rate_optimism_raw</t>
        </is>
      </c>
      <c r="BF70" s="12" t="inlineStr">
        <is>
          <t>https://api.worldbank.org/v2/country/MEX/indicator/IC.BUS.NDNS.ZS?format=json&amp;mrv=10 | https://api.worldbank.org/v2/country/MEX/indicator/GB.XPD.RSDV.GD.ZS?format=json&amp;mrv=10 | https://api.worldbank.org/v2/country/MEX/indicator/BX.KLT.DINV.WD.GD.ZS?format=json&amp;mrv=10 | +3 more</t>
        </is>
      </c>
      <c r="BG70" s="12" t="inlineStr">
        <is>
          <t>Tier 3</t>
        </is>
      </c>
      <c r="BH70" s="12" t="inlineStr">
        <is>
          <t>2024-12-31</t>
        </is>
      </c>
      <c r="BI70" s="12" t="inlineStr">
        <is>
          <t>providers=world_bank; fields=entrepreneurial_dynamism_raw, innovation_research_intensity_raw, investment_signal_raw, administrative_investment_friction_raw; +2 additional fields</t>
        </is>
      </c>
      <c r="BJ70" s="9" t="n">
        <v>1.8</v>
      </c>
    </row>
    <row r="71">
      <c r="A71" s="9" t="inlineStr">
        <is>
          <t>br-sao-paulo</t>
        </is>
      </c>
      <c r="B71" s="9" t="inlineStr">
        <is>
          <t>Sao Paulo</t>
        </is>
      </c>
      <c r="C71" s="9" t="inlineStr">
        <is>
          <t>Brazil</t>
        </is>
      </c>
      <c r="D71" s="9" t="inlineStr">
        <is>
          <t>Latin America</t>
        </is>
      </c>
      <c r="E71" s="9" t="inlineStr">
        <is>
          <t>primary</t>
        </is>
      </c>
      <c r="F71" s="9" t="inlineStr">
        <is>
          <t>locked</t>
        </is>
      </c>
      <c r="G71" s="10" t="n">
        <v>2159</v>
      </c>
      <c r="H71" s="10" t="n">
        <v>647.7</v>
      </c>
      <c r="I71" s="10" t="n">
        <v>155.45</v>
      </c>
      <c r="J71" s="10" t="n">
        <v>103.63</v>
      </c>
      <c r="K71" s="10" t="n">
        <v>38.86</v>
      </c>
      <c r="L71" s="10" t="n">
        <v>569.98</v>
      </c>
      <c r="M71" s="11" t="inlineStr"/>
      <c r="N71" s="10" t="n">
        <v>30</v>
      </c>
      <c r="O71" s="10" t="n">
        <v>75.6164</v>
      </c>
      <c r="P71" s="11">
        <f>IF($O71&lt;&gt;"",$O71,$AO71)</f>
        <v/>
      </c>
      <c r="Q71" s="10" t="n">
        <v>38.86</v>
      </c>
      <c r="R71" s="10" t="n">
        <v>7.59</v>
      </c>
      <c r="S71" s="10" t="n">
        <v>19.28</v>
      </c>
      <c r="T71" s="10" t="inlineStr"/>
      <c r="U71" s="10" t="inlineStr"/>
      <c r="V71" s="10" t="n">
        <v>88.62</v>
      </c>
      <c r="W71" s="10" t="n">
        <v>22.42</v>
      </c>
      <c r="X71" s="9" t="n">
        <v>60</v>
      </c>
      <c r="Y71" s="10" t="n">
        <v>84</v>
      </c>
      <c r="Z71" s="10" t="n">
        <v>60.39</v>
      </c>
      <c r="AA71" s="10" t="n">
        <v>51.6</v>
      </c>
      <c r="AB71" s="10" t="n">
        <v>48.98</v>
      </c>
      <c r="AC71" s="10" t="n">
        <v>17.54</v>
      </c>
      <c r="AD71" s="10" t="n">
        <v>29.97</v>
      </c>
      <c r="AE71" s="10" t="n">
        <v>5.1</v>
      </c>
      <c r="AF71" s="10" t="n">
        <v>1.15</v>
      </c>
      <c r="AG71" s="10" t="n">
        <v>3.39</v>
      </c>
      <c r="AH71" s="10" t="n">
        <v>2.8</v>
      </c>
      <c r="AI71" s="10" t="inlineStr"/>
      <c r="AJ71" s="11">
        <f>IFERROR(INDEX(Country_Context!$B$2:$B$87,MATCH($C71,Country_Context!$A$2:$A$87,0)),"")</f>
        <v/>
      </c>
      <c r="AK71" s="11">
        <f>IFERROR(INDEX(Country_Context!$C$2:$C$87,MATCH($C71,Country_Context!$A$2:$A$87,0)),"")</f>
        <v/>
      </c>
      <c r="AL71" s="11">
        <f>IFERROR(INDEX(Country_Context!$D$2:$D$87,MATCH($C71,Country_Context!$A$2:$A$87,0)),"")</f>
        <v/>
      </c>
      <c r="AM71" s="11">
        <f>IFERROR(INDEX(Country_Context!$E$2:$E$87,MATCH($C71,Country_Context!$A$2:$A$87,0)),"")</f>
        <v/>
      </c>
      <c r="AN71" s="11">
        <f>IFERROR(INDEX(Country_Context!$F$2:$F$87,MATCH($C71,Country_Context!$A$2:$A$87,0)),"")</f>
        <v/>
      </c>
      <c r="AO71" s="11">
        <f>IFERROR(INDEX(Country_Context!$G$2:$G$87,MATCH($C71,Country_Context!$A$2:$A$87,0)),"")</f>
        <v/>
      </c>
      <c r="AP71" s="12" t="inlineStr">
        <is>
          <t>https://api.worldbank.org/v2/country/BRA/indicator/NY.GNP.PCAP.PP.CD?format=json&amp;mrv=10 | https://data.worldbank.org/indicator/NY.GNP.PCAP.PP.CD | https://ilostat.ilo.org/data/indicator/?id=HOW_TEMP_SEX_ECO_NB_A&amp;ref_area=BRA | +4 more</t>
        </is>
      </c>
      <c r="AQ71" s="12" t="inlineStr">
        <is>
          <t>Tier 3, Tier 4</t>
        </is>
      </c>
      <c r="AR71" s="12" t="inlineStr">
        <is>
          <t>2025-12-31</t>
        </is>
      </c>
      <c r="AS71" s="12" t="inlineStr">
        <is>
          <t>providers=world_bank_col_estimate, derived, ilo_ilostat, who_gho; fields=gross_income, rent, utilities, transit_cost; +9 additional fields</t>
        </is>
      </c>
      <c r="AT71" s="12" t="inlineStr">
        <is>
          <t>https://api.worldbank.org/v2/country/BRA/indicator/VC.IHR.PSRC.P5?format=json&amp;mrv=10 | https://api.worldbank.org/v2/country/BRA/indicator/SH.H2O.SMDW.ZS?format=json&amp;mrv=10 | https://api.worldbank.org/v2/country/BRA/indicator/IT.NET.BBND.P2?format=json&amp;mrv=10 | +1 more</t>
        </is>
      </c>
      <c r="AU71" s="12" t="inlineStr">
        <is>
          <t>Tier 3</t>
        </is>
      </c>
      <c r="AV71" s="12" t="inlineStr">
        <is>
          <t>2024-12-31</t>
        </is>
      </c>
      <c r="AW71" s="12" t="inlineStr">
        <is>
          <t>providers=world_bank, wmo_natl_met; fields=personal_safety_raw, water_sanitation_utility_raw, digital_infrastructure_raw, climate_sunlight_livability_raw</t>
        </is>
      </c>
      <c r="AX71" s="12" t="inlineStr">
        <is>
          <t>https://www.who.int/data/gho/data/indicators/indicator-details/GHO/UHC_INDEX_REPORTED | https://api.worldbank.org/v2/country/BRA/indicator/SE.TER.ENRR?format=json&amp;mrv=10 | https://api.worldbank.org/v2/country/BRA/indicator/SI.POV.GINI?format=json&amp;mrv=10 | +1 more</t>
        </is>
      </c>
      <c r="AY71" s="12" t="inlineStr">
        <is>
          <t>Tier 3</t>
        </is>
      </c>
      <c r="AZ71" s="12" t="inlineStr">
        <is>
          <t>2023-12-31</t>
        </is>
      </c>
      <c r="BA71" s="12" t="inlineStr">
        <is>
          <t>providers=who_gho, world_bank; fields=healthcare_quality_raw, education_quality_raw, equal_opportunity_raw, gini_coefficient</t>
        </is>
      </c>
      <c r="BB71" s="12" t="inlineStr">
        <is>
          <t>https://api.worldbank.org/v2/country/BRA/indicator/SM.POP.NETM?format=json&amp;mrv=10 | https://api.worldbank.org/v2/country/BRA/indicator/SG.GEN.PARL.ZS?format=json&amp;mrv=10 | https://api.worldbank.org/v2/country/BRA/indicator/ST.INT.ARVL?format=json&amp;mrv=10 | +1 more</t>
        </is>
      </c>
      <c r="BC71" s="12" t="inlineStr">
        <is>
          <t>Tier 3</t>
        </is>
      </c>
      <c r="BD71" s="12" t="inlineStr">
        <is>
          <t>2025-12-31</t>
        </is>
      </c>
      <c r="BE71" s="12" t="inlineStr">
        <is>
          <t>providers=world_bank; fields=hospitality_belonging_raw, tolerance_pluralism_raw, cultural_public_life_raw, birth_rate_optimism_raw</t>
        </is>
      </c>
      <c r="BF71" s="12" t="inlineStr">
        <is>
          <t>https://api.worldbank.org/v2/country/BRA/indicator/IC.BUS.NDNS.ZS?format=json&amp;mrv=10 | https://api.worldbank.org/v2/country/BRA/indicator/GB.XPD.RSDV.GD.ZS?format=json&amp;mrv=10 | https://api.worldbank.org/v2/country/BRA/indicator/BX.KLT.DINV.WD.GD.ZS?format=json&amp;mrv=10 | +3 more</t>
        </is>
      </c>
      <c r="BG71" s="12" t="inlineStr">
        <is>
          <t>Tier 3</t>
        </is>
      </c>
      <c r="BH71" s="12" t="inlineStr">
        <is>
          <t>2024-12-31</t>
        </is>
      </c>
      <c r="BI71" s="12" t="inlineStr">
        <is>
          <t>providers=world_bank; fields=entrepreneurial_dynamism_raw, innovation_research_intensity_raw, investment_signal_raw, administrative_investment_friction_raw; +2 additional fields</t>
        </is>
      </c>
      <c r="BJ71" s="9" t="n">
        <v>1.64</v>
      </c>
    </row>
    <row r="72">
      <c r="A72" s="9" t="inlineStr">
        <is>
          <t>ar-buenos-aires</t>
        </is>
      </c>
      <c r="B72" s="9" t="inlineStr">
        <is>
          <t>Buenos Aires</t>
        </is>
      </c>
      <c r="C72" s="9" t="inlineStr">
        <is>
          <t>Argentina</t>
        </is>
      </c>
      <c r="D72" s="9" t="inlineStr">
        <is>
          <t>Latin America</t>
        </is>
      </c>
      <c r="E72" s="9" t="inlineStr">
        <is>
          <t>primary</t>
        </is>
      </c>
      <c r="F72" s="9" t="inlineStr">
        <is>
          <t>locked</t>
        </is>
      </c>
      <c r="G72" s="10" t="n">
        <v>2483.33</v>
      </c>
      <c r="H72" s="10" t="n">
        <v>713.96</v>
      </c>
      <c r="I72" s="10" t="n">
        <v>171.35</v>
      </c>
      <c r="J72" s="10" t="n">
        <v>114.23</v>
      </c>
      <c r="K72" s="10" t="n">
        <v>42.84</v>
      </c>
      <c r="L72" s="10" t="n">
        <v>628.28</v>
      </c>
      <c r="M72" s="11" t="inlineStr"/>
      <c r="N72" s="10" t="n">
        <v>28.7501</v>
      </c>
      <c r="O72" s="10" t="n">
        <v>13.0788</v>
      </c>
      <c r="P72" s="11">
        <f>IF($O72&lt;&gt;"",$O72,$AO72)</f>
        <v/>
      </c>
      <c r="Q72" s="10" t="n">
        <v>36.45</v>
      </c>
      <c r="R72" s="10" t="n">
        <v>7.94</v>
      </c>
      <c r="S72" s="10" t="n">
        <v>4.49</v>
      </c>
      <c r="T72" s="10" t="inlineStr"/>
      <c r="U72" s="10" t="inlineStr"/>
      <c r="V72" s="10" t="inlineStr"/>
      <c r="W72" s="10" t="n">
        <v>25.36</v>
      </c>
      <c r="X72" s="9" t="n">
        <v>62</v>
      </c>
      <c r="Y72" s="10" t="n">
        <v>80</v>
      </c>
      <c r="Z72" s="10" t="n">
        <v>107.82</v>
      </c>
      <c r="AA72" s="10" t="n">
        <v>42.4</v>
      </c>
      <c r="AB72" s="10" t="n">
        <v>50.06</v>
      </c>
      <c r="AC72" s="10" t="n">
        <v>42.41</v>
      </c>
      <c r="AD72" s="10" t="n">
        <v>161.92</v>
      </c>
      <c r="AE72" s="10" t="n">
        <v>0.2</v>
      </c>
      <c r="AF72" s="10" t="n">
        <v>0.55</v>
      </c>
      <c r="AG72" s="10" t="n">
        <v>1.82</v>
      </c>
      <c r="AH72" s="10" t="n">
        <v>2.98</v>
      </c>
      <c r="AI72" s="10" t="inlineStr"/>
      <c r="AJ72" s="11">
        <f>IFERROR(INDEX(Country_Context!$B$2:$B$87,MATCH($C72,Country_Context!$A$2:$A$87,0)),"")</f>
        <v/>
      </c>
      <c r="AK72" s="11">
        <f>IFERROR(INDEX(Country_Context!$C$2:$C$87,MATCH($C72,Country_Context!$A$2:$A$87,0)),"")</f>
        <v/>
      </c>
      <c r="AL72" s="11">
        <f>IFERROR(INDEX(Country_Context!$D$2:$D$87,MATCH($C72,Country_Context!$A$2:$A$87,0)),"")</f>
        <v/>
      </c>
      <c r="AM72" s="11">
        <f>IFERROR(INDEX(Country_Context!$E$2:$E$87,MATCH($C72,Country_Context!$A$2:$A$87,0)),"")</f>
        <v/>
      </c>
      <c r="AN72" s="11">
        <f>IFERROR(INDEX(Country_Context!$F$2:$F$87,MATCH($C72,Country_Context!$A$2:$A$87,0)),"")</f>
        <v/>
      </c>
      <c r="AO72" s="11">
        <f>IFERROR(INDEX(Country_Context!$G$2:$G$87,MATCH($C72,Country_Context!$A$2:$A$87,0)),"")</f>
        <v/>
      </c>
      <c r="AP72" s="12" t="inlineStr">
        <is>
          <t>https://api.worldbank.org/v2/country/ARG/indicator/NY.GNP.PCAP.PP.CD?format=json&amp;mrv=10 | https://data.worldbank.org/indicator/NY.GNP.PCAP.PP.CD | https://ilostat.ilo.org/data/indicator/?id=HOW_TEMP_SEX_ECO_NB_A&amp;ref_area=ARG | +4 more</t>
        </is>
      </c>
      <c r="AQ72" s="12" t="inlineStr">
        <is>
          <t>Tier 3, Tier 4</t>
        </is>
      </c>
      <c r="AR72" s="12" t="inlineStr">
        <is>
          <t>2024-12-31</t>
        </is>
      </c>
      <c r="AS72" s="12" t="inlineStr">
        <is>
          <t>providers=world_bank_col_estimate, derived, ilo_ilostat, who_gho; fields=gross_income, rent, utilities, transit_cost; +9 additional fields</t>
        </is>
      </c>
      <c r="AT72" s="12" t="inlineStr">
        <is>
          <t>https://api.worldbank.org/v2/country/ARG/indicator/VC.IHR.PSRC.P5?format=json&amp;mrv=10 | https://api.worldbank.org/v2/country/ARG/indicator/IT.NET.BBND.P2?format=json&amp;mrv=10 | https://worldweather.wmo.int</t>
        </is>
      </c>
      <c r="AU72" s="12" t="inlineStr">
        <is>
          <t>Tier 3</t>
        </is>
      </c>
      <c r="AV72" s="12" t="inlineStr">
        <is>
          <t>2024-12-31</t>
        </is>
      </c>
      <c r="AW72" s="12" t="inlineStr">
        <is>
          <t>providers=world_bank, wmo_natl_met; fields=personal_safety_raw, digital_infrastructure_raw, climate_sunlight_livability_raw</t>
        </is>
      </c>
      <c r="AX72" s="12" t="inlineStr">
        <is>
          <t>https://www.who.int/data/gho/data/indicators/indicator-details/GHO/UHC_INDEX_REPORTED | https://api.worldbank.org/v2/country/ARG/indicator/SE.TER.ENRR?format=json&amp;mrv=10 | https://api.worldbank.org/v2/country/ARG/indicator/SI.POV.GINI?format=json&amp;mrv=10 | +1 more</t>
        </is>
      </c>
      <c r="AY72" s="12" t="inlineStr">
        <is>
          <t>Tier 3</t>
        </is>
      </c>
      <c r="AZ72" s="12" t="inlineStr">
        <is>
          <t>2024-12-31</t>
        </is>
      </c>
      <c r="BA72" s="12" t="inlineStr">
        <is>
          <t>providers=who_gho, world_bank; fields=healthcare_quality_raw, education_quality_raw, equal_opportunity_raw, gini_coefficient</t>
        </is>
      </c>
      <c r="BB72" s="12" t="inlineStr">
        <is>
          <t>https://api.worldbank.org/v2/country/ARG/indicator/SM.POP.NETM?format=json&amp;mrv=10 | https://api.worldbank.org/v2/country/ARG/indicator/SG.GEN.PARL.ZS?format=json&amp;mrv=10 | https://api.worldbank.org/v2/country/ARG/indicator/ST.INT.ARVL?format=json&amp;mrv=10 | +1 more</t>
        </is>
      </c>
      <c r="BC72" s="12" t="inlineStr">
        <is>
          <t>Tier 3</t>
        </is>
      </c>
      <c r="BD72" s="12" t="inlineStr">
        <is>
          <t>2025-12-31</t>
        </is>
      </c>
      <c r="BE72" s="12" t="inlineStr">
        <is>
          <t>providers=world_bank; fields=hospitality_belonging_raw, tolerance_pluralism_raw, cultural_public_life_raw, birth_rate_optimism_raw</t>
        </is>
      </c>
      <c r="BF72" s="12" t="inlineStr">
        <is>
          <t>https://api.worldbank.org/v2/country/ARG/indicator/IC.BUS.NDNS.ZS?format=json&amp;mrv=10 | https://api.worldbank.org/v2/country/ARG/indicator/GB.XPD.RSDV.GD.ZS?format=json&amp;mrv=10 | https://api.worldbank.org/v2/country/ARG/indicator/BX.KLT.DINV.WD.GD.ZS?format=json&amp;mrv=10 | +3 more</t>
        </is>
      </c>
      <c r="BG72" s="12" t="inlineStr">
        <is>
          <t>Tier 3</t>
        </is>
      </c>
      <c r="BH72" s="12" t="inlineStr">
        <is>
          <t>2024-12-31</t>
        </is>
      </c>
      <c r="BI72" s="12" t="inlineStr">
        <is>
          <t>providers=world_bank; fields=entrepreneurial_dynamism_raw, innovation_research_intensity_raw, investment_signal_raw, administrative_investment_friction_raw; +2 additional fields</t>
        </is>
      </c>
      <c r="BJ72" s="9" t="n">
        <v>1.56</v>
      </c>
    </row>
    <row r="73">
      <c r="A73" s="9" t="inlineStr">
        <is>
          <t>cl-santiago</t>
        </is>
      </c>
      <c r="B73" s="9" t="inlineStr">
        <is>
          <t>Santiago</t>
        </is>
      </c>
      <c r="C73" s="9" t="inlineStr">
        <is>
          <t>Chile</t>
        </is>
      </c>
      <c r="D73" s="9" t="inlineStr">
        <is>
          <t>Latin America</t>
        </is>
      </c>
      <c r="E73" s="9" t="inlineStr">
        <is>
          <t>primary</t>
        </is>
      </c>
      <c r="F73" s="9" t="inlineStr">
        <is>
          <t>locked</t>
        </is>
      </c>
      <c r="G73" s="10" t="n">
        <v>2860</v>
      </c>
      <c r="H73" s="10" t="n">
        <v>715</v>
      </c>
      <c r="I73" s="10" t="n">
        <v>171.6</v>
      </c>
      <c r="J73" s="10" t="n">
        <v>114.4</v>
      </c>
      <c r="K73" s="10" t="n">
        <v>42.9</v>
      </c>
      <c r="L73" s="10" t="n">
        <v>629.2</v>
      </c>
      <c r="M73" s="11" t="inlineStr"/>
      <c r="N73" s="10" t="n">
        <v>25</v>
      </c>
      <c r="O73" s="10" t="n">
        <v>74.9355</v>
      </c>
      <c r="P73" s="11">
        <f>IF($O73&lt;&gt;"",$O73,$AO73)</f>
        <v/>
      </c>
      <c r="Q73" s="10" t="n">
        <v>38.94</v>
      </c>
      <c r="R73" s="10" t="n">
        <v>7.69</v>
      </c>
      <c r="S73" s="10" t="n">
        <v>6.35</v>
      </c>
      <c r="T73" s="10" t="inlineStr"/>
      <c r="U73" s="10" t="inlineStr"/>
      <c r="V73" s="10" t="n">
        <v>97.81999999999999</v>
      </c>
      <c r="W73" s="10" t="n">
        <v>23</v>
      </c>
      <c r="X73" s="9" t="n">
        <v>68</v>
      </c>
      <c r="Y73" s="10" t="n">
        <v>84</v>
      </c>
      <c r="Z73" s="10" t="n">
        <v>104.73</v>
      </c>
      <c r="AA73" s="10" t="n">
        <v>43</v>
      </c>
      <c r="AB73" s="10" t="n">
        <v>52.62</v>
      </c>
      <c r="AC73" s="10" t="n">
        <v>35.48</v>
      </c>
      <c r="AD73" s="10" t="n">
        <v>274.78</v>
      </c>
      <c r="AE73" s="10" t="n">
        <v>10.82</v>
      </c>
      <c r="AF73" s="10" t="n">
        <v>0.36</v>
      </c>
      <c r="AG73" s="10" t="n">
        <v>3.79</v>
      </c>
      <c r="AH73" s="10" t="n">
        <v>1.57</v>
      </c>
      <c r="AI73" s="10" t="inlineStr"/>
      <c r="AJ73" s="11">
        <f>IFERROR(INDEX(Country_Context!$B$2:$B$87,MATCH($C73,Country_Context!$A$2:$A$87,0)),"")</f>
        <v/>
      </c>
      <c r="AK73" s="11">
        <f>IFERROR(INDEX(Country_Context!$C$2:$C$87,MATCH($C73,Country_Context!$A$2:$A$87,0)),"")</f>
        <v/>
      </c>
      <c r="AL73" s="11">
        <f>IFERROR(INDEX(Country_Context!$D$2:$D$87,MATCH($C73,Country_Context!$A$2:$A$87,0)),"")</f>
        <v/>
      </c>
      <c r="AM73" s="11">
        <f>IFERROR(INDEX(Country_Context!$E$2:$E$87,MATCH($C73,Country_Context!$A$2:$A$87,0)),"")</f>
        <v/>
      </c>
      <c r="AN73" s="11">
        <f>IFERROR(INDEX(Country_Context!$F$2:$F$87,MATCH($C73,Country_Context!$A$2:$A$87,0)),"")</f>
        <v/>
      </c>
      <c r="AO73" s="11">
        <f>IFERROR(INDEX(Country_Context!$G$2:$G$87,MATCH($C73,Country_Context!$A$2:$A$87,0)),"")</f>
        <v/>
      </c>
      <c r="AP73" s="12" t="inlineStr">
        <is>
          <t>https://api.worldbank.org/v2/country/CHL/indicator/NY.GNP.PCAP.PP.CD?format=json&amp;mrv=10 | https://data.worldbank.org/indicator/NY.GNP.PCAP.PP.CD | https://ilostat.ilo.org/data/indicator/?id=HOW_TEMP_SEX_ECO_NB_A&amp;ref_area=CHL | +4 more</t>
        </is>
      </c>
      <c r="AQ73" s="12" t="inlineStr">
        <is>
          <t>Tier 3, Tier 4</t>
        </is>
      </c>
      <c r="AR73" s="12" t="inlineStr">
        <is>
          <t>2025-12-31</t>
        </is>
      </c>
      <c r="AS73" s="12" t="inlineStr">
        <is>
          <t>providers=world_bank_col_estimate, derived, ilo_ilostat, who_gho; fields=gross_income, rent, utilities, transit_cost; +9 additional fields</t>
        </is>
      </c>
      <c r="AT73" s="12" t="inlineStr">
        <is>
          <t>https://api.worldbank.org/v2/country/CHL/indicator/VC.IHR.PSRC.P5?format=json&amp;mrv=10 | https://api.worldbank.org/v2/country/CHL/indicator/SH.H2O.SMDW.ZS?format=json&amp;mrv=10 | https://api.worldbank.org/v2/country/CHL/indicator/IT.NET.BBND.P2?format=json&amp;mrv=10 | +1 more</t>
        </is>
      </c>
      <c r="AU73" s="12" t="inlineStr">
        <is>
          <t>Tier 3</t>
        </is>
      </c>
      <c r="AV73" s="12" t="inlineStr">
        <is>
          <t>2024-12-31</t>
        </is>
      </c>
      <c r="AW73" s="12" t="inlineStr">
        <is>
          <t>providers=world_bank, wmo_natl_met; fields=personal_safety_raw, water_sanitation_utility_raw, digital_infrastructure_raw, climate_sunlight_livability_raw</t>
        </is>
      </c>
      <c r="AX73" s="12" t="inlineStr">
        <is>
          <t>https://www.who.int/data/gho/data/indicators/indicator-details/GHO/UHC_INDEX_REPORTED | https://api.worldbank.org/v2/country/CHL/indicator/SE.TER.ENRR?format=json&amp;mrv=10 | https://api.worldbank.org/v2/country/CHL/indicator/SI.POV.GINI?format=json&amp;mrv=10 | +1 more</t>
        </is>
      </c>
      <c r="AY73" s="12" t="inlineStr">
        <is>
          <t>Tier 3</t>
        </is>
      </c>
      <c r="AZ73" s="12" t="inlineStr">
        <is>
          <t>2023-12-31</t>
        </is>
      </c>
      <c r="BA73" s="12" t="inlineStr">
        <is>
          <t>providers=who_gho, world_bank; fields=healthcare_quality_raw, education_quality_raw, equal_opportunity_raw, gini_coefficient</t>
        </is>
      </c>
      <c r="BB73" s="12" t="inlineStr">
        <is>
          <t>https://api.worldbank.org/v2/country/CHL/indicator/SM.POP.NETM?format=json&amp;mrv=10 | https://api.worldbank.org/v2/country/CHL/indicator/SG.GEN.PARL.ZS?format=json&amp;mrv=10 | https://api.worldbank.org/v2/country/CHL/indicator/ST.INT.ARVL?format=json&amp;mrv=10 | +1 more</t>
        </is>
      </c>
      <c r="BC73" s="12" t="inlineStr">
        <is>
          <t>Tier 3</t>
        </is>
      </c>
      <c r="BD73" s="12" t="inlineStr">
        <is>
          <t>2025-12-31</t>
        </is>
      </c>
      <c r="BE73" s="12" t="inlineStr">
        <is>
          <t>providers=world_bank; fields=hospitality_belonging_raw, tolerance_pluralism_raw, cultural_public_life_raw, birth_rate_optimism_raw</t>
        </is>
      </c>
      <c r="BF73" s="12" t="inlineStr">
        <is>
          <t>https://api.worldbank.org/v2/country/CHL/indicator/IC.BUS.NDNS.ZS?format=json&amp;mrv=10 | https://api.worldbank.org/v2/country/CHL/indicator/GB.XPD.RSDV.GD.ZS?format=json&amp;mrv=10 | https://api.worldbank.org/v2/country/CHL/indicator/BX.KLT.DINV.WD.GD.ZS?format=json&amp;mrv=10 | +3 more</t>
        </is>
      </c>
      <c r="BG73" s="12" t="inlineStr">
        <is>
          <t>Tier 3</t>
        </is>
      </c>
      <c r="BH73" s="12" t="inlineStr">
        <is>
          <t>2024-12-31</t>
        </is>
      </c>
      <c r="BI73" s="12" t="inlineStr">
        <is>
          <t>providers=world_bank; fields=entrepreneurial_dynamism_raw, innovation_research_intensity_raw, investment_signal_raw, administrative_investment_friction_raw; +2 additional fields</t>
        </is>
      </c>
      <c r="BJ73" s="9" t="n">
        <v>1.44</v>
      </c>
    </row>
    <row r="74">
      <c r="A74" s="9" t="inlineStr">
        <is>
          <t>co-bogota</t>
        </is>
      </c>
      <c r="B74" s="9" t="inlineStr">
        <is>
          <t>Bogota</t>
        </is>
      </c>
      <c r="C74" s="9" t="inlineStr">
        <is>
          <t>Colombia</t>
        </is>
      </c>
      <c r="D74" s="9" t="inlineStr">
        <is>
          <t>Latin America</t>
        </is>
      </c>
      <c r="E74" s="9" t="inlineStr">
        <is>
          <t>primary</t>
        </is>
      </c>
      <c r="F74" s="9" t="inlineStr">
        <is>
          <t>locked</t>
        </is>
      </c>
      <c r="G74" s="10" t="n">
        <v>1824.17</v>
      </c>
      <c r="H74" s="10" t="n">
        <v>456.04</v>
      </c>
      <c r="I74" s="10" t="n">
        <v>109.45</v>
      </c>
      <c r="J74" s="10" t="n">
        <v>72.97</v>
      </c>
      <c r="K74" s="10" t="n">
        <v>27.36</v>
      </c>
      <c r="L74" s="10" t="n">
        <v>401.32</v>
      </c>
      <c r="M74" s="11" t="inlineStr"/>
      <c r="N74" s="10" t="n">
        <v>24.9999</v>
      </c>
      <c r="O74" s="10" t="n">
        <v>39.5117</v>
      </c>
      <c r="P74" s="11">
        <f>IF($O74&lt;&gt;"",$O74,$AO74)</f>
        <v/>
      </c>
      <c r="Q74" s="10" t="n">
        <v>42.77</v>
      </c>
      <c r="R74" s="10" t="n">
        <v>4.96</v>
      </c>
      <c r="S74" s="10" t="n">
        <v>24.91</v>
      </c>
      <c r="T74" s="10" t="inlineStr"/>
      <c r="U74" s="10" t="inlineStr"/>
      <c r="V74" s="10" t="n">
        <v>74.34</v>
      </c>
      <c r="W74" s="10" t="n">
        <v>17.04</v>
      </c>
      <c r="X74" s="9" t="n">
        <v>54</v>
      </c>
      <c r="Y74" s="10" t="n">
        <v>82</v>
      </c>
      <c r="Z74" s="10" t="n">
        <v>59.29</v>
      </c>
      <c r="AA74" s="10" t="n">
        <v>53.9</v>
      </c>
      <c r="AB74" s="10" t="n">
        <v>52.44</v>
      </c>
      <c r="AC74" s="10" t="n">
        <v>29.41</v>
      </c>
      <c r="AD74" s="10" t="n">
        <v>26.4</v>
      </c>
      <c r="AE74" s="10" t="n">
        <v>2.26</v>
      </c>
      <c r="AF74" s="10" t="n">
        <v>0.29</v>
      </c>
      <c r="AG74" s="10" t="n">
        <v>3.27</v>
      </c>
      <c r="AH74" s="10" t="n">
        <v>2.4</v>
      </c>
      <c r="AI74" s="10" t="inlineStr"/>
      <c r="AJ74" s="11">
        <f>IFERROR(INDEX(Country_Context!$B$2:$B$87,MATCH($C74,Country_Context!$A$2:$A$87,0)),"")</f>
        <v/>
      </c>
      <c r="AK74" s="11">
        <f>IFERROR(INDEX(Country_Context!$C$2:$C$87,MATCH($C74,Country_Context!$A$2:$A$87,0)),"")</f>
        <v/>
      </c>
      <c r="AL74" s="11">
        <f>IFERROR(INDEX(Country_Context!$D$2:$D$87,MATCH($C74,Country_Context!$A$2:$A$87,0)),"")</f>
        <v/>
      </c>
      <c r="AM74" s="11">
        <f>IFERROR(INDEX(Country_Context!$E$2:$E$87,MATCH($C74,Country_Context!$A$2:$A$87,0)),"")</f>
        <v/>
      </c>
      <c r="AN74" s="11">
        <f>IFERROR(INDEX(Country_Context!$F$2:$F$87,MATCH($C74,Country_Context!$A$2:$A$87,0)),"")</f>
        <v/>
      </c>
      <c r="AO74" s="11">
        <f>IFERROR(INDEX(Country_Context!$G$2:$G$87,MATCH($C74,Country_Context!$A$2:$A$87,0)),"")</f>
        <v/>
      </c>
      <c r="AP74" s="12" t="inlineStr">
        <is>
          <t>https://api.worldbank.org/v2/country/COL/indicator/NY.GNP.PCAP.PP.CD?format=json&amp;mrv=10 | https://data.worldbank.org/indicator/NY.GNP.PCAP.PP.CD | https://ilostat.ilo.org/data/indicator/?id=HOW_TEMP_SEX_ECO_NB_A&amp;ref_area=COL | +4 more</t>
        </is>
      </c>
      <c r="AQ74" s="12" t="inlineStr">
        <is>
          <t>Tier 3, Tier 4</t>
        </is>
      </c>
      <c r="AR74" s="12" t="inlineStr">
        <is>
          <t>2025-12-31</t>
        </is>
      </c>
      <c r="AS74" s="12" t="inlineStr">
        <is>
          <t>providers=world_bank_col_estimate, derived, ilo_ilostat, who_gho; fields=gross_income, rent, utilities, transit_cost; +9 additional fields</t>
        </is>
      </c>
      <c r="AT74" s="12" t="inlineStr">
        <is>
          <t>https://api.worldbank.org/v2/country/COL/indicator/VC.IHR.PSRC.P5?format=json&amp;mrv=10 | https://api.worldbank.org/v2/country/COL/indicator/SH.H2O.SMDW.ZS?format=json&amp;mrv=10 | https://api.worldbank.org/v2/country/COL/indicator/IT.NET.BBND.P2?format=json&amp;mrv=10 | +1 more</t>
        </is>
      </c>
      <c r="AU74" s="12" t="inlineStr">
        <is>
          <t>Tier 3</t>
        </is>
      </c>
      <c r="AV74" s="12" t="inlineStr">
        <is>
          <t>2024-12-31</t>
        </is>
      </c>
      <c r="AW74" s="12" t="inlineStr">
        <is>
          <t>providers=world_bank, wmo_natl_met; fields=personal_safety_raw, water_sanitation_utility_raw, digital_infrastructure_raw, climate_sunlight_livability_raw</t>
        </is>
      </c>
      <c r="AX74" s="12" t="inlineStr">
        <is>
          <t>https://www.who.int/data/gho/data/indicators/indicator-details/GHO/UHC_INDEX_REPORTED | https://api.worldbank.org/v2/country/COL/indicator/SE.TER.ENRR?format=json&amp;mrv=10 | https://api.worldbank.org/v2/country/COL/indicator/SI.POV.GINI?format=json&amp;mrv=10 | +1 more</t>
        </is>
      </c>
      <c r="AY74" s="12" t="inlineStr">
        <is>
          <t>Tier 3</t>
        </is>
      </c>
      <c r="AZ74" s="12" t="inlineStr">
        <is>
          <t>2023-12-31</t>
        </is>
      </c>
      <c r="BA74" s="12" t="inlineStr">
        <is>
          <t>providers=who_gho, world_bank; fields=healthcare_quality_raw, education_quality_raw, equal_opportunity_raw, gini_coefficient</t>
        </is>
      </c>
      <c r="BB74" s="12" t="inlineStr">
        <is>
          <t>https://api.worldbank.org/v2/country/COL/indicator/SM.POP.NETM?format=json&amp;mrv=10 | https://api.worldbank.org/v2/country/COL/indicator/SG.GEN.PARL.ZS?format=json&amp;mrv=10 | https://api.worldbank.org/v2/country/COL/indicator/ST.INT.ARVL?format=json&amp;mrv=10 | +1 more</t>
        </is>
      </c>
      <c r="BC74" s="12" t="inlineStr">
        <is>
          <t>Tier 3</t>
        </is>
      </c>
      <c r="BD74" s="12" t="inlineStr">
        <is>
          <t>2025-12-31</t>
        </is>
      </c>
      <c r="BE74" s="12" t="inlineStr">
        <is>
          <t>providers=world_bank; fields=hospitality_belonging_raw, tolerance_pluralism_raw, cultural_public_life_raw, birth_rate_optimism_raw</t>
        </is>
      </c>
      <c r="BF74" s="12" t="inlineStr">
        <is>
          <t>https://api.worldbank.org/v2/country/COL/indicator/IC.BUS.NDNS.ZS?format=json&amp;mrv=10 | https://api.worldbank.org/v2/country/COL/indicator/GB.XPD.RSDV.GD.ZS?format=json&amp;mrv=10 | https://api.worldbank.org/v2/country/COL/indicator/BX.KLT.DINV.WD.GD.ZS?format=json&amp;mrv=10 | +3 more</t>
        </is>
      </c>
      <c r="BG74" s="12" t="inlineStr">
        <is>
          <t>Tier 3</t>
        </is>
      </c>
      <c r="BH74" s="12" t="inlineStr">
        <is>
          <t>2024-12-31</t>
        </is>
      </c>
      <c r="BI74" s="12" t="inlineStr">
        <is>
          <t>providers=world_bank; fields=entrepreneurial_dynamism_raw, innovation_research_intensity_raw, investment_signal_raw, administrative_investment_friction_raw; +2 additional fields</t>
        </is>
      </c>
      <c r="BJ74" s="9" t="n">
        <v>1.64</v>
      </c>
    </row>
    <row r="75">
      <c r="A75" s="9" t="inlineStr">
        <is>
          <t>pe-lima</t>
        </is>
      </c>
      <c r="B75" s="9" t="inlineStr">
        <is>
          <t>Lima</t>
        </is>
      </c>
      <c r="C75" s="9" t="inlineStr">
        <is>
          <t>Peru</t>
        </is>
      </c>
      <c r="D75" s="9" t="inlineStr">
        <is>
          <t>Latin America</t>
        </is>
      </c>
      <c r="E75" s="9" t="inlineStr">
        <is>
          <t>primary</t>
        </is>
      </c>
      <c r="F75" s="9" t="inlineStr">
        <is>
          <t>provisional</t>
        </is>
      </c>
      <c r="G75" s="10" t="n">
        <v>1398.33</v>
      </c>
      <c r="H75" s="10" t="n">
        <v>349.58</v>
      </c>
      <c r="I75" s="10" t="n">
        <v>83.90000000000001</v>
      </c>
      <c r="J75" s="10" t="n">
        <v>55.93</v>
      </c>
      <c r="K75" s="10" t="n">
        <v>20.97</v>
      </c>
      <c r="L75" s="10" t="n">
        <v>307.63</v>
      </c>
      <c r="M75" s="11" t="inlineStr"/>
      <c r="N75" s="10" t="n">
        <v>24.9998</v>
      </c>
      <c r="O75" s="10" t="n">
        <v>45.668</v>
      </c>
      <c r="P75" s="11">
        <f>IF($O75&lt;&gt;"",$O75,$AO75)</f>
        <v/>
      </c>
      <c r="Q75" s="10" t="n">
        <v>39.67</v>
      </c>
      <c r="R75" s="10" t="n">
        <v>1.54</v>
      </c>
      <c r="S75" s="10" t="n">
        <v>8.6</v>
      </c>
      <c r="T75" s="10" t="inlineStr"/>
      <c r="U75" s="10" t="inlineStr"/>
      <c r="V75" s="10" t="n">
        <v>49.43</v>
      </c>
      <c r="W75" s="10" t="n">
        <v>10.44</v>
      </c>
      <c r="X75" s="9" t="inlineStr"/>
      <c r="Y75" s="10" t="n">
        <v>68</v>
      </c>
      <c r="Z75" s="10" t="inlineStr"/>
      <c r="AA75" s="10" t="n">
        <v>40.1</v>
      </c>
      <c r="AB75" s="10" t="n">
        <v>50.35</v>
      </c>
      <c r="AC75" s="10" t="n">
        <v>38.46</v>
      </c>
      <c r="AD75" s="10" t="n">
        <v>32.7</v>
      </c>
      <c r="AE75" s="10" t="n">
        <v>4.69</v>
      </c>
      <c r="AF75" s="10" t="n">
        <v>0.16</v>
      </c>
      <c r="AG75" s="10" t="n">
        <v>2.35</v>
      </c>
      <c r="AH75" s="10" t="n">
        <v>2.21</v>
      </c>
      <c r="AI75" s="10" t="inlineStr"/>
      <c r="AJ75" s="11">
        <f>IFERROR(INDEX(Country_Context!$B$2:$B$87,MATCH($C75,Country_Context!$A$2:$A$87,0)),"")</f>
        <v/>
      </c>
      <c r="AK75" s="11">
        <f>IFERROR(INDEX(Country_Context!$C$2:$C$87,MATCH($C75,Country_Context!$A$2:$A$87,0)),"")</f>
        <v/>
      </c>
      <c r="AL75" s="11">
        <f>IFERROR(INDEX(Country_Context!$D$2:$D$87,MATCH($C75,Country_Context!$A$2:$A$87,0)),"")</f>
        <v/>
      </c>
      <c r="AM75" s="11">
        <f>IFERROR(INDEX(Country_Context!$E$2:$E$87,MATCH($C75,Country_Context!$A$2:$A$87,0)),"")</f>
        <v/>
      </c>
      <c r="AN75" s="11">
        <f>IFERROR(INDEX(Country_Context!$F$2:$F$87,MATCH($C75,Country_Context!$A$2:$A$87,0)),"")</f>
        <v/>
      </c>
      <c r="AO75" s="11">
        <f>IFERROR(INDEX(Country_Context!$G$2:$G$87,MATCH($C75,Country_Context!$A$2:$A$87,0)),"")</f>
        <v/>
      </c>
      <c r="AP75" s="12" t="inlineStr">
        <is>
          <t>https://api.worldbank.org/v2/country/PER/indicator/NY.GNP.PCAP.PP.CD?format=json&amp;mrv=10 | https://data.worldbank.org/indicator/NY.GNP.PCAP.PP.CD | https://ilostat.ilo.org/data/indicator/?id=HOW_TEMP_SEX_ECO_NB_A&amp;ref_area=PER | +4 more</t>
        </is>
      </c>
      <c r="AQ75" s="12" t="inlineStr">
        <is>
          <t>Tier 3, Tier 4</t>
        </is>
      </c>
      <c r="AR75" s="12" t="inlineStr">
        <is>
          <t>2025-12-31</t>
        </is>
      </c>
      <c r="AS75" s="12" t="inlineStr">
        <is>
          <t>providers=world_bank_col_estimate, derived, ilo_ilostat, who_gho; fields=gross_income, rent, utilities, transit_cost; +9 additional fields</t>
        </is>
      </c>
      <c r="AT75" s="12" t="inlineStr">
        <is>
          <t>https://api.worldbank.org/v2/country/PER/indicator/VC.IHR.PSRC.P5?format=json&amp;mrv=10 | https://api.worldbank.org/v2/country/PER/indicator/SH.H2O.SMDW.ZS?format=json&amp;mrv=10 | https://api.worldbank.org/v2/country/PER/indicator/IT.NET.BBND.P2?format=json&amp;mrv=10</t>
        </is>
      </c>
      <c r="AU75" s="12" t="inlineStr">
        <is>
          <t>Tier 3</t>
        </is>
      </c>
      <c r="AV75" s="12" t="inlineStr">
        <is>
          <t>2024-12-31</t>
        </is>
      </c>
      <c r="AW75" s="12" t="inlineStr">
        <is>
          <t>providers=world_bank; fields=personal_safety_raw, water_sanitation_utility_raw, digital_infrastructure_raw</t>
        </is>
      </c>
      <c r="AX75" s="12" t="inlineStr">
        <is>
          <t>https://www.who.int/data/gho/data/indicators/indicator-details/GHO/UHC_INDEX_REPORTED | https://api.worldbank.org/v2/country/PER/indicator/SI.POV.GINI?format=json&amp;mrv=10 | https://api.worldbank.org/v2/country/PER/indicator/SI.POV.GINI?format=json&amp;mrv=30</t>
        </is>
      </c>
      <c r="AY75" s="12" t="inlineStr">
        <is>
          <t>Tier 3</t>
        </is>
      </c>
      <c r="AZ75" s="12" t="inlineStr">
        <is>
          <t>2024-12-31</t>
        </is>
      </c>
      <c r="BA75" s="12" t="inlineStr">
        <is>
          <t>providers=who_gho, world_bank; fields=healthcare_quality_raw, equal_opportunity_raw, gini_coefficient</t>
        </is>
      </c>
      <c r="BB75" s="12" t="inlineStr">
        <is>
          <t>https://api.worldbank.org/v2/country/PER/indicator/SM.POP.NETM?format=json&amp;mrv=10 | https://api.worldbank.org/v2/country/PER/indicator/SG.GEN.PARL.ZS?format=json&amp;mrv=10 | https://api.worldbank.org/v2/country/PER/indicator/ST.INT.ARVL?format=json&amp;mrv=10</t>
        </is>
      </c>
      <c r="BC75" s="12" t="inlineStr">
        <is>
          <t>Tier 3</t>
        </is>
      </c>
      <c r="BD75" s="12" t="inlineStr">
        <is>
          <t>2025-12-31</t>
        </is>
      </c>
      <c r="BE75" s="12" t="inlineStr">
        <is>
          <t>providers=world_bank; fields=hospitality_belonging_raw, tolerance_pluralism_raw, cultural_public_life_raw</t>
        </is>
      </c>
      <c r="BF75" s="12" t="inlineStr">
        <is>
          <t>https://api.worldbank.org/v2/country/PER/indicator/IC.BUS.NDNS.ZS?format=json&amp;mrv=10 | https://api.worldbank.org/v2/country/PER/indicator/GB.XPD.RSDV.GD.ZS?format=json&amp;mrv=10 | https://api.worldbank.org/v2/country/PER/indicator/BX.KLT.DINV.WD.GD.ZS?format=json&amp;mrv=10 | +3 more</t>
        </is>
      </c>
      <c r="BG75" s="12" t="inlineStr">
        <is>
          <t>Tier 3</t>
        </is>
      </c>
      <c r="BH75" s="12" t="inlineStr">
        <is>
          <t>2024-12-31</t>
        </is>
      </c>
      <c r="BI75" s="12" t="inlineStr">
        <is>
          <t>providers=world_bank; fields=entrepreneurial_dynamism_raw, innovation_research_intensity_raw, investment_signal_raw, administrative_investment_friction_raw; +2 additional fields</t>
        </is>
      </c>
      <c r="BJ75" s="9" t="inlineStr"/>
    </row>
    <row r="76">
      <c r="A76" s="9" t="inlineStr">
        <is>
          <t>br-curitiba</t>
        </is>
      </c>
      <c r="B76" s="9" t="inlineStr">
        <is>
          <t>Curitiba</t>
        </is>
      </c>
      <c r="C76" s="9" t="inlineStr">
        <is>
          <t>Brazil</t>
        </is>
      </c>
      <c r="D76" s="9" t="inlineStr">
        <is>
          <t>Latin America</t>
        </is>
      </c>
      <c r="E76" s="9" t="inlineStr">
        <is>
          <t>secondary</t>
        </is>
      </c>
      <c r="F76" s="9" t="inlineStr">
        <is>
          <t>locked</t>
        </is>
      </c>
      <c r="G76" s="10" t="n">
        <v>1799.17</v>
      </c>
      <c r="H76" s="10" t="n">
        <v>382.32</v>
      </c>
      <c r="I76" s="10" t="n">
        <v>91.76000000000001</v>
      </c>
      <c r="J76" s="10" t="n">
        <v>61.17</v>
      </c>
      <c r="K76" s="10" t="n">
        <v>22.94</v>
      </c>
      <c r="L76" s="10" t="n">
        <v>336.44</v>
      </c>
      <c r="M76" s="11" t="inlineStr"/>
      <c r="N76" s="10" t="n">
        <v>21.2498</v>
      </c>
      <c r="O76" s="10" t="n">
        <v>75.6164</v>
      </c>
      <c r="P76" s="11">
        <f>IF($O76&lt;&gt;"",$O76,$AO76)</f>
        <v/>
      </c>
      <c r="Q76" s="10" t="n">
        <v>38.86</v>
      </c>
      <c r="R76" s="10" t="n">
        <v>7.59</v>
      </c>
      <c r="S76" s="10" t="n">
        <v>19.28</v>
      </c>
      <c r="T76" s="10" t="inlineStr"/>
      <c r="U76" s="10" t="inlineStr"/>
      <c r="V76" s="10" t="n">
        <v>88.62</v>
      </c>
      <c r="W76" s="10" t="n">
        <v>22.42</v>
      </c>
      <c r="X76" s="9" t="n">
        <v>56</v>
      </c>
      <c r="Y76" s="10" t="n">
        <v>84</v>
      </c>
      <c r="Z76" s="10" t="n">
        <v>60.39</v>
      </c>
      <c r="AA76" s="10" t="n">
        <v>51.6</v>
      </c>
      <c r="AB76" s="10" t="n">
        <v>48.98</v>
      </c>
      <c r="AC76" s="10" t="n">
        <v>17.54</v>
      </c>
      <c r="AD76" s="10" t="n">
        <v>29.97</v>
      </c>
      <c r="AE76" s="10" t="n">
        <v>5.1</v>
      </c>
      <c r="AF76" s="10" t="n">
        <v>1.15</v>
      </c>
      <c r="AG76" s="10" t="n">
        <v>3.39</v>
      </c>
      <c r="AH76" s="10" t="n">
        <v>2.8</v>
      </c>
      <c r="AI76" s="10" t="inlineStr"/>
      <c r="AJ76" s="11">
        <f>IFERROR(INDEX(Country_Context!$B$2:$B$87,MATCH($C76,Country_Context!$A$2:$A$87,0)),"")</f>
        <v/>
      </c>
      <c r="AK76" s="11">
        <f>IFERROR(INDEX(Country_Context!$C$2:$C$87,MATCH($C76,Country_Context!$A$2:$A$87,0)),"")</f>
        <v/>
      </c>
      <c r="AL76" s="11">
        <f>IFERROR(INDEX(Country_Context!$D$2:$D$87,MATCH($C76,Country_Context!$A$2:$A$87,0)),"")</f>
        <v/>
      </c>
      <c r="AM76" s="11">
        <f>IFERROR(INDEX(Country_Context!$E$2:$E$87,MATCH($C76,Country_Context!$A$2:$A$87,0)),"")</f>
        <v/>
      </c>
      <c r="AN76" s="11">
        <f>IFERROR(INDEX(Country_Context!$F$2:$F$87,MATCH($C76,Country_Context!$A$2:$A$87,0)),"")</f>
        <v/>
      </c>
      <c r="AO76" s="11">
        <f>IFERROR(INDEX(Country_Context!$G$2:$G$87,MATCH($C76,Country_Context!$A$2:$A$87,0)),"")</f>
        <v/>
      </c>
      <c r="AP76" s="12" t="inlineStr">
        <is>
          <t>https://api.worldbank.org/v2/country/BRA/indicator/NY.GNP.PCAP.PP.CD?format=json&amp;mrv=10 | https://data.worldbank.org/indicator/NY.GNP.PCAP.PP.CD | https://ilostat.ilo.org/data/indicator/?id=HOW_TEMP_SEX_ECO_NB_A&amp;ref_area=BRA | +4 more</t>
        </is>
      </c>
      <c r="AQ76" s="12" t="inlineStr">
        <is>
          <t>Tier 3, Tier 4</t>
        </is>
      </c>
      <c r="AR76" s="12" t="inlineStr">
        <is>
          <t>2025-12-31</t>
        </is>
      </c>
      <c r="AS76" s="12" t="inlineStr">
        <is>
          <t>providers=world_bank_col_estimate, derived, ilo_ilostat, who_gho; fields=gross_income, rent, utilities, transit_cost; +9 additional fields</t>
        </is>
      </c>
      <c r="AT76" s="12" t="inlineStr">
        <is>
          <t>https://api.worldbank.org/v2/country/BRA/indicator/VC.IHR.PSRC.P5?format=json&amp;mrv=10 | https://api.worldbank.org/v2/country/BRA/indicator/SH.H2O.SMDW.ZS?format=json&amp;mrv=10 | https://api.worldbank.org/v2/country/BRA/indicator/IT.NET.BBND.P2?format=json&amp;mrv=10 | +1 more</t>
        </is>
      </c>
      <c r="AU76" s="12" t="inlineStr">
        <is>
          <t>Tier 3</t>
        </is>
      </c>
      <c r="AV76" s="12" t="inlineStr">
        <is>
          <t>2024-12-31</t>
        </is>
      </c>
      <c r="AW76" s="12" t="inlineStr">
        <is>
          <t>providers=world_bank, wmo_natl_met; fields=personal_safety_raw, water_sanitation_utility_raw, digital_infrastructure_raw, climate_sunlight_livability_raw</t>
        </is>
      </c>
      <c r="AX76" s="12" t="inlineStr">
        <is>
          <t>https://www.who.int/data/gho/data/indicators/indicator-details/GHO/UHC_INDEX_REPORTED | https://api.worldbank.org/v2/country/BRA/indicator/SE.TER.ENRR?format=json&amp;mrv=10 | https://api.worldbank.org/v2/country/BRA/indicator/SI.POV.GINI?format=json&amp;mrv=10 | +1 more</t>
        </is>
      </c>
      <c r="AY76" s="12" t="inlineStr">
        <is>
          <t>Tier 3</t>
        </is>
      </c>
      <c r="AZ76" s="12" t="inlineStr">
        <is>
          <t>2023-12-31</t>
        </is>
      </c>
      <c r="BA76" s="12" t="inlineStr">
        <is>
          <t>providers=who_gho, world_bank; fields=healthcare_quality_raw, education_quality_raw, equal_opportunity_raw, gini_coefficient</t>
        </is>
      </c>
      <c r="BB76" s="12" t="inlineStr">
        <is>
          <t>https://api.worldbank.org/v2/country/BRA/indicator/SM.POP.NETM?format=json&amp;mrv=10 | https://api.worldbank.org/v2/country/BRA/indicator/SG.GEN.PARL.ZS?format=json&amp;mrv=10 | https://api.worldbank.org/v2/country/BRA/indicator/ST.INT.ARVL?format=json&amp;mrv=10 | +1 more</t>
        </is>
      </c>
      <c r="BC76" s="12" t="inlineStr">
        <is>
          <t>Tier 3</t>
        </is>
      </c>
      <c r="BD76" s="12" t="inlineStr">
        <is>
          <t>2025-12-31</t>
        </is>
      </c>
      <c r="BE76" s="12" t="inlineStr">
        <is>
          <t>providers=world_bank; fields=hospitality_belonging_raw, tolerance_pluralism_raw, cultural_public_life_raw, birth_rate_optimism_raw</t>
        </is>
      </c>
      <c r="BF76" s="12" t="inlineStr">
        <is>
          <t>https://api.worldbank.org/v2/country/BRA/indicator/IC.BUS.NDNS.ZS?format=json&amp;mrv=10 | https://api.worldbank.org/v2/country/BRA/indicator/GB.XPD.RSDV.GD.ZS?format=json&amp;mrv=10 | https://api.worldbank.org/v2/country/BRA/indicator/BX.KLT.DINV.WD.GD.ZS?format=json&amp;mrv=10 | +3 more</t>
        </is>
      </c>
      <c r="BG76" s="12" t="inlineStr">
        <is>
          <t>Tier 3</t>
        </is>
      </c>
      <c r="BH76" s="12" t="inlineStr">
        <is>
          <t>2024-12-31</t>
        </is>
      </c>
      <c r="BI76" s="12" t="inlineStr">
        <is>
          <t>providers=world_bank; fields=entrepreneurial_dynamism_raw, innovation_research_intensity_raw, investment_signal_raw, administrative_investment_friction_raw; +2 additional fields</t>
        </is>
      </c>
      <c r="BJ76" s="9" t="n">
        <v>1.64</v>
      </c>
    </row>
    <row r="77">
      <c r="A77" s="9" t="inlineStr">
        <is>
          <t>co-medellin</t>
        </is>
      </c>
      <c r="B77" s="9" t="inlineStr">
        <is>
          <t>Medellin</t>
        </is>
      </c>
      <c r="C77" s="9" t="inlineStr">
        <is>
          <t>Colombia</t>
        </is>
      </c>
      <c r="D77" s="9" t="inlineStr">
        <is>
          <t>Latin America</t>
        </is>
      </c>
      <c r="E77" s="9" t="inlineStr">
        <is>
          <t>secondary</t>
        </is>
      </c>
      <c r="F77" s="9" t="inlineStr">
        <is>
          <t>locked</t>
        </is>
      </c>
      <c r="G77" s="10" t="n">
        <v>1824.17</v>
      </c>
      <c r="H77" s="10" t="n">
        <v>364.83</v>
      </c>
      <c r="I77" s="10" t="n">
        <v>87.56</v>
      </c>
      <c r="J77" s="10" t="n">
        <v>58.37</v>
      </c>
      <c r="K77" s="10" t="n">
        <v>21.89</v>
      </c>
      <c r="L77" s="10" t="n">
        <v>321.05</v>
      </c>
      <c r="M77" s="11" t="inlineStr"/>
      <c r="N77" s="10" t="n">
        <v>19.9998</v>
      </c>
      <c r="O77" s="10" t="n">
        <v>39.5117</v>
      </c>
      <c r="P77" s="11">
        <f>IF($O77&lt;&gt;"",$O77,$AO77)</f>
        <v/>
      </c>
      <c r="Q77" s="10" t="n">
        <v>42.77</v>
      </c>
      <c r="R77" s="10" t="n">
        <v>4.96</v>
      </c>
      <c r="S77" s="10" t="n">
        <v>24.91</v>
      </c>
      <c r="T77" s="10" t="inlineStr"/>
      <c r="U77" s="10" t="inlineStr"/>
      <c r="V77" s="10" t="n">
        <v>74.34</v>
      </c>
      <c r="W77" s="10" t="n">
        <v>17.04</v>
      </c>
      <c r="X77" s="9" t="n">
        <v>72</v>
      </c>
      <c r="Y77" s="10" t="n">
        <v>82</v>
      </c>
      <c r="Z77" s="10" t="n">
        <v>59.29</v>
      </c>
      <c r="AA77" s="10" t="n">
        <v>53.9</v>
      </c>
      <c r="AB77" s="10" t="n">
        <v>52.44</v>
      </c>
      <c r="AC77" s="10" t="n">
        <v>29.41</v>
      </c>
      <c r="AD77" s="10" t="n">
        <v>26.4</v>
      </c>
      <c r="AE77" s="10" t="n">
        <v>2.26</v>
      </c>
      <c r="AF77" s="10" t="n">
        <v>0.29</v>
      </c>
      <c r="AG77" s="10" t="n">
        <v>3.27</v>
      </c>
      <c r="AH77" s="10" t="n">
        <v>2.4</v>
      </c>
      <c r="AI77" s="10" t="inlineStr"/>
      <c r="AJ77" s="11">
        <f>IFERROR(INDEX(Country_Context!$B$2:$B$87,MATCH($C77,Country_Context!$A$2:$A$87,0)),"")</f>
        <v/>
      </c>
      <c r="AK77" s="11">
        <f>IFERROR(INDEX(Country_Context!$C$2:$C$87,MATCH($C77,Country_Context!$A$2:$A$87,0)),"")</f>
        <v/>
      </c>
      <c r="AL77" s="11">
        <f>IFERROR(INDEX(Country_Context!$D$2:$D$87,MATCH($C77,Country_Context!$A$2:$A$87,0)),"")</f>
        <v/>
      </c>
      <c r="AM77" s="11">
        <f>IFERROR(INDEX(Country_Context!$E$2:$E$87,MATCH($C77,Country_Context!$A$2:$A$87,0)),"")</f>
        <v/>
      </c>
      <c r="AN77" s="11">
        <f>IFERROR(INDEX(Country_Context!$F$2:$F$87,MATCH($C77,Country_Context!$A$2:$A$87,0)),"")</f>
        <v/>
      </c>
      <c r="AO77" s="11">
        <f>IFERROR(INDEX(Country_Context!$G$2:$G$87,MATCH($C77,Country_Context!$A$2:$A$87,0)),"")</f>
        <v/>
      </c>
      <c r="AP77" s="12" t="inlineStr">
        <is>
          <t>https://api.worldbank.org/v2/country/COL/indicator/NY.GNP.PCAP.PP.CD?format=json&amp;mrv=10 | https://data.worldbank.org/indicator/NY.GNP.PCAP.PP.CD | https://ilostat.ilo.org/data/indicator/?id=HOW_TEMP_SEX_ECO_NB_A&amp;ref_area=COL | +4 more</t>
        </is>
      </c>
      <c r="AQ77" s="12" t="inlineStr">
        <is>
          <t>Tier 3, Tier 4</t>
        </is>
      </c>
      <c r="AR77" s="12" t="inlineStr">
        <is>
          <t>2025-12-31</t>
        </is>
      </c>
      <c r="AS77" s="12" t="inlineStr">
        <is>
          <t>providers=world_bank_col_estimate, derived, ilo_ilostat, who_gho; fields=gross_income, rent, utilities, transit_cost; +9 additional fields</t>
        </is>
      </c>
      <c r="AT77" s="12" t="inlineStr">
        <is>
          <t>https://api.worldbank.org/v2/country/COL/indicator/VC.IHR.PSRC.P5?format=json&amp;mrv=10 | https://api.worldbank.org/v2/country/COL/indicator/SH.H2O.SMDW.ZS?format=json&amp;mrv=10 | https://api.worldbank.org/v2/country/COL/indicator/IT.NET.BBND.P2?format=json&amp;mrv=10 | +1 more</t>
        </is>
      </c>
      <c r="AU77" s="12" t="inlineStr">
        <is>
          <t>Tier 3</t>
        </is>
      </c>
      <c r="AV77" s="12" t="inlineStr">
        <is>
          <t>2024-12-31</t>
        </is>
      </c>
      <c r="AW77" s="12" t="inlineStr">
        <is>
          <t>providers=world_bank, wmo_natl_met; fields=personal_safety_raw, water_sanitation_utility_raw, digital_infrastructure_raw, climate_sunlight_livability_raw</t>
        </is>
      </c>
      <c r="AX77" s="12" t="inlineStr">
        <is>
          <t>https://www.who.int/data/gho/data/indicators/indicator-details/GHO/UHC_INDEX_REPORTED | https://api.worldbank.org/v2/country/COL/indicator/SE.TER.ENRR?format=json&amp;mrv=10 | https://api.worldbank.org/v2/country/COL/indicator/SI.POV.GINI?format=json&amp;mrv=10 | +1 more</t>
        </is>
      </c>
      <c r="AY77" s="12" t="inlineStr">
        <is>
          <t>Tier 3</t>
        </is>
      </c>
      <c r="AZ77" s="12" t="inlineStr">
        <is>
          <t>2023-12-31</t>
        </is>
      </c>
      <c r="BA77" s="12" t="inlineStr">
        <is>
          <t>providers=who_gho, world_bank; fields=healthcare_quality_raw, education_quality_raw, equal_opportunity_raw, gini_coefficient</t>
        </is>
      </c>
      <c r="BB77" s="12" t="inlineStr">
        <is>
          <t>https://api.worldbank.org/v2/country/COL/indicator/SM.POP.NETM?format=json&amp;mrv=10 | https://api.worldbank.org/v2/country/COL/indicator/SG.GEN.PARL.ZS?format=json&amp;mrv=10 | https://api.worldbank.org/v2/country/COL/indicator/ST.INT.ARVL?format=json&amp;mrv=10 | +1 more</t>
        </is>
      </c>
      <c r="BC77" s="12" t="inlineStr">
        <is>
          <t>Tier 3</t>
        </is>
      </c>
      <c r="BD77" s="12" t="inlineStr">
        <is>
          <t>2025-12-31</t>
        </is>
      </c>
      <c r="BE77" s="12" t="inlineStr">
        <is>
          <t>providers=world_bank; fields=hospitality_belonging_raw, tolerance_pluralism_raw, cultural_public_life_raw, birth_rate_optimism_raw</t>
        </is>
      </c>
      <c r="BF77" s="12" t="inlineStr">
        <is>
          <t>https://api.worldbank.org/v2/country/COL/indicator/IC.BUS.NDNS.ZS?format=json&amp;mrv=10 | https://api.worldbank.org/v2/country/COL/indicator/GB.XPD.RSDV.GD.ZS?format=json&amp;mrv=10 | https://api.worldbank.org/v2/country/COL/indicator/BX.KLT.DINV.WD.GD.ZS?format=json&amp;mrv=10 | +3 more</t>
        </is>
      </c>
      <c r="BG77" s="12" t="inlineStr">
        <is>
          <t>Tier 3</t>
        </is>
      </c>
      <c r="BH77" s="12" t="inlineStr">
        <is>
          <t>2024-12-31</t>
        </is>
      </c>
      <c r="BI77" s="12" t="inlineStr">
        <is>
          <t>providers=world_bank; fields=entrepreneurial_dynamism_raw, innovation_research_intensity_raw, investment_signal_raw, administrative_investment_friction_raw; +2 additional fields</t>
        </is>
      </c>
      <c r="BJ77" s="9" t="n">
        <v>1.64</v>
      </c>
    </row>
    <row r="78">
      <c r="A78" s="9" t="inlineStr">
        <is>
          <t>uy-montevideo</t>
        </is>
      </c>
      <c r="B78" s="9" t="inlineStr">
        <is>
          <t>Montevideo</t>
        </is>
      </c>
      <c r="C78" s="9" t="inlineStr">
        <is>
          <t>Uruguay</t>
        </is>
      </c>
      <c r="D78" s="9" t="inlineStr">
        <is>
          <t>Latin America</t>
        </is>
      </c>
      <c r="E78" s="9" t="inlineStr">
        <is>
          <t>secondary</t>
        </is>
      </c>
      <c r="F78" s="9" t="inlineStr">
        <is>
          <t>locked</t>
        </is>
      </c>
      <c r="G78" s="10" t="n">
        <v>2847.5</v>
      </c>
      <c r="H78" s="10" t="n">
        <v>640.6900000000001</v>
      </c>
      <c r="I78" s="10" t="n">
        <v>153.76</v>
      </c>
      <c r="J78" s="10" t="n">
        <v>102.51</v>
      </c>
      <c r="K78" s="10" t="n">
        <v>38.44</v>
      </c>
      <c r="L78" s="10" t="n">
        <v>563.8099999999999</v>
      </c>
      <c r="M78" s="11" t="inlineStr"/>
      <c r="N78" s="10" t="n">
        <v>22.5001</v>
      </c>
      <c r="O78" s="10" t="n">
        <v>31.0608</v>
      </c>
      <c r="P78" s="11">
        <f>IF($O78&lt;&gt;"",$O78,$AO78)</f>
        <v/>
      </c>
      <c r="Q78" s="10" t="n">
        <v>36.84</v>
      </c>
      <c r="R78" s="10" t="n">
        <v>24.75</v>
      </c>
      <c r="S78" s="10" t="n">
        <v>11.25</v>
      </c>
      <c r="T78" s="10" t="inlineStr"/>
      <c r="U78" s="10" t="inlineStr"/>
      <c r="V78" s="10" t="inlineStr"/>
      <c r="W78" s="10" t="n">
        <v>32.4</v>
      </c>
      <c r="X78" s="9" t="n">
        <v>58</v>
      </c>
      <c r="Y78" s="10" t="n">
        <v>85</v>
      </c>
      <c r="Z78" s="10" t="n">
        <v>79.95</v>
      </c>
      <c r="AA78" s="10" t="n">
        <v>40</v>
      </c>
      <c r="AB78" s="10" t="n">
        <v>49.6</v>
      </c>
      <c r="AC78" s="10" t="n">
        <v>28.28</v>
      </c>
      <c r="AD78" s="10" t="n">
        <v>1027.58</v>
      </c>
      <c r="AE78" s="10" t="n">
        <v>3.13</v>
      </c>
      <c r="AF78" s="10" t="n">
        <v>0.63</v>
      </c>
      <c r="AG78" s="10" t="n">
        <v>-4.86</v>
      </c>
      <c r="AH78" s="10" t="n">
        <v>1.82</v>
      </c>
      <c r="AI78" s="10" t="inlineStr"/>
      <c r="AJ78" s="11">
        <f>IFERROR(INDEX(Country_Context!$B$2:$B$87,MATCH($C78,Country_Context!$A$2:$A$87,0)),"")</f>
        <v/>
      </c>
      <c r="AK78" s="11">
        <f>IFERROR(INDEX(Country_Context!$C$2:$C$87,MATCH($C78,Country_Context!$A$2:$A$87,0)),"")</f>
        <v/>
      </c>
      <c r="AL78" s="11">
        <f>IFERROR(INDEX(Country_Context!$D$2:$D$87,MATCH($C78,Country_Context!$A$2:$A$87,0)),"")</f>
        <v/>
      </c>
      <c r="AM78" s="11">
        <f>IFERROR(INDEX(Country_Context!$E$2:$E$87,MATCH($C78,Country_Context!$A$2:$A$87,0)),"")</f>
        <v/>
      </c>
      <c r="AN78" s="11">
        <f>IFERROR(INDEX(Country_Context!$F$2:$F$87,MATCH($C78,Country_Context!$A$2:$A$87,0)),"")</f>
        <v/>
      </c>
      <c r="AO78" s="11">
        <f>IFERROR(INDEX(Country_Context!$G$2:$G$87,MATCH($C78,Country_Context!$A$2:$A$87,0)),"")</f>
        <v/>
      </c>
      <c r="AP78" s="12" t="inlineStr">
        <is>
          <t>https://api.worldbank.org/v2/country/URY/indicator/NY.GNP.PCAP.PP.CD?format=json&amp;mrv=10 | https://data.worldbank.org/indicator/NY.GNP.PCAP.PP.CD | https://ilostat.ilo.org/data/indicator/?id=HOW_TEMP_SEX_ECO_NB_A&amp;ref_area=URY | +4 more</t>
        </is>
      </c>
      <c r="AQ78" s="12" t="inlineStr">
        <is>
          <t>Tier 3, Tier 4</t>
        </is>
      </c>
      <c r="AR78" s="12" t="inlineStr">
        <is>
          <t>2024-12-31</t>
        </is>
      </c>
      <c r="AS78" s="12" t="inlineStr">
        <is>
          <t>providers=world_bank_col_estimate, derived, ilo_ilostat, who_gho; fields=gross_income, rent, utilities, transit_cost; +9 additional fields</t>
        </is>
      </c>
      <c r="AT78" s="12" t="inlineStr">
        <is>
          <t>https://api.worldbank.org/v2/country/URY/indicator/VC.IHR.PSRC.P5?format=json&amp;mrv=10 | https://api.worldbank.org/v2/country/URY/indicator/IT.NET.BBND.P2?format=json&amp;mrv=10 | https://worldweather.wmo.int</t>
        </is>
      </c>
      <c r="AU78" s="12" t="inlineStr">
        <is>
          <t>Tier 3</t>
        </is>
      </c>
      <c r="AV78" s="12" t="inlineStr">
        <is>
          <t>2024-12-31</t>
        </is>
      </c>
      <c r="AW78" s="12" t="inlineStr">
        <is>
          <t>providers=world_bank, wmo_natl_met; fields=personal_safety_raw, digital_infrastructure_raw, climate_sunlight_livability_raw</t>
        </is>
      </c>
      <c r="AX78" s="12" t="inlineStr">
        <is>
          <t>https://www.who.int/data/gho/data/indicators/indicator-details/GHO/UHC_INDEX_REPORTED | https://api.worldbank.org/v2/country/URY/indicator/SE.TER.ENRR?format=json&amp;mrv=10 | https://api.worldbank.org/v2/country/URY/indicator/SI.POV.GINI?format=json&amp;mrv=10 | +1 more</t>
        </is>
      </c>
      <c r="AY78" s="12" t="inlineStr">
        <is>
          <t>Tier 3</t>
        </is>
      </c>
      <c r="AZ78" s="12" t="inlineStr">
        <is>
          <t>2024-12-31</t>
        </is>
      </c>
      <c r="BA78" s="12" t="inlineStr">
        <is>
          <t>providers=who_gho, world_bank; fields=healthcare_quality_raw, education_quality_raw, equal_opportunity_raw, gini_coefficient</t>
        </is>
      </c>
      <c r="BB78" s="12" t="inlineStr">
        <is>
          <t>https://api.worldbank.org/v2/country/URY/indicator/SM.POP.NETM?format=json&amp;mrv=10 | https://api.worldbank.org/v2/country/URY/indicator/SG.GEN.PARL.ZS?format=json&amp;mrv=10 | https://api.worldbank.org/v2/country/URY/indicator/ST.INT.ARVL?format=json&amp;mrv=10</t>
        </is>
      </c>
      <c r="BC78" s="12" t="inlineStr">
        <is>
          <t>Tier 3</t>
        </is>
      </c>
      <c r="BD78" s="12" t="inlineStr">
        <is>
          <t>2025-12-31</t>
        </is>
      </c>
      <c r="BE78" s="12" t="inlineStr">
        <is>
          <t>providers=world_bank; fields=hospitality_belonging_raw, tolerance_pluralism_raw, cultural_public_life_raw</t>
        </is>
      </c>
      <c r="BF78" s="12" t="inlineStr">
        <is>
          <t>https://api.worldbank.org/v2/country/URY/indicator/IC.BUS.NDNS.ZS?format=json&amp;mrv=10 | https://api.worldbank.org/v2/country/URY/indicator/GB.XPD.RSDV.GD.ZS?format=json&amp;mrv=10 | https://api.worldbank.org/v2/country/URY/indicator/BX.KLT.DINV.WD.GD.ZS?format=json&amp;mrv=10 | +3 more</t>
        </is>
      </c>
      <c r="BG78" s="12" t="inlineStr">
        <is>
          <t>Tier 3</t>
        </is>
      </c>
      <c r="BH78" s="12" t="inlineStr">
        <is>
          <t>2024-12-31</t>
        </is>
      </c>
      <c r="BI78" s="12" t="inlineStr">
        <is>
          <t>providers=world_bank; fields=entrepreneurial_dynamism_raw, innovation_research_intensity_raw, investment_signal_raw, administrative_investment_friction_raw; +2 additional fields</t>
        </is>
      </c>
      <c r="BJ78" s="9" t="inlineStr"/>
    </row>
    <row r="79">
      <c r="A79" s="9" t="inlineStr">
        <is>
          <t>ar-cordoba</t>
        </is>
      </c>
      <c r="B79" s="9" t="inlineStr">
        <is>
          <t>Cordoba</t>
        </is>
      </c>
      <c r="C79" s="9" t="inlineStr">
        <is>
          <t>Argentina</t>
        </is>
      </c>
      <c r="D79" s="9" t="inlineStr">
        <is>
          <t>Latin America</t>
        </is>
      </c>
      <c r="E79" s="9" t="inlineStr">
        <is>
          <t>secondary</t>
        </is>
      </c>
      <c r="F79" s="9" t="inlineStr">
        <is>
          <t>provisional</t>
        </is>
      </c>
      <c r="G79" s="10" t="n">
        <v>2483.33</v>
      </c>
      <c r="H79" s="10" t="n">
        <v>496.67</v>
      </c>
      <c r="I79" s="10" t="n">
        <v>119.2</v>
      </c>
      <c r="J79" s="10" t="n">
        <v>79.47</v>
      </c>
      <c r="K79" s="10" t="n">
        <v>29.8</v>
      </c>
      <c r="L79" s="10" t="n">
        <v>437.07</v>
      </c>
      <c r="M79" s="11" t="inlineStr"/>
      <c r="N79" s="10" t="n">
        <v>20.0002</v>
      </c>
      <c r="O79" s="10" t="n">
        <v>13.0788</v>
      </c>
      <c r="P79" s="11">
        <f>IF($O79&lt;&gt;"",$O79,$AO79)</f>
        <v/>
      </c>
      <c r="Q79" s="10" t="n">
        <v>36.45</v>
      </c>
      <c r="R79" s="10" t="n">
        <v>7.94</v>
      </c>
      <c r="S79" s="10" t="n">
        <v>4.49</v>
      </c>
      <c r="T79" s="10" t="inlineStr"/>
      <c r="U79" s="10" t="inlineStr"/>
      <c r="V79" s="10" t="inlineStr"/>
      <c r="W79" s="10" t="n">
        <v>25.36</v>
      </c>
      <c r="X79" s="9" t="inlineStr"/>
      <c r="Y79" s="10" t="n">
        <v>80</v>
      </c>
      <c r="Z79" s="10" t="n">
        <v>107.82</v>
      </c>
      <c r="AA79" s="10" t="n">
        <v>42.4</v>
      </c>
      <c r="AB79" s="10" t="n">
        <v>50.06</v>
      </c>
      <c r="AC79" s="10" t="n">
        <v>42.41</v>
      </c>
      <c r="AD79" s="10" t="n">
        <v>161.92</v>
      </c>
      <c r="AE79" s="10" t="n">
        <v>0.2</v>
      </c>
      <c r="AF79" s="10" t="n">
        <v>0.55</v>
      </c>
      <c r="AG79" s="10" t="n">
        <v>1.82</v>
      </c>
      <c r="AH79" s="10" t="n">
        <v>2.98</v>
      </c>
      <c r="AI79" s="10" t="inlineStr"/>
      <c r="AJ79" s="11">
        <f>IFERROR(INDEX(Country_Context!$B$2:$B$87,MATCH($C79,Country_Context!$A$2:$A$87,0)),"")</f>
        <v/>
      </c>
      <c r="AK79" s="11">
        <f>IFERROR(INDEX(Country_Context!$C$2:$C$87,MATCH($C79,Country_Context!$A$2:$A$87,0)),"")</f>
        <v/>
      </c>
      <c r="AL79" s="11">
        <f>IFERROR(INDEX(Country_Context!$D$2:$D$87,MATCH($C79,Country_Context!$A$2:$A$87,0)),"")</f>
        <v/>
      </c>
      <c r="AM79" s="11">
        <f>IFERROR(INDEX(Country_Context!$E$2:$E$87,MATCH($C79,Country_Context!$A$2:$A$87,0)),"")</f>
        <v/>
      </c>
      <c r="AN79" s="11">
        <f>IFERROR(INDEX(Country_Context!$F$2:$F$87,MATCH($C79,Country_Context!$A$2:$A$87,0)),"")</f>
        <v/>
      </c>
      <c r="AO79" s="11">
        <f>IFERROR(INDEX(Country_Context!$G$2:$G$87,MATCH($C79,Country_Context!$A$2:$A$87,0)),"")</f>
        <v/>
      </c>
      <c r="AP79" s="12" t="inlineStr">
        <is>
          <t>https://api.worldbank.org/v2/country/ARG/indicator/NY.GNP.PCAP.PP.CD?format=json&amp;mrv=10 | https://data.worldbank.org/indicator/NY.GNP.PCAP.PP.CD | https://ilostat.ilo.org/data/indicator/?id=HOW_TEMP_SEX_ECO_NB_A&amp;ref_area=ARG | +4 more</t>
        </is>
      </c>
      <c r="AQ79" s="12" t="inlineStr">
        <is>
          <t>Tier 3, Tier 4</t>
        </is>
      </c>
      <c r="AR79" s="12" t="inlineStr">
        <is>
          <t>2024-12-31</t>
        </is>
      </c>
      <c r="AS79" s="12" t="inlineStr">
        <is>
          <t>providers=world_bank_col_estimate, derived, ilo_ilostat, who_gho; fields=gross_income, rent, utilities, transit_cost; +9 additional fields</t>
        </is>
      </c>
      <c r="AT79" s="12" t="inlineStr">
        <is>
          <t>https://api.worldbank.org/v2/country/ARG/indicator/VC.IHR.PSRC.P5?format=json&amp;mrv=10 | https://api.worldbank.org/v2/country/ARG/indicator/IT.NET.BBND.P2?format=json&amp;mrv=10</t>
        </is>
      </c>
      <c r="AU79" s="12" t="inlineStr">
        <is>
          <t>Tier 3</t>
        </is>
      </c>
      <c r="AV79" s="12" t="inlineStr">
        <is>
          <t>2023-12-31</t>
        </is>
      </c>
      <c r="AW79" s="12" t="inlineStr">
        <is>
          <t>providers=world_bank; fields=personal_safety_raw, digital_infrastructure_raw</t>
        </is>
      </c>
      <c r="AX79" s="12" t="inlineStr">
        <is>
          <t>https://www.who.int/data/gho/data/indicators/indicator-details/GHO/UHC_INDEX_REPORTED | https://api.worldbank.org/v2/country/ARG/indicator/SE.TER.ENRR?format=json&amp;mrv=10 | https://api.worldbank.org/v2/country/ARG/indicator/SI.POV.GINI?format=json&amp;mrv=10 | +1 more</t>
        </is>
      </c>
      <c r="AY79" s="12" t="inlineStr">
        <is>
          <t>Tier 3</t>
        </is>
      </c>
      <c r="AZ79" s="12" t="inlineStr">
        <is>
          <t>2024-12-31</t>
        </is>
      </c>
      <c r="BA79" s="12" t="inlineStr">
        <is>
          <t>providers=who_gho, world_bank; fields=healthcare_quality_raw, education_quality_raw, equal_opportunity_raw, gini_coefficient</t>
        </is>
      </c>
      <c r="BB79" s="12" t="inlineStr">
        <is>
          <t>https://api.worldbank.org/v2/country/ARG/indicator/SM.POP.NETM?format=json&amp;mrv=10 | https://api.worldbank.org/v2/country/ARG/indicator/SG.GEN.PARL.ZS?format=json&amp;mrv=10 | https://api.worldbank.org/v2/country/ARG/indicator/ST.INT.ARVL?format=json&amp;mrv=10 | +1 more</t>
        </is>
      </c>
      <c r="BC79" s="12" t="inlineStr">
        <is>
          <t>Tier 3</t>
        </is>
      </c>
      <c r="BD79" s="12" t="inlineStr">
        <is>
          <t>2025-12-31</t>
        </is>
      </c>
      <c r="BE79" s="12" t="inlineStr">
        <is>
          <t>providers=world_bank; fields=hospitality_belonging_raw, tolerance_pluralism_raw, cultural_public_life_raw, birth_rate_optimism_raw</t>
        </is>
      </c>
      <c r="BF79" s="12" t="inlineStr">
        <is>
          <t>https://api.worldbank.org/v2/country/ARG/indicator/IC.BUS.NDNS.ZS?format=json&amp;mrv=10 | https://api.worldbank.org/v2/country/ARG/indicator/GB.XPD.RSDV.GD.ZS?format=json&amp;mrv=10 | https://api.worldbank.org/v2/country/ARG/indicator/BX.KLT.DINV.WD.GD.ZS?format=json&amp;mrv=10 | +3 more</t>
        </is>
      </c>
      <c r="BG79" s="12" t="inlineStr">
        <is>
          <t>Tier 3</t>
        </is>
      </c>
      <c r="BH79" s="12" t="inlineStr">
        <is>
          <t>2024-12-31</t>
        </is>
      </c>
      <c r="BI79" s="12" t="inlineStr">
        <is>
          <t>providers=world_bank; fields=entrepreneurial_dynamism_raw, innovation_research_intensity_raw, investment_signal_raw, administrative_investment_friction_raw; +2 additional fields</t>
        </is>
      </c>
      <c r="BJ79" s="9" t="n">
        <v>1.56</v>
      </c>
    </row>
    <row r="80">
      <c r="A80" s="9" t="inlineStr">
        <is>
          <t>cl-valparaiso</t>
        </is>
      </c>
      <c r="B80" s="9" t="inlineStr">
        <is>
          <t>Valparaiso</t>
        </is>
      </c>
      <c r="C80" s="9" t="inlineStr">
        <is>
          <t>Chile</t>
        </is>
      </c>
      <c r="D80" s="9" t="inlineStr">
        <is>
          <t>Latin America</t>
        </is>
      </c>
      <c r="E80" s="9" t="inlineStr">
        <is>
          <t>secondary</t>
        </is>
      </c>
      <c r="F80" s="9" t="inlineStr">
        <is>
          <t>provisional</t>
        </is>
      </c>
      <c r="G80" s="10" t="n">
        <v>2860</v>
      </c>
      <c r="H80" s="10" t="n">
        <v>572</v>
      </c>
      <c r="I80" s="10" t="n">
        <v>137.28</v>
      </c>
      <c r="J80" s="10" t="n">
        <v>91.52</v>
      </c>
      <c r="K80" s="10" t="n">
        <v>34.32</v>
      </c>
      <c r="L80" s="10" t="n">
        <v>503.36</v>
      </c>
      <c r="M80" s="11" t="inlineStr"/>
      <c r="N80" s="10" t="n">
        <v>20</v>
      </c>
      <c r="O80" s="10" t="n">
        <v>74.9355</v>
      </c>
      <c r="P80" s="11">
        <f>IF($O80&lt;&gt;"",$O80,$AO80)</f>
        <v/>
      </c>
      <c r="Q80" s="10" t="n">
        <v>38.94</v>
      </c>
      <c r="R80" s="10" t="n">
        <v>7.69</v>
      </c>
      <c r="S80" s="10" t="n">
        <v>6.35</v>
      </c>
      <c r="T80" s="10" t="inlineStr"/>
      <c r="U80" s="10" t="inlineStr"/>
      <c r="V80" s="10" t="n">
        <v>97.81999999999999</v>
      </c>
      <c r="W80" s="10" t="n">
        <v>23</v>
      </c>
      <c r="X80" s="9" t="inlineStr"/>
      <c r="Y80" s="10" t="n">
        <v>84</v>
      </c>
      <c r="Z80" s="10" t="n">
        <v>104.73</v>
      </c>
      <c r="AA80" s="10" t="n">
        <v>43</v>
      </c>
      <c r="AB80" s="10" t="n">
        <v>52.62</v>
      </c>
      <c r="AC80" s="10" t="n">
        <v>35.48</v>
      </c>
      <c r="AD80" s="10" t="n">
        <v>274.78</v>
      </c>
      <c r="AE80" s="10" t="n">
        <v>10.82</v>
      </c>
      <c r="AF80" s="10" t="n">
        <v>0.36</v>
      </c>
      <c r="AG80" s="10" t="n">
        <v>3.79</v>
      </c>
      <c r="AH80" s="10" t="n">
        <v>1.57</v>
      </c>
      <c r="AI80" s="10" t="inlineStr"/>
      <c r="AJ80" s="11">
        <f>IFERROR(INDEX(Country_Context!$B$2:$B$87,MATCH($C80,Country_Context!$A$2:$A$87,0)),"")</f>
        <v/>
      </c>
      <c r="AK80" s="11">
        <f>IFERROR(INDEX(Country_Context!$C$2:$C$87,MATCH($C80,Country_Context!$A$2:$A$87,0)),"")</f>
        <v/>
      </c>
      <c r="AL80" s="11">
        <f>IFERROR(INDEX(Country_Context!$D$2:$D$87,MATCH($C80,Country_Context!$A$2:$A$87,0)),"")</f>
        <v/>
      </c>
      <c r="AM80" s="11">
        <f>IFERROR(INDEX(Country_Context!$E$2:$E$87,MATCH($C80,Country_Context!$A$2:$A$87,0)),"")</f>
        <v/>
      </c>
      <c r="AN80" s="11">
        <f>IFERROR(INDEX(Country_Context!$F$2:$F$87,MATCH($C80,Country_Context!$A$2:$A$87,0)),"")</f>
        <v/>
      </c>
      <c r="AO80" s="11">
        <f>IFERROR(INDEX(Country_Context!$G$2:$G$87,MATCH($C80,Country_Context!$A$2:$A$87,0)),"")</f>
        <v/>
      </c>
      <c r="AP80" s="12" t="inlineStr">
        <is>
          <t>https://api.worldbank.org/v2/country/CHL/indicator/NY.GNP.PCAP.PP.CD?format=json&amp;mrv=10 | https://data.worldbank.org/indicator/NY.GNP.PCAP.PP.CD | https://ilostat.ilo.org/data/indicator/?id=HOW_TEMP_SEX_ECO_NB_A&amp;ref_area=CHL | +4 more</t>
        </is>
      </c>
      <c r="AQ80" s="12" t="inlineStr">
        <is>
          <t>Tier 3, Tier 4</t>
        </is>
      </c>
      <c r="AR80" s="12" t="inlineStr">
        <is>
          <t>2025-12-31</t>
        </is>
      </c>
      <c r="AS80" s="12" t="inlineStr">
        <is>
          <t>providers=world_bank_col_estimate, derived, ilo_ilostat, who_gho; fields=gross_income, rent, utilities, transit_cost; +9 additional fields</t>
        </is>
      </c>
      <c r="AT80" s="12" t="inlineStr">
        <is>
          <t>https://api.worldbank.org/v2/country/CHL/indicator/VC.IHR.PSRC.P5?format=json&amp;mrv=10 | https://api.worldbank.org/v2/country/CHL/indicator/SH.H2O.SMDW.ZS?format=json&amp;mrv=10 | https://api.worldbank.org/v2/country/CHL/indicator/IT.NET.BBND.P2?format=json&amp;mrv=10</t>
        </is>
      </c>
      <c r="AU80" s="12" t="inlineStr">
        <is>
          <t>Tier 3</t>
        </is>
      </c>
      <c r="AV80" s="12" t="inlineStr">
        <is>
          <t>2024-12-31</t>
        </is>
      </c>
      <c r="AW80" s="12" t="inlineStr">
        <is>
          <t>providers=world_bank; fields=personal_safety_raw, water_sanitation_utility_raw, digital_infrastructure_raw</t>
        </is>
      </c>
      <c r="AX80" s="12" t="inlineStr">
        <is>
          <t>https://www.who.int/data/gho/data/indicators/indicator-details/GHO/UHC_INDEX_REPORTED | https://api.worldbank.org/v2/country/CHL/indicator/SE.TER.ENRR?format=json&amp;mrv=10 | https://api.worldbank.org/v2/country/CHL/indicator/SI.POV.GINI?format=json&amp;mrv=10 | +1 more</t>
        </is>
      </c>
      <c r="AY80" s="12" t="inlineStr">
        <is>
          <t>Tier 3</t>
        </is>
      </c>
      <c r="AZ80" s="12" t="inlineStr">
        <is>
          <t>2023-12-31</t>
        </is>
      </c>
      <c r="BA80" s="12" t="inlineStr">
        <is>
          <t>providers=who_gho, world_bank; fields=healthcare_quality_raw, education_quality_raw, equal_opportunity_raw, gini_coefficient</t>
        </is>
      </c>
      <c r="BB80" s="12" t="inlineStr">
        <is>
          <t>https://api.worldbank.org/v2/country/CHL/indicator/SM.POP.NETM?format=json&amp;mrv=10 | https://api.worldbank.org/v2/country/CHL/indicator/SG.GEN.PARL.ZS?format=json&amp;mrv=10 | https://api.worldbank.org/v2/country/CHL/indicator/ST.INT.ARVL?format=json&amp;mrv=10 | +1 more</t>
        </is>
      </c>
      <c r="BC80" s="12" t="inlineStr">
        <is>
          <t>Tier 3</t>
        </is>
      </c>
      <c r="BD80" s="12" t="inlineStr">
        <is>
          <t>2025-12-31</t>
        </is>
      </c>
      <c r="BE80" s="12" t="inlineStr">
        <is>
          <t>providers=world_bank; fields=hospitality_belonging_raw, tolerance_pluralism_raw, cultural_public_life_raw, birth_rate_optimism_raw</t>
        </is>
      </c>
      <c r="BF80" s="12" t="inlineStr">
        <is>
          <t>https://api.worldbank.org/v2/country/CHL/indicator/IC.BUS.NDNS.ZS?format=json&amp;mrv=10 | https://api.worldbank.org/v2/country/CHL/indicator/GB.XPD.RSDV.GD.ZS?format=json&amp;mrv=10 | https://api.worldbank.org/v2/country/CHL/indicator/BX.KLT.DINV.WD.GD.ZS?format=json&amp;mrv=10 | +3 more</t>
        </is>
      </c>
      <c r="BG80" s="12" t="inlineStr">
        <is>
          <t>Tier 3</t>
        </is>
      </c>
      <c r="BH80" s="12" t="inlineStr">
        <is>
          <t>2024-12-31</t>
        </is>
      </c>
      <c r="BI80" s="12" t="inlineStr">
        <is>
          <t>providers=world_bank; fields=entrepreneurial_dynamism_raw, innovation_research_intensity_raw, investment_signal_raw, administrative_investment_friction_raw; +2 additional fields</t>
        </is>
      </c>
      <c r="BJ80" s="9" t="n">
        <v>1.44</v>
      </c>
    </row>
    <row r="81">
      <c r="A81" s="9" t="inlineStr">
        <is>
          <t>ae-dubai</t>
        </is>
      </c>
      <c r="B81" s="9" t="inlineStr">
        <is>
          <t>Dubai</t>
        </is>
      </c>
      <c r="C81" s="9" t="inlineStr">
        <is>
          <t>United Arab Emirates</t>
        </is>
      </c>
      <c r="D81" s="9" t="inlineStr">
        <is>
          <t>Middle East</t>
        </is>
      </c>
      <c r="E81" s="9" t="inlineStr">
        <is>
          <t>primary</t>
        </is>
      </c>
      <c r="F81" s="9" t="inlineStr">
        <is>
          <t>locked</t>
        </is>
      </c>
      <c r="G81" s="10" t="n">
        <v>7473.58</v>
      </c>
      <c r="H81" s="10" t="n">
        <v>2335.49</v>
      </c>
      <c r="I81" s="10" t="n">
        <v>467.1</v>
      </c>
      <c r="J81" s="10" t="n">
        <v>373.68</v>
      </c>
      <c r="K81" s="10" t="n">
        <v>140.13</v>
      </c>
      <c r="L81" s="10" t="n">
        <v>1681.56</v>
      </c>
      <c r="M81" s="11" t="inlineStr"/>
      <c r="N81" s="10" t="n">
        <v>31.2499</v>
      </c>
      <c r="O81" s="10" t="n">
        <v>67.9658</v>
      </c>
      <c r="P81" s="11">
        <f>IF($O81&lt;&gt;"",$O81,$AO81)</f>
        <v/>
      </c>
      <c r="Q81" s="10" t="n">
        <v>50.82</v>
      </c>
      <c r="R81" s="10" t="n">
        <v>1.71</v>
      </c>
      <c r="S81" s="10" t="n">
        <v>0.6899999999999999</v>
      </c>
      <c r="T81" s="10" t="inlineStr"/>
      <c r="U81" s="10" t="inlineStr"/>
      <c r="V81" s="10" t="n">
        <v>98.64</v>
      </c>
      <c r="W81" s="10" t="n">
        <v>37.1</v>
      </c>
      <c r="X81" s="9" t="n">
        <v>35</v>
      </c>
      <c r="Y81" s="10" t="n">
        <v>84</v>
      </c>
      <c r="Z81" s="10" t="n">
        <v>63.74</v>
      </c>
      <c r="AA81" s="10" t="n">
        <v>26.4</v>
      </c>
      <c r="AB81" s="10" t="n">
        <v>64.44</v>
      </c>
      <c r="AC81" s="10" t="n">
        <v>50</v>
      </c>
      <c r="AD81" s="10" t="n">
        <v>735.8200000000001</v>
      </c>
      <c r="AE81" s="10" t="n">
        <v>2.46</v>
      </c>
      <c r="AF81" s="10" t="n">
        <v>1.49</v>
      </c>
      <c r="AG81" s="10" t="n">
        <v>8.26</v>
      </c>
      <c r="AH81" s="10" t="n">
        <v>1.46</v>
      </c>
      <c r="AI81" s="10" t="inlineStr"/>
      <c r="AJ81" s="11">
        <f>IFERROR(INDEX(Country_Context!$B$2:$B$87,MATCH($C81,Country_Context!$A$2:$A$87,0)),"")</f>
        <v/>
      </c>
      <c r="AK81" s="11">
        <f>IFERROR(INDEX(Country_Context!$C$2:$C$87,MATCH($C81,Country_Context!$A$2:$A$87,0)),"")</f>
        <v/>
      </c>
      <c r="AL81" s="11">
        <f>IFERROR(INDEX(Country_Context!$D$2:$D$87,MATCH($C81,Country_Context!$A$2:$A$87,0)),"")</f>
        <v/>
      </c>
      <c r="AM81" s="11">
        <f>IFERROR(INDEX(Country_Context!$E$2:$E$87,MATCH($C81,Country_Context!$A$2:$A$87,0)),"")</f>
        <v/>
      </c>
      <c r="AN81" s="11">
        <f>IFERROR(INDEX(Country_Context!$F$2:$F$87,MATCH($C81,Country_Context!$A$2:$A$87,0)),"")</f>
        <v/>
      </c>
      <c r="AO81" s="11">
        <f>IFERROR(INDEX(Country_Context!$G$2:$G$87,MATCH($C81,Country_Context!$A$2:$A$87,0)),"")</f>
        <v/>
      </c>
      <c r="AP81" s="12" t="inlineStr">
        <is>
          <t>https://api.worldbank.org/v2/country/ARE/indicator/NY.GNP.PCAP.PP.CD?format=json&amp;mrv=10 | https://data.worldbank.org/indicator/NY.GNP.PCAP.PP.CD | https://ilostat.ilo.org/data/indicator/?id=HOW_TEMP_SEX_ECO_NB_A&amp;ref_area=ARE | +4 more</t>
        </is>
      </c>
      <c r="AQ81" s="12" t="inlineStr">
        <is>
          <t>Tier 3, Tier 4</t>
        </is>
      </c>
      <c r="AR81" s="12" t="inlineStr">
        <is>
          <t>2024-12-31</t>
        </is>
      </c>
      <c r="AS81" s="12" t="inlineStr">
        <is>
          <t>providers=world_bank_col_estimate, derived, ilo_ilostat, who_gho; fields=gross_income, rent, utilities, transit_cost; +9 additional fields</t>
        </is>
      </c>
      <c r="AT81" s="12" t="inlineStr">
        <is>
          <t>https://api.worldbank.org/v2/country/ARE/indicator/VC.IHR.PSRC.P5?format=json&amp;mrv=10 | https://api.worldbank.org/v2/country/ARE/indicator/SH.H2O.SMDW.ZS?format=json&amp;mrv=10 | https://api.worldbank.org/v2/country/ARE/indicator/IT.NET.BBND.P2?format=json&amp;mrv=10 | +1 more</t>
        </is>
      </c>
      <c r="AU81" s="12" t="inlineStr">
        <is>
          <t>Tier 3</t>
        </is>
      </c>
      <c r="AV81" s="12" t="inlineStr">
        <is>
          <t>2024-12-31</t>
        </is>
      </c>
      <c r="AW81" s="12" t="inlineStr">
        <is>
          <t>providers=world_bank, wmo_natl_met; fields=personal_safety_raw, water_sanitation_utility_raw, digital_infrastructure_raw, climate_sunlight_livability_raw</t>
        </is>
      </c>
      <c r="AX81" s="12" t="inlineStr">
        <is>
          <t>https://www.who.int/data/gho/data/indicators/indicator-details/GHO/UHC_INDEX_REPORTED | https://api.worldbank.org/v2/country/ARE/indicator/SE.TER.ENRR?format=json&amp;mrv=10 | https://api.worldbank.org/v2/country/ARE/indicator/SI.POV.GINI?format=json&amp;mrv=10 | +1 more</t>
        </is>
      </c>
      <c r="AY81" s="12" t="inlineStr">
        <is>
          <t>Tier 3</t>
        </is>
      </c>
      <c r="AZ81" s="12" t="inlineStr">
        <is>
          <t>2024-12-31</t>
        </is>
      </c>
      <c r="BA81" s="12" t="inlineStr">
        <is>
          <t>providers=who_gho, world_bank; fields=healthcare_quality_raw, education_quality_raw, equal_opportunity_raw, gini_coefficient</t>
        </is>
      </c>
      <c r="BB81" s="12" t="inlineStr">
        <is>
          <t>https://api.worldbank.org/v2/country/ARE/indicator/SM.POP.NETM?format=json&amp;mrv=10 | https://api.worldbank.org/v2/country/ARE/indicator/SG.GEN.PARL.ZS?format=json&amp;mrv=10 | https://api.worldbank.org/v2/country/ARE/indicator/ST.INT.ARVL?format=json&amp;mrv=10</t>
        </is>
      </c>
      <c r="BC81" s="12" t="inlineStr">
        <is>
          <t>Tier 3</t>
        </is>
      </c>
      <c r="BD81" s="12" t="inlineStr">
        <is>
          <t>2025-12-31</t>
        </is>
      </c>
      <c r="BE81" s="12" t="inlineStr">
        <is>
          <t>providers=world_bank; fields=hospitality_belonging_raw, tolerance_pluralism_raw, cultural_public_life_raw</t>
        </is>
      </c>
      <c r="BF81" s="12" t="inlineStr">
        <is>
          <t>https://api.worldbank.org/v2/country/ARE/indicator/IC.BUS.NDNS.ZS?format=json&amp;mrv=10 | https://api.worldbank.org/v2/country/ARE/indicator/GB.XPD.RSDV.GD.ZS?format=json&amp;mrv=10 | https://api.worldbank.org/v2/country/ARE/indicator/BX.KLT.DINV.WD.GD.ZS?format=json&amp;mrv=10 | +3 more</t>
        </is>
      </c>
      <c r="BG81" s="12" t="inlineStr">
        <is>
          <t>Tier 3</t>
        </is>
      </c>
      <c r="BH81" s="12" t="inlineStr">
        <is>
          <t>2024-12-31</t>
        </is>
      </c>
      <c r="BI81" s="12" t="inlineStr">
        <is>
          <t>providers=world_bank; fields=entrepreneurial_dynamism_raw, innovation_research_intensity_raw, investment_signal_raw, administrative_investment_friction_raw; +2 additional fields</t>
        </is>
      </c>
      <c r="BJ81" s="9" t="inlineStr"/>
    </row>
    <row r="82">
      <c r="A82" s="9" t="inlineStr">
        <is>
          <t>ae-abu-dhabi</t>
        </is>
      </c>
      <c r="B82" s="9" t="inlineStr">
        <is>
          <t>Abu Dhabi</t>
        </is>
      </c>
      <c r="C82" s="9" t="inlineStr">
        <is>
          <t>United Arab Emirates</t>
        </is>
      </c>
      <c r="D82" s="9" t="inlineStr">
        <is>
          <t>Middle East</t>
        </is>
      </c>
      <c r="E82" s="9" t="inlineStr">
        <is>
          <t>primary</t>
        </is>
      </c>
      <c r="F82" s="9" t="inlineStr">
        <is>
          <t>locked</t>
        </is>
      </c>
      <c r="G82" s="10" t="n">
        <v>7813.29</v>
      </c>
      <c r="H82" s="10" t="n">
        <v>2343.99</v>
      </c>
      <c r="I82" s="10" t="n">
        <v>468.8</v>
      </c>
      <c r="J82" s="10" t="n">
        <v>375.04</v>
      </c>
      <c r="K82" s="10" t="n">
        <v>140.64</v>
      </c>
      <c r="L82" s="10" t="n">
        <v>1687.67</v>
      </c>
      <c r="M82" s="11" t="inlineStr"/>
      <c r="N82" s="10" t="n">
        <v>30</v>
      </c>
      <c r="O82" s="10" t="n">
        <v>67.9658</v>
      </c>
      <c r="P82" s="11">
        <f>IF($O82&lt;&gt;"",$O82,$AO82)</f>
        <v/>
      </c>
      <c r="Q82" s="10" t="n">
        <v>50.82</v>
      </c>
      <c r="R82" s="10" t="n">
        <v>1.71</v>
      </c>
      <c r="S82" s="10" t="n">
        <v>0.6899999999999999</v>
      </c>
      <c r="T82" s="10" t="inlineStr"/>
      <c r="U82" s="10" t="inlineStr"/>
      <c r="V82" s="10" t="n">
        <v>98.64</v>
      </c>
      <c r="W82" s="10" t="n">
        <v>37.1</v>
      </c>
      <c r="X82" s="9" t="n">
        <v>33</v>
      </c>
      <c r="Y82" s="10" t="n">
        <v>84</v>
      </c>
      <c r="Z82" s="10" t="n">
        <v>63.74</v>
      </c>
      <c r="AA82" s="10" t="n">
        <v>26.4</v>
      </c>
      <c r="AB82" s="10" t="n">
        <v>64.44</v>
      </c>
      <c r="AC82" s="10" t="n">
        <v>50</v>
      </c>
      <c r="AD82" s="10" t="n">
        <v>735.8200000000001</v>
      </c>
      <c r="AE82" s="10" t="n">
        <v>2.46</v>
      </c>
      <c r="AF82" s="10" t="n">
        <v>1.49</v>
      </c>
      <c r="AG82" s="10" t="n">
        <v>8.26</v>
      </c>
      <c r="AH82" s="10" t="n">
        <v>1.46</v>
      </c>
      <c r="AI82" s="10" t="inlineStr"/>
      <c r="AJ82" s="11">
        <f>IFERROR(INDEX(Country_Context!$B$2:$B$87,MATCH($C82,Country_Context!$A$2:$A$87,0)),"")</f>
        <v/>
      </c>
      <c r="AK82" s="11">
        <f>IFERROR(INDEX(Country_Context!$C$2:$C$87,MATCH($C82,Country_Context!$A$2:$A$87,0)),"")</f>
        <v/>
      </c>
      <c r="AL82" s="11">
        <f>IFERROR(INDEX(Country_Context!$D$2:$D$87,MATCH($C82,Country_Context!$A$2:$A$87,0)),"")</f>
        <v/>
      </c>
      <c r="AM82" s="11">
        <f>IFERROR(INDEX(Country_Context!$E$2:$E$87,MATCH($C82,Country_Context!$A$2:$A$87,0)),"")</f>
        <v/>
      </c>
      <c r="AN82" s="11">
        <f>IFERROR(INDEX(Country_Context!$F$2:$F$87,MATCH($C82,Country_Context!$A$2:$A$87,0)),"")</f>
        <v/>
      </c>
      <c r="AO82" s="11">
        <f>IFERROR(INDEX(Country_Context!$G$2:$G$87,MATCH($C82,Country_Context!$A$2:$A$87,0)),"")</f>
        <v/>
      </c>
      <c r="AP82" s="12" t="inlineStr">
        <is>
          <t>https://api.worldbank.org/v2/country/ARE/indicator/NY.GNP.PCAP.PP.CD?format=json&amp;mrv=10 | https://data.worldbank.org/indicator/NY.GNP.PCAP.PP.CD | https://ilostat.ilo.org/data/indicator/?id=HOW_TEMP_SEX_ECO_NB_A&amp;ref_area=ARE | +4 more</t>
        </is>
      </c>
      <c r="AQ82" s="12" t="inlineStr">
        <is>
          <t>Tier 3, Tier 4</t>
        </is>
      </c>
      <c r="AR82" s="12" t="inlineStr">
        <is>
          <t>2024-12-31</t>
        </is>
      </c>
      <c r="AS82" s="12" t="inlineStr">
        <is>
          <t>providers=world_bank_col_estimate, derived, ilo_ilostat, who_gho; fields=gross_income, rent, utilities, transit_cost; +9 additional fields</t>
        </is>
      </c>
      <c r="AT82" s="12" t="inlineStr">
        <is>
          <t>https://api.worldbank.org/v2/country/ARE/indicator/VC.IHR.PSRC.P5?format=json&amp;mrv=10 | https://api.worldbank.org/v2/country/ARE/indicator/SH.H2O.SMDW.ZS?format=json&amp;mrv=10 | https://api.worldbank.org/v2/country/ARE/indicator/IT.NET.BBND.P2?format=json&amp;mrv=10 | +1 more</t>
        </is>
      </c>
      <c r="AU82" s="12" t="inlineStr">
        <is>
          <t>Tier 3</t>
        </is>
      </c>
      <c r="AV82" s="12" t="inlineStr">
        <is>
          <t>2024-12-31</t>
        </is>
      </c>
      <c r="AW82" s="12" t="inlineStr">
        <is>
          <t>providers=world_bank, wmo_natl_met; fields=personal_safety_raw, water_sanitation_utility_raw, digital_infrastructure_raw, climate_sunlight_livability_raw</t>
        </is>
      </c>
      <c r="AX82" s="12" t="inlineStr">
        <is>
          <t>https://www.who.int/data/gho/data/indicators/indicator-details/GHO/UHC_INDEX_REPORTED | https://api.worldbank.org/v2/country/ARE/indicator/SE.TER.ENRR?format=json&amp;mrv=10 | https://api.worldbank.org/v2/country/ARE/indicator/SI.POV.GINI?format=json&amp;mrv=10 | +1 more</t>
        </is>
      </c>
      <c r="AY82" s="12" t="inlineStr">
        <is>
          <t>Tier 3</t>
        </is>
      </c>
      <c r="AZ82" s="12" t="inlineStr">
        <is>
          <t>2024-12-31</t>
        </is>
      </c>
      <c r="BA82" s="12" t="inlineStr">
        <is>
          <t>providers=who_gho, world_bank; fields=healthcare_quality_raw, education_quality_raw, equal_opportunity_raw, gini_coefficient</t>
        </is>
      </c>
      <c r="BB82" s="12" t="inlineStr">
        <is>
          <t>https://api.worldbank.org/v2/country/ARE/indicator/SM.POP.NETM?format=json&amp;mrv=10 | https://api.worldbank.org/v2/country/ARE/indicator/SG.GEN.PARL.ZS?format=json&amp;mrv=10 | https://api.worldbank.org/v2/country/ARE/indicator/ST.INT.ARVL?format=json&amp;mrv=10</t>
        </is>
      </c>
      <c r="BC82" s="12" t="inlineStr">
        <is>
          <t>Tier 3</t>
        </is>
      </c>
      <c r="BD82" s="12" t="inlineStr">
        <is>
          <t>2025-12-31</t>
        </is>
      </c>
      <c r="BE82" s="12" t="inlineStr">
        <is>
          <t>providers=world_bank; fields=hospitality_belonging_raw, tolerance_pluralism_raw, cultural_public_life_raw</t>
        </is>
      </c>
      <c r="BF82" s="12" t="inlineStr">
        <is>
          <t>https://api.worldbank.org/v2/country/ARE/indicator/IC.BUS.NDNS.ZS?format=json&amp;mrv=10 | https://api.worldbank.org/v2/country/ARE/indicator/GB.XPD.RSDV.GD.ZS?format=json&amp;mrv=10 | https://api.worldbank.org/v2/country/ARE/indicator/BX.KLT.DINV.WD.GD.ZS?format=json&amp;mrv=10 | +3 more</t>
        </is>
      </c>
      <c r="BG82" s="12" t="inlineStr">
        <is>
          <t>Tier 3</t>
        </is>
      </c>
      <c r="BH82" s="12" t="inlineStr">
        <is>
          <t>2024-12-31</t>
        </is>
      </c>
      <c r="BI82" s="12" t="inlineStr">
        <is>
          <t>providers=world_bank; fields=entrepreneurial_dynamism_raw, innovation_research_intensity_raw, investment_signal_raw, administrative_investment_friction_raw; +2 additional fields</t>
        </is>
      </c>
      <c r="BJ82" s="9" t="inlineStr"/>
    </row>
    <row r="83">
      <c r="A83" s="9" t="inlineStr">
        <is>
          <t>qa-doha</t>
        </is>
      </c>
      <c r="B83" s="9" t="inlineStr">
        <is>
          <t>Doha</t>
        </is>
      </c>
      <c r="C83" s="9" t="inlineStr">
        <is>
          <t>Qatar</t>
        </is>
      </c>
      <c r="D83" s="9" t="inlineStr">
        <is>
          <t>Middle East</t>
        </is>
      </c>
      <c r="E83" s="9" t="inlineStr">
        <is>
          <t>primary</t>
        </is>
      </c>
      <c r="F83" s="9" t="inlineStr">
        <is>
          <t>locked</t>
        </is>
      </c>
      <c r="G83" s="10" t="n">
        <v>10158.33</v>
      </c>
      <c r="H83" s="10" t="n">
        <v>3047.5</v>
      </c>
      <c r="I83" s="10" t="n">
        <v>609.5</v>
      </c>
      <c r="J83" s="10" t="n">
        <v>487.6</v>
      </c>
      <c r="K83" s="10" t="n">
        <v>182.85</v>
      </c>
      <c r="L83" s="10" t="n">
        <v>2194.2</v>
      </c>
      <c r="M83" s="11" t="inlineStr"/>
      <c r="N83" s="10" t="n">
        <v>30</v>
      </c>
      <c r="O83" s="10" t="n">
        <v>118.8652</v>
      </c>
      <c r="P83" s="11">
        <f>IF($O83&lt;&gt;"",$O83,$AO83)</f>
        <v/>
      </c>
      <c r="Q83" s="10" t="n">
        <v>48</v>
      </c>
      <c r="R83" s="10" t="n">
        <v>4.7</v>
      </c>
      <c r="S83" s="10" t="n">
        <v>0.07000000000000001</v>
      </c>
      <c r="T83" s="10" t="inlineStr"/>
      <c r="U83" s="10" t="inlineStr"/>
      <c r="V83" s="10" t="n">
        <v>95.34999999999999</v>
      </c>
      <c r="W83" s="10" t="n">
        <v>11.64</v>
      </c>
      <c r="X83" s="9" t="n">
        <v>32</v>
      </c>
      <c r="Y83" s="10" t="n">
        <v>84</v>
      </c>
      <c r="Z83" s="10" t="n">
        <v>35.09</v>
      </c>
      <c r="AA83" s="10" t="n">
        <v>35.1</v>
      </c>
      <c r="AB83" s="10" t="n">
        <v>62.7</v>
      </c>
      <c r="AC83" s="10" t="n">
        <v>4.44</v>
      </c>
      <c r="AD83" s="10" t="n">
        <v>203.65</v>
      </c>
      <c r="AE83" s="10" t="n">
        <v>6.31</v>
      </c>
      <c r="AF83" s="10" t="n">
        <v>0.68</v>
      </c>
      <c r="AG83" s="10" t="n">
        <v>0.21</v>
      </c>
      <c r="AH83" s="10" t="n">
        <v>1.52</v>
      </c>
      <c r="AI83" s="10" t="inlineStr"/>
      <c r="AJ83" s="11">
        <f>IFERROR(INDEX(Country_Context!$B$2:$B$87,MATCH($C83,Country_Context!$A$2:$A$87,0)),"")</f>
        <v/>
      </c>
      <c r="AK83" s="11">
        <f>IFERROR(INDEX(Country_Context!$C$2:$C$87,MATCH($C83,Country_Context!$A$2:$A$87,0)),"")</f>
        <v/>
      </c>
      <c r="AL83" s="11">
        <f>IFERROR(INDEX(Country_Context!$D$2:$D$87,MATCH($C83,Country_Context!$A$2:$A$87,0)),"")</f>
        <v/>
      </c>
      <c r="AM83" s="11">
        <f>IFERROR(INDEX(Country_Context!$E$2:$E$87,MATCH($C83,Country_Context!$A$2:$A$87,0)),"")</f>
        <v/>
      </c>
      <c r="AN83" s="11">
        <f>IFERROR(INDEX(Country_Context!$F$2:$F$87,MATCH($C83,Country_Context!$A$2:$A$87,0)),"")</f>
        <v/>
      </c>
      <c r="AO83" s="11">
        <f>IFERROR(INDEX(Country_Context!$G$2:$G$87,MATCH($C83,Country_Context!$A$2:$A$87,0)),"")</f>
        <v/>
      </c>
      <c r="AP83" s="12" t="inlineStr">
        <is>
          <t>https://api.worldbank.org/v2/country/QAT/indicator/NY.GNP.PCAP.PP.CD?format=json&amp;mrv=10 | https://data.worldbank.org/indicator/NY.GNP.PCAP.PP.CD | https://ilostat.ilo.org/data/indicator/?id=HOW_TEMP_SEX_ECO_NB_A&amp;ref_area=QAT | +3 more</t>
        </is>
      </c>
      <c r="AQ83" s="12" t="inlineStr">
        <is>
          <t>Tier 3, Tier 4</t>
        </is>
      </c>
      <c r="AR83" s="12" t="inlineStr">
        <is>
          <t>2024-12-31</t>
        </is>
      </c>
      <c r="AS83" s="12" t="inlineStr">
        <is>
          <t>providers=world_bank_col_estimate, derived, ilo_ilostat, who_gho; fields=gross_income, rent, utilities, transit_cost; +8 additional fields</t>
        </is>
      </c>
      <c r="AT83" s="12" t="inlineStr">
        <is>
          <t>https://api.worldbank.org/v2/country/QAT/indicator/VC.IHR.PSRC.P5?format=json&amp;mrv=10 | https://api.worldbank.org/v2/country/QAT/indicator/SH.H2O.SMDW.ZS?format=json&amp;mrv=10 | https://api.worldbank.org/v2/country/QAT/indicator/IT.NET.BBND.P2?format=json&amp;mrv=10 | +1 more</t>
        </is>
      </c>
      <c r="AU83" s="12" t="inlineStr">
        <is>
          <t>Tier 3</t>
        </is>
      </c>
      <c r="AV83" s="12" t="inlineStr">
        <is>
          <t>2024-12-31</t>
        </is>
      </c>
      <c r="AW83" s="12" t="inlineStr">
        <is>
          <t>providers=world_bank, wmo_natl_met; fields=personal_safety_raw, water_sanitation_utility_raw, digital_infrastructure_raw, climate_sunlight_livability_raw</t>
        </is>
      </c>
      <c r="AX83" s="12" t="inlineStr">
        <is>
          <t>https://www.who.int/data/gho/data/indicators/indicator-details/GHO/UHC_INDEX_REPORTED | https://api.worldbank.org/v2/country/QAT/indicator/SE.TER.ENRR?format=json&amp;mrv=10 | https://api.worldbank.org/v2/country/QAT/indicator/SI.POV.GINI?format=json&amp;mrv=10 | +1 more</t>
        </is>
      </c>
      <c r="AY83" s="12" t="inlineStr">
        <is>
          <t>Tier 3</t>
        </is>
      </c>
      <c r="AZ83" s="12" t="inlineStr">
        <is>
          <t>2023-12-31</t>
        </is>
      </c>
      <c r="BA83" s="12" t="inlineStr">
        <is>
          <t>providers=who_gho, world_bank; fields=healthcare_quality_raw, education_quality_raw, equal_opportunity_raw, gini_coefficient</t>
        </is>
      </c>
      <c r="BB83" s="12" t="inlineStr">
        <is>
          <t>https://api.worldbank.org/v2/country/QAT/indicator/SM.POP.NETM?format=json&amp;mrv=10 | https://api.worldbank.org/v2/country/QAT/indicator/SG.GEN.PARL.ZS?format=json&amp;mrv=10 | https://api.worldbank.org/v2/country/QAT/indicator/ST.INT.ARVL?format=json&amp;mrv=10 | +1 more</t>
        </is>
      </c>
      <c r="BC83" s="12" t="inlineStr">
        <is>
          <t>Tier 3</t>
        </is>
      </c>
      <c r="BD83" s="12" t="inlineStr">
        <is>
          <t>2025-12-31</t>
        </is>
      </c>
      <c r="BE83" s="12" t="inlineStr">
        <is>
          <t>providers=world_bank; fields=hospitality_belonging_raw, tolerance_pluralism_raw, cultural_public_life_raw, birth_rate_optimism_raw</t>
        </is>
      </c>
      <c r="BF83" s="12" t="inlineStr">
        <is>
          <t>https://api.worldbank.org/v2/country/QAT/indicator/IC.BUS.NDNS.ZS?format=json&amp;mrv=10 | https://api.worldbank.org/v2/country/QAT/indicator/GB.XPD.RSDV.GD.ZS?format=json&amp;mrv=10 | https://api.worldbank.org/v2/country/QAT/indicator/BX.KLT.DINV.WD.GD.ZS?format=json&amp;mrv=10 | +3 more</t>
        </is>
      </c>
      <c r="BG83" s="12" t="inlineStr">
        <is>
          <t>Tier 3</t>
        </is>
      </c>
      <c r="BH83" s="12" t="inlineStr">
        <is>
          <t>2024-12-31</t>
        </is>
      </c>
      <c r="BI83" s="12" t="inlineStr">
        <is>
          <t>providers=world_bank; fields=entrepreneurial_dynamism_raw, innovation_research_intensity_raw, investment_signal_raw, administrative_investment_friction_raw; +2 additional fields</t>
        </is>
      </c>
      <c r="BJ83" s="9" t="n">
        <v>1.8</v>
      </c>
    </row>
    <row r="84">
      <c r="A84" s="9" t="inlineStr">
        <is>
          <t>sa-riyadh</t>
        </is>
      </c>
      <c r="B84" s="9" t="inlineStr">
        <is>
          <t>Riyadh</t>
        </is>
      </c>
      <c r="C84" s="9" t="inlineStr">
        <is>
          <t>Saudi Arabia</t>
        </is>
      </c>
      <c r="D84" s="9" t="inlineStr">
        <is>
          <t>Middle East</t>
        </is>
      </c>
      <c r="E84" s="9" t="inlineStr">
        <is>
          <t>primary</t>
        </is>
      </c>
      <c r="F84" s="9" t="inlineStr">
        <is>
          <t>provisional</t>
        </is>
      </c>
      <c r="G84" s="10" t="n">
        <v>5977.5</v>
      </c>
      <c r="H84" s="10" t="n">
        <v>1419.66</v>
      </c>
      <c r="I84" s="10" t="n">
        <v>283.93</v>
      </c>
      <c r="J84" s="10" t="n">
        <v>227.14</v>
      </c>
      <c r="K84" s="10" t="n">
        <v>85.18000000000001</v>
      </c>
      <c r="L84" s="10" t="n">
        <v>1022.15</v>
      </c>
      <c r="M84" s="11" t="inlineStr"/>
      <c r="N84" s="10" t="n">
        <v>23.7501</v>
      </c>
      <c r="O84" s="10" t="n">
        <v>50.1376</v>
      </c>
      <c r="P84" s="11">
        <f>IF($O84&lt;&gt;"",$O84,$AO84)</f>
        <v/>
      </c>
      <c r="Q84" s="10" t="inlineStr"/>
      <c r="R84" s="10" t="n">
        <v>0.95</v>
      </c>
      <c r="S84" s="10" t="n">
        <v>0.9399999999999999</v>
      </c>
      <c r="T84" s="10" t="inlineStr"/>
      <c r="U84" s="10" t="inlineStr"/>
      <c r="V84" s="10" t="inlineStr"/>
      <c r="W84" s="10" t="n">
        <v>43.57</v>
      </c>
      <c r="X84" s="9" t="n">
        <v>30</v>
      </c>
      <c r="Y84" s="10" t="n">
        <v>83</v>
      </c>
      <c r="Z84" s="10" t="n">
        <v>83.88</v>
      </c>
      <c r="AA84" s="10" t="inlineStr"/>
      <c r="AB84" s="10" t="n">
        <v>53.39</v>
      </c>
      <c r="AC84" s="10" t="n">
        <v>19.87</v>
      </c>
      <c r="AD84" s="10" t="n">
        <v>574.84</v>
      </c>
      <c r="AE84" s="10" t="n">
        <v>0.9</v>
      </c>
      <c r="AF84" s="10" t="n">
        <v>0.5600000000000001</v>
      </c>
      <c r="AG84" s="10" t="n">
        <v>1.72</v>
      </c>
      <c r="AH84" s="10" t="n">
        <v>1.98</v>
      </c>
      <c r="AI84" s="10" t="inlineStr"/>
      <c r="AJ84" s="11">
        <f>IFERROR(INDEX(Country_Context!$B$2:$B$87,MATCH($C84,Country_Context!$A$2:$A$87,0)),"")</f>
        <v/>
      </c>
      <c r="AK84" s="11">
        <f>IFERROR(INDEX(Country_Context!$C$2:$C$87,MATCH($C84,Country_Context!$A$2:$A$87,0)),"")</f>
        <v/>
      </c>
      <c r="AL84" s="11">
        <f>IFERROR(INDEX(Country_Context!$D$2:$D$87,MATCH($C84,Country_Context!$A$2:$A$87,0)),"")</f>
        <v/>
      </c>
      <c r="AM84" s="11">
        <f>IFERROR(INDEX(Country_Context!$E$2:$E$87,MATCH($C84,Country_Context!$A$2:$A$87,0)),"")</f>
        <v/>
      </c>
      <c r="AN84" s="11">
        <f>IFERROR(INDEX(Country_Context!$F$2:$F$87,MATCH($C84,Country_Context!$A$2:$A$87,0)),"")</f>
        <v/>
      </c>
      <c r="AO84" s="11">
        <f>IFERROR(INDEX(Country_Context!$G$2:$G$87,MATCH($C84,Country_Context!$A$2:$A$87,0)),"")</f>
        <v/>
      </c>
      <c r="AP84" s="12" t="inlineStr">
        <is>
          <t>https://api.worldbank.org/v2/country/SAU/indicator/NY.GNP.PCAP.PP.CD?format=json&amp;mrv=10 | https://data.worldbank.org/indicator/NY.GNP.PCAP.PP.CD | https://www.who.int/data/gho/data/indicators/indicator-details/GHO/SDGSUICIDE | +3 more</t>
        </is>
      </c>
      <c r="AQ84" s="12" t="inlineStr">
        <is>
          <t>Tier 3, Tier 4</t>
        </is>
      </c>
      <c r="AR84" s="12" t="inlineStr">
        <is>
          <t>2024-12-31</t>
        </is>
      </c>
      <c r="AS84" s="12" t="inlineStr">
        <is>
          <t>providers=world_bank_col_estimate, derived, who_gho, world_bank; fields=gross_income, rent, utilities, transit_cost; +8 additional fields</t>
        </is>
      </c>
      <c r="AT84" s="12" t="inlineStr">
        <is>
          <t>https://api.worldbank.org/v2/country/SAU/indicator/VC.IHR.PSRC.P5?format=json&amp;mrv=10 | https://api.worldbank.org/v2/country/SAU/indicator/IT.NET.BBND.P2?format=json&amp;mrv=10 | https://worldweather.wmo.int</t>
        </is>
      </c>
      <c r="AU84" s="12" t="inlineStr">
        <is>
          <t>Tier 3</t>
        </is>
      </c>
      <c r="AV84" s="12" t="inlineStr">
        <is>
          <t>2024-12-31</t>
        </is>
      </c>
      <c r="AW84" s="12" t="inlineStr">
        <is>
          <t>providers=world_bank, wmo_natl_met; fields=personal_safety_raw, digital_infrastructure_raw, climate_sunlight_livability_raw</t>
        </is>
      </c>
      <c r="AX84" s="12" t="inlineStr">
        <is>
          <t>https://www.who.int/data/gho/data/indicators/indicator-details/GHO/UHC_INDEX_REPORTED | https://api.worldbank.org/v2/country/SAU/indicator/SE.TER.ENRR?format=json&amp;mrv=10</t>
        </is>
      </c>
      <c r="AY84" s="12" t="inlineStr">
        <is>
          <t>Tier 3</t>
        </is>
      </c>
      <c r="AZ84" s="12" t="inlineStr">
        <is>
          <t>2024-12-31</t>
        </is>
      </c>
      <c r="BA84" s="12" t="inlineStr">
        <is>
          <t>providers=who_gho, world_bank; fields=healthcare_quality_raw, education_quality_raw</t>
        </is>
      </c>
      <c r="BB84" s="12" t="inlineStr">
        <is>
          <t>https://api.worldbank.org/v2/country/SAU/indicator/SM.POP.NETM?format=json&amp;mrv=10 | https://api.worldbank.org/v2/country/SAU/indicator/SG.GEN.PARL.ZS?format=json&amp;mrv=10 | https://api.worldbank.org/v2/country/SAU/indicator/ST.INT.ARVL?format=json&amp;mrv=10 | +1 more</t>
        </is>
      </c>
      <c r="BC84" s="12" t="inlineStr">
        <is>
          <t>Tier 3</t>
        </is>
      </c>
      <c r="BD84" s="12" t="inlineStr">
        <is>
          <t>2025-12-31</t>
        </is>
      </c>
      <c r="BE84" s="12" t="inlineStr">
        <is>
          <t>providers=world_bank; fields=hospitality_belonging_raw, tolerance_pluralism_raw, cultural_public_life_raw, birth_rate_optimism_raw</t>
        </is>
      </c>
      <c r="BF84" s="12" t="inlineStr">
        <is>
          <t>https://api.worldbank.org/v2/country/SAU/indicator/IC.BUS.NDNS.ZS?format=json&amp;mrv=10 | https://api.worldbank.org/v2/country/SAU/indicator/GB.XPD.RSDV.GD.ZS?format=json&amp;mrv=10 | https://api.worldbank.org/v2/country/SAU/indicator/BX.KLT.DINV.WD.GD.ZS?format=json&amp;mrv=10 | +3 more</t>
        </is>
      </c>
      <c r="BG84" s="12" t="inlineStr">
        <is>
          <t>Tier 3</t>
        </is>
      </c>
      <c r="BH84" s="12" t="inlineStr">
        <is>
          <t>2024-12-31</t>
        </is>
      </c>
      <c r="BI84" s="12" t="inlineStr">
        <is>
          <t>providers=world_bank; fields=entrepreneurial_dynamism_raw, innovation_research_intensity_raw, investment_signal_raw, administrative_investment_friction_raw; +2 additional fields</t>
        </is>
      </c>
      <c r="BJ84" s="9" t="n">
        <v>2.37</v>
      </c>
    </row>
    <row r="85">
      <c r="A85" s="9" t="inlineStr">
        <is>
          <t>il-tel-aviv</t>
        </is>
      </c>
      <c r="B85" s="9" t="inlineStr">
        <is>
          <t>Tel Aviv</t>
        </is>
      </c>
      <c r="C85" s="9" t="inlineStr">
        <is>
          <t>Israel</t>
        </is>
      </c>
      <c r="D85" s="9" t="inlineStr">
        <is>
          <t>Middle East</t>
        </is>
      </c>
      <c r="E85" s="9" t="inlineStr">
        <is>
          <t>primary</t>
        </is>
      </c>
      <c r="F85" s="9" t="inlineStr">
        <is>
          <t>provisional</t>
        </is>
      </c>
      <c r="G85" s="10" t="n">
        <v>5442.38</v>
      </c>
      <c r="H85" s="10" t="n">
        <v>1768.77</v>
      </c>
      <c r="I85" s="10" t="n">
        <v>353.75</v>
      </c>
      <c r="J85" s="10" t="n">
        <v>283</v>
      </c>
      <c r="K85" s="10" t="n">
        <v>106.13</v>
      </c>
      <c r="L85" s="10" t="n">
        <v>1273.52</v>
      </c>
      <c r="M85" s="11" t="inlineStr"/>
      <c r="N85" s="10" t="n">
        <v>32.4999</v>
      </c>
      <c r="O85" s="10" t="n">
        <v>69.7497</v>
      </c>
      <c r="P85" s="11">
        <f>IF($O85&lt;&gt;"",$O85,$AO85)</f>
        <v/>
      </c>
      <c r="Q85" s="10" t="n">
        <v>37.74</v>
      </c>
      <c r="R85" s="10" t="n">
        <v>4.37</v>
      </c>
      <c r="S85" s="10" t="n">
        <v>1.63</v>
      </c>
      <c r="T85" s="10" t="inlineStr"/>
      <c r="U85" s="10" t="inlineStr"/>
      <c r="V85" s="10" t="n">
        <v>99.45999999999999</v>
      </c>
      <c r="W85" s="10" t="n">
        <v>29.44</v>
      </c>
      <c r="X85" s="9" t="n">
        <v>72</v>
      </c>
      <c r="Y85" s="10" t="n">
        <v>85</v>
      </c>
      <c r="Z85" s="10" t="n">
        <v>55.84</v>
      </c>
      <c r="AA85" s="10" t="n">
        <v>37.9</v>
      </c>
      <c r="AB85" s="10" t="n">
        <v>51.15</v>
      </c>
      <c r="AC85" s="10" t="n">
        <v>25</v>
      </c>
      <c r="AD85" s="10" t="n">
        <v>491.76</v>
      </c>
      <c r="AE85" s="10" t="n">
        <v>3.06</v>
      </c>
      <c r="AF85" s="10" t="n">
        <v>6.02</v>
      </c>
      <c r="AG85" s="10" t="n">
        <v>2.73</v>
      </c>
      <c r="AH85" s="10" t="n">
        <v>1.38</v>
      </c>
      <c r="AI85" s="10" t="inlineStr"/>
      <c r="AJ85" s="11">
        <f>IFERROR(INDEX(Country_Context!$B$2:$B$87,MATCH($C85,Country_Context!$A$2:$A$87,0)),"")</f>
        <v/>
      </c>
      <c r="AK85" s="11">
        <f>IFERROR(INDEX(Country_Context!$C$2:$C$87,MATCH($C85,Country_Context!$A$2:$A$87,0)),"")</f>
        <v/>
      </c>
      <c r="AL85" s="11">
        <f>IFERROR(INDEX(Country_Context!$D$2:$D$87,MATCH($C85,Country_Context!$A$2:$A$87,0)),"")</f>
        <v/>
      </c>
      <c r="AM85" s="11">
        <f>IFERROR(INDEX(Country_Context!$E$2:$E$87,MATCH($C85,Country_Context!$A$2:$A$87,0)),"")</f>
        <v/>
      </c>
      <c r="AN85" s="11">
        <f>IFERROR(INDEX(Country_Context!$F$2:$F$87,MATCH($C85,Country_Context!$A$2:$A$87,0)),"")</f>
        <v/>
      </c>
      <c r="AO85" s="11">
        <f>IFERROR(INDEX(Country_Context!$G$2:$G$87,MATCH($C85,Country_Context!$A$2:$A$87,0)),"")</f>
        <v/>
      </c>
      <c r="AP85" s="12" t="inlineStr">
        <is>
          <t>https://api.worldbank.org/v2/country/ISR/indicator/NY.GNP.PCAP.PP.CD?format=json&amp;mrv=10 | https://data.worldbank.org/indicator/NY.GNP.PCAP.PP.CD | https://ilostat.ilo.org/data/indicator/?id=HOW_TEMP_SEX_ECO_NB_A&amp;ref_area=ISR | +4 more</t>
        </is>
      </c>
      <c r="AQ85" s="12" t="inlineStr">
        <is>
          <t>Tier 3, Tier 4</t>
        </is>
      </c>
      <c r="AR85" s="12" t="inlineStr">
        <is>
          <t>2024-12-31</t>
        </is>
      </c>
      <c r="AS85" s="12" t="inlineStr">
        <is>
          <t>providers=world_bank_col_estimate, derived, ilo_ilostat, who_gho; fields=gross_income, rent, utilities, transit_cost; +9 additional fields</t>
        </is>
      </c>
      <c r="AT85" s="12" t="inlineStr">
        <is>
          <t>https://api.worldbank.org/v2/country/ISR/indicator/VC.IHR.PSRC.P5?format=json&amp;mrv=10 | https://api.worldbank.org/v2/country/ISR/indicator/SH.H2O.SMDW.ZS?format=json&amp;mrv=10 | https://api.worldbank.org/v2/country/ISR/indicator/IT.NET.BBND.P2?format=json&amp;mrv=10 | +1 more</t>
        </is>
      </c>
      <c r="AU85" s="12" t="inlineStr">
        <is>
          <t>Tier 3</t>
        </is>
      </c>
      <c r="AV85" s="12" t="inlineStr">
        <is>
          <t>2024-12-31</t>
        </is>
      </c>
      <c r="AW85" s="12" t="inlineStr">
        <is>
          <t>providers=world_bank, wmo_natl_met; fields=personal_safety_raw, water_sanitation_utility_raw, digital_infrastructure_raw, climate_sunlight_livability_raw</t>
        </is>
      </c>
      <c r="AX85" s="12" t="inlineStr">
        <is>
          <t>https://www.who.int/data/gho/data/indicators/indicator-details/GHO/UHC_INDEX_REPORTED | https://api.worldbank.org/v2/country/ISR/indicator/SE.TER.ENRR?format=json&amp;mrv=10 | https://api.worldbank.org/v2/country/ISR/indicator/SI.POV.GINI?format=json&amp;mrv=10 | +1 more</t>
        </is>
      </c>
      <c r="AY85" s="12" t="inlineStr">
        <is>
          <t>Tier 3</t>
        </is>
      </c>
      <c r="AZ85" s="12" t="inlineStr">
        <is>
          <t>2023-12-31</t>
        </is>
      </c>
      <c r="BA85" s="12" t="inlineStr">
        <is>
          <t>providers=who_gho, world_bank; fields=healthcare_quality_raw, education_quality_raw, equal_opportunity_raw, gini_coefficient</t>
        </is>
      </c>
      <c r="BB85" s="12" t="inlineStr">
        <is>
          <t>https://api.worldbank.org/v2/country/ISR/indicator/SM.POP.NETM?format=json&amp;mrv=10 | https://api.worldbank.org/v2/country/ISR/indicator/SG.GEN.PARL.ZS?format=json&amp;mrv=10 | https://api.worldbank.org/v2/country/ISR/indicator/ST.INT.ARVL?format=json&amp;mrv=10 | +1 more</t>
        </is>
      </c>
      <c r="BC85" s="12" t="inlineStr">
        <is>
          <t>Tier 3</t>
        </is>
      </c>
      <c r="BD85" s="12" t="inlineStr">
        <is>
          <t>2025-12-31</t>
        </is>
      </c>
      <c r="BE85" s="12" t="inlineStr">
        <is>
          <t>providers=world_bank; fields=hospitality_belonging_raw, tolerance_pluralism_raw, cultural_public_life_raw, birth_rate_optimism_raw</t>
        </is>
      </c>
      <c r="BF85" s="12" t="inlineStr">
        <is>
          <t>https://api.worldbank.org/v2/country/ISR/indicator/IC.BUS.NDNS.ZS?format=json&amp;mrv=10 | https://api.worldbank.org/v2/country/ISR/indicator/GB.XPD.RSDV.GD.ZS?format=json&amp;mrv=10 | https://api.worldbank.org/v2/country/ISR/indicator/BX.KLT.DINV.WD.GD.ZS?format=json&amp;mrv=10 | +3 more</t>
        </is>
      </c>
      <c r="BG85" s="12" t="inlineStr">
        <is>
          <t>Tier 3</t>
        </is>
      </c>
      <c r="BH85" s="12" t="inlineStr">
        <is>
          <t>2024-12-31</t>
        </is>
      </c>
      <c r="BI85" s="12" t="inlineStr">
        <is>
          <t>providers=world_bank; fields=entrepreneurial_dynamism_raw, innovation_research_intensity_raw, investment_signal_raw, administrative_investment_friction_raw; +2 additional fields</t>
        </is>
      </c>
      <c r="BJ85" s="9" t="n">
        <v>2.9</v>
      </c>
    </row>
    <row r="86">
      <c r="A86" s="9" t="inlineStr">
        <is>
          <t>om-muscat</t>
        </is>
      </c>
      <c r="B86" s="9" t="inlineStr">
        <is>
          <t>Muscat</t>
        </is>
      </c>
      <c r="C86" s="9" t="inlineStr">
        <is>
          <t>Oman</t>
        </is>
      </c>
      <c r="D86" s="9" t="inlineStr">
        <is>
          <t>Middle East</t>
        </is>
      </c>
      <c r="E86" s="9" t="inlineStr">
        <is>
          <t>secondary</t>
        </is>
      </c>
      <c r="F86" s="9" t="inlineStr">
        <is>
          <t>locked</t>
        </is>
      </c>
      <c r="G86" s="10" t="n">
        <v>3278.33</v>
      </c>
      <c r="H86" s="10" t="n">
        <v>737.62</v>
      </c>
      <c r="I86" s="10" t="n">
        <v>147.52</v>
      </c>
      <c r="J86" s="10" t="n">
        <v>118.02</v>
      </c>
      <c r="K86" s="10" t="n">
        <v>44.26</v>
      </c>
      <c r="L86" s="10" t="n">
        <v>531.09</v>
      </c>
      <c r="M86" s="11" t="inlineStr"/>
      <c r="N86" s="10" t="n">
        <v>22.4999</v>
      </c>
      <c r="O86" s="10" t="n">
        <v>59.7083</v>
      </c>
      <c r="P86" s="11">
        <f>IF($O86&lt;&gt;"",$O86,$AO86)</f>
        <v/>
      </c>
      <c r="Q86" s="10" t="inlineStr"/>
      <c r="R86" s="10" t="n">
        <v>0.91</v>
      </c>
      <c r="S86" s="10" t="n">
        <v>0.14</v>
      </c>
      <c r="T86" s="10" t="inlineStr"/>
      <c r="U86" s="10" t="inlineStr"/>
      <c r="V86" s="10" t="n">
        <v>91.09999999999999</v>
      </c>
      <c r="W86" s="10" t="n">
        <v>10.88</v>
      </c>
      <c r="X86" s="9" t="inlineStr"/>
      <c r="Y86" s="10" t="n">
        <v>73</v>
      </c>
      <c r="Z86" s="10" t="n">
        <v>43.84</v>
      </c>
      <c r="AA86" s="10" t="inlineStr"/>
      <c r="AB86" s="10" t="n">
        <v>71.53</v>
      </c>
      <c r="AC86" s="10" t="n">
        <v>0</v>
      </c>
      <c r="AD86" s="10" t="n">
        <v>164.54</v>
      </c>
      <c r="AE86" s="10" t="n">
        <v>1.78</v>
      </c>
      <c r="AF86" s="10" t="n">
        <v>0.37</v>
      </c>
      <c r="AG86" s="10" t="n">
        <v>11.64</v>
      </c>
      <c r="AH86" s="10" t="n">
        <v>2.07</v>
      </c>
      <c r="AI86" s="10" t="inlineStr"/>
      <c r="AJ86" s="11">
        <f>IFERROR(INDEX(Country_Context!$B$2:$B$87,MATCH($C86,Country_Context!$A$2:$A$87,0)),"")</f>
        <v/>
      </c>
      <c r="AK86" s="11">
        <f>IFERROR(INDEX(Country_Context!$C$2:$C$87,MATCH($C86,Country_Context!$A$2:$A$87,0)),"")</f>
        <v/>
      </c>
      <c r="AL86" s="11">
        <f>IFERROR(INDEX(Country_Context!$D$2:$D$87,MATCH($C86,Country_Context!$A$2:$A$87,0)),"")</f>
        <v/>
      </c>
      <c r="AM86" s="11">
        <f>IFERROR(INDEX(Country_Context!$E$2:$E$87,MATCH($C86,Country_Context!$A$2:$A$87,0)),"")</f>
        <v/>
      </c>
      <c r="AN86" s="11">
        <f>IFERROR(INDEX(Country_Context!$F$2:$F$87,MATCH($C86,Country_Context!$A$2:$A$87,0)),"")</f>
        <v/>
      </c>
      <c r="AO86" s="11">
        <f>IFERROR(INDEX(Country_Context!$G$2:$G$87,MATCH($C86,Country_Context!$A$2:$A$87,0)),"")</f>
        <v/>
      </c>
      <c r="AP86" s="12" t="inlineStr">
        <is>
          <t>https://api.worldbank.org/v2/country/OMN/indicator/NY.GNP.PCAP.PP.CD?format=json&amp;mrv=10 | https://data.worldbank.org/indicator/NY.GNP.PCAP.PP.CD | https://www.who.int/data/gho/data/indicators/indicator-details/GHO/SDGSUICIDE | +2 more</t>
        </is>
      </c>
      <c r="AQ86" s="12" t="inlineStr">
        <is>
          <t>Tier 3, Tier 4</t>
        </is>
      </c>
      <c r="AR86" s="12" t="inlineStr">
        <is>
          <t>2024-12-31</t>
        </is>
      </c>
      <c r="AS86" s="12" t="inlineStr">
        <is>
          <t>providers=world_bank_col_estimate, derived, who_gho, world_bank; fields=gross_income, rent, utilities, transit_cost; +7 additional fields</t>
        </is>
      </c>
      <c r="AT86" s="12" t="inlineStr">
        <is>
          <t>https://api.worldbank.org/v2/country/OMN/indicator/VC.IHR.PSRC.P5?format=json&amp;mrv=10 | https://api.worldbank.org/v2/country/OMN/indicator/SH.H2O.SMDW.ZS?format=json&amp;mrv=10 | https://api.worldbank.org/v2/country/OMN/indicator/IT.NET.BBND.P2?format=json&amp;mrv=10</t>
        </is>
      </c>
      <c r="AU86" s="12" t="inlineStr">
        <is>
          <t>Tier 3</t>
        </is>
      </c>
      <c r="AV86" s="12" t="inlineStr">
        <is>
          <t>2024-12-31</t>
        </is>
      </c>
      <c r="AW86" s="12" t="inlineStr">
        <is>
          <t>providers=world_bank; fields=personal_safety_raw, water_sanitation_utility_raw, digital_infrastructure_raw</t>
        </is>
      </c>
      <c r="AX86" s="12" t="inlineStr">
        <is>
          <t>https://www.who.int/data/gho/data/indicators/indicator-details/GHO/UHC_INDEX_REPORTED | https://api.worldbank.org/v2/country/OMN/indicator/SE.TER.ENRR?format=json&amp;mrv=10</t>
        </is>
      </c>
      <c r="AY86" s="12" t="inlineStr">
        <is>
          <t>Tier 3</t>
        </is>
      </c>
      <c r="AZ86" s="12" t="inlineStr">
        <is>
          <t>2023-12-31</t>
        </is>
      </c>
      <c r="BA86" s="12" t="inlineStr">
        <is>
          <t>providers=who_gho, world_bank; fields=healthcare_quality_raw, education_quality_raw</t>
        </is>
      </c>
      <c r="BB86" s="12" t="inlineStr">
        <is>
          <t>https://api.worldbank.org/v2/country/OMN/indicator/SM.POP.NETM?format=json&amp;mrv=10 | https://api.worldbank.org/v2/country/OMN/indicator/SG.GEN.PARL.ZS?format=json&amp;mrv=10 | https://api.worldbank.org/v2/country/OMN/indicator/ST.INT.ARVL?format=json&amp;mrv=10</t>
        </is>
      </c>
      <c r="BC86" s="12" t="inlineStr">
        <is>
          <t>Tier 3</t>
        </is>
      </c>
      <c r="BD86" s="12" t="inlineStr">
        <is>
          <t>2025-12-31</t>
        </is>
      </c>
      <c r="BE86" s="12" t="inlineStr">
        <is>
          <t>providers=world_bank; fields=hospitality_belonging_raw, tolerance_pluralism_raw, cultural_public_life_raw</t>
        </is>
      </c>
      <c r="BF86" s="12" t="inlineStr">
        <is>
          <t>https://api.worldbank.org/v2/country/OMN/indicator/IC.BUS.NDNS.ZS?format=json&amp;mrv=10 | https://api.worldbank.org/v2/country/OMN/indicator/GB.XPD.RSDV.GD.ZS?format=json&amp;mrv=10 | https://api.worldbank.org/v2/country/OMN/indicator/BX.KLT.DINV.WD.GD.ZS?format=json&amp;mrv=10 | +3 more</t>
        </is>
      </c>
      <c r="BG86" s="12" t="inlineStr">
        <is>
          <t>Tier 3</t>
        </is>
      </c>
      <c r="BH86" s="12" t="inlineStr">
        <is>
          <t>2024-12-31</t>
        </is>
      </c>
      <c r="BI86" s="12" t="inlineStr">
        <is>
          <t>providers=world_bank; fields=entrepreneurial_dynamism_raw, innovation_research_intensity_raw, investment_signal_raw, administrative_investment_friction_raw; +2 additional fields</t>
        </is>
      </c>
      <c r="BJ86" s="9" t="inlineStr"/>
    </row>
    <row r="87">
      <c r="A87" s="9" t="inlineStr">
        <is>
          <t>bh-manama</t>
        </is>
      </c>
      <c r="B87" s="9" t="inlineStr">
        <is>
          <t>Manama</t>
        </is>
      </c>
      <c r="C87" s="9" t="inlineStr">
        <is>
          <t>Bahrain</t>
        </is>
      </c>
      <c r="D87" s="9" t="inlineStr">
        <is>
          <t>Middle East</t>
        </is>
      </c>
      <c r="E87" s="9" t="inlineStr">
        <is>
          <t>secondary</t>
        </is>
      </c>
      <c r="F87" s="9" t="inlineStr">
        <is>
          <t>locked</t>
        </is>
      </c>
      <c r="G87" s="10" t="n">
        <v>5185.83</v>
      </c>
      <c r="H87" s="10" t="n">
        <v>1166.81</v>
      </c>
      <c r="I87" s="10" t="n">
        <v>233.36</v>
      </c>
      <c r="J87" s="10" t="n">
        <v>186.69</v>
      </c>
      <c r="K87" s="10" t="n">
        <v>70.01000000000001</v>
      </c>
      <c r="L87" s="10" t="n">
        <v>840.1</v>
      </c>
      <c r="M87" s="11" t="inlineStr"/>
      <c r="N87" s="10" t="n">
        <v>22.5</v>
      </c>
      <c r="O87" s="10" t="n">
        <v>70.5501</v>
      </c>
      <c r="P87" s="11">
        <f>IF($O87&lt;&gt;"",$O87,$AO87)</f>
        <v/>
      </c>
      <c r="Q87" s="10" t="inlineStr"/>
      <c r="R87" s="10" t="n">
        <v>4.66</v>
      </c>
      <c r="S87" s="10" t="n">
        <v>0.2</v>
      </c>
      <c r="T87" s="10" t="inlineStr"/>
      <c r="U87" s="10" t="inlineStr"/>
      <c r="V87" s="10" t="n">
        <v>98.90000000000001</v>
      </c>
      <c r="W87" s="10" t="n">
        <v>17.16</v>
      </c>
      <c r="X87" s="9" t="n">
        <v>34</v>
      </c>
      <c r="Y87" s="10" t="n">
        <v>78</v>
      </c>
      <c r="Z87" s="10" t="n">
        <v>58.37</v>
      </c>
      <c r="AA87" s="10" t="inlineStr"/>
      <c r="AB87" s="10" t="n">
        <v>61.41</v>
      </c>
      <c r="AC87" s="10" t="n">
        <v>20</v>
      </c>
      <c r="AD87" s="10" t="n">
        <v>1201.63</v>
      </c>
      <c r="AE87" s="10" t="n">
        <v>6.61</v>
      </c>
      <c r="AF87" s="10" t="n">
        <v>207.09</v>
      </c>
      <c r="AG87" s="10" t="n">
        <v>5.74</v>
      </c>
      <c r="AH87" s="10" t="n">
        <v>1.42</v>
      </c>
      <c r="AI87" s="10" t="inlineStr"/>
      <c r="AJ87" s="11">
        <f>IFERROR(INDEX(Country_Context!$B$2:$B$87,MATCH($C87,Country_Context!$A$2:$A$87,0)),"")</f>
        <v/>
      </c>
      <c r="AK87" s="11">
        <f>IFERROR(INDEX(Country_Context!$C$2:$C$87,MATCH($C87,Country_Context!$A$2:$A$87,0)),"")</f>
        <v/>
      </c>
      <c r="AL87" s="11">
        <f>IFERROR(INDEX(Country_Context!$D$2:$D$87,MATCH($C87,Country_Context!$A$2:$A$87,0)),"")</f>
        <v/>
      </c>
      <c r="AM87" s="11">
        <f>IFERROR(INDEX(Country_Context!$E$2:$E$87,MATCH($C87,Country_Context!$A$2:$A$87,0)),"")</f>
        <v/>
      </c>
      <c r="AN87" s="11">
        <f>IFERROR(INDEX(Country_Context!$F$2:$F$87,MATCH($C87,Country_Context!$A$2:$A$87,0)),"")</f>
        <v/>
      </c>
      <c r="AO87" s="11">
        <f>IFERROR(INDEX(Country_Context!$G$2:$G$87,MATCH($C87,Country_Context!$A$2:$A$87,0)),"")</f>
        <v/>
      </c>
      <c r="AP87" s="12" t="inlineStr">
        <is>
          <t>https://api.worldbank.org/v2/country/BHR/indicator/NY.GNP.PCAP.PP.CD?format=json&amp;mrv=10 | https://data.worldbank.org/indicator/NY.GNP.PCAP.PP.CD | https://www.who.int/data/gho/data/indicators/indicator-details/GHO/SDGSUICIDE | +3 more</t>
        </is>
      </c>
      <c r="AQ87" s="12" t="inlineStr">
        <is>
          <t>Tier 3, Tier 4</t>
        </is>
      </c>
      <c r="AR87" s="12" t="inlineStr">
        <is>
          <t>2024-12-31</t>
        </is>
      </c>
      <c r="AS87" s="12" t="inlineStr">
        <is>
          <t>providers=world_bank_col_estimate, derived, who_gho, world_bank; fields=gross_income, rent, utilities, transit_cost; +8 additional fields</t>
        </is>
      </c>
      <c r="AT87" s="12" t="inlineStr">
        <is>
          <t>https://api.worldbank.org/v2/country/BHR/indicator/VC.IHR.PSRC.P5?format=json&amp;mrv=10 | https://api.worldbank.org/v2/country/BHR/indicator/SH.H2O.SMDW.ZS?format=json&amp;mrv=10 | https://api.worldbank.org/v2/country/BHR/indicator/IT.NET.BBND.P2?format=json&amp;mrv=10 | +1 more</t>
        </is>
      </c>
      <c r="AU87" s="12" t="inlineStr">
        <is>
          <t>Tier 3</t>
        </is>
      </c>
      <c r="AV87" s="12" t="inlineStr">
        <is>
          <t>2024-12-31</t>
        </is>
      </c>
      <c r="AW87" s="12" t="inlineStr">
        <is>
          <t>providers=world_bank, wmo_natl_met; fields=personal_safety_raw, water_sanitation_utility_raw, digital_infrastructure_raw, climate_sunlight_livability_raw</t>
        </is>
      </c>
      <c r="AX87" s="12" t="inlineStr">
        <is>
          <t>https://www.who.int/data/gho/data/indicators/indicator-details/GHO/UHC_INDEX_REPORTED | https://api.worldbank.org/v2/country/BHR/indicator/SE.TER.ENRR?format=json&amp;mrv=10</t>
        </is>
      </c>
      <c r="AY87" s="12" t="inlineStr">
        <is>
          <t>Tier 3</t>
        </is>
      </c>
      <c r="AZ87" s="12" t="inlineStr">
        <is>
          <t>2024-12-31</t>
        </is>
      </c>
      <c r="BA87" s="12" t="inlineStr">
        <is>
          <t>providers=who_gho, world_bank; fields=healthcare_quality_raw, education_quality_raw</t>
        </is>
      </c>
      <c r="BB87" s="12" t="inlineStr">
        <is>
          <t>https://api.worldbank.org/v2/country/BHR/indicator/SM.POP.NETM?format=json&amp;mrv=10 | https://api.worldbank.org/v2/country/BHR/indicator/SG.GEN.PARL.ZS?format=json&amp;mrv=10 | https://api.worldbank.org/v2/country/BHR/indicator/ST.INT.ARVL?format=json&amp;mrv=10 | +1 more</t>
        </is>
      </c>
      <c r="BC87" s="12" t="inlineStr">
        <is>
          <t>Tier 3</t>
        </is>
      </c>
      <c r="BD87" s="12" t="inlineStr">
        <is>
          <t>2025-12-31</t>
        </is>
      </c>
      <c r="BE87" s="12" t="inlineStr">
        <is>
          <t>providers=world_bank; fields=hospitality_belonging_raw, tolerance_pluralism_raw, cultural_public_life_raw, birth_rate_optimism_raw</t>
        </is>
      </c>
      <c r="BF87" s="12" t="inlineStr">
        <is>
          <t>https://api.worldbank.org/v2/country/BHR/indicator/IC.BUS.NDNS.ZS?format=json&amp;mrv=10 | https://api.worldbank.org/v2/country/BHR/indicator/IP.PAT.RESD?format=json&amp;mrv=10 | https://api.worldbank.org/v2/country/BHR/indicator/BX.KLT.DINV.WD.GD.ZS?format=json&amp;mrv=10 | +3 more</t>
        </is>
      </c>
      <c r="BG87" s="12" t="inlineStr">
        <is>
          <t>Tier 3</t>
        </is>
      </c>
      <c r="BH87" s="12" t="inlineStr">
        <is>
          <t>2024-12-31</t>
        </is>
      </c>
      <c r="BI87" s="12" t="inlineStr">
        <is>
          <t>providers=world_bank; fields=entrepreneurial_dynamism_raw, innovation_research_intensity_raw, investment_signal_raw, administrative_investment_friction_raw; +2 additional fields</t>
        </is>
      </c>
      <c r="BJ87" s="9" t="n">
        <v>1.8</v>
      </c>
    </row>
    <row r="88">
      <c r="A88" s="9" t="inlineStr">
        <is>
          <t>sa-jeddah</t>
        </is>
      </c>
      <c r="B88" s="9" t="inlineStr">
        <is>
          <t>Jeddah</t>
        </is>
      </c>
      <c r="C88" s="9" t="inlineStr">
        <is>
          <t>Saudi Arabia</t>
        </is>
      </c>
      <c r="D88" s="9" t="inlineStr">
        <is>
          <t>Middle East</t>
        </is>
      </c>
      <c r="E88" s="9" t="inlineStr">
        <is>
          <t>secondary</t>
        </is>
      </c>
      <c r="F88" s="9" t="inlineStr">
        <is>
          <t>locked</t>
        </is>
      </c>
      <c r="G88" s="10" t="n">
        <v>5977.5</v>
      </c>
      <c r="H88" s="10" t="n">
        <v>1344.94</v>
      </c>
      <c r="I88" s="10" t="n">
        <v>268.99</v>
      </c>
      <c r="J88" s="10" t="n">
        <v>215.19</v>
      </c>
      <c r="K88" s="10" t="n">
        <v>80.7</v>
      </c>
      <c r="L88" s="10" t="n">
        <v>968.36</v>
      </c>
      <c r="M88" s="11" t="inlineStr"/>
      <c r="N88" s="10" t="n">
        <v>22.5</v>
      </c>
      <c r="O88" s="10" t="n">
        <v>50.1376</v>
      </c>
      <c r="P88" s="11">
        <f>IF($O88&lt;&gt;"",$O88,$AO88)</f>
        <v/>
      </c>
      <c r="Q88" s="10" t="inlineStr"/>
      <c r="R88" s="10" t="n">
        <v>0.95</v>
      </c>
      <c r="S88" s="10" t="n">
        <v>0.9399999999999999</v>
      </c>
      <c r="T88" s="10" t="inlineStr"/>
      <c r="U88" s="10" t="inlineStr"/>
      <c r="V88" s="10" t="inlineStr"/>
      <c r="W88" s="10" t="n">
        <v>43.57</v>
      </c>
      <c r="X88" s="9" t="inlineStr"/>
      <c r="Y88" s="10" t="n">
        <v>83</v>
      </c>
      <c r="Z88" s="10" t="n">
        <v>83.88</v>
      </c>
      <c r="AA88" s="10" t="inlineStr"/>
      <c r="AB88" s="10" t="n">
        <v>53.39</v>
      </c>
      <c r="AC88" s="10" t="n">
        <v>19.87</v>
      </c>
      <c r="AD88" s="10" t="n">
        <v>574.84</v>
      </c>
      <c r="AE88" s="10" t="n">
        <v>0.9</v>
      </c>
      <c r="AF88" s="10" t="n">
        <v>0.5600000000000001</v>
      </c>
      <c r="AG88" s="10" t="n">
        <v>1.72</v>
      </c>
      <c r="AH88" s="10" t="n">
        <v>1.98</v>
      </c>
      <c r="AI88" s="10" t="inlineStr"/>
      <c r="AJ88" s="11">
        <f>IFERROR(INDEX(Country_Context!$B$2:$B$87,MATCH($C88,Country_Context!$A$2:$A$87,0)),"")</f>
        <v/>
      </c>
      <c r="AK88" s="11">
        <f>IFERROR(INDEX(Country_Context!$C$2:$C$87,MATCH($C88,Country_Context!$A$2:$A$87,0)),"")</f>
        <v/>
      </c>
      <c r="AL88" s="11">
        <f>IFERROR(INDEX(Country_Context!$D$2:$D$87,MATCH($C88,Country_Context!$A$2:$A$87,0)),"")</f>
        <v/>
      </c>
      <c r="AM88" s="11">
        <f>IFERROR(INDEX(Country_Context!$E$2:$E$87,MATCH($C88,Country_Context!$A$2:$A$87,0)),"")</f>
        <v/>
      </c>
      <c r="AN88" s="11">
        <f>IFERROR(INDEX(Country_Context!$F$2:$F$87,MATCH($C88,Country_Context!$A$2:$A$87,0)),"")</f>
        <v/>
      </c>
      <c r="AO88" s="11">
        <f>IFERROR(INDEX(Country_Context!$G$2:$G$87,MATCH($C88,Country_Context!$A$2:$A$87,0)),"")</f>
        <v/>
      </c>
      <c r="AP88" s="12" t="inlineStr">
        <is>
          <t>https://api.worldbank.org/v2/country/SAU/indicator/NY.GNP.PCAP.PP.CD?format=json&amp;mrv=10 | https://data.worldbank.org/indicator/NY.GNP.PCAP.PP.CD | https://www.who.int/data/gho/data/indicators/indicator-details/GHO/SDGSUICIDE | +3 more</t>
        </is>
      </c>
      <c r="AQ88" s="12" t="inlineStr">
        <is>
          <t>Tier 3, Tier 4</t>
        </is>
      </c>
      <c r="AR88" s="12" t="inlineStr">
        <is>
          <t>2024-12-31</t>
        </is>
      </c>
      <c r="AS88" s="12" t="inlineStr">
        <is>
          <t>providers=world_bank_col_estimate, derived, who_gho, world_bank; fields=gross_income, rent, utilities, transit_cost; +8 additional fields</t>
        </is>
      </c>
      <c r="AT88" s="12" t="inlineStr">
        <is>
          <t>https://api.worldbank.org/v2/country/SAU/indicator/VC.IHR.PSRC.P5?format=json&amp;mrv=10 | https://api.worldbank.org/v2/country/SAU/indicator/IT.NET.BBND.P2?format=json&amp;mrv=10</t>
        </is>
      </c>
      <c r="AU88" s="12" t="inlineStr">
        <is>
          <t>Tier 3</t>
        </is>
      </c>
      <c r="AV88" s="12" t="inlineStr">
        <is>
          <t>2023-12-31</t>
        </is>
      </c>
      <c r="AW88" s="12" t="inlineStr">
        <is>
          <t>providers=world_bank; fields=personal_safety_raw, digital_infrastructure_raw</t>
        </is>
      </c>
      <c r="AX88" s="12" t="inlineStr">
        <is>
          <t>https://www.who.int/data/gho/data/indicators/indicator-details/GHO/UHC_INDEX_REPORTED | https://api.worldbank.org/v2/country/SAU/indicator/SE.TER.ENRR?format=json&amp;mrv=10</t>
        </is>
      </c>
      <c r="AY88" s="12" t="inlineStr">
        <is>
          <t>Tier 3</t>
        </is>
      </c>
      <c r="AZ88" s="12" t="inlineStr">
        <is>
          <t>2024-12-31</t>
        </is>
      </c>
      <c r="BA88" s="12" t="inlineStr">
        <is>
          <t>providers=who_gho, world_bank; fields=healthcare_quality_raw, education_quality_raw</t>
        </is>
      </c>
      <c r="BB88" s="12" t="inlineStr">
        <is>
          <t>https://api.worldbank.org/v2/country/SAU/indicator/SM.POP.NETM?format=json&amp;mrv=10 | https://api.worldbank.org/v2/country/SAU/indicator/SG.GEN.PARL.ZS?format=json&amp;mrv=10 | https://api.worldbank.org/v2/country/SAU/indicator/ST.INT.ARVL?format=json&amp;mrv=10 | +1 more</t>
        </is>
      </c>
      <c r="BC88" s="12" t="inlineStr">
        <is>
          <t>Tier 3</t>
        </is>
      </c>
      <c r="BD88" s="12" t="inlineStr">
        <is>
          <t>2025-12-31</t>
        </is>
      </c>
      <c r="BE88" s="12" t="inlineStr">
        <is>
          <t>providers=world_bank; fields=hospitality_belonging_raw, tolerance_pluralism_raw, cultural_public_life_raw, birth_rate_optimism_raw</t>
        </is>
      </c>
      <c r="BF88" s="12" t="inlineStr">
        <is>
          <t>https://api.worldbank.org/v2/country/SAU/indicator/IC.BUS.NDNS.ZS?format=json&amp;mrv=10 | https://api.worldbank.org/v2/country/SAU/indicator/GB.XPD.RSDV.GD.ZS?format=json&amp;mrv=10 | https://api.worldbank.org/v2/country/SAU/indicator/BX.KLT.DINV.WD.GD.ZS?format=json&amp;mrv=10 | +3 more</t>
        </is>
      </c>
      <c r="BG88" s="12" t="inlineStr">
        <is>
          <t>Tier 3</t>
        </is>
      </c>
      <c r="BH88" s="12" t="inlineStr">
        <is>
          <t>2024-12-31</t>
        </is>
      </c>
      <c r="BI88" s="12" t="inlineStr">
        <is>
          <t>providers=world_bank; fields=entrepreneurial_dynamism_raw, innovation_research_intensity_raw, investment_signal_raw, administrative_investment_friction_raw; +2 additional fields</t>
        </is>
      </c>
      <c r="BJ88" s="9" t="n">
        <v>2.37</v>
      </c>
    </row>
    <row r="89">
      <c r="A89" s="9" t="inlineStr">
        <is>
          <t>kw-kuwait-city</t>
        </is>
      </c>
      <c r="B89" s="9" t="inlineStr">
        <is>
          <t>Kuwait City</t>
        </is>
      </c>
      <c r="C89" s="9" t="inlineStr">
        <is>
          <t>Kuwait</t>
        </is>
      </c>
      <c r="D89" s="9" t="inlineStr">
        <is>
          <t>Middle East</t>
        </is>
      </c>
      <c r="E89" s="9" t="inlineStr">
        <is>
          <t>secondary</t>
        </is>
      </c>
      <c r="F89" s="9" t="inlineStr">
        <is>
          <t>locked</t>
        </is>
      </c>
      <c r="G89" s="10" t="n">
        <v>5272.5</v>
      </c>
      <c r="H89" s="10" t="n">
        <v>1318.12</v>
      </c>
      <c r="I89" s="10" t="n">
        <v>263.62</v>
      </c>
      <c r="J89" s="10" t="n">
        <v>210.9</v>
      </c>
      <c r="K89" s="10" t="n">
        <v>79.09</v>
      </c>
      <c r="L89" s="10" t="n">
        <v>949.05</v>
      </c>
      <c r="M89" s="11" t="inlineStr"/>
      <c r="N89" s="10" t="n">
        <v>24.9999</v>
      </c>
      <c r="O89" s="10" t="n">
        <v>4.3975</v>
      </c>
      <c r="P89" s="11">
        <f>IF($O89&lt;&gt;"",$O89,$AO89)</f>
        <v/>
      </c>
      <c r="Q89" s="10" t="inlineStr"/>
      <c r="R89" s="10" t="n">
        <v>2.31</v>
      </c>
      <c r="S89" s="10" t="n">
        <v>0.25</v>
      </c>
      <c r="T89" s="10" t="inlineStr"/>
      <c r="U89" s="10" t="inlineStr"/>
      <c r="V89" s="10" t="n">
        <v>100</v>
      </c>
      <c r="W89" s="10" t="n">
        <v>1.01</v>
      </c>
      <c r="X89" s="9" t="n">
        <v>28</v>
      </c>
      <c r="Y89" s="10" t="n">
        <v>84</v>
      </c>
      <c r="Z89" s="10" t="n">
        <v>51.9</v>
      </c>
      <c r="AA89" s="10" t="inlineStr"/>
      <c r="AB89" s="10" t="n">
        <v>58.73</v>
      </c>
      <c r="AC89" s="10" t="n">
        <v>3.08</v>
      </c>
      <c r="AD89" s="10" t="n">
        <v>441.27</v>
      </c>
      <c r="AE89" s="10" t="n">
        <v>3.24</v>
      </c>
      <c r="AF89" s="10" t="n">
        <v>0.1</v>
      </c>
      <c r="AG89" s="10" t="n">
        <v>0.38</v>
      </c>
      <c r="AH89" s="10" t="n">
        <v>2.18</v>
      </c>
      <c r="AI89" s="10" t="inlineStr"/>
      <c r="AJ89" s="11">
        <f>IFERROR(INDEX(Country_Context!$B$2:$B$87,MATCH($C89,Country_Context!$A$2:$A$87,0)),"")</f>
        <v/>
      </c>
      <c r="AK89" s="11">
        <f>IFERROR(INDEX(Country_Context!$C$2:$C$87,MATCH($C89,Country_Context!$A$2:$A$87,0)),"")</f>
        <v/>
      </c>
      <c r="AL89" s="11">
        <f>IFERROR(INDEX(Country_Context!$D$2:$D$87,MATCH($C89,Country_Context!$A$2:$A$87,0)),"")</f>
        <v/>
      </c>
      <c r="AM89" s="11">
        <f>IFERROR(INDEX(Country_Context!$E$2:$E$87,MATCH($C89,Country_Context!$A$2:$A$87,0)),"")</f>
        <v/>
      </c>
      <c r="AN89" s="11">
        <f>IFERROR(INDEX(Country_Context!$F$2:$F$87,MATCH($C89,Country_Context!$A$2:$A$87,0)),"")</f>
        <v/>
      </c>
      <c r="AO89" s="11">
        <f>IFERROR(INDEX(Country_Context!$G$2:$G$87,MATCH($C89,Country_Context!$A$2:$A$87,0)),"")</f>
        <v/>
      </c>
      <c r="AP89" s="12" t="inlineStr">
        <is>
          <t>https://api.worldbank.org/v2/country/KWT/indicator/NY.GNP.PCAP.PP.CD?format=json&amp;mrv=10 | https://data.worldbank.org/indicator/NY.GNP.PCAP.PP.CD | https://www.who.int/data/gho/data/indicators/indicator-details/GHO/SDGSUICIDE | +3 more</t>
        </is>
      </c>
      <c r="AQ89" s="12" t="inlineStr">
        <is>
          <t>Tier 3, Tier 4</t>
        </is>
      </c>
      <c r="AR89" s="12" t="inlineStr">
        <is>
          <t>2024-12-31</t>
        </is>
      </c>
      <c r="AS89" s="12" t="inlineStr">
        <is>
          <t>providers=world_bank_col_estimate, derived, who_gho, world_bank; fields=gross_income, rent, utilities, transit_cost; +8 additional fields</t>
        </is>
      </c>
      <c r="AT89" s="12" t="inlineStr">
        <is>
          <t>https://api.worldbank.org/v2/country/KWT/indicator/VC.IHR.PSRC.P5?format=json&amp;mrv=10 | https://api.worldbank.org/v2/country/KWT/indicator/SH.H2O.SMDW.ZS?format=json&amp;mrv=10 | https://api.worldbank.org/v2/country/KWT/indicator/IT.NET.BBND.P2?format=json&amp;mrv=10 | +1 more</t>
        </is>
      </c>
      <c r="AU89" s="12" t="inlineStr">
        <is>
          <t>Tier 3</t>
        </is>
      </c>
      <c r="AV89" s="12" t="inlineStr">
        <is>
          <t>2024-12-31</t>
        </is>
      </c>
      <c r="AW89" s="12" t="inlineStr">
        <is>
          <t>providers=world_bank, wmo_natl_met; fields=personal_safety_raw, water_sanitation_utility_raw, digital_infrastructure_raw, climate_sunlight_livability_raw</t>
        </is>
      </c>
      <c r="AX89" s="12" t="inlineStr">
        <is>
          <t>https://www.who.int/data/gho/data/indicators/indicator-details/GHO/UHC_INDEX_REPORTED | https://api.worldbank.org/v2/country/KWT/indicator/SE.TER.ENRR?format=json&amp;mrv=10</t>
        </is>
      </c>
      <c r="AY89" s="12" t="inlineStr">
        <is>
          <t>Tier 3</t>
        </is>
      </c>
      <c r="AZ89" s="12" t="inlineStr">
        <is>
          <t>2023-12-31</t>
        </is>
      </c>
      <c r="BA89" s="12" t="inlineStr">
        <is>
          <t>providers=who_gho, world_bank; fields=healthcare_quality_raw, education_quality_raw</t>
        </is>
      </c>
      <c r="BB89" s="12" t="inlineStr">
        <is>
          <t>https://api.worldbank.org/v2/country/KWT/indicator/SM.POP.NETM?format=json&amp;mrv=10 | https://api.worldbank.org/v2/country/KWT/indicator/SG.GEN.PARL.ZS?format=json&amp;mrv=10 | https://api.worldbank.org/v2/country/KWT/indicator/ST.INT.ARVL?format=json&amp;mrv=10 | +1 more</t>
        </is>
      </c>
      <c r="BC89" s="12" t="inlineStr">
        <is>
          <t>Tier 3</t>
        </is>
      </c>
      <c r="BD89" s="12" t="inlineStr">
        <is>
          <t>2025-12-31</t>
        </is>
      </c>
      <c r="BE89" s="12" t="inlineStr">
        <is>
          <t>providers=world_bank; fields=hospitality_belonging_raw, tolerance_pluralism_raw, cultural_public_life_raw, birth_rate_optimism_raw</t>
        </is>
      </c>
      <c r="BF89" s="12" t="inlineStr">
        <is>
          <t>https://api.worldbank.org/v2/country/KWT/indicator/IC.BUS.NDNS.ZS?format=json&amp;mrv=10 | https://api.worldbank.org/v2/country/KWT/indicator/GB.XPD.RSDV.GD.ZS?format=json&amp;mrv=10 | https://api.worldbank.org/v2/country/KWT/indicator/BX.KLT.DINV.WD.GD.ZS?format=json&amp;mrv=10 | +3 more</t>
        </is>
      </c>
      <c r="BG89" s="12" t="inlineStr">
        <is>
          <t>Tier 3</t>
        </is>
      </c>
      <c r="BH89" s="12" t="inlineStr">
        <is>
          <t>2024-12-31</t>
        </is>
      </c>
      <c r="BI89" s="12" t="inlineStr">
        <is>
          <t>providers=world_bank; fields=entrepreneurial_dynamism_raw, innovation_research_intensity_raw, investment_signal_raw, administrative_investment_friction_raw; +2 additional fields</t>
        </is>
      </c>
      <c r="BJ89" s="9" t="n">
        <v>2.08</v>
      </c>
    </row>
    <row r="90">
      <c r="A90" s="9" t="inlineStr">
        <is>
          <t>jo-amman</t>
        </is>
      </c>
      <c r="B90" s="9" t="inlineStr">
        <is>
          <t>Amman</t>
        </is>
      </c>
      <c r="C90" s="9" t="inlineStr">
        <is>
          <t>Jordan</t>
        </is>
      </c>
      <c r="D90" s="9" t="inlineStr">
        <is>
          <t>Middle East</t>
        </is>
      </c>
      <c r="E90" s="9" t="inlineStr">
        <is>
          <t>secondary</t>
        </is>
      </c>
      <c r="F90" s="9" t="inlineStr">
        <is>
          <t>provisional</t>
        </is>
      </c>
      <c r="G90" s="10" t="n">
        <v>880.83</v>
      </c>
      <c r="H90" s="10" t="n">
        <v>198.19</v>
      </c>
      <c r="I90" s="10" t="n">
        <v>39.64</v>
      </c>
      <c r="J90" s="10" t="n">
        <v>31.71</v>
      </c>
      <c r="K90" s="10" t="n">
        <v>11.89</v>
      </c>
      <c r="L90" s="10" t="n">
        <v>142.69</v>
      </c>
      <c r="M90" s="11" t="inlineStr"/>
      <c r="N90" s="10" t="n">
        <v>22.5004</v>
      </c>
      <c r="O90" s="10" t="n">
        <v>80.0729</v>
      </c>
      <c r="P90" s="11">
        <f>IF($O90&lt;&gt;"",$O90,$AO90)</f>
        <v/>
      </c>
      <c r="Q90" s="10" t="n">
        <v>48.79</v>
      </c>
      <c r="R90" s="10" t="n">
        <v>0.6</v>
      </c>
      <c r="S90" s="10" t="n">
        <v>0.99</v>
      </c>
      <c r="T90" s="10" t="inlineStr"/>
      <c r="U90" s="10" t="inlineStr"/>
      <c r="V90" s="10" t="n">
        <v>88.95</v>
      </c>
      <c r="W90" s="10" t="n">
        <v>7.04</v>
      </c>
      <c r="X90" s="9" t="n">
        <v>65</v>
      </c>
      <c r="Y90" s="10" t="n">
        <v>74</v>
      </c>
      <c r="Z90" s="10" t="n">
        <v>35.92</v>
      </c>
      <c r="AA90" s="10" t="inlineStr"/>
      <c r="AB90" s="10" t="n">
        <v>23.75</v>
      </c>
      <c r="AC90" s="10" t="n">
        <v>19.57</v>
      </c>
      <c r="AD90" s="10" t="n">
        <v>107.33</v>
      </c>
      <c r="AE90" s="10" t="n">
        <v>0.4</v>
      </c>
      <c r="AF90" s="10" t="n">
        <v>30.04</v>
      </c>
      <c r="AG90" s="10" t="n">
        <v>3.06</v>
      </c>
      <c r="AH90" s="10" t="n">
        <v>2.28</v>
      </c>
      <c r="AI90" s="10" t="inlineStr"/>
      <c r="AJ90" s="11">
        <f>IFERROR(INDEX(Country_Context!$B$2:$B$87,MATCH($C90,Country_Context!$A$2:$A$87,0)),"")</f>
        <v/>
      </c>
      <c r="AK90" s="11">
        <f>IFERROR(INDEX(Country_Context!$C$2:$C$87,MATCH($C90,Country_Context!$A$2:$A$87,0)),"")</f>
        <v/>
      </c>
      <c r="AL90" s="11">
        <f>IFERROR(INDEX(Country_Context!$D$2:$D$87,MATCH($C90,Country_Context!$A$2:$A$87,0)),"")</f>
        <v/>
      </c>
      <c r="AM90" s="11">
        <f>IFERROR(INDEX(Country_Context!$E$2:$E$87,MATCH($C90,Country_Context!$A$2:$A$87,0)),"")</f>
        <v/>
      </c>
      <c r="AN90" s="11">
        <f>IFERROR(INDEX(Country_Context!$F$2:$F$87,MATCH($C90,Country_Context!$A$2:$A$87,0)),"")</f>
        <v/>
      </c>
      <c r="AO90" s="11">
        <f>IFERROR(INDEX(Country_Context!$G$2:$G$87,MATCH($C90,Country_Context!$A$2:$A$87,0)),"")</f>
        <v/>
      </c>
      <c r="AP90" s="12" t="inlineStr">
        <is>
          <t>https://api.worldbank.org/v2/country/JOR/indicator/NY.GNP.PCAP.PP.CD?format=json&amp;mrv=10 | https://data.worldbank.org/indicator/NY.GNP.PCAP.PP.CD | https://ilostat.ilo.org/data/indicator/?id=HOW_TEMP_SEX_ECO_NB_A&amp;ref_area=JOR | +4 more</t>
        </is>
      </c>
      <c r="AQ90" s="12" t="inlineStr">
        <is>
          <t>Tier 3, Tier 4</t>
        </is>
      </c>
      <c r="AR90" s="12" t="inlineStr">
        <is>
          <t>2024-12-31</t>
        </is>
      </c>
      <c r="AS90" s="12" t="inlineStr">
        <is>
          <t>providers=world_bank_col_estimate, derived, ilo_ilostat, who_gho; fields=gross_income, rent, utilities, transit_cost; +9 additional fields</t>
        </is>
      </c>
      <c r="AT90" s="12" t="inlineStr">
        <is>
          <t>https://api.worldbank.org/v2/country/JOR/indicator/VC.IHR.PSRC.P5?format=json&amp;mrv=10 | https://api.worldbank.org/v2/country/JOR/indicator/SH.H2O.SMDW.ZS?format=json&amp;mrv=10 | https://api.worldbank.org/v2/country/JOR/indicator/IT.NET.BBND.P2?format=json&amp;mrv=10 | +1 more</t>
        </is>
      </c>
      <c r="AU90" s="12" t="inlineStr">
        <is>
          <t>Tier 3</t>
        </is>
      </c>
      <c r="AV90" s="12" t="inlineStr">
        <is>
          <t>2024-12-31</t>
        </is>
      </c>
      <c r="AW90" s="12" t="inlineStr">
        <is>
          <t>providers=world_bank, wmo_natl_met; fields=personal_safety_raw, water_sanitation_utility_raw, digital_infrastructure_raw, climate_sunlight_livability_raw</t>
        </is>
      </c>
      <c r="AX90" s="12" t="inlineStr">
        <is>
          <t>https://www.who.int/data/gho/data/indicators/indicator-details/GHO/UHC_INDEX_REPORTED | https://api.worldbank.org/v2/country/JOR/indicator/SE.TER.ENRR?format=json&amp;mrv=10 | https://api.worldbank.org/v2/country/JOR/indicator/SI.POV.GINI?format=json&amp;mrv=30</t>
        </is>
      </c>
      <c r="AY90" s="12" t="inlineStr">
        <is>
          <t>Tier 3</t>
        </is>
      </c>
      <c r="AZ90" s="12" t="inlineStr">
        <is>
          <t>2024-12-31</t>
        </is>
      </c>
      <c r="BA90" s="12" t="inlineStr">
        <is>
          <t>providers=who_gho, world_bank; fields=healthcare_quality_raw, education_quality_raw, gini_coefficient</t>
        </is>
      </c>
      <c r="BB90" s="12" t="inlineStr">
        <is>
          <t>https://api.worldbank.org/v2/country/JOR/indicator/SM.POP.NETM?format=json&amp;mrv=10 | https://api.worldbank.org/v2/country/JOR/indicator/SG.GEN.PARL.ZS?format=json&amp;mrv=10 | https://api.worldbank.org/v2/country/JOR/indicator/ST.INT.ARVL?format=json&amp;mrv=10</t>
        </is>
      </c>
      <c r="BC90" s="12" t="inlineStr">
        <is>
          <t>Tier 3</t>
        </is>
      </c>
      <c r="BD90" s="12" t="inlineStr">
        <is>
          <t>2025-12-31</t>
        </is>
      </c>
      <c r="BE90" s="12" t="inlineStr">
        <is>
          <t>providers=world_bank; fields=hospitality_belonging_raw, tolerance_pluralism_raw, cultural_public_life_raw</t>
        </is>
      </c>
      <c r="BF90" s="12" t="inlineStr">
        <is>
          <t>https://api.worldbank.org/v2/country/JOR/indicator/IC.BUS.NDNS.ZS?format=json&amp;mrv=10 | https://api.worldbank.org/v2/country/JOR/indicator/IP.PAT.RESD?format=json&amp;mrv=10 | https://api.worldbank.org/v2/country/JOR/indicator/BX.KLT.DINV.WD.GD.ZS?format=json&amp;mrv=10 | +3 more</t>
        </is>
      </c>
      <c r="BG90" s="12" t="inlineStr">
        <is>
          <t>Tier 3</t>
        </is>
      </c>
      <c r="BH90" s="12" t="inlineStr">
        <is>
          <t>2024-12-31</t>
        </is>
      </c>
      <c r="BI90" s="12" t="inlineStr">
        <is>
          <t>providers=world_bank; fields=entrepreneurial_dynamism_raw, innovation_research_intensity_raw, investment_signal_raw, administrative_investment_friction_raw; +2 additional fields</t>
        </is>
      </c>
      <c r="BJ90" s="9" t="inlineStr"/>
    </row>
    <row r="91">
      <c r="A91" s="9" t="inlineStr">
        <is>
          <t>za-cape-town</t>
        </is>
      </c>
      <c r="B91" s="9" t="inlineStr">
        <is>
          <t>Cape Town</t>
        </is>
      </c>
      <c r="C91" s="9" t="inlineStr">
        <is>
          <t>South Africa</t>
        </is>
      </c>
      <c r="D91" s="9" t="inlineStr">
        <is>
          <t>Africa</t>
        </is>
      </c>
      <c r="E91" s="9" t="inlineStr">
        <is>
          <t>primary</t>
        </is>
      </c>
      <c r="F91" s="9" t="inlineStr">
        <is>
          <t>locked</t>
        </is>
      </c>
      <c r="G91" s="10" t="n">
        <v>1325.62</v>
      </c>
      <c r="H91" s="10" t="n">
        <v>291.64</v>
      </c>
      <c r="I91" s="10" t="n">
        <v>87.48999999999999</v>
      </c>
      <c r="J91" s="10" t="n">
        <v>58.33</v>
      </c>
      <c r="K91" s="10" t="n">
        <v>21.87</v>
      </c>
      <c r="L91" s="10" t="n">
        <v>364.55</v>
      </c>
      <c r="M91" s="11" t="inlineStr"/>
      <c r="N91" s="10" t="n">
        <v>22.0003</v>
      </c>
      <c r="O91" s="10" t="n">
        <v>57.4717</v>
      </c>
      <c r="P91" s="11">
        <f>IF($O91&lt;&gt;"",$O91,$AO91)</f>
        <v/>
      </c>
      <c r="Q91" s="10" t="n">
        <v>42.39</v>
      </c>
      <c r="R91" s="10" t="n">
        <v>22.3</v>
      </c>
      <c r="S91" s="10" t="n">
        <v>43.72</v>
      </c>
      <c r="T91" s="10" t="inlineStr"/>
      <c r="U91" s="10" t="inlineStr"/>
      <c r="V91" s="10" t="n">
        <v>68.01000000000001</v>
      </c>
      <c r="W91" s="10" t="n">
        <v>3.41</v>
      </c>
      <c r="X91" s="9" t="n">
        <v>72</v>
      </c>
      <c r="Y91" s="10" t="n">
        <v>74</v>
      </c>
      <c r="Z91" s="10" t="n">
        <v>23.49</v>
      </c>
      <c r="AA91" s="10" t="inlineStr"/>
      <c r="AB91" s="10" t="n">
        <v>52.29</v>
      </c>
      <c r="AC91" s="10" t="n">
        <v>44.7</v>
      </c>
      <c r="AD91" s="10" t="n">
        <v>60.72</v>
      </c>
      <c r="AE91" s="10" t="n">
        <v>11.05</v>
      </c>
      <c r="AF91" s="10" t="n">
        <v>0.62</v>
      </c>
      <c r="AG91" s="10" t="n">
        <v>0.58</v>
      </c>
      <c r="AH91" s="10" t="n">
        <v>2.72</v>
      </c>
      <c r="AI91" s="10" t="inlineStr"/>
      <c r="AJ91" s="11">
        <f>IFERROR(INDEX(Country_Context!$B$2:$B$87,MATCH($C91,Country_Context!$A$2:$A$87,0)),"")</f>
        <v/>
      </c>
      <c r="AK91" s="11">
        <f>IFERROR(INDEX(Country_Context!$C$2:$C$87,MATCH($C91,Country_Context!$A$2:$A$87,0)),"")</f>
        <v/>
      </c>
      <c r="AL91" s="11">
        <f>IFERROR(INDEX(Country_Context!$D$2:$D$87,MATCH($C91,Country_Context!$A$2:$A$87,0)),"")</f>
        <v/>
      </c>
      <c r="AM91" s="11">
        <f>IFERROR(INDEX(Country_Context!$E$2:$E$87,MATCH($C91,Country_Context!$A$2:$A$87,0)),"")</f>
        <v/>
      </c>
      <c r="AN91" s="11">
        <f>IFERROR(INDEX(Country_Context!$F$2:$F$87,MATCH($C91,Country_Context!$A$2:$A$87,0)),"")</f>
        <v/>
      </c>
      <c r="AO91" s="11">
        <f>IFERROR(INDEX(Country_Context!$G$2:$G$87,MATCH($C91,Country_Context!$A$2:$A$87,0)),"")</f>
        <v/>
      </c>
      <c r="AP91" s="12" t="inlineStr">
        <is>
          <t>https://api.worldbank.org/v2/country/ZAF/indicator/NY.GNP.PCAP.PP.CD?format=json&amp;mrv=10 | https://data.worldbank.org/indicator/NY.GNP.PCAP.PP.CD | https://ilostat.ilo.org/data/indicator/?id=HOW_TEMP_SEX_ECO_NB_A&amp;ref_area=ZAF | +4 more</t>
        </is>
      </c>
      <c r="AQ91" s="12" t="inlineStr">
        <is>
          <t>Tier 3, Tier 4</t>
        </is>
      </c>
      <c r="AR91" s="12" t="inlineStr">
        <is>
          <t>2024-12-31</t>
        </is>
      </c>
      <c r="AS91" s="12" t="inlineStr">
        <is>
          <t>providers=world_bank_col_estimate, derived, ilo_ilostat, who_gho; fields=gross_income, rent, utilities, transit_cost; +9 additional fields</t>
        </is>
      </c>
      <c r="AT91" s="12" t="inlineStr">
        <is>
          <t>https://api.worldbank.org/v2/country/ZAF/indicator/VC.IHR.PSRC.P5?format=json&amp;mrv=10 | https://api.worldbank.org/v2/country/ZAF/indicator/SH.H2O.SMDW.ZS?format=json&amp;mrv=10 | https://api.worldbank.org/v2/country/ZAF/indicator/IT.NET.BBND.P2?format=json&amp;mrv=10 | +1 more</t>
        </is>
      </c>
      <c r="AU91" s="12" t="inlineStr">
        <is>
          <t>Tier 3</t>
        </is>
      </c>
      <c r="AV91" s="12" t="inlineStr">
        <is>
          <t>2024-12-31</t>
        </is>
      </c>
      <c r="AW91" s="12" t="inlineStr">
        <is>
          <t>providers=world_bank, wmo_natl_met; fields=personal_safety_raw, water_sanitation_utility_raw, digital_infrastructure_raw, climate_sunlight_livability_raw</t>
        </is>
      </c>
      <c r="AX91" s="12" t="inlineStr">
        <is>
          <t>https://www.who.int/data/gho/data/indicators/indicator-details/GHO/UHC_INDEX_REPORTED | https://api.worldbank.org/v2/country/ZAF/indicator/SE.TER.ENRR?format=json&amp;mrv=10 | https://api.worldbank.org/v2/country/ZAF/indicator/SI.POV.GINI?format=json&amp;mrv=30</t>
        </is>
      </c>
      <c r="AY91" s="12" t="inlineStr">
        <is>
          <t>Tier 3</t>
        </is>
      </c>
      <c r="AZ91" s="12" t="inlineStr">
        <is>
          <t>2023-12-31</t>
        </is>
      </c>
      <c r="BA91" s="12" t="inlineStr">
        <is>
          <t>providers=who_gho, world_bank; fields=healthcare_quality_raw, education_quality_raw, gini_coefficient</t>
        </is>
      </c>
      <c r="BB91" s="12" t="inlineStr">
        <is>
          <t>https://api.worldbank.org/v2/country/ZAF/indicator/SM.POP.NETM?format=json&amp;mrv=10 | https://api.worldbank.org/v2/country/ZAF/indicator/SG.GEN.PARL.ZS?format=json&amp;mrv=10 | https://api.worldbank.org/v2/country/ZAF/indicator/ST.INT.ARVL?format=json&amp;mrv=10 | +1 more</t>
        </is>
      </c>
      <c r="BC91" s="12" t="inlineStr">
        <is>
          <t>Tier 3</t>
        </is>
      </c>
      <c r="BD91" s="12" t="inlineStr">
        <is>
          <t>2025-12-31</t>
        </is>
      </c>
      <c r="BE91" s="12" t="inlineStr">
        <is>
          <t>providers=world_bank; fields=hospitality_belonging_raw, tolerance_pluralism_raw, cultural_public_life_raw, birth_rate_optimism_raw</t>
        </is>
      </c>
      <c r="BF91" s="12" t="inlineStr">
        <is>
          <t>https://api.worldbank.org/v2/country/ZAF/indicator/IC.BUS.NDNS.ZS?format=json&amp;mrv=10 | https://api.worldbank.org/v2/country/ZAF/indicator/GB.XPD.RSDV.GD.ZS?format=json&amp;mrv=10 | https://api.worldbank.org/v2/country/ZAF/indicator/BX.KLT.DINV.WD.GD.ZS?format=json&amp;mrv=10 | +3 more</t>
        </is>
      </c>
      <c r="BG91" s="12" t="inlineStr">
        <is>
          <t>Tier 3</t>
        </is>
      </c>
      <c r="BH91" s="12" t="inlineStr">
        <is>
          <t>2024-12-31</t>
        </is>
      </c>
      <c r="BI91" s="12" t="inlineStr">
        <is>
          <t>providers=world_bank; fields=entrepreneurial_dynamism_raw, innovation_research_intensity_raw, investment_signal_raw, administrative_investment_friction_raw; +2 additional fields</t>
        </is>
      </c>
      <c r="BJ91" s="9" t="n">
        <v>2.33</v>
      </c>
    </row>
    <row r="92">
      <c r="A92" s="9" t="inlineStr">
        <is>
          <t>za-johannesburg</t>
        </is>
      </c>
      <c r="B92" s="9" t="inlineStr">
        <is>
          <t>Johannesburg</t>
        </is>
      </c>
      <c r="C92" s="9" t="inlineStr">
        <is>
          <t>South Africa</t>
        </is>
      </c>
      <c r="D92" s="9" t="inlineStr">
        <is>
          <t>Africa</t>
        </is>
      </c>
      <c r="E92" s="9" t="inlineStr">
        <is>
          <t>primary</t>
        </is>
      </c>
      <c r="F92" s="9" t="inlineStr">
        <is>
          <t>provisional</t>
        </is>
      </c>
      <c r="G92" s="10" t="n">
        <v>1388.75</v>
      </c>
      <c r="H92" s="10" t="n">
        <v>305.53</v>
      </c>
      <c r="I92" s="10" t="n">
        <v>91.66</v>
      </c>
      <c r="J92" s="10" t="n">
        <v>61.11</v>
      </c>
      <c r="K92" s="10" t="n">
        <v>22.91</v>
      </c>
      <c r="L92" s="10" t="n">
        <v>381.91</v>
      </c>
      <c r="M92" s="11" t="inlineStr"/>
      <c r="N92" s="10" t="n">
        <v>22.0004</v>
      </c>
      <c r="O92" s="10" t="n">
        <v>57.4717</v>
      </c>
      <c r="P92" s="11">
        <f>IF($O92&lt;&gt;"",$O92,$AO92)</f>
        <v/>
      </c>
      <c r="Q92" s="10" t="n">
        <v>42.39</v>
      </c>
      <c r="R92" s="10" t="n">
        <v>22.3</v>
      </c>
      <c r="S92" s="10" t="n">
        <v>43.72</v>
      </c>
      <c r="T92" s="10" t="inlineStr"/>
      <c r="U92" s="10" t="inlineStr"/>
      <c r="V92" s="10" t="n">
        <v>68.01000000000001</v>
      </c>
      <c r="W92" s="10" t="n">
        <v>3.41</v>
      </c>
      <c r="X92" s="9" t="n">
        <v>68</v>
      </c>
      <c r="Y92" s="10" t="n">
        <v>74</v>
      </c>
      <c r="Z92" s="10" t="n">
        <v>23.49</v>
      </c>
      <c r="AA92" s="10" t="inlineStr"/>
      <c r="AB92" s="10" t="n">
        <v>52.29</v>
      </c>
      <c r="AC92" s="10" t="n">
        <v>44.7</v>
      </c>
      <c r="AD92" s="10" t="n">
        <v>60.72</v>
      </c>
      <c r="AE92" s="10" t="n">
        <v>11.05</v>
      </c>
      <c r="AF92" s="10" t="n">
        <v>0.62</v>
      </c>
      <c r="AG92" s="10" t="n">
        <v>0.58</v>
      </c>
      <c r="AH92" s="10" t="n">
        <v>2.72</v>
      </c>
      <c r="AI92" s="10" t="inlineStr"/>
      <c r="AJ92" s="11">
        <f>IFERROR(INDEX(Country_Context!$B$2:$B$87,MATCH($C92,Country_Context!$A$2:$A$87,0)),"")</f>
        <v/>
      </c>
      <c r="AK92" s="11">
        <f>IFERROR(INDEX(Country_Context!$C$2:$C$87,MATCH($C92,Country_Context!$A$2:$A$87,0)),"")</f>
        <v/>
      </c>
      <c r="AL92" s="11">
        <f>IFERROR(INDEX(Country_Context!$D$2:$D$87,MATCH($C92,Country_Context!$A$2:$A$87,0)),"")</f>
        <v/>
      </c>
      <c r="AM92" s="11">
        <f>IFERROR(INDEX(Country_Context!$E$2:$E$87,MATCH($C92,Country_Context!$A$2:$A$87,0)),"")</f>
        <v/>
      </c>
      <c r="AN92" s="11">
        <f>IFERROR(INDEX(Country_Context!$F$2:$F$87,MATCH($C92,Country_Context!$A$2:$A$87,0)),"")</f>
        <v/>
      </c>
      <c r="AO92" s="11">
        <f>IFERROR(INDEX(Country_Context!$G$2:$G$87,MATCH($C92,Country_Context!$A$2:$A$87,0)),"")</f>
        <v/>
      </c>
      <c r="AP92" s="12" t="inlineStr">
        <is>
          <t>https://api.worldbank.org/v2/country/ZAF/indicator/NY.GNP.PCAP.PP.CD?format=json&amp;mrv=10 | https://data.worldbank.org/indicator/NY.GNP.PCAP.PP.CD | https://ilostat.ilo.org/data/indicator/?id=HOW_TEMP_SEX_ECO_NB_A&amp;ref_area=ZAF | +4 more</t>
        </is>
      </c>
      <c r="AQ92" s="12" t="inlineStr">
        <is>
          <t>Tier 3, Tier 4</t>
        </is>
      </c>
      <c r="AR92" s="12" t="inlineStr">
        <is>
          <t>2024-12-31</t>
        </is>
      </c>
      <c r="AS92" s="12" t="inlineStr">
        <is>
          <t>providers=world_bank_col_estimate, derived, ilo_ilostat, who_gho; fields=gross_income, rent, utilities, transit_cost; +9 additional fields</t>
        </is>
      </c>
      <c r="AT92" s="12" t="inlineStr">
        <is>
          <t>https://api.worldbank.org/v2/country/ZAF/indicator/VC.IHR.PSRC.P5?format=json&amp;mrv=10 | https://api.worldbank.org/v2/country/ZAF/indicator/SH.H2O.SMDW.ZS?format=json&amp;mrv=10 | https://api.worldbank.org/v2/country/ZAF/indicator/IT.NET.BBND.P2?format=json&amp;mrv=10 | +1 more</t>
        </is>
      </c>
      <c r="AU92" s="12" t="inlineStr">
        <is>
          <t>Tier 3</t>
        </is>
      </c>
      <c r="AV92" s="12" t="inlineStr">
        <is>
          <t>2024-12-31</t>
        </is>
      </c>
      <c r="AW92" s="12" t="inlineStr">
        <is>
          <t>providers=world_bank, wmo_natl_met; fields=personal_safety_raw, water_sanitation_utility_raw, digital_infrastructure_raw, climate_sunlight_livability_raw</t>
        </is>
      </c>
      <c r="AX92" s="12" t="inlineStr">
        <is>
          <t>https://www.who.int/data/gho/data/indicators/indicator-details/GHO/UHC_INDEX_REPORTED | https://api.worldbank.org/v2/country/ZAF/indicator/SE.TER.ENRR?format=json&amp;mrv=10 | https://api.worldbank.org/v2/country/ZAF/indicator/SI.POV.GINI?format=json&amp;mrv=30</t>
        </is>
      </c>
      <c r="AY92" s="12" t="inlineStr">
        <is>
          <t>Tier 3</t>
        </is>
      </c>
      <c r="AZ92" s="12" t="inlineStr">
        <is>
          <t>2023-12-31</t>
        </is>
      </c>
      <c r="BA92" s="12" t="inlineStr">
        <is>
          <t>providers=who_gho, world_bank; fields=healthcare_quality_raw, education_quality_raw, gini_coefficient</t>
        </is>
      </c>
      <c r="BB92" s="12" t="inlineStr">
        <is>
          <t>https://api.worldbank.org/v2/country/ZAF/indicator/SM.POP.NETM?format=json&amp;mrv=10 | https://api.worldbank.org/v2/country/ZAF/indicator/SG.GEN.PARL.ZS?format=json&amp;mrv=10 | https://api.worldbank.org/v2/country/ZAF/indicator/ST.INT.ARVL?format=json&amp;mrv=10 | +1 more</t>
        </is>
      </c>
      <c r="BC92" s="12" t="inlineStr">
        <is>
          <t>Tier 3</t>
        </is>
      </c>
      <c r="BD92" s="12" t="inlineStr">
        <is>
          <t>2025-12-31</t>
        </is>
      </c>
      <c r="BE92" s="12" t="inlineStr">
        <is>
          <t>providers=world_bank; fields=hospitality_belonging_raw, tolerance_pluralism_raw, cultural_public_life_raw, birth_rate_optimism_raw</t>
        </is>
      </c>
      <c r="BF92" s="12" t="inlineStr">
        <is>
          <t>https://api.worldbank.org/v2/country/ZAF/indicator/IC.BUS.NDNS.ZS?format=json&amp;mrv=10 | https://api.worldbank.org/v2/country/ZAF/indicator/GB.XPD.RSDV.GD.ZS?format=json&amp;mrv=10 | https://api.worldbank.org/v2/country/ZAF/indicator/BX.KLT.DINV.WD.GD.ZS?format=json&amp;mrv=10 | +3 more</t>
        </is>
      </c>
      <c r="BG92" s="12" t="inlineStr">
        <is>
          <t>Tier 3</t>
        </is>
      </c>
      <c r="BH92" s="12" t="inlineStr">
        <is>
          <t>2024-12-31</t>
        </is>
      </c>
      <c r="BI92" s="12" t="inlineStr">
        <is>
          <t>providers=world_bank; fields=entrepreneurial_dynamism_raw, innovation_research_intensity_raw, investment_signal_raw, administrative_investment_friction_raw; +2 additional fields</t>
        </is>
      </c>
      <c r="BJ92" s="9" t="n">
        <v>2.33</v>
      </c>
    </row>
    <row r="93">
      <c r="A93" s="9" t="inlineStr">
        <is>
          <t>ke-nairobi</t>
        </is>
      </c>
      <c r="B93" s="9" t="inlineStr">
        <is>
          <t>Nairobi</t>
        </is>
      </c>
      <c r="C93" s="9" t="inlineStr">
        <is>
          <t>Kenya</t>
        </is>
      </c>
      <c r="D93" s="9" t="inlineStr">
        <is>
          <t>Africa</t>
        </is>
      </c>
      <c r="E93" s="9" t="inlineStr">
        <is>
          <t>primary</t>
        </is>
      </c>
      <c r="F93" s="9" t="inlineStr">
        <is>
          <t>locked</t>
        </is>
      </c>
      <c r="G93" s="10" t="n">
        <v>654</v>
      </c>
      <c r="H93" s="10" t="n">
        <v>150.42</v>
      </c>
      <c r="I93" s="10" t="n">
        <v>45.13</v>
      </c>
      <c r="J93" s="10" t="n">
        <v>30.08</v>
      </c>
      <c r="K93" s="10" t="n">
        <v>11.28</v>
      </c>
      <c r="L93" s="10" t="n">
        <v>188.02</v>
      </c>
      <c r="M93" s="11" t="inlineStr"/>
      <c r="N93" s="10" t="n">
        <v>23</v>
      </c>
      <c r="O93" s="10" t="n">
        <v>31.7729</v>
      </c>
      <c r="P93" s="11">
        <f>IF($O93&lt;&gt;"",$O93,$AO93)</f>
        <v/>
      </c>
      <c r="Q93" s="10" t="n">
        <v>39.56</v>
      </c>
      <c r="R93" s="10" t="n">
        <v>4.58</v>
      </c>
      <c r="S93" s="10" t="n">
        <v>4.87</v>
      </c>
      <c r="T93" s="10" t="inlineStr"/>
      <c r="U93" s="10" t="inlineStr"/>
      <c r="V93" s="10" t="inlineStr"/>
      <c r="W93" s="10" t="n">
        <v>2.39</v>
      </c>
      <c r="X93" s="9" t="n">
        <v>72</v>
      </c>
      <c r="Y93" s="10" t="n">
        <v>57</v>
      </c>
      <c r="Z93" s="10" t="n">
        <v>10.42</v>
      </c>
      <c r="AA93" s="10" t="n">
        <v>37.7</v>
      </c>
      <c r="AB93" s="10" t="n">
        <v>49.52</v>
      </c>
      <c r="AC93" s="10" t="n">
        <v>23.28</v>
      </c>
      <c r="AD93" s="10" t="n">
        <v>36.31</v>
      </c>
      <c r="AE93" s="10" t="n">
        <v>1.62</v>
      </c>
      <c r="AF93" s="10" t="n">
        <v>0.8100000000000001</v>
      </c>
      <c r="AG93" s="10" t="n">
        <v>0.39</v>
      </c>
      <c r="AH93" s="10" t="n">
        <v>2.89</v>
      </c>
      <c r="AI93" s="10" t="inlineStr"/>
      <c r="AJ93" s="11">
        <f>IFERROR(INDEX(Country_Context!$B$2:$B$87,MATCH($C93,Country_Context!$A$2:$A$87,0)),"")</f>
        <v/>
      </c>
      <c r="AK93" s="11">
        <f>IFERROR(INDEX(Country_Context!$C$2:$C$87,MATCH($C93,Country_Context!$A$2:$A$87,0)),"")</f>
        <v/>
      </c>
      <c r="AL93" s="11">
        <f>IFERROR(INDEX(Country_Context!$D$2:$D$87,MATCH($C93,Country_Context!$A$2:$A$87,0)),"")</f>
        <v/>
      </c>
      <c r="AM93" s="11">
        <f>IFERROR(INDEX(Country_Context!$E$2:$E$87,MATCH($C93,Country_Context!$A$2:$A$87,0)),"")</f>
        <v/>
      </c>
      <c r="AN93" s="11">
        <f>IFERROR(INDEX(Country_Context!$F$2:$F$87,MATCH($C93,Country_Context!$A$2:$A$87,0)),"")</f>
        <v/>
      </c>
      <c r="AO93" s="11">
        <f>IFERROR(INDEX(Country_Context!$G$2:$G$87,MATCH($C93,Country_Context!$A$2:$A$87,0)),"")</f>
        <v/>
      </c>
      <c r="AP93" s="12" t="inlineStr">
        <is>
          <t>https://api.worldbank.org/v2/country/KEN/indicator/NY.GNP.PCAP.PP.CD?format=json&amp;mrv=10 | https://data.worldbank.org/indicator/NY.GNP.PCAP.PP.CD | https://ilostat.ilo.org/data/indicator/?id=HOW_TEMP_SEX_ECO_NB_A&amp;ref_area=KEN | +4 more</t>
        </is>
      </c>
      <c r="AQ93" s="12" t="inlineStr">
        <is>
          <t>Tier 3, Tier 4</t>
        </is>
      </c>
      <c r="AR93" s="12" t="inlineStr">
        <is>
          <t>2024-12-31</t>
        </is>
      </c>
      <c r="AS93" s="12" t="inlineStr">
        <is>
          <t>providers=world_bank_col_estimate, derived, ilo_ilostat, who_gho; fields=gross_income, rent, utilities, transit_cost; +9 additional fields</t>
        </is>
      </c>
      <c r="AT93" s="12" t="inlineStr">
        <is>
          <t>https://api.worldbank.org/v2/country/KEN/indicator/VC.IHR.PSRC.P5?format=json&amp;mrv=10 | https://api.worldbank.org/v2/country/KEN/indicator/IT.NET.BBND.P2?format=json&amp;mrv=10 | https://worldweather.wmo.int</t>
        </is>
      </c>
      <c r="AU93" s="12" t="inlineStr">
        <is>
          <t>Tier 3</t>
        </is>
      </c>
      <c r="AV93" s="12" t="inlineStr">
        <is>
          <t>2024-12-31</t>
        </is>
      </c>
      <c r="AW93" s="12" t="inlineStr">
        <is>
          <t>providers=world_bank, wmo_natl_met; fields=personal_safety_raw, digital_infrastructure_raw, climate_sunlight_livability_raw</t>
        </is>
      </c>
      <c r="AX93" s="12" t="inlineStr">
        <is>
          <t>https://www.who.int/data/gho/data/indicators/indicator-details/GHO/UHC_INDEX_REPORTED | https://api.worldbank.org/v2/country/KEN/indicator/SE.TER.ENRR?format=json&amp;mrv=10 | https://api.worldbank.org/v2/country/KEN/indicator/SI.POV.GINI?format=json&amp;mrv=10 | +1 more</t>
        </is>
      </c>
      <c r="AY93" s="12" t="inlineStr">
        <is>
          <t>Tier 3</t>
        </is>
      </c>
      <c r="AZ93" s="12" t="inlineStr">
        <is>
          <t>2024-12-31</t>
        </is>
      </c>
      <c r="BA93" s="12" t="inlineStr">
        <is>
          <t>providers=who_gho, world_bank; fields=healthcare_quality_raw, education_quality_raw, equal_opportunity_raw, gini_coefficient</t>
        </is>
      </c>
      <c r="BB93" s="12" t="inlineStr">
        <is>
          <t>https://api.worldbank.org/v2/country/KEN/indicator/SM.POP.NETM?format=json&amp;mrv=10 | https://api.worldbank.org/v2/country/KEN/indicator/SG.GEN.PARL.ZS?format=json&amp;mrv=10 | https://api.worldbank.org/v2/country/KEN/indicator/ST.INT.ARVL?format=json&amp;mrv=10 | +1 more</t>
        </is>
      </c>
      <c r="BC93" s="12" t="inlineStr">
        <is>
          <t>Tier 3</t>
        </is>
      </c>
      <c r="BD93" s="12" t="inlineStr">
        <is>
          <t>2025-12-31</t>
        </is>
      </c>
      <c r="BE93" s="12" t="inlineStr">
        <is>
          <t>providers=world_bank; fields=hospitality_belonging_raw, tolerance_pluralism_raw, cultural_public_life_raw, birth_rate_optimism_raw</t>
        </is>
      </c>
      <c r="BF93" s="12" t="inlineStr">
        <is>
          <t>https://api.worldbank.org/v2/country/KEN/indicator/IC.BUS.NDNS.ZS?format=json&amp;mrv=10 | https://api.worldbank.org/v2/country/KEN/indicator/GB.XPD.RSDV.GD.ZS?format=json&amp;mrv=10 | https://api.worldbank.org/v2/country/KEN/indicator/BX.KLT.DINV.WD.GD.ZS?format=json&amp;mrv=10 | +3 more</t>
        </is>
      </c>
      <c r="BG93" s="12" t="inlineStr">
        <is>
          <t>Tier 3</t>
        </is>
      </c>
      <c r="BH93" s="12" t="inlineStr">
        <is>
          <t>2024-12-31</t>
        </is>
      </c>
      <c r="BI93" s="12" t="inlineStr">
        <is>
          <t>providers=world_bank; fields=entrepreneurial_dynamism_raw, innovation_research_intensity_raw, investment_signal_raw, administrative_investment_friction_raw; +2 additional fields</t>
        </is>
      </c>
      <c r="BJ93" s="9" t="n">
        <v>3.3</v>
      </c>
    </row>
    <row r="94">
      <c r="A94" s="9" t="inlineStr">
        <is>
          <t>rw-kigali</t>
        </is>
      </c>
      <c r="B94" s="9" t="inlineStr">
        <is>
          <t>Kigali</t>
        </is>
      </c>
      <c r="C94" s="9" t="inlineStr">
        <is>
          <t>Rwanda</t>
        </is>
      </c>
      <c r="D94" s="9" t="inlineStr">
        <is>
          <t>Africa</t>
        </is>
      </c>
      <c r="E94" s="9" t="inlineStr">
        <is>
          <t>primary</t>
        </is>
      </c>
      <c r="F94" s="9" t="inlineStr">
        <is>
          <t>locked</t>
        </is>
      </c>
      <c r="G94" s="10" t="n">
        <v>301.67</v>
      </c>
      <c r="H94" s="10" t="n">
        <v>57.32</v>
      </c>
      <c r="I94" s="10" t="n">
        <v>17.2</v>
      </c>
      <c r="J94" s="10" t="n">
        <v>11.46</v>
      </c>
      <c r="K94" s="10" t="n">
        <v>4.3</v>
      </c>
      <c r="L94" s="10" t="n">
        <v>71.65000000000001</v>
      </c>
      <c r="M94" s="11" t="inlineStr"/>
      <c r="N94" s="10" t="n">
        <v>19.0009</v>
      </c>
      <c r="O94" s="10" t="n">
        <v>22.5267</v>
      </c>
      <c r="P94" s="11">
        <f>IF($O94&lt;&gt;"",$O94,$AO94)</f>
        <v/>
      </c>
      <c r="Q94" s="10" t="n">
        <v>29.92</v>
      </c>
      <c r="R94" s="10" t="n">
        <v>8.68</v>
      </c>
      <c r="S94" s="10" t="n">
        <v>3.61</v>
      </c>
      <c r="T94" s="10" t="inlineStr"/>
      <c r="U94" s="10" t="inlineStr"/>
      <c r="V94" s="10" t="inlineStr"/>
      <c r="W94" s="10" t="n">
        <v>0.45</v>
      </c>
      <c r="X94" s="9" t="n">
        <v>70</v>
      </c>
      <c r="Y94" s="10" t="n">
        <v>59</v>
      </c>
      <c r="Z94" s="10" t="n">
        <v>9.41</v>
      </c>
      <c r="AA94" s="10" t="n">
        <v>39.4</v>
      </c>
      <c r="AB94" s="10" t="n">
        <v>50.44</v>
      </c>
      <c r="AC94" s="10" t="n">
        <v>63.75</v>
      </c>
      <c r="AD94" s="10" t="n">
        <v>114.61</v>
      </c>
      <c r="AE94" s="10" t="n">
        <v>2.13</v>
      </c>
      <c r="AF94" s="10" t="n">
        <v>0.79</v>
      </c>
      <c r="AG94" s="10" t="n">
        <v>4.02</v>
      </c>
      <c r="AH94" s="10" t="n">
        <v>2.38</v>
      </c>
      <c r="AI94" s="10" t="inlineStr"/>
      <c r="AJ94" s="11">
        <f>IFERROR(INDEX(Country_Context!$B$2:$B$87,MATCH($C94,Country_Context!$A$2:$A$87,0)),"")</f>
        <v/>
      </c>
      <c r="AK94" s="11">
        <f>IFERROR(INDEX(Country_Context!$C$2:$C$87,MATCH($C94,Country_Context!$A$2:$A$87,0)),"")</f>
        <v/>
      </c>
      <c r="AL94" s="11">
        <f>IFERROR(INDEX(Country_Context!$D$2:$D$87,MATCH($C94,Country_Context!$A$2:$A$87,0)),"")</f>
        <v/>
      </c>
      <c r="AM94" s="11">
        <f>IFERROR(INDEX(Country_Context!$E$2:$E$87,MATCH($C94,Country_Context!$A$2:$A$87,0)),"")</f>
        <v/>
      </c>
      <c r="AN94" s="11">
        <f>IFERROR(INDEX(Country_Context!$F$2:$F$87,MATCH($C94,Country_Context!$A$2:$A$87,0)),"")</f>
        <v/>
      </c>
      <c r="AO94" s="11">
        <f>IFERROR(INDEX(Country_Context!$G$2:$G$87,MATCH($C94,Country_Context!$A$2:$A$87,0)),"")</f>
        <v/>
      </c>
      <c r="AP94" s="12" t="inlineStr">
        <is>
          <t>https://api.worldbank.org/v2/country/RWA/indicator/NY.GNP.PCAP.PP.CD?format=json&amp;mrv=10 | https://data.worldbank.org/indicator/NY.GNP.PCAP.PP.CD | https://ilostat.ilo.org/data/indicator/?id=HOW_TEMP_SEX_ECO_NB_A&amp;ref_area=RWA | +4 more</t>
        </is>
      </c>
      <c r="AQ94" s="12" t="inlineStr">
        <is>
          <t>Tier 3, Tier 4</t>
        </is>
      </c>
      <c r="AR94" s="12" t="inlineStr">
        <is>
          <t>2024-12-31</t>
        </is>
      </c>
      <c r="AS94" s="12" t="inlineStr">
        <is>
          <t>providers=world_bank_col_estimate, derived, ilo_ilostat, who_gho; fields=gross_income, rent, utilities, transit_cost; +9 additional fields</t>
        </is>
      </c>
      <c r="AT94" s="12" t="inlineStr">
        <is>
          <t>https://api.worldbank.org/v2/country/RWA/indicator/VC.IHR.PSRC.P5?format=json&amp;mrv=10 | https://api.worldbank.org/v2/country/RWA/indicator/IT.NET.BBND.P2?format=json&amp;mrv=10 | https://worldweather.wmo.int</t>
        </is>
      </c>
      <c r="AU94" s="12" t="inlineStr">
        <is>
          <t>Tier 3</t>
        </is>
      </c>
      <c r="AV94" s="12" t="inlineStr">
        <is>
          <t>2024-12-31</t>
        </is>
      </c>
      <c r="AW94" s="12" t="inlineStr">
        <is>
          <t>providers=world_bank, wmo_natl_met; fields=personal_safety_raw, digital_infrastructure_raw, climate_sunlight_livability_raw</t>
        </is>
      </c>
      <c r="AX94" s="12" t="inlineStr">
        <is>
          <t>https://www.who.int/data/gho/data/indicators/indicator-details/GHO/UHC_INDEX_REPORTED | https://api.worldbank.org/v2/country/RWA/indicator/SE.TER.ENRR?format=json&amp;mrv=10 | https://api.worldbank.org/v2/country/RWA/indicator/SI.POV.GINI?format=json&amp;mrv=10 | +1 more</t>
        </is>
      </c>
      <c r="AY94" s="12" t="inlineStr">
        <is>
          <t>Tier 3</t>
        </is>
      </c>
      <c r="AZ94" s="12" t="inlineStr">
        <is>
          <t>2024-12-31</t>
        </is>
      </c>
      <c r="BA94" s="12" t="inlineStr">
        <is>
          <t>providers=who_gho, world_bank; fields=healthcare_quality_raw, education_quality_raw, equal_opportunity_raw, gini_coefficient</t>
        </is>
      </c>
      <c r="BB94" s="12" t="inlineStr">
        <is>
          <t>https://api.worldbank.org/v2/country/RWA/indicator/SM.POP.NETM?format=json&amp;mrv=10 | https://api.worldbank.org/v2/country/RWA/indicator/SG.GEN.PARL.ZS?format=json&amp;mrv=10 | https://api.worldbank.org/v2/country/RWA/indicator/ST.INT.ARVL?format=json&amp;mrv=10 | +1 more</t>
        </is>
      </c>
      <c r="BC94" s="12" t="inlineStr">
        <is>
          <t>Tier 3</t>
        </is>
      </c>
      <c r="BD94" s="12" t="inlineStr">
        <is>
          <t>2025-12-31</t>
        </is>
      </c>
      <c r="BE94" s="12" t="inlineStr">
        <is>
          <t>providers=world_bank; fields=hospitality_belonging_raw, tolerance_pluralism_raw, cultural_public_life_raw, birth_rate_optimism_raw</t>
        </is>
      </c>
      <c r="BF94" s="12" t="inlineStr">
        <is>
          <t>https://api.worldbank.org/v2/country/RWA/indicator/IC.BUS.NDNS.ZS?format=json&amp;mrv=10 | https://api.worldbank.org/v2/country/RWA/indicator/GB.XPD.RSDV.GD.ZS?format=json&amp;mrv=10 | https://api.worldbank.org/v2/country/RWA/indicator/BX.KLT.DINV.WD.GD.ZS?format=json&amp;mrv=10 | +3 more</t>
        </is>
      </c>
      <c r="BG94" s="12" t="inlineStr">
        <is>
          <t>Tier 3</t>
        </is>
      </c>
      <c r="BH94" s="12" t="inlineStr">
        <is>
          <t>2024-12-31</t>
        </is>
      </c>
      <c r="BI94" s="12" t="inlineStr">
        <is>
          <t>providers=world_bank; fields=entrepreneurial_dynamism_raw, innovation_research_intensity_raw, investment_signal_raw, administrative_investment_friction_raw; +2 additional fields</t>
        </is>
      </c>
      <c r="BJ94" s="9" t="n">
        <v>3.9</v>
      </c>
    </row>
    <row r="95">
      <c r="A95" s="9" t="inlineStr">
        <is>
          <t>ma-casablanca</t>
        </is>
      </c>
      <c r="B95" s="9" t="inlineStr">
        <is>
          <t>Casablanca</t>
        </is>
      </c>
      <c r="C95" s="9" t="inlineStr">
        <is>
          <t>Morocco</t>
        </is>
      </c>
      <c r="D95" s="9" t="inlineStr">
        <is>
          <t>Africa</t>
        </is>
      </c>
      <c r="E95" s="9" t="inlineStr">
        <is>
          <t>primary</t>
        </is>
      </c>
      <c r="F95" s="9" t="inlineStr">
        <is>
          <t>provisional</t>
        </is>
      </c>
      <c r="G95" s="10" t="n">
        <v>855</v>
      </c>
      <c r="H95" s="10" t="n">
        <v>162.45</v>
      </c>
      <c r="I95" s="10" t="n">
        <v>48.73</v>
      </c>
      <c r="J95" s="10" t="n">
        <v>32.49</v>
      </c>
      <c r="K95" s="10" t="n">
        <v>12.18</v>
      </c>
      <c r="L95" s="10" t="n">
        <v>203.06</v>
      </c>
      <c r="M95" s="11" t="inlineStr"/>
      <c r="N95" s="10" t="n">
        <v>19</v>
      </c>
      <c r="O95" s="10" t="n">
        <v>54.7741</v>
      </c>
      <c r="P95" s="11">
        <f>IF($O95&lt;&gt;"",$O95,$AO95)</f>
        <v/>
      </c>
      <c r="Q95" s="10" t="n">
        <v>44</v>
      </c>
      <c r="R95" s="10" t="n">
        <v>2.91</v>
      </c>
      <c r="S95" s="10" t="n">
        <v>1.71</v>
      </c>
      <c r="T95" s="10" t="inlineStr"/>
      <c r="U95" s="10" t="inlineStr"/>
      <c r="V95" s="10" t="n">
        <v>79.98</v>
      </c>
      <c r="W95" s="10" t="n">
        <v>7.02</v>
      </c>
      <c r="X95" s="9" t="n">
        <v>68</v>
      </c>
      <c r="Y95" s="10" t="n">
        <v>65</v>
      </c>
      <c r="Z95" s="10" t="n">
        <v>48.18</v>
      </c>
      <c r="AA95" s="10" t="inlineStr"/>
      <c r="AB95" s="10" t="n">
        <v>48.52</v>
      </c>
      <c r="AC95" s="10" t="n">
        <v>24.3</v>
      </c>
      <c r="AD95" s="10" t="n">
        <v>73.58</v>
      </c>
      <c r="AE95" s="10" t="n">
        <v>2.57</v>
      </c>
      <c r="AF95" s="10" t="n">
        <v>73.61</v>
      </c>
      <c r="AG95" s="10" t="n">
        <v>1.02</v>
      </c>
      <c r="AH95" s="10" t="n">
        <v>2.56</v>
      </c>
      <c r="AI95" s="10" t="inlineStr"/>
      <c r="AJ95" s="11">
        <f>IFERROR(INDEX(Country_Context!$B$2:$B$87,MATCH($C95,Country_Context!$A$2:$A$87,0)),"")</f>
        <v/>
      </c>
      <c r="AK95" s="11">
        <f>IFERROR(INDEX(Country_Context!$C$2:$C$87,MATCH($C95,Country_Context!$A$2:$A$87,0)),"")</f>
        <v/>
      </c>
      <c r="AL95" s="11">
        <f>IFERROR(INDEX(Country_Context!$D$2:$D$87,MATCH($C95,Country_Context!$A$2:$A$87,0)),"")</f>
        <v/>
      </c>
      <c r="AM95" s="11">
        <f>IFERROR(INDEX(Country_Context!$E$2:$E$87,MATCH($C95,Country_Context!$A$2:$A$87,0)),"")</f>
        <v/>
      </c>
      <c r="AN95" s="11">
        <f>IFERROR(INDEX(Country_Context!$F$2:$F$87,MATCH($C95,Country_Context!$A$2:$A$87,0)),"")</f>
        <v/>
      </c>
      <c r="AO95" s="11">
        <f>IFERROR(INDEX(Country_Context!$G$2:$G$87,MATCH($C95,Country_Context!$A$2:$A$87,0)),"")</f>
        <v/>
      </c>
      <c r="AP95" s="12" t="inlineStr">
        <is>
          <t>https://api.worldbank.org/v2/country/MAR/indicator/NY.GNP.PCAP.PP.CD?format=json&amp;mrv=10 | https://data.worldbank.org/indicator/NY.GNP.PCAP.PP.CD | https://ilostat.ilo.org/data/indicator/?id=HOW_TEMP_SEX_ECO_NB_A&amp;ref_area=MAR | +4 more</t>
        </is>
      </c>
      <c r="AQ95" s="12" t="inlineStr">
        <is>
          <t>Tier 3, Tier 4</t>
        </is>
      </c>
      <c r="AR95" s="12" t="inlineStr">
        <is>
          <t>2024-12-31</t>
        </is>
      </c>
      <c r="AS95" s="12" t="inlineStr">
        <is>
          <t>providers=world_bank_col_estimate, derived, ilo_ilostat, who_gho; fields=gross_income, rent, utilities, transit_cost; +9 additional fields</t>
        </is>
      </c>
      <c r="AT95" s="12" t="inlineStr">
        <is>
          <t>https://api.worldbank.org/v2/country/MAR/indicator/VC.IHR.PSRC.P5?format=json&amp;mrv=10 | https://api.worldbank.org/v2/country/MAR/indicator/SH.H2O.SMDW.ZS?format=json&amp;mrv=10 | https://api.worldbank.org/v2/country/MAR/indicator/IT.NET.BBND.P2?format=json&amp;mrv=10 | +1 more</t>
        </is>
      </c>
      <c r="AU95" s="12" t="inlineStr">
        <is>
          <t>Tier 3</t>
        </is>
      </c>
      <c r="AV95" s="12" t="inlineStr">
        <is>
          <t>2024-12-31</t>
        </is>
      </c>
      <c r="AW95" s="12" t="inlineStr">
        <is>
          <t>providers=world_bank, wmo_natl_met; fields=personal_safety_raw, water_sanitation_utility_raw, digital_infrastructure_raw, climate_sunlight_livability_raw</t>
        </is>
      </c>
      <c r="AX95" s="12" t="inlineStr">
        <is>
          <t>https://www.who.int/data/gho/data/indicators/indicator-details/GHO/UHC_INDEX_REPORTED | https://api.worldbank.org/v2/country/MAR/indicator/SE.TER.ENRR?format=json&amp;mrv=10 | https://api.worldbank.org/v2/country/MAR/indicator/SI.POV.GINI?format=json&amp;mrv=30</t>
        </is>
      </c>
      <c r="AY95" s="12" t="inlineStr">
        <is>
          <t>Tier 3</t>
        </is>
      </c>
      <c r="AZ95" s="12" t="inlineStr">
        <is>
          <t>2024-12-31</t>
        </is>
      </c>
      <c r="BA95" s="12" t="inlineStr">
        <is>
          <t>providers=who_gho, world_bank; fields=healthcare_quality_raw, education_quality_raw, gini_coefficient</t>
        </is>
      </c>
      <c r="BB95" s="12" t="inlineStr">
        <is>
          <t>https://api.worldbank.org/v2/country/MAR/indicator/SM.POP.NETM?format=json&amp;mrv=10 | https://api.worldbank.org/v2/country/MAR/indicator/SG.GEN.PARL.ZS?format=json&amp;mrv=10 | https://api.worldbank.org/v2/country/MAR/indicator/ST.INT.ARVL?format=json&amp;mrv=10</t>
        </is>
      </c>
      <c r="BC95" s="12" t="inlineStr">
        <is>
          <t>Tier 3</t>
        </is>
      </c>
      <c r="BD95" s="12" t="inlineStr">
        <is>
          <t>2025-12-31</t>
        </is>
      </c>
      <c r="BE95" s="12" t="inlineStr">
        <is>
          <t>providers=world_bank; fields=hospitality_belonging_raw, tolerance_pluralism_raw, cultural_public_life_raw</t>
        </is>
      </c>
      <c r="BF95" s="12" t="inlineStr">
        <is>
          <t>https://api.worldbank.org/v2/country/MAR/indicator/IC.BUS.NDNS.ZS?format=json&amp;mrv=10 | https://api.worldbank.org/v2/country/MAR/indicator/IP.PAT.RESD?format=json&amp;mrv=10 | https://api.worldbank.org/v2/country/MAR/indicator/BX.KLT.DINV.WD.GD.ZS?format=json&amp;mrv=10 | +3 more</t>
        </is>
      </c>
      <c r="BG95" s="12" t="inlineStr">
        <is>
          <t>Tier 3</t>
        </is>
      </c>
      <c r="BH95" s="12" t="inlineStr">
        <is>
          <t>2024-12-31</t>
        </is>
      </c>
      <c r="BI95" s="12" t="inlineStr">
        <is>
          <t>providers=world_bank; fields=entrepreneurial_dynamism_raw, innovation_research_intensity_raw, investment_signal_raw, administrative_investment_friction_raw; +2 additional fields</t>
        </is>
      </c>
      <c r="BJ95" s="9" t="inlineStr"/>
    </row>
    <row r="96">
      <c r="A96" s="9" t="inlineStr">
        <is>
          <t>mu-port-louis</t>
        </is>
      </c>
      <c r="B96" s="9" t="inlineStr">
        <is>
          <t>Port Louis</t>
        </is>
      </c>
      <c r="C96" s="9" t="inlineStr">
        <is>
          <t>Mauritius</t>
        </is>
      </c>
      <c r="D96" s="9" t="inlineStr">
        <is>
          <t>Africa</t>
        </is>
      </c>
      <c r="E96" s="9" t="inlineStr">
        <is>
          <t>secondary</t>
        </is>
      </c>
      <c r="F96" s="9" t="inlineStr">
        <is>
          <t>locked</t>
        </is>
      </c>
      <c r="G96" s="10" t="n">
        <v>2925</v>
      </c>
      <c r="H96" s="10" t="n">
        <v>526.5</v>
      </c>
      <c r="I96" s="10" t="n">
        <v>157.95</v>
      </c>
      <c r="J96" s="10" t="n">
        <v>105.3</v>
      </c>
      <c r="K96" s="10" t="n">
        <v>39.49</v>
      </c>
      <c r="L96" s="10" t="n">
        <v>658.12</v>
      </c>
      <c r="M96" s="11" t="inlineStr"/>
      <c r="N96" s="10" t="n">
        <v>18</v>
      </c>
      <c r="O96" s="10" t="n">
        <v>69.82210000000001</v>
      </c>
      <c r="P96" s="11">
        <f>IF($O96&lt;&gt;"",$O96,$AO96)</f>
        <v/>
      </c>
      <c r="Q96" s="10" t="n">
        <v>38.34</v>
      </c>
      <c r="R96" s="10" t="n">
        <v>10.52</v>
      </c>
      <c r="S96" s="10" t="n">
        <v>2.27</v>
      </c>
      <c r="T96" s="10" t="inlineStr"/>
      <c r="U96" s="10" t="inlineStr"/>
      <c r="V96" s="10" t="inlineStr"/>
      <c r="W96" s="10" t="n">
        <v>26.91</v>
      </c>
      <c r="X96" s="9" t="inlineStr"/>
      <c r="Y96" s="10" t="n">
        <v>75</v>
      </c>
      <c r="Z96" s="10" t="n">
        <v>45.78</v>
      </c>
      <c r="AA96" s="10" t="n">
        <v>36.8</v>
      </c>
      <c r="AB96" s="10" t="n">
        <v>47.77</v>
      </c>
      <c r="AC96" s="10" t="n">
        <v>19.4</v>
      </c>
      <c r="AD96" s="10" t="n">
        <v>253.66</v>
      </c>
      <c r="AE96" s="10" t="n">
        <v>9.59</v>
      </c>
      <c r="AF96" s="10" t="n">
        <v>0.23</v>
      </c>
      <c r="AG96" s="10" t="n">
        <v>4.56</v>
      </c>
      <c r="AH96" s="10" t="n">
        <v>1.44</v>
      </c>
      <c r="AI96" s="10" t="inlineStr"/>
      <c r="AJ96" s="11">
        <f>IFERROR(INDEX(Country_Context!$B$2:$B$87,MATCH($C96,Country_Context!$A$2:$A$87,0)),"")</f>
        <v/>
      </c>
      <c r="AK96" s="11">
        <f>IFERROR(INDEX(Country_Context!$C$2:$C$87,MATCH($C96,Country_Context!$A$2:$A$87,0)),"")</f>
        <v/>
      </c>
      <c r="AL96" s="11">
        <f>IFERROR(INDEX(Country_Context!$D$2:$D$87,MATCH($C96,Country_Context!$A$2:$A$87,0)),"")</f>
        <v/>
      </c>
      <c r="AM96" s="11">
        <f>IFERROR(INDEX(Country_Context!$E$2:$E$87,MATCH($C96,Country_Context!$A$2:$A$87,0)),"")</f>
        <v/>
      </c>
      <c r="AN96" s="11">
        <f>IFERROR(INDEX(Country_Context!$F$2:$F$87,MATCH($C96,Country_Context!$A$2:$A$87,0)),"")</f>
        <v/>
      </c>
      <c r="AO96" s="11">
        <f>IFERROR(INDEX(Country_Context!$G$2:$G$87,MATCH($C96,Country_Context!$A$2:$A$87,0)),"")</f>
        <v/>
      </c>
      <c r="AP96" s="12" t="inlineStr">
        <is>
          <t>https://api.worldbank.org/v2/country/MUS/indicator/NY.GNP.PCAP.PP.CD?format=json&amp;mrv=10 | https://data.worldbank.org/indicator/NY.GNP.PCAP.PP.CD | https://ilostat.ilo.org/data/indicator/?id=HOW_TEMP_SEX_ECO_NB_A&amp;ref_area=MUS | +4 more</t>
        </is>
      </c>
      <c r="AQ96" s="12" t="inlineStr">
        <is>
          <t>Tier 3, Tier 4</t>
        </is>
      </c>
      <c r="AR96" s="12" t="inlineStr">
        <is>
          <t>2024-12-31</t>
        </is>
      </c>
      <c r="AS96" s="12" t="inlineStr">
        <is>
          <t>providers=world_bank_col_estimate, derived, ilo_ilostat, who_gho; fields=gross_income, rent, utilities, transit_cost; +9 additional fields</t>
        </is>
      </c>
      <c r="AT96" s="12" t="inlineStr">
        <is>
          <t>https://api.worldbank.org/v2/country/MUS/indicator/VC.IHR.PSRC.P5?format=json&amp;mrv=10 | https://api.worldbank.org/v2/country/MUS/indicator/IT.NET.BBND.P2?format=json&amp;mrv=10</t>
        </is>
      </c>
      <c r="AU96" s="12" t="inlineStr">
        <is>
          <t>Tier 3</t>
        </is>
      </c>
      <c r="AV96" s="12" t="inlineStr">
        <is>
          <t>2023-12-31</t>
        </is>
      </c>
      <c r="AW96" s="12" t="inlineStr">
        <is>
          <t>providers=world_bank; fields=personal_safety_raw, digital_infrastructure_raw</t>
        </is>
      </c>
      <c r="AX96" s="12" t="inlineStr">
        <is>
          <t>https://www.who.int/data/gho/data/indicators/indicator-details/GHO/UHC_INDEX_REPORTED | https://api.worldbank.org/v2/country/MUS/indicator/SE.TER.ENRR?format=json&amp;mrv=10 | https://api.worldbank.org/v2/country/MUS/indicator/SI.POV.GINI?format=json&amp;mrv=10 | +1 more</t>
        </is>
      </c>
      <c r="AY96" s="12" t="inlineStr">
        <is>
          <t>Tier 3</t>
        </is>
      </c>
      <c r="AZ96" s="12" t="inlineStr">
        <is>
          <t>2024-12-31</t>
        </is>
      </c>
      <c r="BA96" s="12" t="inlineStr">
        <is>
          <t>providers=who_gho, world_bank; fields=healthcare_quality_raw, education_quality_raw, equal_opportunity_raw, gini_coefficient</t>
        </is>
      </c>
      <c r="BB96" s="12" t="inlineStr">
        <is>
          <t>https://api.worldbank.org/v2/country/MUS/indicator/SM.POP.NETM?format=json&amp;mrv=10 | https://api.worldbank.org/v2/country/MUS/indicator/SG.GEN.PARL.ZS?format=json&amp;mrv=10 | https://api.worldbank.org/v2/country/MUS/indicator/ST.INT.ARVL?format=json&amp;mrv=10</t>
        </is>
      </c>
      <c r="BC96" s="12" t="inlineStr">
        <is>
          <t>Tier 3</t>
        </is>
      </c>
      <c r="BD96" s="12" t="inlineStr">
        <is>
          <t>2025-12-31</t>
        </is>
      </c>
      <c r="BE96" s="12" t="inlineStr">
        <is>
          <t>providers=world_bank; fields=hospitality_belonging_raw, tolerance_pluralism_raw, cultural_public_life_raw</t>
        </is>
      </c>
      <c r="BF96" s="12" t="inlineStr">
        <is>
          <t>https://api.worldbank.org/v2/country/MUS/indicator/IC.BUS.NDNS.ZS?format=json&amp;mrv=10 | https://api.worldbank.org/v2/country/MUS/indicator/GB.XPD.RSDV.GD.ZS?format=json&amp;mrv=10 | https://api.worldbank.org/v2/country/MUS/indicator/BX.KLT.DINV.WD.GD.ZS?format=json&amp;mrv=10 | +3 more</t>
        </is>
      </c>
      <c r="BG96" s="12" t="inlineStr">
        <is>
          <t>Tier 3</t>
        </is>
      </c>
      <c r="BH96" s="12" t="inlineStr">
        <is>
          <t>2024-12-31</t>
        </is>
      </c>
      <c r="BI96" s="12" t="inlineStr">
        <is>
          <t>providers=world_bank; fields=entrepreneurial_dynamism_raw, innovation_research_intensity_raw, investment_signal_raw, administrative_investment_friction_raw; +2 additional fields</t>
        </is>
      </c>
      <c r="BJ96" s="9" t="inlineStr"/>
    </row>
    <row r="97">
      <c r="A97" s="9" t="inlineStr">
        <is>
          <t>bw-gaborone</t>
        </is>
      </c>
      <c r="B97" s="9" t="inlineStr">
        <is>
          <t>Gaborone</t>
        </is>
      </c>
      <c r="C97" s="9" t="inlineStr">
        <is>
          <t>Botswana</t>
        </is>
      </c>
      <c r="D97" s="9" t="inlineStr">
        <is>
          <t>Africa</t>
        </is>
      </c>
      <c r="E97" s="9" t="inlineStr">
        <is>
          <t>secondary</t>
        </is>
      </c>
      <c r="F97" s="9" t="inlineStr">
        <is>
          <t>locked</t>
        </is>
      </c>
      <c r="G97" s="10" t="n">
        <v>1714.17</v>
      </c>
      <c r="H97" s="10" t="n">
        <v>291.41</v>
      </c>
      <c r="I97" s="10" t="n">
        <v>87.42</v>
      </c>
      <c r="J97" s="10" t="n">
        <v>58.28</v>
      </c>
      <c r="K97" s="10" t="n">
        <v>21.86</v>
      </c>
      <c r="L97" s="10" t="n">
        <v>364.26</v>
      </c>
      <c r="M97" s="11" t="inlineStr"/>
      <c r="N97" s="10" t="n">
        <v>17.0001</v>
      </c>
      <c r="O97" s="10" t="n">
        <v>32.8462</v>
      </c>
      <c r="P97" s="11">
        <f>IF($O97&lt;&gt;"",$O97,$AO97)</f>
        <v/>
      </c>
      <c r="Q97" s="10" t="n">
        <v>42.92</v>
      </c>
      <c r="R97" s="10" t="n">
        <v>8.35</v>
      </c>
      <c r="S97" s="10" t="n">
        <v>11.37</v>
      </c>
      <c r="T97" s="10" t="inlineStr"/>
      <c r="U97" s="10" t="inlineStr"/>
      <c r="V97" s="10" t="n">
        <v>63.29</v>
      </c>
      <c r="W97" s="10" t="n">
        <v>3.41</v>
      </c>
      <c r="X97" s="9" t="inlineStr"/>
      <c r="Y97" s="10" t="n">
        <v>60</v>
      </c>
      <c r="Z97" s="10" t="n">
        <v>21.41</v>
      </c>
      <c r="AA97" s="10" t="n">
        <v>54.9</v>
      </c>
      <c r="AB97" s="10" t="n">
        <v>47.75</v>
      </c>
      <c r="AC97" s="10" t="n">
        <v>8.699999999999999</v>
      </c>
      <c r="AD97" s="10" t="n">
        <v>725.86</v>
      </c>
      <c r="AE97" s="10" t="n">
        <v>8.68</v>
      </c>
      <c r="AF97" s="10" t="n">
        <v>1.98</v>
      </c>
      <c r="AG97" s="10" t="n">
        <v>2.41</v>
      </c>
      <c r="AH97" s="10" t="n">
        <v>2</v>
      </c>
      <c r="AI97" s="10" t="inlineStr"/>
      <c r="AJ97" s="11">
        <f>IFERROR(INDEX(Country_Context!$B$2:$B$87,MATCH($C97,Country_Context!$A$2:$A$87,0)),"")</f>
        <v/>
      </c>
      <c r="AK97" s="11">
        <f>IFERROR(INDEX(Country_Context!$C$2:$C$87,MATCH($C97,Country_Context!$A$2:$A$87,0)),"")</f>
        <v/>
      </c>
      <c r="AL97" s="11">
        <f>IFERROR(INDEX(Country_Context!$D$2:$D$87,MATCH($C97,Country_Context!$A$2:$A$87,0)),"")</f>
        <v/>
      </c>
      <c r="AM97" s="11">
        <f>IFERROR(INDEX(Country_Context!$E$2:$E$87,MATCH($C97,Country_Context!$A$2:$A$87,0)),"")</f>
        <v/>
      </c>
      <c r="AN97" s="11">
        <f>IFERROR(INDEX(Country_Context!$F$2:$F$87,MATCH($C97,Country_Context!$A$2:$A$87,0)),"")</f>
        <v/>
      </c>
      <c r="AO97" s="11">
        <f>IFERROR(INDEX(Country_Context!$G$2:$G$87,MATCH($C97,Country_Context!$A$2:$A$87,0)),"")</f>
        <v/>
      </c>
      <c r="AP97" s="12" t="inlineStr">
        <is>
          <t>https://api.worldbank.org/v2/country/BWA/indicator/NY.GNP.PCAP.PP.CD?format=json&amp;mrv=10 | https://data.worldbank.org/indicator/NY.GNP.PCAP.PP.CD | https://ilostat.ilo.org/data/indicator/?id=HOW_TEMP_SEX_ECO_NB_A&amp;ref_area=BWA | +4 more</t>
        </is>
      </c>
      <c r="AQ97" s="12" t="inlineStr">
        <is>
          <t>Tier 3, Tier 4</t>
        </is>
      </c>
      <c r="AR97" s="12" t="inlineStr">
        <is>
          <t>2024-12-31</t>
        </is>
      </c>
      <c r="AS97" s="12" t="inlineStr">
        <is>
          <t>providers=world_bank_col_estimate, derived, ilo_ilostat, who_gho; fields=gross_income, rent, utilities, transit_cost; +9 additional fields</t>
        </is>
      </c>
      <c r="AT97" s="12" t="inlineStr">
        <is>
          <t>https://api.worldbank.org/v2/country/BWA/indicator/VC.IHR.PSRC.P5?format=json&amp;mrv=10 | https://api.worldbank.org/v2/country/BWA/indicator/SH.H2O.SMDW.ZS?format=json&amp;mrv=10 | https://api.worldbank.org/v2/country/BWA/indicator/IT.NET.BBND.P2?format=json&amp;mrv=10</t>
        </is>
      </c>
      <c r="AU97" s="12" t="inlineStr">
        <is>
          <t>Tier 3</t>
        </is>
      </c>
      <c r="AV97" s="12" t="inlineStr">
        <is>
          <t>2024-12-31</t>
        </is>
      </c>
      <c r="AW97" s="12" t="inlineStr">
        <is>
          <t>providers=world_bank; fields=personal_safety_raw, water_sanitation_utility_raw, digital_infrastructure_raw</t>
        </is>
      </c>
      <c r="AX97" s="12" t="inlineStr">
        <is>
          <t>https://www.who.int/data/gho/data/indicators/indicator-details/GHO/UHC_INDEX_REPORTED | https://api.worldbank.org/v2/country/BWA/indicator/SE.TER.ENRR?format=json&amp;mrv=10 | https://api.worldbank.org/v2/country/BWA/indicator/SI.POV.GINI?format=json&amp;mrv=10 | +1 more</t>
        </is>
      </c>
      <c r="AY97" s="12" t="inlineStr">
        <is>
          <t>Tier 3</t>
        </is>
      </c>
      <c r="AZ97" s="12" t="inlineStr">
        <is>
          <t>2024-12-31</t>
        </is>
      </c>
      <c r="BA97" s="12" t="inlineStr">
        <is>
          <t>providers=who_gho, world_bank; fields=healthcare_quality_raw, education_quality_raw, equal_opportunity_raw, gini_coefficient</t>
        </is>
      </c>
      <c r="BB97" s="12" t="inlineStr">
        <is>
          <t>https://api.worldbank.org/v2/country/BWA/indicator/SM.POP.NETM?format=json&amp;mrv=10 | https://api.worldbank.org/v2/country/BWA/indicator/SG.GEN.PARL.ZS?format=json&amp;mrv=10 | https://api.worldbank.org/v2/country/BWA/indicator/ST.INT.ARVL?format=json&amp;mrv=10</t>
        </is>
      </c>
      <c r="BC97" s="12" t="inlineStr">
        <is>
          <t>Tier 3</t>
        </is>
      </c>
      <c r="BD97" s="12" t="inlineStr">
        <is>
          <t>2025-12-31</t>
        </is>
      </c>
      <c r="BE97" s="12" t="inlineStr">
        <is>
          <t>providers=world_bank; fields=hospitality_belonging_raw, tolerance_pluralism_raw, cultural_public_life_raw</t>
        </is>
      </c>
      <c r="BF97" s="12" t="inlineStr">
        <is>
          <t>https://api.worldbank.org/v2/country/BWA/indicator/IC.BUS.NDNS.ZS?format=json&amp;mrv=10 | https://api.worldbank.org/v2/country/BWA/indicator/IP.PAT.RESD?format=json&amp;mrv=10 | https://api.worldbank.org/v2/country/BWA/indicator/BX.KLT.DINV.WD.GD.ZS?format=json&amp;mrv=10 | +3 more</t>
        </is>
      </c>
      <c r="BG97" s="12" t="inlineStr">
        <is>
          <t>Tier 3</t>
        </is>
      </c>
      <c r="BH97" s="12" t="inlineStr">
        <is>
          <t>2024-12-31</t>
        </is>
      </c>
      <c r="BI97" s="12" t="inlineStr">
        <is>
          <t>providers=world_bank; fields=entrepreneurial_dynamism_raw, innovation_research_intensity_raw, investment_signal_raw, administrative_investment_friction_raw; +2 additional fields</t>
        </is>
      </c>
      <c r="BJ97" s="9" t="inlineStr"/>
    </row>
    <row r="98">
      <c r="A98" s="9" t="inlineStr">
        <is>
          <t>na-windhoek</t>
        </is>
      </c>
      <c r="B98" s="9" t="inlineStr">
        <is>
          <t>Windhoek</t>
        </is>
      </c>
      <c r="C98" s="9" t="inlineStr">
        <is>
          <t>Namibia</t>
        </is>
      </c>
      <c r="D98" s="9" t="inlineStr">
        <is>
          <t>Africa</t>
        </is>
      </c>
      <c r="E98" s="9" t="inlineStr">
        <is>
          <t>secondary</t>
        </is>
      </c>
      <c r="F98" s="9" t="inlineStr">
        <is>
          <t>locked</t>
        </is>
      </c>
      <c r="G98" s="10" t="n">
        <v>941.67</v>
      </c>
      <c r="H98" s="10" t="n">
        <v>160.08</v>
      </c>
      <c r="I98" s="10" t="n">
        <v>48.03</v>
      </c>
      <c r="J98" s="10" t="n">
        <v>32.02</v>
      </c>
      <c r="K98" s="10" t="n">
        <v>12.01</v>
      </c>
      <c r="L98" s="10" t="n">
        <v>200.1</v>
      </c>
      <c r="M98" s="11" t="inlineStr"/>
      <c r="N98" s="10" t="n">
        <v>16.9996</v>
      </c>
      <c r="O98" s="10" t="n">
        <v>48.2075</v>
      </c>
      <c r="P98" s="11">
        <f>IF($O98&lt;&gt;"",$O98,$AO98)</f>
        <v/>
      </c>
      <c r="Q98" s="10" t="n">
        <v>44.91</v>
      </c>
      <c r="R98" s="10" t="n">
        <v>8.59</v>
      </c>
      <c r="S98" s="10" t="n">
        <v>11.21</v>
      </c>
      <c r="T98" s="10" t="inlineStr"/>
      <c r="U98" s="10" t="inlineStr"/>
      <c r="V98" s="10" t="inlineStr"/>
      <c r="W98" s="10" t="n">
        <v>3.52</v>
      </c>
      <c r="X98" s="9" t="inlineStr"/>
      <c r="Y98" s="10" t="n">
        <v>66</v>
      </c>
      <c r="Z98" s="10" t="n">
        <v>26.11</v>
      </c>
      <c r="AA98" s="10" t="n">
        <v>59.1</v>
      </c>
      <c r="AB98" s="10" t="n">
        <v>50.62</v>
      </c>
      <c r="AC98" s="10" t="n">
        <v>40.62</v>
      </c>
      <c r="AD98" s="10" t="n">
        <v>61.75</v>
      </c>
      <c r="AE98" s="10" t="n">
        <v>0.75</v>
      </c>
      <c r="AF98" s="10" t="n">
        <v>0.65</v>
      </c>
      <c r="AG98" s="10" t="n">
        <v>14.76</v>
      </c>
      <c r="AH98" s="10" t="n">
        <v>2.56</v>
      </c>
      <c r="AI98" s="10" t="inlineStr"/>
      <c r="AJ98" s="11">
        <f>IFERROR(INDEX(Country_Context!$B$2:$B$87,MATCH($C98,Country_Context!$A$2:$A$87,0)),"")</f>
        <v/>
      </c>
      <c r="AK98" s="11">
        <f>IFERROR(INDEX(Country_Context!$C$2:$C$87,MATCH($C98,Country_Context!$A$2:$A$87,0)),"")</f>
        <v/>
      </c>
      <c r="AL98" s="11">
        <f>IFERROR(INDEX(Country_Context!$D$2:$D$87,MATCH($C98,Country_Context!$A$2:$A$87,0)),"")</f>
        <v/>
      </c>
      <c r="AM98" s="11">
        <f>IFERROR(INDEX(Country_Context!$E$2:$E$87,MATCH($C98,Country_Context!$A$2:$A$87,0)),"")</f>
        <v/>
      </c>
      <c r="AN98" s="11">
        <f>IFERROR(INDEX(Country_Context!$F$2:$F$87,MATCH($C98,Country_Context!$A$2:$A$87,0)),"")</f>
        <v/>
      </c>
      <c r="AO98" s="11">
        <f>IFERROR(INDEX(Country_Context!$G$2:$G$87,MATCH($C98,Country_Context!$A$2:$A$87,0)),"")</f>
        <v/>
      </c>
      <c r="AP98" s="12" t="inlineStr">
        <is>
          <t>https://api.worldbank.org/v2/country/NAM/indicator/NY.GNP.PCAP.PP.CD?format=json&amp;mrv=10 | https://data.worldbank.org/indicator/NY.GNP.PCAP.PP.CD | https://ilostat.ilo.org/data/indicator/?id=HOW_TEMP_SEX_ECO_NB_A&amp;ref_area=NAM | +4 more</t>
        </is>
      </c>
      <c r="AQ98" s="12" t="inlineStr">
        <is>
          <t>Tier 3, Tier 4</t>
        </is>
      </c>
      <c r="AR98" s="12" t="inlineStr">
        <is>
          <t>2024-12-31</t>
        </is>
      </c>
      <c r="AS98" s="12" t="inlineStr">
        <is>
          <t>providers=world_bank_col_estimate, derived, ilo_ilostat, who_gho; fields=gross_income, rent, utilities, transit_cost; +9 additional fields</t>
        </is>
      </c>
      <c r="AT98" s="12" t="inlineStr">
        <is>
          <t>https://api.worldbank.org/v2/country/NAM/indicator/VC.IHR.PSRC.P5?format=json&amp;mrv=10 | https://api.worldbank.org/v2/country/NAM/indicator/IT.NET.BBND.P2?format=json&amp;mrv=10</t>
        </is>
      </c>
      <c r="AU98" s="12" t="inlineStr">
        <is>
          <t>Tier 3</t>
        </is>
      </c>
      <c r="AV98" s="12" t="inlineStr">
        <is>
          <t>2023-12-31</t>
        </is>
      </c>
      <c r="AW98" s="12" t="inlineStr">
        <is>
          <t>providers=world_bank; fields=personal_safety_raw, digital_infrastructure_raw</t>
        </is>
      </c>
      <c r="AX98" s="12" t="inlineStr">
        <is>
          <t>https://www.who.int/data/gho/data/indicators/indicator-details/GHO/UHC_INDEX_REPORTED | https://api.worldbank.org/v2/country/NAM/indicator/SE.TER.ENRR?format=json&amp;mrv=10 | https://api.worldbank.org/v2/country/NAM/indicator/SI.POV.GINI?format=json&amp;mrv=10 | +1 more</t>
        </is>
      </c>
      <c r="AY98" s="12" t="inlineStr">
        <is>
          <t>Tier 3</t>
        </is>
      </c>
      <c r="AZ98" s="12" t="inlineStr">
        <is>
          <t>2023-12-31</t>
        </is>
      </c>
      <c r="BA98" s="12" t="inlineStr">
        <is>
          <t>providers=who_gho, world_bank; fields=healthcare_quality_raw, education_quality_raw, equal_opportunity_raw, gini_coefficient</t>
        </is>
      </c>
      <c r="BB98" s="12" t="inlineStr">
        <is>
          <t>https://api.worldbank.org/v2/country/NAM/indicator/SM.POP.NETM?format=json&amp;mrv=10 | https://api.worldbank.org/v2/country/NAM/indicator/SG.GEN.PARL.ZS?format=json&amp;mrv=10 | https://api.worldbank.org/v2/country/NAM/indicator/ST.INT.ARVL?format=json&amp;mrv=10</t>
        </is>
      </c>
      <c r="BC98" s="12" t="inlineStr">
        <is>
          <t>Tier 3</t>
        </is>
      </c>
      <c r="BD98" s="12" t="inlineStr">
        <is>
          <t>2025-12-31</t>
        </is>
      </c>
      <c r="BE98" s="12" t="inlineStr">
        <is>
          <t>providers=world_bank; fields=hospitality_belonging_raw, tolerance_pluralism_raw, cultural_public_life_raw</t>
        </is>
      </c>
      <c r="BF98" s="12" t="inlineStr">
        <is>
          <t>https://api.worldbank.org/v2/country/NAM/indicator/IC.BUS.NDNS.ZS?format=json&amp;mrv=10 | https://api.worldbank.org/v2/country/NAM/indicator/GB.XPD.RSDV.GD.ZS?format=json&amp;mrv=10 | https://api.worldbank.org/v2/country/NAM/indicator/BX.KLT.DINV.WD.GD.ZS?format=json&amp;mrv=10 | +3 more</t>
        </is>
      </c>
      <c r="BG98" s="12" t="inlineStr">
        <is>
          <t>Tier 3</t>
        </is>
      </c>
      <c r="BH98" s="12" t="inlineStr">
        <is>
          <t>2024-12-31</t>
        </is>
      </c>
      <c r="BI98" s="12" t="inlineStr">
        <is>
          <t>providers=world_bank; fields=entrepreneurial_dynamism_raw, innovation_research_intensity_raw, investment_signal_raw, administrative_investment_friction_raw; +2 additional fields</t>
        </is>
      </c>
      <c r="BJ98" s="9" t="inlineStr"/>
    </row>
    <row r="99">
      <c r="A99" s="9" t="inlineStr">
        <is>
          <t>gh-accra</t>
        </is>
      </c>
      <c r="B99" s="9" t="inlineStr">
        <is>
          <t>Accra</t>
        </is>
      </c>
      <c r="C99" s="9" t="inlineStr">
        <is>
          <t>Ghana</t>
        </is>
      </c>
      <c r="D99" s="9" t="inlineStr">
        <is>
          <t>Africa</t>
        </is>
      </c>
      <c r="E99" s="9" t="inlineStr">
        <is>
          <t>secondary</t>
        </is>
      </c>
      <c r="F99" s="9" t="inlineStr">
        <is>
          <t>locked</t>
        </is>
      </c>
      <c r="G99" s="10" t="n">
        <v>643.33</v>
      </c>
      <c r="H99" s="10" t="n">
        <v>135.1</v>
      </c>
      <c r="I99" s="10" t="n">
        <v>40.53</v>
      </c>
      <c r="J99" s="10" t="n">
        <v>27.02</v>
      </c>
      <c r="K99" s="10" t="n">
        <v>10.13</v>
      </c>
      <c r="L99" s="10" t="n">
        <v>168.87</v>
      </c>
      <c r="M99" s="11" t="inlineStr"/>
      <c r="N99" s="10" t="n">
        <v>21.0001</v>
      </c>
      <c r="O99" s="10" t="n">
        <v>8.651199999999999</v>
      </c>
      <c r="P99" s="11">
        <f>IF($O99&lt;&gt;"",$O99,$AO99)</f>
        <v/>
      </c>
      <c r="Q99" s="10" t="n">
        <v>35.53</v>
      </c>
      <c r="R99" s="10" t="n">
        <v>5.32</v>
      </c>
      <c r="S99" s="10" t="n">
        <v>1.83</v>
      </c>
      <c r="T99" s="10" t="inlineStr"/>
      <c r="U99" s="10" t="inlineStr"/>
      <c r="V99" s="10" t="n">
        <v>42.94</v>
      </c>
      <c r="W99" s="10" t="n">
        <v>0.5600000000000001</v>
      </c>
      <c r="X99" s="9" t="n">
        <v>56</v>
      </c>
      <c r="Y99" s="10" t="n">
        <v>56</v>
      </c>
      <c r="Z99" s="10" t="n">
        <v>22.1</v>
      </c>
      <c r="AA99" s="10" t="n">
        <v>43.5</v>
      </c>
      <c r="AB99" s="10" t="n">
        <v>49.5</v>
      </c>
      <c r="AC99" s="10" t="n">
        <v>14.55</v>
      </c>
      <c r="AD99" s="10" t="n">
        <v>34.64</v>
      </c>
      <c r="AE99" s="10" t="n">
        <v>1.32</v>
      </c>
      <c r="AF99" s="10" t="n">
        <v>0.58</v>
      </c>
      <c r="AG99" s="10" t="n">
        <v>2.15</v>
      </c>
      <c r="AH99" s="10" t="n">
        <v>2.68</v>
      </c>
      <c r="AI99" s="10" t="inlineStr"/>
      <c r="AJ99" s="11">
        <f>IFERROR(INDEX(Country_Context!$B$2:$B$87,MATCH($C99,Country_Context!$A$2:$A$87,0)),"")</f>
        <v/>
      </c>
      <c r="AK99" s="11">
        <f>IFERROR(INDEX(Country_Context!$C$2:$C$87,MATCH($C99,Country_Context!$A$2:$A$87,0)),"")</f>
        <v/>
      </c>
      <c r="AL99" s="11">
        <f>IFERROR(INDEX(Country_Context!$D$2:$D$87,MATCH($C99,Country_Context!$A$2:$A$87,0)),"")</f>
        <v/>
      </c>
      <c r="AM99" s="11">
        <f>IFERROR(INDEX(Country_Context!$E$2:$E$87,MATCH($C99,Country_Context!$A$2:$A$87,0)),"")</f>
        <v/>
      </c>
      <c r="AN99" s="11">
        <f>IFERROR(INDEX(Country_Context!$F$2:$F$87,MATCH($C99,Country_Context!$A$2:$A$87,0)),"")</f>
        <v/>
      </c>
      <c r="AO99" s="11">
        <f>IFERROR(INDEX(Country_Context!$G$2:$G$87,MATCH($C99,Country_Context!$A$2:$A$87,0)),"")</f>
        <v/>
      </c>
      <c r="AP99" s="12" t="inlineStr">
        <is>
          <t>https://api.worldbank.org/v2/country/GHA/indicator/NY.GNP.PCAP.PP.CD?format=json&amp;mrv=10 | https://data.worldbank.org/indicator/NY.GNP.PCAP.PP.CD | https://ilostat.ilo.org/data/indicator/?id=HOW_TEMP_SEX_ECO_NB_A&amp;ref_area=GHA | +4 more</t>
        </is>
      </c>
      <c r="AQ99" s="12" t="inlineStr">
        <is>
          <t>Tier 3, Tier 4</t>
        </is>
      </c>
      <c r="AR99" s="12" t="inlineStr">
        <is>
          <t>2024-12-31</t>
        </is>
      </c>
      <c r="AS99" s="12" t="inlineStr">
        <is>
          <t>providers=world_bank_col_estimate, derived, ilo_ilostat, who_gho; fields=gross_income, rent, utilities, transit_cost; +9 additional fields</t>
        </is>
      </c>
      <c r="AT99" s="12" t="inlineStr">
        <is>
          <t>https://api.worldbank.org/v2/country/GHA/indicator/VC.IHR.PSRC.P5?format=json&amp;mrv=10 | https://api.worldbank.org/v2/country/GHA/indicator/SH.H2O.SMDW.ZS?format=json&amp;mrv=10 | https://api.worldbank.org/v2/country/GHA/indicator/IT.NET.BBND.P2?format=json&amp;mrv=10 | +1 more</t>
        </is>
      </c>
      <c r="AU99" s="12" t="inlineStr">
        <is>
          <t>Tier 3</t>
        </is>
      </c>
      <c r="AV99" s="12" t="inlineStr">
        <is>
          <t>2024-12-31</t>
        </is>
      </c>
      <c r="AW99" s="12" t="inlineStr">
        <is>
          <t>providers=world_bank, wmo_natl_met; fields=personal_safety_raw, water_sanitation_utility_raw, digital_infrastructure_raw, climate_sunlight_livability_raw</t>
        </is>
      </c>
      <c r="AX99" s="12" t="inlineStr">
        <is>
          <t>https://www.who.int/data/gho/data/indicators/indicator-details/GHO/UHC_INDEX_REPORTED | https://api.worldbank.org/v2/country/GHA/indicator/SE.TER.ENRR?format=json&amp;mrv=10 | https://api.worldbank.org/v2/country/GHA/indicator/SI.POV.GINI?format=json&amp;mrv=10 | +1 more</t>
        </is>
      </c>
      <c r="AY99" s="12" t="inlineStr">
        <is>
          <t>Tier 3</t>
        </is>
      </c>
      <c r="AZ99" s="12" t="inlineStr">
        <is>
          <t>2023-12-31</t>
        </is>
      </c>
      <c r="BA99" s="12" t="inlineStr">
        <is>
          <t>providers=who_gho, world_bank; fields=healthcare_quality_raw, education_quality_raw, equal_opportunity_raw, gini_coefficient</t>
        </is>
      </c>
      <c r="BB99" s="12" t="inlineStr">
        <is>
          <t>https://api.worldbank.org/v2/country/GHA/indicator/SM.POP.NETM?format=json&amp;mrv=10 | https://api.worldbank.org/v2/country/GHA/indicator/SG.GEN.PARL.ZS?format=json&amp;mrv=10 | https://api.worldbank.org/v2/country/GHA/indicator/SP.POP.DPND?format=json&amp;mrv=10 | +1 more</t>
        </is>
      </c>
      <c r="BC99" s="12" t="inlineStr">
        <is>
          <t>Tier 3</t>
        </is>
      </c>
      <c r="BD99" s="12" t="inlineStr">
        <is>
          <t>2025-12-31</t>
        </is>
      </c>
      <c r="BE99" s="12" t="inlineStr">
        <is>
          <t>providers=world_bank; fields=hospitality_belonging_raw, tolerance_pluralism_raw, cultural_public_life_raw, birth_rate_optimism_raw</t>
        </is>
      </c>
      <c r="BF99" s="12" t="inlineStr">
        <is>
          <t>https://api.worldbank.org/v2/country/GHA/indicator/IC.BUS.NDNS.ZS?format=json&amp;mrv=10 | https://api.worldbank.org/v2/country/GHA/indicator/IP.PAT.RESD?format=json&amp;mrv=10 | https://api.worldbank.org/v2/country/GHA/indicator/BX.KLT.DINV.WD.GD.ZS?format=json&amp;mrv=10 | +3 more</t>
        </is>
      </c>
      <c r="BG99" s="12" t="inlineStr">
        <is>
          <t>Tier 3</t>
        </is>
      </c>
      <c r="BH99" s="12" t="inlineStr">
        <is>
          <t>2024-12-31</t>
        </is>
      </c>
      <c r="BI99" s="12" t="inlineStr">
        <is>
          <t>providers=world_bank; fields=entrepreneurial_dynamism_raw, innovation_research_intensity_raw, investment_signal_raw, administrative_investment_friction_raw; +2 additional fields</t>
        </is>
      </c>
      <c r="BJ99" s="9" t="n">
        <v>3.6</v>
      </c>
    </row>
    <row r="100">
      <c r="A100" s="9" t="inlineStr">
        <is>
          <t>sn-dakar</t>
        </is>
      </c>
      <c r="B100" s="9" t="inlineStr">
        <is>
          <t>Dakar</t>
        </is>
      </c>
      <c r="C100" s="9" t="inlineStr">
        <is>
          <t>Senegal</t>
        </is>
      </c>
      <c r="D100" s="9" t="inlineStr">
        <is>
          <t>Africa</t>
        </is>
      </c>
      <c r="E100" s="9" t="inlineStr">
        <is>
          <t>secondary</t>
        </is>
      </c>
      <c r="F100" s="9" t="inlineStr">
        <is>
          <t>provisional</t>
        </is>
      </c>
      <c r="G100" s="10" t="n">
        <v>410</v>
      </c>
      <c r="H100" s="10" t="n">
        <v>77.90000000000001</v>
      </c>
      <c r="I100" s="10" t="n">
        <v>23.37</v>
      </c>
      <c r="J100" s="10" t="n">
        <v>15.58</v>
      </c>
      <c r="K100" s="10" t="n">
        <v>5.84</v>
      </c>
      <c r="L100" s="10" t="n">
        <v>97.38</v>
      </c>
      <c r="M100" s="11" t="inlineStr"/>
      <c r="N100" s="10" t="n">
        <v>19</v>
      </c>
      <c r="O100" s="10" t="n">
        <v>29.205</v>
      </c>
      <c r="P100" s="11">
        <f>IF($O100&lt;&gt;"",$O100,$AO100)</f>
        <v/>
      </c>
      <c r="Q100" s="10" t="n">
        <v>48.31</v>
      </c>
      <c r="R100" s="10" t="n">
        <v>6.76</v>
      </c>
      <c r="S100" s="10" t="inlineStr"/>
      <c r="T100" s="10" t="inlineStr"/>
      <c r="U100" s="10" t="inlineStr"/>
      <c r="V100" s="10" t="n">
        <v>27.19</v>
      </c>
      <c r="W100" s="10" t="n">
        <v>1.97</v>
      </c>
      <c r="X100" s="9" t="inlineStr"/>
      <c r="Y100" s="10" t="n">
        <v>48</v>
      </c>
      <c r="Z100" s="10" t="n">
        <v>15.33</v>
      </c>
      <c r="AA100" s="10" t="n">
        <v>36.2</v>
      </c>
      <c r="AB100" s="10" t="n">
        <v>49.32</v>
      </c>
      <c r="AC100" s="10" t="n">
        <v>41.21</v>
      </c>
      <c r="AD100" s="10" t="n">
        <v>74.37</v>
      </c>
      <c r="AE100" s="10" t="n">
        <v>1.3</v>
      </c>
      <c r="AF100" s="10" t="inlineStr"/>
      <c r="AG100" s="10" t="n">
        <v>6.15</v>
      </c>
      <c r="AH100" s="10" t="n">
        <v>2.85</v>
      </c>
      <c r="AI100" s="10" t="inlineStr"/>
      <c r="AJ100" s="11">
        <f>IFERROR(INDEX(Country_Context!$B$2:$B$87,MATCH($C100,Country_Context!$A$2:$A$87,0)),"")</f>
        <v/>
      </c>
      <c r="AK100" s="11">
        <f>IFERROR(INDEX(Country_Context!$C$2:$C$87,MATCH($C100,Country_Context!$A$2:$A$87,0)),"")</f>
        <v/>
      </c>
      <c r="AL100" s="11">
        <f>IFERROR(INDEX(Country_Context!$D$2:$D$87,MATCH($C100,Country_Context!$A$2:$A$87,0)),"")</f>
        <v/>
      </c>
      <c r="AM100" s="11">
        <f>IFERROR(INDEX(Country_Context!$E$2:$E$87,MATCH($C100,Country_Context!$A$2:$A$87,0)),"")</f>
        <v/>
      </c>
      <c r="AN100" s="11">
        <f>IFERROR(INDEX(Country_Context!$F$2:$F$87,MATCH($C100,Country_Context!$A$2:$A$87,0)),"")</f>
        <v/>
      </c>
      <c r="AO100" s="11">
        <f>IFERROR(INDEX(Country_Context!$G$2:$G$87,MATCH($C100,Country_Context!$A$2:$A$87,0)),"")</f>
        <v/>
      </c>
      <c r="AP100" s="12" t="inlineStr">
        <is>
          <t>https://api.worldbank.org/v2/country/SEN/indicator/NY.GNP.PCAP.PP.CD?format=json&amp;mrv=10 | https://data.worldbank.org/indicator/NY.GNP.PCAP.PP.CD | https://ilostat.ilo.org/data/indicator/?id=HOW_TEMP_SEX_ECO_NB_A&amp;ref_area=SEN | +4 more</t>
        </is>
      </c>
      <c r="AQ100" s="12" t="inlineStr">
        <is>
          <t>Tier 3, Tier 4</t>
        </is>
      </c>
      <c r="AR100" s="12" t="inlineStr">
        <is>
          <t>2024-12-31</t>
        </is>
      </c>
      <c r="AS100" s="12" t="inlineStr">
        <is>
          <t>providers=world_bank_col_estimate, derived, ilo_ilostat, who_gho; fields=gross_income, rent, utilities, transit_cost; +9 additional fields</t>
        </is>
      </c>
      <c r="AT100" s="12" t="inlineStr">
        <is>
          <t>https://api.worldbank.org/v2/country/SEN/indicator/SH.H2O.SMDW.ZS?format=json&amp;mrv=10 | https://api.worldbank.org/v2/country/SEN/indicator/IT.NET.BBND.P2?format=json&amp;mrv=10</t>
        </is>
      </c>
      <c r="AU100" s="12" t="inlineStr">
        <is>
          <t>Tier 3</t>
        </is>
      </c>
      <c r="AV100" s="12" t="inlineStr">
        <is>
          <t>2024-12-31</t>
        </is>
      </c>
      <c r="AW100" s="12" t="inlineStr">
        <is>
          <t>providers=world_bank; fields=water_sanitation_utility_raw, digital_infrastructure_raw</t>
        </is>
      </c>
      <c r="AX100" s="12" t="inlineStr">
        <is>
          <t>https://www.who.int/data/gho/data/indicators/indicator-details/GHO/UHC_INDEX_REPORTED | https://api.worldbank.org/v2/country/SEN/indicator/SE.TER.ENRR?format=json&amp;mrv=10 | https://api.worldbank.org/v2/country/SEN/indicator/SI.POV.GINI?format=json&amp;mrv=10 | +1 more</t>
        </is>
      </c>
      <c r="AY100" s="12" t="inlineStr">
        <is>
          <t>Tier 3</t>
        </is>
      </c>
      <c r="AZ100" s="12" t="inlineStr">
        <is>
          <t>2024-12-31</t>
        </is>
      </c>
      <c r="BA100" s="12" t="inlineStr">
        <is>
          <t>providers=who_gho, world_bank; fields=healthcare_quality_raw, education_quality_raw, equal_opportunity_raw, gini_coefficient</t>
        </is>
      </c>
      <c r="BB100" s="12" t="inlineStr">
        <is>
          <t>https://api.worldbank.org/v2/country/SEN/indicator/SM.POP.NETM?format=json&amp;mrv=10 | https://api.worldbank.org/v2/country/SEN/indicator/SG.GEN.PARL.ZS?format=json&amp;mrv=10 | https://api.worldbank.org/v2/country/SEN/indicator/ST.INT.ARVL?format=json&amp;mrv=10 | +1 more</t>
        </is>
      </c>
      <c r="BC100" s="12" t="inlineStr">
        <is>
          <t>Tier 3</t>
        </is>
      </c>
      <c r="BD100" s="12" t="inlineStr">
        <is>
          <t>2025-12-31</t>
        </is>
      </c>
      <c r="BE100" s="12" t="inlineStr">
        <is>
          <t>providers=world_bank; fields=hospitality_belonging_raw, tolerance_pluralism_raw, cultural_public_life_raw, birth_rate_optimism_raw</t>
        </is>
      </c>
      <c r="BF100" s="12" t="inlineStr">
        <is>
          <t>https://api.worldbank.org/v2/country/SEN/indicator/IC.BUS.NDNS.ZS?format=json&amp;mrv=10 | https://api.worldbank.org/v2/country/SEN/indicator/BX.KLT.DINV.WD.GD.ZS?format=json&amp;mrv=10 | https://api.worldbank.org/v2/country/SEN/indicator/RQ.EST?format=json&amp;mrv=10 | +2 more</t>
        </is>
      </c>
      <c r="BG100" s="12" t="inlineStr">
        <is>
          <t>Tier 3</t>
        </is>
      </c>
      <c r="BH100" s="12" t="inlineStr">
        <is>
          <t>2024-12-31</t>
        </is>
      </c>
      <c r="BI100" s="12" t="inlineStr">
        <is>
          <t>providers=world_bank; fields=entrepreneurial_dynamism_raw, investment_signal_raw, administrative_investment_friction_raw, gdp_per_capita_ppp; +1 additional fields</t>
        </is>
      </c>
      <c r="BJ100" s="9" t="n">
        <v>4.2</v>
      </c>
    </row>
    <row r="101">
      <c r="A101" s="9" t="inlineStr">
        <is>
          <t>nz-auckland</t>
        </is>
      </c>
      <c r="B101" s="9" t="inlineStr">
        <is>
          <t>Auckland</t>
        </is>
      </c>
      <c r="C101" s="9" t="inlineStr">
        <is>
          <t>New Zealand</t>
        </is>
      </c>
      <c r="D101" s="9" t="inlineStr">
        <is>
          <t>Oceania</t>
        </is>
      </c>
      <c r="E101" s="9" t="inlineStr">
        <is>
          <t>primary</t>
        </is>
      </c>
      <c r="F101" s="9" t="inlineStr">
        <is>
          <t>locked</t>
        </is>
      </c>
      <c r="G101" s="10" t="n">
        <v>4466.67</v>
      </c>
      <c r="H101" s="10" t="n">
        <v>1541</v>
      </c>
      <c r="I101" s="10" t="n">
        <v>308.2</v>
      </c>
      <c r="J101" s="10" t="n">
        <v>205.47</v>
      </c>
      <c r="K101" s="10" t="n">
        <v>77.05</v>
      </c>
      <c r="L101" s="10" t="n">
        <v>770.5</v>
      </c>
      <c r="M101" s="11" t="inlineStr"/>
      <c r="N101" s="10" t="n">
        <v>34.5</v>
      </c>
      <c r="O101" s="10" t="n">
        <v>129.7971</v>
      </c>
      <c r="P101" s="11">
        <f>IF($O101&lt;&gt;"",$O101,$AO101)</f>
        <v/>
      </c>
      <c r="Q101" s="10" t="n">
        <v>33</v>
      </c>
      <c r="R101" s="10" t="n">
        <v>11.92</v>
      </c>
      <c r="S101" s="10" t="n">
        <v>1.46</v>
      </c>
      <c r="T101" s="10" t="inlineStr"/>
      <c r="U101" s="10" t="inlineStr"/>
      <c r="V101" s="10" t="n">
        <v>100</v>
      </c>
      <c r="W101" s="10" t="n">
        <v>37.85</v>
      </c>
      <c r="X101" s="9" t="n">
        <v>58</v>
      </c>
      <c r="Y101" s="10" t="n">
        <v>89</v>
      </c>
      <c r="Z101" s="10" t="n">
        <v>76.38</v>
      </c>
      <c r="AA101" s="10" t="inlineStr"/>
      <c r="AB101" s="10" t="n">
        <v>53.29</v>
      </c>
      <c r="AC101" s="10" t="n">
        <v>45.53</v>
      </c>
      <c r="AD101" s="10" t="n">
        <v>188.37</v>
      </c>
      <c r="AE101" s="10" t="n">
        <v>16.32</v>
      </c>
      <c r="AF101" s="10" t="n">
        <v>1.47</v>
      </c>
      <c r="AG101" s="10" t="n">
        <v>0.68</v>
      </c>
      <c r="AH101" s="10" t="n">
        <v>0.59</v>
      </c>
      <c r="AI101" s="10" t="inlineStr"/>
      <c r="AJ101" s="11">
        <f>IFERROR(INDEX(Country_Context!$B$2:$B$87,MATCH($C101,Country_Context!$A$2:$A$87,0)),"")</f>
        <v/>
      </c>
      <c r="AK101" s="11">
        <f>IFERROR(INDEX(Country_Context!$C$2:$C$87,MATCH($C101,Country_Context!$A$2:$A$87,0)),"")</f>
        <v/>
      </c>
      <c r="AL101" s="11">
        <f>IFERROR(INDEX(Country_Context!$D$2:$D$87,MATCH($C101,Country_Context!$A$2:$A$87,0)),"")</f>
        <v/>
      </c>
      <c r="AM101" s="11">
        <f>IFERROR(INDEX(Country_Context!$E$2:$E$87,MATCH($C101,Country_Context!$A$2:$A$87,0)),"")</f>
        <v/>
      </c>
      <c r="AN101" s="11">
        <f>IFERROR(INDEX(Country_Context!$F$2:$F$87,MATCH($C101,Country_Context!$A$2:$A$87,0)),"")</f>
        <v/>
      </c>
      <c r="AO101" s="11">
        <f>IFERROR(INDEX(Country_Context!$G$2:$G$87,MATCH($C101,Country_Context!$A$2:$A$87,0)),"")</f>
        <v/>
      </c>
      <c r="AP101" s="12" t="inlineStr">
        <is>
          <t>https://api.worldbank.org/v2/country/NZL/indicator/NY.GNP.PCAP.PP.CD?format=json&amp;mrv=10 | https://data.worldbank.org/indicator/NY.GNP.PCAP.PP.CD | https://ilostat.ilo.org/data/indicator/?id=HOW_TEMP_SEX_ECO_NB_A&amp;ref_area=NZL | +4 more</t>
        </is>
      </c>
      <c r="AQ101" s="12" t="inlineStr">
        <is>
          <t>Tier 3, Tier 4</t>
        </is>
      </c>
      <c r="AR101" s="12" t="inlineStr">
        <is>
          <t>2024-12-31</t>
        </is>
      </c>
      <c r="AS101" s="12" t="inlineStr">
        <is>
          <t>providers=world_bank_col_estimate, derived, ilo_ilostat, who_gho; fields=gross_income, rent, utilities, transit_cost; +9 additional fields</t>
        </is>
      </c>
      <c r="AT101" s="12" t="inlineStr">
        <is>
          <t>https://api.worldbank.org/v2/country/NZL/indicator/VC.IHR.PSRC.P5?format=json&amp;mrv=10 | https://api.worldbank.org/v2/country/NZL/indicator/SH.H2O.SMDW.ZS?format=json&amp;mrv=10 | https://api.worldbank.org/v2/country/NZL/indicator/IT.NET.BBND.P2?format=json&amp;mrv=10 | +1 more</t>
        </is>
      </c>
      <c r="AU101" s="12" t="inlineStr">
        <is>
          <t>Tier 3</t>
        </is>
      </c>
      <c r="AV101" s="12" t="inlineStr">
        <is>
          <t>2024-12-31</t>
        </is>
      </c>
      <c r="AW101" s="12" t="inlineStr">
        <is>
          <t>providers=world_bank, wmo_natl_met; fields=personal_safety_raw, water_sanitation_utility_raw, digital_infrastructure_raw, climate_sunlight_livability_raw</t>
        </is>
      </c>
      <c r="AX101" s="12" t="inlineStr">
        <is>
          <t>https://www.who.int/data/gho/data/indicators/indicator-details/GHO/UHC_INDEX_REPORTED | https://api.worldbank.org/v2/country/NZL/indicator/SE.TER.ENRR?format=json&amp;mrv=10</t>
        </is>
      </c>
      <c r="AY101" s="12" t="inlineStr">
        <is>
          <t>Tier 3</t>
        </is>
      </c>
      <c r="AZ101" s="12" t="inlineStr">
        <is>
          <t>2023-12-31</t>
        </is>
      </c>
      <c r="BA101" s="12" t="inlineStr">
        <is>
          <t>providers=who_gho, world_bank; fields=healthcare_quality_raw, education_quality_raw</t>
        </is>
      </c>
      <c r="BB101" s="12" t="inlineStr">
        <is>
          <t>https://api.worldbank.org/v2/country/NZL/indicator/SM.POP.NETM?format=json&amp;mrv=10 | https://api.worldbank.org/v2/country/NZL/indicator/SG.GEN.PARL.ZS?format=json&amp;mrv=10 | https://api.worldbank.org/v2/country/NZL/indicator/ST.INT.ARVL?format=json&amp;mrv=10 | +1 more</t>
        </is>
      </c>
      <c r="BC101" s="12" t="inlineStr">
        <is>
          <t>Tier 3</t>
        </is>
      </c>
      <c r="BD101" s="12" t="inlineStr">
        <is>
          <t>2025-12-31</t>
        </is>
      </c>
      <c r="BE101" s="12" t="inlineStr">
        <is>
          <t>providers=world_bank; fields=hospitality_belonging_raw, tolerance_pluralism_raw, cultural_public_life_raw, birth_rate_optimism_raw</t>
        </is>
      </c>
      <c r="BF101" s="12" t="inlineStr">
        <is>
          <t>https://api.worldbank.org/v2/country/NZL/indicator/IC.BUS.NDNS.ZS?format=json&amp;mrv=10 | https://api.worldbank.org/v2/country/NZL/indicator/GB.XPD.RSDV.GD.ZS?format=json&amp;mrv=10 | https://api.worldbank.org/v2/country/NZL/indicator/BX.KLT.DINV.WD.GD.ZS?format=json&amp;mrv=10 | +3 more</t>
        </is>
      </c>
      <c r="BG101" s="12" t="inlineStr">
        <is>
          <t>Tier 3</t>
        </is>
      </c>
      <c r="BH101" s="12" t="inlineStr">
        <is>
          <t>2024-12-31</t>
        </is>
      </c>
      <c r="BI101" s="12" t="inlineStr">
        <is>
          <t>providers=world_bank; fields=entrepreneurial_dynamism_raw, innovation_research_intensity_raw, investment_signal_raw, administrative_investment_friction_raw; +2 additional fields</t>
        </is>
      </c>
      <c r="BJ101" s="9" t="n">
        <v>1.56</v>
      </c>
    </row>
    <row r="102">
      <c r="A102" s="9" t="inlineStr">
        <is>
          <t>au-sydney</t>
        </is>
      </c>
      <c r="B102" s="9" t="inlineStr">
        <is>
          <t>Sydney</t>
        </is>
      </c>
      <c r="C102" s="9" t="inlineStr">
        <is>
          <t>Australia</t>
        </is>
      </c>
      <c r="D102" s="9" t="inlineStr">
        <is>
          <t>Oceania</t>
        </is>
      </c>
      <c r="E102" s="9" t="inlineStr">
        <is>
          <t>primary</t>
        </is>
      </c>
      <c r="F102" s="9" t="inlineStr">
        <is>
          <t>provisional</t>
        </is>
      </c>
      <c r="G102" s="10" t="n">
        <v>6380</v>
      </c>
      <c r="H102" s="10" t="n">
        <v>2392.5</v>
      </c>
      <c r="I102" s="10" t="n">
        <v>478.5</v>
      </c>
      <c r="J102" s="10" t="n">
        <v>319</v>
      </c>
      <c r="K102" s="10" t="n">
        <v>119.62</v>
      </c>
      <c r="L102" s="10" t="n">
        <v>1196.25</v>
      </c>
      <c r="M102" s="11" t="inlineStr"/>
      <c r="N102" s="10" t="n">
        <v>37.5</v>
      </c>
      <c r="O102" s="10" t="n">
        <v>129.3173</v>
      </c>
      <c r="P102" s="11">
        <f>IF($O102&lt;&gt;"",$O102,$AO102)</f>
        <v/>
      </c>
      <c r="Q102" s="10" t="n">
        <v>32.29</v>
      </c>
      <c r="R102" s="10" t="n">
        <v>13.08</v>
      </c>
      <c r="S102" s="10" t="n">
        <v>0.85</v>
      </c>
      <c r="T102" s="10" t="inlineStr"/>
      <c r="U102" s="10" t="inlineStr"/>
      <c r="V102" s="10" t="inlineStr"/>
      <c r="W102" s="10" t="n">
        <v>36.6</v>
      </c>
      <c r="X102" s="9" t="n">
        <v>72</v>
      </c>
      <c r="Y102" s="10" t="n">
        <v>89</v>
      </c>
      <c r="Z102" s="10" t="n">
        <v>104.65</v>
      </c>
      <c r="AA102" s="10" t="n">
        <v>33.8</v>
      </c>
      <c r="AB102" s="10" t="n">
        <v>55.04</v>
      </c>
      <c r="AC102" s="10" t="n">
        <v>38</v>
      </c>
      <c r="AD102" s="10" t="n">
        <v>67.20999999999999</v>
      </c>
      <c r="AE102" s="10" t="n">
        <v>17.26</v>
      </c>
      <c r="AF102" s="10" t="n">
        <v>1.86</v>
      </c>
      <c r="AG102" s="10" t="n">
        <v>3.04</v>
      </c>
      <c r="AH102" s="10" t="n">
        <v>0.5600000000000001</v>
      </c>
      <c r="AI102" s="10" t="inlineStr"/>
      <c r="AJ102" s="11">
        <f>IFERROR(INDEX(Country_Context!$B$2:$B$87,MATCH($C102,Country_Context!$A$2:$A$87,0)),"")</f>
        <v/>
      </c>
      <c r="AK102" s="11">
        <f>IFERROR(INDEX(Country_Context!$C$2:$C$87,MATCH($C102,Country_Context!$A$2:$A$87,0)),"")</f>
        <v/>
      </c>
      <c r="AL102" s="11">
        <f>IFERROR(INDEX(Country_Context!$D$2:$D$87,MATCH($C102,Country_Context!$A$2:$A$87,0)),"")</f>
        <v/>
      </c>
      <c r="AM102" s="11">
        <f>IFERROR(INDEX(Country_Context!$E$2:$E$87,MATCH($C102,Country_Context!$A$2:$A$87,0)),"")</f>
        <v/>
      </c>
      <c r="AN102" s="11">
        <f>IFERROR(INDEX(Country_Context!$F$2:$F$87,MATCH($C102,Country_Context!$A$2:$A$87,0)),"")</f>
        <v/>
      </c>
      <c r="AO102" s="11">
        <f>IFERROR(INDEX(Country_Context!$G$2:$G$87,MATCH($C102,Country_Context!$A$2:$A$87,0)),"")</f>
        <v/>
      </c>
      <c r="AP102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2" s="12" t="inlineStr">
        <is>
          <t>Tier 3, Tier 4</t>
        </is>
      </c>
      <c r="AR102" s="12" t="inlineStr">
        <is>
          <t>2024-12-31</t>
        </is>
      </c>
      <c r="AS102" s="12" t="inlineStr">
        <is>
          <t>providers=world_bank_col_estimate, derived, ilo_ilostat, who_gho; fields=gross_income, rent, utilities, transit_cost; +9 additional fields</t>
        </is>
      </c>
      <c r="AT102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2" s="12" t="inlineStr">
        <is>
          <t>Tier 3</t>
        </is>
      </c>
      <c r="AV102" s="12" t="inlineStr">
        <is>
          <t>2024-12-31</t>
        </is>
      </c>
      <c r="AW102" s="12" t="inlineStr">
        <is>
          <t>providers=world_bank, wmo_natl_met; fields=personal_safety_raw, digital_infrastructure_raw, climate_sunlight_livability_raw</t>
        </is>
      </c>
      <c r="AX102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2" s="12" t="inlineStr">
        <is>
          <t>Tier 3</t>
        </is>
      </c>
      <c r="AZ102" s="12" t="inlineStr">
        <is>
          <t>2023-12-31</t>
        </is>
      </c>
      <c r="BA102" s="12" t="inlineStr">
        <is>
          <t>providers=who_gho, world_bank; fields=healthcare_quality_raw, education_quality_raw, equal_opportunity_raw, gini_coefficient</t>
        </is>
      </c>
      <c r="BB102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2" s="12" t="inlineStr">
        <is>
          <t>Tier 3</t>
        </is>
      </c>
      <c r="BD102" s="12" t="inlineStr">
        <is>
          <t>2025-12-31</t>
        </is>
      </c>
      <c r="BE102" s="12" t="inlineStr">
        <is>
          <t>providers=world_bank; fields=hospitality_belonging_raw, tolerance_pluralism_raw, cultural_public_life_raw, birth_rate_optimism_raw</t>
        </is>
      </c>
      <c r="BF102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2" s="12" t="inlineStr">
        <is>
          <t>Tier 3</t>
        </is>
      </c>
      <c r="BH102" s="12" t="inlineStr">
        <is>
          <t>2024-12-31</t>
        </is>
      </c>
      <c r="BI102" s="12" t="inlineStr">
        <is>
          <t>providers=world_bank; fields=entrepreneurial_dynamism_raw, innovation_research_intensity_raw, investment_signal_raw, administrative_investment_friction_raw; +2 additional fields</t>
        </is>
      </c>
      <c r="BJ102" s="9" t="n">
        <v>1.58</v>
      </c>
    </row>
    <row r="103">
      <c r="A103" s="9" t="inlineStr">
        <is>
          <t>au-melbourne</t>
        </is>
      </c>
      <c r="B103" s="9" t="inlineStr">
        <is>
          <t>Melbourne</t>
        </is>
      </c>
      <c r="C103" s="9" t="inlineStr">
        <is>
          <t>Australia</t>
        </is>
      </c>
      <c r="D103" s="9" t="inlineStr">
        <is>
          <t>Oceania</t>
        </is>
      </c>
      <c r="E103" s="9" t="inlineStr">
        <is>
          <t>primary</t>
        </is>
      </c>
      <c r="F103" s="9" t="inlineStr">
        <is>
          <t>provisional</t>
        </is>
      </c>
      <c r="G103" s="10" t="n">
        <v>5800</v>
      </c>
      <c r="H103" s="10" t="n">
        <v>1740</v>
      </c>
      <c r="I103" s="10" t="n">
        <v>348</v>
      </c>
      <c r="J103" s="10" t="n">
        <v>232</v>
      </c>
      <c r="K103" s="10" t="n">
        <v>87</v>
      </c>
      <c r="L103" s="10" t="n">
        <v>870</v>
      </c>
      <c r="M103" s="11" t="inlineStr"/>
      <c r="N103" s="10" t="n">
        <v>30</v>
      </c>
      <c r="O103" s="10" t="n">
        <v>129.3173</v>
      </c>
      <c r="P103" s="11">
        <f>IF($O103&lt;&gt;"",$O103,$AO103)</f>
        <v/>
      </c>
      <c r="Q103" s="10" t="n">
        <v>32.29</v>
      </c>
      <c r="R103" s="10" t="n">
        <v>13.08</v>
      </c>
      <c r="S103" s="10" t="n">
        <v>0.85</v>
      </c>
      <c r="T103" s="10" t="inlineStr"/>
      <c r="U103" s="10" t="inlineStr"/>
      <c r="V103" s="10" t="inlineStr"/>
      <c r="W103" s="10" t="n">
        <v>36.6</v>
      </c>
      <c r="X103" s="9" t="n">
        <v>62</v>
      </c>
      <c r="Y103" s="10" t="n">
        <v>89</v>
      </c>
      <c r="Z103" s="10" t="n">
        <v>104.65</v>
      </c>
      <c r="AA103" s="10" t="n">
        <v>33.8</v>
      </c>
      <c r="AB103" s="10" t="n">
        <v>55.04</v>
      </c>
      <c r="AC103" s="10" t="n">
        <v>38</v>
      </c>
      <c r="AD103" s="10" t="n">
        <v>67.20999999999999</v>
      </c>
      <c r="AE103" s="10" t="n">
        <v>17.26</v>
      </c>
      <c r="AF103" s="10" t="n">
        <v>1.86</v>
      </c>
      <c r="AG103" s="10" t="n">
        <v>3.04</v>
      </c>
      <c r="AH103" s="10" t="n">
        <v>0.5600000000000001</v>
      </c>
      <c r="AI103" s="10" t="inlineStr"/>
      <c r="AJ103" s="11">
        <f>IFERROR(INDEX(Country_Context!$B$2:$B$87,MATCH($C103,Country_Context!$A$2:$A$87,0)),"")</f>
        <v/>
      </c>
      <c r="AK103" s="11">
        <f>IFERROR(INDEX(Country_Context!$C$2:$C$87,MATCH($C103,Country_Context!$A$2:$A$87,0)),"")</f>
        <v/>
      </c>
      <c r="AL103" s="11">
        <f>IFERROR(INDEX(Country_Context!$D$2:$D$87,MATCH($C103,Country_Context!$A$2:$A$87,0)),"")</f>
        <v/>
      </c>
      <c r="AM103" s="11">
        <f>IFERROR(INDEX(Country_Context!$E$2:$E$87,MATCH($C103,Country_Context!$A$2:$A$87,0)),"")</f>
        <v/>
      </c>
      <c r="AN103" s="11">
        <f>IFERROR(INDEX(Country_Context!$F$2:$F$87,MATCH($C103,Country_Context!$A$2:$A$87,0)),"")</f>
        <v/>
      </c>
      <c r="AO103" s="11">
        <f>IFERROR(INDEX(Country_Context!$G$2:$G$87,MATCH($C103,Country_Context!$A$2:$A$87,0)),"")</f>
        <v/>
      </c>
      <c r="AP103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3" s="12" t="inlineStr">
        <is>
          <t>Tier 3, Tier 4</t>
        </is>
      </c>
      <c r="AR103" s="12" t="inlineStr">
        <is>
          <t>2024-12-31</t>
        </is>
      </c>
      <c r="AS103" s="12" t="inlineStr">
        <is>
          <t>providers=world_bank_col_estimate, derived, ilo_ilostat, who_gho; fields=gross_income, rent, utilities, transit_cost; +9 additional fields</t>
        </is>
      </c>
      <c r="AT103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3" s="12" t="inlineStr">
        <is>
          <t>Tier 3</t>
        </is>
      </c>
      <c r="AV103" s="12" t="inlineStr">
        <is>
          <t>2024-12-31</t>
        </is>
      </c>
      <c r="AW103" s="12" t="inlineStr">
        <is>
          <t>providers=world_bank, wmo_natl_met; fields=personal_safety_raw, digital_infrastructure_raw, climate_sunlight_livability_raw</t>
        </is>
      </c>
      <c r="AX103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3" s="12" t="inlineStr">
        <is>
          <t>Tier 3</t>
        </is>
      </c>
      <c r="AZ103" s="12" t="inlineStr">
        <is>
          <t>2023-12-31</t>
        </is>
      </c>
      <c r="BA103" s="12" t="inlineStr">
        <is>
          <t>providers=who_gho, world_bank; fields=healthcare_quality_raw, education_quality_raw, equal_opportunity_raw, gini_coefficient</t>
        </is>
      </c>
      <c r="BB103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3" s="12" t="inlineStr">
        <is>
          <t>Tier 3</t>
        </is>
      </c>
      <c r="BD103" s="12" t="inlineStr">
        <is>
          <t>2025-12-31</t>
        </is>
      </c>
      <c r="BE103" s="12" t="inlineStr">
        <is>
          <t>providers=world_bank; fields=hospitality_belonging_raw, tolerance_pluralism_raw, cultural_public_life_raw, birth_rate_optimism_raw</t>
        </is>
      </c>
      <c r="BF103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3" s="12" t="inlineStr">
        <is>
          <t>Tier 3</t>
        </is>
      </c>
      <c r="BH103" s="12" t="inlineStr">
        <is>
          <t>2024-12-31</t>
        </is>
      </c>
      <c r="BI103" s="12" t="inlineStr">
        <is>
          <t>providers=world_bank; fields=entrepreneurial_dynamism_raw, innovation_research_intensity_raw, investment_signal_raw, administrative_investment_friction_raw; +2 additional fields</t>
        </is>
      </c>
      <c r="BJ103" s="9" t="n">
        <v>1.58</v>
      </c>
    </row>
    <row r="104">
      <c r="A104" s="9" t="inlineStr">
        <is>
          <t>au-brisbane</t>
        </is>
      </c>
      <c r="B104" s="9" t="inlineStr">
        <is>
          <t>Brisbane</t>
        </is>
      </c>
      <c r="C104" s="9" t="inlineStr">
        <is>
          <t>Australia</t>
        </is>
      </c>
      <c r="D104" s="9" t="inlineStr">
        <is>
          <t>Oceania</t>
        </is>
      </c>
      <c r="E104" s="9" t="inlineStr">
        <is>
          <t>primary</t>
        </is>
      </c>
      <c r="F104" s="9" t="inlineStr">
        <is>
          <t>locked</t>
        </is>
      </c>
      <c r="G104" s="10" t="n">
        <v>5800</v>
      </c>
      <c r="H104" s="10" t="n">
        <v>1740</v>
      </c>
      <c r="I104" s="10" t="n">
        <v>348</v>
      </c>
      <c r="J104" s="10" t="n">
        <v>232</v>
      </c>
      <c r="K104" s="10" t="n">
        <v>87</v>
      </c>
      <c r="L104" s="10" t="n">
        <v>870</v>
      </c>
      <c r="M104" s="11" t="inlineStr"/>
      <c r="N104" s="10" t="n">
        <v>30</v>
      </c>
      <c r="O104" s="10" t="n">
        <v>129.3173</v>
      </c>
      <c r="P104" s="11">
        <f>IF($O104&lt;&gt;"",$O104,$AO104)</f>
        <v/>
      </c>
      <c r="Q104" s="10" t="n">
        <v>32.29</v>
      </c>
      <c r="R104" s="10" t="n">
        <v>13.08</v>
      </c>
      <c r="S104" s="10" t="n">
        <v>0.85</v>
      </c>
      <c r="T104" s="10" t="inlineStr"/>
      <c r="U104" s="10" t="inlineStr"/>
      <c r="V104" s="10" t="inlineStr"/>
      <c r="W104" s="10" t="n">
        <v>36.6</v>
      </c>
      <c r="X104" s="9" t="n">
        <v>72</v>
      </c>
      <c r="Y104" s="10" t="n">
        <v>89</v>
      </c>
      <c r="Z104" s="10" t="n">
        <v>104.65</v>
      </c>
      <c r="AA104" s="10" t="n">
        <v>33.8</v>
      </c>
      <c r="AB104" s="10" t="n">
        <v>55.04</v>
      </c>
      <c r="AC104" s="10" t="n">
        <v>38</v>
      </c>
      <c r="AD104" s="10" t="n">
        <v>67.20999999999999</v>
      </c>
      <c r="AE104" s="10" t="n">
        <v>17.26</v>
      </c>
      <c r="AF104" s="10" t="n">
        <v>1.86</v>
      </c>
      <c r="AG104" s="10" t="n">
        <v>3.04</v>
      </c>
      <c r="AH104" s="10" t="n">
        <v>0.5600000000000001</v>
      </c>
      <c r="AI104" s="10" t="inlineStr"/>
      <c r="AJ104" s="11">
        <f>IFERROR(INDEX(Country_Context!$B$2:$B$87,MATCH($C104,Country_Context!$A$2:$A$87,0)),"")</f>
        <v/>
      </c>
      <c r="AK104" s="11">
        <f>IFERROR(INDEX(Country_Context!$C$2:$C$87,MATCH($C104,Country_Context!$A$2:$A$87,0)),"")</f>
        <v/>
      </c>
      <c r="AL104" s="11">
        <f>IFERROR(INDEX(Country_Context!$D$2:$D$87,MATCH($C104,Country_Context!$A$2:$A$87,0)),"")</f>
        <v/>
      </c>
      <c r="AM104" s="11">
        <f>IFERROR(INDEX(Country_Context!$E$2:$E$87,MATCH($C104,Country_Context!$A$2:$A$87,0)),"")</f>
        <v/>
      </c>
      <c r="AN104" s="11">
        <f>IFERROR(INDEX(Country_Context!$F$2:$F$87,MATCH($C104,Country_Context!$A$2:$A$87,0)),"")</f>
        <v/>
      </c>
      <c r="AO104" s="11">
        <f>IFERROR(INDEX(Country_Context!$G$2:$G$87,MATCH($C104,Country_Context!$A$2:$A$87,0)),"")</f>
        <v/>
      </c>
      <c r="AP104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4" s="12" t="inlineStr">
        <is>
          <t>Tier 3, Tier 4</t>
        </is>
      </c>
      <c r="AR104" s="12" t="inlineStr">
        <is>
          <t>2024-12-31</t>
        </is>
      </c>
      <c r="AS104" s="12" t="inlineStr">
        <is>
          <t>providers=world_bank_col_estimate, derived, ilo_ilostat, who_gho; fields=gross_income, rent, utilities, transit_cost; +9 additional fields</t>
        </is>
      </c>
      <c r="AT104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4" s="12" t="inlineStr">
        <is>
          <t>Tier 3</t>
        </is>
      </c>
      <c r="AV104" s="12" t="inlineStr">
        <is>
          <t>2024-12-31</t>
        </is>
      </c>
      <c r="AW104" s="12" t="inlineStr">
        <is>
          <t>providers=world_bank, wmo_natl_met; fields=personal_safety_raw, digital_infrastructure_raw, climate_sunlight_livability_raw</t>
        </is>
      </c>
      <c r="AX104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4" s="12" t="inlineStr">
        <is>
          <t>Tier 3</t>
        </is>
      </c>
      <c r="AZ104" s="12" t="inlineStr">
        <is>
          <t>2023-12-31</t>
        </is>
      </c>
      <c r="BA104" s="12" t="inlineStr">
        <is>
          <t>providers=who_gho, world_bank; fields=healthcare_quality_raw, education_quality_raw, equal_opportunity_raw, gini_coefficient</t>
        </is>
      </c>
      <c r="BB104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4" s="12" t="inlineStr">
        <is>
          <t>Tier 3</t>
        </is>
      </c>
      <c r="BD104" s="12" t="inlineStr">
        <is>
          <t>2025-12-31</t>
        </is>
      </c>
      <c r="BE104" s="12" t="inlineStr">
        <is>
          <t>providers=world_bank; fields=hospitality_belonging_raw, tolerance_pluralism_raw, cultural_public_life_raw, birth_rate_optimism_raw</t>
        </is>
      </c>
      <c r="BF104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4" s="12" t="inlineStr">
        <is>
          <t>Tier 3</t>
        </is>
      </c>
      <c r="BH104" s="12" t="inlineStr">
        <is>
          <t>2024-12-31</t>
        </is>
      </c>
      <c r="BI104" s="12" t="inlineStr">
        <is>
          <t>providers=world_bank; fields=entrepreneurial_dynamism_raw, innovation_research_intensity_raw, investment_signal_raw, administrative_investment_friction_raw; +2 additional fields</t>
        </is>
      </c>
      <c r="BJ104" s="9" t="n">
        <v>1.58</v>
      </c>
    </row>
    <row r="105">
      <c r="A105" s="9" t="inlineStr">
        <is>
          <t>nz-wellington</t>
        </is>
      </c>
      <c r="B105" s="9" t="inlineStr">
        <is>
          <t>Wellington</t>
        </is>
      </c>
      <c r="C105" s="9" t="inlineStr">
        <is>
          <t>New Zealand</t>
        </is>
      </c>
      <c r="D105" s="9" t="inlineStr">
        <is>
          <t>Oceania</t>
        </is>
      </c>
      <c r="E105" s="9" t="inlineStr">
        <is>
          <t>primary</t>
        </is>
      </c>
      <c r="F105" s="9" t="inlineStr">
        <is>
          <t>locked</t>
        </is>
      </c>
      <c r="G105" s="10" t="n">
        <v>4466.67</v>
      </c>
      <c r="H105" s="10" t="n">
        <v>1407</v>
      </c>
      <c r="I105" s="10" t="n">
        <v>281.4</v>
      </c>
      <c r="J105" s="10" t="n">
        <v>187.6</v>
      </c>
      <c r="K105" s="10" t="n">
        <v>70.34999999999999</v>
      </c>
      <c r="L105" s="10" t="n">
        <v>703.5</v>
      </c>
      <c r="M105" s="11" t="inlineStr"/>
      <c r="N105" s="10" t="n">
        <v>31.5</v>
      </c>
      <c r="O105" s="10" t="n">
        <v>129.7971</v>
      </c>
      <c r="P105" s="11">
        <f>IF($O105&lt;&gt;"",$O105,$AO105)</f>
        <v/>
      </c>
      <c r="Q105" s="10" t="n">
        <v>33</v>
      </c>
      <c r="R105" s="10" t="n">
        <v>11.92</v>
      </c>
      <c r="S105" s="10" t="n">
        <v>1.46</v>
      </c>
      <c r="T105" s="10" t="inlineStr"/>
      <c r="U105" s="10" t="inlineStr"/>
      <c r="V105" s="10" t="n">
        <v>100</v>
      </c>
      <c r="W105" s="10" t="n">
        <v>37.85</v>
      </c>
      <c r="X105" s="9" t="n">
        <v>52</v>
      </c>
      <c r="Y105" s="10" t="n">
        <v>89</v>
      </c>
      <c r="Z105" s="10" t="n">
        <v>76.38</v>
      </c>
      <c r="AA105" s="10" t="inlineStr"/>
      <c r="AB105" s="10" t="n">
        <v>53.29</v>
      </c>
      <c r="AC105" s="10" t="n">
        <v>45.53</v>
      </c>
      <c r="AD105" s="10" t="n">
        <v>188.37</v>
      </c>
      <c r="AE105" s="10" t="n">
        <v>16.32</v>
      </c>
      <c r="AF105" s="10" t="n">
        <v>1.47</v>
      </c>
      <c r="AG105" s="10" t="n">
        <v>0.68</v>
      </c>
      <c r="AH105" s="10" t="n">
        <v>0.59</v>
      </c>
      <c r="AI105" s="10" t="inlineStr"/>
      <c r="AJ105" s="11">
        <f>IFERROR(INDEX(Country_Context!$B$2:$B$87,MATCH($C105,Country_Context!$A$2:$A$87,0)),"")</f>
        <v/>
      </c>
      <c r="AK105" s="11">
        <f>IFERROR(INDEX(Country_Context!$C$2:$C$87,MATCH($C105,Country_Context!$A$2:$A$87,0)),"")</f>
        <v/>
      </c>
      <c r="AL105" s="11">
        <f>IFERROR(INDEX(Country_Context!$D$2:$D$87,MATCH($C105,Country_Context!$A$2:$A$87,0)),"")</f>
        <v/>
      </c>
      <c r="AM105" s="11">
        <f>IFERROR(INDEX(Country_Context!$E$2:$E$87,MATCH($C105,Country_Context!$A$2:$A$87,0)),"")</f>
        <v/>
      </c>
      <c r="AN105" s="11">
        <f>IFERROR(INDEX(Country_Context!$F$2:$F$87,MATCH($C105,Country_Context!$A$2:$A$87,0)),"")</f>
        <v/>
      </c>
      <c r="AO105" s="11">
        <f>IFERROR(INDEX(Country_Context!$G$2:$G$87,MATCH($C105,Country_Context!$A$2:$A$87,0)),"")</f>
        <v/>
      </c>
      <c r="AP105" s="12" t="inlineStr">
        <is>
          <t>https://api.worldbank.org/v2/country/NZL/indicator/NY.GNP.PCAP.PP.CD?format=json&amp;mrv=10 | https://data.worldbank.org/indicator/NY.GNP.PCAP.PP.CD | https://ilostat.ilo.org/data/indicator/?id=HOW_TEMP_SEX_ECO_NB_A&amp;ref_area=NZL | +4 more</t>
        </is>
      </c>
      <c r="AQ105" s="12" t="inlineStr">
        <is>
          <t>Tier 3, Tier 4</t>
        </is>
      </c>
      <c r="AR105" s="12" t="inlineStr">
        <is>
          <t>2024-12-31</t>
        </is>
      </c>
      <c r="AS105" s="12" t="inlineStr">
        <is>
          <t>providers=world_bank_col_estimate, derived, ilo_ilostat, who_gho; fields=gross_income, rent, utilities, transit_cost; +9 additional fields</t>
        </is>
      </c>
      <c r="AT105" s="12" t="inlineStr">
        <is>
          <t>https://api.worldbank.org/v2/country/NZL/indicator/VC.IHR.PSRC.P5?format=json&amp;mrv=10 | https://api.worldbank.org/v2/country/NZL/indicator/SH.H2O.SMDW.ZS?format=json&amp;mrv=10 | https://api.worldbank.org/v2/country/NZL/indicator/IT.NET.BBND.P2?format=json&amp;mrv=10 | +1 more</t>
        </is>
      </c>
      <c r="AU105" s="12" t="inlineStr">
        <is>
          <t>Tier 3</t>
        </is>
      </c>
      <c r="AV105" s="12" t="inlineStr">
        <is>
          <t>2024-12-31</t>
        </is>
      </c>
      <c r="AW105" s="12" t="inlineStr">
        <is>
          <t>providers=world_bank, wmo_natl_met; fields=personal_safety_raw, water_sanitation_utility_raw, digital_infrastructure_raw, climate_sunlight_livability_raw</t>
        </is>
      </c>
      <c r="AX105" s="12" t="inlineStr">
        <is>
          <t>https://www.who.int/data/gho/data/indicators/indicator-details/GHO/UHC_INDEX_REPORTED | https://api.worldbank.org/v2/country/NZL/indicator/SE.TER.ENRR?format=json&amp;mrv=10</t>
        </is>
      </c>
      <c r="AY105" s="12" t="inlineStr">
        <is>
          <t>Tier 3</t>
        </is>
      </c>
      <c r="AZ105" s="12" t="inlineStr">
        <is>
          <t>2023-12-31</t>
        </is>
      </c>
      <c r="BA105" s="12" t="inlineStr">
        <is>
          <t>providers=who_gho, world_bank; fields=healthcare_quality_raw, education_quality_raw</t>
        </is>
      </c>
      <c r="BB105" s="12" t="inlineStr">
        <is>
          <t>https://api.worldbank.org/v2/country/NZL/indicator/SM.POP.NETM?format=json&amp;mrv=10 | https://api.worldbank.org/v2/country/NZL/indicator/SG.GEN.PARL.ZS?format=json&amp;mrv=10 | https://api.worldbank.org/v2/country/NZL/indicator/ST.INT.ARVL?format=json&amp;mrv=10 | +1 more</t>
        </is>
      </c>
      <c r="BC105" s="12" t="inlineStr">
        <is>
          <t>Tier 3</t>
        </is>
      </c>
      <c r="BD105" s="12" t="inlineStr">
        <is>
          <t>2025-12-31</t>
        </is>
      </c>
      <c r="BE105" s="12" t="inlineStr">
        <is>
          <t>providers=world_bank; fields=hospitality_belonging_raw, tolerance_pluralism_raw, cultural_public_life_raw, birth_rate_optimism_raw</t>
        </is>
      </c>
      <c r="BF105" s="12" t="inlineStr">
        <is>
          <t>https://api.worldbank.org/v2/country/NZL/indicator/IC.BUS.NDNS.ZS?format=json&amp;mrv=10 | https://api.worldbank.org/v2/country/NZL/indicator/GB.XPD.RSDV.GD.ZS?format=json&amp;mrv=10 | https://api.worldbank.org/v2/country/NZL/indicator/BX.KLT.DINV.WD.GD.ZS?format=json&amp;mrv=10 | +3 more</t>
        </is>
      </c>
      <c r="BG105" s="12" t="inlineStr">
        <is>
          <t>Tier 3</t>
        </is>
      </c>
      <c r="BH105" s="12" t="inlineStr">
        <is>
          <t>2024-12-31</t>
        </is>
      </c>
      <c r="BI105" s="12" t="inlineStr">
        <is>
          <t>providers=world_bank; fields=entrepreneurial_dynamism_raw, innovation_research_intensity_raw, investment_signal_raw, administrative_investment_friction_raw; +2 additional fields</t>
        </is>
      </c>
      <c r="BJ105" s="9" t="n">
        <v>1.56</v>
      </c>
    </row>
    <row r="106">
      <c r="A106" s="9" t="inlineStr">
        <is>
          <t>au-perth</t>
        </is>
      </c>
      <c r="B106" s="9" t="inlineStr">
        <is>
          <t>Perth</t>
        </is>
      </c>
      <c r="C106" s="9" t="inlineStr">
        <is>
          <t>Australia</t>
        </is>
      </c>
      <c r="D106" s="9" t="inlineStr">
        <is>
          <t>Oceania</t>
        </is>
      </c>
      <c r="E106" s="9" t="inlineStr">
        <is>
          <t>secondary</t>
        </is>
      </c>
      <c r="F106" s="9" t="inlineStr">
        <is>
          <t>locked</t>
        </is>
      </c>
      <c r="G106" s="10" t="n">
        <v>5800</v>
      </c>
      <c r="H106" s="10" t="n">
        <v>1653</v>
      </c>
      <c r="I106" s="10" t="n">
        <v>330.6</v>
      </c>
      <c r="J106" s="10" t="n">
        <v>220.4</v>
      </c>
      <c r="K106" s="10" t="n">
        <v>82.65000000000001</v>
      </c>
      <c r="L106" s="10" t="n">
        <v>826.5</v>
      </c>
      <c r="M106" s="11" t="inlineStr"/>
      <c r="N106" s="10" t="n">
        <v>28.5</v>
      </c>
      <c r="O106" s="10" t="n">
        <v>129.3173</v>
      </c>
      <c r="P106" s="11">
        <f>IF($O106&lt;&gt;"",$O106,$AO106)</f>
        <v/>
      </c>
      <c r="Q106" s="10" t="n">
        <v>32.29</v>
      </c>
      <c r="R106" s="10" t="n">
        <v>13.08</v>
      </c>
      <c r="S106" s="10" t="n">
        <v>0.85</v>
      </c>
      <c r="T106" s="10" t="inlineStr"/>
      <c r="U106" s="10" t="inlineStr"/>
      <c r="V106" s="10" t="inlineStr"/>
      <c r="W106" s="10" t="n">
        <v>36.6</v>
      </c>
      <c r="X106" s="9" t="n">
        <v>74</v>
      </c>
      <c r="Y106" s="10" t="n">
        <v>89</v>
      </c>
      <c r="Z106" s="10" t="n">
        <v>104.65</v>
      </c>
      <c r="AA106" s="10" t="n">
        <v>33.8</v>
      </c>
      <c r="AB106" s="10" t="n">
        <v>55.04</v>
      </c>
      <c r="AC106" s="10" t="n">
        <v>38</v>
      </c>
      <c r="AD106" s="10" t="n">
        <v>67.20999999999999</v>
      </c>
      <c r="AE106" s="10" t="n">
        <v>17.26</v>
      </c>
      <c r="AF106" s="10" t="n">
        <v>1.86</v>
      </c>
      <c r="AG106" s="10" t="n">
        <v>3.04</v>
      </c>
      <c r="AH106" s="10" t="n">
        <v>0.5600000000000001</v>
      </c>
      <c r="AI106" s="10" t="inlineStr"/>
      <c r="AJ106" s="11">
        <f>IFERROR(INDEX(Country_Context!$B$2:$B$87,MATCH($C106,Country_Context!$A$2:$A$87,0)),"")</f>
        <v/>
      </c>
      <c r="AK106" s="11">
        <f>IFERROR(INDEX(Country_Context!$C$2:$C$87,MATCH($C106,Country_Context!$A$2:$A$87,0)),"")</f>
        <v/>
      </c>
      <c r="AL106" s="11">
        <f>IFERROR(INDEX(Country_Context!$D$2:$D$87,MATCH($C106,Country_Context!$A$2:$A$87,0)),"")</f>
        <v/>
      </c>
      <c r="AM106" s="11">
        <f>IFERROR(INDEX(Country_Context!$E$2:$E$87,MATCH($C106,Country_Context!$A$2:$A$87,0)),"")</f>
        <v/>
      </c>
      <c r="AN106" s="11">
        <f>IFERROR(INDEX(Country_Context!$F$2:$F$87,MATCH($C106,Country_Context!$A$2:$A$87,0)),"")</f>
        <v/>
      </c>
      <c r="AO106" s="11">
        <f>IFERROR(INDEX(Country_Context!$G$2:$G$87,MATCH($C106,Country_Context!$A$2:$A$87,0)),"")</f>
        <v/>
      </c>
      <c r="AP106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6" s="12" t="inlineStr">
        <is>
          <t>Tier 3, Tier 4</t>
        </is>
      </c>
      <c r="AR106" s="12" t="inlineStr">
        <is>
          <t>2024-12-31</t>
        </is>
      </c>
      <c r="AS106" s="12" t="inlineStr">
        <is>
          <t>providers=world_bank_col_estimate, derived, ilo_ilostat, who_gho; fields=gross_income, rent, utilities, transit_cost; +9 additional fields</t>
        </is>
      </c>
      <c r="AT106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6" s="12" t="inlineStr">
        <is>
          <t>Tier 3</t>
        </is>
      </c>
      <c r="AV106" s="12" t="inlineStr">
        <is>
          <t>2024-12-31</t>
        </is>
      </c>
      <c r="AW106" s="12" t="inlineStr">
        <is>
          <t>providers=world_bank, wmo_natl_met; fields=personal_safety_raw, digital_infrastructure_raw, climate_sunlight_livability_raw</t>
        </is>
      </c>
      <c r="AX106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6" s="12" t="inlineStr">
        <is>
          <t>Tier 3</t>
        </is>
      </c>
      <c r="AZ106" s="12" t="inlineStr">
        <is>
          <t>2023-12-31</t>
        </is>
      </c>
      <c r="BA106" s="12" t="inlineStr">
        <is>
          <t>providers=who_gho, world_bank; fields=healthcare_quality_raw, education_quality_raw, equal_opportunity_raw, gini_coefficient</t>
        </is>
      </c>
      <c r="BB106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6" s="12" t="inlineStr">
        <is>
          <t>Tier 3</t>
        </is>
      </c>
      <c r="BD106" s="12" t="inlineStr">
        <is>
          <t>2025-12-31</t>
        </is>
      </c>
      <c r="BE106" s="12" t="inlineStr">
        <is>
          <t>providers=world_bank; fields=hospitality_belonging_raw, tolerance_pluralism_raw, cultural_public_life_raw, birth_rate_optimism_raw</t>
        </is>
      </c>
      <c r="BF106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6" s="12" t="inlineStr">
        <is>
          <t>Tier 3</t>
        </is>
      </c>
      <c r="BH106" s="12" t="inlineStr">
        <is>
          <t>2024-12-31</t>
        </is>
      </c>
      <c r="BI106" s="12" t="inlineStr">
        <is>
          <t>providers=world_bank; fields=entrepreneurial_dynamism_raw, innovation_research_intensity_raw, investment_signal_raw, administrative_investment_friction_raw; +2 additional fields</t>
        </is>
      </c>
      <c r="BJ106" s="9" t="n">
        <v>1.58</v>
      </c>
    </row>
    <row r="107">
      <c r="A107" s="9" t="inlineStr">
        <is>
          <t>au-adelaide</t>
        </is>
      </c>
      <c r="B107" s="9" t="inlineStr">
        <is>
          <t>Adelaide</t>
        </is>
      </c>
      <c r="C107" s="9" t="inlineStr">
        <is>
          <t>Australia</t>
        </is>
      </c>
      <c r="D107" s="9" t="inlineStr">
        <is>
          <t>Oceania</t>
        </is>
      </c>
      <c r="E107" s="9" t="inlineStr">
        <is>
          <t>secondary</t>
        </is>
      </c>
      <c r="F107" s="9" t="inlineStr">
        <is>
          <t>locked</t>
        </is>
      </c>
      <c r="G107" s="10" t="n">
        <v>5800</v>
      </c>
      <c r="H107" s="10" t="n">
        <v>1479</v>
      </c>
      <c r="I107" s="10" t="n">
        <v>295.8</v>
      </c>
      <c r="J107" s="10" t="n">
        <v>197.2</v>
      </c>
      <c r="K107" s="10" t="n">
        <v>73.95</v>
      </c>
      <c r="L107" s="10" t="n">
        <v>739.5</v>
      </c>
      <c r="M107" s="11" t="inlineStr"/>
      <c r="N107" s="10" t="n">
        <v>25.5</v>
      </c>
      <c r="O107" s="10" t="n">
        <v>129.3173</v>
      </c>
      <c r="P107" s="11">
        <f>IF($O107&lt;&gt;"",$O107,$AO107)</f>
        <v/>
      </c>
      <c r="Q107" s="10" t="n">
        <v>32.29</v>
      </c>
      <c r="R107" s="10" t="n">
        <v>13.08</v>
      </c>
      <c r="S107" s="10" t="n">
        <v>0.85</v>
      </c>
      <c r="T107" s="10" t="inlineStr"/>
      <c r="U107" s="10" t="inlineStr"/>
      <c r="V107" s="10" t="inlineStr"/>
      <c r="W107" s="10" t="n">
        <v>36.6</v>
      </c>
      <c r="X107" s="9" t="n">
        <v>70</v>
      </c>
      <c r="Y107" s="10" t="n">
        <v>89</v>
      </c>
      <c r="Z107" s="10" t="n">
        <v>104.65</v>
      </c>
      <c r="AA107" s="10" t="n">
        <v>33.8</v>
      </c>
      <c r="AB107" s="10" t="n">
        <v>55.04</v>
      </c>
      <c r="AC107" s="10" t="n">
        <v>38</v>
      </c>
      <c r="AD107" s="10" t="n">
        <v>67.20999999999999</v>
      </c>
      <c r="AE107" s="10" t="n">
        <v>17.26</v>
      </c>
      <c r="AF107" s="10" t="n">
        <v>1.86</v>
      </c>
      <c r="AG107" s="10" t="n">
        <v>3.04</v>
      </c>
      <c r="AH107" s="10" t="n">
        <v>0.5600000000000001</v>
      </c>
      <c r="AI107" s="10" t="inlineStr"/>
      <c r="AJ107" s="11">
        <f>IFERROR(INDEX(Country_Context!$B$2:$B$87,MATCH($C107,Country_Context!$A$2:$A$87,0)),"")</f>
        <v/>
      </c>
      <c r="AK107" s="11">
        <f>IFERROR(INDEX(Country_Context!$C$2:$C$87,MATCH($C107,Country_Context!$A$2:$A$87,0)),"")</f>
        <v/>
      </c>
      <c r="AL107" s="11">
        <f>IFERROR(INDEX(Country_Context!$D$2:$D$87,MATCH($C107,Country_Context!$A$2:$A$87,0)),"")</f>
        <v/>
      </c>
      <c r="AM107" s="11">
        <f>IFERROR(INDEX(Country_Context!$E$2:$E$87,MATCH($C107,Country_Context!$A$2:$A$87,0)),"")</f>
        <v/>
      </c>
      <c r="AN107" s="11">
        <f>IFERROR(INDEX(Country_Context!$F$2:$F$87,MATCH($C107,Country_Context!$A$2:$A$87,0)),"")</f>
        <v/>
      </c>
      <c r="AO107" s="11">
        <f>IFERROR(INDEX(Country_Context!$G$2:$G$87,MATCH($C107,Country_Context!$A$2:$A$87,0)),"")</f>
        <v/>
      </c>
      <c r="AP107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7" s="12" t="inlineStr">
        <is>
          <t>Tier 3, Tier 4</t>
        </is>
      </c>
      <c r="AR107" s="12" t="inlineStr">
        <is>
          <t>2024-12-31</t>
        </is>
      </c>
      <c r="AS107" s="12" t="inlineStr">
        <is>
          <t>providers=world_bank_col_estimate, derived, ilo_ilostat, who_gho; fields=gross_income, rent, utilities, transit_cost; +9 additional fields</t>
        </is>
      </c>
      <c r="AT107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7" s="12" t="inlineStr">
        <is>
          <t>Tier 3</t>
        </is>
      </c>
      <c r="AV107" s="12" t="inlineStr">
        <is>
          <t>2024-12-31</t>
        </is>
      </c>
      <c r="AW107" s="12" t="inlineStr">
        <is>
          <t>providers=world_bank, wmo_natl_met; fields=personal_safety_raw, digital_infrastructure_raw, climate_sunlight_livability_raw</t>
        </is>
      </c>
      <c r="AX107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7" s="12" t="inlineStr">
        <is>
          <t>Tier 3</t>
        </is>
      </c>
      <c r="AZ107" s="12" t="inlineStr">
        <is>
          <t>2023-12-31</t>
        </is>
      </c>
      <c r="BA107" s="12" t="inlineStr">
        <is>
          <t>providers=who_gho, world_bank; fields=healthcare_quality_raw, education_quality_raw, equal_opportunity_raw, gini_coefficient</t>
        </is>
      </c>
      <c r="BB107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7" s="12" t="inlineStr">
        <is>
          <t>Tier 3</t>
        </is>
      </c>
      <c r="BD107" s="12" t="inlineStr">
        <is>
          <t>2025-12-31</t>
        </is>
      </c>
      <c r="BE107" s="12" t="inlineStr">
        <is>
          <t>providers=world_bank; fields=hospitality_belonging_raw, tolerance_pluralism_raw, cultural_public_life_raw, birth_rate_optimism_raw</t>
        </is>
      </c>
      <c r="BF107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7" s="12" t="inlineStr">
        <is>
          <t>Tier 3</t>
        </is>
      </c>
      <c r="BH107" s="12" t="inlineStr">
        <is>
          <t>2024-12-31</t>
        </is>
      </c>
      <c r="BI107" s="12" t="inlineStr">
        <is>
          <t>providers=world_bank; fields=entrepreneurial_dynamism_raw, innovation_research_intensity_raw, investment_signal_raw, administrative_investment_friction_raw; +2 additional fields</t>
        </is>
      </c>
      <c r="BJ107" s="9" t="n">
        <v>1.58</v>
      </c>
    </row>
    <row r="108">
      <c r="A108" s="9" t="inlineStr">
        <is>
          <t>au-hobart</t>
        </is>
      </c>
      <c r="B108" s="9" t="inlineStr">
        <is>
          <t>Hobart</t>
        </is>
      </c>
      <c r="C108" s="9" t="inlineStr">
        <is>
          <t>Australia</t>
        </is>
      </c>
      <c r="D108" s="9" t="inlineStr">
        <is>
          <t>Oceania</t>
        </is>
      </c>
      <c r="E108" s="9" t="inlineStr">
        <is>
          <t>secondary</t>
        </is>
      </c>
      <c r="F108" s="9" t="inlineStr">
        <is>
          <t>locked</t>
        </is>
      </c>
      <c r="G108" s="10" t="n">
        <v>5800</v>
      </c>
      <c r="H108" s="10" t="n">
        <v>1479</v>
      </c>
      <c r="I108" s="10" t="n">
        <v>295.8</v>
      </c>
      <c r="J108" s="10" t="n">
        <v>197.2</v>
      </c>
      <c r="K108" s="10" t="n">
        <v>73.95</v>
      </c>
      <c r="L108" s="10" t="n">
        <v>739.5</v>
      </c>
      <c r="M108" s="11" t="inlineStr"/>
      <c r="N108" s="10" t="n">
        <v>25.5</v>
      </c>
      <c r="O108" s="10" t="n">
        <v>129.3173</v>
      </c>
      <c r="P108" s="11">
        <f>IF($O108&lt;&gt;"",$O108,$AO108)</f>
        <v/>
      </c>
      <c r="Q108" s="10" t="n">
        <v>32.29</v>
      </c>
      <c r="R108" s="10" t="n">
        <v>13.08</v>
      </c>
      <c r="S108" s="10" t="n">
        <v>0.85</v>
      </c>
      <c r="T108" s="10" t="inlineStr"/>
      <c r="U108" s="10" t="inlineStr"/>
      <c r="V108" s="10" t="inlineStr"/>
      <c r="W108" s="10" t="n">
        <v>36.6</v>
      </c>
      <c r="X108" s="9" t="n">
        <v>52</v>
      </c>
      <c r="Y108" s="10" t="n">
        <v>89</v>
      </c>
      <c r="Z108" s="10" t="n">
        <v>104.65</v>
      </c>
      <c r="AA108" s="10" t="n">
        <v>33.8</v>
      </c>
      <c r="AB108" s="10" t="n">
        <v>55.04</v>
      </c>
      <c r="AC108" s="10" t="n">
        <v>38</v>
      </c>
      <c r="AD108" s="10" t="n">
        <v>67.20999999999999</v>
      </c>
      <c r="AE108" s="10" t="n">
        <v>17.26</v>
      </c>
      <c r="AF108" s="10" t="n">
        <v>1.86</v>
      </c>
      <c r="AG108" s="10" t="n">
        <v>3.04</v>
      </c>
      <c r="AH108" s="10" t="n">
        <v>0.5600000000000001</v>
      </c>
      <c r="AI108" s="10" t="inlineStr"/>
      <c r="AJ108" s="11">
        <f>IFERROR(INDEX(Country_Context!$B$2:$B$87,MATCH($C108,Country_Context!$A$2:$A$87,0)),"")</f>
        <v/>
      </c>
      <c r="AK108" s="11">
        <f>IFERROR(INDEX(Country_Context!$C$2:$C$87,MATCH($C108,Country_Context!$A$2:$A$87,0)),"")</f>
        <v/>
      </c>
      <c r="AL108" s="11">
        <f>IFERROR(INDEX(Country_Context!$D$2:$D$87,MATCH($C108,Country_Context!$A$2:$A$87,0)),"")</f>
        <v/>
      </c>
      <c r="AM108" s="11">
        <f>IFERROR(INDEX(Country_Context!$E$2:$E$87,MATCH($C108,Country_Context!$A$2:$A$87,0)),"")</f>
        <v/>
      </c>
      <c r="AN108" s="11">
        <f>IFERROR(INDEX(Country_Context!$F$2:$F$87,MATCH($C108,Country_Context!$A$2:$A$87,0)),"")</f>
        <v/>
      </c>
      <c r="AO108" s="11">
        <f>IFERROR(INDEX(Country_Context!$G$2:$G$87,MATCH($C108,Country_Context!$A$2:$A$87,0)),"")</f>
        <v/>
      </c>
      <c r="AP108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8" s="12" t="inlineStr">
        <is>
          <t>Tier 3, Tier 4</t>
        </is>
      </c>
      <c r="AR108" s="12" t="inlineStr">
        <is>
          <t>2024-12-31</t>
        </is>
      </c>
      <c r="AS108" s="12" t="inlineStr">
        <is>
          <t>providers=world_bank_col_estimate, derived, ilo_ilostat, who_gho; fields=gross_income, rent, utilities, transit_cost; +9 additional fields</t>
        </is>
      </c>
      <c r="AT108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8" s="12" t="inlineStr">
        <is>
          <t>Tier 3</t>
        </is>
      </c>
      <c r="AV108" s="12" t="inlineStr">
        <is>
          <t>2024-12-31</t>
        </is>
      </c>
      <c r="AW108" s="12" t="inlineStr">
        <is>
          <t>providers=world_bank, wmo_natl_met; fields=personal_safety_raw, digital_infrastructure_raw, climate_sunlight_livability_raw</t>
        </is>
      </c>
      <c r="AX108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8" s="12" t="inlineStr">
        <is>
          <t>Tier 3</t>
        </is>
      </c>
      <c r="AZ108" s="12" t="inlineStr">
        <is>
          <t>2023-12-31</t>
        </is>
      </c>
      <c r="BA108" s="12" t="inlineStr">
        <is>
          <t>providers=who_gho, world_bank; fields=healthcare_quality_raw, education_quality_raw, equal_opportunity_raw, gini_coefficient</t>
        </is>
      </c>
      <c r="BB108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8" s="12" t="inlineStr">
        <is>
          <t>Tier 3</t>
        </is>
      </c>
      <c r="BD108" s="12" t="inlineStr">
        <is>
          <t>2025-12-31</t>
        </is>
      </c>
      <c r="BE108" s="12" t="inlineStr">
        <is>
          <t>providers=world_bank; fields=hospitality_belonging_raw, tolerance_pluralism_raw, cultural_public_life_raw, birth_rate_optimism_raw</t>
        </is>
      </c>
      <c r="BF108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8" s="12" t="inlineStr">
        <is>
          <t>Tier 3</t>
        </is>
      </c>
      <c r="BH108" s="12" t="inlineStr">
        <is>
          <t>2024-12-31</t>
        </is>
      </c>
      <c r="BI108" s="12" t="inlineStr">
        <is>
          <t>providers=world_bank; fields=entrepreneurial_dynamism_raw, innovation_research_intensity_raw, investment_signal_raw, administrative_investment_friction_raw; +2 additional fields</t>
        </is>
      </c>
      <c r="BJ108" s="9" t="n">
        <v>1.58</v>
      </c>
    </row>
    <row r="109">
      <c r="A109" s="9" t="inlineStr">
        <is>
          <t>nz-christchurch</t>
        </is>
      </c>
      <c r="B109" s="9" t="inlineStr">
        <is>
          <t>Christchurch</t>
        </is>
      </c>
      <c r="C109" s="9" t="inlineStr">
        <is>
          <t>New Zealand</t>
        </is>
      </c>
      <c r="D109" s="9" t="inlineStr">
        <is>
          <t>Oceania</t>
        </is>
      </c>
      <c r="E109" s="9" t="inlineStr">
        <is>
          <t>secondary</t>
        </is>
      </c>
      <c r="F109" s="9" t="inlineStr">
        <is>
          <t>provisional</t>
        </is>
      </c>
      <c r="G109" s="10" t="n">
        <v>4466.67</v>
      </c>
      <c r="H109" s="10" t="n">
        <v>1206</v>
      </c>
      <c r="I109" s="10" t="n">
        <v>241.2</v>
      </c>
      <c r="J109" s="10" t="n">
        <v>160.8</v>
      </c>
      <c r="K109" s="10" t="n">
        <v>60.3</v>
      </c>
      <c r="L109" s="10" t="n">
        <v>603</v>
      </c>
      <c r="M109" s="11" t="inlineStr"/>
      <c r="N109" s="10" t="n">
        <v>27</v>
      </c>
      <c r="O109" s="10" t="n">
        <v>129.7971</v>
      </c>
      <c r="P109" s="11">
        <f>IF($O109&lt;&gt;"",$O109,$AO109)</f>
        <v/>
      </c>
      <c r="Q109" s="10" t="n">
        <v>33</v>
      </c>
      <c r="R109" s="10" t="n">
        <v>11.92</v>
      </c>
      <c r="S109" s="10" t="n">
        <v>1.46</v>
      </c>
      <c r="T109" s="10" t="inlineStr"/>
      <c r="U109" s="10" t="inlineStr"/>
      <c r="V109" s="10" t="n">
        <v>100</v>
      </c>
      <c r="W109" s="10" t="n">
        <v>37.85</v>
      </c>
      <c r="X109" s="9" t="n">
        <v>56</v>
      </c>
      <c r="Y109" s="10" t="n">
        <v>89</v>
      </c>
      <c r="Z109" s="10" t="n">
        <v>76.38</v>
      </c>
      <c r="AA109" s="10" t="inlineStr"/>
      <c r="AB109" s="10" t="n">
        <v>53.29</v>
      </c>
      <c r="AC109" s="10" t="n">
        <v>45.53</v>
      </c>
      <c r="AD109" s="10" t="n">
        <v>188.37</v>
      </c>
      <c r="AE109" s="10" t="n">
        <v>16.32</v>
      </c>
      <c r="AF109" s="10" t="n">
        <v>1.47</v>
      </c>
      <c r="AG109" s="10" t="n">
        <v>0.68</v>
      </c>
      <c r="AH109" s="10" t="n">
        <v>0.59</v>
      </c>
      <c r="AI109" s="10" t="inlineStr"/>
      <c r="AJ109" s="11">
        <f>IFERROR(INDEX(Country_Context!$B$2:$B$87,MATCH($C109,Country_Context!$A$2:$A$87,0)),"")</f>
        <v/>
      </c>
      <c r="AK109" s="11">
        <f>IFERROR(INDEX(Country_Context!$C$2:$C$87,MATCH($C109,Country_Context!$A$2:$A$87,0)),"")</f>
        <v/>
      </c>
      <c r="AL109" s="11">
        <f>IFERROR(INDEX(Country_Context!$D$2:$D$87,MATCH($C109,Country_Context!$A$2:$A$87,0)),"")</f>
        <v/>
      </c>
      <c r="AM109" s="11">
        <f>IFERROR(INDEX(Country_Context!$E$2:$E$87,MATCH($C109,Country_Context!$A$2:$A$87,0)),"")</f>
        <v/>
      </c>
      <c r="AN109" s="11">
        <f>IFERROR(INDEX(Country_Context!$F$2:$F$87,MATCH($C109,Country_Context!$A$2:$A$87,0)),"")</f>
        <v/>
      </c>
      <c r="AO109" s="11">
        <f>IFERROR(INDEX(Country_Context!$G$2:$G$87,MATCH($C109,Country_Context!$A$2:$A$87,0)),"")</f>
        <v/>
      </c>
      <c r="AP109" s="12" t="inlineStr">
        <is>
          <t>https://api.worldbank.org/v2/country/NZL/indicator/NY.GNP.PCAP.PP.CD?format=json&amp;mrv=10 | https://data.worldbank.org/indicator/NY.GNP.PCAP.PP.CD | https://ilostat.ilo.org/data/indicator/?id=HOW_TEMP_SEX_ECO_NB_A&amp;ref_area=NZL | +4 more</t>
        </is>
      </c>
      <c r="AQ109" s="12" t="inlineStr">
        <is>
          <t>Tier 3, Tier 4</t>
        </is>
      </c>
      <c r="AR109" s="12" t="inlineStr">
        <is>
          <t>2024-12-31</t>
        </is>
      </c>
      <c r="AS109" s="12" t="inlineStr">
        <is>
          <t>providers=world_bank_col_estimate, derived, ilo_ilostat, who_gho; fields=gross_income, rent, utilities, transit_cost; +9 additional fields</t>
        </is>
      </c>
      <c r="AT109" s="12" t="inlineStr">
        <is>
          <t>https://api.worldbank.org/v2/country/NZL/indicator/VC.IHR.PSRC.P5?format=json&amp;mrv=10 | https://api.worldbank.org/v2/country/NZL/indicator/SH.H2O.SMDW.ZS?format=json&amp;mrv=10 | https://api.worldbank.org/v2/country/NZL/indicator/IT.NET.BBND.P2?format=json&amp;mrv=10 | +1 more</t>
        </is>
      </c>
      <c r="AU109" s="12" t="inlineStr">
        <is>
          <t>Tier 3</t>
        </is>
      </c>
      <c r="AV109" s="12" t="inlineStr">
        <is>
          <t>2024-12-31</t>
        </is>
      </c>
      <c r="AW109" s="12" t="inlineStr">
        <is>
          <t>providers=world_bank, wmo_natl_met; fields=personal_safety_raw, water_sanitation_utility_raw, digital_infrastructure_raw, climate_sunlight_livability_raw</t>
        </is>
      </c>
      <c r="AX109" s="12" t="inlineStr">
        <is>
          <t>https://www.who.int/data/gho/data/indicators/indicator-details/GHO/UHC_INDEX_REPORTED | https://api.worldbank.org/v2/country/NZL/indicator/SE.TER.ENRR?format=json&amp;mrv=10</t>
        </is>
      </c>
      <c r="AY109" s="12" t="inlineStr">
        <is>
          <t>Tier 3</t>
        </is>
      </c>
      <c r="AZ109" s="12" t="inlineStr">
        <is>
          <t>2023-12-31</t>
        </is>
      </c>
      <c r="BA109" s="12" t="inlineStr">
        <is>
          <t>providers=who_gho, world_bank; fields=healthcare_quality_raw, education_quality_raw</t>
        </is>
      </c>
      <c r="BB109" s="12" t="inlineStr">
        <is>
          <t>https://api.worldbank.org/v2/country/NZL/indicator/SM.POP.NETM?format=json&amp;mrv=10 | https://api.worldbank.org/v2/country/NZL/indicator/SG.GEN.PARL.ZS?format=json&amp;mrv=10 | https://api.worldbank.org/v2/country/NZL/indicator/ST.INT.ARVL?format=json&amp;mrv=10 | +1 more</t>
        </is>
      </c>
      <c r="BC109" s="12" t="inlineStr">
        <is>
          <t>Tier 3</t>
        </is>
      </c>
      <c r="BD109" s="12" t="inlineStr">
        <is>
          <t>2025-12-31</t>
        </is>
      </c>
      <c r="BE109" s="12" t="inlineStr">
        <is>
          <t>providers=world_bank; fields=hospitality_belonging_raw, tolerance_pluralism_raw, cultural_public_life_raw, birth_rate_optimism_raw</t>
        </is>
      </c>
      <c r="BF109" s="12" t="inlineStr">
        <is>
          <t>https://api.worldbank.org/v2/country/NZL/indicator/IC.BUS.NDNS.ZS?format=json&amp;mrv=10 | https://api.worldbank.org/v2/country/NZL/indicator/GB.XPD.RSDV.GD.ZS?format=json&amp;mrv=10 | https://api.worldbank.org/v2/country/NZL/indicator/BX.KLT.DINV.WD.GD.ZS?format=json&amp;mrv=10 | +3 more</t>
        </is>
      </c>
      <c r="BG109" s="12" t="inlineStr">
        <is>
          <t>Tier 3</t>
        </is>
      </c>
      <c r="BH109" s="12" t="inlineStr">
        <is>
          <t>2024-12-31</t>
        </is>
      </c>
      <c r="BI109" s="12" t="inlineStr">
        <is>
          <t>providers=world_bank; fields=entrepreneurial_dynamism_raw, innovation_research_intensity_raw, investment_signal_raw, administrative_investment_friction_raw; +2 additional fields</t>
        </is>
      </c>
      <c r="BJ109" s="9" t="n">
        <v>1.56</v>
      </c>
    </row>
    <row r="110">
      <c r="A110" s="9" t="inlineStr">
        <is>
          <t>fj-suva</t>
        </is>
      </c>
      <c r="B110" s="9" t="inlineStr">
        <is>
          <t>Suva</t>
        </is>
      </c>
      <c r="C110" s="9" t="inlineStr">
        <is>
          <t>Fiji</t>
        </is>
      </c>
      <c r="D110" s="9" t="inlineStr">
        <is>
          <t>Oceania</t>
        </is>
      </c>
      <c r="E110" s="9" t="inlineStr">
        <is>
          <t>secondary</t>
        </is>
      </c>
      <c r="F110" s="9" t="inlineStr">
        <is>
          <t>locked</t>
        </is>
      </c>
      <c r="G110" s="10" t="n">
        <v>1207.5</v>
      </c>
      <c r="H110" s="10" t="n">
        <v>326.03</v>
      </c>
      <c r="I110" s="10" t="n">
        <v>65.2</v>
      </c>
      <c r="J110" s="10" t="n">
        <v>43.47</v>
      </c>
      <c r="K110" s="10" t="n">
        <v>16.3</v>
      </c>
      <c r="L110" s="10" t="n">
        <v>163.01</v>
      </c>
      <c r="M110" s="11" t="inlineStr"/>
      <c r="N110" s="10" t="n">
        <v>27.0004</v>
      </c>
      <c r="O110" s="10" t="n">
        <v>75.99930000000001</v>
      </c>
      <c r="P110" s="11">
        <f>IF($O110&lt;&gt;"",$O110,$AO110)</f>
        <v/>
      </c>
      <c r="Q110" s="10" t="n">
        <v>37.33</v>
      </c>
      <c r="R110" s="10" t="n">
        <v>8.27</v>
      </c>
      <c r="S110" s="10" t="n">
        <v>2.06</v>
      </c>
      <c r="T110" s="10" t="inlineStr"/>
      <c r="U110" s="10" t="inlineStr"/>
      <c r="V110" s="10" t="n">
        <v>42.11</v>
      </c>
      <c r="W110" s="10" t="n">
        <v>2.53</v>
      </c>
      <c r="X110" s="9" t="inlineStr"/>
      <c r="Y110" s="10" t="n">
        <v>69</v>
      </c>
      <c r="Z110" s="10" t="n">
        <v>75.01000000000001</v>
      </c>
      <c r="AA110" s="10" t="n">
        <v>30.7</v>
      </c>
      <c r="AB110" s="10" t="n">
        <v>46.46</v>
      </c>
      <c r="AC110" s="10" t="n">
        <v>9.09</v>
      </c>
      <c r="AD110" s="10" t="n">
        <v>180.88</v>
      </c>
      <c r="AE110" s="10" t="n">
        <v>2.22</v>
      </c>
      <c r="AF110" s="10" t="inlineStr"/>
      <c r="AG110" s="10" t="n">
        <v>3.41</v>
      </c>
      <c r="AH110" s="10" t="n">
        <v>2.59</v>
      </c>
      <c r="AI110" s="10" t="inlineStr"/>
      <c r="AJ110" s="11">
        <f>IFERROR(INDEX(Country_Context!$B$2:$B$87,MATCH($C110,Country_Context!$A$2:$A$87,0)),"")</f>
        <v/>
      </c>
      <c r="AK110" s="11">
        <f>IFERROR(INDEX(Country_Context!$C$2:$C$87,MATCH($C110,Country_Context!$A$2:$A$87,0)),"")</f>
        <v/>
      </c>
      <c r="AL110" s="11">
        <f>IFERROR(INDEX(Country_Context!$D$2:$D$87,MATCH($C110,Country_Context!$A$2:$A$87,0)),"")</f>
        <v/>
      </c>
      <c r="AM110" s="11">
        <f>IFERROR(INDEX(Country_Context!$E$2:$E$87,MATCH($C110,Country_Context!$A$2:$A$87,0)),"")</f>
        <v/>
      </c>
      <c r="AN110" s="11">
        <f>IFERROR(INDEX(Country_Context!$F$2:$F$87,MATCH($C110,Country_Context!$A$2:$A$87,0)),"")</f>
        <v/>
      </c>
      <c r="AO110" s="11">
        <f>IFERROR(INDEX(Country_Context!$G$2:$G$87,MATCH($C110,Country_Context!$A$2:$A$87,0)),"")</f>
        <v/>
      </c>
      <c r="AP110" s="12" t="inlineStr">
        <is>
          <t>https://api.worldbank.org/v2/country/FJI/indicator/NY.GNP.PCAP.PP.CD?format=json&amp;mrv=10 | https://data.worldbank.org/indicator/NY.GNP.PCAP.PP.CD | https://ilostat.ilo.org/data/indicator/?id=HOW_TEMP_SEX_ECO_NB_A&amp;ref_area=FJI | +4 more</t>
        </is>
      </c>
      <c r="AQ110" s="12" t="inlineStr">
        <is>
          <t>Tier 3, Tier 4</t>
        </is>
      </c>
      <c r="AR110" s="12" t="inlineStr">
        <is>
          <t>2024-12-31</t>
        </is>
      </c>
      <c r="AS110" s="12" t="inlineStr">
        <is>
          <t>providers=world_bank_col_estimate, derived, ilo_ilostat, who_gho; fields=gross_income, rent, utilities, transit_cost; +9 additional fields</t>
        </is>
      </c>
      <c r="AT110" s="12" t="inlineStr">
        <is>
          <t>https://api.worldbank.org/v2/country/FJI/indicator/VC.IHR.PSRC.P5?format=json&amp;mrv=10 | https://api.worldbank.org/v2/country/FJI/indicator/SH.H2O.SMDW.ZS?format=json&amp;mrv=10 | https://api.worldbank.org/v2/country/FJI/indicator/IT.NET.BBND.P2?format=json&amp;mrv=10</t>
        </is>
      </c>
      <c r="AU110" s="12" t="inlineStr">
        <is>
          <t>Tier 3</t>
        </is>
      </c>
      <c r="AV110" s="12" t="inlineStr">
        <is>
          <t>2024-12-31</t>
        </is>
      </c>
      <c r="AW110" s="12" t="inlineStr">
        <is>
          <t>providers=world_bank; fields=personal_safety_raw, water_sanitation_utility_raw, digital_infrastructure_raw</t>
        </is>
      </c>
      <c r="AX110" s="12" t="inlineStr">
        <is>
          <t>https://www.who.int/data/gho/data/indicators/indicator-details/GHO/UHC_INDEX_REPORTED | https://api.worldbank.org/v2/country/FJI/indicator/SE.TER.ENRR?format=json&amp;mrv=10 | https://api.worldbank.org/v2/country/FJI/indicator/SI.POV.GINI?format=json&amp;mrv=10 | +1 more</t>
        </is>
      </c>
      <c r="AY110" s="12" t="inlineStr">
        <is>
          <t>Tier 3</t>
        </is>
      </c>
      <c r="AZ110" s="12" t="inlineStr">
        <is>
          <t>2024-12-31</t>
        </is>
      </c>
      <c r="BA110" s="12" t="inlineStr">
        <is>
          <t>providers=who_gho, world_bank; fields=healthcare_quality_raw, education_quality_raw, equal_opportunity_raw, gini_coefficient</t>
        </is>
      </c>
      <c r="BB110" s="12" t="inlineStr">
        <is>
          <t>https://api.worldbank.org/v2/country/FJI/indicator/SM.POP.NETM?format=json&amp;mrv=10 | https://api.worldbank.org/v2/country/FJI/indicator/SG.GEN.PARL.ZS?format=json&amp;mrv=10 | https://api.worldbank.org/v2/country/FJI/indicator/ST.INT.ARVL?format=json&amp;mrv=10</t>
        </is>
      </c>
      <c r="BC110" s="12" t="inlineStr">
        <is>
          <t>Tier 3</t>
        </is>
      </c>
      <c r="BD110" s="12" t="inlineStr">
        <is>
          <t>2025-12-31</t>
        </is>
      </c>
      <c r="BE110" s="12" t="inlineStr">
        <is>
          <t>providers=world_bank; fields=hospitality_belonging_raw, tolerance_pluralism_raw, cultural_public_life_raw</t>
        </is>
      </c>
      <c r="BF110" s="12" t="inlineStr">
        <is>
          <t>https://api.worldbank.org/v2/country/FJI/indicator/IC.BUS.NDNS.ZS?format=json&amp;mrv=10 | https://api.worldbank.org/v2/country/FJI/indicator/BX.KLT.DINV.WD.GD.ZS?format=json&amp;mrv=10 | https://api.worldbank.org/v2/country/FJI/indicator/RQ.EST?format=json&amp;mrv=10 | +2 more</t>
        </is>
      </c>
      <c r="BG110" s="12" t="inlineStr">
        <is>
          <t>Tier 3</t>
        </is>
      </c>
      <c r="BH110" s="12" t="inlineStr">
        <is>
          <t>2024-12-31</t>
        </is>
      </c>
      <c r="BI110" s="12" t="inlineStr">
        <is>
          <t>providers=world_bank; fields=entrepreneurial_dynamism_raw, investment_signal_raw, administrative_investment_friction_raw, gdp_per_capita_ppp; +1 additional fields</t>
        </is>
      </c>
      <c r="BJ110" s="9" t="inlineStr"/>
    </row>
    <row r="111">
      <c r="A111" s="9" t="inlineStr">
        <is>
          <t>id-surabaya</t>
        </is>
      </c>
      <c r="B111" s="9" t="inlineStr">
        <is>
          <t>Surabaya</t>
        </is>
      </c>
      <c r="C111" s="9" t="inlineStr">
        <is>
          <t>Indonesia</t>
        </is>
      </c>
      <c r="D111" s="9" t="inlineStr">
        <is>
          <t>Southeast Asia</t>
        </is>
      </c>
      <c r="E111" s="9" t="inlineStr">
        <is>
          <t>secondary</t>
        </is>
      </c>
      <c r="F111" s="9" t="inlineStr">
        <is>
          <t>provisional</t>
        </is>
      </c>
      <c r="G111" s="10" t="n">
        <v>1334.17</v>
      </c>
      <c r="H111" s="10" t="n">
        <v>200.13</v>
      </c>
      <c r="I111" s="10" t="n">
        <v>50.03</v>
      </c>
      <c r="J111" s="10" t="n">
        <v>40.03</v>
      </c>
      <c r="K111" s="10" t="n">
        <v>15.01</v>
      </c>
      <c r="L111" s="10" t="n">
        <v>220.14</v>
      </c>
      <c r="M111" s="11" t="inlineStr"/>
      <c r="N111" s="10" t="n">
        <v>15.0003</v>
      </c>
      <c r="O111" s="10" t="n">
        <v>31.7861</v>
      </c>
      <c r="P111" s="11">
        <f>IF($O111&lt;&gt;"",$O111,$AO111)</f>
        <v/>
      </c>
      <c r="Q111" s="10" t="n">
        <v>38.36</v>
      </c>
      <c r="R111" s="10" t="n">
        <v>1.2</v>
      </c>
      <c r="S111" s="10" t="n">
        <v>0.3</v>
      </c>
      <c r="T111" s="10" t="inlineStr"/>
      <c r="U111" s="10" t="inlineStr"/>
      <c r="V111" s="10" t="n">
        <v>30.46</v>
      </c>
      <c r="W111" s="10" t="n">
        <v>4.82</v>
      </c>
      <c r="X111" s="9" t="inlineStr"/>
      <c r="Y111" s="10" t="n">
        <v>67</v>
      </c>
      <c r="Z111" s="10" t="n">
        <v>44.88</v>
      </c>
      <c r="AA111" s="10" t="n">
        <v>34.9</v>
      </c>
      <c r="AB111" s="10" t="n">
        <v>49.86</v>
      </c>
      <c r="AC111" s="10" t="n">
        <v>21.03</v>
      </c>
      <c r="AD111" s="10" t="n">
        <v>14.3</v>
      </c>
      <c r="AE111" s="10" t="n">
        <v>0.33</v>
      </c>
      <c r="AF111" s="10" t="n">
        <v>0.28</v>
      </c>
      <c r="AG111" s="10" t="n">
        <v>1.74</v>
      </c>
      <c r="AH111" s="10" t="n">
        <v>2.2</v>
      </c>
      <c r="AI111" s="10" t="inlineStr"/>
      <c r="AJ111" s="11">
        <f>IFERROR(INDEX(Country_Context!$B$2:$B$87,MATCH($C111,Country_Context!$A$2:$A$87,0)),"")</f>
        <v/>
      </c>
      <c r="AK111" s="11">
        <f>IFERROR(INDEX(Country_Context!$C$2:$C$87,MATCH($C111,Country_Context!$A$2:$A$87,0)),"")</f>
        <v/>
      </c>
      <c r="AL111" s="11">
        <f>IFERROR(INDEX(Country_Context!$D$2:$D$87,MATCH($C111,Country_Context!$A$2:$A$87,0)),"")</f>
        <v/>
      </c>
      <c r="AM111" s="11">
        <f>IFERROR(INDEX(Country_Context!$E$2:$E$87,MATCH($C111,Country_Context!$A$2:$A$87,0)),"")</f>
        <v/>
      </c>
      <c r="AN111" s="11">
        <f>IFERROR(INDEX(Country_Context!$F$2:$F$87,MATCH($C111,Country_Context!$A$2:$A$87,0)),"")</f>
        <v/>
      </c>
      <c r="AO111" s="11">
        <f>IFERROR(INDEX(Country_Context!$G$2:$G$87,MATCH($C111,Country_Context!$A$2:$A$87,0)),"")</f>
        <v/>
      </c>
      <c r="AP111" s="12" t="inlineStr">
        <is>
          <t>https://api.worldbank.org/v2/country/IDN/indicator/NY.GNP.PCAP.PP.CD?format=json&amp;mrv=10 | https://data.worldbank.org/indicator/NY.GNP.PCAP.PP.CD | https://ilostat.ilo.org/data/indicator/?id=HOW_TEMP_SEX_ECO_NB_A&amp;ref_area=IDN | +4 more</t>
        </is>
      </c>
      <c r="AQ111" s="12" t="inlineStr">
        <is>
          <t>Tier 3, Tier 4</t>
        </is>
      </c>
      <c r="AR111" s="12" t="inlineStr">
        <is>
          <t>2024-12-31</t>
        </is>
      </c>
      <c r="AS111" s="12" t="inlineStr">
        <is>
          <t>providers=world_bank_col_estimate, derived, ilo_ilostat, who_gho; fields=gross_income, rent, utilities, transit_cost; +9 additional fields</t>
        </is>
      </c>
      <c r="AT111" s="12" t="inlineStr">
        <is>
          <t>https://api.worldbank.org/v2/country/IDN/indicator/VC.IHR.PSRC.P5?format=json&amp;mrv=10 | https://api.worldbank.org/v2/country/IDN/indicator/SH.H2O.SMDW.ZS?format=json&amp;mrv=10 | https://api.worldbank.org/v2/country/IDN/indicator/IT.NET.BBND.P2?format=json&amp;mrv=10</t>
        </is>
      </c>
      <c r="AU111" s="12" t="inlineStr">
        <is>
          <t>Tier 3</t>
        </is>
      </c>
      <c r="AV111" s="12" t="inlineStr">
        <is>
          <t>2024-12-31</t>
        </is>
      </c>
      <c r="AW111" s="12" t="inlineStr">
        <is>
          <t>providers=world_bank; fields=personal_safety_raw, water_sanitation_utility_raw, digital_infrastructure_raw</t>
        </is>
      </c>
      <c r="AX111" s="12" t="inlineStr">
        <is>
          <t>https://www.who.int/data/gho/data/indicators/indicator-details/GHO/UHC_INDEX_REPORTED | https://api.worldbank.org/v2/country/IDN/indicator/SE.TER.ENRR?format=json&amp;mrv=10 | https://api.worldbank.org/v2/country/IDN/indicator/SI.POV.GINI?format=json&amp;mrv=10 | +1 more</t>
        </is>
      </c>
      <c r="AY111" s="12" t="inlineStr">
        <is>
          <t>Tier 3</t>
        </is>
      </c>
      <c r="AZ111" s="12" t="inlineStr">
        <is>
          <t>2024-12-31</t>
        </is>
      </c>
      <c r="BA111" s="12" t="inlineStr">
        <is>
          <t>providers=who_gho, world_bank; fields=healthcare_quality_raw, education_quality_raw, equal_opportunity_raw, gini_coefficient</t>
        </is>
      </c>
      <c r="BB111" s="12" t="inlineStr">
        <is>
          <t>https://api.worldbank.org/v2/country/IDN/indicator/SM.POP.NETM?format=json&amp;mrv=10 | https://api.worldbank.org/v2/country/IDN/indicator/SG.GEN.PARL.ZS?format=json&amp;mrv=10 | https://api.worldbank.org/v2/country/IDN/indicator/ST.INT.ARVL?format=json&amp;mrv=10</t>
        </is>
      </c>
      <c r="BC111" s="12" t="inlineStr">
        <is>
          <t>Tier 3</t>
        </is>
      </c>
      <c r="BD111" s="12" t="inlineStr">
        <is>
          <t>2025-12-31</t>
        </is>
      </c>
      <c r="BE111" s="12" t="inlineStr">
        <is>
          <t>providers=world_bank; fields=hospitality_belonging_raw, tolerance_pluralism_raw, cultural_public_life_raw</t>
        </is>
      </c>
      <c r="BF111" s="12" t="inlineStr">
        <is>
          <t>https://api.worldbank.org/v2/country/IDN/indicator/IC.BUS.NDNS.ZS?format=json&amp;mrv=10 | https://api.worldbank.org/v2/country/IDN/indicator/GB.XPD.RSDV.GD.ZS?format=json&amp;mrv=10 | https://api.worldbank.org/v2/country/IDN/indicator/BX.KLT.DINV.WD.GD.ZS?format=json&amp;mrv=10 | +3 more</t>
        </is>
      </c>
      <c r="BG111" s="12" t="inlineStr">
        <is>
          <t>Tier 3</t>
        </is>
      </c>
      <c r="BH111" s="12" t="inlineStr">
        <is>
          <t>2024-12-31</t>
        </is>
      </c>
      <c r="BI111" s="12" t="inlineStr">
        <is>
          <t>providers=world_bank; fields=entrepreneurial_dynamism_raw, innovation_research_intensity_raw, investment_signal_raw, administrative_investment_friction_raw; +2 additional fields</t>
        </is>
      </c>
      <c r="BJ111" s="9" t="inlineStr"/>
    </row>
    <row r="112">
      <c r="A112" s="9" t="inlineStr">
        <is>
          <t>ph-cebu-city</t>
        </is>
      </c>
      <c r="B112" s="9" t="inlineStr">
        <is>
          <t>Cebu City</t>
        </is>
      </c>
      <c r="C112" s="9" t="inlineStr">
        <is>
          <t>Philippines</t>
        </is>
      </c>
      <c r="D112" s="9" t="inlineStr">
        <is>
          <t>Southeast Asia</t>
        </is>
      </c>
      <c r="E112" s="9" t="inlineStr">
        <is>
          <t>secondary</t>
        </is>
      </c>
      <c r="F112" s="9" t="inlineStr">
        <is>
          <t>provisional</t>
        </is>
      </c>
      <c r="G112" s="10" t="n">
        <v>1110.83</v>
      </c>
      <c r="H112" s="10" t="n">
        <v>177.73</v>
      </c>
      <c r="I112" s="10" t="n">
        <v>44.43</v>
      </c>
      <c r="J112" s="10" t="n">
        <v>35.55</v>
      </c>
      <c r="K112" s="10" t="n">
        <v>13.33</v>
      </c>
      <c r="L112" s="10" t="n">
        <v>195.51</v>
      </c>
      <c r="M112" s="11" t="inlineStr"/>
      <c r="N112" s="10" t="n">
        <v>15.9997</v>
      </c>
      <c r="O112" s="10" t="n">
        <v>49.8137</v>
      </c>
      <c r="P112" s="11">
        <f>IF($O112&lt;&gt;"",$O112,$AO112)</f>
        <v/>
      </c>
      <c r="Q112" s="10" t="n">
        <v>39.99</v>
      </c>
      <c r="R112" s="10" t="n">
        <v>3.49</v>
      </c>
      <c r="S112" s="10" t="n">
        <v>4.35</v>
      </c>
      <c r="T112" s="10" t="inlineStr"/>
      <c r="U112" s="10" t="inlineStr"/>
      <c r="V112" s="10" t="n">
        <v>48.48</v>
      </c>
      <c r="W112" s="10" t="n">
        <v>6.54</v>
      </c>
      <c r="X112" s="9" t="inlineStr"/>
      <c r="Y112" s="10" t="n">
        <v>69</v>
      </c>
      <c r="Z112" s="10" t="n">
        <v>47.41</v>
      </c>
      <c r="AA112" s="10" t="n">
        <v>39.3</v>
      </c>
      <c r="AB112" s="10" t="n">
        <v>48.71</v>
      </c>
      <c r="AC112" s="10" t="n">
        <v>27.33</v>
      </c>
      <c r="AD112" s="10" t="n">
        <v>12.8</v>
      </c>
      <c r="AE112" s="10" t="n">
        <v>0.34</v>
      </c>
      <c r="AF112" s="10" t="n">
        <v>0.32</v>
      </c>
      <c r="AG112" s="10" t="n">
        <v>2.04</v>
      </c>
      <c r="AH112" s="10" t="n">
        <v>2.34</v>
      </c>
      <c r="AI112" s="10" t="inlineStr"/>
      <c r="AJ112" s="11">
        <f>IFERROR(INDEX(Country_Context!$B$2:$B$87,MATCH($C112,Country_Context!$A$2:$A$87,0)),"")</f>
        <v/>
      </c>
      <c r="AK112" s="11">
        <f>IFERROR(INDEX(Country_Context!$C$2:$C$87,MATCH($C112,Country_Context!$A$2:$A$87,0)),"")</f>
        <v/>
      </c>
      <c r="AL112" s="11">
        <f>IFERROR(INDEX(Country_Context!$D$2:$D$87,MATCH($C112,Country_Context!$A$2:$A$87,0)),"")</f>
        <v/>
      </c>
      <c r="AM112" s="11">
        <f>IFERROR(INDEX(Country_Context!$E$2:$E$87,MATCH($C112,Country_Context!$A$2:$A$87,0)),"")</f>
        <v/>
      </c>
      <c r="AN112" s="11">
        <f>IFERROR(INDEX(Country_Context!$F$2:$F$87,MATCH($C112,Country_Context!$A$2:$A$87,0)),"")</f>
        <v/>
      </c>
      <c r="AO112" s="11">
        <f>IFERROR(INDEX(Country_Context!$G$2:$G$87,MATCH($C112,Country_Context!$A$2:$A$87,0)),"")</f>
        <v/>
      </c>
      <c r="AP112" s="12" t="inlineStr">
        <is>
          <t>https://api.worldbank.org/v2/country/PHL/indicator/NY.GNP.PCAP.PP.CD?format=json&amp;mrv=10 | https://data.worldbank.org/indicator/NY.GNP.PCAP.PP.CD | https://ilostat.ilo.org/data/indicator/?id=HOW_TEMP_SEX_ECO_NB_A&amp;ref_area=PHL | +4 more</t>
        </is>
      </c>
      <c r="AQ112" s="12" t="inlineStr">
        <is>
          <t>Tier 3, Tier 4</t>
        </is>
      </c>
      <c r="AR112" s="12" t="inlineStr">
        <is>
          <t>2024-12-31</t>
        </is>
      </c>
      <c r="AS112" s="12" t="inlineStr">
        <is>
          <t>providers=world_bank_col_estimate, derived, ilo_ilostat, who_gho; fields=gross_income, rent, utilities, transit_cost; +9 additional fields</t>
        </is>
      </c>
      <c r="AT112" s="12" t="inlineStr">
        <is>
          <t>https://api.worldbank.org/v2/country/PHL/indicator/VC.IHR.PSRC.P5?format=json&amp;mrv=10 | https://api.worldbank.org/v2/country/PHL/indicator/SH.H2O.SMDW.ZS?format=json&amp;mrv=10 | https://api.worldbank.org/v2/country/PHL/indicator/IT.NET.BBND.P2?format=json&amp;mrv=10</t>
        </is>
      </c>
      <c r="AU112" s="12" t="inlineStr">
        <is>
          <t>Tier 3</t>
        </is>
      </c>
      <c r="AV112" s="12" t="inlineStr">
        <is>
          <t>2024-12-31</t>
        </is>
      </c>
      <c r="AW112" s="12" t="inlineStr">
        <is>
          <t>providers=world_bank; fields=personal_safety_raw, water_sanitation_utility_raw, digital_infrastructure_raw</t>
        </is>
      </c>
      <c r="AX112" s="12" t="inlineStr">
        <is>
          <t>https://www.who.int/data/gho/data/indicators/indicator-details/GHO/UHC_INDEX_REPORTED | https://api.worldbank.org/v2/country/PHL/indicator/SE.TER.ENRR?format=json&amp;mrv=10 | https://api.worldbank.org/v2/country/PHL/indicator/SI.POV.GINI?format=json&amp;mrv=10 | +1 more</t>
        </is>
      </c>
      <c r="AY112" s="12" t="inlineStr">
        <is>
          <t>Tier 3</t>
        </is>
      </c>
      <c r="AZ112" s="12" t="inlineStr">
        <is>
          <t>2024-12-31</t>
        </is>
      </c>
      <c r="BA112" s="12" t="inlineStr">
        <is>
          <t>providers=who_gho, world_bank; fields=healthcare_quality_raw, education_quality_raw, equal_opportunity_raw, gini_coefficient</t>
        </is>
      </c>
      <c r="BB112" s="12" t="inlineStr">
        <is>
          <t>https://api.worldbank.org/v2/country/PHL/indicator/SM.POP.NETM?format=json&amp;mrv=10 | https://api.worldbank.org/v2/country/PHL/indicator/SG.GEN.PARL.ZS?format=json&amp;mrv=10 | https://api.worldbank.org/v2/country/PHL/indicator/ST.INT.ARVL?format=json&amp;mrv=10</t>
        </is>
      </c>
      <c r="BC112" s="12" t="inlineStr">
        <is>
          <t>Tier 3</t>
        </is>
      </c>
      <c r="BD112" s="12" t="inlineStr">
        <is>
          <t>2025-12-31</t>
        </is>
      </c>
      <c r="BE112" s="12" t="inlineStr">
        <is>
          <t>providers=world_bank; fields=hospitality_belonging_raw, tolerance_pluralism_raw, cultural_public_life_raw</t>
        </is>
      </c>
      <c r="BF112" s="12" t="inlineStr">
        <is>
          <t>https://api.worldbank.org/v2/country/PHL/indicator/IC.BUS.NDNS.ZS?format=json&amp;mrv=10 | https://api.worldbank.org/v2/country/PHL/indicator/GB.XPD.RSDV.GD.ZS?format=json&amp;mrv=10 | https://api.worldbank.org/v2/country/PHL/indicator/BX.KLT.DINV.WD.GD.ZS?format=json&amp;mrv=10 | +3 more</t>
        </is>
      </c>
      <c r="BG112" s="12" t="inlineStr">
        <is>
          <t>Tier 3</t>
        </is>
      </c>
      <c r="BH112" s="12" t="inlineStr">
        <is>
          <t>2024-12-31</t>
        </is>
      </c>
      <c r="BI112" s="12" t="inlineStr">
        <is>
          <t>providers=world_bank; fields=entrepreneurial_dynamism_raw, innovation_research_intensity_raw, investment_signal_raw, administrative_investment_friction_raw; +2 additional fields</t>
        </is>
      </c>
      <c r="BJ112" s="9" t="inlineStr"/>
    </row>
    <row r="113">
      <c r="A113" s="9" t="inlineStr">
        <is>
          <t>vn-da-nang</t>
        </is>
      </c>
      <c r="B113" s="9" t="inlineStr">
        <is>
          <t>Da Nang</t>
        </is>
      </c>
      <c r="C113" s="9" t="inlineStr">
        <is>
          <t>Vietnam</t>
        </is>
      </c>
      <c r="D113" s="9" t="inlineStr">
        <is>
          <t>Southeast Asia</t>
        </is>
      </c>
      <c r="E113" s="9" t="inlineStr">
        <is>
          <t>secondary</t>
        </is>
      </c>
      <c r="F113" s="9" t="inlineStr">
        <is>
          <t>provisional</t>
        </is>
      </c>
      <c r="G113" s="10" t="n">
        <v>1320.83</v>
      </c>
      <c r="H113" s="10" t="n">
        <v>198.12</v>
      </c>
      <c r="I113" s="10" t="n">
        <v>49.53</v>
      </c>
      <c r="J113" s="10" t="n">
        <v>39.62</v>
      </c>
      <c r="K113" s="10" t="n">
        <v>14.86</v>
      </c>
      <c r="L113" s="10" t="n">
        <v>217.94</v>
      </c>
      <c r="M113" s="11" t="inlineStr"/>
      <c r="N113" s="10" t="n">
        <v>14.9997</v>
      </c>
      <c r="O113" s="10" t="inlineStr"/>
      <c r="P113" s="11">
        <f>IF($O113&lt;&gt;"",$O113,$AO113)</f>
        <v/>
      </c>
      <c r="Q113" s="10" t="inlineStr"/>
      <c r="R113" s="10" t="n">
        <v>7.3</v>
      </c>
      <c r="S113" s="10" t="inlineStr"/>
      <c r="T113" s="10" t="inlineStr"/>
      <c r="U113" s="10" t="inlineStr"/>
      <c r="V113" s="10" t="inlineStr"/>
      <c r="W113" s="10" t="inlineStr"/>
      <c r="X113" s="9" t="inlineStr"/>
      <c r="Y113" s="10" t="n">
        <v>71</v>
      </c>
      <c r="Z113" s="10" t="inlineStr"/>
      <c r="AA113" s="10" t="n">
        <v>36.1</v>
      </c>
      <c r="AB113" s="10" t="inlineStr"/>
      <c r="AC113" s="10" t="inlineStr"/>
      <c r="AD113" s="10" t="inlineStr"/>
      <c r="AE113" s="10" t="n">
        <v>1.82</v>
      </c>
      <c r="AF113" s="10" t="n">
        <v>0.42</v>
      </c>
      <c r="AG113" s="10" t="n">
        <v>4.23</v>
      </c>
      <c r="AH113" s="10" t="n">
        <v>2.88</v>
      </c>
      <c r="AI113" s="10" t="inlineStr"/>
      <c r="AJ113" s="11">
        <f>IFERROR(INDEX(Country_Context!$B$2:$B$87,MATCH($C113,Country_Context!$A$2:$A$87,0)),"")</f>
        <v/>
      </c>
      <c r="AK113" s="11">
        <f>IFERROR(INDEX(Country_Context!$C$2:$C$87,MATCH($C113,Country_Context!$A$2:$A$87,0)),"")</f>
        <v/>
      </c>
      <c r="AL113" s="11">
        <f>IFERROR(INDEX(Country_Context!$D$2:$D$87,MATCH($C113,Country_Context!$A$2:$A$87,0)),"")</f>
        <v/>
      </c>
      <c r="AM113" s="11">
        <f>IFERROR(INDEX(Country_Context!$E$2:$E$87,MATCH($C113,Country_Context!$A$2:$A$87,0)),"")</f>
        <v/>
      </c>
      <c r="AN113" s="11">
        <f>IFERROR(INDEX(Country_Context!$F$2:$F$87,MATCH($C113,Country_Context!$A$2:$A$87,0)),"")</f>
        <v/>
      </c>
      <c r="AO113" s="11">
        <f>IFERROR(INDEX(Country_Context!$G$2:$G$87,MATCH($C113,Country_Context!$A$2:$A$87,0)),"")</f>
        <v/>
      </c>
      <c r="AP113" s="12" t="inlineStr">
        <is>
          <t>https://api.worldbank.org/v2/country/VNM/indicator/NY.GNP.PCAP.PP.CD?format=json&amp;mrv=10 | https://data.worldbank.org/indicator/NY.GNP.PCAP.PP.CD | https://www.who.int/data/gho/data/indicators/indicator-details/GHO/SDGSUICIDE</t>
        </is>
      </c>
      <c r="AQ113" s="12" t="inlineStr">
        <is>
          <t>Tier 3, Tier 4</t>
        </is>
      </c>
      <c r="AR113" s="12" t="inlineStr">
        <is>
          <t>2024-12-31</t>
        </is>
      </c>
      <c r="AS113" s="12" t="inlineStr">
        <is>
          <t>providers=world_bank_col_estimate, derived, who_gho; fields=gross_income, rent, utilities, transit_cost; +4 additional fields</t>
        </is>
      </c>
      <c r="AT113" s="12" t="inlineStr"/>
      <c r="AU113" s="12" t="inlineStr"/>
      <c r="AV113" s="12" t="inlineStr"/>
      <c r="AW113" s="12" t="inlineStr"/>
      <c r="AX113" s="12" t="inlineStr">
        <is>
          <t>https://www.who.int/data/gho/data/indicators/indicator-details/GHO/UHC_INDEX_REPORTED | https://api.worldbank.org/v2/country/VNM/indicator/SI.POV.GINI?format=json&amp;mrv=10</t>
        </is>
      </c>
      <c r="AY113" s="12" t="inlineStr">
        <is>
          <t>Tier 3</t>
        </is>
      </c>
      <c r="AZ113" s="12" t="inlineStr">
        <is>
          <t>2023-12-31</t>
        </is>
      </c>
      <c r="BA113" s="12" t="inlineStr">
        <is>
          <t>providers=who_gho, world_bank; fields=healthcare_quality_raw, equal_opportunity_raw</t>
        </is>
      </c>
      <c r="BB113" s="12" t="inlineStr">
        <is>
          <t>https://data.worldbank.org/indicator/SP.DYN.TFRT.IN</t>
        </is>
      </c>
      <c r="BC113" s="12" t="inlineStr">
        <is>
          <t>Tier 3</t>
        </is>
      </c>
      <c r="BD113" s="12" t="inlineStr">
        <is>
          <t>2024-01-01</t>
        </is>
      </c>
      <c r="BE113" s="12" t="inlineStr">
        <is>
          <t>providers=world_bank; fields=birth_rate_optimism_raw</t>
        </is>
      </c>
      <c r="BF113" s="12" t="inlineStr">
        <is>
          <t>https://api.worldbank.org/v2/country/VNM/indicator/IC.BUS.NDNS.ZS?format=json&amp;mrv=10 | https://api.worldbank.org/v2/country/VNM/indicator/GB.XPD.RSDV.GD.ZS?format=json&amp;mrv=10 | https://api.worldbank.org/v2/country/VNM/indicator/BX.KLT.DINV.WD.GD.ZS?format=json&amp;mrv=10 | +1 more</t>
        </is>
      </c>
      <c r="BG113" s="12" t="inlineStr">
        <is>
          <t>Tier 3</t>
        </is>
      </c>
      <c r="BH113" s="12" t="inlineStr">
        <is>
          <t>2024-12-31</t>
        </is>
      </c>
      <c r="BI113" s="12" t="inlineStr">
        <is>
          <t>providers=world_bank; fields=entrepreneurial_dynamism_raw, innovation_research_intensity_raw, investment_signal_raw, administrative_investment_friction_raw</t>
        </is>
      </c>
      <c r="BJ113" s="9" t="n">
        <v>1.94</v>
      </c>
    </row>
    <row r="114">
      <c r="A114" s="9" t="inlineStr">
        <is>
          <t>kh-phnom-penh</t>
        </is>
      </c>
      <c r="B114" s="9" t="inlineStr">
        <is>
          <t>Phnom Penh</t>
        </is>
      </c>
      <c r="C114" s="9" t="inlineStr">
        <is>
          <t>Cambodia</t>
        </is>
      </c>
      <c r="D114" s="9" t="inlineStr">
        <is>
          <t>Southeast Asia</t>
        </is>
      </c>
      <c r="E114" s="9" t="inlineStr">
        <is>
          <t>primary</t>
        </is>
      </c>
      <c r="F114" s="9" t="inlineStr">
        <is>
          <t>provisional</t>
        </is>
      </c>
      <c r="G114" s="10" t="n">
        <v>659.17</v>
      </c>
      <c r="H114" s="10" t="n">
        <v>118.65</v>
      </c>
      <c r="I114" s="10" t="n">
        <v>29.66</v>
      </c>
      <c r="J114" s="10" t="n">
        <v>23.73</v>
      </c>
      <c r="K114" s="10" t="n">
        <v>8.9</v>
      </c>
      <c r="L114" s="10" t="n">
        <v>130.52</v>
      </c>
      <c r="M114" s="11" t="inlineStr"/>
      <c r="N114" s="10" t="n">
        <v>17.9999</v>
      </c>
      <c r="O114" s="10" t="inlineStr"/>
      <c r="P114" s="11">
        <f>IF($O114&lt;&gt;"",$O114,$AO114)</f>
        <v/>
      </c>
      <c r="Q114" s="10" t="inlineStr"/>
      <c r="R114" s="10" t="n">
        <v>4.5</v>
      </c>
      <c r="S114" s="10" t="inlineStr"/>
      <c r="T114" s="10" t="inlineStr"/>
      <c r="U114" s="10" t="inlineStr"/>
      <c r="V114" s="10" t="inlineStr"/>
      <c r="W114" s="10" t="inlineStr"/>
      <c r="X114" s="9" t="inlineStr"/>
      <c r="Y114" s="10" t="n">
        <v>62</v>
      </c>
      <c r="Z114" s="10" t="inlineStr"/>
      <c r="AA114" s="10" t="inlineStr"/>
      <c r="AB114" s="10" t="inlineStr"/>
      <c r="AC114" s="10" t="inlineStr"/>
      <c r="AD114" s="10" t="inlineStr"/>
      <c r="AE114" s="10" t="n">
        <v>0.55</v>
      </c>
      <c r="AF114" s="10" t="inlineStr"/>
      <c r="AG114" s="10" t="n">
        <v>9.48</v>
      </c>
      <c r="AH114" s="10" t="n">
        <v>3.18</v>
      </c>
      <c r="AI114" s="10" t="inlineStr"/>
      <c r="AJ114" s="11">
        <f>IFERROR(INDEX(Country_Context!$B$2:$B$87,MATCH($C114,Country_Context!$A$2:$A$87,0)),"")</f>
        <v/>
      </c>
      <c r="AK114" s="11">
        <f>IFERROR(INDEX(Country_Context!$C$2:$C$87,MATCH($C114,Country_Context!$A$2:$A$87,0)),"")</f>
        <v/>
      </c>
      <c r="AL114" s="11">
        <f>IFERROR(INDEX(Country_Context!$D$2:$D$87,MATCH($C114,Country_Context!$A$2:$A$87,0)),"")</f>
        <v/>
      </c>
      <c r="AM114" s="11">
        <f>IFERROR(INDEX(Country_Context!$E$2:$E$87,MATCH($C114,Country_Context!$A$2:$A$87,0)),"")</f>
        <v/>
      </c>
      <c r="AN114" s="11">
        <f>IFERROR(INDEX(Country_Context!$F$2:$F$87,MATCH($C114,Country_Context!$A$2:$A$87,0)),"")</f>
        <v/>
      </c>
      <c r="AO114" s="11">
        <f>IFERROR(INDEX(Country_Context!$G$2:$G$87,MATCH($C114,Country_Context!$A$2:$A$87,0)),"")</f>
        <v/>
      </c>
      <c r="AP114" s="12" t="inlineStr">
        <is>
          <t>https://api.worldbank.org/v2/country/KHM/indicator/NY.GNP.PCAP.PP.CD?format=json&amp;mrv=10 | https://data.worldbank.org/indicator/NY.GNP.PCAP.PP.CD | https://www.who.int/data/gho/data/indicators/indicator-details/GHO/SDGSUICIDE</t>
        </is>
      </c>
      <c r="AQ114" s="12" t="inlineStr">
        <is>
          <t>Tier 3, Tier 4</t>
        </is>
      </c>
      <c r="AR114" s="12" t="inlineStr">
        <is>
          <t>2024-12-31</t>
        </is>
      </c>
      <c r="AS114" s="12" t="inlineStr">
        <is>
          <t>providers=world_bank_col_estimate, derived, who_gho; fields=gross_income, rent, utilities, transit_cost; +4 additional fields</t>
        </is>
      </c>
      <c r="AT114" s="12" t="inlineStr"/>
      <c r="AU114" s="12" t="inlineStr"/>
      <c r="AV114" s="12" t="inlineStr"/>
      <c r="AW114" s="12" t="inlineStr"/>
      <c r="AX114" s="12" t="inlineStr">
        <is>
          <t>https://www.who.int/data/gho/data/indicators/indicator-details/GHO/UHC_INDEX_REPORTED</t>
        </is>
      </c>
      <c r="AY114" s="12" t="inlineStr">
        <is>
          <t>Tier 3</t>
        </is>
      </c>
      <c r="AZ114" s="12" t="inlineStr">
        <is>
          <t>2023-12-31</t>
        </is>
      </c>
      <c r="BA114" s="12" t="inlineStr">
        <is>
          <t>providers=who_gho; fields=healthcare_quality_raw</t>
        </is>
      </c>
      <c r="BB114" s="12" t="inlineStr"/>
      <c r="BC114" s="12" t="inlineStr"/>
      <c r="BD114" s="12" t="inlineStr"/>
      <c r="BE114" s="12" t="inlineStr"/>
      <c r="BF114" s="12" t="inlineStr">
        <is>
          <t>https://api.worldbank.org/v2/country/KHM/indicator/IC.BUS.NDNS.ZS?format=json&amp;mrv=10 | https://api.worldbank.org/v2/country/KHM/indicator/BX.KLT.DINV.WD.GD.ZS?format=json&amp;mrv=10 | https://api.worldbank.org/v2/country/KHM/indicator/RQ.EST?format=json&amp;mrv=10</t>
        </is>
      </c>
      <c r="BG114" s="12" t="inlineStr">
        <is>
          <t>Tier 3</t>
        </is>
      </c>
      <c r="BH114" s="12" t="inlineStr">
        <is>
          <t>2024-12-31</t>
        </is>
      </c>
      <c r="BI114" s="12" t="inlineStr">
        <is>
          <t>providers=world_bank; fields=entrepreneurial_dynamism_raw, investment_signal_raw, administrative_investment_friction_raw</t>
        </is>
      </c>
      <c r="BJ114" s="9" t="inlineStr"/>
    </row>
    <row r="115">
      <c r="A115" s="9" t="inlineStr">
        <is>
          <t>tw-taichung</t>
        </is>
      </c>
      <c r="B115" s="9" t="inlineStr">
        <is>
          <t>Taichung</t>
        </is>
      </c>
      <c r="C115" s="9" t="inlineStr">
        <is>
          <t>Taiwan</t>
        </is>
      </c>
      <c r="D115" s="9" t="inlineStr">
        <is>
          <t>East Asia</t>
        </is>
      </c>
      <c r="E115" s="9" t="inlineStr">
        <is>
          <t>primary</t>
        </is>
      </c>
      <c r="F115" s="9" t="inlineStr">
        <is>
          <t>provisional</t>
        </is>
      </c>
      <c r="G115" s="10" t="n">
        <v>5416.67</v>
      </c>
      <c r="H115" s="10" t="n">
        <v>1218.75</v>
      </c>
      <c r="I115" s="10" t="n">
        <v>292.5</v>
      </c>
      <c r="J115" s="10" t="n">
        <v>195</v>
      </c>
      <c r="K115" s="10" t="n">
        <v>73.13</v>
      </c>
      <c r="L115" s="10" t="n">
        <v>975</v>
      </c>
      <c r="M115" s="11" t="inlineStr"/>
      <c r="N115" s="10" t="n">
        <v>22.5</v>
      </c>
      <c r="O115" s="10" t="inlineStr"/>
      <c r="P115" s="11">
        <f>IF($O115&lt;&gt;"",$O115,$AO115)</f>
        <v/>
      </c>
      <c r="Q115" s="10" t="inlineStr"/>
      <c r="R115" s="10" t="inlineStr"/>
      <c r="S115" s="10" t="inlineStr"/>
      <c r="T115" s="10" t="inlineStr"/>
      <c r="U115" s="10" t="inlineStr"/>
      <c r="V115" s="10" t="inlineStr"/>
      <c r="W115" s="10" t="inlineStr"/>
      <c r="X115" s="9" t="inlineStr"/>
      <c r="Y115" s="10" t="inlineStr"/>
      <c r="Z115" s="10" t="inlineStr"/>
      <c r="AA115" s="10" t="inlineStr"/>
      <c r="AB115" s="10" t="inlineStr"/>
      <c r="AC115" s="10" t="inlineStr"/>
      <c r="AD115" s="10" t="inlineStr"/>
      <c r="AE115" s="10" t="inlineStr"/>
      <c r="AF115" s="10" t="inlineStr"/>
      <c r="AG115" s="10" t="inlineStr"/>
      <c r="AH115" s="10" t="n">
        <v>1.3</v>
      </c>
      <c r="AI115" s="10" t="inlineStr"/>
      <c r="AJ115" s="11">
        <f>IFERROR(INDEX(Country_Context!$B$2:$B$87,MATCH($C115,Country_Context!$A$2:$A$87,0)),"")</f>
        <v/>
      </c>
      <c r="AK115" s="11">
        <f>IFERROR(INDEX(Country_Context!$C$2:$C$87,MATCH($C115,Country_Context!$A$2:$A$87,0)),"")</f>
        <v/>
      </c>
      <c r="AL115" s="11">
        <f>IFERROR(INDEX(Country_Context!$D$2:$D$87,MATCH($C115,Country_Context!$A$2:$A$87,0)),"")</f>
        <v/>
      </c>
      <c r="AM115" s="11">
        <f>IFERROR(INDEX(Country_Context!$E$2:$E$87,MATCH($C115,Country_Context!$A$2:$A$87,0)),"")</f>
        <v/>
      </c>
      <c r="AN115" s="11">
        <f>IFERROR(INDEX(Country_Context!$F$2:$F$87,MATCH($C115,Country_Context!$A$2:$A$87,0)),"")</f>
        <v/>
      </c>
      <c r="AO115" s="11">
        <f>IFERROR(INDEX(Country_Context!$G$2:$G$87,MATCH($C115,Country_Context!$A$2:$A$87,0)),"")</f>
        <v/>
      </c>
      <c r="AP115" s="12" t="inlineStr">
        <is>
          <t>https://data.worldbank.org/indicator/NY.GNP.PCAP.PP.CD</t>
        </is>
      </c>
      <c r="AQ115" s="12" t="inlineStr">
        <is>
          <t>Tier 4</t>
        </is>
      </c>
      <c r="AR115" s="12" t="inlineStr">
        <is>
          <t>2024-01-01</t>
        </is>
      </c>
      <c r="AS115" s="12" t="inlineStr">
        <is>
          <t>providers=world_bank_col_estimate, derived; fields=gross_income, rent, utilities, transit_cost; +3 additional fields</t>
        </is>
      </c>
      <c r="AT115" s="12" t="inlineStr"/>
      <c r="AU115" s="12" t="inlineStr"/>
      <c r="AV115" s="12" t="inlineStr"/>
      <c r="AW115" s="12" t="inlineStr"/>
      <c r="AX115" s="12" t="inlineStr"/>
      <c r="AY115" s="12" t="inlineStr"/>
      <c r="AZ115" s="12" t="inlineStr"/>
      <c r="BA115" s="12" t="inlineStr"/>
      <c r="BB115" s="12" t="inlineStr">
        <is>
          <t>https://data.worldbank.org/indicator/SP.DYN.TFRT.IN</t>
        </is>
      </c>
      <c r="BC115" s="12" t="inlineStr">
        <is>
          <t>Tier 3</t>
        </is>
      </c>
      <c r="BD115" s="12" t="inlineStr">
        <is>
          <t>2024-01-01</t>
        </is>
      </c>
      <c r="BE115" s="12" t="inlineStr">
        <is>
          <t>providers=world_bank; fields=birth_rate_optimism_raw</t>
        </is>
      </c>
      <c r="BF115" s="12" t="inlineStr">
        <is>
          <t>https://eng.dgbas.gov.tw/</t>
        </is>
      </c>
      <c r="BG115" s="12" t="inlineStr">
        <is>
          <t>Tier 3</t>
        </is>
      </c>
      <c r="BH115" s="12" t="inlineStr">
        <is>
          <t>2023-12-31</t>
        </is>
      </c>
      <c r="BI115" s="12" t="inlineStr">
        <is>
          <t>providers=taiwan_dgbas; fields=administrative_investment_friction_raw</t>
        </is>
      </c>
      <c r="BJ115" s="9" t="n">
        <v>0.87</v>
      </c>
    </row>
    <row r="116">
      <c r="A116" s="9" t="inlineStr">
        <is>
          <t>tw-kaohsiung</t>
        </is>
      </c>
      <c r="B116" s="9" t="inlineStr">
        <is>
          <t>Kaohsiung</t>
        </is>
      </c>
      <c r="C116" s="9" t="inlineStr">
        <is>
          <t>Taiwan</t>
        </is>
      </c>
      <c r="D116" s="9" t="inlineStr">
        <is>
          <t>East Asia</t>
        </is>
      </c>
      <c r="E116" s="9" t="inlineStr">
        <is>
          <t>primary</t>
        </is>
      </c>
      <c r="F116" s="9" t="inlineStr">
        <is>
          <t>locked</t>
        </is>
      </c>
      <c r="G116" s="10" t="n">
        <v>5416.67</v>
      </c>
      <c r="H116" s="10" t="n">
        <v>1151.04</v>
      </c>
      <c r="I116" s="10" t="n">
        <v>276.25</v>
      </c>
      <c r="J116" s="10" t="n">
        <v>184.17</v>
      </c>
      <c r="K116" s="10" t="n">
        <v>69.06</v>
      </c>
      <c r="L116" s="10" t="n">
        <v>920.83</v>
      </c>
      <c r="M116" s="11" t="inlineStr"/>
      <c r="N116" s="10" t="n">
        <v>21.25</v>
      </c>
      <c r="O116" s="10" t="inlineStr"/>
      <c r="P116" s="11">
        <f>IF($O116&lt;&gt;"",$O116,$AO116)</f>
        <v/>
      </c>
      <c r="Q116" s="10" t="n">
        <v>41.5</v>
      </c>
      <c r="R116" s="10" t="n">
        <v>16</v>
      </c>
      <c r="S116" s="10" t="n">
        <v>0.8</v>
      </c>
      <c r="T116" s="10" t="inlineStr"/>
      <c r="U116" s="10" t="n">
        <v>18</v>
      </c>
      <c r="V116" s="10" t="n">
        <v>98</v>
      </c>
      <c r="W116" s="10" t="n">
        <v>28</v>
      </c>
      <c r="X116" s="9" t="n">
        <v>68</v>
      </c>
      <c r="Y116" s="10" t="n">
        <v>88</v>
      </c>
      <c r="Z116" s="10" t="n">
        <v>90</v>
      </c>
      <c r="AA116" s="10" t="inlineStr"/>
      <c r="AB116" s="10" t="inlineStr"/>
      <c r="AC116" s="10" t="n">
        <v>45</v>
      </c>
      <c r="AD116" s="10" t="n">
        <v>62</v>
      </c>
      <c r="AE116" s="10" t="n">
        <v>7</v>
      </c>
      <c r="AF116" s="10" t="n">
        <v>3.6</v>
      </c>
      <c r="AG116" s="10" t="inlineStr"/>
      <c r="AH116" s="10" t="n">
        <v>9</v>
      </c>
      <c r="AI116" s="10" t="inlineStr"/>
      <c r="AJ116" s="11">
        <f>IFERROR(INDEX(Country_Context!$B$2:$B$87,MATCH($C116,Country_Context!$A$2:$A$87,0)),"")</f>
        <v/>
      </c>
      <c r="AK116" s="11">
        <f>IFERROR(INDEX(Country_Context!$C$2:$C$87,MATCH($C116,Country_Context!$A$2:$A$87,0)),"")</f>
        <v/>
      </c>
      <c r="AL116" s="11">
        <f>IFERROR(INDEX(Country_Context!$D$2:$D$87,MATCH($C116,Country_Context!$A$2:$A$87,0)),"")</f>
        <v/>
      </c>
      <c r="AM116" s="11">
        <f>IFERROR(INDEX(Country_Context!$E$2:$E$87,MATCH($C116,Country_Context!$A$2:$A$87,0)),"")</f>
        <v/>
      </c>
      <c r="AN116" s="11">
        <f>IFERROR(INDEX(Country_Context!$F$2:$F$87,MATCH($C116,Country_Context!$A$2:$A$87,0)),"")</f>
        <v/>
      </c>
      <c r="AO116" s="11">
        <f>IFERROR(INDEX(Country_Context!$G$2:$G$87,MATCH($C116,Country_Context!$A$2:$A$87,0)),"")</f>
        <v/>
      </c>
      <c r="AP116" s="12" t="inlineStr">
        <is>
          <t>https://data.worldbank.org/indicator/NY.GNP.PCAP.PP.CD | https://eng.dgbas.gov.tw | https://dep.mohw.gov.tw</t>
        </is>
      </c>
      <c r="AQ116" s="12" t="inlineStr">
        <is>
          <t>Tier 1, Tier 4</t>
        </is>
      </c>
      <c r="AR116" s="12" t="inlineStr">
        <is>
          <t>2024-01-01</t>
        </is>
      </c>
      <c r="AS116" s="12" t="inlineStr">
        <is>
          <t>providers=world_bank_col_estimate, derived, city_official_portal; fields=gross_income, rent, utilities, transit_cost; +5 additional fields</t>
        </is>
      </c>
      <c r="AT116" s="12" t="inlineStr">
        <is>
          <t>https://eng.dgbas.gov.tw | https://worldweather.wmo.int</t>
        </is>
      </c>
      <c r="AU116" s="12" t="inlineStr">
        <is>
          <t>Tier 1, Tier 3</t>
        </is>
      </c>
      <c r="AV116" s="12" t="inlineStr">
        <is>
          <t>2024-12-31</t>
        </is>
      </c>
      <c r="AW116" s="12" t="inlineStr">
        <is>
          <t>providers=city_official_portal, wmo_natl_met; fields=personal_safety_raw, clean_air_raw, water_sanitation_utility_raw, digital_infrastructure_raw; +1 additional fields</t>
        </is>
      </c>
      <c r="AX116" s="12" t="inlineStr">
        <is>
          <t>https://dep.mohw.gov.tw | https://eng.dgbas.gov.tw</t>
        </is>
      </c>
      <c r="AY116" s="12" t="inlineStr">
        <is>
          <t>Tier 1</t>
        </is>
      </c>
      <c r="AZ116" s="12" t="inlineStr">
        <is>
          <t>2023-12-31</t>
        </is>
      </c>
      <c r="BA116" s="12" t="inlineStr">
        <is>
          <t>providers=city_official_portal; fields=healthcare_quality_raw, education_quality_raw</t>
        </is>
      </c>
      <c r="BB116" s="12" t="inlineStr">
        <is>
          <t>https://api.worldbank.org/v2/country/TWN | https://eng.dgbas.gov.tw | https://data.worldbank.org/indicator/SP.DYN.TFRT.IN</t>
        </is>
      </c>
      <c r="BC116" s="12" t="inlineStr">
        <is>
          <t>Tier 1, Tier 3</t>
        </is>
      </c>
      <c r="BD116" s="12" t="inlineStr">
        <is>
          <t>2024-12-31</t>
        </is>
      </c>
      <c r="BE116" s="12" t="inlineStr">
        <is>
          <t>providers=world_bank, city_official_portal; fields=tolerance_pluralism_raw, cultural_public_life_raw, birth_rate_optimism_raw</t>
        </is>
      </c>
      <c r="BF116" s="12" t="inlineStr">
        <is>
          <t>https://eng.dgbas.gov.tw</t>
        </is>
      </c>
      <c r="BG116" s="12" t="inlineStr">
        <is>
          <t>Tier 1</t>
        </is>
      </c>
      <c r="BH116" s="12" t="inlineStr">
        <is>
          <t>2023-12-31</t>
        </is>
      </c>
      <c r="BI116" s="12" t="inlineStr">
        <is>
          <t>providers=city_official_portal; fields=entrepreneurial_dynamism_raw, innovation_research_intensity_raw, administrative_investment_friction_raw</t>
        </is>
      </c>
      <c r="BJ116" s="9" t="n">
        <v>0.87</v>
      </c>
    </row>
    <row r="117">
      <c r="A117" s="9" t="inlineStr">
        <is>
          <t>kr-incheon</t>
        </is>
      </c>
      <c r="B117" s="9" t="inlineStr">
        <is>
          <t>Incheon</t>
        </is>
      </c>
      <c r="C117" s="9" t="inlineStr">
        <is>
          <t>South Korea</t>
        </is>
      </c>
      <c r="D117" s="9" t="inlineStr">
        <is>
          <t>East Asia</t>
        </is>
      </c>
      <c r="E117" s="9" t="inlineStr">
        <is>
          <t>primary</t>
        </is>
      </c>
      <c r="F117" s="9" t="inlineStr">
        <is>
          <t>provisional</t>
        </is>
      </c>
      <c r="G117" s="10" t="n">
        <v>5160.83</v>
      </c>
      <c r="H117" s="10" t="n">
        <v>1161.19</v>
      </c>
      <c r="I117" s="10" t="n">
        <v>278.68</v>
      </c>
      <c r="J117" s="10" t="n">
        <v>185.79</v>
      </c>
      <c r="K117" s="10" t="n">
        <v>69.67</v>
      </c>
      <c r="L117" s="10" t="n">
        <v>928.95</v>
      </c>
      <c r="M117" s="11" t="inlineStr"/>
      <c r="N117" s="10" t="n">
        <v>22.5001</v>
      </c>
      <c r="O117" s="10" t="n">
        <v>160.3472</v>
      </c>
      <c r="P117" s="11">
        <f>IF($O117&lt;&gt;"",$O117,$AO117)</f>
        <v/>
      </c>
      <c r="Q117" s="10" t="n">
        <v>38.49</v>
      </c>
      <c r="R117" s="10" t="n">
        <v>27.53</v>
      </c>
      <c r="S117" s="10" t="n">
        <v>0.48</v>
      </c>
      <c r="T117" s="10" t="inlineStr"/>
      <c r="U117" s="10" t="inlineStr"/>
      <c r="V117" s="10" t="n">
        <v>99.28</v>
      </c>
      <c r="W117" s="10" t="n">
        <v>46.57</v>
      </c>
      <c r="X117" s="9" t="n">
        <v>57</v>
      </c>
      <c r="Y117" s="10" t="n">
        <v>88</v>
      </c>
      <c r="Z117" s="10" t="n">
        <v>106.71</v>
      </c>
      <c r="AA117" s="10" t="n">
        <v>32.9</v>
      </c>
      <c r="AB117" s="10" t="n">
        <v>51.27</v>
      </c>
      <c r="AC117" s="10" t="n">
        <v>20</v>
      </c>
      <c r="AD117" s="10" t="n">
        <v>48.68</v>
      </c>
      <c r="AE117" s="10" t="n">
        <v>3.09</v>
      </c>
      <c r="AF117" s="10" t="n">
        <v>5.21</v>
      </c>
      <c r="AG117" s="10" t="n">
        <v>0.8100000000000001</v>
      </c>
      <c r="AH117" s="10" t="n">
        <v>1.38</v>
      </c>
      <c r="AI117" s="10" t="inlineStr"/>
      <c r="AJ117" s="11">
        <f>IFERROR(INDEX(Country_Context!$B$2:$B$87,MATCH($C117,Country_Context!$A$2:$A$87,0)),"")</f>
        <v/>
      </c>
      <c r="AK117" s="11">
        <f>IFERROR(INDEX(Country_Context!$C$2:$C$87,MATCH($C117,Country_Context!$A$2:$A$87,0)),"")</f>
        <v/>
      </c>
      <c r="AL117" s="11">
        <f>IFERROR(INDEX(Country_Context!$D$2:$D$87,MATCH($C117,Country_Context!$A$2:$A$87,0)),"")</f>
        <v/>
      </c>
      <c r="AM117" s="11">
        <f>IFERROR(INDEX(Country_Context!$E$2:$E$87,MATCH($C117,Country_Context!$A$2:$A$87,0)),"")</f>
        <v/>
      </c>
      <c r="AN117" s="11">
        <f>IFERROR(INDEX(Country_Context!$F$2:$F$87,MATCH($C117,Country_Context!$A$2:$A$87,0)),"")</f>
        <v/>
      </c>
      <c r="AO117" s="11">
        <f>IFERROR(INDEX(Country_Context!$G$2:$G$87,MATCH($C117,Country_Context!$A$2:$A$87,0)),"")</f>
        <v/>
      </c>
      <c r="AP117" s="12" t="inlineStr">
        <is>
          <t>https://api.worldbank.org/v2/country/KOR/indicator/NY.GNP.PCAP.PP.CD?format=json&amp;mrv=10 | https://data.worldbank.org/indicator/NY.GNP.PCAP.PP.CD | https://ilostat.ilo.org/data/indicator/?id=HOW_TEMP_SEX_ECO_NB_A&amp;ref_area=KOR | +4 more</t>
        </is>
      </c>
      <c r="AQ117" s="12" t="inlineStr">
        <is>
          <t>Tier 3, Tier 4</t>
        </is>
      </c>
      <c r="AR117" s="12" t="inlineStr">
        <is>
          <t>2025-12-31</t>
        </is>
      </c>
      <c r="AS117" s="12" t="inlineStr">
        <is>
          <t>providers=world_bank_col_estimate, derived, ilo_ilostat, who_gho; fields=gross_income, rent, utilities, transit_cost; +9 additional fields</t>
        </is>
      </c>
      <c r="AT117" s="12" t="inlineStr">
        <is>
          <t>https://api.worldbank.org/v2/country/KOR/indicator/VC.IHR.PSRC.P5?format=json&amp;mrv=10 | https://api.worldbank.org/v2/country/KOR/indicator/SH.H2O.SMDW.ZS?format=json&amp;mrv=10 | https://api.worldbank.org/v2/country/KOR/indicator/IT.NET.BBND.P2?format=json&amp;mrv=10 | +1 more</t>
        </is>
      </c>
      <c r="AU117" s="12" t="inlineStr">
        <is>
          <t>Tier 3</t>
        </is>
      </c>
      <c r="AV117" s="12" t="inlineStr">
        <is>
          <t>2024-12-31</t>
        </is>
      </c>
      <c r="AW117" s="12" t="inlineStr">
        <is>
          <t>providers=world_bank, wmo_natl_met; fields=personal_safety_raw, water_sanitation_utility_raw, digital_infrastructure_raw, climate_sunlight_livability_raw</t>
        </is>
      </c>
      <c r="AX117" s="12" t="inlineStr">
        <is>
          <t>https://www.who.int/data/gho/data/indicators/indicator-details/GHO/UHC_INDEX_REPORTED | https://api.worldbank.org/v2/country/KOR/indicator/SE.TER.ENRR?format=json&amp;mrv=10 | https://api.worldbank.org/v2/country/KOR/indicator/SI.POV.GINI?format=json&amp;mrv=10 | +1 more</t>
        </is>
      </c>
      <c r="AY117" s="12" t="inlineStr">
        <is>
          <t>Tier 3</t>
        </is>
      </c>
      <c r="AZ117" s="12" t="inlineStr">
        <is>
          <t>2023-12-31</t>
        </is>
      </c>
      <c r="BA117" s="12" t="inlineStr">
        <is>
          <t>providers=who_gho, world_bank; fields=healthcare_quality_raw, education_quality_raw, equal_opportunity_raw, gini_coefficient</t>
        </is>
      </c>
      <c r="BB117" s="12" t="inlineStr">
        <is>
          <t>https://api.worldbank.org/v2/country/KOR/indicator/SM.POP.NETM?format=json&amp;mrv=10 | https://api.worldbank.org/v2/country/KOR/indicator/SG.GEN.PARL.ZS?format=json&amp;mrv=10 | https://api.worldbank.org/v2/country/KOR/indicator/ST.INT.ARVL?format=json&amp;mrv=10 | +1 more</t>
        </is>
      </c>
      <c r="BC117" s="12" t="inlineStr">
        <is>
          <t>Tier 3</t>
        </is>
      </c>
      <c r="BD117" s="12" t="inlineStr">
        <is>
          <t>2025-12-31</t>
        </is>
      </c>
      <c r="BE117" s="12" t="inlineStr">
        <is>
          <t>providers=world_bank; fields=hospitality_belonging_raw, tolerance_pluralism_raw, cultural_public_life_raw, birth_rate_optimism_raw</t>
        </is>
      </c>
      <c r="BF117" s="12" t="inlineStr">
        <is>
          <t>https://api.worldbank.org/v2/country/KOR/indicator/IC.BUS.NDNS.ZS?format=json&amp;mrv=10 | https://api.worldbank.org/v2/country/KOR/indicator/GB.XPD.RSDV.GD.ZS?format=json&amp;mrv=10 | https://api.worldbank.org/v2/country/KOR/indicator/BX.KLT.DINV.WD.GD.ZS?format=json&amp;mrv=10 | +3 more</t>
        </is>
      </c>
      <c r="BG117" s="12" t="inlineStr">
        <is>
          <t>Tier 3</t>
        </is>
      </c>
      <c r="BH117" s="12" t="inlineStr">
        <is>
          <t>2024-12-31</t>
        </is>
      </c>
      <c r="BI117" s="12" t="inlineStr">
        <is>
          <t>providers=world_bank; fields=entrepreneurial_dynamism_raw, innovation_research_intensity_raw, investment_signal_raw, administrative_investment_friction_raw; +2 additional fields</t>
        </is>
      </c>
      <c r="BJ117" s="9" t="n">
        <v>0.72</v>
      </c>
    </row>
    <row r="118">
      <c r="A118" s="9" t="inlineStr">
        <is>
          <t>cn-guangzhou</t>
        </is>
      </c>
      <c r="B118" s="9" t="inlineStr">
        <is>
          <t>Guangzhou</t>
        </is>
      </c>
      <c r="C118" s="9" t="inlineStr">
        <is>
          <t>China</t>
        </is>
      </c>
      <c r="D118" s="9" t="inlineStr">
        <is>
          <t>East Asia</t>
        </is>
      </c>
      <c r="E118" s="9" t="inlineStr">
        <is>
          <t>primary</t>
        </is>
      </c>
      <c r="F118" s="9" t="inlineStr">
        <is>
          <t>provisional</t>
        </is>
      </c>
      <c r="G118" s="10" t="n">
        <v>2804.17</v>
      </c>
      <c r="H118" s="10" t="n">
        <v>771.15</v>
      </c>
      <c r="I118" s="10" t="n">
        <v>185.08</v>
      </c>
      <c r="J118" s="10" t="n">
        <v>123.38</v>
      </c>
      <c r="K118" s="10" t="n">
        <v>46.27</v>
      </c>
      <c r="L118" s="10" t="n">
        <v>616.92</v>
      </c>
      <c r="M118" s="11" t="inlineStr"/>
      <c r="N118" s="10" t="n">
        <v>27.5001</v>
      </c>
      <c r="O118" s="10" t="n">
        <v>194.166</v>
      </c>
      <c r="P118" s="11">
        <f>IF($O118&lt;&gt;"",$O118,$AO118)</f>
        <v/>
      </c>
      <c r="Q118" s="10" t="inlineStr"/>
      <c r="R118" s="10" t="n">
        <v>8.949999999999999</v>
      </c>
      <c r="S118" s="10" t="n">
        <v>0.5</v>
      </c>
      <c r="T118" s="10" t="inlineStr"/>
      <c r="U118" s="10" t="inlineStr"/>
      <c r="V118" s="10" t="inlineStr"/>
      <c r="W118" s="10" t="n">
        <v>44.73</v>
      </c>
      <c r="X118" s="9" t="n">
        <v>62</v>
      </c>
      <c r="Y118" s="10" t="n">
        <v>85</v>
      </c>
      <c r="Z118" s="10" t="n">
        <v>76.88</v>
      </c>
      <c r="AA118" s="10" t="n">
        <v>36</v>
      </c>
      <c r="AB118" s="10" t="n">
        <v>49.81</v>
      </c>
      <c r="AC118" s="10" t="n">
        <v>26.54</v>
      </c>
      <c r="AD118" s="10" t="n">
        <v>21.58</v>
      </c>
      <c r="AE118" s="10" t="n">
        <v>8.58</v>
      </c>
      <c r="AF118" s="10" t="n">
        <v>2.56</v>
      </c>
      <c r="AG118" s="10" t="n">
        <v>0.1</v>
      </c>
      <c r="AH118" s="10" t="n">
        <v>2.86</v>
      </c>
      <c r="AI118" s="10" t="inlineStr"/>
      <c r="AJ118" s="11">
        <f>IFERROR(INDEX(Country_Context!$B$2:$B$87,MATCH($C118,Country_Context!$A$2:$A$87,0)),"")</f>
        <v/>
      </c>
      <c r="AK118" s="11">
        <f>IFERROR(INDEX(Country_Context!$C$2:$C$87,MATCH($C118,Country_Context!$A$2:$A$87,0)),"")</f>
        <v/>
      </c>
      <c r="AL118" s="11">
        <f>IFERROR(INDEX(Country_Context!$D$2:$D$87,MATCH($C118,Country_Context!$A$2:$A$87,0)),"")</f>
        <v/>
      </c>
      <c r="AM118" s="11">
        <f>IFERROR(INDEX(Country_Context!$E$2:$E$87,MATCH($C118,Country_Context!$A$2:$A$87,0)),"")</f>
        <v/>
      </c>
      <c r="AN118" s="11">
        <f>IFERROR(INDEX(Country_Context!$F$2:$F$87,MATCH($C118,Country_Context!$A$2:$A$87,0)),"")</f>
        <v/>
      </c>
      <c r="AO118" s="11">
        <f>IFERROR(INDEX(Country_Context!$G$2:$G$87,MATCH($C118,Country_Context!$A$2:$A$87,0)),"")</f>
        <v/>
      </c>
      <c r="AP118" s="12" t="inlineStr">
        <is>
          <t>https://api.worldbank.org/v2/country/CHN/indicator/NY.GNP.PCAP.PP.CD?format=json&amp;mrv=10 | https://data.worldbank.org/indicator/NY.GNP.PCAP.PP.CD | https://www.who.int/data/gho/data/indicators/indicator-details/GHO/SDGSUICIDE | +3 more</t>
        </is>
      </c>
      <c r="AQ118" s="12" t="inlineStr">
        <is>
          <t>Tier 3, Tier 4</t>
        </is>
      </c>
      <c r="AR118" s="12" t="inlineStr">
        <is>
          <t>2024-12-31</t>
        </is>
      </c>
      <c r="AS118" s="12" t="inlineStr">
        <is>
          <t>providers=world_bank_col_estimate, derived, who_gho, world_bank; fields=gross_income, rent, utilities, transit_cost; +8 additional fields</t>
        </is>
      </c>
      <c r="AT118" s="12" t="inlineStr">
        <is>
          <t>https://api.worldbank.org/v2/country/CHN/indicator/VC.IHR.PSRC.P5?format=json&amp;mrv=10 | https://api.worldbank.org/v2/country/CHN/indicator/IT.NET.BBND.P2?format=json&amp;mrv=10 | https://worldweather.wmo.int</t>
        </is>
      </c>
      <c r="AU118" s="12" t="inlineStr">
        <is>
          <t>Tier 3</t>
        </is>
      </c>
      <c r="AV118" s="12" t="inlineStr">
        <is>
          <t>2024-12-31</t>
        </is>
      </c>
      <c r="AW118" s="12" t="inlineStr">
        <is>
          <t>providers=world_bank, wmo_natl_met; fields=personal_safety_raw, digital_infrastructure_raw, climate_sunlight_livability_raw</t>
        </is>
      </c>
      <c r="AX118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118" s="12" t="inlineStr">
        <is>
          <t>Tier 3</t>
        </is>
      </c>
      <c r="AZ118" s="12" t="inlineStr">
        <is>
          <t>2024-12-31</t>
        </is>
      </c>
      <c r="BA118" s="12" t="inlineStr">
        <is>
          <t>providers=who_gho, world_bank; fields=healthcare_quality_raw, education_quality_raw, equal_opportunity_raw, gini_coefficient</t>
        </is>
      </c>
      <c r="BB118" s="12" t="inlineStr">
        <is>
          <t>https://api.worldbank.org/v2/country/CHN/indicator/SM.POP.NETM?format=json&amp;mrv=10 | https://api.worldbank.org/v2/country/CHN/indicator/SG.GEN.PARL.ZS?format=json&amp;mrv=10 | https://api.worldbank.org/v2/country/CHN/indicator/ST.INT.ARVL?format=json&amp;mrv=10 | +1 more</t>
        </is>
      </c>
      <c r="BC118" s="12" t="inlineStr">
        <is>
          <t>Tier 3</t>
        </is>
      </c>
      <c r="BD118" s="12" t="inlineStr">
        <is>
          <t>2025-12-31</t>
        </is>
      </c>
      <c r="BE118" s="12" t="inlineStr">
        <is>
          <t>providers=world_bank; fields=hospitality_belonging_raw, tolerance_pluralism_raw, cultural_public_life_raw, birth_rate_optimism_raw</t>
        </is>
      </c>
      <c r="BF118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118" s="12" t="inlineStr">
        <is>
          <t>Tier 3</t>
        </is>
      </c>
      <c r="BH118" s="12" t="inlineStr">
        <is>
          <t>2024-12-31</t>
        </is>
      </c>
      <c r="BI118" s="12" t="inlineStr">
        <is>
          <t>providers=world_bank; fields=entrepreneurial_dynamism_raw, innovation_research_intensity_raw, investment_signal_raw, administrative_investment_friction_raw; +2 additional fields</t>
        </is>
      </c>
      <c r="BJ118" s="9" t="n">
        <v>1</v>
      </c>
    </row>
    <row r="119">
      <c r="A119" s="9" t="inlineStr">
        <is>
          <t>in-pune</t>
        </is>
      </c>
      <c r="B119" s="9" t="inlineStr">
        <is>
          <t>Pune</t>
        </is>
      </c>
      <c r="C119" s="9" t="inlineStr">
        <is>
          <t>India</t>
        </is>
      </c>
      <c r="D119" s="9" t="inlineStr">
        <is>
          <t>South Asia</t>
        </is>
      </c>
      <c r="E119" s="9" t="inlineStr">
        <is>
          <t>primary</t>
        </is>
      </c>
      <c r="F119" s="9" t="inlineStr">
        <is>
          <t>provisional</t>
        </is>
      </c>
      <c r="G119" s="10" t="n">
        <v>1100</v>
      </c>
      <c r="H119" s="10" t="n">
        <v>173.25</v>
      </c>
      <c r="I119" s="10" t="n">
        <v>57.75</v>
      </c>
      <c r="J119" s="10" t="n">
        <v>34.65</v>
      </c>
      <c r="K119" s="10" t="n">
        <v>11.55</v>
      </c>
      <c r="L119" s="10" t="n">
        <v>288.75</v>
      </c>
      <c r="M119" s="11" t="inlineStr"/>
      <c r="N119" s="10" t="n">
        <v>15.75</v>
      </c>
      <c r="O119" s="10" t="n">
        <v>50.1422</v>
      </c>
      <c r="P119" s="11">
        <f>IF($O119&lt;&gt;"",$O119,$AO119)</f>
        <v/>
      </c>
      <c r="Q119" s="10" t="n">
        <v>45.72</v>
      </c>
      <c r="R119" s="10" t="n">
        <v>12.56</v>
      </c>
      <c r="S119" s="10" t="n">
        <v>2.82</v>
      </c>
      <c r="T119" s="10" t="inlineStr"/>
      <c r="U119" s="10" t="inlineStr"/>
      <c r="V119" s="10" t="n">
        <v>76.44</v>
      </c>
      <c r="W119" s="10" t="n">
        <v>2.75</v>
      </c>
      <c r="X119" s="9" t="n">
        <v>70</v>
      </c>
      <c r="Y119" s="10" t="n">
        <v>69</v>
      </c>
      <c r="Z119" s="10" t="n">
        <v>34.42</v>
      </c>
      <c r="AA119" s="10" t="n">
        <v>25.5</v>
      </c>
      <c r="AB119" s="10" t="n">
        <v>49.66</v>
      </c>
      <c r="AC119" s="10" t="n">
        <v>13.65</v>
      </c>
      <c r="AD119" s="10" t="n">
        <v>12.35</v>
      </c>
      <c r="AE119" s="10" t="n">
        <v>0.18</v>
      </c>
      <c r="AF119" s="10" t="n">
        <v>0.65</v>
      </c>
      <c r="AG119" s="10" t="n">
        <v>0.6899999999999999</v>
      </c>
      <c r="AH119" s="10" t="n">
        <v>2.64</v>
      </c>
      <c r="AI119" s="10" t="inlineStr"/>
      <c r="AJ119" s="11">
        <f>IFERROR(INDEX(Country_Context!$B$2:$B$87,MATCH($C119,Country_Context!$A$2:$A$87,0)),"")</f>
        <v/>
      </c>
      <c r="AK119" s="11">
        <f>IFERROR(INDEX(Country_Context!$C$2:$C$87,MATCH($C119,Country_Context!$A$2:$A$87,0)),"")</f>
        <v/>
      </c>
      <c r="AL119" s="11">
        <f>IFERROR(INDEX(Country_Context!$D$2:$D$87,MATCH($C119,Country_Context!$A$2:$A$87,0)),"")</f>
        <v/>
      </c>
      <c r="AM119" s="11">
        <f>IFERROR(INDEX(Country_Context!$E$2:$E$87,MATCH($C119,Country_Context!$A$2:$A$87,0)),"")</f>
        <v/>
      </c>
      <c r="AN119" s="11">
        <f>IFERROR(INDEX(Country_Context!$F$2:$F$87,MATCH($C119,Country_Context!$A$2:$A$87,0)),"")</f>
        <v/>
      </c>
      <c r="AO119" s="11">
        <f>IFERROR(INDEX(Country_Context!$G$2:$G$87,MATCH($C119,Country_Context!$A$2:$A$87,0)),"")</f>
        <v/>
      </c>
      <c r="AP119" s="12" t="inlineStr">
        <is>
          <t>https://api.worldbank.org/v2/country/IND/indicator/NY.GNP.PCAP.PP.CD?format=json&amp;mrv=10 | https://data.worldbank.org/indicator/NY.GNP.PCAP.PP.CD | https://ilostat.ilo.org/data/indicator/?id=HOW_TEMP_SEX_ECO_NB_A&amp;ref_area=IND | +4 more</t>
        </is>
      </c>
      <c r="AQ119" s="12" t="inlineStr">
        <is>
          <t>Tier 3, Tier 4</t>
        </is>
      </c>
      <c r="AR119" s="12" t="inlineStr">
        <is>
          <t>2024-12-31</t>
        </is>
      </c>
      <c r="AS119" s="12" t="inlineStr">
        <is>
          <t>providers=world_bank_col_estimate, derived, ilo_ilostat, who_gho; fields=gross_income, rent, utilities, transit_cost; +9 additional fields</t>
        </is>
      </c>
      <c r="AT119" s="12" t="inlineStr">
        <is>
          <t>https://api.worldbank.org/v2/country/IND/indicator/VC.IHR.PSRC.P5?format=json&amp;mrv=10 | https://api.worldbank.org/v2/country/IND/indicator/SH.H2O.SMDW.ZS?format=json&amp;mrv=10 | https://api.worldbank.org/v2/country/IND/indicator/IT.NET.BBND.P2?format=json&amp;mrv=10 | +1 more</t>
        </is>
      </c>
      <c r="AU119" s="12" t="inlineStr">
        <is>
          <t>Tier 3</t>
        </is>
      </c>
      <c r="AV119" s="12" t="inlineStr">
        <is>
          <t>2024-12-31</t>
        </is>
      </c>
      <c r="AW119" s="12" t="inlineStr">
        <is>
          <t>providers=world_bank, wmo_natl_met; fields=personal_safety_raw, water_sanitation_utility_raw, digital_infrastructure_raw, climate_sunlight_livability_raw</t>
        </is>
      </c>
      <c r="AX119" s="12" t="inlineStr">
        <is>
          <t>https://www.who.int/data/gho/data/indicators/indicator-details/GHO/UHC_INDEX_REPORTED | https://api.worldbank.org/v2/country/IND/indicator/SE.TER.ENRR?format=json&amp;mrv=10 | https://api.worldbank.org/v2/country/IND/indicator/SI.POV.GINI?format=json&amp;mrv=10 | +1 more</t>
        </is>
      </c>
      <c r="AY119" s="12" t="inlineStr">
        <is>
          <t>Tier 3</t>
        </is>
      </c>
      <c r="AZ119" s="12" t="inlineStr">
        <is>
          <t>2024-12-31</t>
        </is>
      </c>
      <c r="BA119" s="12" t="inlineStr">
        <is>
          <t>providers=who_gho, world_bank; fields=healthcare_quality_raw, education_quality_raw, equal_opportunity_raw, gini_coefficient</t>
        </is>
      </c>
      <c r="BB119" s="12" t="inlineStr">
        <is>
          <t>https://api.worldbank.org/v2/country/IND/indicator/SM.POP.NETM?format=json&amp;mrv=10 | https://api.worldbank.org/v2/country/IND/indicator/SG.GEN.PARL.ZS?format=json&amp;mrv=10 | https://api.worldbank.org/v2/country/IND/indicator/ST.INT.ARVL?format=json&amp;mrv=10 | +1 more</t>
        </is>
      </c>
      <c r="BC119" s="12" t="inlineStr">
        <is>
          <t>Tier 3</t>
        </is>
      </c>
      <c r="BD119" s="12" t="inlineStr">
        <is>
          <t>2025-12-31</t>
        </is>
      </c>
      <c r="BE119" s="12" t="inlineStr">
        <is>
          <t>providers=world_bank; fields=hospitality_belonging_raw, tolerance_pluralism_raw, cultural_public_life_raw, birth_rate_optimism_raw</t>
        </is>
      </c>
      <c r="BF119" s="12" t="inlineStr">
        <is>
          <t>https://api.worldbank.org/v2/country/IND/indicator/IC.BUS.NDNS.ZS?format=json&amp;mrv=10 | https://api.worldbank.org/v2/country/IND/indicator/GB.XPD.RSDV.GD.ZS?format=json&amp;mrv=10 | https://api.worldbank.org/v2/country/IND/indicator/BX.KLT.DINV.WD.GD.ZS?format=json&amp;mrv=10 | +3 more</t>
        </is>
      </c>
      <c r="BG119" s="12" t="inlineStr">
        <is>
          <t>Tier 3</t>
        </is>
      </c>
      <c r="BH119" s="12" t="inlineStr">
        <is>
          <t>2024-12-31</t>
        </is>
      </c>
      <c r="BI119" s="12" t="inlineStr">
        <is>
          <t>providers=world_bank; fields=entrepreneurial_dynamism_raw, innovation_research_intensity_raw, investment_signal_raw, administrative_investment_friction_raw; +2 additional fields</t>
        </is>
      </c>
      <c r="BJ119" s="9" t="n">
        <v>2</v>
      </c>
    </row>
    <row r="120">
      <c r="A120" s="9" t="inlineStr">
        <is>
          <t>pk-islamabad</t>
        </is>
      </c>
      <c r="B120" s="9" t="inlineStr">
        <is>
          <t>Islamabad</t>
        </is>
      </c>
      <c r="C120" s="9" t="inlineStr">
        <is>
          <t>Pakistan</t>
        </is>
      </c>
      <c r="D120" s="9" t="inlineStr">
        <is>
          <t>South Asia</t>
        </is>
      </c>
      <c r="E120" s="9" t="inlineStr">
        <is>
          <t>primary</t>
        </is>
      </c>
      <c r="F120" s="9" t="inlineStr">
        <is>
          <t>provisional</t>
        </is>
      </c>
      <c r="G120" s="10" t="n">
        <v>508.33</v>
      </c>
      <c r="H120" s="10" t="n">
        <v>72.44</v>
      </c>
      <c r="I120" s="10" t="n">
        <v>24.15</v>
      </c>
      <c r="J120" s="10" t="n">
        <v>14.49</v>
      </c>
      <c r="K120" s="10" t="n">
        <v>4.83</v>
      </c>
      <c r="L120" s="10" t="n">
        <v>120.73</v>
      </c>
      <c r="M120" s="11" t="inlineStr"/>
      <c r="N120" s="10" t="n">
        <v>14.2506</v>
      </c>
      <c r="O120" s="10" t="n">
        <v>11.3901</v>
      </c>
      <c r="P120" s="11">
        <f>IF($O120&lt;&gt;"",$O120,$AO120)</f>
        <v/>
      </c>
      <c r="Q120" s="10" t="n">
        <v>46.77</v>
      </c>
      <c r="R120" s="10" t="n">
        <v>5.64</v>
      </c>
      <c r="S120" s="10" t="n">
        <v>4.33</v>
      </c>
      <c r="T120" s="10" t="inlineStr"/>
      <c r="U120" s="10" t="inlineStr"/>
      <c r="V120" s="10" t="n">
        <v>44.97</v>
      </c>
      <c r="W120" s="10" t="n">
        <v>1.36</v>
      </c>
      <c r="X120" s="9" t="inlineStr"/>
      <c r="Y120" s="10" t="n">
        <v>56</v>
      </c>
      <c r="Z120" s="10" t="n">
        <v>10.86</v>
      </c>
      <c r="AA120" s="10" t="n">
        <v>29.6</v>
      </c>
      <c r="AB120" s="10" t="n">
        <v>45.08</v>
      </c>
      <c r="AC120" s="10" t="n">
        <v>17.04</v>
      </c>
      <c r="AD120" s="10" t="n">
        <v>30.61</v>
      </c>
      <c r="AE120" s="10" t="n">
        <v>0.19</v>
      </c>
      <c r="AF120" s="10" t="n">
        <v>0.16</v>
      </c>
      <c r="AG120" s="10" t="n">
        <v>0.72</v>
      </c>
      <c r="AH120" s="10" t="n">
        <v>3.4</v>
      </c>
      <c r="AI120" s="10" t="inlineStr"/>
      <c r="AJ120" s="11">
        <f>IFERROR(INDEX(Country_Context!$B$2:$B$87,MATCH($C120,Country_Context!$A$2:$A$87,0)),"")</f>
        <v/>
      </c>
      <c r="AK120" s="11">
        <f>IFERROR(INDEX(Country_Context!$C$2:$C$87,MATCH($C120,Country_Context!$A$2:$A$87,0)),"")</f>
        <v/>
      </c>
      <c r="AL120" s="11">
        <f>IFERROR(INDEX(Country_Context!$D$2:$D$87,MATCH($C120,Country_Context!$A$2:$A$87,0)),"")</f>
        <v/>
      </c>
      <c r="AM120" s="11">
        <f>IFERROR(INDEX(Country_Context!$E$2:$E$87,MATCH($C120,Country_Context!$A$2:$A$87,0)),"")</f>
        <v/>
      </c>
      <c r="AN120" s="11">
        <f>IFERROR(INDEX(Country_Context!$F$2:$F$87,MATCH($C120,Country_Context!$A$2:$A$87,0)),"")</f>
        <v/>
      </c>
      <c r="AO120" s="11">
        <f>IFERROR(INDEX(Country_Context!$G$2:$G$87,MATCH($C120,Country_Context!$A$2:$A$87,0)),"")</f>
        <v/>
      </c>
      <c r="AP120" s="12" t="inlineStr">
        <is>
          <t>https://api.worldbank.org/v2/country/PAK/indicator/NY.GNP.PCAP.PP.CD?format=json&amp;mrv=10 | https://data.worldbank.org/indicator/NY.GNP.PCAP.PP.CD | https://ilostat.ilo.org/data/indicator/?id=HOW_TEMP_SEX_ECO_NB_A&amp;ref_area=PAK | +3 more</t>
        </is>
      </c>
      <c r="AQ120" s="12" t="inlineStr">
        <is>
          <t>Tier 3, Tier 4</t>
        </is>
      </c>
      <c r="AR120" s="12" t="inlineStr">
        <is>
          <t>2025-12-31</t>
        </is>
      </c>
      <c r="AS120" s="12" t="inlineStr">
        <is>
          <t>providers=world_bank_col_estimate, derived, ilo_ilostat, who_gho; fields=gross_income, rent, utilities, transit_cost; +8 additional fields</t>
        </is>
      </c>
      <c r="AT120" s="12" t="inlineStr">
        <is>
          <t>https://api.worldbank.org/v2/country/PAK/indicator/VC.IHR.PSRC.P5?format=json&amp;mrv=10 | https://api.worldbank.org/v2/country/PAK/indicator/SH.H2O.SMDW.ZS?format=json&amp;mrv=10 | https://api.worldbank.org/v2/country/PAK/indicator/IT.NET.BBND.P2?format=json&amp;mrv=10</t>
        </is>
      </c>
      <c r="AU120" s="12" t="inlineStr">
        <is>
          <t>Tier 3</t>
        </is>
      </c>
      <c r="AV120" s="12" t="inlineStr">
        <is>
          <t>2024-12-31</t>
        </is>
      </c>
      <c r="AW120" s="12" t="inlineStr">
        <is>
          <t>providers=world_bank; fields=personal_safety_raw, water_sanitation_utility_raw, digital_infrastructure_raw</t>
        </is>
      </c>
      <c r="AX120" s="12" t="inlineStr">
        <is>
          <t>https://www.who.int/data/gho/data/indicators/indicator-details/GHO/UHC_INDEX_REPORTED | https://api.worldbank.org/v2/country/PAK/indicator/SE.TER.ENRR?format=json&amp;mrv=10 | https://api.worldbank.org/v2/country/PAK/indicator/SI.POV.GINI?format=json&amp;mrv=10 | +1 more</t>
        </is>
      </c>
      <c r="AY120" s="12" t="inlineStr">
        <is>
          <t>Tier 3</t>
        </is>
      </c>
      <c r="AZ120" s="12" t="inlineStr">
        <is>
          <t>2024-12-31</t>
        </is>
      </c>
      <c r="BA120" s="12" t="inlineStr">
        <is>
          <t>providers=who_gho, world_bank; fields=healthcare_quality_raw, education_quality_raw, equal_opportunity_raw, gini_coefficient</t>
        </is>
      </c>
      <c r="BB120" s="12" t="inlineStr">
        <is>
          <t>https://api.worldbank.org/v2/country/PAK/indicator/SM.POP.NETM?format=json&amp;mrv=10 | https://api.worldbank.org/v2/country/PAK/indicator/SG.GEN.PARL.ZS?format=json&amp;mrv=10 | https://api.worldbank.org/v2/country/PAK/indicator/SP.POP.DPND?format=json&amp;mrv=10 | +1 more</t>
        </is>
      </c>
      <c r="BC120" s="12" t="inlineStr">
        <is>
          <t>Tier 3</t>
        </is>
      </c>
      <c r="BD120" s="12" t="inlineStr">
        <is>
          <t>2025-12-31</t>
        </is>
      </c>
      <c r="BE120" s="12" t="inlineStr">
        <is>
          <t>providers=world_bank; fields=hospitality_belonging_raw, tolerance_pluralism_raw, cultural_public_life_raw, birth_rate_optimism_raw</t>
        </is>
      </c>
      <c r="BF120" s="12" t="inlineStr">
        <is>
          <t>https://api.worldbank.org/v2/country/PAK/indicator/IC.BUS.NDNS.ZS?format=json&amp;mrv=10 | https://api.worldbank.org/v2/country/PAK/indicator/GB.XPD.RSDV.GD.ZS?format=json&amp;mrv=10 | https://api.worldbank.org/v2/country/PAK/indicator/BX.KLT.DINV.WD.GD.ZS?format=json&amp;mrv=10 | +3 more</t>
        </is>
      </c>
      <c r="BG120" s="12" t="inlineStr">
        <is>
          <t>Tier 3</t>
        </is>
      </c>
      <c r="BH120" s="12" t="inlineStr">
        <is>
          <t>2024-12-31</t>
        </is>
      </c>
      <c r="BI120" s="12" t="inlineStr">
        <is>
          <t>providers=world_bank; fields=entrepreneurial_dynamism_raw, innovation_research_intensity_raw, investment_signal_raw, administrative_investment_friction_raw; +2 additional fields</t>
        </is>
      </c>
      <c r="BJ120" s="9" t="n">
        <v>3.36</v>
      </c>
    </row>
    <row r="121">
      <c r="A121" s="9" t="inlineStr">
        <is>
          <t>lk-kandy</t>
        </is>
      </c>
      <c r="B121" s="9" t="inlineStr">
        <is>
          <t>Kandy</t>
        </is>
      </c>
      <c r="C121" s="9" t="inlineStr">
        <is>
          <t>Sri Lanka</t>
        </is>
      </c>
      <c r="D121" s="9" t="inlineStr">
        <is>
          <t>South Asia</t>
        </is>
      </c>
      <c r="E121" s="9" t="inlineStr">
        <is>
          <t>secondary</t>
        </is>
      </c>
      <c r="F121" s="9" t="inlineStr">
        <is>
          <t>provisional</t>
        </is>
      </c>
      <c r="G121" s="10" t="n">
        <v>1270</v>
      </c>
      <c r="H121" s="10" t="n">
        <v>152.4</v>
      </c>
      <c r="I121" s="10" t="n">
        <v>50.8</v>
      </c>
      <c r="J121" s="10" t="n">
        <v>30.48</v>
      </c>
      <c r="K121" s="10" t="n">
        <v>10.16</v>
      </c>
      <c r="L121" s="10" t="n">
        <v>254</v>
      </c>
      <c r="M121" s="11" t="inlineStr"/>
      <c r="N121" s="10" t="n">
        <v>12</v>
      </c>
      <c r="O121" s="10" t="n">
        <v>46.8716</v>
      </c>
      <c r="P121" s="11">
        <f>IF($O121&lt;&gt;"",$O121,$AO121)</f>
        <v/>
      </c>
      <c r="Q121" s="10" t="n">
        <v>41.72</v>
      </c>
      <c r="R121" s="10" t="n">
        <v>14.74</v>
      </c>
      <c r="S121" s="10" t="n">
        <v>3.31</v>
      </c>
      <c r="T121" s="10" t="inlineStr"/>
      <c r="U121" s="10" t="inlineStr"/>
      <c r="V121" s="10" t="n">
        <v>46.93</v>
      </c>
      <c r="W121" s="10" t="n">
        <v>8.77</v>
      </c>
      <c r="X121" s="9" t="inlineStr"/>
      <c r="Y121" s="10" t="n">
        <v>72</v>
      </c>
      <c r="Z121" s="10" t="n">
        <v>20.74</v>
      </c>
      <c r="AA121" s="10" t="n">
        <v>37.7</v>
      </c>
      <c r="AB121" s="10" t="n">
        <v>48.6</v>
      </c>
      <c r="AC121" s="10" t="n">
        <v>10</v>
      </c>
      <c r="AD121" s="10" t="n">
        <v>24.64</v>
      </c>
      <c r="AE121" s="10" t="n">
        <v>1.2</v>
      </c>
      <c r="AF121" s="10" t="n">
        <v>0.11</v>
      </c>
      <c r="AG121" s="10" t="n">
        <v>0.77</v>
      </c>
      <c r="AH121" s="10" t="n">
        <v>3.01</v>
      </c>
      <c r="AI121" s="10" t="inlineStr"/>
      <c r="AJ121" s="11">
        <f>IFERROR(INDEX(Country_Context!$B$2:$B$87,MATCH($C121,Country_Context!$A$2:$A$87,0)),"")</f>
        <v/>
      </c>
      <c r="AK121" s="11">
        <f>IFERROR(INDEX(Country_Context!$C$2:$C$87,MATCH($C121,Country_Context!$A$2:$A$87,0)),"")</f>
        <v/>
      </c>
      <c r="AL121" s="11">
        <f>IFERROR(INDEX(Country_Context!$D$2:$D$87,MATCH($C121,Country_Context!$A$2:$A$87,0)),"")</f>
        <v/>
      </c>
      <c r="AM121" s="11">
        <f>IFERROR(INDEX(Country_Context!$E$2:$E$87,MATCH($C121,Country_Context!$A$2:$A$87,0)),"")</f>
        <v/>
      </c>
      <c r="AN121" s="11">
        <f>IFERROR(INDEX(Country_Context!$F$2:$F$87,MATCH($C121,Country_Context!$A$2:$A$87,0)),"")</f>
        <v/>
      </c>
      <c r="AO121" s="11">
        <f>IFERROR(INDEX(Country_Context!$G$2:$G$87,MATCH($C121,Country_Context!$A$2:$A$87,0)),"")</f>
        <v/>
      </c>
      <c r="AP121" s="12" t="inlineStr">
        <is>
          <t>https://api.worldbank.org/v2/country/LKA/indicator/NY.GNP.PCAP.PP.CD?format=json&amp;mrv=10 | https://data.worldbank.org/indicator/NY.GNP.PCAP.PP.CD | https://ilostat.ilo.org/data/indicator/?id=HOW_TEMP_SEX_ECO_NB_A&amp;ref_area=LKA | +4 more</t>
        </is>
      </c>
      <c r="AQ121" s="12" t="inlineStr">
        <is>
          <t>Tier 3, Tier 4</t>
        </is>
      </c>
      <c r="AR121" s="12" t="inlineStr">
        <is>
          <t>2024-12-31</t>
        </is>
      </c>
      <c r="AS121" s="12" t="inlineStr">
        <is>
          <t>providers=world_bank_col_estimate, derived, ilo_ilostat, who_gho; fields=gross_income, rent, utilities, transit_cost; +9 additional fields</t>
        </is>
      </c>
      <c r="AT121" s="12" t="inlineStr">
        <is>
          <t>https://api.worldbank.org/v2/country/LKA/indicator/VC.IHR.PSRC.P5?format=json&amp;mrv=10 | https://api.worldbank.org/v2/country/LKA/indicator/SH.H2O.SMDW.ZS?format=json&amp;mrv=10 | https://api.worldbank.org/v2/country/LKA/indicator/IT.NET.BBND.P2?format=json&amp;mrv=10</t>
        </is>
      </c>
      <c r="AU121" s="12" t="inlineStr">
        <is>
          <t>Tier 3</t>
        </is>
      </c>
      <c r="AV121" s="12" t="inlineStr">
        <is>
          <t>2024-12-31</t>
        </is>
      </c>
      <c r="AW121" s="12" t="inlineStr">
        <is>
          <t>providers=world_bank; fields=personal_safety_raw, water_sanitation_utility_raw, digital_infrastructure_raw</t>
        </is>
      </c>
      <c r="AX121" s="12" t="inlineStr">
        <is>
          <t>https://www.who.int/data/gho/data/indicators/indicator-details/GHO/UHC_INDEX_REPORTED | https://api.worldbank.org/v2/country/LKA/indicator/SE.TER.ENRR?format=json&amp;mrv=10 | https://api.worldbank.org/v2/country/LKA/indicator/SI.POV.GINI?format=json&amp;mrv=10 | +1 more</t>
        </is>
      </c>
      <c r="AY121" s="12" t="inlineStr">
        <is>
          <t>Tier 3</t>
        </is>
      </c>
      <c r="AZ121" s="12" t="inlineStr">
        <is>
          <t>2023-12-31</t>
        </is>
      </c>
      <c r="BA121" s="12" t="inlineStr">
        <is>
          <t>providers=who_gho, world_bank; fields=healthcare_quality_raw, education_quality_raw, equal_opportunity_raw, gini_coefficient</t>
        </is>
      </c>
      <c r="BB121" s="12" t="inlineStr">
        <is>
          <t>https://api.worldbank.org/v2/country/LKA/indicator/SM.POP.NETM?format=json&amp;mrv=10 | https://api.worldbank.org/v2/country/LKA/indicator/SG.GEN.PARL.ZS?format=json&amp;mrv=10 | https://api.worldbank.org/v2/country/LKA/indicator/ST.INT.ARVL?format=json&amp;mrv=10 | +1 more</t>
        </is>
      </c>
      <c r="BC121" s="12" t="inlineStr">
        <is>
          <t>Tier 3</t>
        </is>
      </c>
      <c r="BD121" s="12" t="inlineStr">
        <is>
          <t>2025-12-31</t>
        </is>
      </c>
      <c r="BE121" s="12" t="inlineStr">
        <is>
          <t>providers=world_bank; fields=hospitality_belonging_raw, tolerance_pluralism_raw, cultural_public_life_raw, birth_rate_optimism_raw</t>
        </is>
      </c>
      <c r="BF121" s="12" t="inlineStr">
        <is>
          <t>https://api.worldbank.org/v2/country/LKA/indicator/IC.BUS.NDNS.ZS?format=json&amp;mrv=10 | https://api.worldbank.org/v2/country/LKA/indicator/GB.XPD.RSDV.GD.ZS?format=json&amp;mrv=10 | https://api.worldbank.org/v2/country/LKA/indicator/BX.KLT.DINV.WD.GD.ZS?format=json&amp;mrv=10 | +3 more</t>
        </is>
      </c>
      <c r="BG121" s="12" t="inlineStr">
        <is>
          <t>Tier 3</t>
        </is>
      </c>
      <c r="BH121" s="12" t="inlineStr">
        <is>
          <t>2024-12-31</t>
        </is>
      </c>
      <c r="BI121" s="12" t="inlineStr">
        <is>
          <t>providers=world_bank; fields=entrepreneurial_dynamism_raw, innovation_research_intensity_raw, investment_signal_raw, administrative_investment_friction_raw; +2 additional fields</t>
        </is>
      </c>
      <c r="BJ121" s="9" t="n">
        <v>1.99</v>
      </c>
    </row>
    <row r="122">
      <c r="A122" s="9" t="inlineStr">
        <is>
          <t>np-pokhara</t>
        </is>
      </c>
      <c r="B122" s="9" t="inlineStr">
        <is>
          <t>Pokhara</t>
        </is>
      </c>
      <c r="C122" s="9" t="inlineStr">
        <is>
          <t>Nepal</t>
        </is>
      </c>
      <c r="D122" s="9" t="inlineStr">
        <is>
          <t>South Asia</t>
        </is>
      </c>
      <c r="E122" s="9" t="inlineStr">
        <is>
          <t>secondary</t>
        </is>
      </c>
      <c r="F122" s="9" t="inlineStr">
        <is>
          <t>provisional</t>
        </is>
      </c>
      <c r="G122" s="10" t="n">
        <v>485.83</v>
      </c>
      <c r="H122" s="10" t="n">
        <v>54.66</v>
      </c>
      <c r="I122" s="10" t="n">
        <v>18.22</v>
      </c>
      <c r="J122" s="10" t="n">
        <v>10.93</v>
      </c>
      <c r="K122" s="10" t="n">
        <v>3.64</v>
      </c>
      <c r="L122" s="10" t="n">
        <v>91.09</v>
      </c>
      <c r="M122" s="11" t="inlineStr"/>
      <c r="N122" s="10" t="n">
        <v>11.2508</v>
      </c>
      <c r="O122" s="10" t="n">
        <v>91.9385</v>
      </c>
      <c r="P122" s="11">
        <f>IF($O122&lt;&gt;"",$O122,$AO122)</f>
        <v/>
      </c>
      <c r="Q122" s="10" t="inlineStr"/>
      <c r="R122" s="10" t="n">
        <v>10.14</v>
      </c>
      <c r="S122" s="10" t="n">
        <v>2.13</v>
      </c>
      <c r="T122" s="10" t="inlineStr"/>
      <c r="U122" s="10" t="inlineStr"/>
      <c r="V122" s="10" t="n">
        <v>16.49</v>
      </c>
      <c r="W122" s="10" t="n">
        <v>4.83</v>
      </c>
      <c r="X122" s="9" t="inlineStr"/>
      <c r="Y122" s="10" t="n">
        <v>58</v>
      </c>
      <c r="Z122" s="10" t="n">
        <v>21.29</v>
      </c>
      <c r="AA122" s="10" t="n">
        <v>30</v>
      </c>
      <c r="AB122" s="10" t="n">
        <v>37.7</v>
      </c>
      <c r="AC122" s="10" t="n">
        <v>33.09</v>
      </c>
      <c r="AD122" s="10" t="n">
        <v>7.76</v>
      </c>
      <c r="AE122" s="10" t="n">
        <v>1.38</v>
      </c>
      <c r="AF122" s="10" t="n">
        <v>2.12</v>
      </c>
      <c r="AG122" s="10" t="n">
        <v>0.13</v>
      </c>
      <c r="AH122" s="10" t="n">
        <v>3.16</v>
      </c>
      <c r="AI122" s="10" t="inlineStr"/>
      <c r="AJ122" s="11">
        <f>IFERROR(INDEX(Country_Context!$B$2:$B$87,MATCH($C122,Country_Context!$A$2:$A$87,0)),"")</f>
        <v/>
      </c>
      <c r="AK122" s="11">
        <f>IFERROR(INDEX(Country_Context!$C$2:$C$87,MATCH($C122,Country_Context!$A$2:$A$87,0)),"")</f>
        <v/>
      </c>
      <c r="AL122" s="11">
        <f>IFERROR(INDEX(Country_Context!$D$2:$D$87,MATCH($C122,Country_Context!$A$2:$A$87,0)),"")</f>
        <v/>
      </c>
      <c r="AM122" s="11">
        <f>IFERROR(INDEX(Country_Context!$E$2:$E$87,MATCH($C122,Country_Context!$A$2:$A$87,0)),"")</f>
        <v/>
      </c>
      <c r="AN122" s="11">
        <f>IFERROR(INDEX(Country_Context!$F$2:$F$87,MATCH($C122,Country_Context!$A$2:$A$87,0)),"")</f>
        <v/>
      </c>
      <c r="AO122" s="11">
        <f>IFERROR(INDEX(Country_Context!$G$2:$G$87,MATCH($C122,Country_Context!$A$2:$A$87,0)),"")</f>
        <v/>
      </c>
      <c r="AP122" s="12" t="inlineStr">
        <is>
          <t>https://api.worldbank.org/v2/country/NPL/indicator/NY.GNP.PCAP.PP.CD?format=json&amp;mrv=10 | https://data.worldbank.org/indicator/NY.GNP.PCAP.PP.CD | https://www.who.int/data/gho/data/indicators/indicator-details/GHO/SDGSUICIDE | +3 more</t>
        </is>
      </c>
      <c r="AQ122" s="12" t="inlineStr">
        <is>
          <t>Tier 3, Tier 4</t>
        </is>
      </c>
      <c r="AR122" s="12" t="inlineStr">
        <is>
          <t>2024-12-31</t>
        </is>
      </c>
      <c r="AS122" s="12" t="inlineStr">
        <is>
          <t>providers=world_bank_col_estimate, derived, who_gho, world_bank; fields=gross_income, rent, utilities, transit_cost; +8 additional fields</t>
        </is>
      </c>
      <c r="AT122" s="12" t="inlineStr">
        <is>
          <t>https://api.worldbank.org/v2/country/NPL/indicator/VC.IHR.PSRC.P5?format=json&amp;mrv=10 | https://api.worldbank.org/v2/country/NPL/indicator/SH.H2O.SMDW.ZS?format=json&amp;mrv=10 | https://api.worldbank.org/v2/country/NPL/indicator/IT.NET.BBND.P2?format=json&amp;mrv=10</t>
        </is>
      </c>
      <c r="AU122" s="12" t="inlineStr">
        <is>
          <t>Tier 3</t>
        </is>
      </c>
      <c r="AV122" s="12" t="inlineStr">
        <is>
          <t>2024-12-31</t>
        </is>
      </c>
      <c r="AW122" s="12" t="inlineStr">
        <is>
          <t>providers=world_bank; fields=personal_safety_raw, water_sanitation_utility_raw, digital_infrastructure_raw</t>
        </is>
      </c>
      <c r="AX122" s="12" t="inlineStr">
        <is>
          <t>https://www.who.int/data/gho/data/indicators/indicator-details/GHO/UHC_INDEX_REPORTED | https://api.worldbank.org/v2/country/NPL/indicator/SE.TER.ENRR?format=json&amp;mrv=10 | https://api.worldbank.org/v2/country/NPL/indicator/SI.POV.GINI?format=json&amp;mrv=10 | +1 more</t>
        </is>
      </c>
      <c r="AY122" s="12" t="inlineStr">
        <is>
          <t>Tier 3</t>
        </is>
      </c>
      <c r="AZ122" s="12" t="inlineStr">
        <is>
          <t>2024-12-31</t>
        </is>
      </c>
      <c r="BA122" s="12" t="inlineStr">
        <is>
          <t>providers=who_gho, world_bank; fields=healthcare_quality_raw, education_quality_raw, equal_opportunity_raw, gini_coefficient</t>
        </is>
      </c>
      <c r="BB122" s="12" t="inlineStr">
        <is>
          <t>https://api.worldbank.org/v2/country/NPL/indicator/SM.POP.NETM?format=json&amp;mrv=10 | https://api.worldbank.org/v2/country/NPL/indicator/SG.GEN.PARL.ZS?format=json&amp;mrv=10 | https://api.worldbank.org/v2/country/NPL/indicator/ST.INT.ARVL?format=json&amp;mrv=10</t>
        </is>
      </c>
      <c r="BC122" s="12" t="inlineStr">
        <is>
          <t>Tier 3</t>
        </is>
      </c>
      <c r="BD122" s="12" t="inlineStr">
        <is>
          <t>2025-12-31</t>
        </is>
      </c>
      <c r="BE122" s="12" t="inlineStr">
        <is>
          <t>providers=world_bank; fields=hospitality_belonging_raw, tolerance_pluralism_raw, cultural_public_life_raw</t>
        </is>
      </c>
      <c r="BF122" s="12" t="inlineStr">
        <is>
          <t>https://api.worldbank.org/v2/country/NPL/indicator/IC.BUS.NDNS.ZS?format=json&amp;mrv=10 | https://api.worldbank.org/v2/country/NPL/indicator/IP.PAT.RESD?format=json&amp;mrv=10 | https://api.worldbank.org/v2/country/NPL/indicator/BX.KLT.DINV.WD.GD.ZS?format=json&amp;mrv=10 | +3 more</t>
        </is>
      </c>
      <c r="BG122" s="12" t="inlineStr">
        <is>
          <t>Tier 3</t>
        </is>
      </c>
      <c r="BH122" s="12" t="inlineStr">
        <is>
          <t>2024-12-31</t>
        </is>
      </c>
      <c r="BI122" s="12" t="inlineStr">
        <is>
          <t>providers=world_bank; fields=entrepreneurial_dynamism_raw, innovation_research_intensity_raw, investment_signal_raw, administrative_investment_friction_raw; +2 additional fields</t>
        </is>
      </c>
      <c r="BJ122" s="9" t="inlineStr"/>
    </row>
    <row r="123">
      <c r="A123" s="9" t="inlineStr">
        <is>
          <t>cz-brno</t>
        </is>
      </c>
      <c r="B123" s="9" t="inlineStr">
        <is>
          <t>Brno</t>
        </is>
      </c>
      <c r="C123" s="9" t="inlineStr">
        <is>
          <t>Czechia</t>
        </is>
      </c>
      <c r="D123" s="9" t="inlineStr">
        <is>
          <t>Southern/Eastern Europe and Eurasia</t>
        </is>
      </c>
      <c r="E123" s="9" t="inlineStr">
        <is>
          <t>secondary</t>
        </is>
      </c>
      <c r="F123" s="9" t="inlineStr">
        <is>
          <t>provisional</t>
        </is>
      </c>
      <c r="G123" s="10" t="n">
        <v>4566.67</v>
      </c>
      <c r="H123" s="10" t="n">
        <v>970.42</v>
      </c>
      <c r="I123" s="10" t="n">
        <v>310.53</v>
      </c>
      <c r="J123" s="10" t="n">
        <v>155.27</v>
      </c>
      <c r="K123" s="10" t="n">
        <v>58.23</v>
      </c>
      <c r="L123" s="10" t="n">
        <v>776.33</v>
      </c>
      <c r="M123" s="11" t="inlineStr"/>
      <c r="N123" s="10" t="n">
        <v>21.2501</v>
      </c>
      <c r="O123" s="10" t="inlineStr"/>
      <c r="P123" s="11">
        <f>IF($O123&lt;&gt;"",$O123,$AO123)</f>
        <v/>
      </c>
      <c r="Q123" s="10" t="inlineStr"/>
      <c r="R123" s="10" t="inlineStr"/>
      <c r="S123" s="10" t="inlineStr"/>
      <c r="T123" s="10" t="inlineStr"/>
      <c r="U123" s="10" t="inlineStr"/>
      <c r="V123" s="10" t="inlineStr"/>
      <c r="W123" s="10" t="inlineStr"/>
      <c r="X123" s="9" t="n">
        <v>48</v>
      </c>
      <c r="Y123" s="10" t="inlineStr"/>
      <c r="Z123" s="10" t="inlineStr"/>
      <c r="AA123" s="10" t="n">
        <v>25.7</v>
      </c>
      <c r="AB123" s="10" t="inlineStr"/>
      <c r="AC123" s="10" t="inlineStr"/>
      <c r="AD123" s="10" t="inlineStr"/>
      <c r="AE123" s="10" t="n">
        <v>4.06</v>
      </c>
      <c r="AF123" s="10" t="n">
        <v>1.96</v>
      </c>
      <c r="AG123" s="10" t="n">
        <v>3.76</v>
      </c>
      <c r="AH123" s="10" t="n">
        <v>1.2</v>
      </c>
      <c r="AI123" s="10" t="inlineStr"/>
      <c r="AJ123" s="11">
        <f>IFERROR(INDEX(Country_Context!$B$2:$B$87,MATCH($C123,Country_Context!$A$2:$A$87,0)),"")</f>
        <v/>
      </c>
      <c r="AK123" s="11">
        <f>IFERROR(INDEX(Country_Context!$C$2:$C$87,MATCH($C123,Country_Context!$A$2:$A$87,0)),"")</f>
        <v/>
      </c>
      <c r="AL123" s="11">
        <f>IFERROR(INDEX(Country_Context!$D$2:$D$87,MATCH($C123,Country_Context!$A$2:$A$87,0)),"")</f>
        <v/>
      </c>
      <c r="AM123" s="11">
        <f>IFERROR(INDEX(Country_Context!$E$2:$E$87,MATCH($C123,Country_Context!$A$2:$A$87,0)),"")</f>
        <v/>
      </c>
      <c r="AN123" s="11">
        <f>IFERROR(INDEX(Country_Context!$F$2:$F$87,MATCH($C123,Country_Context!$A$2:$A$87,0)),"")</f>
        <v/>
      </c>
      <c r="AO123" s="11">
        <f>IFERROR(INDEX(Country_Context!$G$2:$G$87,MATCH($C123,Country_Context!$A$2:$A$87,0)),"")</f>
        <v/>
      </c>
      <c r="AP123" s="12" t="inlineStr">
        <is>
          <t>https://api.worldbank.org/v2/country/CZE/indicator/NY.GNP.PCAP.PP.CD?format=json&amp;mrv=10 | https://data.worldbank.org/indicator/NY.GNP.PCAP.PP.CD</t>
        </is>
      </c>
      <c r="AQ123" s="12" t="inlineStr">
        <is>
          <t>Tier 4</t>
        </is>
      </c>
      <c r="AR123" s="12" t="inlineStr">
        <is>
          <t>2024-12-31</t>
        </is>
      </c>
      <c r="AS123" s="12" t="inlineStr">
        <is>
          <t>providers=world_bank_col_estimate, derived; fields=gross_income, rent, utilities, transit_cost; +3 additional fields</t>
        </is>
      </c>
      <c r="AT123" s="12" t="inlineStr">
        <is>
          <t>https://worldweather.wmo.int</t>
        </is>
      </c>
      <c r="AU123" s="12" t="inlineStr">
        <is>
          <t>Tier 3</t>
        </is>
      </c>
      <c r="AV123" s="12" t="inlineStr">
        <is>
          <t>2024-12-31</t>
        </is>
      </c>
      <c r="AW123" s="12" t="inlineStr">
        <is>
          <t>providers=wmo_natl_met; fields=climate_sunlight_livability_raw</t>
        </is>
      </c>
      <c r="AX123" s="12" t="inlineStr">
        <is>
          <t>https://api.worldbank.org/v2/country/CZE/indicator/SI.POV.GINI?format=json&amp;mrv=10</t>
        </is>
      </c>
      <c r="AY123" s="12" t="inlineStr">
        <is>
          <t>Tier 3</t>
        </is>
      </c>
      <c r="AZ123" s="12" t="inlineStr">
        <is>
          <t>2023-12-31</t>
        </is>
      </c>
      <c r="BA123" s="12" t="inlineStr">
        <is>
          <t>providers=world_bank; fields=equal_opportunity_raw</t>
        </is>
      </c>
      <c r="BB123" s="12" t="inlineStr"/>
      <c r="BC123" s="12" t="inlineStr"/>
      <c r="BD123" s="12" t="inlineStr"/>
      <c r="BE123" s="12" t="inlineStr"/>
      <c r="BF123" s="12" t="inlineStr">
        <is>
          <t>https://api.worldbank.org/v2/country/CZE/indicator/IC.BUS.NDNS.ZS?format=json&amp;mrv=10 | https://api.worldbank.org/v2/country/CZE/indicator/GB.XPD.RSDV.GD.ZS?format=json&amp;mrv=10 | https://api.worldbank.org/v2/country/CZE/indicator/BX.KLT.DINV.WD.GD.ZS?format=json&amp;mrv=10 | +1 more</t>
        </is>
      </c>
      <c r="BG123" s="12" t="inlineStr">
        <is>
          <t>Tier 3</t>
        </is>
      </c>
      <c r="BH123" s="12" t="inlineStr">
        <is>
          <t>2024-12-31</t>
        </is>
      </c>
      <c r="BI123" s="12" t="inlineStr">
        <is>
          <t>providers=world_bank; fields=entrepreneurial_dynamism_raw, innovation_research_intensity_raw, investment_signal_raw, administrative_investment_friction_raw</t>
        </is>
      </c>
      <c r="BJ123" s="9" t="inlineStr"/>
    </row>
    <row r="124">
      <c r="A124" s="9" t="inlineStr">
        <is>
          <t>si-ljubljana</t>
        </is>
      </c>
      <c r="B124" s="9" t="inlineStr">
        <is>
          <t>Ljubljana</t>
        </is>
      </c>
      <c r="C124" s="9" t="inlineStr">
        <is>
          <t>Slovenia</t>
        </is>
      </c>
      <c r="D124" s="9" t="inlineStr">
        <is>
          <t>Southern/Eastern Europe and Eurasia</t>
        </is>
      </c>
      <c r="E124" s="9" t="inlineStr">
        <is>
          <t>primary</t>
        </is>
      </c>
      <c r="F124" s="9" t="inlineStr">
        <is>
          <t>provisional</t>
        </is>
      </c>
      <c r="G124" s="10" t="n">
        <v>4710</v>
      </c>
      <c r="H124" s="10" t="n">
        <v>1059.75</v>
      </c>
      <c r="I124" s="10" t="n">
        <v>339.12</v>
      </c>
      <c r="J124" s="10" t="n">
        <v>169.56</v>
      </c>
      <c r="K124" s="10" t="n">
        <v>63.58</v>
      </c>
      <c r="L124" s="10" t="n">
        <v>847.8</v>
      </c>
      <c r="M124" s="11" t="inlineStr"/>
      <c r="N124" s="10" t="n">
        <v>22.5</v>
      </c>
      <c r="O124" s="10" t="inlineStr"/>
      <c r="P124" s="11">
        <f>IF($O124&lt;&gt;"",$O124,$AO124)</f>
        <v/>
      </c>
      <c r="Q124" s="10" t="inlineStr"/>
      <c r="R124" s="10" t="inlineStr"/>
      <c r="S124" s="10" t="inlineStr"/>
      <c r="T124" s="10" t="inlineStr"/>
      <c r="U124" s="10" t="inlineStr"/>
      <c r="V124" s="10" t="inlineStr"/>
      <c r="W124" s="10" t="inlineStr"/>
      <c r="X124" s="9" t="n">
        <v>50</v>
      </c>
      <c r="Y124" s="10" t="inlineStr"/>
      <c r="Z124" s="10" t="inlineStr"/>
      <c r="AA124" s="10" t="n">
        <v>24.7</v>
      </c>
      <c r="AB124" s="10" t="inlineStr"/>
      <c r="AC124" s="10" t="inlineStr"/>
      <c r="AD124" s="10" t="inlineStr"/>
      <c r="AE124" s="10" t="n">
        <v>2.76</v>
      </c>
      <c r="AF124" s="10" t="n">
        <v>2.1</v>
      </c>
      <c r="AG124" s="10" t="n">
        <v>2.56</v>
      </c>
      <c r="AH124" s="10" t="n">
        <v>1.77</v>
      </c>
      <c r="AI124" s="10" t="inlineStr"/>
      <c r="AJ124" s="11">
        <f>IFERROR(INDEX(Country_Context!$B$2:$B$87,MATCH($C124,Country_Context!$A$2:$A$87,0)),"")</f>
        <v/>
      </c>
      <c r="AK124" s="11">
        <f>IFERROR(INDEX(Country_Context!$C$2:$C$87,MATCH($C124,Country_Context!$A$2:$A$87,0)),"")</f>
        <v/>
      </c>
      <c r="AL124" s="11">
        <f>IFERROR(INDEX(Country_Context!$D$2:$D$87,MATCH($C124,Country_Context!$A$2:$A$87,0)),"")</f>
        <v/>
      </c>
      <c r="AM124" s="11">
        <f>IFERROR(INDEX(Country_Context!$E$2:$E$87,MATCH($C124,Country_Context!$A$2:$A$87,0)),"")</f>
        <v/>
      </c>
      <c r="AN124" s="11">
        <f>IFERROR(INDEX(Country_Context!$F$2:$F$87,MATCH($C124,Country_Context!$A$2:$A$87,0)),"")</f>
        <v/>
      </c>
      <c r="AO124" s="11">
        <f>IFERROR(INDEX(Country_Context!$G$2:$G$87,MATCH($C124,Country_Context!$A$2:$A$87,0)),"")</f>
        <v/>
      </c>
      <c r="AP124" s="12" t="inlineStr">
        <is>
          <t>https://api.worldbank.org/v2/country/SVN/indicator/NY.GNP.PCAP.PP.CD?format=json&amp;mrv=10 | https://data.worldbank.org/indicator/NY.GNP.PCAP.PP.CD</t>
        </is>
      </c>
      <c r="AQ124" s="12" t="inlineStr">
        <is>
          <t>Tier 4</t>
        </is>
      </c>
      <c r="AR124" s="12" t="inlineStr">
        <is>
          <t>2024-12-31</t>
        </is>
      </c>
      <c r="AS124" s="12" t="inlineStr">
        <is>
          <t>providers=world_bank_col_estimate, derived; fields=gross_income, rent, utilities, transit_cost; +3 additional fields</t>
        </is>
      </c>
      <c r="AT124" s="12" t="inlineStr">
        <is>
          <t>https://worldweather.wmo.int</t>
        </is>
      </c>
      <c r="AU124" s="12" t="inlineStr">
        <is>
          <t>Tier 3</t>
        </is>
      </c>
      <c r="AV124" s="12" t="inlineStr">
        <is>
          <t>2024-12-31</t>
        </is>
      </c>
      <c r="AW124" s="12" t="inlineStr">
        <is>
          <t>providers=wmo_natl_met; fields=climate_sunlight_livability_raw</t>
        </is>
      </c>
      <c r="AX124" s="12" t="inlineStr">
        <is>
          <t>https://api.worldbank.org/v2/country/SVN/indicator/SI.POV.GINI?format=json&amp;mrv=10</t>
        </is>
      </c>
      <c r="AY124" s="12" t="inlineStr">
        <is>
          <t>Tier 3</t>
        </is>
      </c>
      <c r="AZ124" s="12" t="inlineStr">
        <is>
          <t>2023-12-31</t>
        </is>
      </c>
      <c r="BA124" s="12" t="inlineStr">
        <is>
          <t>providers=world_bank; fields=equal_opportunity_raw</t>
        </is>
      </c>
      <c r="BB124" s="12" t="inlineStr"/>
      <c r="BC124" s="12" t="inlineStr"/>
      <c r="BD124" s="12" t="inlineStr"/>
      <c r="BE124" s="12" t="inlineStr"/>
      <c r="BF124" s="12" t="inlineStr">
        <is>
          <t>https://api.worldbank.org/v2/country/SVN/indicator/IC.BUS.NDNS.ZS?format=json&amp;mrv=10 | https://api.worldbank.org/v2/country/SVN/indicator/GB.XPD.RSDV.GD.ZS?format=json&amp;mrv=10 | https://api.worldbank.org/v2/country/SVN/indicator/BX.KLT.DINV.WD.GD.ZS?format=json&amp;mrv=10 | +1 more</t>
        </is>
      </c>
      <c r="BG124" s="12" t="inlineStr">
        <is>
          <t>Tier 3</t>
        </is>
      </c>
      <c r="BH124" s="12" t="inlineStr">
        <is>
          <t>2024-12-31</t>
        </is>
      </c>
      <c r="BI124" s="12" t="inlineStr">
        <is>
          <t>providers=world_bank; fields=entrepreneurial_dynamism_raw, innovation_research_intensity_raw, investment_signal_raw, administrative_investment_friction_raw</t>
        </is>
      </c>
      <c r="BJ124" s="9" t="inlineStr"/>
    </row>
    <row r="125">
      <c r="A125" s="9" t="inlineStr">
        <is>
          <t>hr-zagreb</t>
        </is>
      </c>
      <c r="B125" s="9" t="inlineStr">
        <is>
          <t>Zagreb</t>
        </is>
      </c>
      <c r="C125" s="9" t="inlineStr">
        <is>
          <t>Croatia</t>
        </is>
      </c>
      <c r="D125" s="9" t="inlineStr">
        <is>
          <t>Southern/Eastern Europe and Eurasia</t>
        </is>
      </c>
      <c r="E125" s="9" t="inlineStr">
        <is>
          <t>primary</t>
        </is>
      </c>
      <c r="F125" s="9" t="inlineStr">
        <is>
          <t>provisional</t>
        </is>
      </c>
      <c r="G125" s="10" t="n">
        <v>4145</v>
      </c>
      <c r="H125" s="10" t="n">
        <v>932.62</v>
      </c>
      <c r="I125" s="10" t="n">
        <v>298.44</v>
      </c>
      <c r="J125" s="10" t="n">
        <v>149.22</v>
      </c>
      <c r="K125" s="10" t="n">
        <v>55.96</v>
      </c>
      <c r="L125" s="10" t="n">
        <v>746.1</v>
      </c>
      <c r="M125" s="11" t="inlineStr"/>
      <c r="N125" s="10" t="n">
        <v>22.4999</v>
      </c>
      <c r="O125" s="10" t="inlineStr"/>
      <c r="P125" s="11">
        <f>IF($O125&lt;&gt;"",$O125,$AO125)</f>
        <v/>
      </c>
      <c r="Q125" s="10" t="inlineStr"/>
      <c r="R125" s="10" t="inlineStr"/>
      <c r="S125" s="10" t="inlineStr"/>
      <c r="T125" s="10" t="inlineStr"/>
      <c r="U125" s="10" t="inlineStr"/>
      <c r="V125" s="10" t="inlineStr"/>
      <c r="W125" s="10" t="inlineStr"/>
      <c r="X125" s="9" t="n">
        <v>52</v>
      </c>
      <c r="Y125" s="10" t="inlineStr"/>
      <c r="Z125" s="10" t="inlineStr"/>
      <c r="AA125" s="10" t="n">
        <v>30.1</v>
      </c>
      <c r="AB125" s="10" t="inlineStr"/>
      <c r="AC125" s="10" t="inlineStr"/>
      <c r="AD125" s="10" t="inlineStr"/>
      <c r="AE125" s="10" t="n">
        <v>6.25</v>
      </c>
      <c r="AF125" s="10" t="n">
        <v>1.4</v>
      </c>
      <c r="AG125" s="10" t="n">
        <v>4.88</v>
      </c>
      <c r="AH125" s="10" t="n">
        <v>1.86</v>
      </c>
      <c r="AI125" s="10" t="inlineStr"/>
      <c r="AJ125" s="11">
        <f>IFERROR(INDEX(Country_Context!$B$2:$B$87,MATCH($C125,Country_Context!$A$2:$A$87,0)),"")</f>
        <v/>
      </c>
      <c r="AK125" s="11">
        <f>IFERROR(INDEX(Country_Context!$C$2:$C$87,MATCH($C125,Country_Context!$A$2:$A$87,0)),"")</f>
        <v/>
      </c>
      <c r="AL125" s="11">
        <f>IFERROR(INDEX(Country_Context!$D$2:$D$87,MATCH($C125,Country_Context!$A$2:$A$87,0)),"")</f>
        <v/>
      </c>
      <c r="AM125" s="11">
        <f>IFERROR(INDEX(Country_Context!$E$2:$E$87,MATCH($C125,Country_Context!$A$2:$A$87,0)),"")</f>
        <v/>
      </c>
      <c r="AN125" s="11">
        <f>IFERROR(INDEX(Country_Context!$F$2:$F$87,MATCH($C125,Country_Context!$A$2:$A$87,0)),"")</f>
        <v/>
      </c>
      <c r="AO125" s="11">
        <f>IFERROR(INDEX(Country_Context!$G$2:$G$87,MATCH($C125,Country_Context!$A$2:$A$87,0)),"")</f>
        <v/>
      </c>
      <c r="AP125" s="12" t="inlineStr">
        <is>
          <t>https://api.worldbank.org/v2/country/HRV/indicator/NY.GNP.PCAP.PP.CD?format=json&amp;mrv=10 | https://data.worldbank.org/indicator/NY.GNP.PCAP.PP.CD</t>
        </is>
      </c>
      <c r="AQ125" s="12" t="inlineStr">
        <is>
          <t>Tier 4</t>
        </is>
      </c>
      <c r="AR125" s="12" t="inlineStr">
        <is>
          <t>2024-12-31</t>
        </is>
      </c>
      <c r="AS125" s="12" t="inlineStr">
        <is>
          <t>providers=world_bank_col_estimate, derived; fields=gross_income, rent, utilities, transit_cost; +3 additional fields</t>
        </is>
      </c>
      <c r="AT125" s="12" t="inlineStr">
        <is>
          <t>https://worldweather.wmo.int</t>
        </is>
      </c>
      <c r="AU125" s="12" t="inlineStr">
        <is>
          <t>Tier 3</t>
        </is>
      </c>
      <c r="AV125" s="12" t="inlineStr">
        <is>
          <t>2024-12-31</t>
        </is>
      </c>
      <c r="AW125" s="12" t="inlineStr">
        <is>
          <t>providers=wmo_natl_met; fields=climate_sunlight_livability_raw</t>
        </is>
      </c>
      <c r="AX125" s="12" t="inlineStr">
        <is>
          <t>https://api.worldbank.org/v2/country/HRV/indicator/SI.POV.GINI?format=json&amp;mrv=10</t>
        </is>
      </c>
      <c r="AY125" s="12" t="inlineStr">
        <is>
          <t>Tier 3</t>
        </is>
      </c>
      <c r="AZ125" s="12" t="inlineStr">
        <is>
          <t>2023-12-31</t>
        </is>
      </c>
      <c r="BA125" s="12" t="inlineStr">
        <is>
          <t>providers=world_bank; fields=equal_opportunity_raw</t>
        </is>
      </c>
      <c r="BB125" s="12" t="inlineStr"/>
      <c r="BC125" s="12" t="inlineStr"/>
      <c r="BD125" s="12" t="inlineStr"/>
      <c r="BE125" s="12" t="inlineStr"/>
      <c r="BF125" s="12" t="inlineStr">
        <is>
          <t>https://api.worldbank.org/v2/country/HRV/indicator/IC.BUS.NDNS.ZS?format=json&amp;mrv=10 | https://api.worldbank.org/v2/country/HRV/indicator/GB.XPD.RSDV.GD.ZS?format=json&amp;mrv=10 | https://api.worldbank.org/v2/country/HRV/indicator/BX.KLT.DINV.WD.GD.ZS?format=json&amp;mrv=10 | +1 more</t>
        </is>
      </c>
      <c r="BG125" s="12" t="inlineStr">
        <is>
          <t>Tier 3</t>
        </is>
      </c>
      <c r="BH125" s="12" t="inlineStr">
        <is>
          <t>2024-12-31</t>
        </is>
      </c>
      <c r="BI125" s="12" t="inlineStr">
        <is>
          <t>providers=world_bank; fields=entrepreneurial_dynamism_raw, innovation_research_intensity_raw, investment_signal_raw, administrative_investment_friction_raw</t>
        </is>
      </c>
      <c r="BJ125" s="9" t="inlineStr"/>
    </row>
    <row r="126">
      <c r="A126" s="9" t="inlineStr">
        <is>
          <t>lt-vilnius</t>
        </is>
      </c>
      <c r="B126" s="9" t="inlineStr">
        <is>
          <t>Vilnius</t>
        </is>
      </c>
      <c r="C126" s="9" t="inlineStr">
        <is>
          <t>Lithuania</t>
        </is>
      </c>
      <c r="D126" s="9" t="inlineStr">
        <is>
          <t>Southern/Eastern Europe and Eurasia</t>
        </is>
      </c>
      <c r="E126" s="9" t="inlineStr">
        <is>
          <t>primary</t>
        </is>
      </c>
      <c r="F126" s="9" t="inlineStr">
        <is>
          <t>provisional</t>
        </is>
      </c>
      <c r="G126" s="10" t="n">
        <v>4493.33</v>
      </c>
      <c r="H126" s="10" t="n">
        <v>1011</v>
      </c>
      <c r="I126" s="10" t="n">
        <v>323.52</v>
      </c>
      <c r="J126" s="10" t="n">
        <v>161.76</v>
      </c>
      <c r="K126" s="10" t="n">
        <v>60.66</v>
      </c>
      <c r="L126" s="10" t="n">
        <v>808.8</v>
      </c>
      <c r="M126" s="11" t="inlineStr"/>
      <c r="N126" s="10" t="n">
        <v>22.5</v>
      </c>
      <c r="O126" s="10" t="inlineStr"/>
      <c r="P126" s="11">
        <f>IF($O126&lt;&gt;"",$O126,$AO126)</f>
        <v/>
      </c>
      <c r="Q126" s="10" t="inlineStr"/>
      <c r="R126" s="10" t="inlineStr"/>
      <c r="S126" s="10" t="inlineStr"/>
      <c r="T126" s="10" t="inlineStr"/>
      <c r="U126" s="10" t="inlineStr"/>
      <c r="V126" s="10" t="inlineStr"/>
      <c r="W126" s="10" t="inlineStr"/>
      <c r="X126" s="9" t="n">
        <v>36</v>
      </c>
      <c r="Y126" s="10" t="inlineStr"/>
      <c r="Z126" s="10" t="inlineStr"/>
      <c r="AA126" s="10" t="n">
        <v>36</v>
      </c>
      <c r="AB126" s="10" t="inlineStr"/>
      <c r="AC126" s="10" t="inlineStr"/>
      <c r="AD126" s="10" t="inlineStr"/>
      <c r="AE126" s="10" t="n">
        <v>2.95</v>
      </c>
      <c r="AF126" s="10" t="n">
        <v>1.05</v>
      </c>
      <c r="AG126" s="10" t="n">
        <v>5.54</v>
      </c>
      <c r="AH126" s="10" t="n">
        <v>1.16</v>
      </c>
      <c r="AI126" s="10" t="inlineStr"/>
      <c r="AJ126" s="11">
        <f>IFERROR(INDEX(Country_Context!$B$2:$B$87,MATCH($C126,Country_Context!$A$2:$A$87,0)),"")</f>
        <v/>
      </c>
      <c r="AK126" s="11">
        <f>IFERROR(INDEX(Country_Context!$C$2:$C$87,MATCH($C126,Country_Context!$A$2:$A$87,0)),"")</f>
        <v/>
      </c>
      <c r="AL126" s="11">
        <f>IFERROR(INDEX(Country_Context!$D$2:$D$87,MATCH($C126,Country_Context!$A$2:$A$87,0)),"")</f>
        <v/>
      </c>
      <c r="AM126" s="11">
        <f>IFERROR(INDEX(Country_Context!$E$2:$E$87,MATCH($C126,Country_Context!$A$2:$A$87,0)),"")</f>
        <v/>
      </c>
      <c r="AN126" s="11">
        <f>IFERROR(INDEX(Country_Context!$F$2:$F$87,MATCH($C126,Country_Context!$A$2:$A$87,0)),"")</f>
        <v/>
      </c>
      <c r="AO126" s="11">
        <f>IFERROR(INDEX(Country_Context!$G$2:$G$87,MATCH($C126,Country_Context!$A$2:$A$87,0)),"")</f>
        <v/>
      </c>
      <c r="AP126" s="12" t="inlineStr">
        <is>
          <t>https://api.worldbank.org/v2/country/LTU/indicator/NY.GNP.PCAP.PP.CD?format=json&amp;mrv=10 | https://data.worldbank.org/indicator/NY.GNP.PCAP.PP.CD</t>
        </is>
      </c>
      <c r="AQ126" s="12" t="inlineStr">
        <is>
          <t>Tier 4</t>
        </is>
      </c>
      <c r="AR126" s="12" t="inlineStr">
        <is>
          <t>2024-12-31</t>
        </is>
      </c>
      <c r="AS126" s="12" t="inlineStr">
        <is>
          <t>providers=world_bank_col_estimate, derived; fields=gross_income, rent, utilities, transit_cost; +3 additional fields</t>
        </is>
      </c>
      <c r="AT126" s="12" t="inlineStr">
        <is>
          <t>https://worldweather.wmo.int</t>
        </is>
      </c>
      <c r="AU126" s="12" t="inlineStr">
        <is>
          <t>Tier 3</t>
        </is>
      </c>
      <c r="AV126" s="12" t="inlineStr">
        <is>
          <t>2024-12-31</t>
        </is>
      </c>
      <c r="AW126" s="12" t="inlineStr">
        <is>
          <t>providers=wmo_natl_met; fields=climate_sunlight_livability_raw</t>
        </is>
      </c>
      <c r="AX126" s="12" t="inlineStr">
        <is>
          <t>https://api.worldbank.org/v2/country/LTU/indicator/SI.POV.GINI?format=json&amp;mrv=10</t>
        </is>
      </c>
      <c r="AY126" s="12" t="inlineStr">
        <is>
          <t>Tier 3</t>
        </is>
      </c>
      <c r="AZ126" s="12" t="inlineStr">
        <is>
          <t>2023-12-31</t>
        </is>
      </c>
      <c r="BA126" s="12" t="inlineStr">
        <is>
          <t>providers=world_bank; fields=equal_opportunity_raw</t>
        </is>
      </c>
      <c r="BB126" s="12" t="inlineStr"/>
      <c r="BC126" s="12" t="inlineStr"/>
      <c r="BD126" s="12" t="inlineStr"/>
      <c r="BE126" s="12" t="inlineStr"/>
      <c r="BF126" s="12" t="inlineStr">
        <is>
          <t>https://api.worldbank.org/v2/country/LTU/indicator/IC.BUS.NDNS.ZS?format=json&amp;mrv=10 | https://api.worldbank.org/v2/country/LTU/indicator/GB.XPD.RSDV.GD.ZS?format=json&amp;mrv=10 | https://api.worldbank.org/v2/country/LTU/indicator/BX.KLT.DINV.WD.GD.ZS?format=json&amp;mrv=10 | +1 more</t>
        </is>
      </c>
      <c r="BG126" s="12" t="inlineStr">
        <is>
          <t>Tier 3</t>
        </is>
      </c>
      <c r="BH126" s="12" t="inlineStr">
        <is>
          <t>2024-12-31</t>
        </is>
      </c>
      <c r="BI126" s="12" t="inlineStr">
        <is>
          <t>providers=world_bank; fields=entrepreneurial_dynamism_raw, innovation_research_intensity_raw, investment_signal_raw, administrative_investment_friction_raw</t>
        </is>
      </c>
      <c r="BJ126" s="9" t="inlineStr"/>
    </row>
    <row r="127">
      <c r="A127" s="9" t="inlineStr">
        <is>
          <t>lv-riga</t>
        </is>
      </c>
      <c r="B127" s="9" t="inlineStr">
        <is>
          <t>Riga</t>
        </is>
      </c>
      <c r="C127" s="9" t="inlineStr">
        <is>
          <t>Latvia</t>
        </is>
      </c>
      <c r="D127" s="9" t="inlineStr">
        <is>
          <t>Southern/Eastern Europe and Eurasia</t>
        </is>
      </c>
      <c r="E127" s="9" t="inlineStr">
        <is>
          <t>primary</t>
        </is>
      </c>
      <c r="F127" s="9" t="inlineStr">
        <is>
          <t>provisional</t>
        </is>
      </c>
      <c r="G127" s="10" t="n">
        <v>3555</v>
      </c>
      <c r="H127" s="10" t="n">
        <v>755.4400000000001</v>
      </c>
      <c r="I127" s="10" t="n">
        <v>241.74</v>
      </c>
      <c r="J127" s="10" t="n">
        <v>120.87</v>
      </c>
      <c r="K127" s="10" t="n">
        <v>45.33</v>
      </c>
      <c r="L127" s="10" t="n">
        <v>604.35</v>
      </c>
      <c r="M127" s="11" t="inlineStr"/>
      <c r="N127" s="10" t="n">
        <v>21.2501</v>
      </c>
      <c r="O127" s="10" t="inlineStr"/>
      <c r="P127" s="11">
        <f>IF($O127&lt;&gt;"",$O127,$AO127)</f>
        <v/>
      </c>
      <c r="Q127" s="10" t="inlineStr"/>
      <c r="R127" s="10" t="inlineStr"/>
      <c r="S127" s="10" t="inlineStr"/>
      <c r="T127" s="10" t="inlineStr"/>
      <c r="U127" s="10" t="inlineStr"/>
      <c r="V127" s="10" t="inlineStr"/>
      <c r="W127" s="10" t="inlineStr"/>
      <c r="X127" s="9" t="n">
        <v>34</v>
      </c>
      <c r="Y127" s="10" t="inlineStr"/>
      <c r="Z127" s="10" t="inlineStr"/>
      <c r="AA127" s="10" t="n">
        <v>34</v>
      </c>
      <c r="AB127" s="10" t="inlineStr"/>
      <c r="AC127" s="10" t="inlineStr"/>
      <c r="AD127" s="10" t="inlineStr"/>
      <c r="AE127" s="10" t="n">
        <v>6.73</v>
      </c>
      <c r="AF127" s="10" t="n">
        <v>0.76</v>
      </c>
      <c r="AG127" s="10" t="n">
        <v>3.47</v>
      </c>
      <c r="AH127" s="10" t="n">
        <v>1.33</v>
      </c>
      <c r="AI127" s="10" t="inlineStr"/>
      <c r="AJ127" s="11">
        <f>IFERROR(INDEX(Country_Context!$B$2:$B$87,MATCH($C127,Country_Context!$A$2:$A$87,0)),"")</f>
        <v/>
      </c>
      <c r="AK127" s="11">
        <f>IFERROR(INDEX(Country_Context!$C$2:$C$87,MATCH($C127,Country_Context!$A$2:$A$87,0)),"")</f>
        <v/>
      </c>
      <c r="AL127" s="11">
        <f>IFERROR(INDEX(Country_Context!$D$2:$D$87,MATCH($C127,Country_Context!$A$2:$A$87,0)),"")</f>
        <v/>
      </c>
      <c r="AM127" s="11">
        <f>IFERROR(INDEX(Country_Context!$E$2:$E$87,MATCH($C127,Country_Context!$A$2:$A$87,0)),"")</f>
        <v/>
      </c>
      <c r="AN127" s="11">
        <f>IFERROR(INDEX(Country_Context!$F$2:$F$87,MATCH($C127,Country_Context!$A$2:$A$87,0)),"")</f>
        <v/>
      </c>
      <c r="AO127" s="11">
        <f>IFERROR(INDEX(Country_Context!$G$2:$G$87,MATCH($C127,Country_Context!$A$2:$A$87,0)),"")</f>
        <v/>
      </c>
      <c r="AP127" s="12" t="inlineStr">
        <is>
          <t>https://api.worldbank.org/v2/country/LVA/indicator/NY.GNP.PCAP.PP.CD?format=json&amp;mrv=10 | https://data.worldbank.org/indicator/NY.GNP.PCAP.PP.CD</t>
        </is>
      </c>
      <c r="AQ127" s="12" t="inlineStr">
        <is>
          <t>Tier 4</t>
        </is>
      </c>
      <c r="AR127" s="12" t="inlineStr">
        <is>
          <t>2024-12-31</t>
        </is>
      </c>
      <c r="AS127" s="12" t="inlineStr">
        <is>
          <t>providers=world_bank_col_estimate, derived; fields=gross_income, rent, utilities, transit_cost; +3 additional fields</t>
        </is>
      </c>
      <c r="AT127" s="12" t="inlineStr">
        <is>
          <t>https://worldweather.wmo.int</t>
        </is>
      </c>
      <c r="AU127" s="12" t="inlineStr">
        <is>
          <t>Tier 3</t>
        </is>
      </c>
      <c r="AV127" s="12" t="inlineStr">
        <is>
          <t>2024-12-31</t>
        </is>
      </c>
      <c r="AW127" s="12" t="inlineStr">
        <is>
          <t>providers=wmo_natl_met; fields=climate_sunlight_livability_raw</t>
        </is>
      </c>
      <c r="AX127" s="12" t="inlineStr">
        <is>
          <t>https://api.worldbank.org/v2/country/LVA/indicator/SI.POV.GINI?format=json&amp;mrv=10</t>
        </is>
      </c>
      <c r="AY127" s="12" t="inlineStr">
        <is>
          <t>Tier 3</t>
        </is>
      </c>
      <c r="AZ127" s="12" t="inlineStr">
        <is>
          <t>2023-12-31</t>
        </is>
      </c>
      <c r="BA127" s="12" t="inlineStr">
        <is>
          <t>providers=world_bank; fields=equal_opportunity_raw</t>
        </is>
      </c>
      <c r="BB127" s="12" t="inlineStr"/>
      <c r="BC127" s="12" t="inlineStr"/>
      <c r="BD127" s="12" t="inlineStr"/>
      <c r="BE127" s="12" t="inlineStr"/>
      <c r="BF127" s="12" t="inlineStr">
        <is>
          <t>https://api.worldbank.org/v2/country/LVA/indicator/IC.BUS.NDNS.ZS?format=json&amp;mrv=10 | https://api.worldbank.org/v2/country/LVA/indicator/GB.XPD.RSDV.GD.ZS?format=json&amp;mrv=10 | https://api.worldbank.org/v2/country/LVA/indicator/BX.KLT.DINV.WD.GD.ZS?format=json&amp;mrv=10 | +1 more</t>
        </is>
      </c>
      <c r="BG127" s="12" t="inlineStr">
        <is>
          <t>Tier 3</t>
        </is>
      </c>
      <c r="BH127" s="12" t="inlineStr">
        <is>
          <t>2024-12-31</t>
        </is>
      </c>
      <c r="BI127" s="12" t="inlineStr">
        <is>
          <t>providers=world_bank; fields=entrepreneurial_dynamism_raw, innovation_research_intensity_raw, investment_signal_raw, administrative_investment_friction_raw</t>
        </is>
      </c>
      <c r="BJ127" s="9" t="inlineStr"/>
    </row>
    <row r="128">
      <c r="A128" s="9" t="inlineStr">
        <is>
          <t>ge-tbilisi</t>
        </is>
      </c>
      <c r="B128" s="9" t="inlineStr">
        <is>
          <t>Tbilisi</t>
        </is>
      </c>
      <c r="C128" s="9" t="inlineStr">
        <is>
          <t>Georgia</t>
        </is>
      </c>
      <c r="D128" s="9" t="inlineStr">
        <is>
          <t>Southern/Eastern Europe and Eurasia</t>
        </is>
      </c>
      <c r="E128" s="9" t="inlineStr">
        <is>
          <t>primary</t>
        </is>
      </c>
      <c r="F128" s="9" t="inlineStr">
        <is>
          <t>provisional</t>
        </is>
      </c>
      <c r="G128" s="10" t="n">
        <v>2183.33</v>
      </c>
      <c r="H128" s="10" t="n">
        <v>436.67</v>
      </c>
      <c r="I128" s="10" t="n">
        <v>139.73</v>
      </c>
      <c r="J128" s="10" t="n">
        <v>69.87</v>
      </c>
      <c r="K128" s="10" t="n">
        <v>26.2</v>
      </c>
      <c r="L128" s="10" t="n">
        <v>349.33</v>
      </c>
      <c r="M128" s="11" t="inlineStr"/>
      <c r="N128" s="10" t="n">
        <v>20.0002</v>
      </c>
      <c r="O128" s="10" t="inlineStr"/>
      <c r="P128" s="11">
        <f>IF($O128&lt;&gt;"",$O128,$AO128)</f>
        <v/>
      </c>
      <c r="Q128" s="10" t="inlineStr"/>
      <c r="R128" s="10" t="inlineStr"/>
      <c r="S128" s="10" t="inlineStr"/>
      <c r="T128" s="10" t="inlineStr"/>
      <c r="U128" s="10" t="inlineStr"/>
      <c r="V128" s="10" t="inlineStr"/>
      <c r="W128" s="10" t="inlineStr"/>
      <c r="X128" s="9" t="n">
        <v>56</v>
      </c>
      <c r="Y128" s="10" t="inlineStr"/>
      <c r="Z128" s="10" t="inlineStr"/>
      <c r="AA128" s="10" t="n">
        <v>33.9</v>
      </c>
      <c r="AB128" s="10" t="inlineStr"/>
      <c r="AC128" s="10" t="inlineStr"/>
      <c r="AD128" s="10" t="inlineStr"/>
      <c r="AE128" s="10" t="n">
        <v>8.5</v>
      </c>
      <c r="AF128" s="10" t="n">
        <v>0.25</v>
      </c>
      <c r="AG128" s="10" t="n">
        <v>4.69</v>
      </c>
      <c r="AH128" s="10" t="n">
        <v>1.55</v>
      </c>
      <c r="AI128" s="10" t="inlineStr"/>
      <c r="AJ128" s="11">
        <f>IFERROR(INDEX(Country_Context!$B$2:$B$87,MATCH($C128,Country_Context!$A$2:$A$87,0)),"")</f>
        <v/>
      </c>
      <c r="AK128" s="11">
        <f>IFERROR(INDEX(Country_Context!$C$2:$C$87,MATCH($C128,Country_Context!$A$2:$A$87,0)),"")</f>
        <v/>
      </c>
      <c r="AL128" s="11">
        <f>IFERROR(INDEX(Country_Context!$D$2:$D$87,MATCH($C128,Country_Context!$A$2:$A$87,0)),"")</f>
        <v/>
      </c>
      <c r="AM128" s="11">
        <f>IFERROR(INDEX(Country_Context!$E$2:$E$87,MATCH($C128,Country_Context!$A$2:$A$87,0)),"")</f>
        <v/>
      </c>
      <c r="AN128" s="11">
        <f>IFERROR(INDEX(Country_Context!$F$2:$F$87,MATCH($C128,Country_Context!$A$2:$A$87,0)),"")</f>
        <v/>
      </c>
      <c r="AO128" s="11">
        <f>IFERROR(INDEX(Country_Context!$G$2:$G$87,MATCH($C128,Country_Context!$A$2:$A$87,0)),"")</f>
        <v/>
      </c>
      <c r="AP128" s="12" t="inlineStr">
        <is>
          <t>https://api.worldbank.org/v2/country/GEO/indicator/NY.GNP.PCAP.PP.CD?format=json&amp;mrv=10 | https://data.worldbank.org/indicator/NY.GNP.PCAP.PP.CD</t>
        </is>
      </c>
      <c r="AQ128" s="12" t="inlineStr">
        <is>
          <t>Tier 4</t>
        </is>
      </c>
      <c r="AR128" s="12" t="inlineStr">
        <is>
          <t>2024-12-31</t>
        </is>
      </c>
      <c r="AS128" s="12" t="inlineStr">
        <is>
          <t>providers=world_bank_col_estimate, derived; fields=gross_income, rent, utilities, transit_cost; +3 additional fields</t>
        </is>
      </c>
      <c r="AT128" s="12" t="inlineStr">
        <is>
          <t>https://worldweather.wmo.int</t>
        </is>
      </c>
      <c r="AU128" s="12" t="inlineStr">
        <is>
          <t>Tier 3</t>
        </is>
      </c>
      <c r="AV128" s="12" t="inlineStr">
        <is>
          <t>2024-12-31</t>
        </is>
      </c>
      <c r="AW128" s="12" t="inlineStr">
        <is>
          <t>providers=wmo_natl_met; fields=climate_sunlight_livability_raw</t>
        </is>
      </c>
      <c r="AX128" s="12" t="inlineStr">
        <is>
          <t>https://api.worldbank.org/v2/country/GEO/indicator/SI.POV.GINI?format=json&amp;mrv=10</t>
        </is>
      </c>
      <c r="AY128" s="12" t="inlineStr">
        <is>
          <t>Tier 3</t>
        </is>
      </c>
      <c r="AZ128" s="12" t="inlineStr">
        <is>
          <t>2024-12-31</t>
        </is>
      </c>
      <c r="BA128" s="12" t="inlineStr">
        <is>
          <t>providers=world_bank; fields=equal_opportunity_raw</t>
        </is>
      </c>
      <c r="BB128" s="12" t="inlineStr"/>
      <c r="BC128" s="12" t="inlineStr"/>
      <c r="BD128" s="12" t="inlineStr"/>
      <c r="BE128" s="12" t="inlineStr"/>
      <c r="BF128" s="12" t="inlineStr">
        <is>
          <t>https://api.worldbank.org/v2/country/GEO/indicator/IC.BUS.NDNS.ZS?format=json&amp;mrv=10 | https://api.worldbank.org/v2/country/GEO/indicator/GB.XPD.RSDV.GD.ZS?format=json&amp;mrv=10 | https://api.worldbank.org/v2/country/GEO/indicator/BX.KLT.DINV.WD.GD.ZS?format=json&amp;mrv=10 | +1 more</t>
        </is>
      </c>
      <c r="BG128" s="12" t="inlineStr">
        <is>
          <t>Tier 3</t>
        </is>
      </c>
      <c r="BH128" s="12" t="inlineStr">
        <is>
          <t>2024-12-31</t>
        </is>
      </c>
      <c r="BI128" s="12" t="inlineStr">
        <is>
          <t>providers=world_bank; fields=entrepreneurial_dynamism_raw, innovation_research_intensity_raw, investment_signal_raw, administrative_investment_friction_raw</t>
        </is>
      </c>
      <c r="BJ128" s="9" t="inlineStr"/>
    </row>
    <row r="129">
      <c r="A129" s="9" t="inlineStr">
        <is>
          <t>fr-lyon</t>
        </is>
      </c>
      <c r="B129" s="9" t="inlineStr">
        <is>
          <t>Lyon</t>
        </is>
      </c>
      <c r="C129" s="9" t="inlineStr">
        <is>
          <t>France</t>
        </is>
      </c>
      <c r="D129" s="9" t="inlineStr">
        <is>
          <t>Western, Northern, and Southern Europe</t>
        </is>
      </c>
      <c r="E129" s="9" t="inlineStr">
        <is>
          <t>primary</t>
        </is>
      </c>
      <c r="F129" s="9" t="inlineStr">
        <is>
          <t>provisional</t>
        </is>
      </c>
      <c r="G129" s="10" t="n">
        <v>5323.33</v>
      </c>
      <c r="H129" s="10" t="n">
        <v>1583.69</v>
      </c>
      <c r="I129" s="10" t="n">
        <v>316.74</v>
      </c>
      <c r="J129" s="10" t="n">
        <v>226.24</v>
      </c>
      <c r="K129" s="10" t="n">
        <v>67.87</v>
      </c>
      <c r="L129" s="10" t="n">
        <v>678.72</v>
      </c>
      <c r="M129" s="11" t="inlineStr"/>
      <c r="N129" s="10" t="n">
        <v>29.75</v>
      </c>
      <c r="O129" s="10" t="n">
        <v>103.9081</v>
      </c>
      <c r="P129" s="11">
        <f>IF($O129&lt;&gt;"",$O129,$AO129)</f>
        <v/>
      </c>
      <c r="Q129" s="10" t="n">
        <v>35.49</v>
      </c>
      <c r="R129" s="10" t="n">
        <v>16.58</v>
      </c>
      <c r="S129" s="10" t="n">
        <v>1.34</v>
      </c>
      <c r="T129" s="10" t="inlineStr"/>
      <c r="U129" s="10" t="inlineStr"/>
      <c r="V129" s="10" t="n">
        <v>99.70999999999999</v>
      </c>
      <c r="W129" s="10" t="n">
        <v>48.67</v>
      </c>
      <c r="X129" s="9" t="n">
        <v>56</v>
      </c>
      <c r="Y129" s="10" t="n">
        <v>82</v>
      </c>
      <c r="Z129" s="10" t="n">
        <v>70.45</v>
      </c>
      <c r="AA129" s="10" t="n">
        <v>31.8</v>
      </c>
      <c r="AB129" s="10" t="n">
        <v>51.34</v>
      </c>
      <c r="AC129" s="10" t="n">
        <v>36.05</v>
      </c>
      <c r="AD129" s="10" t="n">
        <v>1708.33</v>
      </c>
      <c r="AE129" s="10" t="n">
        <v>6.71</v>
      </c>
      <c r="AF129" s="10" t="n">
        <v>2.23</v>
      </c>
      <c r="AG129" s="10" t="n">
        <v>1.65</v>
      </c>
      <c r="AH129" s="10" t="n">
        <v>1.35</v>
      </c>
      <c r="AI129" s="10" t="inlineStr"/>
      <c r="AJ129" s="11">
        <f>IFERROR(INDEX(Country_Context!$B$2:$B$87,MATCH($C129,Country_Context!$A$2:$A$87,0)),"")</f>
        <v/>
      </c>
      <c r="AK129" s="11">
        <f>IFERROR(INDEX(Country_Context!$C$2:$C$87,MATCH($C129,Country_Context!$A$2:$A$87,0)),"")</f>
        <v/>
      </c>
      <c r="AL129" s="11">
        <f>IFERROR(INDEX(Country_Context!$D$2:$D$87,MATCH($C129,Country_Context!$A$2:$A$87,0)),"")</f>
        <v/>
      </c>
      <c r="AM129" s="11">
        <f>IFERROR(INDEX(Country_Context!$E$2:$E$87,MATCH($C129,Country_Context!$A$2:$A$87,0)),"")</f>
        <v/>
      </c>
      <c r="AN129" s="11">
        <f>IFERROR(INDEX(Country_Context!$F$2:$F$87,MATCH($C129,Country_Context!$A$2:$A$87,0)),"")</f>
        <v/>
      </c>
      <c r="AO129" s="11">
        <f>IFERROR(INDEX(Country_Context!$G$2:$G$87,MATCH($C129,Country_Context!$A$2:$A$87,0)),"")</f>
        <v/>
      </c>
      <c r="AP129" s="12" t="inlineStr">
        <is>
          <t>https://api.worldbank.org/v2/country/FRA/indicator/NY.GNP.PCAP.PP.CD?format=json&amp;mrv=10 | https://data.worldbank.org/indicator/NY.GNP.PCAP.PP.CD | https://ilostat.ilo.org/data/indicator/?id=HOW_TEMP_SEX_ECO_NB_A&amp;ref_area=FRA | +4 more</t>
        </is>
      </c>
      <c r="AQ129" s="12" t="inlineStr">
        <is>
          <t>Tier 3, Tier 4</t>
        </is>
      </c>
      <c r="AR129" s="12" t="inlineStr">
        <is>
          <t>2024-12-31</t>
        </is>
      </c>
      <c r="AS129" s="12" t="inlineStr">
        <is>
          <t>providers=world_bank_col_estimate, derived, ilo_ilostat, who_gho; fields=gross_income, rent, utilities, transit_cost; +9 additional fields</t>
        </is>
      </c>
      <c r="AT129" s="12" t="inlineStr">
        <is>
          <t>https://api.worldbank.org/v2/country/FRA/indicator/VC.IHR.PSRC.P5?format=json&amp;mrv=10 | https://api.worldbank.org/v2/country/FRA/indicator/SH.H2O.SMDW.ZS?format=json&amp;mrv=10 | https://api.worldbank.org/v2/country/FRA/indicator/IT.NET.BBND.P2?format=json&amp;mrv=10 | +1 more</t>
        </is>
      </c>
      <c r="AU129" s="12" t="inlineStr">
        <is>
          <t>Tier 3</t>
        </is>
      </c>
      <c r="AV129" s="12" t="inlineStr">
        <is>
          <t>2024-12-31</t>
        </is>
      </c>
      <c r="AW129" s="12" t="inlineStr">
        <is>
          <t>providers=world_bank, wmo_natl_met; fields=personal_safety_raw, water_sanitation_utility_raw, digital_infrastructure_raw, climate_sunlight_livability_raw</t>
        </is>
      </c>
      <c r="AX129" s="12" t="inlineStr">
        <is>
          <t>https://www.who.int/data/gho/data/indicators/indicator-details/GHO/UHC_INDEX_REPORTED | https://api.worldbank.org/v2/country/FRA/indicator/SE.TER.ENRR?format=json&amp;mrv=10 | https://api.worldbank.org/v2/country/FRA/indicator/SI.POV.GINI?format=json&amp;mrv=10 | +1 more</t>
        </is>
      </c>
      <c r="AY129" s="12" t="inlineStr">
        <is>
          <t>Tier 3</t>
        </is>
      </c>
      <c r="AZ129" s="12" t="inlineStr">
        <is>
          <t>2023-12-31</t>
        </is>
      </c>
      <c r="BA129" s="12" t="inlineStr">
        <is>
          <t>providers=who_gho, world_bank; fields=healthcare_quality_raw, education_quality_raw, equal_opportunity_raw, gini_coefficient</t>
        </is>
      </c>
      <c r="BB129" s="12" t="inlineStr">
        <is>
          <t>https://api.worldbank.org/v2/country/FRA/indicator/SM.POP.NETM?format=json&amp;mrv=10 | https://api.worldbank.org/v2/country/FRA/indicator/SG.GEN.PARL.ZS?format=json&amp;mrv=10 | https://api.worldbank.org/v2/country/FRA/indicator/ST.INT.ARVL?format=json&amp;mrv=10 | +1 more</t>
        </is>
      </c>
      <c r="BC129" s="12" t="inlineStr">
        <is>
          <t>Tier 3</t>
        </is>
      </c>
      <c r="BD129" s="12" t="inlineStr">
        <is>
          <t>2025-12-31</t>
        </is>
      </c>
      <c r="BE129" s="12" t="inlineStr">
        <is>
          <t>providers=world_bank; fields=hospitality_belonging_raw, tolerance_pluralism_raw, cultural_public_life_raw, birth_rate_optimism_raw</t>
        </is>
      </c>
      <c r="BF129" s="12" t="inlineStr">
        <is>
          <t>https://api.worldbank.org/v2/country/FRA/indicator/IC.BUS.NDNS.ZS?format=json&amp;mrv=10 | https://api.worldbank.org/v2/country/FRA/indicator/GB.XPD.RSDV.GD.ZS?format=json&amp;mrv=10 | https://api.worldbank.org/v2/country/FRA/indicator/BX.KLT.DINV.WD.GD.ZS?format=json&amp;mrv=10 | +3 more</t>
        </is>
      </c>
      <c r="BG129" s="12" t="inlineStr">
        <is>
          <t>Tier 3</t>
        </is>
      </c>
      <c r="BH129" s="12" t="inlineStr">
        <is>
          <t>2024-12-31</t>
        </is>
      </c>
      <c r="BI129" s="12" t="inlineStr">
        <is>
          <t>providers=world_bank; fields=entrepreneurial_dynamism_raw, innovation_research_intensity_raw, investment_signal_raw, administrative_investment_friction_raw; +2 additional fields</t>
        </is>
      </c>
      <c r="BJ129" s="9" t="n">
        <v>1.68</v>
      </c>
    </row>
    <row r="130">
      <c r="A130" s="9" t="inlineStr">
        <is>
          <t>es-valencia</t>
        </is>
      </c>
      <c r="B130" s="9" t="inlineStr">
        <is>
          <t>Valencia</t>
        </is>
      </c>
      <c r="C130" s="9" t="inlineStr">
        <is>
          <t>Spain</t>
        </is>
      </c>
      <c r="D130" s="9" t="inlineStr">
        <is>
          <t>Western, Northern, and Southern Europe</t>
        </is>
      </c>
      <c r="E130" s="9" t="inlineStr">
        <is>
          <t>primary</t>
        </is>
      </c>
      <c r="F130" s="9" t="inlineStr">
        <is>
          <t>provisional</t>
        </is>
      </c>
      <c r="G130" s="10" t="n">
        <v>4805.83</v>
      </c>
      <c r="H130" s="10" t="n">
        <v>1429.73</v>
      </c>
      <c r="I130" s="10" t="n">
        <v>285.95</v>
      </c>
      <c r="J130" s="10" t="n">
        <v>204.25</v>
      </c>
      <c r="K130" s="10" t="n">
        <v>61.27</v>
      </c>
      <c r="L130" s="10" t="n">
        <v>612.74</v>
      </c>
      <c r="M130" s="11" t="inlineStr"/>
      <c r="N130" s="10" t="n">
        <v>29.7499</v>
      </c>
      <c r="O130" s="10" t="inlineStr"/>
      <c r="P130" s="11">
        <f>IF($O130&lt;&gt;"",$O130,$AO130)</f>
        <v/>
      </c>
      <c r="Q130" s="10" t="inlineStr"/>
      <c r="R130" s="10" t="inlineStr"/>
      <c r="S130" s="10" t="inlineStr"/>
      <c r="T130" s="10" t="inlineStr"/>
      <c r="U130" s="10" t="inlineStr"/>
      <c r="V130" s="10" t="inlineStr"/>
      <c r="W130" s="10" t="inlineStr"/>
      <c r="X130" s="9" t="n">
        <v>74</v>
      </c>
      <c r="Y130" s="10" t="inlineStr"/>
      <c r="Z130" s="10" t="inlineStr"/>
      <c r="AA130" s="10" t="n">
        <v>33.4</v>
      </c>
      <c r="AB130" s="10" t="inlineStr"/>
      <c r="AC130" s="10" t="inlineStr"/>
      <c r="AD130" s="10" t="inlineStr"/>
      <c r="AE130" s="10" t="n">
        <v>3.08</v>
      </c>
      <c r="AF130" s="10" t="n">
        <v>1.44</v>
      </c>
      <c r="AG130" s="10" t="n">
        <v>2.48</v>
      </c>
      <c r="AH130" s="10" t="n">
        <v>1.81</v>
      </c>
      <c r="AI130" s="10" t="inlineStr"/>
      <c r="AJ130" s="11">
        <f>IFERROR(INDEX(Country_Context!$B$2:$B$87,MATCH($C130,Country_Context!$A$2:$A$87,0)),"")</f>
        <v/>
      </c>
      <c r="AK130" s="11">
        <f>IFERROR(INDEX(Country_Context!$C$2:$C$87,MATCH($C130,Country_Context!$A$2:$A$87,0)),"")</f>
        <v/>
      </c>
      <c r="AL130" s="11">
        <f>IFERROR(INDEX(Country_Context!$D$2:$D$87,MATCH($C130,Country_Context!$A$2:$A$87,0)),"")</f>
        <v/>
      </c>
      <c r="AM130" s="11">
        <f>IFERROR(INDEX(Country_Context!$E$2:$E$87,MATCH($C130,Country_Context!$A$2:$A$87,0)),"")</f>
        <v/>
      </c>
      <c r="AN130" s="11">
        <f>IFERROR(INDEX(Country_Context!$F$2:$F$87,MATCH($C130,Country_Context!$A$2:$A$87,0)),"")</f>
        <v/>
      </c>
      <c r="AO130" s="11">
        <f>IFERROR(INDEX(Country_Context!$G$2:$G$87,MATCH($C130,Country_Context!$A$2:$A$87,0)),"")</f>
        <v/>
      </c>
      <c r="AP130" s="12" t="inlineStr">
        <is>
          <t>https://api.worldbank.org/v2/country/ESP/indicator/NY.GNP.PCAP.PP.CD?format=json&amp;mrv=10 | https://data.worldbank.org/indicator/NY.GNP.PCAP.PP.CD</t>
        </is>
      </c>
      <c r="AQ130" s="12" t="inlineStr">
        <is>
          <t>Tier 4</t>
        </is>
      </c>
      <c r="AR130" s="12" t="inlineStr">
        <is>
          <t>2024-12-31</t>
        </is>
      </c>
      <c r="AS130" s="12" t="inlineStr">
        <is>
          <t>providers=world_bank_col_estimate, derived; fields=gross_income, rent, utilities, transit_cost; +3 additional fields</t>
        </is>
      </c>
      <c r="AT130" s="12" t="inlineStr">
        <is>
          <t>https://worldweather.wmo.int</t>
        </is>
      </c>
      <c r="AU130" s="12" t="inlineStr">
        <is>
          <t>Tier 3</t>
        </is>
      </c>
      <c r="AV130" s="12" t="inlineStr">
        <is>
          <t>2024-12-31</t>
        </is>
      </c>
      <c r="AW130" s="12" t="inlineStr">
        <is>
          <t>providers=wmo_natl_met; fields=climate_sunlight_livability_raw</t>
        </is>
      </c>
      <c r="AX130" s="12" t="inlineStr">
        <is>
          <t>https://api.worldbank.org/v2/country/ESP/indicator/SI.POV.GINI?format=json&amp;mrv=10</t>
        </is>
      </c>
      <c r="AY130" s="12" t="inlineStr">
        <is>
          <t>Tier 3</t>
        </is>
      </c>
      <c r="AZ130" s="12" t="inlineStr">
        <is>
          <t>2023-12-31</t>
        </is>
      </c>
      <c r="BA130" s="12" t="inlineStr">
        <is>
          <t>providers=world_bank; fields=equal_opportunity_raw</t>
        </is>
      </c>
      <c r="BB130" s="12" t="inlineStr">
        <is>
          <t>https://data.worldbank.org/indicator/SP.DYN.TFRT.IN</t>
        </is>
      </c>
      <c r="BC130" s="12" t="inlineStr">
        <is>
          <t>Tier 3</t>
        </is>
      </c>
      <c r="BD130" s="12" t="inlineStr">
        <is>
          <t>2024-01-01</t>
        </is>
      </c>
      <c r="BE130" s="12" t="inlineStr">
        <is>
          <t>providers=world_bank; fields=birth_rate_optimism_raw</t>
        </is>
      </c>
      <c r="BF130" s="12" t="inlineStr">
        <is>
          <t>https://api.worldbank.org/v2/country/ESP/indicator/IC.BUS.NDNS.ZS?format=json&amp;mrv=10 | https://api.worldbank.org/v2/country/ESP/indicator/GB.XPD.RSDV.GD.ZS?format=json&amp;mrv=10 | https://api.worldbank.org/v2/country/ESP/indicator/BX.KLT.DINV.WD.GD.ZS?format=json&amp;mrv=10 | +1 more</t>
        </is>
      </c>
      <c r="BG130" s="12" t="inlineStr">
        <is>
          <t>Tier 3</t>
        </is>
      </c>
      <c r="BH130" s="12" t="inlineStr">
        <is>
          <t>2024-12-31</t>
        </is>
      </c>
      <c r="BI130" s="12" t="inlineStr">
        <is>
          <t>providers=world_bank; fields=entrepreneurial_dynamism_raw, innovation_research_intensity_raw, investment_signal_raw, administrative_investment_friction_raw</t>
        </is>
      </c>
      <c r="BJ130" s="9" t="n">
        <v>1.19</v>
      </c>
    </row>
    <row r="131">
      <c r="A131" s="9" t="inlineStr">
        <is>
          <t>de-munich</t>
        </is>
      </c>
      <c r="B131" s="9" t="inlineStr">
        <is>
          <t>Munich</t>
        </is>
      </c>
      <c r="C131" s="9" t="inlineStr">
        <is>
          <t>Germany</t>
        </is>
      </c>
      <c r="D131" s="9" t="inlineStr">
        <is>
          <t>Western, Northern, and Southern Europe</t>
        </is>
      </c>
      <c r="E131" s="9" t="inlineStr">
        <is>
          <t>primary</t>
        </is>
      </c>
      <c r="F131" s="9" t="inlineStr">
        <is>
          <t>provisional</t>
        </is>
      </c>
      <c r="G131" s="10" t="n">
        <v>7618</v>
      </c>
      <c r="H131" s="10" t="n">
        <v>3332.87</v>
      </c>
      <c r="I131" s="10" t="n">
        <v>666.58</v>
      </c>
      <c r="J131" s="10" t="n">
        <v>476.13</v>
      </c>
      <c r="K131" s="10" t="n">
        <v>142.84</v>
      </c>
      <c r="L131" s="10" t="n">
        <v>1428.38</v>
      </c>
      <c r="M131" s="11" t="inlineStr"/>
      <c r="N131" s="10" t="n">
        <v>43.7499</v>
      </c>
      <c r="O131" s="10" t="inlineStr"/>
      <c r="P131" s="11">
        <f>IF($O131&lt;&gt;"",$O131,$AO131)</f>
        <v/>
      </c>
      <c r="Q131" s="10" t="inlineStr"/>
      <c r="R131" s="10" t="inlineStr"/>
      <c r="S131" s="10" t="inlineStr"/>
      <c r="T131" s="10" t="inlineStr"/>
      <c r="U131" s="10" t="inlineStr"/>
      <c r="V131" s="10" t="inlineStr"/>
      <c r="W131" s="10" t="inlineStr"/>
      <c r="X131" s="9" t="n">
        <v>52</v>
      </c>
      <c r="Y131" s="10" t="inlineStr"/>
      <c r="Z131" s="10" t="inlineStr"/>
      <c r="AA131" s="10" t="n">
        <v>32.4</v>
      </c>
      <c r="AB131" s="10" t="inlineStr"/>
      <c r="AC131" s="10" t="inlineStr"/>
      <c r="AD131" s="10" t="inlineStr"/>
      <c r="AE131" s="10" t="n">
        <v>1.4</v>
      </c>
      <c r="AF131" s="10" t="n">
        <v>3.13</v>
      </c>
      <c r="AG131" s="10" t="n">
        <v>1.02</v>
      </c>
      <c r="AH131" s="10" t="n">
        <v>1.04</v>
      </c>
      <c r="AI131" s="10" t="inlineStr"/>
      <c r="AJ131" s="11">
        <f>IFERROR(INDEX(Country_Context!$B$2:$B$87,MATCH($C131,Country_Context!$A$2:$A$87,0)),"")</f>
        <v/>
      </c>
      <c r="AK131" s="11">
        <f>IFERROR(INDEX(Country_Context!$C$2:$C$87,MATCH($C131,Country_Context!$A$2:$A$87,0)),"")</f>
        <v/>
      </c>
      <c r="AL131" s="11">
        <f>IFERROR(INDEX(Country_Context!$D$2:$D$87,MATCH($C131,Country_Context!$A$2:$A$87,0)),"")</f>
        <v/>
      </c>
      <c r="AM131" s="11">
        <f>IFERROR(INDEX(Country_Context!$E$2:$E$87,MATCH($C131,Country_Context!$A$2:$A$87,0)),"")</f>
        <v/>
      </c>
      <c r="AN131" s="11">
        <f>IFERROR(INDEX(Country_Context!$F$2:$F$87,MATCH($C131,Country_Context!$A$2:$A$87,0)),"")</f>
        <v/>
      </c>
      <c r="AO131" s="11">
        <f>IFERROR(INDEX(Country_Context!$G$2:$G$87,MATCH($C131,Country_Context!$A$2:$A$87,0)),"")</f>
        <v/>
      </c>
      <c r="AP131" s="12" t="inlineStr">
        <is>
          <t>https://api.worldbank.org/v2/country/DEU/indicator/NY.GNP.PCAP.PP.CD?format=json&amp;mrv=10 | https://data.worldbank.org/indicator/NY.GNP.PCAP.PP.CD</t>
        </is>
      </c>
      <c r="AQ131" s="12" t="inlineStr">
        <is>
          <t>Tier 4</t>
        </is>
      </c>
      <c r="AR131" s="12" t="inlineStr">
        <is>
          <t>2024-12-31</t>
        </is>
      </c>
      <c r="AS131" s="12" t="inlineStr">
        <is>
          <t>providers=world_bank_col_estimate, derived; fields=gross_income, rent, utilities, transit_cost; +3 additional fields</t>
        </is>
      </c>
      <c r="AT131" s="12" t="inlineStr">
        <is>
          <t>https://worldweather.wmo.int</t>
        </is>
      </c>
      <c r="AU131" s="12" t="inlineStr">
        <is>
          <t>Tier 3</t>
        </is>
      </c>
      <c r="AV131" s="12" t="inlineStr">
        <is>
          <t>2024-12-31</t>
        </is>
      </c>
      <c r="AW131" s="12" t="inlineStr">
        <is>
          <t>providers=wmo_natl_met; fields=climate_sunlight_livability_raw</t>
        </is>
      </c>
      <c r="AX131" s="12" t="inlineStr">
        <is>
          <t>https://api.worldbank.org/v2/country/DEU/indicator/SI.POV.GINI?format=json&amp;mrv=10</t>
        </is>
      </c>
      <c r="AY131" s="12" t="inlineStr">
        <is>
          <t>Tier 3</t>
        </is>
      </c>
      <c r="AZ131" s="12" t="inlineStr">
        <is>
          <t>2020-12-31</t>
        </is>
      </c>
      <c r="BA131" s="12" t="inlineStr">
        <is>
          <t>providers=world_bank; fields=equal_opportunity_raw</t>
        </is>
      </c>
      <c r="BB131" s="12" t="inlineStr">
        <is>
          <t>https://data.worldbank.org/indicator/SP.DYN.TFRT.IN</t>
        </is>
      </c>
      <c r="BC131" s="12" t="inlineStr">
        <is>
          <t>Tier 3</t>
        </is>
      </c>
      <c r="BD131" s="12" t="inlineStr">
        <is>
          <t>2024-01-01</t>
        </is>
      </c>
      <c r="BE131" s="12" t="inlineStr">
        <is>
          <t>providers=world_bank; fields=birth_rate_optimism_raw</t>
        </is>
      </c>
      <c r="BF131" s="12" t="inlineStr">
        <is>
          <t>https://api.worldbank.org/v2/country/DEU/indicator/IC.BUS.NDNS.ZS?format=json&amp;mrv=10 | https://api.worldbank.org/v2/country/DEU/indicator/GB.XPD.RSDV.GD.ZS?format=json&amp;mrv=10 | https://api.worldbank.org/v2/country/DEU/indicator/BX.KLT.DINV.WD.GD.ZS?format=json&amp;mrv=10 | +1 more</t>
        </is>
      </c>
      <c r="BG131" s="12" t="inlineStr">
        <is>
          <t>Tier 3</t>
        </is>
      </c>
      <c r="BH131" s="12" t="inlineStr">
        <is>
          <t>2024-12-31</t>
        </is>
      </c>
      <c r="BI131" s="12" t="inlineStr">
        <is>
          <t>providers=world_bank; fields=entrepreneurial_dynamism_raw, innovation_research_intensity_raw, investment_signal_raw, administrative_investment_friction_raw</t>
        </is>
      </c>
      <c r="BJ131" s="9" t="n">
        <v>1.36</v>
      </c>
    </row>
    <row r="132">
      <c r="A132" s="9" t="inlineStr">
        <is>
          <t>be-antwerp</t>
        </is>
      </c>
      <c r="B132" s="9" t="inlineStr">
        <is>
          <t>Antwerp</t>
        </is>
      </c>
      <c r="C132" s="9" t="inlineStr">
        <is>
          <t>Belgium</t>
        </is>
      </c>
      <c r="D132" s="9" t="inlineStr">
        <is>
          <t>Western, Northern, and Southern Europe</t>
        </is>
      </c>
      <c r="E132" s="9" t="inlineStr">
        <is>
          <t>secondary</t>
        </is>
      </c>
      <c r="F132" s="9" t="inlineStr">
        <is>
          <t>provisional</t>
        </is>
      </c>
      <c r="G132" s="10" t="n">
        <v>6230.83</v>
      </c>
      <c r="H132" s="10" t="n">
        <v>1962.71</v>
      </c>
      <c r="I132" s="10" t="n">
        <v>392.54</v>
      </c>
      <c r="J132" s="10" t="n">
        <v>280.39</v>
      </c>
      <c r="K132" s="10" t="n">
        <v>84.12</v>
      </c>
      <c r="L132" s="10" t="n">
        <v>841.16</v>
      </c>
      <c r="M132" s="11" t="inlineStr"/>
      <c r="N132" s="10" t="n">
        <v>31.5</v>
      </c>
      <c r="O132" s="10" t="inlineStr"/>
      <c r="P132" s="11">
        <f>IF($O132&lt;&gt;"",$O132,$AO132)</f>
        <v/>
      </c>
      <c r="Q132" s="10" t="inlineStr"/>
      <c r="R132" s="10" t="inlineStr"/>
      <c r="S132" s="10" t="inlineStr"/>
      <c r="T132" s="10" t="inlineStr"/>
      <c r="U132" s="10" t="inlineStr"/>
      <c r="V132" s="10" t="inlineStr"/>
      <c r="W132" s="10" t="inlineStr"/>
      <c r="X132" s="9" t="n">
        <v>44</v>
      </c>
      <c r="Y132" s="10" t="inlineStr"/>
      <c r="Z132" s="10" t="inlineStr"/>
      <c r="AA132" s="10" t="n">
        <v>26.8</v>
      </c>
      <c r="AB132" s="10" t="inlineStr"/>
      <c r="AC132" s="10" t="inlineStr"/>
      <c r="AD132" s="10" t="inlineStr"/>
      <c r="AE132" s="10" t="n">
        <v>6.34</v>
      </c>
      <c r="AF132" s="10" t="n">
        <v>3.41</v>
      </c>
      <c r="AG132" s="10" t="n">
        <v>-6.16</v>
      </c>
      <c r="AH132" s="10" t="n">
        <v>1.33</v>
      </c>
      <c r="AI132" s="10" t="inlineStr"/>
      <c r="AJ132" s="11">
        <f>IFERROR(INDEX(Country_Context!$B$2:$B$87,MATCH($C132,Country_Context!$A$2:$A$87,0)),"")</f>
        <v/>
      </c>
      <c r="AK132" s="11">
        <f>IFERROR(INDEX(Country_Context!$C$2:$C$87,MATCH($C132,Country_Context!$A$2:$A$87,0)),"")</f>
        <v/>
      </c>
      <c r="AL132" s="11">
        <f>IFERROR(INDEX(Country_Context!$D$2:$D$87,MATCH($C132,Country_Context!$A$2:$A$87,0)),"")</f>
        <v/>
      </c>
      <c r="AM132" s="11">
        <f>IFERROR(INDEX(Country_Context!$E$2:$E$87,MATCH($C132,Country_Context!$A$2:$A$87,0)),"")</f>
        <v/>
      </c>
      <c r="AN132" s="11">
        <f>IFERROR(INDEX(Country_Context!$F$2:$F$87,MATCH($C132,Country_Context!$A$2:$A$87,0)),"")</f>
        <v/>
      </c>
      <c r="AO132" s="11">
        <f>IFERROR(INDEX(Country_Context!$G$2:$G$87,MATCH($C132,Country_Context!$A$2:$A$87,0)),"")</f>
        <v/>
      </c>
      <c r="AP132" s="12" t="inlineStr">
        <is>
          <t>https://api.worldbank.org/v2/country/BEL/indicator/NY.GNP.PCAP.PP.CD?format=json&amp;mrv=10 | https://data.worldbank.org/indicator/NY.GNP.PCAP.PP.CD</t>
        </is>
      </c>
      <c r="AQ132" s="12" t="inlineStr">
        <is>
          <t>Tier 4</t>
        </is>
      </c>
      <c r="AR132" s="12" t="inlineStr">
        <is>
          <t>2024-12-31</t>
        </is>
      </c>
      <c r="AS132" s="12" t="inlineStr">
        <is>
          <t>providers=world_bank_col_estimate, derived; fields=gross_income, rent, utilities, transit_cost; +3 additional fields</t>
        </is>
      </c>
      <c r="AT132" s="12" t="inlineStr">
        <is>
          <t>https://worldweather.wmo.int</t>
        </is>
      </c>
      <c r="AU132" s="12" t="inlineStr">
        <is>
          <t>Tier 3</t>
        </is>
      </c>
      <c r="AV132" s="12" t="inlineStr">
        <is>
          <t>2024-12-31</t>
        </is>
      </c>
      <c r="AW132" s="12" t="inlineStr">
        <is>
          <t>providers=wmo_natl_met; fields=climate_sunlight_livability_raw</t>
        </is>
      </c>
      <c r="AX132" s="12" t="inlineStr">
        <is>
          <t>https://api.worldbank.org/v2/country/BEL/indicator/SI.POV.GINI?format=json&amp;mrv=10</t>
        </is>
      </c>
      <c r="AY132" s="12" t="inlineStr">
        <is>
          <t>Tier 3</t>
        </is>
      </c>
      <c r="AZ132" s="12" t="inlineStr">
        <is>
          <t>2023-12-31</t>
        </is>
      </c>
      <c r="BA132" s="12" t="inlineStr">
        <is>
          <t>providers=world_bank; fields=equal_opportunity_raw</t>
        </is>
      </c>
      <c r="BB132" s="12" t="inlineStr">
        <is>
          <t>https://data.worldbank.org/indicator/SP.DYN.TFRT.IN</t>
        </is>
      </c>
      <c r="BC132" s="12" t="inlineStr">
        <is>
          <t>Tier 3</t>
        </is>
      </c>
      <c r="BD132" s="12" t="inlineStr">
        <is>
          <t>2024-01-01</t>
        </is>
      </c>
      <c r="BE132" s="12" t="inlineStr">
        <is>
          <t>providers=world_bank; fields=birth_rate_optimism_raw</t>
        </is>
      </c>
      <c r="BF132" s="12" t="inlineStr">
        <is>
          <t>https://api.worldbank.org/v2/country/BEL/indicator/IC.BUS.NDNS.ZS?format=json&amp;mrv=10 | https://api.worldbank.org/v2/country/BEL/indicator/GB.XPD.RSDV.GD.ZS?format=json&amp;mrv=10 | https://api.worldbank.org/v2/country/BEL/indicator/BX.KLT.DINV.WD.GD.ZS?format=json&amp;mrv=10 | +1 more</t>
        </is>
      </c>
      <c r="BG132" s="12" t="inlineStr">
        <is>
          <t>Tier 3</t>
        </is>
      </c>
      <c r="BH132" s="12" t="inlineStr">
        <is>
          <t>2024-12-31</t>
        </is>
      </c>
      <c r="BI132" s="12" t="inlineStr">
        <is>
          <t>providers=world_bank; fields=entrepreneurial_dynamism_raw, innovation_research_intensity_raw, investment_signal_raw, administrative_investment_friction_raw</t>
        </is>
      </c>
      <c r="BJ132" s="9" t="n">
        <v>1.56</v>
      </c>
    </row>
    <row r="133">
      <c r="A133" s="9" t="inlineStr">
        <is>
          <t>ie-cork</t>
        </is>
      </c>
      <c r="B133" s="9" t="inlineStr">
        <is>
          <t>Cork</t>
        </is>
      </c>
      <c r="C133" s="9" t="inlineStr">
        <is>
          <t>Ireland</t>
        </is>
      </c>
      <c r="D133" s="9" t="inlineStr">
        <is>
          <t>Western, Northern, and Southern Europe</t>
        </is>
      </c>
      <c r="E133" s="9" t="inlineStr">
        <is>
          <t>secondary</t>
        </is>
      </c>
      <c r="F133" s="9" t="inlineStr">
        <is>
          <t>provisional</t>
        </is>
      </c>
      <c r="G133" s="10" t="n">
        <v>8431.67</v>
      </c>
      <c r="H133" s="10" t="n">
        <v>2655.98</v>
      </c>
      <c r="I133" s="10" t="n">
        <v>531.2</v>
      </c>
      <c r="J133" s="10" t="n">
        <v>379.43</v>
      </c>
      <c r="K133" s="10" t="n">
        <v>113.83</v>
      </c>
      <c r="L133" s="10" t="n">
        <v>1138.28</v>
      </c>
      <c r="M133" s="11" t="inlineStr"/>
      <c r="N133" s="10" t="n">
        <v>31.5</v>
      </c>
      <c r="O133" s="10" t="inlineStr"/>
      <c r="P133" s="11">
        <f>IF($O133&lt;&gt;"",$O133,$AO133)</f>
        <v/>
      </c>
      <c r="Q133" s="10" t="inlineStr"/>
      <c r="R133" s="10" t="inlineStr"/>
      <c r="S133" s="10" t="inlineStr"/>
      <c r="T133" s="10" t="inlineStr"/>
      <c r="U133" s="10" t="inlineStr"/>
      <c r="V133" s="10" t="inlineStr"/>
      <c r="W133" s="10" t="inlineStr"/>
      <c r="X133" s="9" t="n">
        <v>40</v>
      </c>
      <c r="Y133" s="10" t="inlineStr"/>
      <c r="Z133" s="10" t="inlineStr"/>
      <c r="AA133" s="10" t="n">
        <v>29</v>
      </c>
      <c r="AB133" s="10" t="inlineStr"/>
      <c r="AC133" s="10" t="inlineStr"/>
      <c r="AD133" s="10" t="inlineStr"/>
      <c r="AE133" s="10" t="n">
        <v>6.4</v>
      </c>
      <c r="AF133" s="10" t="n">
        <v>0.96</v>
      </c>
      <c r="AG133" s="10" t="n">
        <v>0.79</v>
      </c>
      <c r="AH133" s="10" t="n">
        <v>0.75</v>
      </c>
      <c r="AI133" s="10" t="inlineStr"/>
      <c r="AJ133" s="11">
        <f>IFERROR(INDEX(Country_Context!$B$2:$B$87,MATCH($C133,Country_Context!$A$2:$A$87,0)),"")</f>
        <v/>
      </c>
      <c r="AK133" s="11">
        <f>IFERROR(INDEX(Country_Context!$C$2:$C$87,MATCH($C133,Country_Context!$A$2:$A$87,0)),"")</f>
        <v/>
      </c>
      <c r="AL133" s="11">
        <f>IFERROR(INDEX(Country_Context!$D$2:$D$87,MATCH($C133,Country_Context!$A$2:$A$87,0)),"")</f>
        <v/>
      </c>
      <c r="AM133" s="11">
        <f>IFERROR(INDEX(Country_Context!$E$2:$E$87,MATCH($C133,Country_Context!$A$2:$A$87,0)),"")</f>
        <v/>
      </c>
      <c r="AN133" s="11">
        <f>IFERROR(INDEX(Country_Context!$F$2:$F$87,MATCH($C133,Country_Context!$A$2:$A$87,0)),"")</f>
        <v/>
      </c>
      <c r="AO133" s="11">
        <f>IFERROR(INDEX(Country_Context!$G$2:$G$87,MATCH($C133,Country_Context!$A$2:$A$87,0)),"")</f>
        <v/>
      </c>
      <c r="AP133" s="12" t="inlineStr">
        <is>
          <t>https://api.worldbank.org/v2/country/IRL/indicator/NY.GNP.PCAP.PP.CD?format=json&amp;mrv=10 | https://data.worldbank.org/indicator/NY.GNP.PCAP.PP.CD</t>
        </is>
      </c>
      <c r="AQ133" s="12" t="inlineStr">
        <is>
          <t>Tier 4</t>
        </is>
      </c>
      <c r="AR133" s="12" t="inlineStr">
        <is>
          <t>2024-12-31</t>
        </is>
      </c>
      <c r="AS133" s="12" t="inlineStr">
        <is>
          <t>providers=world_bank_col_estimate, derived; fields=gross_income, rent, utilities, transit_cost; +3 additional fields</t>
        </is>
      </c>
      <c r="AT133" s="12" t="inlineStr">
        <is>
          <t>https://worldweather.wmo.int</t>
        </is>
      </c>
      <c r="AU133" s="12" t="inlineStr">
        <is>
          <t>Tier 3</t>
        </is>
      </c>
      <c r="AV133" s="12" t="inlineStr">
        <is>
          <t>2024-12-31</t>
        </is>
      </c>
      <c r="AW133" s="12" t="inlineStr">
        <is>
          <t>providers=wmo_natl_met; fields=climate_sunlight_livability_raw</t>
        </is>
      </c>
      <c r="AX133" s="12" t="inlineStr">
        <is>
          <t>https://api.worldbank.org/v2/country/IRL/indicator/SI.POV.GINI?format=json&amp;mrv=10</t>
        </is>
      </c>
      <c r="AY133" s="12" t="inlineStr">
        <is>
          <t>Tier 3</t>
        </is>
      </c>
      <c r="AZ133" s="12" t="inlineStr">
        <is>
          <t>2023-12-31</t>
        </is>
      </c>
      <c r="BA133" s="12" t="inlineStr">
        <is>
          <t>providers=world_bank; fields=equal_opportunity_raw</t>
        </is>
      </c>
      <c r="BB133" s="12" t="inlineStr">
        <is>
          <t>https://data.worldbank.org/indicator/SP.DYN.TFRT.IN</t>
        </is>
      </c>
      <c r="BC133" s="12" t="inlineStr">
        <is>
          <t>Tier 3</t>
        </is>
      </c>
      <c r="BD133" s="12" t="inlineStr">
        <is>
          <t>2024-01-01</t>
        </is>
      </c>
      <c r="BE133" s="12" t="inlineStr">
        <is>
          <t>providers=world_bank; fields=birth_rate_optimism_raw</t>
        </is>
      </c>
      <c r="BF133" s="12" t="inlineStr">
        <is>
          <t>https://api.worldbank.org/v2/country/IRL/indicator/IC.BUS.NDNS.ZS?format=json&amp;mrv=10 | https://api.worldbank.org/v2/country/IRL/indicator/GB.XPD.RSDV.GD.ZS?format=json&amp;mrv=10 | https://api.worldbank.org/v2/country/IRL/indicator/BX.KLT.DINV.WD.GD.ZS?format=json&amp;mrv=10 | +1 more</t>
        </is>
      </c>
      <c r="BG133" s="12" t="inlineStr">
        <is>
          <t>Tier 3</t>
        </is>
      </c>
      <c r="BH133" s="12" t="inlineStr">
        <is>
          <t>2024-12-31</t>
        </is>
      </c>
      <c r="BI133" s="12" t="inlineStr">
        <is>
          <t>providers=world_bank; fields=entrepreneurial_dynamism_raw, innovation_research_intensity_raw, investment_signal_raw, administrative_investment_friction_raw</t>
        </is>
      </c>
      <c r="BJ133" s="9" t="n">
        <v>1.54</v>
      </c>
    </row>
    <row r="134">
      <c r="A134" s="9" t="inlineStr">
        <is>
          <t>se-gothenburg</t>
        </is>
      </c>
      <c r="B134" s="9" t="inlineStr">
        <is>
          <t>Gothenburg</t>
        </is>
      </c>
      <c r="C134" s="9" t="inlineStr">
        <is>
          <t>Sweden</t>
        </is>
      </c>
      <c r="D134" s="9" t="inlineStr">
        <is>
          <t>Western, Northern, and Southern Europe</t>
        </is>
      </c>
      <c r="E134" s="9" t="inlineStr">
        <is>
          <t>primary</t>
        </is>
      </c>
      <c r="F134" s="9" t="inlineStr">
        <is>
          <t>provisional</t>
        </is>
      </c>
      <c r="G134" s="10" t="n">
        <v>6250</v>
      </c>
      <c r="H134" s="10" t="n">
        <v>1968.75</v>
      </c>
      <c r="I134" s="10" t="n">
        <v>393.75</v>
      </c>
      <c r="J134" s="10" t="n">
        <v>281.25</v>
      </c>
      <c r="K134" s="10" t="n">
        <v>84.38</v>
      </c>
      <c r="L134" s="10" t="n">
        <v>843.75</v>
      </c>
      <c r="M134" s="11" t="inlineStr"/>
      <c r="N134" s="10" t="n">
        <v>31.5</v>
      </c>
      <c r="O134" s="10" t="inlineStr"/>
      <c r="P134" s="11">
        <f>IF($O134&lt;&gt;"",$O134,$AO134)</f>
        <v/>
      </c>
      <c r="Q134" s="10" t="inlineStr"/>
      <c r="R134" s="10" t="inlineStr"/>
      <c r="S134" s="10" t="inlineStr"/>
      <c r="T134" s="10" t="inlineStr"/>
      <c r="U134" s="10" t="inlineStr"/>
      <c r="V134" s="10" t="inlineStr"/>
      <c r="W134" s="10" t="inlineStr"/>
      <c r="X134" s="9" t="n">
        <v>36</v>
      </c>
      <c r="Y134" s="10" t="inlineStr"/>
      <c r="Z134" s="10" t="inlineStr"/>
      <c r="AA134" s="10" t="n">
        <v>29.3</v>
      </c>
      <c r="AB134" s="10" t="inlineStr"/>
      <c r="AC134" s="10" t="inlineStr"/>
      <c r="AD134" s="10" t="inlineStr"/>
      <c r="AE134" s="10" t="n">
        <v>9.24</v>
      </c>
      <c r="AF134" s="10" t="n">
        <v>3.41</v>
      </c>
      <c r="AG134" s="10" t="n">
        <v>4.48</v>
      </c>
      <c r="AH134" s="10" t="n">
        <v>0.78</v>
      </c>
      <c r="AI134" s="10" t="inlineStr"/>
      <c r="AJ134" s="11">
        <f>IFERROR(INDEX(Country_Context!$B$2:$B$87,MATCH($C134,Country_Context!$A$2:$A$87,0)),"")</f>
        <v/>
      </c>
      <c r="AK134" s="11">
        <f>IFERROR(INDEX(Country_Context!$C$2:$C$87,MATCH($C134,Country_Context!$A$2:$A$87,0)),"")</f>
        <v/>
      </c>
      <c r="AL134" s="11">
        <f>IFERROR(INDEX(Country_Context!$D$2:$D$87,MATCH($C134,Country_Context!$A$2:$A$87,0)),"")</f>
        <v/>
      </c>
      <c r="AM134" s="11">
        <f>IFERROR(INDEX(Country_Context!$E$2:$E$87,MATCH($C134,Country_Context!$A$2:$A$87,0)),"")</f>
        <v/>
      </c>
      <c r="AN134" s="11">
        <f>IFERROR(INDEX(Country_Context!$F$2:$F$87,MATCH($C134,Country_Context!$A$2:$A$87,0)),"")</f>
        <v/>
      </c>
      <c r="AO134" s="11">
        <f>IFERROR(INDEX(Country_Context!$G$2:$G$87,MATCH($C134,Country_Context!$A$2:$A$87,0)),"")</f>
        <v/>
      </c>
      <c r="AP134" s="12" t="inlineStr">
        <is>
          <t>https://api.worldbank.org/v2/country/SWE/indicator/NY.GNP.PCAP.PP.CD?format=json&amp;mrv=10 | https://data.worldbank.org/indicator/NY.GNP.PCAP.PP.CD</t>
        </is>
      </c>
      <c r="AQ134" s="12" t="inlineStr">
        <is>
          <t>Tier 4</t>
        </is>
      </c>
      <c r="AR134" s="12" t="inlineStr">
        <is>
          <t>2024-12-31</t>
        </is>
      </c>
      <c r="AS134" s="12" t="inlineStr">
        <is>
          <t>providers=world_bank_col_estimate, derived; fields=gross_income, rent, utilities, transit_cost; +3 additional fields</t>
        </is>
      </c>
      <c r="AT134" s="12" t="inlineStr">
        <is>
          <t>https://worldweather.wmo.int</t>
        </is>
      </c>
      <c r="AU134" s="12" t="inlineStr">
        <is>
          <t>Tier 3</t>
        </is>
      </c>
      <c r="AV134" s="12" t="inlineStr">
        <is>
          <t>2024-12-31</t>
        </is>
      </c>
      <c r="AW134" s="12" t="inlineStr">
        <is>
          <t>providers=wmo_natl_met; fields=climate_sunlight_livability_raw</t>
        </is>
      </c>
      <c r="AX134" s="12" t="inlineStr">
        <is>
          <t>https://api.worldbank.org/v2/country/SWE/indicator/SI.POV.GINI?format=json&amp;mrv=10</t>
        </is>
      </c>
      <c r="AY134" s="12" t="inlineStr">
        <is>
          <t>Tier 3</t>
        </is>
      </c>
      <c r="AZ134" s="12" t="inlineStr">
        <is>
          <t>2023-12-31</t>
        </is>
      </c>
      <c r="BA134" s="12" t="inlineStr">
        <is>
          <t>providers=world_bank; fields=equal_opportunity_raw</t>
        </is>
      </c>
      <c r="BB134" s="12" t="inlineStr">
        <is>
          <t>https://data.worldbank.org/indicator/SP.DYN.TFRT.IN</t>
        </is>
      </c>
      <c r="BC134" s="12" t="inlineStr">
        <is>
          <t>Tier 3</t>
        </is>
      </c>
      <c r="BD134" s="12" t="inlineStr">
        <is>
          <t>2024-01-01</t>
        </is>
      </c>
      <c r="BE134" s="12" t="inlineStr">
        <is>
          <t>providers=world_bank; fields=birth_rate_optimism_raw</t>
        </is>
      </c>
      <c r="BF134" s="12" t="inlineStr">
        <is>
          <t>https://api.worldbank.org/v2/country/SWE/indicator/IC.BUS.NDNS.ZS?format=json&amp;mrv=10 | https://api.worldbank.org/v2/country/SWE/indicator/GB.XPD.RSDV.GD.ZS?format=json&amp;mrv=10 | https://api.worldbank.org/v2/country/SWE/indicator/BX.KLT.DINV.WD.GD.ZS?format=json&amp;mrv=10 | +1 more</t>
        </is>
      </c>
      <c r="BG134" s="12" t="inlineStr">
        <is>
          <t>Tier 3</t>
        </is>
      </c>
      <c r="BH134" s="12" t="inlineStr">
        <is>
          <t>2024-12-31</t>
        </is>
      </c>
      <c r="BI134" s="12" t="inlineStr">
        <is>
          <t>providers=world_bank; fields=entrepreneurial_dynamism_raw, innovation_research_intensity_raw, investment_signal_raw, administrative_investment_friction_raw</t>
        </is>
      </c>
      <c r="BJ134" s="9" t="n">
        <v>1.52</v>
      </c>
    </row>
    <row r="135">
      <c r="A135" s="9" t="inlineStr">
        <is>
          <t>no-bergen</t>
        </is>
      </c>
      <c r="B135" s="9" t="inlineStr">
        <is>
          <t>Bergen</t>
        </is>
      </c>
      <c r="C135" s="9" t="inlineStr">
        <is>
          <t>Norway</t>
        </is>
      </c>
      <c r="D135" s="9" t="inlineStr">
        <is>
          <t>Western, Northern, and Southern Europe</t>
        </is>
      </c>
      <c r="E135" s="9" t="inlineStr">
        <is>
          <t>secondary</t>
        </is>
      </c>
      <c r="F135" s="9" t="inlineStr">
        <is>
          <t>provisional</t>
        </is>
      </c>
      <c r="G135" s="10" t="n">
        <v>8902.5</v>
      </c>
      <c r="H135" s="10" t="n">
        <v>2960.08</v>
      </c>
      <c r="I135" s="10" t="n">
        <v>592.02</v>
      </c>
      <c r="J135" s="10" t="n">
        <v>422.87</v>
      </c>
      <c r="K135" s="10" t="n">
        <v>126.86</v>
      </c>
      <c r="L135" s="10" t="n">
        <v>1268.61</v>
      </c>
      <c r="M135" s="11" t="inlineStr"/>
      <c r="N135" s="10" t="n">
        <v>33.25</v>
      </c>
      <c r="O135" s="10" t="inlineStr"/>
      <c r="P135" s="11">
        <f>IF($O135&lt;&gt;"",$O135,$AO135)</f>
        <v/>
      </c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9" t="n">
        <v>28</v>
      </c>
      <c r="Y135" s="10" t="inlineStr"/>
      <c r="Z135" s="10" t="inlineStr"/>
      <c r="AA135" s="10" t="n">
        <v>26.5</v>
      </c>
      <c r="AB135" s="10" t="inlineStr"/>
      <c r="AC135" s="10" t="inlineStr"/>
      <c r="AD135" s="10" t="inlineStr"/>
      <c r="AE135" s="10" t="n">
        <v>9.17</v>
      </c>
      <c r="AF135" s="10" t="n">
        <v>1.56</v>
      </c>
      <c r="AG135" s="10" t="n">
        <v>2.49</v>
      </c>
      <c r="AH135" s="10" t="n">
        <v>0.9</v>
      </c>
      <c r="AI135" s="10" t="inlineStr"/>
      <c r="AJ135" s="11">
        <f>IFERROR(INDEX(Country_Context!$B$2:$B$87,MATCH($C135,Country_Context!$A$2:$A$87,0)),"")</f>
        <v/>
      </c>
      <c r="AK135" s="11">
        <f>IFERROR(INDEX(Country_Context!$C$2:$C$87,MATCH($C135,Country_Context!$A$2:$A$87,0)),"")</f>
        <v/>
      </c>
      <c r="AL135" s="11">
        <f>IFERROR(INDEX(Country_Context!$D$2:$D$87,MATCH($C135,Country_Context!$A$2:$A$87,0)),"")</f>
        <v/>
      </c>
      <c r="AM135" s="11">
        <f>IFERROR(INDEX(Country_Context!$E$2:$E$87,MATCH($C135,Country_Context!$A$2:$A$87,0)),"")</f>
        <v/>
      </c>
      <c r="AN135" s="11">
        <f>IFERROR(INDEX(Country_Context!$F$2:$F$87,MATCH($C135,Country_Context!$A$2:$A$87,0)),"")</f>
        <v/>
      </c>
      <c r="AO135" s="11">
        <f>IFERROR(INDEX(Country_Context!$G$2:$G$87,MATCH($C135,Country_Context!$A$2:$A$87,0)),"")</f>
        <v/>
      </c>
      <c r="AP135" s="12" t="inlineStr">
        <is>
          <t>https://api.worldbank.org/v2/country/NOR/indicator/NY.GNP.PCAP.PP.CD?format=json&amp;mrv=10 | https://data.worldbank.org/indicator/NY.GNP.PCAP.PP.CD</t>
        </is>
      </c>
      <c r="AQ135" s="12" t="inlineStr">
        <is>
          <t>Tier 4</t>
        </is>
      </c>
      <c r="AR135" s="12" t="inlineStr">
        <is>
          <t>2024-12-31</t>
        </is>
      </c>
      <c r="AS135" s="12" t="inlineStr">
        <is>
          <t>providers=world_bank_col_estimate, derived; fields=gross_income, rent, utilities, transit_cost; +3 additional fields</t>
        </is>
      </c>
      <c r="AT135" s="12" t="inlineStr">
        <is>
          <t>https://worldweather.wmo.int</t>
        </is>
      </c>
      <c r="AU135" s="12" t="inlineStr">
        <is>
          <t>Tier 3</t>
        </is>
      </c>
      <c r="AV135" s="12" t="inlineStr">
        <is>
          <t>2024-12-31</t>
        </is>
      </c>
      <c r="AW135" s="12" t="inlineStr">
        <is>
          <t>providers=wmo_natl_met; fields=climate_sunlight_livability_raw</t>
        </is>
      </c>
      <c r="AX135" s="12" t="inlineStr">
        <is>
          <t>https://api.worldbank.org/v2/country/NOR/indicator/SI.POV.GINI?format=json&amp;mrv=10</t>
        </is>
      </c>
      <c r="AY135" s="12" t="inlineStr">
        <is>
          <t>Tier 3</t>
        </is>
      </c>
      <c r="AZ135" s="12" t="inlineStr">
        <is>
          <t>2023-12-31</t>
        </is>
      </c>
      <c r="BA135" s="12" t="inlineStr">
        <is>
          <t>providers=world_bank; fields=equal_opportunity_raw</t>
        </is>
      </c>
      <c r="BB135" s="12" t="inlineStr">
        <is>
          <t>https://data.worldbank.org/indicator/SP.DYN.TFRT.IN</t>
        </is>
      </c>
      <c r="BC135" s="12" t="inlineStr">
        <is>
          <t>Tier 3</t>
        </is>
      </c>
      <c r="BD135" s="12" t="inlineStr">
        <is>
          <t>2024-01-01</t>
        </is>
      </c>
      <c r="BE135" s="12" t="inlineStr">
        <is>
          <t>providers=world_bank; fields=birth_rate_optimism_raw</t>
        </is>
      </c>
      <c r="BF135" s="12" t="inlineStr">
        <is>
          <t>https://api.worldbank.org/v2/country/NOR/indicator/IC.BUS.NDNS.ZS?format=json&amp;mrv=10 | https://api.worldbank.org/v2/country/NOR/indicator/GB.XPD.RSDV.GD.ZS?format=json&amp;mrv=10 | https://api.worldbank.org/v2/country/NOR/indicator/BX.KLT.DINV.WD.GD.ZS?format=json&amp;mrv=10 | +1 more</t>
        </is>
      </c>
      <c r="BG135" s="12" t="inlineStr">
        <is>
          <t>Tier 3</t>
        </is>
      </c>
      <c r="BH135" s="12" t="inlineStr">
        <is>
          <t>2024-12-31</t>
        </is>
      </c>
      <c r="BI135" s="12" t="inlineStr">
        <is>
          <t>providers=world_bank; fields=entrepreneurial_dynamism_raw, innovation_research_intensity_raw, investment_signal_raw, administrative_investment_friction_raw</t>
        </is>
      </c>
      <c r="BJ135" s="9" t="n">
        <v>1.41</v>
      </c>
    </row>
    <row r="136">
      <c r="A136" s="9" t="inlineStr">
        <is>
          <t>nl-eindhoven</t>
        </is>
      </c>
      <c r="B136" s="9" t="inlineStr">
        <is>
          <t>Eindhoven</t>
        </is>
      </c>
      <c r="C136" s="9" t="inlineStr">
        <is>
          <t>Netherlands</t>
        </is>
      </c>
      <c r="D136" s="9" t="inlineStr">
        <is>
          <t>Western, Northern, and Southern Europe</t>
        </is>
      </c>
      <c r="E136" s="9" t="inlineStr">
        <is>
          <t>secondary</t>
        </is>
      </c>
      <c r="F136" s="9" t="inlineStr">
        <is>
          <t>provisional</t>
        </is>
      </c>
      <c r="G136" s="10" t="n">
        <v>7080.83</v>
      </c>
      <c r="H136" s="10" t="n">
        <v>2106.55</v>
      </c>
      <c r="I136" s="10" t="n">
        <v>421.31</v>
      </c>
      <c r="J136" s="10" t="n">
        <v>300.94</v>
      </c>
      <c r="K136" s="10" t="n">
        <v>90.28</v>
      </c>
      <c r="L136" s="10" t="n">
        <v>902.8099999999999</v>
      </c>
      <c r="M136" s="11" t="inlineStr"/>
      <c r="N136" s="10" t="n">
        <v>29.75</v>
      </c>
      <c r="O136" s="10" t="n">
        <v>82.3297</v>
      </c>
      <c r="P136" s="11">
        <f>IF($O136&lt;&gt;"",$O136,$AO136)</f>
        <v/>
      </c>
      <c r="Q136" s="10" t="n">
        <v>30.24</v>
      </c>
      <c r="R136" s="10" t="n">
        <v>11.5</v>
      </c>
      <c r="S136" s="10" t="n">
        <v>0.6899999999999999</v>
      </c>
      <c r="T136" s="10" t="inlineStr"/>
      <c r="U136" s="10" t="inlineStr"/>
      <c r="V136" s="10" t="n">
        <v>99.95999999999999</v>
      </c>
      <c r="W136" s="10" t="n">
        <v>43.26</v>
      </c>
      <c r="X136" s="9" t="n">
        <v>46</v>
      </c>
      <c r="Y136" s="10" t="n">
        <v>85</v>
      </c>
      <c r="Z136" s="10" t="n">
        <v>86.59</v>
      </c>
      <c r="AA136" s="10" t="n">
        <v>25.7</v>
      </c>
      <c r="AB136" s="10" t="n">
        <v>55.82</v>
      </c>
      <c r="AC136" s="10" t="n">
        <v>38.67</v>
      </c>
      <c r="AD136" s="10" t="n">
        <v>403.76</v>
      </c>
      <c r="AE136" s="10" t="n">
        <v>3.43</v>
      </c>
      <c r="AF136" s="10" t="n">
        <v>2.26</v>
      </c>
      <c r="AG136" s="10" t="n">
        <v>-1.4</v>
      </c>
      <c r="AH136" s="10" t="n">
        <v>0.71</v>
      </c>
      <c r="AI136" s="10" t="inlineStr"/>
      <c r="AJ136" s="11">
        <f>IFERROR(INDEX(Country_Context!$B$2:$B$87,MATCH($C136,Country_Context!$A$2:$A$87,0)),"")</f>
        <v/>
      </c>
      <c r="AK136" s="11">
        <f>IFERROR(INDEX(Country_Context!$C$2:$C$87,MATCH($C136,Country_Context!$A$2:$A$87,0)),"")</f>
        <v/>
      </c>
      <c r="AL136" s="11">
        <f>IFERROR(INDEX(Country_Context!$D$2:$D$87,MATCH($C136,Country_Context!$A$2:$A$87,0)),"")</f>
        <v/>
      </c>
      <c r="AM136" s="11">
        <f>IFERROR(INDEX(Country_Context!$E$2:$E$87,MATCH($C136,Country_Context!$A$2:$A$87,0)),"")</f>
        <v/>
      </c>
      <c r="AN136" s="11">
        <f>IFERROR(INDEX(Country_Context!$F$2:$F$87,MATCH($C136,Country_Context!$A$2:$A$87,0)),"")</f>
        <v/>
      </c>
      <c r="AO136" s="11">
        <f>IFERROR(INDEX(Country_Context!$G$2:$G$87,MATCH($C136,Country_Context!$A$2:$A$87,0)),"")</f>
        <v/>
      </c>
      <c r="AP136" s="12" t="inlineStr">
        <is>
          <t>https://api.worldbank.org/v2/country/NLD/indicator/NY.GNP.PCAP.PP.CD?format=json&amp;mrv=10 | https://data.worldbank.org/indicator/NY.GNP.PCAP.PP.CD | https://ilostat.ilo.org/data/indicator/?id=HOW_TEMP_SEX_ECO_NB_A&amp;ref_area=NLD | +4 more</t>
        </is>
      </c>
      <c r="AQ136" s="12" t="inlineStr">
        <is>
          <t>Tier 3, Tier 4</t>
        </is>
      </c>
      <c r="AR136" s="12" t="inlineStr">
        <is>
          <t>2024-12-31</t>
        </is>
      </c>
      <c r="AS136" s="12" t="inlineStr">
        <is>
          <t>providers=world_bank_col_estimate, derived, ilo_ilostat, who_gho; fields=gross_income, rent, utilities, transit_cost; +9 additional fields</t>
        </is>
      </c>
      <c r="AT136" s="12" t="inlineStr">
        <is>
          <t>https://api.worldbank.org/v2/country/NLD/indicator/VC.IHR.PSRC.P5?format=json&amp;mrv=10 | https://api.worldbank.org/v2/country/NLD/indicator/SH.H2O.SMDW.ZS?format=json&amp;mrv=10 | https://api.worldbank.org/v2/country/NLD/indicator/IT.NET.BBND.P2?format=json&amp;mrv=10 | +1 more</t>
        </is>
      </c>
      <c r="AU136" s="12" t="inlineStr">
        <is>
          <t>Tier 3</t>
        </is>
      </c>
      <c r="AV136" s="12" t="inlineStr">
        <is>
          <t>2024-12-31</t>
        </is>
      </c>
      <c r="AW136" s="12" t="inlineStr">
        <is>
          <t>providers=world_bank, wmo_natl_met; fields=personal_safety_raw, water_sanitation_utility_raw, digital_infrastructure_raw, climate_sunlight_livability_raw</t>
        </is>
      </c>
      <c r="AX136" s="12" t="inlineStr">
        <is>
          <t>https://www.who.int/data/gho/data/indicators/indicator-details/GHO/UHC_INDEX_REPORTED | https://api.worldbank.org/v2/country/NLD/indicator/SE.TER.ENRR?format=json&amp;mrv=10 | https://api.worldbank.org/v2/country/NLD/indicator/SI.POV.GINI?format=json&amp;mrv=10 | +1 more</t>
        </is>
      </c>
      <c r="AY136" s="12" t="inlineStr">
        <is>
          <t>Tier 3</t>
        </is>
      </c>
      <c r="AZ136" s="12" t="inlineStr">
        <is>
          <t>2023-12-31</t>
        </is>
      </c>
      <c r="BA136" s="12" t="inlineStr">
        <is>
          <t>providers=who_gho, world_bank; fields=healthcare_quality_raw, education_quality_raw, equal_opportunity_raw, gini_coefficient</t>
        </is>
      </c>
      <c r="BB136" s="12" t="inlineStr">
        <is>
          <t>https://api.worldbank.org/v2/country/NLD/indicator/SM.POP.NETM?format=json&amp;mrv=10 | https://api.worldbank.org/v2/country/NLD/indicator/SG.GEN.PARL.ZS?format=json&amp;mrv=10 | https://api.worldbank.org/v2/country/NLD/indicator/ST.INT.ARVL?format=json&amp;mrv=10 | +1 more</t>
        </is>
      </c>
      <c r="BC136" s="12" t="inlineStr">
        <is>
          <t>Tier 3</t>
        </is>
      </c>
      <c r="BD136" s="12" t="inlineStr">
        <is>
          <t>2025-12-31</t>
        </is>
      </c>
      <c r="BE136" s="12" t="inlineStr">
        <is>
          <t>providers=world_bank; fields=hospitality_belonging_raw, tolerance_pluralism_raw, cultural_public_life_raw, birth_rate_optimism_raw</t>
        </is>
      </c>
      <c r="BF136" s="12" t="inlineStr">
        <is>
          <t>https://api.worldbank.org/v2/country/NLD/indicator/IC.BUS.NDNS.ZS?format=json&amp;mrv=10 | https://api.worldbank.org/v2/country/NLD/indicator/GB.XPD.RSDV.GD.ZS?format=json&amp;mrv=10 | https://api.worldbank.org/v2/country/NLD/indicator/BX.KLT.DINV.WD.GD.ZS?format=json&amp;mrv=10 | +3 more</t>
        </is>
      </c>
      <c r="BG136" s="12" t="inlineStr">
        <is>
          <t>Tier 3</t>
        </is>
      </c>
      <c r="BH136" s="12" t="inlineStr">
        <is>
          <t>2024-12-31</t>
        </is>
      </c>
      <c r="BI136" s="12" t="inlineStr">
        <is>
          <t>providers=world_bank; fields=entrepreneurial_dynamism_raw, innovation_research_intensity_raw, investment_signal_raw, administrative_investment_friction_raw; +2 additional fields</t>
        </is>
      </c>
      <c r="BJ136" s="9" t="n">
        <v>1.49</v>
      </c>
    </row>
    <row r="137">
      <c r="A137" s="9" t="inlineStr">
        <is>
          <t>ca-vancouver</t>
        </is>
      </c>
      <c r="B137" s="9" t="inlineStr">
        <is>
          <t>Vancouver</t>
        </is>
      </c>
      <c r="C137" s="9" t="inlineStr">
        <is>
          <t>Canada</t>
        </is>
      </c>
      <c r="D137" s="9" t="inlineStr">
        <is>
          <t>North America</t>
        </is>
      </c>
      <c r="E137" s="9" t="inlineStr">
        <is>
          <t>primary</t>
        </is>
      </c>
      <c r="F137" s="9" t="inlineStr">
        <is>
          <t>provisional</t>
        </is>
      </c>
      <c r="G137" s="10" t="n">
        <v>5567.62</v>
      </c>
      <c r="H137" s="10" t="n">
        <v>2435.83</v>
      </c>
      <c r="I137" s="10" t="n">
        <v>487.17</v>
      </c>
      <c r="J137" s="10" t="n">
        <v>347.98</v>
      </c>
      <c r="K137" s="10" t="n">
        <v>139.19</v>
      </c>
      <c r="L137" s="10" t="n">
        <v>1043.93</v>
      </c>
      <c r="M137" s="11" t="inlineStr"/>
      <c r="N137" s="10" t="n">
        <v>43.7499</v>
      </c>
      <c r="O137" s="10" t="n">
        <v>124.0978</v>
      </c>
      <c r="P137" s="11">
        <f>IF($O137&lt;&gt;"",$O137,$AO137)</f>
        <v/>
      </c>
      <c r="Q137" s="10" t="n">
        <v>34.8</v>
      </c>
      <c r="R137" s="10" t="n">
        <v>9.44</v>
      </c>
      <c r="S137" s="10" t="n">
        <v>1.98</v>
      </c>
      <c r="T137" s="10" t="inlineStr"/>
      <c r="U137" s="10" t="inlineStr"/>
      <c r="V137" s="10" t="n">
        <v>96.89</v>
      </c>
      <c r="W137" s="10" t="n">
        <v>42.52</v>
      </c>
      <c r="X137" s="9" t="n">
        <v>48</v>
      </c>
      <c r="Y137" s="10" t="n">
        <v>92</v>
      </c>
      <c r="Z137" s="10" t="n">
        <v>76.26000000000001</v>
      </c>
      <c r="AA137" s="10" t="n">
        <v>31.1</v>
      </c>
      <c r="AB137" s="10" t="n">
        <v>57.9</v>
      </c>
      <c r="AC137" s="10" t="n">
        <v>30.65</v>
      </c>
      <c r="AD137" s="10" t="n">
        <v>785.45</v>
      </c>
      <c r="AE137" s="10" t="n">
        <v>9.83</v>
      </c>
      <c r="AF137" s="10" t="n">
        <v>1.7</v>
      </c>
      <c r="AG137" s="10" t="n">
        <v>2.81</v>
      </c>
      <c r="AH137" s="10" t="n">
        <v>0.86</v>
      </c>
      <c r="AI137" s="10" t="inlineStr"/>
      <c r="AJ137" s="11">
        <f>IFERROR(INDEX(Country_Context!$B$2:$B$87,MATCH($C137,Country_Context!$A$2:$A$87,0)),"")</f>
        <v/>
      </c>
      <c r="AK137" s="11">
        <f>IFERROR(INDEX(Country_Context!$C$2:$C$87,MATCH($C137,Country_Context!$A$2:$A$87,0)),"")</f>
        <v/>
      </c>
      <c r="AL137" s="11">
        <f>IFERROR(INDEX(Country_Context!$D$2:$D$87,MATCH($C137,Country_Context!$A$2:$A$87,0)),"")</f>
        <v/>
      </c>
      <c r="AM137" s="11">
        <f>IFERROR(INDEX(Country_Context!$E$2:$E$87,MATCH($C137,Country_Context!$A$2:$A$87,0)),"")</f>
        <v/>
      </c>
      <c r="AN137" s="11">
        <f>IFERROR(INDEX(Country_Context!$F$2:$F$87,MATCH($C137,Country_Context!$A$2:$A$87,0)),"")</f>
        <v/>
      </c>
      <c r="AO137" s="11">
        <f>IFERROR(INDEX(Country_Context!$G$2:$G$87,MATCH($C137,Country_Context!$A$2:$A$87,0)),"")</f>
        <v/>
      </c>
      <c r="AP137" s="12" t="inlineStr">
        <is>
          <t>https://api.worldbank.org/v2/country/CAN/indicator/NY.GNP.PCAP.PP.CD?format=json&amp;mrv=10 | https://data.worldbank.org/indicator/NY.GNP.PCAP.PP.CD | https://ilostat.ilo.org/data/indicator/?id=HOW_TEMP_SEX_ECO_NB_A&amp;ref_area=CAN | +4 more</t>
        </is>
      </c>
      <c r="AQ137" s="12" t="inlineStr">
        <is>
          <t>Tier 3, Tier 4</t>
        </is>
      </c>
      <c r="AR137" s="12" t="inlineStr">
        <is>
          <t>2025-12-31</t>
        </is>
      </c>
      <c r="AS137" s="12" t="inlineStr">
        <is>
          <t>providers=world_bank_col_estimate, derived, ilo_ilostat, who_gho; fields=gross_income, rent, utilities, transit_cost; +9 additional fields</t>
        </is>
      </c>
      <c r="AT137" s="12" t="inlineStr">
        <is>
          <t>https://api.worldbank.org/v2/country/CAN/indicator/VC.IHR.PSRC.P5?format=json&amp;mrv=10 | https://api.worldbank.org/v2/country/CAN/indicator/SH.H2O.SMDW.ZS?format=json&amp;mrv=10 | https://api.worldbank.org/v2/country/CAN/indicator/IT.NET.BBND.P2?format=json&amp;mrv=10 | +1 more</t>
        </is>
      </c>
      <c r="AU137" s="12" t="inlineStr">
        <is>
          <t>Tier 3</t>
        </is>
      </c>
      <c r="AV137" s="12" t="inlineStr">
        <is>
          <t>2024-12-31</t>
        </is>
      </c>
      <c r="AW137" s="12" t="inlineStr">
        <is>
          <t>providers=world_bank, wmo_natl_met; fields=personal_safety_raw, water_sanitation_utility_raw, digital_infrastructure_raw, climate_sunlight_livability_raw</t>
        </is>
      </c>
      <c r="AX137" s="12" t="inlineStr">
        <is>
          <t>https://www.who.int/data/gho/data/indicators/indicator-details/GHO/UHC_INDEX_REPORTED | https://api.worldbank.org/v2/country/CAN/indicator/SE.TER.ENRR?format=json&amp;mrv=10 | https://api.worldbank.org/v2/country/CAN/indicator/SI.POV.GINI?format=json&amp;mrv=10 | +1 more</t>
        </is>
      </c>
      <c r="AY137" s="12" t="inlineStr">
        <is>
          <t>Tier 3</t>
        </is>
      </c>
      <c r="AZ137" s="12" t="inlineStr">
        <is>
          <t>2023-12-31</t>
        </is>
      </c>
      <c r="BA137" s="12" t="inlineStr">
        <is>
          <t>providers=who_gho, world_bank; fields=healthcare_quality_raw, education_quality_raw, equal_opportunity_raw, gini_coefficient</t>
        </is>
      </c>
      <c r="BB137" s="12" t="inlineStr">
        <is>
          <t>https://api.worldbank.org/v2/country/CAN/indicator/SM.POP.NETM?format=json&amp;mrv=10 | https://api.worldbank.org/v2/country/CAN/indicator/SG.GEN.PARL.ZS?format=json&amp;mrv=10 | https://api.worldbank.org/v2/country/CAN/indicator/ST.INT.ARVL?format=json&amp;mrv=10 | +1 more</t>
        </is>
      </c>
      <c r="BC137" s="12" t="inlineStr">
        <is>
          <t>Tier 3</t>
        </is>
      </c>
      <c r="BD137" s="12" t="inlineStr">
        <is>
          <t>2025-12-31</t>
        </is>
      </c>
      <c r="BE137" s="12" t="inlineStr">
        <is>
          <t>providers=world_bank; fields=hospitality_belonging_raw, tolerance_pluralism_raw, cultural_public_life_raw, birth_rate_optimism_raw</t>
        </is>
      </c>
      <c r="BF137" s="12" t="inlineStr">
        <is>
          <t>https://api.worldbank.org/v2/country/CAN/indicator/IC.BUS.NDNS.ZS?format=json&amp;mrv=10 | https://api.worldbank.org/v2/country/CAN/indicator/GB.XPD.RSDV.GD.ZS?format=json&amp;mrv=10 | https://api.worldbank.org/v2/country/CAN/indicator/BX.KLT.DINV.WD.GD.ZS?format=json&amp;mrv=10 | +3 more</t>
        </is>
      </c>
      <c r="BG137" s="12" t="inlineStr">
        <is>
          <t>Tier 3</t>
        </is>
      </c>
      <c r="BH137" s="12" t="inlineStr">
        <is>
          <t>2024-12-31</t>
        </is>
      </c>
      <c r="BI137" s="12" t="inlineStr">
        <is>
          <t>providers=world_bank; fields=entrepreneurial_dynamism_raw, innovation_research_intensity_raw, investment_signal_raw, administrative_investment_friction_raw; +2 additional fields</t>
        </is>
      </c>
      <c r="BJ137" s="9" t="n">
        <v>1.26</v>
      </c>
    </row>
    <row r="138">
      <c r="A138" s="9" t="inlineStr">
        <is>
          <t>ca-ottawa</t>
        </is>
      </c>
      <c r="B138" s="9" t="inlineStr">
        <is>
          <t>Ottawa</t>
        </is>
      </c>
      <c r="C138" s="9" t="inlineStr">
        <is>
          <t>Canada</t>
        </is>
      </c>
      <c r="D138" s="9" t="inlineStr">
        <is>
          <t>North America</t>
        </is>
      </c>
      <c r="E138" s="9" t="inlineStr">
        <is>
          <t>primary</t>
        </is>
      </c>
      <c r="F138" s="9" t="inlineStr">
        <is>
          <t>provisional</t>
        </is>
      </c>
      <c r="G138" s="10" t="n">
        <v>5302.5</v>
      </c>
      <c r="H138" s="10" t="n">
        <v>1763.08</v>
      </c>
      <c r="I138" s="10" t="n">
        <v>352.62</v>
      </c>
      <c r="J138" s="10" t="n">
        <v>251.87</v>
      </c>
      <c r="K138" s="10" t="n">
        <v>100.75</v>
      </c>
      <c r="L138" s="10" t="n">
        <v>755.61</v>
      </c>
      <c r="M138" s="11" t="inlineStr"/>
      <c r="N138" s="10" t="n">
        <v>33.25</v>
      </c>
      <c r="O138" s="10" t="n">
        <v>124.0978</v>
      </c>
      <c r="P138" s="11">
        <f>IF($O138&lt;&gt;"",$O138,$AO138)</f>
        <v/>
      </c>
      <c r="Q138" s="10" t="n">
        <v>34.8</v>
      </c>
      <c r="R138" s="10" t="n">
        <v>9.44</v>
      </c>
      <c r="S138" s="10" t="n">
        <v>1.98</v>
      </c>
      <c r="T138" s="10" t="inlineStr"/>
      <c r="U138" s="10" t="inlineStr"/>
      <c r="V138" s="10" t="n">
        <v>96.89</v>
      </c>
      <c r="W138" s="10" t="n">
        <v>42.52</v>
      </c>
      <c r="X138" s="9" t="n">
        <v>42</v>
      </c>
      <c r="Y138" s="10" t="n">
        <v>92</v>
      </c>
      <c r="Z138" s="10" t="n">
        <v>76.26000000000001</v>
      </c>
      <c r="AA138" s="10" t="n">
        <v>31.1</v>
      </c>
      <c r="AB138" s="10" t="n">
        <v>57.9</v>
      </c>
      <c r="AC138" s="10" t="n">
        <v>30.65</v>
      </c>
      <c r="AD138" s="10" t="n">
        <v>785.45</v>
      </c>
      <c r="AE138" s="10" t="n">
        <v>9.83</v>
      </c>
      <c r="AF138" s="10" t="n">
        <v>1.7</v>
      </c>
      <c r="AG138" s="10" t="n">
        <v>2.81</v>
      </c>
      <c r="AH138" s="10" t="n">
        <v>0.86</v>
      </c>
      <c r="AI138" s="10" t="inlineStr"/>
      <c r="AJ138" s="11">
        <f>IFERROR(INDEX(Country_Context!$B$2:$B$87,MATCH($C138,Country_Context!$A$2:$A$87,0)),"")</f>
        <v/>
      </c>
      <c r="AK138" s="11">
        <f>IFERROR(INDEX(Country_Context!$C$2:$C$87,MATCH($C138,Country_Context!$A$2:$A$87,0)),"")</f>
        <v/>
      </c>
      <c r="AL138" s="11">
        <f>IFERROR(INDEX(Country_Context!$D$2:$D$87,MATCH($C138,Country_Context!$A$2:$A$87,0)),"")</f>
        <v/>
      </c>
      <c r="AM138" s="11">
        <f>IFERROR(INDEX(Country_Context!$E$2:$E$87,MATCH($C138,Country_Context!$A$2:$A$87,0)),"")</f>
        <v/>
      </c>
      <c r="AN138" s="11">
        <f>IFERROR(INDEX(Country_Context!$F$2:$F$87,MATCH($C138,Country_Context!$A$2:$A$87,0)),"")</f>
        <v/>
      </c>
      <c r="AO138" s="11">
        <f>IFERROR(INDEX(Country_Context!$G$2:$G$87,MATCH($C138,Country_Context!$A$2:$A$87,0)),"")</f>
        <v/>
      </c>
      <c r="AP138" s="12" t="inlineStr">
        <is>
          <t>https://api.worldbank.org/v2/country/CAN/indicator/NY.GNP.PCAP.PP.CD?format=json&amp;mrv=10 | https://data.worldbank.org/indicator/NY.GNP.PCAP.PP.CD | https://ilostat.ilo.org/data/indicator/?id=HOW_TEMP_SEX_ECO_NB_A&amp;ref_area=CAN | +4 more</t>
        </is>
      </c>
      <c r="AQ138" s="12" t="inlineStr">
        <is>
          <t>Tier 3, Tier 4</t>
        </is>
      </c>
      <c r="AR138" s="12" t="inlineStr">
        <is>
          <t>2025-12-31</t>
        </is>
      </c>
      <c r="AS138" s="12" t="inlineStr">
        <is>
          <t>providers=world_bank_col_estimate, derived, ilo_ilostat, who_gho; fields=gross_income, rent, utilities, transit_cost; +9 additional fields</t>
        </is>
      </c>
      <c r="AT138" s="12" t="inlineStr">
        <is>
          <t>https://api.worldbank.org/v2/country/CAN/indicator/VC.IHR.PSRC.P5?format=json&amp;mrv=10 | https://api.worldbank.org/v2/country/CAN/indicator/SH.H2O.SMDW.ZS?format=json&amp;mrv=10 | https://api.worldbank.org/v2/country/CAN/indicator/IT.NET.BBND.P2?format=json&amp;mrv=10 | +1 more</t>
        </is>
      </c>
      <c r="AU138" s="12" t="inlineStr">
        <is>
          <t>Tier 3</t>
        </is>
      </c>
      <c r="AV138" s="12" t="inlineStr">
        <is>
          <t>2024-12-31</t>
        </is>
      </c>
      <c r="AW138" s="12" t="inlineStr">
        <is>
          <t>providers=world_bank, wmo_natl_met; fields=personal_safety_raw, water_sanitation_utility_raw, digital_infrastructure_raw, climate_sunlight_livability_raw</t>
        </is>
      </c>
      <c r="AX138" s="12" t="inlineStr">
        <is>
          <t>https://www.who.int/data/gho/data/indicators/indicator-details/GHO/UHC_INDEX_REPORTED | https://api.worldbank.org/v2/country/CAN/indicator/SE.TER.ENRR?format=json&amp;mrv=10 | https://api.worldbank.org/v2/country/CAN/indicator/SI.POV.GINI?format=json&amp;mrv=10 | +1 more</t>
        </is>
      </c>
      <c r="AY138" s="12" t="inlineStr">
        <is>
          <t>Tier 3</t>
        </is>
      </c>
      <c r="AZ138" s="12" t="inlineStr">
        <is>
          <t>2023-12-31</t>
        </is>
      </c>
      <c r="BA138" s="12" t="inlineStr">
        <is>
          <t>providers=who_gho, world_bank; fields=healthcare_quality_raw, education_quality_raw, equal_opportunity_raw, gini_coefficient</t>
        </is>
      </c>
      <c r="BB138" s="12" t="inlineStr">
        <is>
          <t>https://api.worldbank.org/v2/country/CAN/indicator/SM.POP.NETM?format=json&amp;mrv=10 | https://api.worldbank.org/v2/country/CAN/indicator/SG.GEN.PARL.ZS?format=json&amp;mrv=10 | https://api.worldbank.org/v2/country/CAN/indicator/ST.INT.ARVL?format=json&amp;mrv=10 | +1 more</t>
        </is>
      </c>
      <c r="BC138" s="12" t="inlineStr">
        <is>
          <t>Tier 3</t>
        </is>
      </c>
      <c r="BD138" s="12" t="inlineStr">
        <is>
          <t>2025-12-31</t>
        </is>
      </c>
      <c r="BE138" s="12" t="inlineStr">
        <is>
          <t>providers=world_bank; fields=hospitality_belonging_raw, tolerance_pluralism_raw, cultural_public_life_raw, birth_rate_optimism_raw</t>
        </is>
      </c>
      <c r="BF138" s="12" t="inlineStr">
        <is>
          <t>https://api.worldbank.org/v2/country/CAN/indicator/IC.BUS.NDNS.ZS?format=json&amp;mrv=10 | https://api.worldbank.org/v2/country/CAN/indicator/GB.XPD.RSDV.GD.ZS?format=json&amp;mrv=10 | https://api.worldbank.org/v2/country/CAN/indicator/BX.KLT.DINV.WD.GD.ZS?format=json&amp;mrv=10 | +3 more</t>
        </is>
      </c>
      <c r="BG138" s="12" t="inlineStr">
        <is>
          <t>Tier 3</t>
        </is>
      </c>
      <c r="BH138" s="12" t="inlineStr">
        <is>
          <t>2024-12-31</t>
        </is>
      </c>
      <c r="BI138" s="12" t="inlineStr">
        <is>
          <t>providers=world_bank; fields=entrepreneurial_dynamism_raw, innovation_research_intensity_raw, investment_signal_raw, administrative_investment_friction_raw; +2 additional fields</t>
        </is>
      </c>
      <c r="BJ138" s="9" t="n">
        <v>1.26</v>
      </c>
    </row>
    <row r="139">
      <c r="A139" s="9" t="inlineStr">
        <is>
          <t>us-minneapolis</t>
        </is>
      </c>
      <c r="B139" s="9" t="inlineStr">
        <is>
          <t>Minneapolis</t>
        </is>
      </c>
      <c r="C139" s="9" t="inlineStr">
        <is>
          <t>United States</t>
        </is>
      </c>
      <c r="D139" s="9" t="inlineStr">
        <is>
          <t>North America</t>
        </is>
      </c>
      <c r="E139" s="9" t="inlineStr">
        <is>
          <t>primary</t>
        </is>
      </c>
      <c r="F139" s="9" t="inlineStr">
        <is>
          <t>provisional</t>
        </is>
      </c>
      <c r="G139" s="10" t="n">
        <v>7165</v>
      </c>
      <c r="H139" s="10" t="n">
        <v>2256.97</v>
      </c>
      <c r="I139" s="10" t="n">
        <v>451.4</v>
      </c>
      <c r="J139" s="10" t="n">
        <v>322.43</v>
      </c>
      <c r="K139" s="10" t="n">
        <v>128.97</v>
      </c>
      <c r="L139" s="10" t="n">
        <v>967.27</v>
      </c>
      <c r="M139" s="11" t="inlineStr"/>
      <c r="N139" s="10" t="n">
        <v>31.4999</v>
      </c>
      <c r="O139" s="10" t="n">
        <v>46.8411</v>
      </c>
      <c r="P139" s="11">
        <f>IF($O139&lt;&gt;"",$O139,$AO139)</f>
        <v/>
      </c>
      <c r="Q139" s="10" t="n">
        <v>37.54</v>
      </c>
      <c r="R139" s="10" t="n">
        <v>15.63</v>
      </c>
      <c r="S139" s="10" t="n">
        <v>5.76</v>
      </c>
      <c r="T139" s="10" t="inlineStr"/>
      <c r="U139" s="10" t="inlineStr"/>
      <c r="V139" s="10" t="n">
        <v>97.56999999999999</v>
      </c>
      <c r="W139" s="10" t="n">
        <v>38.15</v>
      </c>
      <c r="X139" s="9" t="n">
        <v>48</v>
      </c>
      <c r="Y139" s="10" t="n">
        <v>88</v>
      </c>
      <c r="Z139" s="10" t="n">
        <v>79.36</v>
      </c>
      <c r="AA139" s="10" t="n">
        <v>41.8</v>
      </c>
      <c r="AB139" s="10" t="n">
        <v>53.62</v>
      </c>
      <c r="AC139" s="10" t="n">
        <v>28.74</v>
      </c>
      <c r="AD139" s="10" t="n">
        <v>132.42</v>
      </c>
      <c r="AE139" s="10" t="inlineStr"/>
      <c r="AF139" s="10" t="n">
        <v>3.59</v>
      </c>
      <c r="AG139" s="10" t="n">
        <v>1.03</v>
      </c>
      <c r="AH139" s="10" t="n">
        <v>1.11</v>
      </c>
      <c r="AI139" s="10" t="inlineStr"/>
      <c r="AJ139" s="11">
        <f>IFERROR(INDEX(Country_Context!$B$2:$B$87,MATCH($C139,Country_Context!$A$2:$A$87,0)),"")</f>
        <v/>
      </c>
      <c r="AK139" s="11">
        <f>IFERROR(INDEX(Country_Context!$C$2:$C$87,MATCH($C139,Country_Context!$A$2:$A$87,0)),"")</f>
        <v/>
      </c>
      <c r="AL139" s="11">
        <f>IFERROR(INDEX(Country_Context!$D$2:$D$87,MATCH($C139,Country_Context!$A$2:$A$87,0)),"")</f>
        <v/>
      </c>
      <c r="AM139" s="11">
        <f>IFERROR(INDEX(Country_Context!$E$2:$E$87,MATCH($C139,Country_Context!$A$2:$A$87,0)),"")</f>
        <v/>
      </c>
      <c r="AN139" s="11">
        <f>IFERROR(INDEX(Country_Context!$F$2:$F$87,MATCH($C139,Country_Context!$A$2:$A$87,0)),"")</f>
        <v/>
      </c>
      <c r="AO139" s="11">
        <f>IFERROR(INDEX(Country_Context!$G$2:$G$87,MATCH($C139,Country_Context!$A$2:$A$87,0)),"")</f>
        <v/>
      </c>
      <c r="AP139" s="12" t="inlineStr">
        <is>
          <t>https://api.worldbank.org/v2/country/USA/indicator/NY.GNP.PCAP.PP.CD?format=json&amp;mrv=10 | https://data.worldbank.org/indicator/NY.GNP.PCAP.PP.CD | https://ilostat.ilo.org/data/indicator/?id=HOW_TEMP_SEX_ECO_NB_A&amp;ref_area=USA | +4 more</t>
        </is>
      </c>
      <c r="AQ139" s="12" t="inlineStr">
        <is>
          <t>Tier 3, Tier 4</t>
        </is>
      </c>
      <c r="AR139" s="12" t="inlineStr">
        <is>
          <t>2025-12-31</t>
        </is>
      </c>
      <c r="AS139" s="12" t="inlineStr">
        <is>
          <t>providers=world_bank_col_estimate, derived, ilo_ilostat, who_gho; fields=gross_income, rent, utilities, transit_cost; +9 additional fields</t>
        </is>
      </c>
      <c r="AT139" s="12" t="inlineStr">
        <is>
          <t>https://api.worldbank.org/v2/country/USA/indicator/VC.IHR.PSRC.P5?format=json&amp;mrv=10 | https://api.worldbank.org/v2/country/USA/indicator/SH.H2O.SMDW.ZS?format=json&amp;mrv=10 | https://api.worldbank.org/v2/country/USA/indicator/IT.NET.BBND.P2?format=json&amp;mrv=10 | +1 more</t>
        </is>
      </c>
      <c r="AU139" s="12" t="inlineStr">
        <is>
          <t>Tier 3</t>
        </is>
      </c>
      <c r="AV139" s="12" t="inlineStr">
        <is>
          <t>2024-12-31</t>
        </is>
      </c>
      <c r="AW139" s="12" t="inlineStr">
        <is>
          <t>providers=world_bank, wmo_natl_met; fields=personal_safety_raw, water_sanitation_utility_raw, digital_infrastructure_raw, climate_sunlight_livability_raw</t>
        </is>
      </c>
      <c r="AX139" s="12" t="inlineStr">
        <is>
          <t>https://www.who.int/data/gho/data/indicators/indicator-details/GHO/UHC_INDEX_REPORTED | https://api.worldbank.org/v2/country/USA/indicator/SE.TER.ENRR?format=json&amp;mrv=10 | https://api.worldbank.org/v2/country/USA/indicator/SI.POV.GINI?format=json&amp;mrv=10 | +1 more</t>
        </is>
      </c>
      <c r="AY139" s="12" t="inlineStr">
        <is>
          <t>Tier 3</t>
        </is>
      </c>
      <c r="AZ139" s="12" t="inlineStr">
        <is>
          <t>2023-12-31</t>
        </is>
      </c>
      <c r="BA139" s="12" t="inlineStr">
        <is>
          <t>providers=who_gho, world_bank; fields=healthcare_quality_raw, education_quality_raw, equal_opportunity_raw, gini_coefficient</t>
        </is>
      </c>
      <c r="BB139" s="12" t="inlineStr">
        <is>
          <t>https://api.worldbank.org/v2/country/USA/indicator/SM.POP.NETM?format=json&amp;mrv=10 | https://api.worldbank.org/v2/country/USA/indicator/SG.GEN.PARL.ZS?format=json&amp;mrv=10 | https://api.worldbank.org/v2/country/USA/indicator/ST.INT.ARVL?format=json&amp;mrv=10 | +1 more</t>
        </is>
      </c>
      <c r="BC139" s="12" t="inlineStr">
        <is>
          <t>Tier 3</t>
        </is>
      </c>
      <c r="BD139" s="12" t="inlineStr">
        <is>
          <t>2025-12-31</t>
        </is>
      </c>
      <c r="BE139" s="12" t="inlineStr">
        <is>
          <t>providers=world_bank; fields=hospitality_belonging_raw, tolerance_pluralism_raw, cultural_public_life_raw, birth_rate_optimism_raw</t>
        </is>
      </c>
      <c r="BF139" s="12" t="inlineStr">
        <is>
          <t>https://api.worldbank.org/v2/country/USA/indicator/GB.XPD.RSDV.GD.ZS?format=json&amp;mrv=10 | https://api.worldbank.org/v2/country/USA/indicator/BX.KLT.DINV.WD.GD.ZS?format=json&amp;mrv=10 | https://api.worldbank.org/v2/country/USA/indicator/RQ.EST?format=json&amp;mrv=10 | +2 more</t>
        </is>
      </c>
      <c r="BG139" s="12" t="inlineStr">
        <is>
          <t>Tier 3</t>
        </is>
      </c>
      <c r="BH139" s="12" t="inlineStr">
        <is>
          <t>2024-12-31</t>
        </is>
      </c>
      <c r="BI139" s="12" t="inlineStr">
        <is>
          <t>providers=world_bank; fields=innovation_research_intensity_raw, investment_signal_raw, administrative_investment_friction_raw, gdp_per_capita_ppp; +1 additional fields</t>
        </is>
      </c>
      <c r="BJ139" s="9" t="n">
        <v>1.62</v>
      </c>
    </row>
    <row r="140">
      <c r="A140" s="9" t="inlineStr">
        <is>
          <t>us-raleigh</t>
        </is>
      </c>
      <c r="B140" s="9" t="inlineStr">
        <is>
          <t>Raleigh</t>
        </is>
      </c>
      <c r="C140" s="9" t="inlineStr">
        <is>
          <t>United States</t>
        </is>
      </c>
      <c r="D140" s="9" t="inlineStr">
        <is>
          <t>North America</t>
        </is>
      </c>
      <c r="E140" s="9" t="inlineStr">
        <is>
          <t>secondary</t>
        </is>
      </c>
      <c r="F140" s="9" t="inlineStr">
        <is>
          <t>provisional</t>
        </is>
      </c>
      <c r="G140" s="10" t="n">
        <v>7165</v>
      </c>
      <c r="H140" s="10" t="n">
        <v>2131.59</v>
      </c>
      <c r="I140" s="10" t="n">
        <v>426.32</v>
      </c>
      <c r="J140" s="10" t="n">
        <v>304.51</v>
      </c>
      <c r="K140" s="10" t="n">
        <v>121.81</v>
      </c>
      <c r="L140" s="10" t="n">
        <v>913.54</v>
      </c>
      <c r="M140" s="11" t="inlineStr"/>
      <c r="N140" s="10" t="n">
        <v>29.75</v>
      </c>
      <c r="O140" s="10" t="n">
        <v>46.8411</v>
      </c>
      <c r="P140" s="11">
        <f>IF($O140&lt;&gt;"",$O140,$AO140)</f>
        <v/>
      </c>
      <c r="Q140" s="10" t="n">
        <v>37.54</v>
      </c>
      <c r="R140" s="10" t="n">
        <v>15.63</v>
      </c>
      <c r="S140" s="10" t="n">
        <v>5.76</v>
      </c>
      <c r="T140" s="10" t="inlineStr"/>
      <c r="U140" s="10" t="inlineStr"/>
      <c r="V140" s="10" t="n">
        <v>97.56999999999999</v>
      </c>
      <c r="W140" s="10" t="n">
        <v>38.15</v>
      </c>
      <c r="X140" s="9" t="n">
        <v>62</v>
      </c>
      <c r="Y140" s="10" t="n">
        <v>88</v>
      </c>
      <c r="Z140" s="10" t="n">
        <v>79.36</v>
      </c>
      <c r="AA140" s="10" t="n">
        <v>41.8</v>
      </c>
      <c r="AB140" s="10" t="n">
        <v>53.62</v>
      </c>
      <c r="AC140" s="10" t="n">
        <v>28.74</v>
      </c>
      <c r="AD140" s="10" t="n">
        <v>132.42</v>
      </c>
      <c r="AE140" s="10" t="inlineStr"/>
      <c r="AF140" s="10" t="n">
        <v>3.59</v>
      </c>
      <c r="AG140" s="10" t="n">
        <v>1.03</v>
      </c>
      <c r="AH140" s="10" t="n">
        <v>1.11</v>
      </c>
      <c r="AI140" s="10" t="inlineStr"/>
      <c r="AJ140" s="11">
        <f>IFERROR(INDEX(Country_Context!$B$2:$B$87,MATCH($C140,Country_Context!$A$2:$A$87,0)),"")</f>
        <v/>
      </c>
      <c r="AK140" s="11">
        <f>IFERROR(INDEX(Country_Context!$C$2:$C$87,MATCH($C140,Country_Context!$A$2:$A$87,0)),"")</f>
        <v/>
      </c>
      <c r="AL140" s="11">
        <f>IFERROR(INDEX(Country_Context!$D$2:$D$87,MATCH($C140,Country_Context!$A$2:$A$87,0)),"")</f>
        <v/>
      </c>
      <c r="AM140" s="11">
        <f>IFERROR(INDEX(Country_Context!$E$2:$E$87,MATCH($C140,Country_Context!$A$2:$A$87,0)),"")</f>
        <v/>
      </c>
      <c r="AN140" s="11">
        <f>IFERROR(INDEX(Country_Context!$F$2:$F$87,MATCH($C140,Country_Context!$A$2:$A$87,0)),"")</f>
        <v/>
      </c>
      <c r="AO140" s="11">
        <f>IFERROR(INDEX(Country_Context!$G$2:$G$87,MATCH($C140,Country_Context!$A$2:$A$87,0)),"")</f>
        <v/>
      </c>
      <c r="AP140" s="12" t="inlineStr">
        <is>
          <t>https://api.worldbank.org/v2/country/USA/indicator/NY.GNP.PCAP.PP.CD?format=json&amp;mrv=10 | https://data.worldbank.org/indicator/NY.GNP.PCAP.PP.CD | https://ilostat.ilo.org/data/indicator/?id=HOW_TEMP_SEX_ECO_NB_A&amp;ref_area=USA | +4 more</t>
        </is>
      </c>
      <c r="AQ140" s="12" t="inlineStr">
        <is>
          <t>Tier 3, Tier 4</t>
        </is>
      </c>
      <c r="AR140" s="12" t="inlineStr">
        <is>
          <t>2025-12-31</t>
        </is>
      </c>
      <c r="AS140" s="12" t="inlineStr">
        <is>
          <t>providers=world_bank_col_estimate, derived, ilo_ilostat, who_gho; fields=gross_income, rent, utilities, transit_cost; +9 additional fields</t>
        </is>
      </c>
      <c r="AT140" s="12" t="inlineStr">
        <is>
          <t>https://api.worldbank.org/v2/country/USA/indicator/VC.IHR.PSRC.P5?format=json&amp;mrv=10 | https://api.worldbank.org/v2/country/USA/indicator/SH.H2O.SMDW.ZS?format=json&amp;mrv=10 | https://api.worldbank.org/v2/country/USA/indicator/IT.NET.BBND.P2?format=json&amp;mrv=10 | +1 more</t>
        </is>
      </c>
      <c r="AU140" s="12" t="inlineStr">
        <is>
          <t>Tier 3</t>
        </is>
      </c>
      <c r="AV140" s="12" t="inlineStr">
        <is>
          <t>2024-12-31</t>
        </is>
      </c>
      <c r="AW140" s="12" t="inlineStr">
        <is>
          <t>providers=world_bank, wmo_natl_met; fields=personal_safety_raw, water_sanitation_utility_raw, digital_infrastructure_raw, climate_sunlight_livability_raw</t>
        </is>
      </c>
      <c r="AX140" s="12" t="inlineStr">
        <is>
          <t>https://www.who.int/data/gho/data/indicators/indicator-details/GHO/UHC_INDEX_REPORTED | https://api.worldbank.org/v2/country/USA/indicator/SE.TER.ENRR?format=json&amp;mrv=10 | https://api.worldbank.org/v2/country/USA/indicator/SI.POV.GINI?format=json&amp;mrv=10 | +1 more</t>
        </is>
      </c>
      <c r="AY140" s="12" t="inlineStr">
        <is>
          <t>Tier 3</t>
        </is>
      </c>
      <c r="AZ140" s="12" t="inlineStr">
        <is>
          <t>2023-12-31</t>
        </is>
      </c>
      <c r="BA140" s="12" t="inlineStr">
        <is>
          <t>providers=who_gho, world_bank; fields=healthcare_quality_raw, education_quality_raw, equal_opportunity_raw, gini_coefficient</t>
        </is>
      </c>
      <c r="BB140" s="12" t="inlineStr">
        <is>
          <t>https://api.worldbank.org/v2/country/USA/indicator/SM.POP.NETM?format=json&amp;mrv=10 | https://api.worldbank.org/v2/country/USA/indicator/SG.GEN.PARL.ZS?format=json&amp;mrv=10 | https://api.worldbank.org/v2/country/USA/indicator/ST.INT.ARVL?format=json&amp;mrv=10 | +1 more</t>
        </is>
      </c>
      <c r="BC140" s="12" t="inlineStr">
        <is>
          <t>Tier 3</t>
        </is>
      </c>
      <c r="BD140" s="12" t="inlineStr">
        <is>
          <t>2025-12-31</t>
        </is>
      </c>
      <c r="BE140" s="12" t="inlineStr">
        <is>
          <t>providers=world_bank; fields=hospitality_belonging_raw, tolerance_pluralism_raw, cultural_public_life_raw, birth_rate_optimism_raw</t>
        </is>
      </c>
      <c r="BF140" s="12" t="inlineStr">
        <is>
          <t>https://api.worldbank.org/v2/country/USA/indicator/GB.XPD.RSDV.GD.ZS?format=json&amp;mrv=10 | https://api.worldbank.org/v2/country/USA/indicator/BX.KLT.DINV.WD.GD.ZS?format=json&amp;mrv=10 | https://api.worldbank.org/v2/country/USA/indicator/RQ.EST?format=json&amp;mrv=10 | +2 more</t>
        </is>
      </c>
      <c r="BG140" s="12" t="inlineStr">
        <is>
          <t>Tier 3</t>
        </is>
      </c>
      <c r="BH140" s="12" t="inlineStr">
        <is>
          <t>2024-12-31</t>
        </is>
      </c>
      <c r="BI140" s="12" t="inlineStr">
        <is>
          <t>providers=world_bank; fields=innovation_research_intensity_raw, investment_signal_raw, administrative_investment_friction_raw, gdp_per_capita_ppp; +1 additional fields</t>
        </is>
      </c>
      <c r="BJ140" s="9" t="n">
        <v>1.62</v>
      </c>
    </row>
    <row r="141">
      <c r="A141" s="9" t="inlineStr">
        <is>
          <t>do-santo-domingo</t>
        </is>
      </c>
      <c r="B141" s="9" t="inlineStr">
        <is>
          <t>Santo Domingo</t>
        </is>
      </c>
      <c r="C141" s="9" t="inlineStr">
        <is>
          <t>Dominican Republic</t>
        </is>
      </c>
      <c r="D141" s="9" t="inlineStr">
        <is>
          <t>North America</t>
        </is>
      </c>
      <c r="E141" s="9" t="inlineStr">
        <is>
          <t>primary</t>
        </is>
      </c>
      <c r="F141" s="9" t="inlineStr">
        <is>
          <t>provisional</t>
        </is>
      </c>
      <c r="G141" s="10" t="n">
        <v>2170.83</v>
      </c>
      <c r="H141" s="10" t="n">
        <v>645.8200000000001</v>
      </c>
      <c r="I141" s="10" t="n">
        <v>129.16</v>
      </c>
      <c r="J141" s="10" t="n">
        <v>92.26000000000001</v>
      </c>
      <c r="K141" s="10" t="n">
        <v>36.9</v>
      </c>
      <c r="L141" s="10" t="n">
        <v>276.78</v>
      </c>
      <c r="M141" s="11" t="inlineStr"/>
      <c r="N141" s="10" t="n">
        <v>29.7499</v>
      </c>
      <c r="O141" s="10" t="inlineStr"/>
      <c r="P141" s="11">
        <f>IF($O141&lt;&gt;"",$O141,$AO141)</f>
        <v/>
      </c>
      <c r="Q141" s="10" t="inlineStr"/>
      <c r="R141" s="10" t="inlineStr"/>
      <c r="S141" s="10" t="inlineStr"/>
      <c r="T141" s="10" t="inlineStr"/>
      <c r="U141" s="10" t="inlineStr"/>
      <c r="V141" s="10" t="inlineStr"/>
      <c r="W141" s="10" t="inlineStr"/>
      <c r="X141" s="9" t="inlineStr"/>
      <c r="Y141" s="10" t="inlineStr"/>
      <c r="Z141" s="10" t="inlineStr"/>
      <c r="AA141" s="10" t="n">
        <v>39</v>
      </c>
      <c r="AB141" s="10" t="inlineStr"/>
      <c r="AC141" s="10" t="inlineStr"/>
      <c r="AD141" s="10" t="inlineStr"/>
      <c r="AE141" s="10" t="n">
        <v>1.45</v>
      </c>
      <c r="AF141" s="10" t="inlineStr"/>
      <c r="AG141" s="10" t="n">
        <v>3.6</v>
      </c>
      <c r="AH141" s="10" t="n">
        <v>2.33</v>
      </c>
      <c r="AI141" s="10" t="inlineStr"/>
      <c r="AJ141" s="11">
        <f>IFERROR(INDEX(Country_Context!$B$2:$B$87,MATCH($C141,Country_Context!$A$2:$A$87,0)),"")</f>
        <v/>
      </c>
      <c r="AK141" s="11">
        <f>IFERROR(INDEX(Country_Context!$C$2:$C$87,MATCH($C141,Country_Context!$A$2:$A$87,0)),"")</f>
        <v/>
      </c>
      <c r="AL141" s="11">
        <f>IFERROR(INDEX(Country_Context!$D$2:$D$87,MATCH($C141,Country_Context!$A$2:$A$87,0)),"")</f>
        <v/>
      </c>
      <c r="AM141" s="11">
        <f>IFERROR(INDEX(Country_Context!$E$2:$E$87,MATCH($C141,Country_Context!$A$2:$A$87,0)),"")</f>
        <v/>
      </c>
      <c r="AN141" s="11">
        <f>IFERROR(INDEX(Country_Context!$F$2:$F$87,MATCH($C141,Country_Context!$A$2:$A$87,0)),"")</f>
        <v/>
      </c>
      <c r="AO141" s="11">
        <f>IFERROR(INDEX(Country_Context!$G$2:$G$87,MATCH($C141,Country_Context!$A$2:$A$87,0)),"")</f>
        <v/>
      </c>
      <c r="AP141" s="12" t="inlineStr">
        <is>
          <t>https://api.worldbank.org/v2/country/DOM/indicator/NY.GNP.PCAP.PP.CD?format=json&amp;mrv=10 | https://data.worldbank.org/indicator/NY.GNP.PCAP.PP.CD</t>
        </is>
      </c>
      <c r="AQ141" s="12" t="inlineStr">
        <is>
          <t>Tier 4</t>
        </is>
      </c>
      <c r="AR141" s="12" t="inlineStr">
        <is>
          <t>2024-12-31</t>
        </is>
      </c>
      <c r="AS141" s="12" t="inlineStr">
        <is>
          <t>providers=world_bank_col_estimate, derived; fields=gross_income, rent, utilities, transit_cost; +3 additional fields</t>
        </is>
      </c>
      <c r="AT141" s="12" t="inlineStr"/>
      <c r="AU141" s="12" t="inlineStr"/>
      <c r="AV141" s="12" t="inlineStr"/>
      <c r="AW141" s="12" t="inlineStr"/>
      <c r="AX141" s="12" t="inlineStr">
        <is>
          <t>https://api.worldbank.org/v2/country/DOM/indicator/SI.POV.GINI?format=json&amp;mrv=10</t>
        </is>
      </c>
      <c r="AY141" s="12" t="inlineStr">
        <is>
          <t>Tier 3</t>
        </is>
      </c>
      <c r="AZ141" s="12" t="inlineStr">
        <is>
          <t>2024-12-31</t>
        </is>
      </c>
      <c r="BA141" s="12" t="inlineStr">
        <is>
          <t>providers=world_bank; fields=equal_opportunity_raw</t>
        </is>
      </c>
      <c r="BB141" s="12" t="inlineStr"/>
      <c r="BC141" s="12" t="inlineStr"/>
      <c r="BD141" s="12" t="inlineStr"/>
      <c r="BE141" s="12" t="inlineStr"/>
      <c r="BF141" s="12" t="inlineStr">
        <is>
          <t>https://api.worldbank.org/v2/country/DOM/indicator/IC.BUS.NDNS.ZS?format=json&amp;mrv=10 | https://api.worldbank.org/v2/country/DOM/indicator/BX.KLT.DINV.WD.GD.ZS?format=json&amp;mrv=10 | https://api.worldbank.org/v2/country/DOM/indicator/RQ.EST?format=json&amp;mrv=10</t>
        </is>
      </c>
      <c r="BG141" s="12" t="inlineStr">
        <is>
          <t>Tier 3</t>
        </is>
      </c>
      <c r="BH141" s="12" t="inlineStr">
        <is>
          <t>2024-12-31</t>
        </is>
      </c>
      <c r="BI141" s="12" t="inlineStr">
        <is>
          <t>providers=world_bank; fields=entrepreneurial_dynamism_raw, investment_signal_raw, administrative_investment_friction_raw</t>
        </is>
      </c>
      <c r="BJ141" s="9" t="inlineStr"/>
    </row>
    <row r="142">
      <c r="A142" s="9" t="inlineStr">
        <is>
          <t>br-florianopolis</t>
        </is>
      </c>
      <c r="B142" s="9" t="inlineStr">
        <is>
          <t>Florianopolis</t>
        </is>
      </c>
      <c r="C142" s="9" t="inlineStr">
        <is>
          <t>Brazil</t>
        </is>
      </c>
      <c r="D142" s="9" t="inlineStr">
        <is>
          <t>Latin America</t>
        </is>
      </c>
      <c r="E142" s="9" t="inlineStr">
        <is>
          <t>secondary</t>
        </is>
      </c>
      <c r="F142" s="9" t="inlineStr">
        <is>
          <t>provisional</t>
        </is>
      </c>
      <c r="G142" s="10" t="n">
        <v>1799.17</v>
      </c>
      <c r="H142" s="10" t="n">
        <v>404.81</v>
      </c>
      <c r="I142" s="10" t="n">
        <v>97.16</v>
      </c>
      <c r="J142" s="10" t="n">
        <v>64.77</v>
      </c>
      <c r="K142" s="10" t="n">
        <v>24.29</v>
      </c>
      <c r="L142" s="10" t="n">
        <v>356.24</v>
      </c>
      <c r="M142" s="11" t="inlineStr"/>
      <c r="N142" s="10" t="n">
        <v>22.4998</v>
      </c>
      <c r="O142" s="10" t="n">
        <v>75.6164</v>
      </c>
      <c r="P142" s="11">
        <f>IF($O142&lt;&gt;"",$O142,$AO142)</f>
        <v/>
      </c>
      <c r="Q142" s="10" t="n">
        <v>38.86</v>
      </c>
      <c r="R142" s="10" t="n">
        <v>7.59</v>
      </c>
      <c r="S142" s="10" t="n">
        <v>19.28</v>
      </c>
      <c r="T142" s="10" t="inlineStr"/>
      <c r="U142" s="10" t="inlineStr"/>
      <c r="V142" s="10" t="n">
        <v>88.62</v>
      </c>
      <c r="W142" s="10" t="n">
        <v>22.42</v>
      </c>
      <c r="X142" s="9" t="inlineStr"/>
      <c r="Y142" s="10" t="n">
        <v>84</v>
      </c>
      <c r="Z142" s="10" t="n">
        <v>60.39</v>
      </c>
      <c r="AA142" s="10" t="n">
        <v>51.6</v>
      </c>
      <c r="AB142" s="10" t="n">
        <v>48.98</v>
      </c>
      <c r="AC142" s="10" t="n">
        <v>17.54</v>
      </c>
      <c r="AD142" s="10" t="n">
        <v>29.97</v>
      </c>
      <c r="AE142" s="10" t="n">
        <v>5.1</v>
      </c>
      <c r="AF142" s="10" t="n">
        <v>1.15</v>
      </c>
      <c r="AG142" s="10" t="n">
        <v>3.39</v>
      </c>
      <c r="AH142" s="10" t="n">
        <v>2.8</v>
      </c>
      <c r="AI142" s="10" t="inlineStr"/>
      <c r="AJ142" s="11">
        <f>IFERROR(INDEX(Country_Context!$B$2:$B$87,MATCH($C142,Country_Context!$A$2:$A$87,0)),"")</f>
        <v/>
      </c>
      <c r="AK142" s="11">
        <f>IFERROR(INDEX(Country_Context!$C$2:$C$87,MATCH($C142,Country_Context!$A$2:$A$87,0)),"")</f>
        <v/>
      </c>
      <c r="AL142" s="11">
        <f>IFERROR(INDEX(Country_Context!$D$2:$D$87,MATCH($C142,Country_Context!$A$2:$A$87,0)),"")</f>
        <v/>
      </c>
      <c r="AM142" s="11">
        <f>IFERROR(INDEX(Country_Context!$E$2:$E$87,MATCH($C142,Country_Context!$A$2:$A$87,0)),"")</f>
        <v/>
      </c>
      <c r="AN142" s="11">
        <f>IFERROR(INDEX(Country_Context!$F$2:$F$87,MATCH($C142,Country_Context!$A$2:$A$87,0)),"")</f>
        <v/>
      </c>
      <c r="AO142" s="11">
        <f>IFERROR(INDEX(Country_Context!$G$2:$G$87,MATCH($C142,Country_Context!$A$2:$A$87,0)),"")</f>
        <v/>
      </c>
      <c r="AP142" s="12" t="inlineStr">
        <is>
          <t>https://api.worldbank.org/v2/country/BRA/indicator/NY.GNP.PCAP.PP.CD?format=json&amp;mrv=10 | https://data.worldbank.org/indicator/NY.GNP.PCAP.PP.CD | https://ilostat.ilo.org/data/indicator/?id=HOW_TEMP_SEX_ECO_NB_A&amp;ref_area=BRA | +4 more</t>
        </is>
      </c>
      <c r="AQ142" s="12" t="inlineStr">
        <is>
          <t>Tier 3, Tier 4</t>
        </is>
      </c>
      <c r="AR142" s="12" t="inlineStr">
        <is>
          <t>2025-12-31</t>
        </is>
      </c>
      <c r="AS142" s="12" t="inlineStr">
        <is>
          <t>providers=world_bank_col_estimate, derived, ilo_ilostat, who_gho; fields=gross_income, rent, utilities, transit_cost; +9 additional fields</t>
        </is>
      </c>
      <c r="AT142" s="12" t="inlineStr">
        <is>
          <t>https://api.worldbank.org/v2/country/BRA/indicator/VC.IHR.PSRC.P5?format=json&amp;mrv=10 | https://api.worldbank.org/v2/country/BRA/indicator/SH.H2O.SMDW.ZS?format=json&amp;mrv=10 | https://api.worldbank.org/v2/country/BRA/indicator/IT.NET.BBND.P2?format=json&amp;mrv=10</t>
        </is>
      </c>
      <c r="AU142" s="12" t="inlineStr">
        <is>
          <t>Tier 3</t>
        </is>
      </c>
      <c r="AV142" s="12" t="inlineStr">
        <is>
          <t>2024-12-31</t>
        </is>
      </c>
      <c r="AW142" s="12" t="inlineStr">
        <is>
          <t>providers=world_bank; fields=personal_safety_raw, water_sanitation_utility_raw, digital_infrastructure_raw</t>
        </is>
      </c>
      <c r="AX142" s="12" t="inlineStr">
        <is>
          <t>https://www.who.int/data/gho/data/indicators/indicator-details/GHO/UHC_INDEX_REPORTED | https://api.worldbank.org/v2/country/BRA/indicator/SE.TER.ENRR?format=json&amp;mrv=10 | https://api.worldbank.org/v2/country/BRA/indicator/SI.POV.GINI?format=json&amp;mrv=10 | +1 more</t>
        </is>
      </c>
      <c r="AY142" s="12" t="inlineStr">
        <is>
          <t>Tier 3</t>
        </is>
      </c>
      <c r="AZ142" s="12" t="inlineStr">
        <is>
          <t>2023-12-31</t>
        </is>
      </c>
      <c r="BA142" s="12" t="inlineStr">
        <is>
          <t>providers=who_gho, world_bank; fields=healthcare_quality_raw, education_quality_raw, equal_opportunity_raw, gini_coefficient</t>
        </is>
      </c>
      <c r="BB142" s="12" t="inlineStr">
        <is>
          <t>https://api.worldbank.org/v2/country/BRA/indicator/SM.POP.NETM?format=json&amp;mrv=10 | https://api.worldbank.org/v2/country/BRA/indicator/SG.GEN.PARL.ZS?format=json&amp;mrv=10 | https://api.worldbank.org/v2/country/BRA/indicator/ST.INT.ARVL?format=json&amp;mrv=10 | +1 more</t>
        </is>
      </c>
      <c r="BC142" s="12" t="inlineStr">
        <is>
          <t>Tier 3</t>
        </is>
      </c>
      <c r="BD142" s="12" t="inlineStr">
        <is>
          <t>2025-12-31</t>
        </is>
      </c>
      <c r="BE142" s="12" t="inlineStr">
        <is>
          <t>providers=world_bank; fields=hospitality_belonging_raw, tolerance_pluralism_raw, cultural_public_life_raw, birth_rate_optimism_raw</t>
        </is>
      </c>
      <c r="BF142" s="12" t="inlineStr">
        <is>
          <t>https://api.worldbank.org/v2/country/BRA/indicator/IC.BUS.NDNS.ZS?format=json&amp;mrv=10 | https://api.worldbank.org/v2/country/BRA/indicator/GB.XPD.RSDV.GD.ZS?format=json&amp;mrv=10 | https://api.worldbank.org/v2/country/BRA/indicator/BX.KLT.DINV.WD.GD.ZS?format=json&amp;mrv=10 | +3 more</t>
        </is>
      </c>
      <c r="BG142" s="12" t="inlineStr">
        <is>
          <t>Tier 3</t>
        </is>
      </c>
      <c r="BH142" s="12" t="inlineStr">
        <is>
          <t>2024-12-31</t>
        </is>
      </c>
      <c r="BI142" s="12" t="inlineStr">
        <is>
          <t>providers=world_bank; fields=entrepreneurial_dynamism_raw, innovation_research_intensity_raw, investment_signal_raw, administrative_investment_friction_raw; +2 additional fields</t>
        </is>
      </c>
      <c r="BJ142" s="9" t="n">
        <v>1.64</v>
      </c>
    </row>
    <row r="143">
      <c r="A143" s="9" t="inlineStr">
        <is>
          <t>pe-arequipa</t>
        </is>
      </c>
      <c r="B143" s="9" t="inlineStr">
        <is>
          <t>Arequipa</t>
        </is>
      </c>
      <c r="C143" s="9" t="inlineStr">
        <is>
          <t>Peru</t>
        </is>
      </c>
      <c r="D143" s="9" t="inlineStr">
        <is>
          <t>Latin America</t>
        </is>
      </c>
      <c r="E143" s="9" t="inlineStr">
        <is>
          <t>secondary</t>
        </is>
      </c>
      <c r="F143" s="9" t="inlineStr">
        <is>
          <t>provisional</t>
        </is>
      </c>
      <c r="G143" s="10" t="n">
        <v>1398.33</v>
      </c>
      <c r="H143" s="10" t="n">
        <v>262.19</v>
      </c>
      <c r="I143" s="10" t="n">
        <v>62.92</v>
      </c>
      <c r="J143" s="10" t="n">
        <v>41.95</v>
      </c>
      <c r="K143" s="10" t="n">
        <v>15.73</v>
      </c>
      <c r="L143" s="10" t="n">
        <v>230.72</v>
      </c>
      <c r="M143" s="11" t="inlineStr"/>
      <c r="N143" s="10" t="n">
        <v>18.7502</v>
      </c>
      <c r="O143" s="10" t="n">
        <v>45.668</v>
      </c>
      <c r="P143" s="11">
        <f>IF($O143&lt;&gt;"",$O143,$AO143)</f>
        <v/>
      </c>
      <c r="Q143" s="10" t="n">
        <v>39.67</v>
      </c>
      <c r="R143" s="10" t="n">
        <v>1.54</v>
      </c>
      <c r="S143" s="10" t="n">
        <v>8.6</v>
      </c>
      <c r="T143" s="10" t="inlineStr"/>
      <c r="U143" s="10" t="inlineStr"/>
      <c r="V143" s="10" t="n">
        <v>49.43</v>
      </c>
      <c r="W143" s="10" t="n">
        <v>10.44</v>
      </c>
      <c r="X143" s="9" t="inlineStr"/>
      <c r="Y143" s="10" t="n">
        <v>68</v>
      </c>
      <c r="Z143" s="10" t="inlineStr"/>
      <c r="AA143" s="10" t="n">
        <v>40.1</v>
      </c>
      <c r="AB143" s="10" t="n">
        <v>50.35</v>
      </c>
      <c r="AC143" s="10" t="n">
        <v>38.46</v>
      </c>
      <c r="AD143" s="10" t="n">
        <v>32.7</v>
      </c>
      <c r="AE143" s="10" t="n">
        <v>4.69</v>
      </c>
      <c r="AF143" s="10" t="n">
        <v>0.16</v>
      </c>
      <c r="AG143" s="10" t="n">
        <v>2.35</v>
      </c>
      <c r="AH143" s="10" t="n">
        <v>2.21</v>
      </c>
      <c r="AI143" s="10" t="inlineStr"/>
      <c r="AJ143" s="11">
        <f>IFERROR(INDEX(Country_Context!$B$2:$B$87,MATCH($C143,Country_Context!$A$2:$A$87,0)),"")</f>
        <v/>
      </c>
      <c r="AK143" s="11">
        <f>IFERROR(INDEX(Country_Context!$C$2:$C$87,MATCH($C143,Country_Context!$A$2:$A$87,0)),"")</f>
        <v/>
      </c>
      <c r="AL143" s="11">
        <f>IFERROR(INDEX(Country_Context!$D$2:$D$87,MATCH($C143,Country_Context!$A$2:$A$87,0)),"")</f>
        <v/>
      </c>
      <c r="AM143" s="11">
        <f>IFERROR(INDEX(Country_Context!$E$2:$E$87,MATCH($C143,Country_Context!$A$2:$A$87,0)),"")</f>
        <v/>
      </c>
      <c r="AN143" s="11">
        <f>IFERROR(INDEX(Country_Context!$F$2:$F$87,MATCH($C143,Country_Context!$A$2:$A$87,0)),"")</f>
        <v/>
      </c>
      <c r="AO143" s="11">
        <f>IFERROR(INDEX(Country_Context!$G$2:$G$87,MATCH($C143,Country_Context!$A$2:$A$87,0)),"")</f>
        <v/>
      </c>
      <c r="AP143" s="12" t="inlineStr">
        <is>
          <t>https://api.worldbank.org/v2/country/PER/indicator/NY.GNP.PCAP.PP.CD?format=json&amp;mrv=10 | https://data.worldbank.org/indicator/NY.GNP.PCAP.PP.CD | https://ilostat.ilo.org/data/indicator/?id=HOW_TEMP_SEX_ECO_NB_A&amp;ref_area=PER | +4 more</t>
        </is>
      </c>
      <c r="AQ143" s="12" t="inlineStr">
        <is>
          <t>Tier 3, Tier 4</t>
        </is>
      </c>
      <c r="AR143" s="12" t="inlineStr">
        <is>
          <t>2025-12-31</t>
        </is>
      </c>
      <c r="AS143" s="12" t="inlineStr">
        <is>
          <t>providers=world_bank_col_estimate, derived, ilo_ilostat, who_gho; fields=gross_income, rent, utilities, transit_cost; +9 additional fields</t>
        </is>
      </c>
      <c r="AT143" s="12" t="inlineStr">
        <is>
          <t>https://api.worldbank.org/v2/country/PER/indicator/VC.IHR.PSRC.P5?format=json&amp;mrv=10 | https://api.worldbank.org/v2/country/PER/indicator/SH.H2O.SMDW.ZS?format=json&amp;mrv=10 | https://api.worldbank.org/v2/country/PER/indicator/IT.NET.BBND.P2?format=json&amp;mrv=10</t>
        </is>
      </c>
      <c r="AU143" s="12" t="inlineStr">
        <is>
          <t>Tier 3</t>
        </is>
      </c>
      <c r="AV143" s="12" t="inlineStr">
        <is>
          <t>2024-12-31</t>
        </is>
      </c>
      <c r="AW143" s="12" t="inlineStr">
        <is>
          <t>providers=world_bank; fields=personal_safety_raw, water_sanitation_utility_raw, digital_infrastructure_raw</t>
        </is>
      </c>
      <c r="AX143" s="12" t="inlineStr">
        <is>
          <t>https://www.who.int/data/gho/data/indicators/indicator-details/GHO/UHC_INDEX_REPORTED | https://api.worldbank.org/v2/country/PER/indicator/SI.POV.GINI?format=json&amp;mrv=10 | https://api.worldbank.org/v2/country/PER/indicator/SI.POV.GINI?format=json&amp;mrv=30</t>
        </is>
      </c>
      <c r="AY143" s="12" t="inlineStr">
        <is>
          <t>Tier 3</t>
        </is>
      </c>
      <c r="AZ143" s="12" t="inlineStr">
        <is>
          <t>2024-12-31</t>
        </is>
      </c>
      <c r="BA143" s="12" t="inlineStr">
        <is>
          <t>providers=who_gho, world_bank; fields=healthcare_quality_raw, equal_opportunity_raw, gini_coefficient</t>
        </is>
      </c>
      <c r="BB143" s="12" t="inlineStr">
        <is>
          <t>https://api.worldbank.org/v2/country/PER/indicator/SM.POP.NETM?format=json&amp;mrv=10 | https://api.worldbank.org/v2/country/PER/indicator/SG.GEN.PARL.ZS?format=json&amp;mrv=10 | https://api.worldbank.org/v2/country/PER/indicator/ST.INT.ARVL?format=json&amp;mrv=10</t>
        </is>
      </c>
      <c r="BC143" s="12" t="inlineStr">
        <is>
          <t>Tier 3</t>
        </is>
      </c>
      <c r="BD143" s="12" t="inlineStr">
        <is>
          <t>2025-12-31</t>
        </is>
      </c>
      <c r="BE143" s="12" t="inlineStr">
        <is>
          <t>providers=world_bank; fields=hospitality_belonging_raw, tolerance_pluralism_raw, cultural_public_life_raw</t>
        </is>
      </c>
      <c r="BF143" s="12" t="inlineStr">
        <is>
          <t>https://api.worldbank.org/v2/country/PER/indicator/IC.BUS.NDNS.ZS?format=json&amp;mrv=10 | https://api.worldbank.org/v2/country/PER/indicator/GB.XPD.RSDV.GD.ZS?format=json&amp;mrv=10 | https://api.worldbank.org/v2/country/PER/indicator/BX.KLT.DINV.WD.GD.ZS?format=json&amp;mrv=10 | +3 more</t>
        </is>
      </c>
      <c r="BG143" s="12" t="inlineStr">
        <is>
          <t>Tier 3</t>
        </is>
      </c>
      <c r="BH143" s="12" t="inlineStr">
        <is>
          <t>2024-12-31</t>
        </is>
      </c>
      <c r="BI143" s="12" t="inlineStr">
        <is>
          <t>providers=world_bank; fields=entrepreneurial_dynamism_raw, innovation_research_intensity_raw, investment_signal_raw, administrative_investment_friction_raw; +2 additional fields</t>
        </is>
      </c>
      <c r="BJ143" s="9" t="inlineStr"/>
    </row>
    <row r="144">
      <c r="A144" s="9" t="inlineStr">
        <is>
          <t>ec-cuenca</t>
        </is>
      </c>
      <c r="B144" s="9" t="inlineStr">
        <is>
          <t>Cuenca</t>
        </is>
      </c>
      <c r="C144" s="9" t="inlineStr">
        <is>
          <t>Ecuador</t>
        </is>
      </c>
      <c r="D144" s="9" t="inlineStr">
        <is>
          <t>Latin America</t>
        </is>
      </c>
      <c r="E144" s="9" t="inlineStr">
        <is>
          <t>secondary</t>
        </is>
      </c>
      <c r="F144" s="9" t="inlineStr">
        <is>
          <t>provisional</t>
        </is>
      </c>
      <c r="G144" s="10" t="n">
        <v>1284.17</v>
      </c>
      <c r="H144" s="10" t="n">
        <v>240.78</v>
      </c>
      <c r="I144" s="10" t="n">
        <v>57.79</v>
      </c>
      <c r="J144" s="10" t="n">
        <v>38.53</v>
      </c>
      <c r="K144" s="10" t="n">
        <v>14.45</v>
      </c>
      <c r="L144" s="10" t="n">
        <v>211.89</v>
      </c>
      <c r="M144" s="11" t="inlineStr"/>
      <c r="N144" s="10" t="n">
        <v>18.7499</v>
      </c>
      <c r="O144" s="10" t="inlineStr"/>
      <c r="P144" s="11">
        <f>IF($O144&lt;&gt;"",$O144,$AO144)</f>
        <v/>
      </c>
      <c r="Q144" s="10" t="inlineStr"/>
      <c r="R144" s="10" t="inlineStr"/>
      <c r="S144" s="10" t="inlineStr"/>
      <c r="T144" s="10" t="inlineStr"/>
      <c r="U144" s="10" t="inlineStr"/>
      <c r="V144" s="10" t="inlineStr"/>
      <c r="W144" s="10" t="inlineStr"/>
      <c r="X144" s="9" t="inlineStr"/>
      <c r="Y144" s="10" t="inlineStr"/>
      <c r="Z144" s="10" t="inlineStr"/>
      <c r="AA144" s="10" t="n">
        <v>45.2</v>
      </c>
      <c r="AB144" s="10" t="inlineStr"/>
      <c r="AC144" s="10" t="inlineStr"/>
      <c r="AD144" s="10" t="inlineStr"/>
      <c r="AE144" s="10" t="inlineStr"/>
      <c r="AF144" s="10" t="inlineStr"/>
      <c r="AG144" s="10" t="n">
        <v>0.36</v>
      </c>
      <c r="AH144" s="10" t="n">
        <v>3.22</v>
      </c>
      <c r="AI144" s="10" t="inlineStr"/>
      <c r="AJ144" s="11">
        <f>IFERROR(INDEX(Country_Context!$B$2:$B$87,MATCH($C144,Country_Context!$A$2:$A$87,0)),"")</f>
        <v/>
      </c>
      <c r="AK144" s="11">
        <f>IFERROR(INDEX(Country_Context!$C$2:$C$87,MATCH($C144,Country_Context!$A$2:$A$87,0)),"")</f>
        <v/>
      </c>
      <c r="AL144" s="11">
        <f>IFERROR(INDEX(Country_Context!$D$2:$D$87,MATCH($C144,Country_Context!$A$2:$A$87,0)),"")</f>
        <v/>
      </c>
      <c r="AM144" s="11">
        <f>IFERROR(INDEX(Country_Context!$E$2:$E$87,MATCH($C144,Country_Context!$A$2:$A$87,0)),"")</f>
        <v/>
      </c>
      <c r="AN144" s="11">
        <f>IFERROR(INDEX(Country_Context!$F$2:$F$87,MATCH($C144,Country_Context!$A$2:$A$87,0)),"")</f>
        <v/>
      </c>
      <c r="AO144" s="11">
        <f>IFERROR(INDEX(Country_Context!$G$2:$G$87,MATCH($C144,Country_Context!$A$2:$A$87,0)),"")</f>
        <v/>
      </c>
      <c r="AP144" s="12" t="inlineStr">
        <is>
          <t>https://api.worldbank.org/v2/country/ECU/indicator/NY.GNP.PCAP.PP.CD?format=json&amp;mrv=10 | https://data.worldbank.org/indicator/NY.GNP.PCAP.PP.CD</t>
        </is>
      </c>
      <c r="AQ144" s="12" t="inlineStr">
        <is>
          <t>Tier 4</t>
        </is>
      </c>
      <c r="AR144" s="12" t="inlineStr">
        <is>
          <t>2024-12-31</t>
        </is>
      </c>
      <c r="AS144" s="12" t="inlineStr">
        <is>
          <t>providers=world_bank_col_estimate, derived; fields=gross_income, rent, utilities, transit_cost; +3 additional fields</t>
        </is>
      </c>
      <c r="AT144" s="12" t="inlineStr"/>
      <c r="AU144" s="12" t="inlineStr"/>
      <c r="AV144" s="12" t="inlineStr"/>
      <c r="AW144" s="12" t="inlineStr"/>
      <c r="AX144" s="12" t="inlineStr">
        <is>
          <t>https://api.worldbank.org/v2/country/ECU/indicator/SI.POV.GINI?format=json&amp;mrv=10</t>
        </is>
      </c>
      <c r="AY144" s="12" t="inlineStr">
        <is>
          <t>Tier 3</t>
        </is>
      </c>
      <c r="AZ144" s="12" t="inlineStr">
        <is>
          <t>2024-12-31</t>
        </is>
      </c>
      <c r="BA144" s="12" t="inlineStr">
        <is>
          <t>providers=world_bank; fields=equal_opportunity_raw</t>
        </is>
      </c>
      <c r="BB144" s="12" t="inlineStr"/>
      <c r="BC144" s="12" t="inlineStr"/>
      <c r="BD144" s="12" t="inlineStr"/>
      <c r="BE144" s="12" t="inlineStr"/>
      <c r="BF144" s="12" t="inlineStr">
        <is>
          <t>https://api.worldbank.org/v2/country/ECU/indicator/BX.KLT.DINV.WD.GD.ZS?format=json&amp;mrv=10 | https://api.worldbank.org/v2/country/ECU/indicator/RQ.EST?format=json&amp;mrv=10</t>
        </is>
      </c>
      <c r="BG144" s="12" t="inlineStr">
        <is>
          <t>Tier 3</t>
        </is>
      </c>
      <c r="BH144" s="12" t="inlineStr">
        <is>
          <t>2024-12-31</t>
        </is>
      </c>
      <c r="BI144" s="12" t="inlineStr">
        <is>
          <t>providers=world_bank; fields=investment_signal_raw, administrative_investment_friction_raw</t>
        </is>
      </c>
      <c r="BJ144" s="9" t="inlineStr"/>
    </row>
    <row r="145">
      <c r="A145" s="9" t="inlineStr">
        <is>
          <t>py-asuncion</t>
        </is>
      </c>
      <c r="B145" s="9" t="inlineStr">
        <is>
          <t>Asuncion</t>
        </is>
      </c>
      <c r="C145" s="9" t="inlineStr">
        <is>
          <t>Paraguay</t>
        </is>
      </c>
      <c r="D145" s="9" t="inlineStr">
        <is>
          <t>Latin America</t>
        </is>
      </c>
      <c r="E145" s="9" t="inlineStr">
        <is>
          <t>primary</t>
        </is>
      </c>
      <c r="F145" s="9" t="inlineStr">
        <is>
          <t>provisional</t>
        </is>
      </c>
      <c r="G145" s="10" t="n">
        <v>1494.17</v>
      </c>
      <c r="H145" s="10" t="n">
        <v>317.51</v>
      </c>
      <c r="I145" s="10" t="n">
        <v>76.2</v>
      </c>
      <c r="J145" s="10" t="n">
        <v>50.8</v>
      </c>
      <c r="K145" s="10" t="n">
        <v>19.05</v>
      </c>
      <c r="L145" s="10" t="n">
        <v>279.41</v>
      </c>
      <c r="M145" s="11" t="inlineStr"/>
      <c r="N145" s="10" t="n">
        <v>21.2499</v>
      </c>
      <c r="O145" s="10" t="inlineStr"/>
      <c r="P145" s="11">
        <f>IF($O145&lt;&gt;"",$O145,$AO145)</f>
        <v/>
      </c>
      <c r="Q145" s="10" t="inlineStr"/>
      <c r="R145" s="10" t="inlineStr"/>
      <c r="S145" s="10" t="inlineStr"/>
      <c r="T145" s="10" t="inlineStr"/>
      <c r="U145" s="10" t="inlineStr"/>
      <c r="V145" s="10" t="inlineStr"/>
      <c r="W145" s="10" t="inlineStr"/>
      <c r="X145" s="9" t="inlineStr"/>
      <c r="Y145" s="10" t="inlineStr"/>
      <c r="Z145" s="10" t="inlineStr"/>
      <c r="AA145" s="10" t="n">
        <v>44.2</v>
      </c>
      <c r="AB145" s="10" t="inlineStr"/>
      <c r="AC145" s="10" t="inlineStr"/>
      <c r="AD145" s="10" t="inlineStr"/>
      <c r="AE145" s="10" t="n">
        <v>0.7</v>
      </c>
      <c r="AF145" s="10" t="n">
        <v>0.12</v>
      </c>
      <c r="AG145" s="10" t="n">
        <v>2.47</v>
      </c>
      <c r="AH145" s="10" t="n">
        <v>2.58</v>
      </c>
      <c r="AI145" s="10" t="inlineStr"/>
      <c r="AJ145" s="11">
        <f>IFERROR(INDEX(Country_Context!$B$2:$B$87,MATCH($C145,Country_Context!$A$2:$A$87,0)),"")</f>
        <v/>
      </c>
      <c r="AK145" s="11">
        <f>IFERROR(INDEX(Country_Context!$C$2:$C$87,MATCH($C145,Country_Context!$A$2:$A$87,0)),"")</f>
        <v/>
      </c>
      <c r="AL145" s="11">
        <f>IFERROR(INDEX(Country_Context!$D$2:$D$87,MATCH($C145,Country_Context!$A$2:$A$87,0)),"")</f>
        <v/>
      </c>
      <c r="AM145" s="11">
        <f>IFERROR(INDEX(Country_Context!$E$2:$E$87,MATCH($C145,Country_Context!$A$2:$A$87,0)),"")</f>
        <v/>
      </c>
      <c r="AN145" s="11">
        <f>IFERROR(INDEX(Country_Context!$F$2:$F$87,MATCH($C145,Country_Context!$A$2:$A$87,0)),"")</f>
        <v/>
      </c>
      <c r="AO145" s="11">
        <f>IFERROR(INDEX(Country_Context!$G$2:$G$87,MATCH($C145,Country_Context!$A$2:$A$87,0)),"")</f>
        <v/>
      </c>
      <c r="AP145" s="12" t="inlineStr">
        <is>
          <t>https://api.worldbank.org/v2/country/PRY/indicator/NY.GNP.PCAP.PP.CD?format=json&amp;mrv=10 | https://data.worldbank.org/indicator/NY.GNP.PCAP.PP.CD</t>
        </is>
      </c>
      <c r="AQ145" s="12" t="inlineStr">
        <is>
          <t>Tier 4</t>
        </is>
      </c>
      <c r="AR145" s="12" t="inlineStr">
        <is>
          <t>2024-12-31</t>
        </is>
      </c>
      <c r="AS145" s="12" t="inlineStr">
        <is>
          <t>providers=world_bank_col_estimate, derived; fields=gross_income, rent, utilities, transit_cost; +3 additional fields</t>
        </is>
      </c>
      <c r="AT145" s="12" t="inlineStr"/>
      <c r="AU145" s="12" t="inlineStr"/>
      <c r="AV145" s="12" t="inlineStr"/>
      <c r="AW145" s="12" t="inlineStr"/>
      <c r="AX145" s="12" t="inlineStr">
        <is>
          <t>https://api.worldbank.org/v2/country/PRY/indicator/SI.POV.GINI?format=json&amp;mrv=10</t>
        </is>
      </c>
      <c r="AY145" s="12" t="inlineStr">
        <is>
          <t>Tier 3</t>
        </is>
      </c>
      <c r="AZ145" s="12" t="inlineStr">
        <is>
          <t>2024-12-31</t>
        </is>
      </c>
      <c r="BA145" s="12" t="inlineStr">
        <is>
          <t>providers=world_bank; fields=equal_opportunity_raw</t>
        </is>
      </c>
      <c r="BB145" s="12" t="inlineStr"/>
      <c r="BC145" s="12" t="inlineStr"/>
      <c r="BD145" s="12" t="inlineStr"/>
      <c r="BE145" s="12" t="inlineStr"/>
      <c r="BF145" s="12" t="inlineStr">
        <is>
          <t>https://api.worldbank.org/v2/country/PRY/indicator/IC.BUS.NDNS.ZS?format=json&amp;mrv=10 | https://api.worldbank.org/v2/country/PRY/indicator/GB.XPD.RSDV.GD.ZS?format=json&amp;mrv=10 | https://api.worldbank.org/v2/country/PRY/indicator/BX.KLT.DINV.WD.GD.ZS?format=json&amp;mrv=10 | +1 more</t>
        </is>
      </c>
      <c r="BG145" s="12" t="inlineStr">
        <is>
          <t>Tier 3</t>
        </is>
      </c>
      <c r="BH145" s="12" t="inlineStr">
        <is>
          <t>2024-12-31</t>
        </is>
      </c>
      <c r="BI145" s="12" t="inlineStr">
        <is>
          <t>providers=world_bank; fields=entrepreneurial_dynamism_raw, innovation_research_intensity_raw, investment_signal_raw, administrative_investment_friction_raw</t>
        </is>
      </c>
      <c r="BJ145" s="9" t="inlineStr"/>
    </row>
    <row r="146">
      <c r="A146" s="9" t="inlineStr">
        <is>
          <t>il-haifa</t>
        </is>
      </c>
      <c r="B146" s="9" t="inlineStr">
        <is>
          <t>Haifa</t>
        </is>
      </c>
      <c r="C146" s="9" t="inlineStr">
        <is>
          <t>Israel</t>
        </is>
      </c>
      <c r="D146" s="9" t="inlineStr">
        <is>
          <t>Middle East</t>
        </is>
      </c>
      <c r="E146" s="9" t="inlineStr">
        <is>
          <t>secondary</t>
        </is>
      </c>
      <c r="F146" s="9" t="inlineStr">
        <is>
          <t>provisional</t>
        </is>
      </c>
      <c r="G146" s="10" t="n">
        <v>4732.5</v>
      </c>
      <c r="H146" s="10" t="n">
        <v>1064.81</v>
      </c>
      <c r="I146" s="10" t="n">
        <v>212.96</v>
      </c>
      <c r="J146" s="10" t="n">
        <v>170.37</v>
      </c>
      <c r="K146" s="10" t="n">
        <v>63.89</v>
      </c>
      <c r="L146" s="10" t="n">
        <v>766.67</v>
      </c>
      <c r="M146" s="11" t="inlineStr"/>
      <c r="N146" s="10" t="n">
        <v>22.4999</v>
      </c>
      <c r="O146" s="10" t="n">
        <v>69.7497</v>
      </c>
      <c r="P146" s="11">
        <f>IF($O146&lt;&gt;"",$O146,$AO146)</f>
        <v/>
      </c>
      <c r="Q146" s="10" t="n">
        <v>37.74</v>
      </c>
      <c r="R146" s="10" t="n">
        <v>4.37</v>
      </c>
      <c r="S146" s="10" t="n">
        <v>1.63</v>
      </c>
      <c r="T146" s="10" t="inlineStr"/>
      <c r="U146" s="10" t="inlineStr"/>
      <c r="V146" s="10" t="n">
        <v>99.45999999999999</v>
      </c>
      <c r="W146" s="10" t="n">
        <v>29.44</v>
      </c>
      <c r="X146" s="9" t="n">
        <v>70</v>
      </c>
      <c r="Y146" s="10" t="n">
        <v>85</v>
      </c>
      <c r="Z146" s="10" t="n">
        <v>55.84</v>
      </c>
      <c r="AA146" s="10" t="n">
        <v>37.9</v>
      </c>
      <c r="AB146" s="10" t="n">
        <v>51.15</v>
      </c>
      <c r="AC146" s="10" t="n">
        <v>25</v>
      </c>
      <c r="AD146" s="10" t="n">
        <v>491.76</v>
      </c>
      <c r="AE146" s="10" t="n">
        <v>3.06</v>
      </c>
      <c r="AF146" s="10" t="n">
        <v>6.02</v>
      </c>
      <c r="AG146" s="10" t="n">
        <v>2.73</v>
      </c>
      <c r="AH146" s="10" t="n">
        <v>1.38</v>
      </c>
      <c r="AI146" s="10" t="inlineStr"/>
      <c r="AJ146" s="11">
        <f>IFERROR(INDEX(Country_Context!$B$2:$B$87,MATCH($C146,Country_Context!$A$2:$A$87,0)),"")</f>
        <v/>
      </c>
      <c r="AK146" s="11">
        <f>IFERROR(INDEX(Country_Context!$C$2:$C$87,MATCH($C146,Country_Context!$A$2:$A$87,0)),"")</f>
        <v/>
      </c>
      <c r="AL146" s="11">
        <f>IFERROR(INDEX(Country_Context!$D$2:$D$87,MATCH($C146,Country_Context!$A$2:$A$87,0)),"")</f>
        <v/>
      </c>
      <c r="AM146" s="11">
        <f>IFERROR(INDEX(Country_Context!$E$2:$E$87,MATCH($C146,Country_Context!$A$2:$A$87,0)),"")</f>
        <v/>
      </c>
      <c r="AN146" s="11">
        <f>IFERROR(INDEX(Country_Context!$F$2:$F$87,MATCH($C146,Country_Context!$A$2:$A$87,0)),"")</f>
        <v/>
      </c>
      <c r="AO146" s="11">
        <f>IFERROR(INDEX(Country_Context!$G$2:$G$87,MATCH($C146,Country_Context!$A$2:$A$87,0)),"")</f>
        <v/>
      </c>
      <c r="AP146" s="12" t="inlineStr">
        <is>
          <t>https://api.worldbank.org/v2/country/ISR/indicator/NY.GNP.PCAP.PP.CD?format=json&amp;mrv=10 | https://data.worldbank.org/indicator/NY.GNP.PCAP.PP.CD | https://ilostat.ilo.org/data/indicator/?id=HOW_TEMP_SEX_ECO_NB_A&amp;ref_area=ISR | +4 more</t>
        </is>
      </c>
      <c r="AQ146" s="12" t="inlineStr">
        <is>
          <t>Tier 3, Tier 4</t>
        </is>
      </c>
      <c r="AR146" s="12" t="inlineStr">
        <is>
          <t>2024-12-31</t>
        </is>
      </c>
      <c r="AS146" s="12" t="inlineStr">
        <is>
          <t>providers=world_bank_col_estimate, derived, ilo_ilostat, who_gho; fields=gross_income, rent, utilities, transit_cost; +9 additional fields</t>
        </is>
      </c>
      <c r="AT146" s="12" t="inlineStr">
        <is>
          <t>https://api.worldbank.org/v2/country/ISR/indicator/VC.IHR.PSRC.P5?format=json&amp;mrv=10 | https://api.worldbank.org/v2/country/ISR/indicator/SH.H2O.SMDW.ZS?format=json&amp;mrv=10 | https://api.worldbank.org/v2/country/ISR/indicator/IT.NET.BBND.P2?format=json&amp;mrv=10 | +1 more</t>
        </is>
      </c>
      <c r="AU146" s="12" t="inlineStr">
        <is>
          <t>Tier 3</t>
        </is>
      </c>
      <c r="AV146" s="12" t="inlineStr">
        <is>
          <t>2024-12-31</t>
        </is>
      </c>
      <c r="AW146" s="12" t="inlineStr">
        <is>
          <t>providers=world_bank, wmo_natl_met; fields=personal_safety_raw, water_sanitation_utility_raw, digital_infrastructure_raw, climate_sunlight_livability_raw</t>
        </is>
      </c>
      <c r="AX146" s="12" t="inlineStr">
        <is>
          <t>https://www.who.int/data/gho/data/indicators/indicator-details/GHO/UHC_INDEX_REPORTED | https://api.worldbank.org/v2/country/ISR/indicator/SE.TER.ENRR?format=json&amp;mrv=10 | https://api.worldbank.org/v2/country/ISR/indicator/SI.POV.GINI?format=json&amp;mrv=10 | +1 more</t>
        </is>
      </c>
      <c r="AY146" s="12" t="inlineStr">
        <is>
          <t>Tier 3</t>
        </is>
      </c>
      <c r="AZ146" s="12" t="inlineStr">
        <is>
          <t>2023-12-31</t>
        </is>
      </c>
      <c r="BA146" s="12" t="inlineStr">
        <is>
          <t>providers=who_gho, world_bank; fields=healthcare_quality_raw, education_quality_raw, equal_opportunity_raw, gini_coefficient</t>
        </is>
      </c>
      <c r="BB146" s="12" t="inlineStr">
        <is>
          <t>https://api.worldbank.org/v2/country/ISR/indicator/SM.POP.NETM?format=json&amp;mrv=10 | https://api.worldbank.org/v2/country/ISR/indicator/SG.GEN.PARL.ZS?format=json&amp;mrv=10 | https://api.worldbank.org/v2/country/ISR/indicator/ST.INT.ARVL?format=json&amp;mrv=10 | +1 more</t>
        </is>
      </c>
      <c r="BC146" s="12" t="inlineStr">
        <is>
          <t>Tier 3</t>
        </is>
      </c>
      <c r="BD146" s="12" t="inlineStr">
        <is>
          <t>2025-12-31</t>
        </is>
      </c>
      <c r="BE146" s="12" t="inlineStr">
        <is>
          <t>providers=world_bank; fields=hospitality_belonging_raw, tolerance_pluralism_raw, cultural_public_life_raw, birth_rate_optimism_raw</t>
        </is>
      </c>
      <c r="BF146" s="12" t="inlineStr">
        <is>
          <t>https://api.worldbank.org/v2/country/ISR/indicator/IC.BUS.NDNS.ZS?format=json&amp;mrv=10 | https://api.worldbank.org/v2/country/ISR/indicator/GB.XPD.RSDV.GD.ZS?format=json&amp;mrv=10 | https://api.worldbank.org/v2/country/ISR/indicator/BX.KLT.DINV.WD.GD.ZS?format=json&amp;mrv=10 | +3 more</t>
        </is>
      </c>
      <c r="BG146" s="12" t="inlineStr">
        <is>
          <t>Tier 3</t>
        </is>
      </c>
      <c r="BH146" s="12" t="inlineStr">
        <is>
          <t>2024-12-31</t>
        </is>
      </c>
      <c r="BI146" s="12" t="inlineStr">
        <is>
          <t>providers=world_bank; fields=entrepreneurial_dynamism_raw, innovation_research_intensity_raw, investment_signal_raw, administrative_investment_friction_raw; +2 additional fields</t>
        </is>
      </c>
      <c r="BJ146" s="9" t="n">
        <v>2.9</v>
      </c>
    </row>
    <row r="147">
      <c r="A147" s="9" t="inlineStr">
        <is>
          <t>om-salalah</t>
        </is>
      </c>
      <c r="B147" s="9" t="inlineStr">
        <is>
          <t>Salalah</t>
        </is>
      </c>
      <c r="C147" s="9" t="inlineStr">
        <is>
          <t>Oman</t>
        </is>
      </c>
      <c r="D147" s="9" t="inlineStr">
        <is>
          <t>Middle East</t>
        </is>
      </c>
      <c r="E147" s="9" t="inlineStr">
        <is>
          <t>secondary</t>
        </is>
      </c>
      <c r="F147" s="9" t="inlineStr">
        <is>
          <t>provisional</t>
        </is>
      </c>
      <c r="G147" s="10" t="n">
        <v>3278.33</v>
      </c>
      <c r="H147" s="10" t="n">
        <v>614.6900000000001</v>
      </c>
      <c r="I147" s="10" t="n">
        <v>122.94</v>
      </c>
      <c r="J147" s="10" t="n">
        <v>98.34999999999999</v>
      </c>
      <c r="K147" s="10" t="n">
        <v>36.88</v>
      </c>
      <c r="L147" s="10" t="n">
        <v>442.57</v>
      </c>
      <c r="M147" s="11" t="inlineStr"/>
      <c r="N147" s="10" t="n">
        <v>18.7501</v>
      </c>
      <c r="O147" s="10" t="n">
        <v>59.7083</v>
      </c>
      <c r="P147" s="11">
        <f>IF($O147&lt;&gt;"",$O147,$AO147)</f>
        <v/>
      </c>
      <c r="Q147" s="10" t="inlineStr"/>
      <c r="R147" s="10" t="n">
        <v>0.91</v>
      </c>
      <c r="S147" s="10" t="n">
        <v>0.14</v>
      </c>
      <c r="T147" s="10" t="inlineStr"/>
      <c r="U147" s="10" t="inlineStr"/>
      <c r="V147" s="10" t="n">
        <v>91.09999999999999</v>
      </c>
      <c r="W147" s="10" t="n">
        <v>10.88</v>
      </c>
      <c r="X147" s="9" t="inlineStr"/>
      <c r="Y147" s="10" t="n">
        <v>73</v>
      </c>
      <c r="Z147" s="10" t="n">
        <v>43.84</v>
      </c>
      <c r="AA147" s="10" t="inlineStr"/>
      <c r="AB147" s="10" t="n">
        <v>71.53</v>
      </c>
      <c r="AC147" s="10" t="n">
        <v>0</v>
      </c>
      <c r="AD147" s="10" t="n">
        <v>164.54</v>
      </c>
      <c r="AE147" s="10" t="n">
        <v>1.78</v>
      </c>
      <c r="AF147" s="10" t="n">
        <v>0.37</v>
      </c>
      <c r="AG147" s="10" t="n">
        <v>11.64</v>
      </c>
      <c r="AH147" s="10" t="n">
        <v>2.07</v>
      </c>
      <c r="AI147" s="10" t="inlineStr"/>
      <c r="AJ147" s="11">
        <f>IFERROR(INDEX(Country_Context!$B$2:$B$87,MATCH($C147,Country_Context!$A$2:$A$87,0)),"")</f>
        <v/>
      </c>
      <c r="AK147" s="11">
        <f>IFERROR(INDEX(Country_Context!$C$2:$C$87,MATCH($C147,Country_Context!$A$2:$A$87,0)),"")</f>
        <v/>
      </c>
      <c r="AL147" s="11">
        <f>IFERROR(INDEX(Country_Context!$D$2:$D$87,MATCH($C147,Country_Context!$A$2:$A$87,0)),"")</f>
        <v/>
      </c>
      <c r="AM147" s="11">
        <f>IFERROR(INDEX(Country_Context!$E$2:$E$87,MATCH($C147,Country_Context!$A$2:$A$87,0)),"")</f>
        <v/>
      </c>
      <c r="AN147" s="11">
        <f>IFERROR(INDEX(Country_Context!$F$2:$F$87,MATCH($C147,Country_Context!$A$2:$A$87,0)),"")</f>
        <v/>
      </c>
      <c r="AO147" s="11">
        <f>IFERROR(INDEX(Country_Context!$G$2:$G$87,MATCH($C147,Country_Context!$A$2:$A$87,0)),"")</f>
        <v/>
      </c>
      <c r="AP147" s="12" t="inlineStr">
        <is>
          <t>https://api.worldbank.org/v2/country/OMN/indicator/NY.GNP.PCAP.PP.CD?format=json&amp;mrv=10 | https://data.worldbank.org/indicator/NY.GNP.PCAP.PP.CD | https://www.who.int/data/gho/data/indicators/indicator-details/GHO/SDGSUICIDE | +2 more</t>
        </is>
      </c>
      <c r="AQ147" s="12" t="inlineStr">
        <is>
          <t>Tier 3, Tier 4</t>
        </is>
      </c>
      <c r="AR147" s="12" t="inlineStr">
        <is>
          <t>2024-12-31</t>
        </is>
      </c>
      <c r="AS147" s="12" t="inlineStr">
        <is>
          <t>providers=world_bank_col_estimate, derived, who_gho, world_bank; fields=gross_income, rent, utilities, transit_cost; +7 additional fields</t>
        </is>
      </c>
      <c r="AT147" s="12" t="inlineStr">
        <is>
          <t>https://api.worldbank.org/v2/country/OMN/indicator/VC.IHR.PSRC.P5?format=json&amp;mrv=10 | https://api.worldbank.org/v2/country/OMN/indicator/SH.H2O.SMDW.ZS?format=json&amp;mrv=10 | https://api.worldbank.org/v2/country/OMN/indicator/IT.NET.BBND.P2?format=json&amp;mrv=10</t>
        </is>
      </c>
      <c r="AU147" s="12" t="inlineStr">
        <is>
          <t>Tier 3</t>
        </is>
      </c>
      <c r="AV147" s="12" t="inlineStr">
        <is>
          <t>2024-12-31</t>
        </is>
      </c>
      <c r="AW147" s="12" t="inlineStr">
        <is>
          <t>providers=world_bank; fields=personal_safety_raw, water_sanitation_utility_raw, digital_infrastructure_raw</t>
        </is>
      </c>
      <c r="AX147" s="12" t="inlineStr">
        <is>
          <t>https://www.who.int/data/gho/data/indicators/indicator-details/GHO/UHC_INDEX_REPORTED | https://api.worldbank.org/v2/country/OMN/indicator/SE.TER.ENRR?format=json&amp;mrv=10</t>
        </is>
      </c>
      <c r="AY147" s="12" t="inlineStr">
        <is>
          <t>Tier 3</t>
        </is>
      </c>
      <c r="AZ147" s="12" t="inlineStr">
        <is>
          <t>2023-12-31</t>
        </is>
      </c>
      <c r="BA147" s="12" t="inlineStr">
        <is>
          <t>providers=who_gho, world_bank; fields=healthcare_quality_raw, education_quality_raw</t>
        </is>
      </c>
      <c r="BB147" s="12" t="inlineStr">
        <is>
          <t>https://api.worldbank.org/v2/country/OMN/indicator/SM.POP.NETM?format=json&amp;mrv=10 | https://api.worldbank.org/v2/country/OMN/indicator/SG.GEN.PARL.ZS?format=json&amp;mrv=10 | https://api.worldbank.org/v2/country/OMN/indicator/ST.INT.ARVL?format=json&amp;mrv=10</t>
        </is>
      </c>
      <c r="BC147" s="12" t="inlineStr">
        <is>
          <t>Tier 3</t>
        </is>
      </c>
      <c r="BD147" s="12" t="inlineStr">
        <is>
          <t>2025-12-31</t>
        </is>
      </c>
      <c r="BE147" s="12" t="inlineStr">
        <is>
          <t>providers=world_bank; fields=hospitality_belonging_raw, tolerance_pluralism_raw, cultural_public_life_raw</t>
        </is>
      </c>
      <c r="BF147" s="12" t="inlineStr">
        <is>
          <t>https://api.worldbank.org/v2/country/OMN/indicator/IC.BUS.NDNS.ZS?format=json&amp;mrv=10 | https://api.worldbank.org/v2/country/OMN/indicator/GB.XPD.RSDV.GD.ZS?format=json&amp;mrv=10 | https://api.worldbank.org/v2/country/OMN/indicator/BX.KLT.DINV.WD.GD.ZS?format=json&amp;mrv=10 | +3 more</t>
        </is>
      </c>
      <c r="BG147" s="12" t="inlineStr">
        <is>
          <t>Tier 3</t>
        </is>
      </c>
      <c r="BH147" s="12" t="inlineStr">
        <is>
          <t>2024-12-31</t>
        </is>
      </c>
      <c r="BI147" s="12" t="inlineStr">
        <is>
          <t>providers=world_bank; fields=entrepreneurial_dynamism_raw, innovation_research_intensity_raw, investment_signal_raw, administrative_investment_friction_raw; +2 additional fields</t>
        </is>
      </c>
      <c r="BJ147" s="9" t="inlineStr"/>
    </row>
    <row r="148">
      <c r="A148" s="9" t="inlineStr">
        <is>
          <t>jo-aqaba</t>
        </is>
      </c>
      <c r="B148" s="9" t="inlineStr">
        <is>
          <t>Aqaba</t>
        </is>
      </c>
      <c r="C148" s="9" t="inlineStr">
        <is>
          <t>Jordan</t>
        </is>
      </c>
      <c r="D148" s="9" t="inlineStr">
        <is>
          <t>Middle East</t>
        </is>
      </c>
      <c r="E148" s="9" t="inlineStr">
        <is>
          <t>secondary</t>
        </is>
      </c>
      <c r="F148" s="9" t="inlineStr">
        <is>
          <t>provisional</t>
        </is>
      </c>
      <c r="G148" s="10" t="n">
        <v>880.83</v>
      </c>
      <c r="H148" s="10" t="n">
        <v>165.16</v>
      </c>
      <c r="I148" s="10" t="n">
        <v>33.03</v>
      </c>
      <c r="J148" s="10" t="n">
        <v>26.42</v>
      </c>
      <c r="K148" s="10" t="n">
        <v>9.91</v>
      </c>
      <c r="L148" s="10" t="n">
        <v>118.91</v>
      </c>
      <c r="M148" s="11" t="inlineStr"/>
      <c r="N148" s="10" t="n">
        <v>18.7505</v>
      </c>
      <c r="O148" s="10" t="n">
        <v>80.0729</v>
      </c>
      <c r="P148" s="11">
        <f>IF($O148&lt;&gt;"",$O148,$AO148)</f>
        <v/>
      </c>
      <c r="Q148" s="10" t="n">
        <v>48.79</v>
      </c>
      <c r="R148" s="10" t="n">
        <v>0.6</v>
      </c>
      <c r="S148" s="10" t="n">
        <v>0.99</v>
      </c>
      <c r="T148" s="10" t="inlineStr"/>
      <c r="U148" s="10" t="inlineStr"/>
      <c r="V148" s="10" t="n">
        <v>88.95</v>
      </c>
      <c r="W148" s="10" t="n">
        <v>7.04</v>
      </c>
      <c r="X148" s="9" t="inlineStr"/>
      <c r="Y148" s="10" t="n">
        <v>74</v>
      </c>
      <c r="Z148" s="10" t="n">
        <v>35.92</v>
      </c>
      <c r="AA148" s="10" t="inlineStr"/>
      <c r="AB148" s="10" t="n">
        <v>23.75</v>
      </c>
      <c r="AC148" s="10" t="n">
        <v>19.57</v>
      </c>
      <c r="AD148" s="10" t="n">
        <v>107.33</v>
      </c>
      <c r="AE148" s="10" t="n">
        <v>0.4</v>
      </c>
      <c r="AF148" s="10" t="n">
        <v>30.04</v>
      </c>
      <c r="AG148" s="10" t="n">
        <v>3.06</v>
      </c>
      <c r="AH148" s="10" t="n">
        <v>2.28</v>
      </c>
      <c r="AI148" s="10" t="inlineStr"/>
      <c r="AJ148" s="11">
        <f>IFERROR(INDEX(Country_Context!$B$2:$B$87,MATCH($C148,Country_Context!$A$2:$A$87,0)),"")</f>
        <v/>
      </c>
      <c r="AK148" s="11">
        <f>IFERROR(INDEX(Country_Context!$C$2:$C$87,MATCH($C148,Country_Context!$A$2:$A$87,0)),"")</f>
        <v/>
      </c>
      <c r="AL148" s="11">
        <f>IFERROR(INDEX(Country_Context!$D$2:$D$87,MATCH($C148,Country_Context!$A$2:$A$87,0)),"")</f>
        <v/>
      </c>
      <c r="AM148" s="11">
        <f>IFERROR(INDEX(Country_Context!$E$2:$E$87,MATCH($C148,Country_Context!$A$2:$A$87,0)),"")</f>
        <v/>
      </c>
      <c r="AN148" s="11">
        <f>IFERROR(INDEX(Country_Context!$F$2:$F$87,MATCH($C148,Country_Context!$A$2:$A$87,0)),"")</f>
        <v/>
      </c>
      <c r="AO148" s="11">
        <f>IFERROR(INDEX(Country_Context!$G$2:$G$87,MATCH($C148,Country_Context!$A$2:$A$87,0)),"")</f>
        <v/>
      </c>
      <c r="AP148" s="12" t="inlineStr">
        <is>
          <t>https://api.worldbank.org/v2/country/JOR/indicator/NY.GNP.PCAP.PP.CD?format=json&amp;mrv=10 | https://data.worldbank.org/indicator/NY.GNP.PCAP.PP.CD | https://ilostat.ilo.org/data/indicator/?id=HOW_TEMP_SEX_ECO_NB_A&amp;ref_area=JOR | +4 more</t>
        </is>
      </c>
      <c r="AQ148" s="12" t="inlineStr">
        <is>
          <t>Tier 3, Tier 4</t>
        </is>
      </c>
      <c r="AR148" s="12" t="inlineStr">
        <is>
          <t>2024-12-31</t>
        </is>
      </c>
      <c r="AS148" s="12" t="inlineStr">
        <is>
          <t>providers=world_bank_col_estimate, derived, ilo_ilostat, who_gho; fields=gross_income, rent, utilities, transit_cost; +9 additional fields</t>
        </is>
      </c>
      <c r="AT148" s="12" t="inlineStr">
        <is>
          <t>https://api.worldbank.org/v2/country/JOR/indicator/VC.IHR.PSRC.P5?format=json&amp;mrv=10 | https://api.worldbank.org/v2/country/JOR/indicator/SH.H2O.SMDW.ZS?format=json&amp;mrv=10 | https://api.worldbank.org/v2/country/JOR/indicator/IT.NET.BBND.P2?format=json&amp;mrv=10</t>
        </is>
      </c>
      <c r="AU148" s="12" t="inlineStr">
        <is>
          <t>Tier 3</t>
        </is>
      </c>
      <c r="AV148" s="12" t="inlineStr">
        <is>
          <t>2024-12-31</t>
        </is>
      </c>
      <c r="AW148" s="12" t="inlineStr">
        <is>
          <t>providers=world_bank; fields=personal_safety_raw, water_sanitation_utility_raw, digital_infrastructure_raw</t>
        </is>
      </c>
      <c r="AX148" s="12" t="inlineStr">
        <is>
          <t>https://www.who.int/data/gho/data/indicators/indicator-details/GHO/UHC_INDEX_REPORTED | https://api.worldbank.org/v2/country/JOR/indicator/SE.TER.ENRR?format=json&amp;mrv=10 | https://api.worldbank.org/v2/country/JOR/indicator/SI.POV.GINI?format=json&amp;mrv=30</t>
        </is>
      </c>
      <c r="AY148" s="12" t="inlineStr">
        <is>
          <t>Tier 3</t>
        </is>
      </c>
      <c r="AZ148" s="12" t="inlineStr">
        <is>
          <t>2024-12-31</t>
        </is>
      </c>
      <c r="BA148" s="12" t="inlineStr">
        <is>
          <t>providers=who_gho, world_bank; fields=healthcare_quality_raw, education_quality_raw, gini_coefficient</t>
        </is>
      </c>
      <c r="BB148" s="12" t="inlineStr">
        <is>
          <t>https://api.worldbank.org/v2/country/JOR/indicator/SM.POP.NETM?format=json&amp;mrv=10 | https://api.worldbank.org/v2/country/JOR/indicator/SG.GEN.PARL.ZS?format=json&amp;mrv=10 | https://api.worldbank.org/v2/country/JOR/indicator/ST.INT.ARVL?format=json&amp;mrv=10</t>
        </is>
      </c>
      <c r="BC148" s="12" t="inlineStr">
        <is>
          <t>Tier 3</t>
        </is>
      </c>
      <c r="BD148" s="12" t="inlineStr">
        <is>
          <t>2025-12-31</t>
        </is>
      </c>
      <c r="BE148" s="12" t="inlineStr">
        <is>
          <t>providers=world_bank; fields=hospitality_belonging_raw, tolerance_pluralism_raw, cultural_public_life_raw</t>
        </is>
      </c>
      <c r="BF148" s="12" t="inlineStr">
        <is>
          <t>https://api.worldbank.org/v2/country/JOR/indicator/IC.BUS.NDNS.ZS?format=json&amp;mrv=10 | https://api.worldbank.org/v2/country/JOR/indicator/IP.PAT.RESD?format=json&amp;mrv=10 | https://api.worldbank.org/v2/country/JOR/indicator/BX.KLT.DINV.WD.GD.ZS?format=json&amp;mrv=10 | +3 more</t>
        </is>
      </c>
      <c r="BG148" s="12" t="inlineStr">
        <is>
          <t>Tier 3</t>
        </is>
      </c>
      <c r="BH148" s="12" t="inlineStr">
        <is>
          <t>2024-12-31</t>
        </is>
      </c>
      <c r="BI148" s="12" t="inlineStr">
        <is>
          <t>providers=world_bank; fields=entrepreneurial_dynamism_raw, innovation_research_intensity_raw, investment_signal_raw, administrative_investment_friction_raw; +2 additional fields</t>
        </is>
      </c>
      <c r="BJ148" s="9" t="inlineStr"/>
    </row>
    <row r="149">
      <c r="A149" s="9" t="inlineStr">
        <is>
          <t>sa-khobar</t>
        </is>
      </c>
      <c r="B149" s="9" t="inlineStr">
        <is>
          <t>Khobar</t>
        </is>
      </c>
      <c r="C149" s="9" t="inlineStr">
        <is>
          <t>Saudi Arabia</t>
        </is>
      </c>
      <c r="D149" s="9" t="inlineStr">
        <is>
          <t>Middle East</t>
        </is>
      </c>
      <c r="E149" s="9" t="inlineStr">
        <is>
          <t>secondary</t>
        </is>
      </c>
      <c r="F149" s="9" t="inlineStr">
        <is>
          <t>provisional</t>
        </is>
      </c>
      <c r="G149" s="10" t="n">
        <v>5977.5</v>
      </c>
      <c r="H149" s="10" t="n">
        <v>1270.22</v>
      </c>
      <c r="I149" s="10" t="n">
        <v>254.04</v>
      </c>
      <c r="J149" s="10" t="n">
        <v>203.23</v>
      </c>
      <c r="K149" s="10" t="n">
        <v>76.20999999999999</v>
      </c>
      <c r="L149" s="10" t="n">
        <v>914.5599999999999</v>
      </c>
      <c r="M149" s="11" t="inlineStr"/>
      <c r="N149" s="10" t="n">
        <v>21.25</v>
      </c>
      <c r="O149" s="10" t="n">
        <v>50.1376</v>
      </c>
      <c r="P149" s="11">
        <f>IF($O149&lt;&gt;"",$O149,$AO149)</f>
        <v/>
      </c>
      <c r="Q149" s="10" t="inlineStr"/>
      <c r="R149" s="10" t="n">
        <v>0.95</v>
      </c>
      <c r="S149" s="10" t="n">
        <v>0.9399999999999999</v>
      </c>
      <c r="T149" s="10" t="inlineStr"/>
      <c r="U149" s="10" t="inlineStr"/>
      <c r="V149" s="10" t="inlineStr"/>
      <c r="W149" s="10" t="n">
        <v>43.57</v>
      </c>
      <c r="X149" s="9" t="inlineStr"/>
      <c r="Y149" s="10" t="n">
        <v>83</v>
      </c>
      <c r="Z149" s="10" t="n">
        <v>83.88</v>
      </c>
      <c r="AA149" s="10" t="inlineStr"/>
      <c r="AB149" s="10" t="n">
        <v>53.39</v>
      </c>
      <c r="AC149" s="10" t="n">
        <v>19.87</v>
      </c>
      <c r="AD149" s="10" t="n">
        <v>574.84</v>
      </c>
      <c r="AE149" s="10" t="n">
        <v>0.9</v>
      </c>
      <c r="AF149" s="10" t="n">
        <v>0.5600000000000001</v>
      </c>
      <c r="AG149" s="10" t="n">
        <v>1.72</v>
      </c>
      <c r="AH149" s="10" t="n">
        <v>1.98</v>
      </c>
      <c r="AI149" s="10" t="inlineStr"/>
      <c r="AJ149" s="11">
        <f>IFERROR(INDEX(Country_Context!$B$2:$B$87,MATCH($C149,Country_Context!$A$2:$A$87,0)),"")</f>
        <v/>
      </c>
      <c r="AK149" s="11">
        <f>IFERROR(INDEX(Country_Context!$C$2:$C$87,MATCH($C149,Country_Context!$A$2:$A$87,0)),"")</f>
        <v/>
      </c>
      <c r="AL149" s="11">
        <f>IFERROR(INDEX(Country_Context!$D$2:$D$87,MATCH($C149,Country_Context!$A$2:$A$87,0)),"")</f>
        <v/>
      </c>
      <c r="AM149" s="11">
        <f>IFERROR(INDEX(Country_Context!$E$2:$E$87,MATCH($C149,Country_Context!$A$2:$A$87,0)),"")</f>
        <v/>
      </c>
      <c r="AN149" s="11">
        <f>IFERROR(INDEX(Country_Context!$F$2:$F$87,MATCH($C149,Country_Context!$A$2:$A$87,0)),"")</f>
        <v/>
      </c>
      <c r="AO149" s="11">
        <f>IFERROR(INDEX(Country_Context!$G$2:$G$87,MATCH($C149,Country_Context!$A$2:$A$87,0)),"")</f>
        <v/>
      </c>
      <c r="AP149" s="12" t="inlineStr">
        <is>
          <t>https://api.worldbank.org/v2/country/SAU/indicator/NY.GNP.PCAP.PP.CD?format=json&amp;mrv=10 | https://data.worldbank.org/indicator/NY.GNP.PCAP.PP.CD | https://www.who.int/data/gho/data/indicators/indicator-details/GHO/SDGSUICIDE | +3 more</t>
        </is>
      </c>
      <c r="AQ149" s="12" t="inlineStr">
        <is>
          <t>Tier 3, Tier 4</t>
        </is>
      </c>
      <c r="AR149" s="12" t="inlineStr">
        <is>
          <t>2024-12-31</t>
        </is>
      </c>
      <c r="AS149" s="12" t="inlineStr">
        <is>
          <t>providers=world_bank_col_estimate, derived, who_gho, world_bank; fields=gross_income, rent, utilities, transit_cost; +8 additional fields</t>
        </is>
      </c>
      <c r="AT149" s="12" t="inlineStr">
        <is>
          <t>https://api.worldbank.org/v2/country/SAU/indicator/VC.IHR.PSRC.P5?format=json&amp;mrv=10 | https://api.worldbank.org/v2/country/SAU/indicator/IT.NET.BBND.P2?format=json&amp;mrv=10</t>
        </is>
      </c>
      <c r="AU149" s="12" t="inlineStr">
        <is>
          <t>Tier 3</t>
        </is>
      </c>
      <c r="AV149" s="12" t="inlineStr">
        <is>
          <t>2023-12-31</t>
        </is>
      </c>
      <c r="AW149" s="12" t="inlineStr">
        <is>
          <t>providers=world_bank; fields=personal_safety_raw, digital_infrastructure_raw</t>
        </is>
      </c>
      <c r="AX149" s="12" t="inlineStr">
        <is>
          <t>https://www.who.int/data/gho/data/indicators/indicator-details/GHO/UHC_INDEX_REPORTED | https://api.worldbank.org/v2/country/SAU/indicator/SE.TER.ENRR?format=json&amp;mrv=10</t>
        </is>
      </c>
      <c r="AY149" s="12" t="inlineStr">
        <is>
          <t>Tier 3</t>
        </is>
      </c>
      <c r="AZ149" s="12" t="inlineStr">
        <is>
          <t>2024-12-31</t>
        </is>
      </c>
      <c r="BA149" s="12" t="inlineStr">
        <is>
          <t>providers=who_gho, world_bank; fields=healthcare_quality_raw, education_quality_raw</t>
        </is>
      </c>
      <c r="BB149" s="12" t="inlineStr">
        <is>
          <t>https://api.worldbank.org/v2/country/SAU/indicator/SM.POP.NETM?format=json&amp;mrv=10 | https://api.worldbank.org/v2/country/SAU/indicator/SG.GEN.PARL.ZS?format=json&amp;mrv=10 | https://api.worldbank.org/v2/country/SAU/indicator/ST.INT.ARVL?format=json&amp;mrv=10 | +1 more</t>
        </is>
      </c>
      <c r="BC149" s="12" t="inlineStr">
        <is>
          <t>Tier 3</t>
        </is>
      </c>
      <c r="BD149" s="12" t="inlineStr">
        <is>
          <t>2025-12-31</t>
        </is>
      </c>
      <c r="BE149" s="12" t="inlineStr">
        <is>
          <t>providers=world_bank; fields=hospitality_belonging_raw, tolerance_pluralism_raw, cultural_public_life_raw, birth_rate_optimism_raw</t>
        </is>
      </c>
      <c r="BF149" s="12" t="inlineStr">
        <is>
          <t>https://api.worldbank.org/v2/country/SAU/indicator/IC.BUS.NDNS.ZS?format=json&amp;mrv=10 | https://api.worldbank.org/v2/country/SAU/indicator/GB.XPD.RSDV.GD.ZS?format=json&amp;mrv=10 | https://api.worldbank.org/v2/country/SAU/indicator/BX.KLT.DINV.WD.GD.ZS?format=json&amp;mrv=10 | +3 more</t>
        </is>
      </c>
      <c r="BG149" s="12" t="inlineStr">
        <is>
          <t>Tier 3</t>
        </is>
      </c>
      <c r="BH149" s="12" t="inlineStr">
        <is>
          <t>2024-12-31</t>
        </is>
      </c>
      <c r="BI149" s="12" t="inlineStr">
        <is>
          <t>providers=world_bank; fields=entrepreneurial_dynamism_raw, innovation_research_intensity_raw, investment_signal_raw, administrative_investment_friction_raw; +2 additional fields</t>
        </is>
      </c>
      <c r="BJ149" s="9" t="n">
        <v>2.37</v>
      </c>
    </row>
    <row r="150">
      <c r="A150" s="9" t="inlineStr">
        <is>
          <t>ma-rabat</t>
        </is>
      </c>
      <c r="B150" s="9" t="inlineStr">
        <is>
          <t>Rabat</t>
        </is>
      </c>
      <c r="C150" s="9" t="inlineStr">
        <is>
          <t>Morocco</t>
        </is>
      </c>
      <c r="D150" s="9" t="inlineStr">
        <is>
          <t>Africa</t>
        </is>
      </c>
      <c r="E150" s="9" t="inlineStr">
        <is>
          <t>primary</t>
        </is>
      </c>
      <c r="F150" s="9" t="inlineStr">
        <is>
          <t>provisional</t>
        </is>
      </c>
      <c r="G150" s="10" t="n">
        <v>855</v>
      </c>
      <c r="H150" s="10" t="n">
        <v>153.9</v>
      </c>
      <c r="I150" s="10" t="n">
        <v>46.17</v>
      </c>
      <c r="J150" s="10" t="n">
        <v>30.78</v>
      </c>
      <c r="K150" s="10" t="n">
        <v>11.54</v>
      </c>
      <c r="L150" s="10" t="n">
        <v>192.38</v>
      </c>
      <c r="M150" s="11" t="inlineStr"/>
      <c r="N150" s="10" t="n">
        <v>18</v>
      </c>
      <c r="O150" s="10" t="n">
        <v>54.7741</v>
      </c>
      <c r="P150" s="11">
        <f>IF($O150&lt;&gt;"",$O150,$AO150)</f>
        <v/>
      </c>
      <c r="Q150" s="10" t="n">
        <v>44</v>
      </c>
      <c r="R150" s="10" t="n">
        <v>2.91</v>
      </c>
      <c r="S150" s="10" t="n">
        <v>1.71</v>
      </c>
      <c r="T150" s="10" t="inlineStr"/>
      <c r="U150" s="10" t="inlineStr"/>
      <c r="V150" s="10" t="n">
        <v>79.98</v>
      </c>
      <c r="W150" s="10" t="n">
        <v>7.02</v>
      </c>
      <c r="X150" s="9" t="inlineStr"/>
      <c r="Y150" s="10" t="n">
        <v>65</v>
      </c>
      <c r="Z150" s="10" t="n">
        <v>48.18</v>
      </c>
      <c r="AA150" s="10" t="inlineStr"/>
      <c r="AB150" s="10" t="n">
        <v>48.52</v>
      </c>
      <c r="AC150" s="10" t="n">
        <v>24.3</v>
      </c>
      <c r="AD150" s="10" t="n">
        <v>73.58</v>
      </c>
      <c r="AE150" s="10" t="n">
        <v>2.57</v>
      </c>
      <c r="AF150" s="10" t="n">
        <v>73.61</v>
      </c>
      <c r="AG150" s="10" t="n">
        <v>1.02</v>
      </c>
      <c r="AH150" s="10" t="n">
        <v>2.56</v>
      </c>
      <c r="AI150" s="10" t="inlineStr"/>
      <c r="AJ150" s="11">
        <f>IFERROR(INDEX(Country_Context!$B$2:$B$87,MATCH($C150,Country_Context!$A$2:$A$87,0)),"")</f>
        <v/>
      </c>
      <c r="AK150" s="11">
        <f>IFERROR(INDEX(Country_Context!$C$2:$C$87,MATCH($C150,Country_Context!$A$2:$A$87,0)),"")</f>
        <v/>
      </c>
      <c r="AL150" s="11">
        <f>IFERROR(INDEX(Country_Context!$D$2:$D$87,MATCH($C150,Country_Context!$A$2:$A$87,0)),"")</f>
        <v/>
      </c>
      <c r="AM150" s="11">
        <f>IFERROR(INDEX(Country_Context!$E$2:$E$87,MATCH($C150,Country_Context!$A$2:$A$87,0)),"")</f>
        <v/>
      </c>
      <c r="AN150" s="11">
        <f>IFERROR(INDEX(Country_Context!$F$2:$F$87,MATCH($C150,Country_Context!$A$2:$A$87,0)),"")</f>
        <v/>
      </c>
      <c r="AO150" s="11">
        <f>IFERROR(INDEX(Country_Context!$G$2:$G$87,MATCH($C150,Country_Context!$A$2:$A$87,0)),"")</f>
        <v/>
      </c>
      <c r="AP150" s="12" t="inlineStr">
        <is>
          <t>https://api.worldbank.org/v2/country/MAR/indicator/NY.GNP.PCAP.PP.CD?format=json&amp;mrv=10 | https://data.worldbank.org/indicator/NY.GNP.PCAP.PP.CD | https://ilostat.ilo.org/data/indicator/?id=HOW_TEMP_SEX_ECO_NB_A&amp;ref_area=MAR | +4 more</t>
        </is>
      </c>
      <c r="AQ150" s="12" t="inlineStr">
        <is>
          <t>Tier 3, Tier 4</t>
        </is>
      </c>
      <c r="AR150" s="12" t="inlineStr">
        <is>
          <t>2024-12-31</t>
        </is>
      </c>
      <c r="AS150" s="12" t="inlineStr">
        <is>
          <t>providers=world_bank_col_estimate, derived, ilo_ilostat, who_gho; fields=gross_income, rent, utilities, transit_cost; +9 additional fields</t>
        </is>
      </c>
      <c r="AT150" s="12" t="inlineStr">
        <is>
          <t>https://api.worldbank.org/v2/country/MAR/indicator/VC.IHR.PSRC.P5?format=json&amp;mrv=10 | https://api.worldbank.org/v2/country/MAR/indicator/SH.H2O.SMDW.ZS?format=json&amp;mrv=10 | https://api.worldbank.org/v2/country/MAR/indicator/IT.NET.BBND.P2?format=json&amp;mrv=10</t>
        </is>
      </c>
      <c r="AU150" s="12" t="inlineStr">
        <is>
          <t>Tier 3</t>
        </is>
      </c>
      <c r="AV150" s="12" t="inlineStr">
        <is>
          <t>2024-12-31</t>
        </is>
      </c>
      <c r="AW150" s="12" t="inlineStr">
        <is>
          <t>providers=world_bank; fields=personal_safety_raw, water_sanitation_utility_raw, digital_infrastructure_raw</t>
        </is>
      </c>
      <c r="AX150" s="12" t="inlineStr">
        <is>
          <t>https://www.who.int/data/gho/data/indicators/indicator-details/GHO/UHC_INDEX_REPORTED | https://api.worldbank.org/v2/country/MAR/indicator/SE.TER.ENRR?format=json&amp;mrv=10 | https://api.worldbank.org/v2/country/MAR/indicator/SI.POV.GINI?format=json&amp;mrv=30</t>
        </is>
      </c>
      <c r="AY150" s="12" t="inlineStr">
        <is>
          <t>Tier 3</t>
        </is>
      </c>
      <c r="AZ150" s="12" t="inlineStr">
        <is>
          <t>2024-12-31</t>
        </is>
      </c>
      <c r="BA150" s="12" t="inlineStr">
        <is>
          <t>providers=who_gho, world_bank; fields=healthcare_quality_raw, education_quality_raw, gini_coefficient</t>
        </is>
      </c>
      <c r="BB150" s="12" t="inlineStr">
        <is>
          <t>https://api.worldbank.org/v2/country/MAR/indicator/SM.POP.NETM?format=json&amp;mrv=10 | https://api.worldbank.org/v2/country/MAR/indicator/SG.GEN.PARL.ZS?format=json&amp;mrv=10 | https://api.worldbank.org/v2/country/MAR/indicator/ST.INT.ARVL?format=json&amp;mrv=10</t>
        </is>
      </c>
      <c r="BC150" s="12" t="inlineStr">
        <is>
          <t>Tier 3</t>
        </is>
      </c>
      <c r="BD150" s="12" t="inlineStr">
        <is>
          <t>2025-12-31</t>
        </is>
      </c>
      <c r="BE150" s="12" t="inlineStr">
        <is>
          <t>providers=world_bank; fields=hospitality_belonging_raw, tolerance_pluralism_raw, cultural_public_life_raw</t>
        </is>
      </c>
      <c r="BF150" s="12" t="inlineStr">
        <is>
          <t>https://api.worldbank.org/v2/country/MAR/indicator/IC.BUS.NDNS.ZS?format=json&amp;mrv=10 | https://api.worldbank.org/v2/country/MAR/indicator/IP.PAT.RESD?format=json&amp;mrv=10 | https://api.worldbank.org/v2/country/MAR/indicator/BX.KLT.DINV.WD.GD.ZS?format=json&amp;mrv=10 | +3 more</t>
        </is>
      </c>
      <c r="BG150" s="12" t="inlineStr">
        <is>
          <t>Tier 3</t>
        </is>
      </c>
      <c r="BH150" s="12" t="inlineStr">
        <is>
          <t>2024-12-31</t>
        </is>
      </c>
      <c r="BI150" s="12" t="inlineStr">
        <is>
          <t>providers=world_bank; fields=entrepreneurial_dynamism_raw, innovation_research_intensity_raw, investment_signal_raw, administrative_investment_friction_raw; +2 additional fields</t>
        </is>
      </c>
      <c r="BJ150" s="9" t="inlineStr"/>
    </row>
    <row r="151">
      <c r="A151" s="9" t="inlineStr">
        <is>
          <t>eg-alexandria</t>
        </is>
      </c>
      <c r="B151" s="9" t="inlineStr">
        <is>
          <t>Alexandria</t>
        </is>
      </c>
      <c r="C151" s="9" t="inlineStr">
        <is>
          <t>Egypt</t>
        </is>
      </c>
      <c r="D151" s="9" t="inlineStr">
        <is>
          <t>Africa</t>
        </is>
      </c>
      <c r="E151" s="9" t="inlineStr">
        <is>
          <t>primary</t>
        </is>
      </c>
      <c r="F151" s="9" t="inlineStr">
        <is>
          <t>provisional</t>
        </is>
      </c>
      <c r="G151" s="10" t="n">
        <v>1519.17</v>
      </c>
      <c r="H151" s="10" t="n">
        <v>258.26</v>
      </c>
      <c r="I151" s="10" t="n">
        <v>77.48</v>
      </c>
      <c r="J151" s="10" t="n">
        <v>51.65</v>
      </c>
      <c r="K151" s="10" t="n">
        <v>19.37</v>
      </c>
      <c r="L151" s="10" t="n">
        <v>322.82</v>
      </c>
      <c r="M151" s="11" t="inlineStr"/>
      <c r="N151" s="10" t="n">
        <v>17.0001</v>
      </c>
      <c r="O151" s="10" t="inlineStr"/>
      <c r="P151" s="11">
        <f>IF($O151&lt;&gt;"",$O151,$AO151)</f>
        <v/>
      </c>
      <c r="Q151" s="10" t="inlineStr"/>
      <c r="R151" s="10" t="inlineStr"/>
      <c r="S151" s="10" t="inlineStr"/>
      <c r="T151" s="10" t="inlineStr"/>
      <c r="U151" s="10" t="inlineStr"/>
      <c r="V151" s="10" t="inlineStr"/>
      <c r="W151" s="10" t="inlineStr"/>
      <c r="X151" s="9" t="inlineStr"/>
      <c r="Y151" s="10" t="inlineStr"/>
      <c r="Z151" s="10" t="inlineStr"/>
      <c r="AA151" s="10" t="n">
        <v>28.5</v>
      </c>
      <c r="AB151" s="10" t="inlineStr"/>
      <c r="AC151" s="10" t="inlineStr"/>
      <c r="AD151" s="10" t="inlineStr"/>
      <c r="AE151" s="10" t="n">
        <v>0.27</v>
      </c>
      <c r="AF151" s="10" t="n">
        <v>1.03</v>
      </c>
      <c r="AG151" s="10" t="n">
        <v>11.97</v>
      </c>
      <c r="AH151" s="10" t="n">
        <v>3.17</v>
      </c>
      <c r="AI151" s="10" t="inlineStr"/>
      <c r="AJ151" s="11">
        <f>IFERROR(INDEX(Country_Context!$B$2:$B$87,MATCH($C151,Country_Context!$A$2:$A$87,0)),"")</f>
        <v/>
      </c>
      <c r="AK151" s="11">
        <f>IFERROR(INDEX(Country_Context!$C$2:$C$87,MATCH($C151,Country_Context!$A$2:$A$87,0)),"")</f>
        <v/>
      </c>
      <c r="AL151" s="11">
        <f>IFERROR(INDEX(Country_Context!$D$2:$D$87,MATCH($C151,Country_Context!$A$2:$A$87,0)),"")</f>
        <v/>
      </c>
      <c r="AM151" s="11">
        <f>IFERROR(INDEX(Country_Context!$E$2:$E$87,MATCH($C151,Country_Context!$A$2:$A$87,0)),"")</f>
        <v/>
      </c>
      <c r="AN151" s="11">
        <f>IFERROR(INDEX(Country_Context!$F$2:$F$87,MATCH($C151,Country_Context!$A$2:$A$87,0)),"")</f>
        <v/>
      </c>
      <c r="AO151" s="11">
        <f>IFERROR(INDEX(Country_Context!$G$2:$G$87,MATCH($C151,Country_Context!$A$2:$A$87,0)),"")</f>
        <v/>
      </c>
      <c r="AP151" s="12" t="inlineStr">
        <is>
          <t>https://api.worldbank.org/v2/country/EGY/indicator/NY.GNP.PCAP.PP.CD?format=json&amp;mrv=10 | https://data.worldbank.org/indicator/NY.GNP.PCAP.PP.CD</t>
        </is>
      </c>
      <c r="AQ151" s="12" t="inlineStr">
        <is>
          <t>Tier 4</t>
        </is>
      </c>
      <c r="AR151" s="12" t="inlineStr">
        <is>
          <t>2024-12-31</t>
        </is>
      </c>
      <c r="AS151" s="12" t="inlineStr">
        <is>
          <t>providers=world_bank_col_estimate, derived; fields=gross_income, rent, utilities, transit_cost; +3 additional fields</t>
        </is>
      </c>
      <c r="AT151" s="12" t="inlineStr"/>
      <c r="AU151" s="12" t="inlineStr"/>
      <c r="AV151" s="12" t="inlineStr"/>
      <c r="AW151" s="12" t="inlineStr"/>
      <c r="AX151" s="12" t="inlineStr">
        <is>
          <t>https://api.worldbank.org/v2/country/EGY/indicator/SI.POV.GINI?format=json&amp;mrv=10</t>
        </is>
      </c>
      <c r="AY151" s="12" t="inlineStr">
        <is>
          <t>Tier 3</t>
        </is>
      </c>
      <c r="AZ151" s="12" t="inlineStr">
        <is>
          <t>2021-12-31</t>
        </is>
      </c>
      <c r="BA151" s="12" t="inlineStr">
        <is>
          <t>providers=world_bank; fields=equal_opportunity_raw</t>
        </is>
      </c>
      <c r="BB151" s="12" t="inlineStr"/>
      <c r="BC151" s="12" t="inlineStr"/>
      <c r="BD151" s="12" t="inlineStr"/>
      <c r="BE151" s="12" t="inlineStr"/>
      <c r="BF151" s="12" t="inlineStr">
        <is>
          <t>https://api.worldbank.org/v2/country/EGY/indicator/IC.BUS.NDNS.ZS?format=json&amp;mrv=10 | https://api.worldbank.org/v2/country/EGY/indicator/GB.XPD.RSDV.GD.ZS?format=json&amp;mrv=10 | https://api.worldbank.org/v2/country/EGY/indicator/BX.KLT.DINV.WD.GD.ZS?format=json&amp;mrv=10 | +1 more</t>
        </is>
      </c>
      <c r="BG151" s="12" t="inlineStr">
        <is>
          <t>Tier 3</t>
        </is>
      </c>
      <c r="BH151" s="12" t="inlineStr">
        <is>
          <t>2024-12-31</t>
        </is>
      </c>
      <c r="BI151" s="12" t="inlineStr">
        <is>
          <t>providers=world_bank; fields=entrepreneurial_dynamism_raw, innovation_research_intensity_raw, investment_signal_raw, administrative_investment_friction_raw</t>
        </is>
      </c>
      <c r="BJ151" s="9" t="inlineStr"/>
    </row>
    <row r="152">
      <c r="A152" s="9" t="inlineStr">
        <is>
          <t>tz-dar-es-salaam</t>
        </is>
      </c>
      <c r="B152" s="9" t="inlineStr">
        <is>
          <t>Dar es Salaam</t>
        </is>
      </c>
      <c r="C152" s="9" t="inlineStr">
        <is>
          <t>Tanzania</t>
        </is>
      </c>
      <c r="D152" s="9" t="inlineStr">
        <is>
          <t>Africa</t>
        </is>
      </c>
      <c r="E152" s="9" t="inlineStr">
        <is>
          <t>primary</t>
        </is>
      </c>
      <c r="F152" s="9" t="inlineStr">
        <is>
          <t>provisional</t>
        </is>
      </c>
      <c r="G152" s="10" t="n">
        <v>344.17</v>
      </c>
      <c r="H152" s="10" t="n">
        <v>61.95</v>
      </c>
      <c r="I152" s="10" t="n">
        <v>18.59</v>
      </c>
      <c r="J152" s="10" t="n">
        <v>12.39</v>
      </c>
      <c r="K152" s="10" t="n">
        <v>4.65</v>
      </c>
      <c r="L152" s="10" t="n">
        <v>77.44</v>
      </c>
      <c r="M152" s="11" t="inlineStr"/>
      <c r="N152" s="10" t="n">
        <v>17.9998</v>
      </c>
      <c r="O152" s="10" t="inlineStr"/>
      <c r="P152" s="11">
        <f>IF($O152&lt;&gt;"",$O152,$AO152)</f>
        <v/>
      </c>
      <c r="Q152" s="10" t="inlineStr"/>
      <c r="R152" s="10" t="inlineStr"/>
      <c r="S152" s="10" t="inlineStr"/>
      <c r="T152" s="10" t="inlineStr"/>
      <c r="U152" s="10" t="inlineStr"/>
      <c r="V152" s="10" t="inlineStr"/>
      <c r="W152" s="10" t="inlineStr"/>
      <c r="X152" s="9" t="inlineStr"/>
      <c r="Y152" s="10" t="inlineStr"/>
      <c r="Z152" s="10" t="inlineStr"/>
      <c r="AA152" s="10" t="n">
        <v>40.5</v>
      </c>
      <c r="AB152" s="10" t="inlineStr"/>
      <c r="AC152" s="10" t="inlineStr"/>
      <c r="AD152" s="10" t="inlineStr"/>
      <c r="AE152" s="10" t="n">
        <v>0.17</v>
      </c>
      <c r="AF152" s="10" t="inlineStr"/>
      <c r="AG152" s="10" t="n">
        <v>2.18</v>
      </c>
      <c r="AH152" s="10" t="n">
        <v>3.09</v>
      </c>
      <c r="AI152" s="10" t="inlineStr"/>
      <c r="AJ152" s="11">
        <f>IFERROR(INDEX(Country_Context!$B$2:$B$87,MATCH($C152,Country_Context!$A$2:$A$87,0)),"")</f>
        <v/>
      </c>
      <c r="AK152" s="11">
        <f>IFERROR(INDEX(Country_Context!$C$2:$C$87,MATCH($C152,Country_Context!$A$2:$A$87,0)),"")</f>
        <v/>
      </c>
      <c r="AL152" s="11">
        <f>IFERROR(INDEX(Country_Context!$D$2:$D$87,MATCH($C152,Country_Context!$A$2:$A$87,0)),"")</f>
        <v/>
      </c>
      <c r="AM152" s="11">
        <f>IFERROR(INDEX(Country_Context!$E$2:$E$87,MATCH($C152,Country_Context!$A$2:$A$87,0)),"")</f>
        <v/>
      </c>
      <c r="AN152" s="11">
        <f>IFERROR(INDEX(Country_Context!$F$2:$F$87,MATCH($C152,Country_Context!$A$2:$A$87,0)),"")</f>
        <v/>
      </c>
      <c r="AO152" s="11">
        <f>IFERROR(INDEX(Country_Context!$G$2:$G$87,MATCH($C152,Country_Context!$A$2:$A$87,0)),"")</f>
        <v/>
      </c>
      <c r="AP152" s="12" t="inlineStr">
        <is>
          <t>https://api.worldbank.org/v2/country/TZA/indicator/NY.GNP.PCAP.PP.CD?format=json&amp;mrv=10 | https://data.worldbank.org/indicator/NY.GNP.PCAP.PP.CD</t>
        </is>
      </c>
      <c r="AQ152" s="12" t="inlineStr">
        <is>
          <t>Tier 4</t>
        </is>
      </c>
      <c r="AR152" s="12" t="inlineStr">
        <is>
          <t>2024-12-31</t>
        </is>
      </c>
      <c r="AS152" s="12" t="inlineStr">
        <is>
          <t>providers=world_bank_col_estimate, derived; fields=gross_income, rent, utilities, transit_cost; +3 additional fields</t>
        </is>
      </c>
      <c r="AT152" s="12" t="inlineStr"/>
      <c r="AU152" s="12" t="inlineStr"/>
      <c r="AV152" s="12" t="inlineStr"/>
      <c r="AW152" s="12" t="inlineStr"/>
      <c r="AX152" s="12" t="inlineStr">
        <is>
          <t>https://api.worldbank.org/v2/country/TZA/indicator/SI.POV.GINI?format=json&amp;mrv=10</t>
        </is>
      </c>
      <c r="AY152" s="12" t="inlineStr">
        <is>
          <t>Tier 3</t>
        </is>
      </c>
      <c r="AZ152" s="12" t="inlineStr">
        <is>
          <t>2018-12-31</t>
        </is>
      </c>
      <c r="BA152" s="12" t="inlineStr">
        <is>
          <t>providers=world_bank; fields=equal_opportunity_raw</t>
        </is>
      </c>
      <c r="BB152" s="12" t="inlineStr"/>
      <c r="BC152" s="12" t="inlineStr"/>
      <c r="BD152" s="12" t="inlineStr"/>
      <c r="BE152" s="12" t="inlineStr"/>
      <c r="BF152" s="12" t="inlineStr">
        <is>
          <t>https://api.worldbank.org/v2/country/TZA/indicator/IC.BUS.NDNS.ZS?format=json&amp;mrv=10 | https://api.worldbank.org/v2/country/TZA/indicator/BX.KLT.DINV.WD.GD.ZS?format=json&amp;mrv=10 | https://api.worldbank.org/v2/country/TZA/indicator/RQ.EST?format=json&amp;mrv=10</t>
        </is>
      </c>
      <c r="BG152" s="12" t="inlineStr">
        <is>
          <t>Tier 3</t>
        </is>
      </c>
      <c r="BH152" s="12" t="inlineStr">
        <is>
          <t>2024-12-31</t>
        </is>
      </c>
      <c r="BI152" s="12" t="inlineStr">
        <is>
          <t>providers=world_bank; fields=entrepreneurial_dynamism_raw, investment_signal_raw, administrative_investment_friction_raw</t>
        </is>
      </c>
      <c r="BJ152" s="9" t="inlineStr"/>
    </row>
    <row r="153">
      <c r="A153" s="9" t="inlineStr">
        <is>
          <t>ug-kampala</t>
        </is>
      </c>
      <c r="B153" s="9" t="inlineStr">
        <is>
          <t>Kampala</t>
        </is>
      </c>
      <c r="C153" s="9" t="inlineStr">
        <is>
          <t>Uganda</t>
        </is>
      </c>
      <c r="D153" s="9" t="inlineStr">
        <is>
          <t>Africa</t>
        </is>
      </c>
      <c r="E153" s="9" t="inlineStr">
        <is>
          <t>primary</t>
        </is>
      </c>
      <c r="F153" s="9" t="inlineStr">
        <is>
          <t>provisional</t>
        </is>
      </c>
      <c r="G153" s="10" t="n">
        <v>265.83</v>
      </c>
      <c r="H153" s="10" t="n">
        <v>47.85</v>
      </c>
      <c r="I153" s="10" t="n">
        <v>14.35</v>
      </c>
      <c r="J153" s="10" t="n">
        <v>9.57</v>
      </c>
      <c r="K153" s="10" t="n">
        <v>3.59</v>
      </c>
      <c r="L153" s="10" t="n">
        <v>59.81</v>
      </c>
      <c r="M153" s="11" t="inlineStr"/>
      <c r="N153" s="10" t="n">
        <v>18.0002</v>
      </c>
      <c r="O153" s="10" t="inlineStr"/>
      <c r="P153" s="11">
        <f>IF($O153&lt;&gt;"",$O153,$AO153)</f>
        <v/>
      </c>
      <c r="Q153" s="10" t="inlineStr"/>
      <c r="R153" s="10" t="inlineStr"/>
      <c r="S153" s="10" t="inlineStr"/>
      <c r="T153" s="10" t="inlineStr"/>
      <c r="U153" s="10" t="inlineStr"/>
      <c r="V153" s="10" t="inlineStr"/>
      <c r="W153" s="10" t="inlineStr"/>
      <c r="X153" s="9" t="inlineStr"/>
      <c r="Y153" s="10" t="inlineStr"/>
      <c r="Z153" s="10" t="inlineStr"/>
      <c r="AA153" s="10" t="n">
        <v>42.7</v>
      </c>
      <c r="AB153" s="10" t="inlineStr"/>
      <c r="AC153" s="10" t="inlineStr"/>
      <c r="AD153" s="10" t="inlineStr"/>
      <c r="AE153" s="10" t="n">
        <v>0.88</v>
      </c>
      <c r="AF153" s="10" t="n">
        <v>0.31</v>
      </c>
      <c r="AG153" s="10" t="n">
        <v>6.04</v>
      </c>
      <c r="AH153" s="10" t="n">
        <v>3.02</v>
      </c>
      <c r="AI153" s="10" t="inlineStr"/>
      <c r="AJ153" s="11">
        <f>IFERROR(INDEX(Country_Context!$B$2:$B$87,MATCH($C153,Country_Context!$A$2:$A$87,0)),"")</f>
        <v/>
      </c>
      <c r="AK153" s="11">
        <f>IFERROR(INDEX(Country_Context!$C$2:$C$87,MATCH($C153,Country_Context!$A$2:$A$87,0)),"")</f>
        <v/>
      </c>
      <c r="AL153" s="11">
        <f>IFERROR(INDEX(Country_Context!$D$2:$D$87,MATCH($C153,Country_Context!$A$2:$A$87,0)),"")</f>
        <v/>
      </c>
      <c r="AM153" s="11">
        <f>IFERROR(INDEX(Country_Context!$E$2:$E$87,MATCH($C153,Country_Context!$A$2:$A$87,0)),"")</f>
        <v/>
      </c>
      <c r="AN153" s="11">
        <f>IFERROR(INDEX(Country_Context!$F$2:$F$87,MATCH($C153,Country_Context!$A$2:$A$87,0)),"")</f>
        <v/>
      </c>
      <c r="AO153" s="11">
        <f>IFERROR(INDEX(Country_Context!$G$2:$G$87,MATCH($C153,Country_Context!$A$2:$A$87,0)),"")</f>
        <v/>
      </c>
      <c r="AP153" s="12" t="inlineStr">
        <is>
          <t>https://api.worldbank.org/v2/country/UGA/indicator/NY.GNP.PCAP.PP.CD?format=json&amp;mrv=10 | https://data.worldbank.org/indicator/NY.GNP.PCAP.PP.CD</t>
        </is>
      </c>
      <c r="AQ153" s="12" t="inlineStr">
        <is>
          <t>Tier 4</t>
        </is>
      </c>
      <c r="AR153" s="12" t="inlineStr">
        <is>
          <t>2024-12-31</t>
        </is>
      </c>
      <c r="AS153" s="12" t="inlineStr">
        <is>
          <t>providers=world_bank_col_estimate, derived; fields=gross_income, rent, utilities, transit_cost; +3 additional fields</t>
        </is>
      </c>
      <c r="AT153" s="12" t="inlineStr"/>
      <c r="AU153" s="12" t="inlineStr"/>
      <c r="AV153" s="12" t="inlineStr"/>
      <c r="AW153" s="12" t="inlineStr"/>
      <c r="AX153" s="12" t="inlineStr">
        <is>
          <t>https://api.worldbank.org/v2/country/UGA/indicator/SI.POV.GINI?format=json&amp;mrv=10</t>
        </is>
      </c>
      <c r="AY153" s="12" t="inlineStr">
        <is>
          <t>Tier 3</t>
        </is>
      </c>
      <c r="AZ153" s="12" t="inlineStr">
        <is>
          <t>2019-12-31</t>
        </is>
      </c>
      <c r="BA153" s="12" t="inlineStr">
        <is>
          <t>providers=world_bank; fields=equal_opportunity_raw</t>
        </is>
      </c>
      <c r="BB153" s="12" t="inlineStr"/>
      <c r="BC153" s="12" t="inlineStr"/>
      <c r="BD153" s="12" t="inlineStr"/>
      <c r="BE153" s="12" t="inlineStr"/>
      <c r="BF153" s="12" t="inlineStr">
        <is>
          <t>https://api.worldbank.org/v2/country/UGA/indicator/IC.BUS.NDNS.ZS?format=json&amp;mrv=10 | https://api.worldbank.org/v2/country/UGA/indicator/GB.XPD.RSDV.GD.ZS?format=json&amp;mrv=10 | https://api.worldbank.org/v2/country/UGA/indicator/BX.KLT.DINV.WD.GD.ZS?format=json&amp;mrv=10 | +1 more</t>
        </is>
      </c>
      <c r="BG153" s="12" t="inlineStr">
        <is>
          <t>Tier 3</t>
        </is>
      </c>
      <c r="BH153" s="12" t="inlineStr">
        <is>
          <t>2024-12-31</t>
        </is>
      </c>
      <c r="BI153" s="12" t="inlineStr">
        <is>
          <t>providers=world_bank; fields=entrepreneurial_dynamism_raw, innovation_research_intensity_raw, investment_signal_raw, administrative_investment_friction_raw</t>
        </is>
      </c>
      <c r="BJ153" s="9" t="inlineStr"/>
    </row>
    <row r="154">
      <c r="A154" s="9" t="inlineStr">
        <is>
          <t>gh-kumasi</t>
        </is>
      </c>
      <c r="B154" s="9" t="inlineStr">
        <is>
          <t>Kumasi</t>
        </is>
      </c>
      <c r="C154" s="9" t="inlineStr">
        <is>
          <t>Ghana</t>
        </is>
      </c>
      <c r="D154" s="9" t="inlineStr">
        <is>
          <t>Africa</t>
        </is>
      </c>
      <c r="E154" s="9" t="inlineStr">
        <is>
          <t>secondary</t>
        </is>
      </c>
      <c r="F154" s="9" t="inlineStr">
        <is>
          <t>provisional</t>
        </is>
      </c>
      <c r="G154" s="10" t="n">
        <v>643.33</v>
      </c>
      <c r="H154" s="10" t="n">
        <v>102.93</v>
      </c>
      <c r="I154" s="10" t="n">
        <v>30.88</v>
      </c>
      <c r="J154" s="10" t="n">
        <v>20.59</v>
      </c>
      <c r="K154" s="10" t="n">
        <v>7.72</v>
      </c>
      <c r="L154" s="10" t="n">
        <v>128.67</v>
      </c>
      <c r="M154" s="11" t="inlineStr"/>
      <c r="N154" s="10" t="n">
        <v>15.9996</v>
      </c>
      <c r="O154" s="10" t="n">
        <v>8.651199999999999</v>
      </c>
      <c r="P154" s="11">
        <f>IF($O154&lt;&gt;"",$O154,$AO154)</f>
        <v/>
      </c>
      <c r="Q154" s="10" t="n">
        <v>35.53</v>
      </c>
      <c r="R154" s="10" t="n">
        <v>5.32</v>
      </c>
      <c r="S154" s="10" t="n">
        <v>1.83</v>
      </c>
      <c r="T154" s="10" t="inlineStr"/>
      <c r="U154" s="10" t="inlineStr"/>
      <c r="V154" s="10" t="n">
        <v>42.94</v>
      </c>
      <c r="W154" s="10" t="n">
        <v>0.5600000000000001</v>
      </c>
      <c r="X154" s="9" t="inlineStr"/>
      <c r="Y154" s="10" t="n">
        <v>56</v>
      </c>
      <c r="Z154" s="10" t="n">
        <v>22.1</v>
      </c>
      <c r="AA154" s="10" t="n">
        <v>43.5</v>
      </c>
      <c r="AB154" s="10" t="n">
        <v>49.5</v>
      </c>
      <c r="AC154" s="10" t="n">
        <v>14.55</v>
      </c>
      <c r="AD154" s="10" t="n">
        <v>34.64</v>
      </c>
      <c r="AE154" s="10" t="n">
        <v>1.32</v>
      </c>
      <c r="AF154" s="10" t="n">
        <v>0.58</v>
      </c>
      <c r="AG154" s="10" t="n">
        <v>2.15</v>
      </c>
      <c r="AH154" s="10" t="n">
        <v>2.68</v>
      </c>
      <c r="AI154" s="10" t="inlineStr"/>
      <c r="AJ154" s="11">
        <f>IFERROR(INDEX(Country_Context!$B$2:$B$87,MATCH($C154,Country_Context!$A$2:$A$87,0)),"")</f>
        <v/>
      </c>
      <c r="AK154" s="11">
        <f>IFERROR(INDEX(Country_Context!$C$2:$C$87,MATCH($C154,Country_Context!$A$2:$A$87,0)),"")</f>
        <v/>
      </c>
      <c r="AL154" s="11">
        <f>IFERROR(INDEX(Country_Context!$D$2:$D$87,MATCH($C154,Country_Context!$A$2:$A$87,0)),"")</f>
        <v/>
      </c>
      <c r="AM154" s="11">
        <f>IFERROR(INDEX(Country_Context!$E$2:$E$87,MATCH($C154,Country_Context!$A$2:$A$87,0)),"")</f>
        <v/>
      </c>
      <c r="AN154" s="11">
        <f>IFERROR(INDEX(Country_Context!$F$2:$F$87,MATCH($C154,Country_Context!$A$2:$A$87,0)),"")</f>
        <v/>
      </c>
      <c r="AO154" s="11">
        <f>IFERROR(INDEX(Country_Context!$G$2:$G$87,MATCH($C154,Country_Context!$A$2:$A$87,0)),"")</f>
        <v/>
      </c>
      <c r="AP154" s="12" t="inlineStr">
        <is>
          <t>https://api.worldbank.org/v2/country/GHA/indicator/NY.GNP.PCAP.PP.CD?format=json&amp;mrv=10 | https://data.worldbank.org/indicator/NY.GNP.PCAP.PP.CD | https://ilostat.ilo.org/data/indicator/?id=HOW_TEMP_SEX_ECO_NB_A&amp;ref_area=GHA | +4 more</t>
        </is>
      </c>
      <c r="AQ154" s="12" t="inlineStr">
        <is>
          <t>Tier 3, Tier 4</t>
        </is>
      </c>
      <c r="AR154" s="12" t="inlineStr">
        <is>
          <t>2024-12-31</t>
        </is>
      </c>
      <c r="AS154" s="12" t="inlineStr">
        <is>
          <t>providers=world_bank_col_estimate, derived, ilo_ilostat, who_gho; fields=gross_income, rent, utilities, transit_cost; +9 additional fields</t>
        </is>
      </c>
      <c r="AT154" s="12" t="inlineStr">
        <is>
          <t>https://api.worldbank.org/v2/country/GHA/indicator/VC.IHR.PSRC.P5?format=json&amp;mrv=10 | https://api.worldbank.org/v2/country/GHA/indicator/SH.H2O.SMDW.ZS?format=json&amp;mrv=10 | https://api.worldbank.org/v2/country/GHA/indicator/IT.NET.BBND.P2?format=json&amp;mrv=10</t>
        </is>
      </c>
      <c r="AU154" s="12" t="inlineStr">
        <is>
          <t>Tier 3</t>
        </is>
      </c>
      <c r="AV154" s="12" t="inlineStr">
        <is>
          <t>2024-12-31</t>
        </is>
      </c>
      <c r="AW154" s="12" t="inlineStr">
        <is>
          <t>providers=world_bank; fields=personal_safety_raw, water_sanitation_utility_raw, digital_infrastructure_raw</t>
        </is>
      </c>
      <c r="AX154" s="12" t="inlineStr">
        <is>
          <t>https://www.who.int/data/gho/data/indicators/indicator-details/GHO/UHC_INDEX_REPORTED | https://api.worldbank.org/v2/country/GHA/indicator/SE.TER.ENRR?format=json&amp;mrv=10 | https://api.worldbank.org/v2/country/GHA/indicator/SI.POV.GINI?format=json&amp;mrv=10 | +1 more</t>
        </is>
      </c>
      <c r="AY154" s="12" t="inlineStr">
        <is>
          <t>Tier 3</t>
        </is>
      </c>
      <c r="AZ154" s="12" t="inlineStr">
        <is>
          <t>2023-12-31</t>
        </is>
      </c>
      <c r="BA154" s="12" t="inlineStr">
        <is>
          <t>providers=who_gho, world_bank; fields=healthcare_quality_raw, education_quality_raw, equal_opportunity_raw, gini_coefficient</t>
        </is>
      </c>
      <c r="BB154" s="12" t="inlineStr">
        <is>
          <t>https://api.worldbank.org/v2/country/GHA/indicator/SM.POP.NETM?format=json&amp;mrv=10 | https://api.worldbank.org/v2/country/GHA/indicator/SG.GEN.PARL.ZS?format=json&amp;mrv=10 | https://api.worldbank.org/v2/country/GHA/indicator/SP.POP.DPND?format=json&amp;mrv=10 | +1 more</t>
        </is>
      </c>
      <c r="BC154" s="12" t="inlineStr">
        <is>
          <t>Tier 3</t>
        </is>
      </c>
      <c r="BD154" s="12" t="inlineStr">
        <is>
          <t>2025-12-31</t>
        </is>
      </c>
      <c r="BE154" s="12" t="inlineStr">
        <is>
          <t>providers=world_bank; fields=hospitality_belonging_raw, tolerance_pluralism_raw, cultural_public_life_raw, birth_rate_optimism_raw</t>
        </is>
      </c>
      <c r="BF154" s="12" t="inlineStr">
        <is>
          <t>https://api.worldbank.org/v2/country/GHA/indicator/IC.BUS.NDNS.ZS?format=json&amp;mrv=10 | https://api.worldbank.org/v2/country/GHA/indicator/IP.PAT.RESD?format=json&amp;mrv=10 | https://api.worldbank.org/v2/country/GHA/indicator/BX.KLT.DINV.WD.GD.ZS?format=json&amp;mrv=10 | +3 more</t>
        </is>
      </c>
      <c r="BG154" s="12" t="inlineStr">
        <is>
          <t>Tier 3</t>
        </is>
      </c>
      <c r="BH154" s="12" t="inlineStr">
        <is>
          <t>2024-12-31</t>
        </is>
      </c>
      <c r="BI154" s="12" t="inlineStr">
        <is>
          <t>providers=world_bank; fields=entrepreneurial_dynamism_raw, innovation_research_intensity_raw, investment_signal_raw, administrative_investment_friction_raw; +2 additional fields</t>
        </is>
      </c>
      <c r="BJ154" s="9" t="n">
        <v>3.6</v>
      </c>
    </row>
    <row r="155">
      <c r="A155" s="9" t="inlineStr">
        <is>
          <t>nz-dunedin</t>
        </is>
      </c>
      <c r="B155" s="9" t="inlineStr">
        <is>
          <t>Dunedin</t>
        </is>
      </c>
      <c r="C155" s="9" t="inlineStr">
        <is>
          <t>New Zealand</t>
        </is>
      </c>
      <c r="D155" s="9" t="inlineStr">
        <is>
          <t>Oceania</t>
        </is>
      </c>
      <c r="E155" s="9" t="inlineStr">
        <is>
          <t>secondary</t>
        </is>
      </c>
      <c r="F155" s="9" t="inlineStr">
        <is>
          <t>provisional</t>
        </is>
      </c>
      <c r="G155" s="10" t="n">
        <v>4466.67</v>
      </c>
      <c r="H155" s="10" t="n">
        <v>1072</v>
      </c>
      <c r="I155" s="10" t="n">
        <v>214.4</v>
      </c>
      <c r="J155" s="10" t="n">
        <v>142.93</v>
      </c>
      <c r="K155" s="10" t="n">
        <v>53.6</v>
      </c>
      <c r="L155" s="10" t="n">
        <v>536</v>
      </c>
      <c r="M155" s="11" t="inlineStr"/>
      <c r="N155" s="10" t="n">
        <v>24</v>
      </c>
      <c r="O155" s="10" t="n">
        <v>129.7971</v>
      </c>
      <c r="P155" s="11">
        <f>IF($O155&lt;&gt;"",$O155,$AO155)</f>
        <v/>
      </c>
      <c r="Q155" s="10" t="n">
        <v>33</v>
      </c>
      <c r="R155" s="10" t="n">
        <v>11.92</v>
      </c>
      <c r="S155" s="10" t="n">
        <v>1.46</v>
      </c>
      <c r="T155" s="10" t="inlineStr"/>
      <c r="U155" s="10" t="inlineStr"/>
      <c r="V155" s="10" t="n">
        <v>100</v>
      </c>
      <c r="W155" s="10" t="n">
        <v>37.85</v>
      </c>
      <c r="X155" s="9" t="n">
        <v>48</v>
      </c>
      <c r="Y155" s="10" t="n">
        <v>89</v>
      </c>
      <c r="Z155" s="10" t="n">
        <v>76.38</v>
      </c>
      <c r="AA155" s="10" t="inlineStr"/>
      <c r="AB155" s="10" t="n">
        <v>53.29</v>
      </c>
      <c r="AC155" s="10" t="n">
        <v>45.53</v>
      </c>
      <c r="AD155" s="10" t="n">
        <v>188.37</v>
      </c>
      <c r="AE155" s="10" t="n">
        <v>16.32</v>
      </c>
      <c r="AF155" s="10" t="n">
        <v>1.47</v>
      </c>
      <c r="AG155" s="10" t="n">
        <v>0.68</v>
      </c>
      <c r="AH155" s="10" t="n">
        <v>0.59</v>
      </c>
      <c r="AI155" s="10" t="inlineStr"/>
      <c r="AJ155" s="11">
        <f>IFERROR(INDEX(Country_Context!$B$2:$B$87,MATCH($C155,Country_Context!$A$2:$A$87,0)),"")</f>
        <v/>
      </c>
      <c r="AK155" s="11">
        <f>IFERROR(INDEX(Country_Context!$C$2:$C$87,MATCH($C155,Country_Context!$A$2:$A$87,0)),"")</f>
        <v/>
      </c>
      <c r="AL155" s="11">
        <f>IFERROR(INDEX(Country_Context!$D$2:$D$87,MATCH($C155,Country_Context!$A$2:$A$87,0)),"")</f>
        <v/>
      </c>
      <c r="AM155" s="11">
        <f>IFERROR(INDEX(Country_Context!$E$2:$E$87,MATCH($C155,Country_Context!$A$2:$A$87,0)),"")</f>
        <v/>
      </c>
      <c r="AN155" s="11">
        <f>IFERROR(INDEX(Country_Context!$F$2:$F$87,MATCH($C155,Country_Context!$A$2:$A$87,0)),"")</f>
        <v/>
      </c>
      <c r="AO155" s="11">
        <f>IFERROR(INDEX(Country_Context!$G$2:$G$87,MATCH($C155,Country_Context!$A$2:$A$87,0)),"")</f>
        <v/>
      </c>
      <c r="AP155" s="12" t="inlineStr">
        <is>
          <t>https://api.worldbank.org/v2/country/NZL/indicator/NY.GNP.PCAP.PP.CD?format=json&amp;mrv=10 | https://data.worldbank.org/indicator/NY.GNP.PCAP.PP.CD | https://ilostat.ilo.org/data/indicator/?id=HOW_TEMP_SEX_ECO_NB_A&amp;ref_area=NZL | +4 more</t>
        </is>
      </c>
      <c r="AQ155" s="12" t="inlineStr">
        <is>
          <t>Tier 3, Tier 4</t>
        </is>
      </c>
      <c r="AR155" s="12" t="inlineStr">
        <is>
          <t>2024-12-31</t>
        </is>
      </c>
      <c r="AS155" s="12" t="inlineStr">
        <is>
          <t>providers=world_bank_col_estimate, derived, ilo_ilostat, who_gho; fields=gross_income, rent, utilities, transit_cost; +9 additional fields</t>
        </is>
      </c>
      <c r="AT155" s="12" t="inlineStr">
        <is>
          <t>https://api.worldbank.org/v2/country/NZL/indicator/VC.IHR.PSRC.P5?format=json&amp;mrv=10 | https://api.worldbank.org/v2/country/NZL/indicator/SH.H2O.SMDW.ZS?format=json&amp;mrv=10 | https://api.worldbank.org/v2/country/NZL/indicator/IT.NET.BBND.P2?format=json&amp;mrv=10 | +1 more</t>
        </is>
      </c>
      <c r="AU155" s="12" t="inlineStr">
        <is>
          <t>Tier 3</t>
        </is>
      </c>
      <c r="AV155" s="12" t="inlineStr">
        <is>
          <t>2024-12-31</t>
        </is>
      </c>
      <c r="AW155" s="12" t="inlineStr">
        <is>
          <t>providers=world_bank, wmo_natl_met; fields=personal_safety_raw, water_sanitation_utility_raw, digital_infrastructure_raw, climate_sunlight_livability_raw</t>
        </is>
      </c>
      <c r="AX155" s="12" t="inlineStr">
        <is>
          <t>https://www.who.int/data/gho/data/indicators/indicator-details/GHO/UHC_INDEX_REPORTED | https://api.worldbank.org/v2/country/NZL/indicator/SE.TER.ENRR?format=json&amp;mrv=10</t>
        </is>
      </c>
      <c r="AY155" s="12" t="inlineStr">
        <is>
          <t>Tier 3</t>
        </is>
      </c>
      <c r="AZ155" s="12" t="inlineStr">
        <is>
          <t>2023-12-31</t>
        </is>
      </c>
      <c r="BA155" s="12" t="inlineStr">
        <is>
          <t>providers=who_gho, world_bank; fields=healthcare_quality_raw, education_quality_raw</t>
        </is>
      </c>
      <c r="BB155" s="12" t="inlineStr">
        <is>
          <t>https://api.worldbank.org/v2/country/NZL/indicator/SM.POP.NETM?format=json&amp;mrv=10 | https://api.worldbank.org/v2/country/NZL/indicator/SG.GEN.PARL.ZS?format=json&amp;mrv=10 | https://api.worldbank.org/v2/country/NZL/indicator/ST.INT.ARVL?format=json&amp;mrv=10 | +1 more</t>
        </is>
      </c>
      <c r="BC155" s="12" t="inlineStr">
        <is>
          <t>Tier 3</t>
        </is>
      </c>
      <c r="BD155" s="12" t="inlineStr">
        <is>
          <t>2025-12-31</t>
        </is>
      </c>
      <c r="BE155" s="12" t="inlineStr">
        <is>
          <t>providers=world_bank; fields=hospitality_belonging_raw, tolerance_pluralism_raw, cultural_public_life_raw, birth_rate_optimism_raw</t>
        </is>
      </c>
      <c r="BF155" s="12" t="inlineStr">
        <is>
          <t>https://api.worldbank.org/v2/country/NZL/indicator/IC.BUS.NDNS.ZS?format=json&amp;mrv=10 | https://api.worldbank.org/v2/country/NZL/indicator/GB.XPD.RSDV.GD.ZS?format=json&amp;mrv=10 | https://api.worldbank.org/v2/country/NZL/indicator/BX.KLT.DINV.WD.GD.ZS?format=json&amp;mrv=10 | +3 more</t>
        </is>
      </c>
      <c r="BG155" s="12" t="inlineStr">
        <is>
          <t>Tier 3</t>
        </is>
      </c>
      <c r="BH155" s="12" t="inlineStr">
        <is>
          <t>2024-12-31</t>
        </is>
      </c>
      <c r="BI155" s="12" t="inlineStr">
        <is>
          <t>providers=world_bank; fields=entrepreneurial_dynamism_raw, innovation_research_intensity_raw, investment_signal_raw, administrative_investment_friction_raw; +2 additional fields</t>
        </is>
      </c>
      <c r="BJ155" s="9" t="n">
        <v>1.56</v>
      </c>
    </row>
    <row r="156">
      <c r="A156" s="9" t="inlineStr">
        <is>
          <t>pg-port-moresby</t>
        </is>
      </c>
      <c r="B156" s="9" t="inlineStr">
        <is>
          <t>Port Moresby</t>
        </is>
      </c>
      <c r="C156" s="9" t="inlineStr">
        <is>
          <t>Papua New Guinea</t>
        </is>
      </c>
      <c r="D156" s="9" t="inlineStr">
        <is>
          <t>Oceania</t>
        </is>
      </c>
      <c r="E156" s="9" t="inlineStr">
        <is>
          <t>primary</t>
        </is>
      </c>
      <c r="F156" s="9" t="inlineStr">
        <is>
          <t>provisional</t>
        </is>
      </c>
      <c r="G156" s="10" t="n">
        <v>381.67</v>
      </c>
      <c r="H156" s="10" t="n">
        <v>125.95</v>
      </c>
      <c r="I156" s="10" t="n">
        <v>25.19</v>
      </c>
      <c r="J156" s="10" t="n">
        <v>16.79</v>
      </c>
      <c r="K156" s="10" t="n">
        <v>6.3</v>
      </c>
      <c r="L156" s="10" t="n">
        <v>62.98</v>
      </c>
      <c r="M156" s="11" t="inlineStr"/>
      <c r="N156" s="10" t="n">
        <v>32.9997</v>
      </c>
      <c r="O156" s="10" t="inlineStr"/>
      <c r="P156" s="11">
        <f>IF($O156&lt;&gt;"",$O156,$AO156)</f>
        <v/>
      </c>
      <c r="Q156" s="10" t="inlineStr"/>
      <c r="R156" s="10" t="inlineStr"/>
      <c r="S156" s="10" t="inlineStr"/>
      <c r="T156" s="10" t="inlineStr"/>
      <c r="U156" s="10" t="inlineStr"/>
      <c r="V156" s="10" t="inlineStr"/>
      <c r="W156" s="10" t="inlineStr"/>
      <c r="X156" s="9" t="inlineStr"/>
      <c r="Y156" s="10" t="inlineStr"/>
      <c r="Z156" s="10" t="inlineStr"/>
      <c r="AA156" s="10" t="inlineStr"/>
      <c r="AB156" s="10" t="inlineStr"/>
      <c r="AC156" s="10" t="inlineStr"/>
      <c r="AD156" s="10" t="inlineStr"/>
      <c r="AE156" s="10" t="n">
        <v>0.68</v>
      </c>
      <c r="AF156" s="10" t="inlineStr"/>
      <c r="AG156" s="10" t="n">
        <v>-0.62</v>
      </c>
      <c r="AH156" s="10" t="n">
        <v>3.14</v>
      </c>
      <c r="AI156" s="10" t="inlineStr"/>
      <c r="AJ156" s="11">
        <f>IFERROR(INDEX(Country_Context!$B$2:$B$87,MATCH($C156,Country_Context!$A$2:$A$87,0)),"")</f>
        <v/>
      </c>
      <c r="AK156" s="11">
        <f>IFERROR(INDEX(Country_Context!$C$2:$C$87,MATCH($C156,Country_Context!$A$2:$A$87,0)),"")</f>
        <v/>
      </c>
      <c r="AL156" s="11">
        <f>IFERROR(INDEX(Country_Context!$D$2:$D$87,MATCH($C156,Country_Context!$A$2:$A$87,0)),"")</f>
        <v/>
      </c>
      <c r="AM156" s="11">
        <f>IFERROR(INDEX(Country_Context!$E$2:$E$87,MATCH($C156,Country_Context!$A$2:$A$87,0)),"")</f>
        <v/>
      </c>
      <c r="AN156" s="11">
        <f>IFERROR(INDEX(Country_Context!$F$2:$F$87,MATCH($C156,Country_Context!$A$2:$A$87,0)),"")</f>
        <v/>
      </c>
      <c r="AO156" s="11">
        <f>IFERROR(INDEX(Country_Context!$G$2:$G$87,MATCH($C156,Country_Context!$A$2:$A$87,0)),"")</f>
        <v/>
      </c>
      <c r="AP156" s="12" t="inlineStr">
        <is>
          <t>https://api.worldbank.org/v2/country/PNG/indicator/NY.GNP.PCAP.PP.CD?format=json&amp;mrv=10 | https://data.worldbank.org/indicator/NY.GNP.PCAP.PP.CD</t>
        </is>
      </c>
      <c r="AQ156" s="12" t="inlineStr">
        <is>
          <t>Tier 4</t>
        </is>
      </c>
      <c r="AR156" s="12" t="inlineStr">
        <is>
          <t>2024-12-31</t>
        </is>
      </c>
      <c r="AS156" s="12" t="inlineStr">
        <is>
          <t>providers=world_bank_col_estimate, derived; fields=gross_income, rent, utilities, transit_cost; +3 additional fields</t>
        </is>
      </c>
      <c r="AT156" s="12" t="inlineStr"/>
      <c r="AU156" s="12" t="inlineStr"/>
      <c r="AV156" s="12" t="inlineStr"/>
      <c r="AW156" s="12" t="inlineStr"/>
      <c r="AX156" s="12" t="inlineStr"/>
      <c r="AY156" s="12" t="inlineStr"/>
      <c r="AZ156" s="12" t="inlineStr"/>
      <c r="BA156" s="12" t="inlineStr"/>
      <c r="BB156" s="12" t="inlineStr"/>
      <c r="BC156" s="12" t="inlineStr"/>
      <c r="BD156" s="12" t="inlineStr"/>
      <c r="BE156" s="12" t="inlineStr"/>
      <c r="BF156" s="12" t="inlineStr">
        <is>
          <t>https://api.worldbank.org/v2/country/PNG/indicator/IC.BUS.NDNS.ZS?format=json&amp;mrv=10 | https://api.worldbank.org/v2/country/PNG/indicator/BX.KLT.DINV.WD.GD.ZS?format=json&amp;mrv=10 | https://api.worldbank.org/v2/country/PNG/indicator/RQ.EST?format=json&amp;mrv=10</t>
        </is>
      </c>
      <c r="BG156" s="12" t="inlineStr">
        <is>
          <t>Tier 3</t>
        </is>
      </c>
      <c r="BH156" s="12" t="inlineStr">
        <is>
          <t>2024-12-31</t>
        </is>
      </c>
      <c r="BI156" s="12" t="inlineStr">
        <is>
          <t>providers=world_bank; fields=entrepreneurial_dynamism_raw, investment_signal_raw, administrative_investment_friction_raw</t>
        </is>
      </c>
      <c r="BJ156" s="9" t="inlineStr"/>
    </row>
    <row r="157">
      <c r="A157" s="9" t="inlineStr">
        <is>
          <t>ws-apia</t>
        </is>
      </c>
      <c r="B157" s="9" t="inlineStr">
        <is>
          <t>Apia</t>
        </is>
      </c>
      <c r="C157" s="9" t="inlineStr">
        <is>
          <t>Samoa</t>
        </is>
      </c>
      <c r="D157" s="9" t="inlineStr">
        <is>
          <t>Oceania</t>
        </is>
      </c>
      <c r="E157" s="9" t="inlineStr">
        <is>
          <t>primary</t>
        </is>
      </c>
      <c r="F157" s="9" t="inlineStr">
        <is>
          <t>provisional</t>
        </is>
      </c>
      <c r="G157" s="10" t="n">
        <v>718.33</v>
      </c>
      <c r="H157" s="10" t="n">
        <v>193.95</v>
      </c>
      <c r="I157" s="10" t="n">
        <v>38.79</v>
      </c>
      <c r="J157" s="10" t="n">
        <v>25.86</v>
      </c>
      <c r="K157" s="10" t="n">
        <v>9.699999999999999</v>
      </c>
      <c r="L157" s="10" t="n">
        <v>96.97</v>
      </c>
      <c r="M157" s="11" t="inlineStr"/>
      <c r="N157" s="10" t="n">
        <v>27.0001</v>
      </c>
      <c r="O157" s="10" t="inlineStr"/>
      <c r="P157" s="11">
        <f>IF($O157&lt;&gt;"",$O157,$AO157)</f>
        <v/>
      </c>
      <c r="Q157" s="10" t="inlineStr"/>
      <c r="R157" s="10" t="inlineStr"/>
      <c r="S157" s="10" t="inlineStr"/>
      <c r="T157" s="10" t="inlineStr"/>
      <c r="U157" s="10" t="inlineStr"/>
      <c r="V157" s="10" t="inlineStr"/>
      <c r="W157" s="10" t="inlineStr"/>
      <c r="X157" s="9" t="inlineStr"/>
      <c r="Y157" s="10" t="inlineStr"/>
      <c r="Z157" s="10" t="inlineStr"/>
      <c r="AA157" s="10" t="inlineStr"/>
      <c r="AB157" s="10" t="inlineStr"/>
      <c r="AC157" s="10" t="inlineStr"/>
      <c r="AD157" s="10" t="inlineStr"/>
      <c r="AE157" s="10" t="n">
        <v>0.68</v>
      </c>
      <c r="AF157" s="10" t="inlineStr"/>
      <c r="AG157" s="10" t="n">
        <v>0.32</v>
      </c>
      <c r="AH157" s="10" t="n">
        <v>2.77</v>
      </c>
      <c r="AI157" s="10" t="inlineStr"/>
      <c r="AJ157" s="11">
        <f>IFERROR(INDEX(Country_Context!$B$2:$B$87,MATCH($C157,Country_Context!$A$2:$A$87,0)),"")</f>
        <v/>
      </c>
      <c r="AK157" s="11">
        <f>IFERROR(INDEX(Country_Context!$C$2:$C$87,MATCH($C157,Country_Context!$A$2:$A$87,0)),"")</f>
        <v/>
      </c>
      <c r="AL157" s="11">
        <f>IFERROR(INDEX(Country_Context!$D$2:$D$87,MATCH($C157,Country_Context!$A$2:$A$87,0)),"")</f>
        <v/>
      </c>
      <c r="AM157" s="11">
        <f>IFERROR(INDEX(Country_Context!$E$2:$E$87,MATCH($C157,Country_Context!$A$2:$A$87,0)),"")</f>
        <v/>
      </c>
      <c r="AN157" s="11">
        <f>IFERROR(INDEX(Country_Context!$F$2:$F$87,MATCH($C157,Country_Context!$A$2:$A$87,0)),"")</f>
        <v/>
      </c>
      <c r="AO157" s="11">
        <f>IFERROR(INDEX(Country_Context!$G$2:$G$87,MATCH($C157,Country_Context!$A$2:$A$87,0)),"")</f>
        <v/>
      </c>
      <c r="AP157" s="12" t="inlineStr">
        <is>
          <t>https://api.worldbank.org/v2/country/WSM/indicator/NY.GNP.PCAP.PP.CD?format=json&amp;mrv=10 | https://data.worldbank.org/indicator/NY.GNP.PCAP.PP.CD</t>
        </is>
      </c>
      <c r="AQ157" s="12" t="inlineStr">
        <is>
          <t>Tier 4</t>
        </is>
      </c>
      <c r="AR157" s="12" t="inlineStr">
        <is>
          <t>2024-12-31</t>
        </is>
      </c>
      <c r="AS157" s="12" t="inlineStr">
        <is>
          <t>providers=world_bank_col_estimate, derived; fields=gross_income, rent, utilities, transit_cost; +3 additional fields</t>
        </is>
      </c>
      <c r="AT157" s="12" t="inlineStr"/>
      <c r="AU157" s="12" t="inlineStr"/>
      <c r="AV157" s="12" t="inlineStr"/>
      <c r="AW157" s="12" t="inlineStr"/>
      <c r="AX157" s="12" t="inlineStr"/>
      <c r="AY157" s="12" t="inlineStr"/>
      <c r="AZ157" s="12" t="inlineStr"/>
      <c r="BA157" s="12" t="inlineStr"/>
      <c r="BB157" s="12" t="inlineStr"/>
      <c r="BC157" s="12" t="inlineStr"/>
      <c r="BD157" s="12" t="inlineStr"/>
      <c r="BE157" s="12" t="inlineStr"/>
      <c r="BF157" s="12" t="inlineStr">
        <is>
          <t>https://api.worldbank.org/v2/country/WSM/indicator/IC.BUS.NDNS.ZS?format=json&amp;mrv=10 | https://api.worldbank.org/v2/country/WSM/indicator/BX.KLT.DINV.WD.GD.ZS?format=json&amp;mrv=10 | https://api.worldbank.org/v2/country/WSM/indicator/RQ.EST?format=json&amp;mrv=10</t>
        </is>
      </c>
      <c r="BG157" s="12" t="inlineStr">
        <is>
          <t>Tier 3</t>
        </is>
      </c>
      <c r="BH157" s="12" t="inlineStr">
        <is>
          <t>2024-12-31</t>
        </is>
      </c>
      <c r="BI157" s="12" t="inlineStr">
        <is>
          <t>providers=world_bank; fields=entrepreneurial_dynamism_raw, investment_signal_raw, administrative_investment_friction_raw</t>
        </is>
      </c>
      <c r="BJ157" s="9" t="inlineStr"/>
    </row>
    <row r="158">
      <c r="A158" s="9" t="inlineStr">
        <is>
          <t>vu-port-vila</t>
        </is>
      </c>
      <c r="B158" s="9" t="inlineStr">
        <is>
          <t>Port Vila</t>
        </is>
      </c>
      <c r="C158" s="9" t="inlineStr">
        <is>
          <t>Vanuatu</t>
        </is>
      </c>
      <c r="D158" s="9" t="inlineStr">
        <is>
          <t>Oceania</t>
        </is>
      </c>
      <c r="E158" s="9" t="inlineStr">
        <is>
          <t>primary</t>
        </is>
      </c>
      <c r="F158" s="9" t="inlineStr">
        <is>
          <t>provisional</t>
        </is>
      </c>
      <c r="G158" s="10" t="n">
        <v>345</v>
      </c>
      <c r="H158" s="10" t="n">
        <v>98.31999999999999</v>
      </c>
      <c r="I158" s="10" t="n">
        <v>19.66</v>
      </c>
      <c r="J158" s="10" t="n">
        <v>13.11</v>
      </c>
      <c r="K158" s="10" t="n">
        <v>4.92</v>
      </c>
      <c r="L158" s="10" t="n">
        <v>49.16</v>
      </c>
      <c r="M158" s="11" t="inlineStr"/>
      <c r="N158" s="10" t="n">
        <v>28.4986</v>
      </c>
      <c r="O158" s="10" t="inlineStr"/>
      <c r="P158" s="11">
        <f>IF($O158&lt;&gt;"",$O158,$AO158)</f>
        <v/>
      </c>
      <c r="Q158" s="10" t="inlineStr"/>
      <c r="R158" s="10" t="inlineStr"/>
      <c r="S158" s="10" t="inlineStr"/>
      <c r="T158" s="10" t="inlineStr"/>
      <c r="U158" s="10" t="inlineStr"/>
      <c r="V158" s="10" t="inlineStr"/>
      <c r="W158" s="10" t="inlineStr"/>
      <c r="X158" s="9" t="inlineStr"/>
      <c r="Y158" s="10" t="inlineStr"/>
      <c r="Z158" s="10" t="inlineStr"/>
      <c r="AA158" s="10" t="n">
        <v>32.3</v>
      </c>
      <c r="AB158" s="10" t="inlineStr"/>
      <c r="AC158" s="10" t="inlineStr"/>
      <c r="AD158" s="10" t="inlineStr"/>
      <c r="AE158" s="10" t="n">
        <v>1.54</v>
      </c>
      <c r="AF158" s="10" t="inlineStr"/>
      <c r="AG158" s="10" t="n">
        <v>2.58</v>
      </c>
      <c r="AH158" s="10" t="n">
        <v>2.62</v>
      </c>
      <c r="AI158" s="10" t="inlineStr"/>
      <c r="AJ158" s="11">
        <f>IFERROR(INDEX(Country_Context!$B$2:$B$87,MATCH($C158,Country_Context!$A$2:$A$87,0)),"")</f>
        <v/>
      </c>
      <c r="AK158" s="11">
        <f>IFERROR(INDEX(Country_Context!$C$2:$C$87,MATCH($C158,Country_Context!$A$2:$A$87,0)),"")</f>
        <v/>
      </c>
      <c r="AL158" s="11">
        <f>IFERROR(INDEX(Country_Context!$D$2:$D$87,MATCH($C158,Country_Context!$A$2:$A$87,0)),"")</f>
        <v/>
      </c>
      <c r="AM158" s="11">
        <f>IFERROR(INDEX(Country_Context!$E$2:$E$87,MATCH($C158,Country_Context!$A$2:$A$87,0)),"")</f>
        <v/>
      </c>
      <c r="AN158" s="11">
        <f>IFERROR(INDEX(Country_Context!$F$2:$F$87,MATCH($C158,Country_Context!$A$2:$A$87,0)),"")</f>
        <v/>
      </c>
      <c r="AO158" s="11">
        <f>IFERROR(INDEX(Country_Context!$G$2:$G$87,MATCH($C158,Country_Context!$A$2:$A$87,0)),"")</f>
        <v/>
      </c>
      <c r="AP158" s="12" t="inlineStr">
        <is>
          <t>https://api.worldbank.org/v2/country/VUT/indicator/NY.GNP.PCAP.PP.CD?format=json&amp;mrv=10 | https://data.worldbank.org/indicator/NY.GNP.PCAP.PP.CD</t>
        </is>
      </c>
      <c r="AQ158" s="12" t="inlineStr">
        <is>
          <t>Tier 4</t>
        </is>
      </c>
      <c r="AR158" s="12" t="inlineStr">
        <is>
          <t>2024-12-31</t>
        </is>
      </c>
      <c r="AS158" s="12" t="inlineStr">
        <is>
          <t>providers=world_bank_col_estimate, derived; fields=gross_income, rent, utilities, transit_cost; +3 additional fields</t>
        </is>
      </c>
      <c r="AT158" s="12" t="inlineStr"/>
      <c r="AU158" s="12" t="inlineStr"/>
      <c r="AV158" s="12" t="inlineStr"/>
      <c r="AW158" s="12" t="inlineStr"/>
      <c r="AX158" s="12" t="inlineStr">
        <is>
          <t>https://api.worldbank.org/v2/country/VUT/indicator/SI.POV.GINI?format=json&amp;mrv=10</t>
        </is>
      </c>
      <c r="AY158" s="12" t="inlineStr">
        <is>
          <t>Tier 3</t>
        </is>
      </c>
      <c r="AZ158" s="12" t="inlineStr">
        <is>
          <t>2019-12-31</t>
        </is>
      </c>
      <c r="BA158" s="12" t="inlineStr">
        <is>
          <t>providers=world_bank; fields=equal_opportunity_raw</t>
        </is>
      </c>
      <c r="BB158" s="12" t="inlineStr"/>
      <c r="BC158" s="12" t="inlineStr"/>
      <c r="BD158" s="12" t="inlineStr"/>
      <c r="BE158" s="12" t="inlineStr"/>
      <c r="BF158" s="12" t="inlineStr">
        <is>
          <t>https://api.worldbank.org/v2/country/VUT/indicator/IC.BUS.NDNS.ZS?format=json&amp;mrv=10 | https://api.worldbank.org/v2/country/VUT/indicator/BX.KLT.DINV.WD.GD.ZS?format=json&amp;mrv=10 | https://api.worldbank.org/v2/country/VUT/indicator/RQ.EST?format=json&amp;mrv=10</t>
        </is>
      </c>
      <c r="BG158" s="12" t="inlineStr">
        <is>
          <t>Tier 3</t>
        </is>
      </c>
      <c r="BH158" s="12" t="inlineStr">
        <is>
          <t>2024-12-31</t>
        </is>
      </c>
      <c r="BI158" s="12" t="inlineStr">
        <is>
          <t>providers=world_bank; fields=entrepreneurial_dynamism_raw, investment_signal_raw, administrative_investment_friction_raw</t>
        </is>
      </c>
      <c r="BJ158" s="9" t="inlineStr"/>
    </row>
  </sheetData>
  <autoFilter ref="A1:BJ15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16" customWidth="1" min="4" max="4"/>
    <col width="17" customWidth="1" min="5" max="5"/>
    <col width="36" customWidth="1" min="6" max="6"/>
    <col width="36" customWidth="1" min="7" max="7"/>
    <col width="36" customWidth="1" min="8" max="8"/>
  </cols>
  <sheetData>
    <row r="1">
      <c r="A1" s="6" t="inlineStr">
        <is>
          <t>input_key</t>
        </is>
      </c>
      <c r="B1" s="6" t="inlineStr">
        <is>
          <t>label</t>
        </is>
      </c>
      <c r="C1" s="6" t="inlineStr">
        <is>
          <t>source_column</t>
        </is>
      </c>
      <c r="D1" s="6" t="inlineStr">
        <is>
          <t>directionality</t>
        </is>
      </c>
      <c r="E1" s="6" t="inlineStr">
        <is>
          <t>coverage_weight</t>
        </is>
      </c>
      <c r="F1" s="6" t="inlineStr">
        <is>
          <t>p05</t>
        </is>
      </c>
      <c r="G1" s="6" t="inlineStr">
        <is>
          <t>p95</t>
        </is>
      </c>
      <c r="H1" s="6" t="inlineStr">
        <is>
          <t>notes</t>
        </is>
      </c>
    </row>
    <row r="2">
      <c r="A2" t="inlineStr">
        <is>
          <t>di_ppp_raw</t>
        </is>
      </c>
      <c r="B2" t="inlineStr">
        <is>
          <t>Tax-adjusted PPP disposable income raw</t>
        </is>
      </c>
      <c r="C2" t="inlineStr">
        <is>
          <t>di_ppp_raw</t>
        </is>
      </c>
      <c r="D2" t="inlineStr">
        <is>
          <t>positive</t>
        </is>
      </c>
      <c r="E2" t="n">
        <v>1</v>
      </c>
      <c r="F2" s="13">
        <f>IF(COUNT(City_Inputs!$M$2:$M$158)&gt;=2,PERCENTILE.INC(City_Inputs!$M$2:$M$158,0.05),"")</f>
        <v/>
      </c>
      <c r="G2" s="13">
        <f>IF(COUNT(City_Inputs!$M$2:$M$158)&gt;=2,PERCENTILE.INC(City_Inputs!$M$2:$M$158,0.95),"")</f>
        <v/>
      </c>
      <c r="H2" t="inlineStr">
        <is>
          <t>Derived in City_Inputs from country context and essential-cost deductions.</t>
        </is>
      </c>
    </row>
    <row r="3">
      <c r="A3" t="inlineStr">
        <is>
          <t>housing_burden_raw</t>
        </is>
      </c>
      <c r="B3" t="inlineStr">
        <is>
          <t>Housing burden raw</t>
        </is>
      </c>
      <c r="C3" t="inlineStr">
        <is>
          <t>housing_burden_raw</t>
        </is>
      </c>
      <c r="D3" t="inlineStr">
        <is>
          <t>negative</t>
        </is>
      </c>
      <c r="E3" t="n">
        <v>1</v>
      </c>
      <c r="F3" s="13">
        <f>IF(COUNT(City_Inputs!$N$2:$N$158)&gt;=2,PERCENTILE.INC(City_Inputs!$N$2:$N$158,0.05),"")</f>
        <v/>
      </c>
      <c r="G3" s="13">
        <f>IF(COUNT(City_Inputs!$N$2:$N$158)&gt;=2,PERCENTILE.INC(City_Inputs!$N$2:$N$158,0.95),"")</f>
        <v/>
      </c>
      <c r="H3" t="inlineStr">
        <is>
          <t>Higher housing share scores worse.</t>
        </is>
      </c>
    </row>
    <row r="4">
      <c r="A4" t="inlineStr">
        <is>
          <t>household_debt_effective_raw</t>
        </is>
      </c>
      <c r="B4" t="inlineStr">
        <is>
          <t>Household debt effective raw</t>
        </is>
      </c>
      <c r="C4" t="inlineStr">
        <is>
          <t>household_debt_effective_raw</t>
        </is>
      </c>
      <c r="D4" t="inlineStr">
        <is>
          <t>negative</t>
        </is>
      </c>
      <c r="E4" t="n">
        <v>1</v>
      </c>
      <c r="F4" s="13">
        <f>IF(COUNT(City_Inputs!$P$2:$P$158)&gt;=2,PERCENTILE.INC(City_Inputs!$P$2:$P$158,0.05),"")</f>
        <v/>
      </c>
      <c r="G4" s="13">
        <f>IF(COUNT(City_Inputs!$P$2:$P$158)&gt;=2,PERCENTILE.INC(City_Inputs!$P$2:$P$158,0.95),"")</f>
        <v/>
      </c>
      <c r="H4" t="inlineStr">
        <is>
          <t>Uses country proxy where city debt burden is missing.</t>
        </is>
      </c>
    </row>
    <row r="5">
      <c r="A5" t="inlineStr">
        <is>
          <t>working_time_pressure_raw</t>
        </is>
      </c>
      <c r="B5" t="inlineStr">
        <is>
          <t>Working time pressure raw</t>
        </is>
      </c>
      <c r="C5" t="inlineStr">
        <is>
          <t>working_time_pressure_raw</t>
        </is>
      </c>
      <c r="D5" t="inlineStr">
        <is>
          <t>negative</t>
        </is>
      </c>
      <c r="E5" t="n">
        <v>1</v>
      </c>
      <c r="F5" s="13">
        <f>IF(COUNT(City_Inputs!$Q$2:$Q$158)&gt;=2,PERCENTILE.INC(City_Inputs!$Q$2:$Q$158,0.05),"")</f>
        <v/>
      </c>
      <c r="G5" s="13">
        <f>IF(COUNT(City_Inputs!$Q$2:$Q$158)&gt;=2,PERCENTILE.INC(City_Inputs!$Q$2:$Q$158,0.95),"")</f>
        <v/>
      </c>
      <c r="H5" t="inlineStr">
        <is>
          <t>Higher weekly work burden scores worse.</t>
        </is>
      </c>
    </row>
    <row r="6">
      <c r="A6" t="inlineStr">
        <is>
          <t>suicide_mental_strain_raw</t>
        </is>
      </c>
      <c r="B6" t="inlineStr">
        <is>
          <t>Suicide and mental strain raw</t>
        </is>
      </c>
      <c r="C6" t="inlineStr">
        <is>
          <t>suicide_mental_strain_raw</t>
        </is>
      </c>
      <c r="D6" t="inlineStr">
        <is>
          <t>negative</t>
        </is>
      </c>
      <c r="E6" t="n">
        <v>1</v>
      </c>
      <c r="F6" s="13">
        <f>IF(COUNT(City_Inputs!$R$2:$R$158)&gt;=2,PERCENTILE.INC(City_Inputs!$R$2:$R$158,0.05),"")</f>
        <v/>
      </c>
      <c r="G6" s="13">
        <f>IF(COUNT(City_Inputs!$R$2:$R$158)&gt;=2,PERCENTILE.INC(City_Inputs!$R$2:$R$158,0.95),"")</f>
        <v/>
      </c>
      <c r="H6" t="inlineStr">
        <is>
          <t>Higher suicide or strain proxy scores worse.</t>
        </is>
      </c>
    </row>
    <row r="7">
      <c r="A7" t="inlineStr">
        <is>
          <t>personal_safety_raw</t>
        </is>
      </c>
      <c r="B7" t="inlineStr">
        <is>
          <t>Personal safety harm raw</t>
        </is>
      </c>
      <c r="C7" t="inlineStr">
        <is>
          <t>personal_safety_raw</t>
        </is>
      </c>
      <c r="D7" t="inlineStr">
        <is>
          <t>negative</t>
        </is>
      </c>
      <c r="E7" t="n">
        <v>1</v>
      </c>
      <c r="F7" s="13">
        <f>IF(COUNT(City_Inputs!$S$2:$S$158)&gt;=2,PERCENTILE.INC(City_Inputs!$S$2:$S$158,0.05),"")</f>
        <v/>
      </c>
      <c r="G7" s="13">
        <f>IF(COUNT(City_Inputs!$S$2:$S$158)&gt;=2,PERCENTILE.INC(City_Inputs!$S$2:$S$158,0.95),"")</f>
        <v/>
      </c>
      <c r="H7" t="inlineStr">
        <is>
          <t>Higher harm or victimization scores worse.</t>
        </is>
      </c>
    </row>
    <row r="8">
      <c r="A8" t="inlineStr">
        <is>
          <t>transit_access_commute_raw</t>
        </is>
      </c>
      <c r="B8" t="inlineStr">
        <is>
          <t>Transit access and commute raw</t>
        </is>
      </c>
      <c r="C8" t="inlineStr">
        <is>
          <t>transit_access_commute_raw</t>
        </is>
      </c>
      <c r="D8" t="inlineStr">
        <is>
          <t>positive</t>
        </is>
      </c>
      <c r="E8" t="n">
        <v>1</v>
      </c>
      <c r="F8" s="13">
        <f>IF(COUNT(City_Inputs!$T$2:$T$158)&gt;=2,PERCENTILE.INC(City_Inputs!$T$2:$T$158,0.05),"")</f>
        <v/>
      </c>
      <c r="G8" s="13">
        <f>IF(COUNT(City_Inputs!$T$2:$T$158)&gt;=2,PERCENTILE.INC(City_Inputs!$T$2:$T$158,0.95),"")</f>
        <v/>
      </c>
      <c r="H8" t="inlineStr">
        <is>
          <t>Higher access/lower burden composite scores better.</t>
        </is>
      </c>
    </row>
    <row r="9">
      <c r="A9" t="inlineStr">
        <is>
          <t>clean_air_raw</t>
        </is>
      </c>
      <c r="B9" t="inlineStr">
        <is>
          <t>Clean air raw</t>
        </is>
      </c>
      <c r="C9" t="inlineStr">
        <is>
          <t>clean_air_raw</t>
        </is>
      </c>
      <c r="D9" t="inlineStr">
        <is>
          <t>negative</t>
        </is>
      </c>
      <c r="E9" t="n">
        <v>1</v>
      </c>
      <c r="F9" s="13">
        <f>IF(COUNT(City_Inputs!$U$2:$U$158)&gt;=2,PERCENTILE.INC(City_Inputs!$U$2:$U$158,0.05),"")</f>
        <v/>
      </c>
      <c r="G9" s="13">
        <f>IF(COUNT(City_Inputs!$U$2:$U$158)&gt;=2,PERCENTILE.INC(City_Inputs!$U$2:$U$158,0.95),"")</f>
        <v/>
      </c>
      <c r="H9" t="inlineStr">
        <is>
          <t>Higher PM2.5 or pollution exposure scores worse.</t>
        </is>
      </c>
    </row>
    <row r="10">
      <c r="A10" t="inlineStr">
        <is>
          <t>water_sanitation_utility_raw</t>
        </is>
      </c>
      <c r="B10" t="inlineStr">
        <is>
          <t>Water, sanitation, and utility reliability raw</t>
        </is>
      </c>
      <c r="C10" t="inlineStr">
        <is>
          <t>water_sanitation_utility_raw</t>
        </is>
      </c>
      <c r="D10" t="inlineStr">
        <is>
          <t>positive</t>
        </is>
      </c>
      <c r="E10" t="n">
        <v>1</v>
      </c>
      <c r="F10" s="13">
        <f>IF(COUNT(City_Inputs!$V$2:$V$158)&gt;=2,PERCENTILE.INC(City_Inputs!$V$2:$V$158,0.05),"")</f>
        <v/>
      </c>
      <c r="G10" s="13">
        <f>IF(COUNT(City_Inputs!$V$2:$V$158)&gt;=2,PERCENTILE.INC(City_Inputs!$V$2:$V$158,0.95),"")</f>
        <v/>
      </c>
      <c r="H10" t="inlineStr">
        <is>
          <t>Higher safe-service composite scores better.</t>
        </is>
      </c>
    </row>
    <row r="11">
      <c r="A11" t="inlineStr">
        <is>
          <t>digital_infrastructure_raw</t>
        </is>
      </c>
      <c r="B11" t="inlineStr">
        <is>
          <t>Digital infrastructure raw</t>
        </is>
      </c>
      <c r="C11" t="inlineStr">
        <is>
          <t>digital_infrastructure_raw</t>
        </is>
      </c>
      <c r="D11" t="inlineStr">
        <is>
          <t>positive</t>
        </is>
      </c>
      <c r="E11" t="n">
        <v>1</v>
      </c>
      <c r="F11" s="13">
        <f>IF(COUNT(City_Inputs!$W$2:$W$158)&gt;=2,PERCENTILE.INC(City_Inputs!$W$2:$W$158,0.05),"")</f>
        <v/>
      </c>
      <c r="G11" s="13">
        <f>IF(COUNT(City_Inputs!$W$2:$W$158)&gt;=2,PERCENTILE.INC(City_Inputs!$W$2:$W$158,0.95),"")</f>
        <v/>
      </c>
      <c r="H11" t="inlineStr">
        <is>
          <t>Higher digital quality and affordability score better.</t>
        </is>
      </c>
    </row>
    <row r="12">
      <c r="A12" t="inlineStr">
        <is>
          <t>climate_sunlight_livability_raw</t>
        </is>
      </c>
      <c r="B12" t="inlineStr">
        <is>
          <t>Climate and sunlight livability raw</t>
        </is>
      </c>
      <c r="C12" t="inlineStr">
        <is>
          <t>climate_sunlight_livability_raw</t>
        </is>
      </c>
      <c r="D12" t="inlineStr">
        <is>
          <t>positive</t>
        </is>
      </c>
      <c r="E12" t="n">
        <v>1</v>
      </c>
      <c r="F12" s="13">
        <f>IF(COUNT(City_Inputs!$X$2:$X$158)&gt;=2,PERCENTILE.INC(City_Inputs!$X$2:$X$158,0.05),"")</f>
        <v/>
      </c>
      <c r="G12" s="13">
        <f>IF(COUNT(City_Inputs!$X$2:$X$158)&gt;=2,PERCENTILE.INC(City_Inputs!$X$2:$X$158,0.95),"")</f>
        <v/>
      </c>
      <c r="H12" t="inlineStr">
        <is>
          <t>Higher livability composite scores better. Penalizes extreme darkness and extreme heat.</t>
        </is>
      </c>
    </row>
    <row r="13">
      <c r="A13" t="inlineStr">
        <is>
          <t>healthcare_quality_raw</t>
        </is>
      </c>
      <c r="B13" t="inlineStr">
        <is>
          <t>Healthcare quality raw</t>
        </is>
      </c>
      <c r="C13" t="inlineStr">
        <is>
          <t>healthcare_quality_raw</t>
        </is>
      </c>
      <c r="D13" t="inlineStr">
        <is>
          <t>positive</t>
        </is>
      </c>
      <c r="E13" t="n">
        <v>1</v>
      </c>
      <c r="F13" s="13">
        <f>IF(COUNT(City_Inputs!$Y$2:$Y$158)&gt;=2,PERCENTILE.INC(City_Inputs!$Y$2:$Y$158,0.05),"")</f>
        <v/>
      </c>
      <c r="G13" s="13">
        <f>IF(COUNT(City_Inputs!$Y$2:$Y$158)&gt;=2,PERCENTILE.INC(City_Inputs!$Y$2:$Y$158,0.95),"")</f>
        <v/>
      </c>
      <c r="H13" t="inlineStr">
        <is>
          <t>Higher effective-care quality scores better.</t>
        </is>
      </c>
    </row>
    <row r="14">
      <c r="A14" t="inlineStr">
        <is>
          <t>education_quality_raw</t>
        </is>
      </c>
      <c r="B14" t="inlineStr">
        <is>
          <t>Education quality raw</t>
        </is>
      </c>
      <c r="C14" t="inlineStr">
        <is>
          <t>education_quality_raw</t>
        </is>
      </c>
      <c r="D14" t="inlineStr">
        <is>
          <t>positive</t>
        </is>
      </c>
      <c r="E14" t="n">
        <v>1</v>
      </c>
      <c r="F14" s="13">
        <f>IF(COUNT(City_Inputs!$Z$2:$Z$158)&gt;=2,PERCENTILE.INC(City_Inputs!$Z$2:$Z$158,0.05),"")</f>
        <v/>
      </c>
      <c r="G14" s="13">
        <f>IF(COUNT(City_Inputs!$Z$2:$Z$158)&gt;=2,PERCENTILE.INC(City_Inputs!$Z$2:$Z$158,0.95),"")</f>
        <v/>
      </c>
      <c r="H14" t="inlineStr">
        <is>
          <t>Higher learning quality scores better.</t>
        </is>
      </c>
    </row>
    <row r="15">
      <c r="A15" t="inlineStr">
        <is>
          <t>equal_opportunity_raw</t>
        </is>
      </c>
      <c r="B15" t="inlineStr">
        <is>
          <t>Equal opportunity raw</t>
        </is>
      </c>
      <c r="C15" t="inlineStr">
        <is>
          <t>equal_opportunity_raw</t>
        </is>
      </c>
      <c r="D15" t="inlineStr">
        <is>
          <t>positive</t>
        </is>
      </c>
      <c r="E15" t="n">
        <v>0.7</v>
      </c>
      <c r="F15" s="13">
        <f>IF(COUNT(City_Inputs!$AA$2:$AA$158)&gt;=2,PERCENTILE.INC(City_Inputs!$AA$2:$AA$158,0.05),"")</f>
        <v/>
      </c>
      <c r="G15" s="13">
        <f>IF(COUNT(City_Inputs!$AA$2:$AA$158)&gt;=2,PERCENTILE.INC(City_Inputs!$AA$2:$AA$158,0.95),"")</f>
        <v/>
      </c>
      <c r="H15" t="inlineStr">
        <is>
          <t>Primary opportunity component.</t>
        </is>
      </c>
    </row>
    <row r="16">
      <c r="A16" t="inlineStr">
        <is>
          <t>gini_coefficient_context</t>
        </is>
      </c>
      <c r="B16" t="inlineStr">
        <is>
          <t>Gini coefficient context raw</t>
        </is>
      </c>
      <c r="C16" t="inlineStr">
        <is>
          <t>gini_coefficient_context</t>
        </is>
      </c>
      <c r="D16" t="inlineStr">
        <is>
          <t>negative</t>
        </is>
      </c>
      <c r="E16" t="n">
        <v>0.3</v>
      </c>
      <c r="F16" s="13">
        <f>IF(COUNT(City_Inputs!$AL$2:$AL$158)&gt;=2,PERCENTILE.INC(City_Inputs!$AL$2:$AL$158,0.05),"")</f>
        <v/>
      </c>
      <c r="G16" s="13">
        <f>IF(COUNT(City_Inputs!$AL$2:$AL$158)&gt;=2,PERCENTILE.INC(City_Inputs!$AL$2:$AL$158,0.95),"")</f>
        <v/>
      </c>
      <c r="H16" t="inlineStr">
        <is>
          <t>Country-context fairness component.</t>
        </is>
      </c>
    </row>
    <row r="17">
      <c r="A17" t="inlineStr">
        <is>
          <t>hospitality_belonging_raw</t>
        </is>
      </c>
      <c r="B17" t="inlineStr">
        <is>
          <t>Hospitality and belonging raw</t>
        </is>
      </c>
      <c r="C17" t="inlineStr">
        <is>
          <t>hospitality_belonging_raw</t>
        </is>
      </c>
      <c r="D17" t="inlineStr">
        <is>
          <t>positive</t>
        </is>
      </c>
      <c r="E17" t="n">
        <v>1</v>
      </c>
      <c r="F17" s="13">
        <f>IF(COUNT(City_Inputs!$AB$2:$AB$158)&gt;=2,PERCENTILE.INC(City_Inputs!$AB$2:$AB$158,0.05),"")</f>
        <v/>
      </c>
      <c r="G17" s="13">
        <f>IF(COUNT(City_Inputs!$AB$2:$AB$158)&gt;=2,PERCENTILE.INC(City_Inputs!$AB$2:$AB$158,0.95),"")</f>
        <v/>
      </c>
      <c r="H17" t="inlineStr">
        <is>
          <t>Higher civic warmth and belonging scores better.</t>
        </is>
      </c>
    </row>
    <row r="18">
      <c r="A18" t="inlineStr">
        <is>
          <t>tolerance_pluralism_raw</t>
        </is>
      </c>
      <c r="B18" t="inlineStr">
        <is>
          <t>Tolerance and pluralism raw</t>
        </is>
      </c>
      <c r="C18" t="inlineStr">
        <is>
          <t>tolerance_pluralism_raw</t>
        </is>
      </c>
      <c r="D18" t="inlineStr">
        <is>
          <t>positive</t>
        </is>
      </c>
      <c r="E18" t="n">
        <v>1</v>
      </c>
      <c r="F18" s="13">
        <f>IF(COUNT(City_Inputs!$AC$2:$AC$158)&gt;=2,PERCENTILE.INC(City_Inputs!$AC$2:$AC$158,0.05),"")</f>
        <v/>
      </c>
      <c r="G18" s="13">
        <f>IF(COUNT(City_Inputs!$AC$2:$AC$158)&gt;=2,PERCENTILE.INC(City_Inputs!$AC$2:$AC$158,0.95),"")</f>
        <v/>
      </c>
      <c r="H18" t="inlineStr">
        <is>
          <t>Higher coexistence and openness scores better.</t>
        </is>
      </c>
    </row>
    <row r="19">
      <c r="A19" t="inlineStr">
        <is>
          <t>cultural_public_life_raw</t>
        </is>
      </c>
      <c r="B19" t="inlineStr">
        <is>
          <t>Cultural, historic, and public-life vitality raw</t>
        </is>
      </c>
      <c r="C19" t="inlineStr">
        <is>
          <t>cultural_public_life_raw</t>
        </is>
      </c>
      <c r="D19" t="inlineStr">
        <is>
          <t>positive</t>
        </is>
      </c>
      <c r="E19" t="n">
        <v>1</v>
      </c>
      <c r="F19" s="13">
        <f>IF(COUNT(City_Inputs!$AD$2:$AD$158)&gt;=2,PERCENTILE.INC(City_Inputs!$AD$2:$AD$158,0.05),"")</f>
        <v/>
      </c>
      <c r="G19" s="13">
        <f>IF(COUNT(City_Inputs!$AD$2:$AD$158)&gt;=2,PERCENTILE.INC(City_Inputs!$AD$2:$AD$158,0.95),"")</f>
        <v/>
      </c>
      <c r="H19" t="inlineStr">
        <is>
          <t>Higher everyday cultural vitality scores better.</t>
        </is>
      </c>
    </row>
    <row r="20">
      <c r="A20" t="inlineStr">
        <is>
          <t>entrepreneurial_dynamism_raw</t>
        </is>
      </c>
      <c r="B20" t="inlineStr">
        <is>
          <t>Entrepreneurial dynamism raw</t>
        </is>
      </c>
      <c r="C20" t="inlineStr">
        <is>
          <t>entrepreneurial_dynamism_raw</t>
        </is>
      </c>
      <c r="D20" t="inlineStr">
        <is>
          <t>positive</t>
        </is>
      </c>
      <c r="E20" t="n">
        <v>1</v>
      </c>
      <c r="F20" s="13">
        <f>IF(COUNT(City_Inputs!$AE$2:$AE$158)&gt;=2,PERCENTILE.INC(City_Inputs!$AE$2:$AE$158,0.05),"")</f>
        <v/>
      </c>
      <c r="G20" s="13">
        <f>IF(COUNT(City_Inputs!$AE$2:$AE$158)&gt;=2,PERCENTILE.INC(City_Inputs!$AE$2:$AE$158,0.95),"")</f>
        <v/>
      </c>
      <c r="H20" t="inlineStr">
        <is>
          <t>Higher new-business dynamism scores better.</t>
        </is>
      </c>
    </row>
    <row r="21">
      <c r="A21" t="inlineStr">
        <is>
          <t>innovation_research_intensity_raw</t>
        </is>
      </c>
      <c r="B21" t="inlineStr">
        <is>
          <t>Innovation and research intensity raw</t>
        </is>
      </c>
      <c r="C21" t="inlineStr">
        <is>
          <t>innovation_research_intensity_raw</t>
        </is>
      </c>
      <c r="D21" t="inlineStr">
        <is>
          <t>positive</t>
        </is>
      </c>
      <c r="E21" t="n">
        <v>1</v>
      </c>
      <c r="F21" s="13">
        <f>IF(COUNT(City_Inputs!$AF$2:$AF$158)&gt;=2,PERCENTILE.INC(City_Inputs!$AF$2:$AF$158,0.05),"")</f>
        <v/>
      </c>
      <c r="G21" s="13">
        <f>IF(COUNT(City_Inputs!$AF$2:$AF$158)&gt;=2,PERCENTILE.INC(City_Inputs!$AF$2:$AF$158,0.95),"")</f>
        <v/>
      </c>
      <c r="H21" t="inlineStr">
        <is>
          <t>Higher research strength scores better.</t>
        </is>
      </c>
    </row>
    <row r="22">
      <c r="A22" t="inlineStr">
        <is>
          <t>investment_signal_raw</t>
        </is>
      </c>
      <c r="B22" t="inlineStr">
        <is>
          <t>Investment signal raw</t>
        </is>
      </c>
      <c r="C22" t="inlineStr">
        <is>
          <t>investment_signal_raw</t>
        </is>
      </c>
      <c r="D22" t="inlineStr">
        <is>
          <t>positive</t>
        </is>
      </c>
      <c r="E22" t="n">
        <v>0.5</v>
      </c>
      <c r="F22" s="13">
        <f>IF(COUNT(City_Inputs!$AG$2:$AG$158)&gt;=2,PERCENTILE.INC(City_Inputs!$AG$2:$AG$158,0.05),"")</f>
        <v/>
      </c>
      <c r="G22" s="13">
        <f>IF(COUNT(City_Inputs!$AG$2:$AG$158)&gt;=2,PERCENTILE.INC(City_Inputs!$AG$2:$AG$158,0.95),"")</f>
        <v/>
      </c>
      <c r="H22" t="inlineStr">
        <is>
          <t>Primary city-level productive-energy signal.</t>
        </is>
      </c>
    </row>
    <row r="23">
      <c r="A23" t="inlineStr">
        <is>
          <t>gdp_per_capita_ppp_context</t>
        </is>
      </c>
      <c r="B23" t="inlineStr">
        <is>
          <t>GDP per capita PPP context raw</t>
        </is>
      </c>
      <c r="C23" t="inlineStr">
        <is>
          <t>gdp_per_capita_ppp_context</t>
        </is>
      </c>
      <c r="D23" t="inlineStr">
        <is>
          <t>positive</t>
        </is>
      </c>
      <c r="E23" t="n">
        <v>0.3</v>
      </c>
      <c r="F23" s="13">
        <f>IF(COUNT(City_Inputs!$AJ$2:$AJ$158)&gt;=2,PERCENTILE.INC(City_Inputs!$AJ$2:$AJ$158,0.05),"")</f>
        <v/>
      </c>
      <c r="G23" s="13">
        <f>IF(COUNT(City_Inputs!$AJ$2:$AJ$158)&gt;=2,PERCENTILE.INC(City_Inputs!$AJ$2:$AJ$158,0.95),"")</f>
        <v/>
      </c>
      <c r="H23" t="inlineStr">
        <is>
          <t>Capped country macro context.</t>
        </is>
      </c>
    </row>
    <row r="24">
      <c r="A24" t="inlineStr">
        <is>
          <t>gdp_growth_context</t>
        </is>
      </c>
      <c r="B24" t="inlineStr">
        <is>
          <t>GDP growth context raw</t>
        </is>
      </c>
      <c r="C24" t="inlineStr">
        <is>
          <t>gdp_growth_context</t>
        </is>
      </c>
      <c r="D24" t="inlineStr">
        <is>
          <t>positive</t>
        </is>
      </c>
      <c r="E24" t="n">
        <v>0.2</v>
      </c>
      <c r="F24" s="13">
        <f>IF(COUNT(City_Inputs!$AK$2:$AK$158)&gt;=2,PERCENTILE.INC(City_Inputs!$AK$2:$AK$158,0.05),"")</f>
        <v/>
      </c>
      <c r="G24" s="13">
        <f>IF(COUNT(City_Inputs!$AK$2:$AK$158)&gt;=2,PERCENTILE.INC(City_Inputs!$AK$2:$AK$158,0.95),"")</f>
        <v/>
      </c>
      <c r="H24" t="inlineStr">
        <is>
          <t>Capped country momentum context.</t>
        </is>
      </c>
    </row>
    <row r="25">
      <c r="A25" t="inlineStr">
        <is>
          <t>administrative_investment_friction_raw</t>
        </is>
      </c>
      <c r="B25" t="inlineStr">
        <is>
          <t>Administrative and investment friction raw</t>
        </is>
      </c>
      <c r="C25" t="inlineStr">
        <is>
          <t>administrative_investment_friction_raw</t>
        </is>
      </c>
      <c r="D25" t="inlineStr">
        <is>
          <t>negative</t>
        </is>
      </c>
      <c r="E25" t="n">
        <v>1</v>
      </c>
      <c r="F25" s="13">
        <f>IF(COUNT(City_Inputs!$AH$2:$AH$158)&gt;=2,PERCENTILE.INC(City_Inputs!$AH$2:$AH$158,0.05),"")</f>
        <v/>
      </c>
      <c r="G25" s="13">
        <f>IF(COUNT(City_Inputs!$AH$2:$AH$158)&gt;=2,PERCENTILE.INC(City_Inputs!$AH$2:$AH$158,0.95),"")</f>
        <v/>
      </c>
      <c r="H25" t="inlineStr">
        <is>
          <t>Higher business friction scores worse.</t>
        </is>
      </c>
    </row>
    <row r="26">
      <c r="A26" t="inlineStr">
        <is>
          <t>birth_rate_optimism_raw</t>
        </is>
      </c>
      <c r="B26" t="inlineStr">
        <is>
          <t>Birth rate and societal optimism raw</t>
        </is>
      </c>
      <c r="C26" t="inlineStr">
        <is>
          <t>birth_rate_optimism_raw</t>
        </is>
      </c>
      <c r="D26" t="inlineStr">
        <is>
          <t>positive</t>
        </is>
      </c>
      <c r="E26" t="n">
        <v>1</v>
      </c>
      <c r="F26" s="13">
        <f>IF(COUNT(City_Inputs!$BJ$2:$BJ$158)&gt;=2,PERCENTILE.INC(City_Inputs!$BJ$2:$BJ$158,0.05),"")</f>
        <v/>
      </c>
      <c r="G26" s="13">
        <f>IF(COUNT(City_Inputs!$BJ$2:$BJ$158)&gt;=2,PERCENTILE.INC(City_Inputs!$BJ$2:$BJ$158,0.95),"")</f>
        <v/>
      </c>
      <c r="H26" t="inlineStr">
        <is>
          <t>Total fertility rate as proxy for societal optimism and family-friendliness.</t>
        </is>
      </c>
    </row>
  </sheetData>
  <autoFilter ref="A1:H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N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2" customWidth="1" min="3" max="3"/>
    <col width="28" customWidth="1" min="4" max="4"/>
    <col width="17" customWidth="1" min="5" max="5"/>
    <col width="12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  <col width="28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8" customWidth="1" min="65" max="65"/>
    <col width="26" customWidth="1" min="66" max="66"/>
  </cols>
  <sheetData>
    <row r="1">
      <c r="A1" s="6" t="inlineStr">
        <is>
          <t>city_id</t>
        </is>
      </c>
      <c r="B1" s="6" t="inlineStr">
        <is>
          <t>display_name</t>
        </is>
      </c>
      <c r="C1" s="6" t="inlineStr">
        <is>
          <t>country</t>
        </is>
      </c>
      <c r="D1" s="6" t="inlineStr">
        <is>
          <t>cohort</t>
        </is>
      </c>
      <c r="E1" s="6" t="inlineStr">
        <is>
          <t>manifest_status</t>
        </is>
      </c>
      <c r="F1" s="6" t="inlineStr">
        <is>
          <t>city_type</t>
        </is>
      </c>
      <c r="G1" s="6" t="inlineStr">
        <is>
          <t>pressure_disposable_income_ppp_score</t>
        </is>
      </c>
      <c r="H1" s="6" t="inlineStr">
        <is>
          <t>pressure_disposable_income_ppp_coverage</t>
        </is>
      </c>
      <c r="I1" s="6" t="inlineStr">
        <is>
          <t>pressure_housing_burden_score</t>
        </is>
      </c>
      <c r="J1" s="6" t="inlineStr">
        <is>
          <t>pressure_housing_burden_coverage</t>
        </is>
      </c>
      <c r="K1" s="6" t="inlineStr">
        <is>
          <t>pressure_household_debt_burden_score</t>
        </is>
      </c>
      <c r="L1" s="6" t="inlineStr">
        <is>
          <t>pressure_household_debt_burden_coverage</t>
        </is>
      </c>
      <c r="M1" s="6" t="inlineStr">
        <is>
          <t>pressure_working_time_pressure_score</t>
        </is>
      </c>
      <c r="N1" s="6" t="inlineStr">
        <is>
          <t>pressure_working_time_pressure_coverage</t>
        </is>
      </c>
      <c r="O1" s="6" t="inlineStr">
        <is>
          <t>pressure_suicide_mental_strain_score</t>
        </is>
      </c>
      <c r="P1" s="6" t="inlineStr">
        <is>
          <t>pressure_suicide_mental_strain_coverage</t>
        </is>
      </c>
      <c r="Q1" s="6" t="inlineStr">
        <is>
          <t>pressure_pillar_score</t>
        </is>
      </c>
      <c r="R1" s="6" t="inlineStr">
        <is>
          <t>pressure_pillar_coverage</t>
        </is>
      </c>
      <c r="S1" s="6" t="inlineStr">
        <is>
          <t>viability_personal_safety_score</t>
        </is>
      </c>
      <c r="T1" s="6" t="inlineStr">
        <is>
          <t>viability_personal_safety_coverage</t>
        </is>
      </c>
      <c r="U1" s="6" t="inlineStr">
        <is>
          <t>viability_transit_access_commute_score</t>
        </is>
      </c>
      <c r="V1" s="6" t="inlineStr">
        <is>
          <t>viability_transit_access_commute_coverage</t>
        </is>
      </c>
      <c r="W1" s="6" t="inlineStr">
        <is>
          <t>viability_clean_air_score</t>
        </is>
      </c>
      <c r="X1" s="6" t="inlineStr">
        <is>
          <t>viability_clean_air_coverage</t>
        </is>
      </c>
      <c r="Y1" s="6" t="inlineStr">
        <is>
          <t>viability_water_sanitation_utility_score</t>
        </is>
      </c>
      <c r="Z1" s="6" t="inlineStr">
        <is>
          <t>viability_water_sanitation_utility_coverage</t>
        </is>
      </c>
      <c r="AA1" s="6" t="inlineStr">
        <is>
          <t>viability_digital_infrastructure_score</t>
        </is>
      </c>
      <c r="AB1" s="6" t="inlineStr">
        <is>
          <t>viability_digital_infrastructure_coverage</t>
        </is>
      </c>
      <c r="AC1" s="6" t="inlineStr">
        <is>
          <t>viability_climate_sunlight_livability_score</t>
        </is>
      </c>
      <c r="AD1" s="6" t="inlineStr">
        <is>
          <t>viability_climate_sunlight_livability_coverage</t>
        </is>
      </c>
      <c r="AE1" s="6" t="inlineStr">
        <is>
          <t>viability_pillar_score</t>
        </is>
      </c>
      <c r="AF1" s="6" t="inlineStr">
        <is>
          <t>viability_pillar_coverage</t>
        </is>
      </c>
      <c r="AG1" s="6" t="inlineStr">
        <is>
          <t>capability_healthcare_quality_score</t>
        </is>
      </c>
      <c r="AH1" s="6" t="inlineStr">
        <is>
          <t>capability_healthcare_quality_coverage</t>
        </is>
      </c>
      <c r="AI1" s="6" t="inlineStr">
        <is>
          <t>capability_education_quality_score</t>
        </is>
      </c>
      <c r="AJ1" s="6" t="inlineStr">
        <is>
          <t>capability_education_quality_coverage</t>
        </is>
      </c>
      <c r="AK1" s="6" t="inlineStr">
        <is>
          <t>capability_equal_opportunity_distributional_fairness_score</t>
        </is>
      </c>
      <c r="AL1" s="6" t="inlineStr">
        <is>
          <t>capability_equal_opportunity_distributional_fairness_coverage</t>
        </is>
      </c>
      <c r="AM1" s="6" t="inlineStr">
        <is>
          <t>capability_pillar_score</t>
        </is>
      </c>
      <c r="AN1" s="6" t="inlineStr">
        <is>
          <t>capability_pillar_coverage</t>
        </is>
      </c>
      <c r="AO1" s="6" t="inlineStr">
        <is>
          <t>community_hospitality_belonging_score</t>
        </is>
      </c>
      <c r="AP1" s="6" t="inlineStr">
        <is>
          <t>community_hospitality_belonging_coverage</t>
        </is>
      </c>
      <c r="AQ1" s="6" t="inlineStr">
        <is>
          <t>community_tolerance_pluralism_score</t>
        </is>
      </c>
      <c r="AR1" s="6" t="inlineStr">
        <is>
          <t>community_tolerance_pluralism_coverage</t>
        </is>
      </c>
      <c r="AS1" s="6" t="inlineStr">
        <is>
          <t>community_cultural_historic_public_life_vitality_score</t>
        </is>
      </c>
      <c r="AT1" s="6" t="inlineStr">
        <is>
          <t>community_cultural_historic_public_life_vitality_coverage</t>
        </is>
      </c>
      <c r="AU1" s="6" t="inlineStr">
        <is>
          <t>community_birth_rate_optimism_score</t>
        </is>
      </c>
      <c r="AV1" s="6" t="inlineStr">
        <is>
          <t>community_birth_rate_optimism_coverage</t>
        </is>
      </c>
      <c r="AW1" s="6" t="inlineStr">
        <is>
          <t>community_pillar_score</t>
        </is>
      </c>
      <c r="AX1" s="6" t="inlineStr">
        <is>
          <t>community_pillar_coverage</t>
        </is>
      </c>
      <c r="AY1" s="6" t="inlineStr">
        <is>
          <t>creative_entrepreneurial_dynamism_score</t>
        </is>
      </c>
      <c r="AZ1" s="6" t="inlineStr">
        <is>
          <t>creative_entrepreneurial_dynamism_coverage</t>
        </is>
      </c>
      <c r="BA1" s="6" t="inlineStr">
        <is>
          <t>creative_innovation_research_intensity_score</t>
        </is>
      </c>
      <c r="BB1" s="6" t="inlineStr">
        <is>
          <t>creative_innovation_research_intensity_coverage</t>
        </is>
      </c>
      <c r="BC1" s="6" t="inlineStr">
        <is>
          <t>creative_economic_vitality_productive_context_score</t>
        </is>
      </c>
      <c r="BD1" s="6" t="inlineStr">
        <is>
          <t>creative_economic_vitality_productive_context_coverage</t>
        </is>
      </c>
      <c r="BE1" s="6" t="inlineStr">
        <is>
          <t>creative_administrative_investment_friction_score</t>
        </is>
      </c>
      <c r="BF1" s="6" t="inlineStr">
        <is>
          <t>creative_administrative_investment_friction_coverage</t>
        </is>
      </c>
      <c r="BG1" s="6" t="inlineStr">
        <is>
          <t>creative_pillar_score</t>
        </is>
      </c>
      <c r="BH1" s="6" t="inlineStr">
        <is>
          <t>creative_pillar_coverage</t>
        </is>
      </c>
      <c r="BI1" s="6" t="inlineStr">
        <is>
          <t>overall_weighted_coverage</t>
        </is>
      </c>
      <c r="BJ1" s="6" t="inlineStr">
        <is>
          <t>coverage_grade</t>
        </is>
      </c>
      <c r="BK1" s="6" t="inlineStr">
        <is>
          <t>ranking_status</t>
        </is>
      </c>
      <c r="BL1" s="6" t="inlineStr">
        <is>
          <t>slic_score</t>
        </is>
      </c>
      <c r="BM1" s="6" t="inlineStr">
        <is>
          <t>rank</t>
        </is>
      </c>
      <c r="BN1" s="6" t="inlineStr">
        <is>
          <t>visitor_flow_context_raw</t>
        </is>
      </c>
    </row>
    <row r="2">
      <c r="A2" t="inlineStr">
        <is>
          <t>th-bangkok</t>
        </is>
      </c>
      <c r="B2" t="inlineStr">
        <is>
          <t>Bangkok</t>
        </is>
      </c>
      <c r="C2" t="inlineStr">
        <is>
          <t>Thailand</t>
        </is>
      </c>
      <c r="D2" t="inlineStr">
        <is>
          <t>Southeast Asia</t>
        </is>
      </c>
      <c r="E2" t="inlineStr">
        <is>
          <t>locked</t>
        </is>
      </c>
      <c r="F2" t="inlineStr">
        <is>
          <t>primary</t>
        </is>
      </c>
      <c r="G2" s="11">
        <f>IF(OR(City_Inputs!$M2="",Norm_Stats!$F$2="",Norm_Stats!$G$2="",Norm_Stats!$G$2=Norm_Stats!$F$2),"",MAX(0,MIN(100,100*(MIN(MAX(City_Inputs!$M2,Norm_Stats!$F$2),Norm_Stats!$G$2)-Norm_Stats!$F$2)/(Norm_Stats!$G$2-Norm_Stats!$F$2))))</f>
        <v/>
      </c>
      <c r="H2" s="14">
        <f>IF(G2="","",1)</f>
        <v/>
      </c>
      <c r="I2" s="11">
        <f>IF(OR(City_Inputs!$N2="",Norm_Stats!$F$3="",Norm_Stats!$G$3="",Norm_Stats!$G$3=Norm_Stats!$F$3),"",MAX(0,MIN(100,100*(Norm_Stats!$G$3-MIN(MAX(City_Inputs!$N2,Norm_Stats!$F$3),Norm_Stats!$G$3))/(Norm_Stats!$G$3-Norm_Stats!$F$3))))</f>
        <v/>
      </c>
      <c r="J2" s="14">
        <f>IF(I2="","",1)</f>
        <v/>
      </c>
      <c r="K2" s="11">
        <f>IF(OR(City_Inputs!$P2="",Norm_Stats!$F$4="",Norm_Stats!$G$4="",Norm_Stats!$G$4=Norm_Stats!$F$4),"",MAX(0,MIN(100,100*(Norm_Stats!$G$4-MIN(MAX(City_Inputs!$P2,Norm_Stats!$F$4),Norm_Stats!$G$4))/(Norm_Stats!$G$4-Norm_Stats!$F$4))))</f>
        <v/>
      </c>
      <c r="L2" s="14">
        <f>IF(K2="","",1)</f>
        <v/>
      </c>
      <c r="M2" s="11">
        <f>IF(OR(City_Inputs!$Q2="",Norm_Stats!$F$5="",Norm_Stats!$G$5="",Norm_Stats!$G$5=Norm_Stats!$F$5),"",MAX(0,MIN(100,100*(Norm_Stats!$G$5-MIN(MAX(City_Inputs!$Q2,Norm_Stats!$F$5),Norm_Stats!$G$5))/(Norm_Stats!$G$5-Norm_Stats!$F$5))))</f>
        <v/>
      </c>
      <c r="N2" s="14">
        <f>IF(M2="","",1)</f>
        <v/>
      </c>
      <c r="O2" s="11">
        <f>IF(OR(City_Inputs!$R2="",Norm_Stats!$F$6="",Norm_Stats!$G$6="",Norm_Stats!$G$6=Norm_Stats!$F$6),"",MAX(0,MIN(100,100*(Norm_Stats!$G$6-MIN(MAX(City_Inputs!$R2,Norm_Stats!$F$6),Norm_Stats!$G$6))/(Norm_Stats!$G$6-Norm_Stats!$F$6))))</f>
        <v/>
      </c>
      <c r="P2" s="14">
        <f>IF(O2="","",1)</f>
        <v/>
      </c>
      <c r="Q2" s="15">
        <f>IF((IF(G2="",0,9)+IF(I2="",0,5)+IF(K2="",0,4)+IF(M2="",0,4)+IF(O2="",0,5))=0,"",(IF(G2="",0,G2*9)+IF(I2="",0,I2*5)+IF(K2="",0,K2*4)+IF(M2="",0,M2*4)+IF(O2="",0,O2*5))/(IF(G2="",0,9)+IF(I2="",0,5)+IF(K2="",0,4)+IF(M2="",0,4)+IF(O2="",0,5)))</f>
        <v/>
      </c>
      <c r="R2" s="14">
        <f>IF((IF(H2="",0,9)+IF(J2="",0,5)+IF(L2="",0,4)+IF(N2="",0,4)+IF(P2="",0,5))=0,"",(IF(H2="",0,H2*9)+IF(J2="",0,J2*5)+IF(L2="",0,L2*4)+IF(N2="",0,N2*4)+IF(P2="",0,P2*5))/27)</f>
        <v/>
      </c>
      <c r="S2" s="11">
        <f>IF(OR(City_Inputs!$S2="",Norm_Stats!$F$7="",Norm_Stats!$G$7="",Norm_Stats!$G$7=Norm_Stats!$F$7),"",MAX(0,MIN(100,100*(Norm_Stats!$G$7-MIN(MAX(City_Inputs!$S2,Norm_Stats!$F$7),Norm_Stats!$G$7))/(Norm_Stats!$G$7-Norm_Stats!$F$7))))</f>
        <v/>
      </c>
      <c r="T2" s="14">
        <f>IF(S2="","",1)</f>
        <v/>
      </c>
      <c r="U2" s="11">
        <f>IF(OR(City_Inputs!$T2="",Norm_Stats!$F$8="",Norm_Stats!$G$8="",Norm_Stats!$G$8=Norm_Stats!$F$8),"",MAX(0,MIN(100,100*(MIN(MAX(City_Inputs!$T2,Norm_Stats!$F$8),Norm_Stats!$G$8)-Norm_Stats!$F$8)/(Norm_Stats!$G$8-Norm_Stats!$F$8))))</f>
        <v/>
      </c>
      <c r="V2" s="14">
        <f>IF(U2="","",1)</f>
        <v/>
      </c>
      <c r="W2" s="11">
        <f>IF(OR(City_Inputs!$U2="",Norm_Stats!$F$9="",Norm_Stats!$G$9="",Norm_Stats!$G$9=Norm_Stats!$F$9),"",MAX(0,MIN(100,100*(Norm_Stats!$G$9-MIN(MAX(City_Inputs!$U2,Norm_Stats!$F$9),Norm_Stats!$G$9))/(Norm_Stats!$G$9-Norm_Stats!$F$9))))</f>
        <v/>
      </c>
      <c r="X2" s="14">
        <f>IF(W2="","",1)</f>
        <v/>
      </c>
      <c r="Y2" s="11">
        <f>IF(OR(City_Inputs!$V2="",Norm_Stats!$F$10="",Norm_Stats!$G$10="",Norm_Stats!$G$10=Norm_Stats!$F$10),"",MAX(0,MIN(100,100*(MIN(MAX(City_Inputs!$V2,Norm_Stats!$F$10),Norm_Stats!$G$10)-Norm_Stats!$F$10)/(Norm_Stats!$G$10-Norm_Stats!$F$10))))</f>
        <v/>
      </c>
      <c r="Z2" s="14">
        <f>IF(Y2="","",1)</f>
        <v/>
      </c>
      <c r="AA2" s="11">
        <f>IF(OR(City_Inputs!$W2="",Norm_Stats!$F$11="",Norm_Stats!$G$11="",Norm_Stats!$G$11=Norm_Stats!$F$11),"",MAX(0,MIN(100,100*(MIN(MAX(City_Inputs!$W2,Norm_Stats!$F$11),Norm_Stats!$G$11)-Norm_Stats!$F$11)/(Norm_Stats!$G$11-Norm_Stats!$F$11))))</f>
        <v/>
      </c>
      <c r="AB2" s="14">
        <f>IF(AA2="","",1)</f>
        <v/>
      </c>
      <c r="AC2" s="11">
        <f>IF(OR(City_Inputs!$X2="",Norm_Stats!$F$12="",Norm_Stats!$G$12="",Norm_Stats!$G$12=Norm_Stats!$F$12),"",MAX(0,MIN(100,100*(MIN(MAX(City_Inputs!$X2,Norm_Stats!$F$12),Norm_Stats!$G$12)-Norm_Stats!$F$12)/(Norm_Stats!$G$12-Norm_Stats!$F$12))))</f>
        <v/>
      </c>
      <c r="AD2" s="11">
        <f>IF(AC2="","",1)</f>
        <v/>
      </c>
      <c r="AE2" s="15">
        <f>IF((IF(S2="",0,5)+IF(U2="",0,5)+IF(W2="",0,4)+IF(Y2="",0,4)+IF(AA2="",0,4)+IF(AC2="",0,5))=0,"",(IF(S2="",0,S2*5)+IF(U2="",0,U2*5)+IF(W2="",0,W2*4)+IF(Y2="",0,Y2*4)+IF(AA2="",0,AA2*4)+IF(AC2="",0,AC2*5))/(IF(S2="",0,5)+IF(U2="",0,5)+IF(W2="",0,4)+IF(Y2="",0,4)+IF(AA2="",0,4)+IF(AC2="",0,5)))</f>
        <v/>
      </c>
      <c r="AF2" s="14">
        <f>IF((IF(T2="",0,5)+IF(V2="",0,5)+IF(X2="",0,4)+IF(Z2="",0,4)+IF(AB2="",0,4)+IF(AD2="",0,5))=0,"",(IF(T2="",0,T2*5)+IF(V2="",0,V2*5)+IF(X2="",0,X2*4)+IF(Z2="",0,Z2*4)+IF(AB2="",0,AB2*4)+IF(AD2="",0,AD2*5))/27)</f>
        <v/>
      </c>
      <c r="AG2" s="11">
        <f>IF(OR(City_Inputs!$Y2="",Norm_Stats!$F$13="",Norm_Stats!$G$13="",Norm_Stats!$G$13=Norm_Stats!$F$13),"",MAX(0,MIN(100,100*(MIN(MAX(City_Inputs!$Y2,Norm_Stats!$F$13),Norm_Stats!$G$13)-Norm_Stats!$F$13)/(Norm_Stats!$G$13-Norm_Stats!$F$13))))</f>
        <v/>
      </c>
      <c r="AH2" s="14">
        <f>IF(AG2="","",1)</f>
        <v/>
      </c>
      <c r="AI2" s="11">
        <f>IF(OR(City_Inputs!$Z2="",Norm_Stats!$F$14="",Norm_Stats!$G$14="",Norm_Stats!$G$14=Norm_Stats!$F$14),"",MAX(0,MIN(100,100*(MIN(MAX(City_Inputs!$Z2,Norm_Stats!$F$14),Norm_Stats!$G$14)-Norm_Stats!$F$14)/(Norm_Stats!$G$14-Norm_Stats!$F$14))))</f>
        <v/>
      </c>
      <c r="AJ2" s="14">
        <f>IF(AI2="","",1)</f>
        <v/>
      </c>
      <c r="AK2" s="11">
        <f>IF((IF((IF(OR(City_Inputs!$AA2="",Norm_Stats!$F$15="",Norm_Stats!$G$15="",Norm_Stats!$G$15=Norm_Stats!$F$15),"",MAX(0,MIN(100,100*(MIN(MAX(City_Inputs!$AA2,Norm_Stats!$F$15),Norm_Stats!$G$15)-Norm_Stats!$F$15)/(Norm_Stats!$G$15-Norm_Stats!$F$15)))))="",0,0.7)+IF((IF(OR(City_Inputs!$AL2="",Norm_Stats!$F$16="",Norm_Stats!$G$16="",Norm_Stats!$G$16=Norm_Stats!$F$16),"",MAX(0,MIN(100,100*(Norm_Stats!$G$16-MIN(MAX(City_Inputs!$AL2,Norm_Stats!$F$16),Norm_Stats!$G$16))/(Norm_Stats!$G$16-Norm_Stats!$F$16)))))="",0,0.3))=0,"",(IF((IF(OR(City_Inputs!$AA2="",Norm_Stats!$F$15="",Norm_Stats!$G$15="",Norm_Stats!$G$15=Norm_Stats!$F$15),"",MAX(0,MIN(100,100*(MIN(MAX(City_Inputs!$AA2,Norm_Stats!$F$15),Norm_Stats!$G$15)-Norm_Stats!$F$15)/(Norm_Stats!$G$15-Norm_Stats!$F$15)))))="",0,(IF(OR(City_Inputs!$AA2="",Norm_Stats!$F$15="",Norm_Stats!$G$15="",Norm_Stats!$G$15=Norm_Stats!$F$15),"",MAX(0,MIN(100,100*(MIN(MAX(City_Inputs!$AA2,Norm_Stats!$F$15),Norm_Stats!$G$15)-Norm_Stats!$F$15)/(Norm_Stats!$G$15-Norm_Stats!$F$15)))))*0.7)+IF((IF(OR(City_Inputs!$AL2="",Norm_Stats!$F$16="",Norm_Stats!$G$16="",Norm_Stats!$G$16=Norm_Stats!$F$16),"",MAX(0,MIN(100,100*(Norm_Stats!$G$16-MIN(MAX(City_Inputs!$AL2,Norm_Stats!$F$16),Norm_Stats!$G$16))/(Norm_Stats!$G$16-Norm_Stats!$F$16)))))="",0,(IF(OR(City_Inputs!$AL2="",Norm_Stats!$F$16="",Norm_Stats!$G$16="",Norm_Stats!$G$16=Norm_Stats!$F$16),"",MAX(0,MIN(100,100*(Norm_Stats!$G$16-MIN(MAX(City_Inputs!$AL2,Norm_Stats!$F$16),Norm_Stats!$G$16))/(Norm_Stats!$G$16-Norm_Stats!$F$16)))))*0.3))/(IF((IF(OR(City_Inputs!$AA2="",Norm_Stats!$F$15="",Norm_Stats!$G$15="",Norm_Stats!$G$15=Norm_Stats!$F$15),"",MAX(0,MIN(100,100*(MIN(MAX(City_Inputs!$AA2,Norm_Stats!$F$15),Norm_Stats!$G$15)-Norm_Stats!$F$15)/(Norm_Stats!$G$15-Norm_Stats!$F$15)))))="",0,0.7)+IF((IF(OR(City_Inputs!$AL2="",Norm_Stats!$F$16="",Norm_Stats!$G$16="",Norm_Stats!$G$16=Norm_Stats!$F$16),"",MAX(0,MIN(100,100*(Norm_Stats!$G$16-MIN(MAX(City_Inputs!$AL2,Norm_Stats!$F$16),Norm_Stats!$G$16))/(Norm_Stats!$G$16-Norm_Stats!$F$16)))))="",0,0.3)))</f>
        <v/>
      </c>
      <c r="AL2" s="14">
        <f>IF((IF((IF(OR(City_Inputs!$AA2="",Norm_Stats!$F$15="",Norm_Stats!$G$15="",Norm_Stats!$G$15=Norm_Stats!$F$15),"",MAX(0,MIN(100,100*(MIN(MAX(City_Inputs!$AA2,Norm_Stats!$F$15),Norm_Stats!$G$15)-Norm_Stats!$F$15)/(Norm_Stats!$G$15-Norm_Stats!$F$15)))))="",0,0.7)+IF((IF(OR(City_Inputs!$AL2="",Norm_Stats!$F$16="",Norm_Stats!$G$16="",Norm_Stats!$G$16=Norm_Stats!$F$16),"",MAX(0,MIN(100,100*(Norm_Stats!$G$16-MIN(MAX(City_Inputs!$AL2,Norm_Stats!$F$16),Norm_Stats!$G$16))/(Norm_Stats!$G$16-Norm_Stats!$F$16)))))="",0,0.3))=0,"",(IF((IF(OR(City_Inputs!$AA2="",Norm_Stats!$F$15="",Norm_Stats!$G$15="",Norm_Stats!$G$15=Norm_Stats!$F$15),"",MAX(0,MIN(100,100*(MIN(MAX(City_Inputs!$AA2,Norm_Stats!$F$15),Norm_Stats!$G$15)-Norm_Stats!$F$15)/(Norm_Stats!$G$15-Norm_Stats!$F$15)))))="",0,0.7)+IF((IF(OR(City_Inputs!$AL2="",Norm_Stats!$F$16="",Norm_Stats!$G$16="",Norm_Stats!$G$16=Norm_Stats!$F$16),"",MAX(0,MIN(100,100*(Norm_Stats!$G$16-MIN(MAX(City_Inputs!$AL2,Norm_Stats!$F$16),Norm_Stats!$G$16))/(Norm_Stats!$G$16-Norm_Stats!$F$16)))))="",0,0.3)))</f>
        <v/>
      </c>
      <c r="AM2" s="15">
        <f>IF((IF(AG2="",0,8)+IF(AI2="",0,6)+IF(AK2="",0,4))=0,"",(IF(AG2="",0,AG2*8)+IF(AI2="",0,AI2*6)+IF(AK2="",0,AK2*4))/(IF(AG2="",0,8)+IF(AI2="",0,6)+IF(AK2="",0,4)))</f>
        <v/>
      </c>
      <c r="AN2" s="14">
        <f>IF((IF(AH2="",0,8)+IF(AJ2="",0,6)+IF(AL2="",0,4))=0,"",(IF(AH2="",0,AH2*8)+IF(AJ2="",0,AJ2*6)+IF(AL2="",0,AL2*4))/18)</f>
        <v/>
      </c>
      <c r="AO2" s="11">
        <f>IF(OR(City_Inputs!$AB2="",Norm_Stats!$F$17="",Norm_Stats!$G$17="",Norm_Stats!$G$17=Norm_Stats!$F$17),"",MAX(0,MIN(100,100*(MIN(MAX(City_Inputs!$AB2,Norm_Stats!$F$17),Norm_Stats!$G$17)-Norm_Stats!$F$17)/(Norm_Stats!$G$17-Norm_Stats!$F$17))))</f>
        <v/>
      </c>
      <c r="AP2" s="14">
        <f>IF(AO2="","",1)</f>
        <v/>
      </c>
      <c r="AQ2" s="11">
        <f>IF(OR(City_Inputs!$AC2="",Norm_Stats!$F$18="",Norm_Stats!$G$18="",Norm_Stats!$G$18=Norm_Stats!$F$18),"",MAX(0,MIN(100,100*(MIN(MAX(City_Inputs!$AC2,Norm_Stats!$F$18),Norm_Stats!$G$18)-Norm_Stats!$F$18)/(Norm_Stats!$G$18-Norm_Stats!$F$18))))</f>
        <v/>
      </c>
      <c r="AR2" s="14">
        <f>IF(AQ2="","",1)</f>
        <v/>
      </c>
      <c r="AS2" s="11">
        <f>IF(OR(City_Inputs!$AD2="",Norm_Stats!$F$19="",Norm_Stats!$G$19="",Norm_Stats!$G$19=Norm_Stats!$F$19),"",MAX(0,MIN(100,100*(MIN(MAX(City_Inputs!$AD2,Norm_Stats!$F$19),Norm_Stats!$G$19)-Norm_Stats!$F$19)/(Norm_Stats!$G$19-Norm_Stats!$F$19))))</f>
        <v/>
      </c>
      <c r="AT2" s="14">
        <f>IF(AS2="","",1)</f>
        <v/>
      </c>
      <c r="AU2" s="11">
        <f>IF(OR(City_Inputs!$BJ2="",Norm_Stats!$F$26="",Norm_Stats!$G$26="",Norm_Stats!$G$26=Norm_Stats!$F$26),"",MAX(0,MIN(100,100*(MIN(MAX(City_Inputs!$BJ2,Norm_Stats!$F$26),Norm_Stats!$G$26)-Norm_Stats!$F$26)/(Norm_Stats!$G$26-Norm_Stats!$F$26))))</f>
        <v/>
      </c>
      <c r="AV2" s="11">
        <f>IF(AU2="","",1)</f>
        <v/>
      </c>
      <c r="AW2" s="15">
        <f>IF((IF(AO2="",0,5)+IF(AQ2="",0,5)+IF(AS2="",0,5)+IF(AU2="",0,4))=0,"",(IF(AO2="",0,AO2*5)+IF(AQ2="",0,AQ2*5)+IF(AS2="",0,AS2*5)+IF(AU2="",0,AU2*4))/(IF(AO2="",0,5)+IF(AQ2="",0,5)+IF(AS2="",0,5)+IF(AU2="",0,4)))</f>
        <v/>
      </c>
      <c r="AX2" s="14">
        <f>IF((IF(AP2="",0,5)+IF(AR2="",0,5)+IF(AT2="",0,5)+IF(AV2="",0,4))=0,"",(IF(AP2="",0,AP2*5)+IF(AR2="",0,AR2*5)+IF(AT2="",0,AT2*5)+IF(AV2="",0,AV2*4))/19)</f>
        <v/>
      </c>
      <c r="AY2" s="11">
        <f>IF(OR(City_Inputs!$AE2="",Norm_Stats!$F$20="",Norm_Stats!$G$20="",Norm_Stats!$G$20=Norm_Stats!$F$20),"",MAX(0,MIN(100,100*(MIN(MAX(City_Inputs!$AE2,Norm_Stats!$F$20),Norm_Stats!$G$20)-Norm_Stats!$F$20)/(Norm_Stats!$G$20-Norm_Stats!$F$20))))</f>
        <v/>
      </c>
      <c r="AZ2" s="14">
        <f>IF(AY2="","",1)</f>
        <v/>
      </c>
      <c r="BA2" s="11">
        <f>IF(OR(City_Inputs!$AF2="",Norm_Stats!$F$21="",Norm_Stats!$G$21="",Norm_Stats!$G$21=Norm_Stats!$F$21),"",MAX(0,MIN(100,100*(MIN(MAX(City_Inputs!$AF2,Norm_Stats!$F$21),Norm_Stats!$G$21)-Norm_Stats!$F$21)/(Norm_Stats!$G$21-Norm_Stats!$F$21))))</f>
        <v/>
      </c>
      <c r="BB2" s="14">
        <f>IF(BA2="","",1)</f>
        <v/>
      </c>
      <c r="BC2" s="11">
        <f>IF((IF((IF(OR(City_Inputs!$AG2="",Norm_Stats!$F$22="",Norm_Stats!$G$22="",Norm_Stats!$G$22=Norm_Stats!$F$22),"",MAX(0,MIN(100,100*(MIN(MAX(City_Inputs!$AG2,Norm_Stats!$F$22),Norm_Stats!$G$22)-Norm_Stats!$F$22)/(Norm_Stats!$G$22-Norm_Stats!$F$22)))))="",0,0.5)+IF((IF(OR(City_Inputs!$AJ2="",Norm_Stats!$F$23="",Norm_Stats!$G$23="",Norm_Stats!$G$23=Norm_Stats!$F$23),"",MAX(0,MIN(100,100*(MIN(MAX(City_Inputs!$AJ2,Norm_Stats!$F$23),Norm_Stats!$G$23)-Norm_Stats!$F$23)/(Norm_Stats!$G$23-Norm_Stats!$F$23)))))="",0,0.3)+IF((IF(OR(City_Inputs!$AK2="",Norm_Stats!$F$24="",Norm_Stats!$G$24="",Norm_Stats!$G$24=Norm_Stats!$F$24),"",MAX(0,MIN(100,100*(MIN(MAX(City_Inputs!$AK2,Norm_Stats!$F$24),Norm_Stats!$G$24)-Norm_Stats!$F$24)/(Norm_Stats!$G$24-Norm_Stats!$F$24)))))="",0,0.2))=0,"",(IF((IF(OR(City_Inputs!$AG2="",Norm_Stats!$F$22="",Norm_Stats!$G$22="",Norm_Stats!$G$22=Norm_Stats!$F$22),"",MAX(0,MIN(100,100*(MIN(MAX(City_Inputs!$AG2,Norm_Stats!$F$22),Norm_Stats!$G$22)-Norm_Stats!$F$22)/(Norm_Stats!$G$22-Norm_Stats!$F$22)))))="",0,(IF(OR(City_Inputs!$AG2="",Norm_Stats!$F$22="",Norm_Stats!$G$22="",Norm_Stats!$G$22=Norm_Stats!$F$22),"",MAX(0,MIN(100,100*(MIN(MAX(City_Inputs!$AG2,Norm_Stats!$F$22),Norm_Stats!$G$22)-Norm_Stats!$F$22)/(Norm_Stats!$G$22-Norm_Stats!$F$22)))))*0.5)+IF((IF(OR(City_Inputs!$AJ2="",Norm_Stats!$F$23="",Norm_Stats!$G$23="",Norm_Stats!$G$23=Norm_Stats!$F$23),"",MAX(0,MIN(100,100*(MIN(MAX(City_Inputs!$AJ2,Norm_Stats!$F$23),Norm_Stats!$G$23)-Norm_Stats!$F$23)/(Norm_Stats!$G$23-Norm_Stats!$F$23)))))="",0,(IF(OR(City_Inputs!$AJ2="",Norm_Stats!$F$23="",Norm_Stats!$G$23="",Norm_Stats!$G$23=Norm_Stats!$F$23),"",MAX(0,MIN(100,100*(MIN(MAX(City_Inputs!$AJ2,Norm_Stats!$F$23),Norm_Stats!$G$23)-Norm_Stats!$F$23)/(Norm_Stats!$G$23-Norm_Stats!$F$23)))))*0.3)+IF((IF(OR(City_Inputs!$AK2="",Norm_Stats!$F$24="",Norm_Stats!$G$24="",Norm_Stats!$G$24=Norm_Stats!$F$24),"",MAX(0,MIN(100,100*(MIN(MAX(City_Inputs!$AK2,Norm_Stats!$F$24),Norm_Stats!$G$24)-Norm_Stats!$F$24)/(Norm_Stats!$G$24-Norm_Stats!$F$24)))))="",0,(IF(OR(City_Inputs!$AK2="",Norm_Stats!$F$24="",Norm_Stats!$G$24="",Norm_Stats!$G$24=Norm_Stats!$F$24),"",MAX(0,MIN(100,100*(MIN(MAX(City_Inputs!$AK2,Norm_Stats!$F$24),Norm_Stats!$G$24)-Norm_Stats!$F$24)/(Norm_Stats!$G$24-Norm_Stats!$F$24)))))*0.2))/(IF((IF(OR(City_Inputs!$AG2="",Norm_Stats!$F$22="",Norm_Stats!$G$22="",Norm_Stats!$G$22=Norm_Stats!$F$22),"",MAX(0,MIN(100,100*(MIN(MAX(City_Inputs!$AG2,Norm_Stats!$F$22),Norm_Stats!$G$22)-Norm_Stats!$F$22)/(Norm_Stats!$G$22-Norm_Stats!$F$22)))))="",0,0.5)+IF((IF(OR(City_Inputs!$AJ2="",Norm_Stats!$F$23="",Norm_Stats!$G$23="",Norm_Stats!$G$23=Norm_Stats!$F$23),"",MAX(0,MIN(100,100*(MIN(MAX(City_Inputs!$AJ2,Norm_Stats!$F$23),Norm_Stats!$G$23)-Norm_Stats!$F$23)/(Norm_Stats!$G$23-Norm_Stats!$F$23)))))="",0,0.3)+IF((IF(OR(City_Inputs!$AK2="",Norm_Stats!$F$24="",Norm_Stats!$G$24="",Norm_Stats!$G$24=Norm_Stats!$F$24),"",MAX(0,MIN(100,100*(MIN(MAX(City_Inputs!$AK2,Norm_Stats!$F$24),Norm_Stats!$G$24)-Norm_Stats!$F$24)/(Norm_Stats!$G$24-Norm_Stats!$F$24)))))="",0,0.2)))</f>
        <v/>
      </c>
      <c r="BD2" s="14">
        <f>IF((IF((IF(OR(City_Inputs!$AG2="",Norm_Stats!$F$22="",Norm_Stats!$G$22="",Norm_Stats!$G$22=Norm_Stats!$F$22),"",MAX(0,MIN(100,100*(MIN(MAX(City_Inputs!$AG2,Norm_Stats!$F$22),Norm_Stats!$G$22)-Norm_Stats!$F$22)/(Norm_Stats!$G$22-Norm_Stats!$F$22)))))="",0,0.5)+IF((IF(OR(City_Inputs!$AJ2="",Norm_Stats!$F$23="",Norm_Stats!$G$23="",Norm_Stats!$G$23=Norm_Stats!$F$23),"",MAX(0,MIN(100,100*(MIN(MAX(City_Inputs!$AJ2,Norm_Stats!$F$23),Norm_Stats!$G$23)-Norm_Stats!$F$23)/(Norm_Stats!$G$23-Norm_Stats!$F$23)))))="",0,0.3)+IF((IF(OR(City_Inputs!$AK2="",Norm_Stats!$F$24="",Norm_Stats!$G$24="",Norm_Stats!$G$24=Norm_Stats!$F$24),"",MAX(0,MIN(100,100*(MIN(MAX(City_Inputs!$AK2,Norm_Stats!$F$24),Norm_Stats!$G$24)-Norm_Stats!$F$24)/(Norm_Stats!$G$24-Norm_Stats!$F$24)))))="",0,0.2))=0,"",(IF((IF(OR(City_Inputs!$AG2="",Norm_Stats!$F$22="",Norm_Stats!$G$22="",Norm_Stats!$G$22=Norm_Stats!$F$22),"",MAX(0,MIN(100,100*(MIN(MAX(City_Inputs!$AG2,Norm_Stats!$F$22),Norm_Stats!$G$22)-Norm_Stats!$F$22)/(Norm_Stats!$G$22-Norm_Stats!$F$22)))))="",0,0.5)+IF((IF(OR(City_Inputs!$AJ2="",Norm_Stats!$F$23="",Norm_Stats!$G$23="",Norm_Stats!$G$23=Norm_Stats!$F$23),"",MAX(0,MIN(100,100*(MIN(MAX(City_Inputs!$AJ2,Norm_Stats!$F$23),Norm_Stats!$G$23)-Norm_Stats!$F$23)/(Norm_Stats!$G$23-Norm_Stats!$F$23)))))="",0,0.3)+IF((IF(OR(City_Inputs!$AK2="",Norm_Stats!$F$24="",Norm_Stats!$G$24="",Norm_Stats!$G$24=Norm_Stats!$F$24),"",MAX(0,MIN(100,100*(MIN(MAX(City_Inputs!$AK2,Norm_Stats!$F$24),Norm_Stats!$G$24)-Norm_Stats!$F$24)/(Norm_Stats!$G$24-Norm_Stats!$F$24)))))="",0,0.2)))</f>
        <v/>
      </c>
      <c r="BE2" s="11">
        <f>IF(OR(City_Inputs!$AH2="",Norm_Stats!$F$25="",Norm_Stats!$G$25="",Norm_Stats!$G$25=Norm_Stats!$F$25),"",MAX(0,MIN(100,100*(Norm_Stats!$G$25-MIN(MAX(City_Inputs!$AH2,Norm_Stats!$F$25),Norm_Stats!$G$25))/(Norm_Stats!$G$25-Norm_Stats!$F$25))))</f>
        <v/>
      </c>
      <c r="BF2" s="14">
        <f>IF(BE2="","",1)</f>
        <v/>
      </c>
      <c r="BG2" s="15">
        <f>IF((IF(AY2="",0,6)+IF(BA2="",0,5)+IF(BC2="",0,5)+IF(BE2="",0,4))=0,"",(IF(AY2="",0,AY2*6)+IF(BA2="",0,BA2*5)+IF(BC2="",0,BC2*5)+IF(BE2="",0,BE2*4))/(IF(AY2="",0,6)+IF(BA2="",0,5)+IF(BC2="",0,5)+IF(BE2="",0,4)))</f>
        <v/>
      </c>
      <c r="BH2" s="14">
        <f>IF((IF(AZ2="",0,6)+IF(BB2="",0,5)+IF(BD2="",0,5)+IF(BF2="",0,4))=0,"",(IF(AZ2="",0,AZ2*6)+IF(BB2="",0,BB2*5)+IF(BD2="",0,BD2*5)+IF(BF2="",0,BF2*4))/20)</f>
        <v/>
      </c>
      <c r="BI2" s="14">
        <f>IF(AND(R2="",AF2="",AN2="",AX2="",BH2=""),"",((R2*25)+(AF2*22)+(AN2*18)+(AX2*15)+(BH2*20))/100)</f>
        <v/>
      </c>
      <c r="BJ2" s="11">
        <f>IF(BI2="","",IF(BI2&gt;=0.75,"A",IF(BI2&gt;=0.5,"B",IF(BI2&gt;=0.35,"C","Watchlist"))))</f>
        <v/>
      </c>
      <c r="BK2" s="11">
        <f>IF(OR(BI2="",BI2&lt;0.5,R2="",R2&lt;0.35,AF2="",AF2&lt;0.35,AN2="",AN2&lt;0.35,AX2="",AX2&lt;0.35,BH2="",BH2&lt;0.35),"Watchlist","Ranked")</f>
        <v/>
      </c>
      <c r="BL2" s="15">
        <f>IF(AND(Q2="",AE2="",AM2="",AW2="",BG2=""),"",(IF(Q2="",0,Q2*25)+IF(AE2="",0,AE2*22)+IF(AM2="",0,AM2*18)+IF(AW2="",0,AW2*15)+IF(BG2="",0,BG2*20))/(IF(Q2="",0,25)+IF(AE2="",0,22)+IF(AM2="",0,18)+IF(AW2="",0,15)+IF(BG2="",0,20)))</f>
        <v/>
      </c>
      <c r="BM2" s="11">
        <f>IF(BK2="Ranked",1+COUNTIFS($BK$2:$BK$158,"Ranked",$BL$2:$BL$158,"&gt;"&amp;BL2),"")</f>
        <v/>
      </c>
      <c r="BN2" s="11">
        <f>City_Inputs!$AI2</f>
        <v/>
      </c>
    </row>
    <row r="3">
      <c r="A3" t="inlineStr">
        <is>
          <t>sg-singapore</t>
        </is>
      </c>
      <c r="B3" t="inlineStr">
        <is>
          <t>Singapore</t>
        </is>
      </c>
      <c r="C3" t="inlineStr">
        <is>
          <t>Singapore</t>
        </is>
      </c>
      <c r="D3" t="inlineStr">
        <is>
          <t>Southeast Asia</t>
        </is>
      </c>
      <c r="E3" t="inlineStr">
        <is>
          <t>locked</t>
        </is>
      </c>
      <c r="F3" t="inlineStr">
        <is>
          <t>primary</t>
        </is>
      </c>
      <c r="G3" s="11">
        <f>IF(OR(City_Inputs!$M3="",Norm_Stats!$F$2="",Norm_Stats!$G$2="",Norm_Stats!$G$2=Norm_Stats!$F$2),"",MAX(0,MIN(100,100*(MIN(MAX(City_Inputs!$M3,Norm_Stats!$F$2),Norm_Stats!$G$2)-Norm_Stats!$F$2)/(Norm_Stats!$G$2-Norm_Stats!$F$2))))</f>
        <v/>
      </c>
      <c r="H3" s="14">
        <f>IF(G3="","",1)</f>
        <v/>
      </c>
      <c r="I3" s="11">
        <f>IF(OR(City_Inputs!$N3="",Norm_Stats!$F$3="",Norm_Stats!$G$3="",Norm_Stats!$G$3=Norm_Stats!$F$3),"",MAX(0,MIN(100,100*(Norm_Stats!$G$3-MIN(MAX(City_Inputs!$N3,Norm_Stats!$F$3),Norm_Stats!$G$3))/(Norm_Stats!$G$3-Norm_Stats!$F$3))))</f>
        <v/>
      </c>
      <c r="J3" s="14">
        <f>IF(I3="","",1)</f>
        <v/>
      </c>
      <c r="K3" s="11">
        <f>IF(OR(City_Inputs!$P3="",Norm_Stats!$F$4="",Norm_Stats!$G$4="",Norm_Stats!$G$4=Norm_Stats!$F$4),"",MAX(0,MIN(100,100*(Norm_Stats!$G$4-MIN(MAX(City_Inputs!$P3,Norm_Stats!$F$4),Norm_Stats!$G$4))/(Norm_Stats!$G$4-Norm_Stats!$F$4))))</f>
        <v/>
      </c>
      <c r="L3" s="14">
        <f>IF(K3="","",1)</f>
        <v/>
      </c>
      <c r="M3" s="11">
        <f>IF(OR(City_Inputs!$Q3="",Norm_Stats!$F$5="",Norm_Stats!$G$5="",Norm_Stats!$G$5=Norm_Stats!$F$5),"",MAX(0,MIN(100,100*(Norm_Stats!$G$5-MIN(MAX(City_Inputs!$Q3,Norm_Stats!$F$5),Norm_Stats!$G$5))/(Norm_Stats!$G$5-Norm_Stats!$F$5))))</f>
        <v/>
      </c>
      <c r="N3" s="14">
        <f>IF(M3="","",1)</f>
        <v/>
      </c>
      <c r="O3" s="11">
        <f>IF(OR(City_Inputs!$R3="",Norm_Stats!$F$6="",Norm_Stats!$G$6="",Norm_Stats!$G$6=Norm_Stats!$F$6),"",MAX(0,MIN(100,100*(Norm_Stats!$G$6-MIN(MAX(City_Inputs!$R3,Norm_Stats!$F$6),Norm_Stats!$G$6))/(Norm_Stats!$G$6-Norm_Stats!$F$6))))</f>
        <v/>
      </c>
      <c r="P3" s="14">
        <f>IF(O3="","",1)</f>
        <v/>
      </c>
      <c r="Q3" s="15">
        <f>IF((IF(G3="",0,9)+IF(I3="",0,5)+IF(K3="",0,4)+IF(M3="",0,4)+IF(O3="",0,5))=0,"",(IF(G3="",0,G3*9)+IF(I3="",0,I3*5)+IF(K3="",0,K3*4)+IF(M3="",0,M3*4)+IF(O3="",0,O3*5))/(IF(G3="",0,9)+IF(I3="",0,5)+IF(K3="",0,4)+IF(M3="",0,4)+IF(O3="",0,5)))</f>
        <v/>
      </c>
      <c r="R3" s="14">
        <f>IF((IF(H3="",0,9)+IF(J3="",0,5)+IF(L3="",0,4)+IF(N3="",0,4)+IF(P3="",0,5))=0,"",(IF(H3="",0,H3*9)+IF(J3="",0,J3*5)+IF(L3="",0,L3*4)+IF(N3="",0,N3*4)+IF(P3="",0,P3*5))/27)</f>
        <v/>
      </c>
      <c r="S3" s="11">
        <f>IF(OR(City_Inputs!$S3="",Norm_Stats!$F$7="",Norm_Stats!$G$7="",Norm_Stats!$G$7=Norm_Stats!$F$7),"",MAX(0,MIN(100,100*(Norm_Stats!$G$7-MIN(MAX(City_Inputs!$S3,Norm_Stats!$F$7),Norm_Stats!$G$7))/(Norm_Stats!$G$7-Norm_Stats!$F$7))))</f>
        <v/>
      </c>
      <c r="T3" s="14">
        <f>IF(S3="","",1)</f>
        <v/>
      </c>
      <c r="U3" s="11">
        <f>IF(OR(City_Inputs!$T3="",Norm_Stats!$F$8="",Norm_Stats!$G$8="",Norm_Stats!$G$8=Norm_Stats!$F$8),"",MAX(0,MIN(100,100*(MIN(MAX(City_Inputs!$T3,Norm_Stats!$F$8),Norm_Stats!$G$8)-Norm_Stats!$F$8)/(Norm_Stats!$G$8-Norm_Stats!$F$8))))</f>
        <v/>
      </c>
      <c r="V3" s="14">
        <f>IF(U3="","",1)</f>
        <v/>
      </c>
      <c r="W3" s="11">
        <f>IF(OR(City_Inputs!$U3="",Norm_Stats!$F$9="",Norm_Stats!$G$9="",Norm_Stats!$G$9=Norm_Stats!$F$9),"",MAX(0,MIN(100,100*(Norm_Stats!$G$9-MIN(MAX(City_Inputs!$U3,Norm_Stats!$F$9),Norm_Stats!$G$9))/(Norm_Stats!$G$9-Norm_Stats!$F$9))))</f>
        <v/>
      </c>
      <c r="X3" s="14">
        <f>IF(W3="","",1)</f>
        <v/>
      </c>
      <c r="Y3" s="11">
        <f>IF(OR(City_Inputs!$V3="",Norm_Stats!$F$10="",Norm_Stats!$G$10="",Norm_Stats!$G$10=Norm_Stats!$F$10),"",MAX(0,MIN(100,100*(MIN(MAX(City_Inputs!$V3,Norm_Stats!$F$10),Norm_Stats!$G$10)-Norm_Stats!$F$10)/(Norm_Stats!$G$10-Norm_Stats!$F$10))))</f>
        <v/>
      </c>
      <c r="Z3" s="14">
        <f>IF(Y3="","",1)</f>
        <v/>
      </c>
      <c r="AA3" s="11">
        <f>IF(OR(City_Inputs!$W3="",Norm_Stats!$F$11="",Norm_Stats!$G$11="",Norm_Stats!$G$11=Norm_Stats!$F$11),"",MAX(0,MIN(100,100*(MIN(MAX(City_Inputs!$W3,Norm_Stats!$F$11),Norm_Stats!$G$11)-Norm_Stats!$F$11)/(Norm_Stats!$G$11-Norm_Stats!$F$11))))</f>
        <v/>
      </c>
      <c r="AB3" s="14">
        <f>IF(AA3="","",1)</f>
        <v/>
      </c>
      <c r="AC3" s="11">
        <f>IF(OR(City_Inputs!$X3="",Norm_Stats!$F$12="",Norm_Stats!$G$12="",Norm_Stats!$G$12=Norm_Stats!$F$12),"",MAX(0,MIN(100,100*(MIN(MAX(City_Inputs!$X3,Norm_Stats!$F$12),Norm_Stats!$G$12)-Norm_Stats!$F$12)/(Norm_Stats!$G$12-Norm_Stats!$F$12))))</f>
        <v/>
      </c>
      <c r="AD3" s="11">
        <f>IF(AC3="","",1)</f>
        <v/>
      </c>
      <c r="AE3" s="15">
        <f>IF((IF(S3="",0,5)+IF(U3="",0,5)+IF(W3="",0,4)+IF(Y3="",0,4)+IF(AA3="",0,4)+IF(AC3="",0,5))=0,"",(IF(S3="",0,S3*5)+IF(U3="",0,U3*5)+IF(W3="",0,W3*4)+IF(Y3="",0,Y3*4)+IF(AA3="",0,AA3*4)+IF(AC3="",0,AC3*5))/(IF(S3="",0,5)+IF(U3="",0,5)+IF(W3="",0,4)+IF(Y3="",0,4)+IF(AA3="",0,4)+IF(AC3="",0,5)))</f>
        <v/>
      </c>
      <c r="AF3" s="14">
        <f>IF((IF(T3="",0,5)+IF(V3="",0,5)+IF(X3="",0,4)+IF(Z3="",0,4)+IF(AB3="",0,4)+IF(AD3="",0,5))=0,"",(IF(T3="",0,T3*5)+IF(V3="",0,V3*5)+IF(X3="",0,X3*4)+IF(Z3="",0,Z3*4)+IF(AB3="",0,AB3*4)+IF(AD3="",0,AD3*5))/27)</f>
        <v/>
      </c>
      <c r="AG3" s="11">
        <f>IF(OR(City_Inputs!$Y3="",Norm_Stats!$F$13="",Norm_Stats!$G$13="",Norm_Stats!$G$13=Norm_Stats!$F$13),"",MAX(0,MIN(100,100*(MIN(MAX(City_Inputs!$Y3,Norm_Stats!$F$13),Norm_Stats!$G$13)-Norm_Stats!$F$13)/(Norm_Stats!$G$13-Norm_Stats!$F$13))))</f>
        <v/>
      </c>
      <c r="AH3" s="14">
        <f>IF(AG3="","",1)</f>
        <v/>
      </c>
      <c r="AI3" s="11">
        <f>IF(OR(City_Inputs!$Z3="",Norm_Stats!$F$14="",Norm_Stats!$G$14="",Norm_Stats!$G$14=Norm_Stats!$F$14),"",MAX(0,MIN(100,100*(MIN(MAX(City_Inputs!$Z3,Norm_Stats!$F$14),Norm_Stats!$G$14)-Norm_Stats!$F$14)/(Norm_Stats!$G$14-Norm_Stats!$F$14))))</f>
        <v/>
      </c>
      <c r="AJ3" s="14">
        <f>IF(AI3="","",1)</f>
        <v/>
      </c>
      <c r="AK3" s="11">
        <f>IF((IF((IF(OR(City_Inputs!$AA3="",Norm_Stats!$F$15="",Norm_Stats!$G$15="",Norm_Stats!$G$15=Norm_Stats!$F$15),"",MAX(0,MIN(100,100*(MIN(MAX(City_Inputs!$AA3,Norm_Stats!$F$15),Norm_Stats!$G$15)-Norm_Stats!$F$15)/(Norm_Stats!$G$15-Norm_Stats!$F$15)))))="",0,0.7)+IF((IF(OR(City_Inputs!$AL3="",Norm_Stats!$F$16="",Norm_Stats!$G$16="",Norm_Stats!$G$16=Norm_Stats!$F$16),"",MAX(0,MIN(100,100*(Norm_Stats!$G$16-MIN(MAX(City_Inputs!$AL3,Norm_Stats!$F$16),Norm_Stats!$G$16))/(Norm_Stats!$G$16-Norm_Stats!$F$16)))))="",0,0.3))=0,"",(IF((IF(OR(City_Inputs!$AA3="",Norm_Stats!$F$15="",Norm_Stats!$G$15="",Norm_Stats!$G$15=Norm_Stats!$F$15),"",MAX(0,MIN(100,100*(MIN(MAX(City_Inputs!$AA3,Norm_Stats!$F$15),Norm_Stats!$G$15)-Norm_Stats!$F$15)/(Norm_Stats!$G$15-Norm_Stats!$F$15)))))="",0,(IF(OR(City_Inputs!$AA3="",Norm_Stats!$F$15="",Norm_Stats!$G$15="",Norm_Stats!$G$15=Norm_Stats!$F$15),"",MAX(0,MIN(100,100*(MIN(MAX(City_Inputs!$AA3,Norm_Stats!$F$15),Norm_Stats!$G$15)-Norm_Stats!$F$15)/(Norm_Stats!$G$15-Norm_Stats!$F$15)))))*0.7)+IF((IF(OR(City_Inputs!$AL3="",Norm_Stats!$F$16="",Norm_Stats!$G$16="",Norm_Stats!$G$16=Norm_Stats!$F$16),"",MAX(0,MIN(100,100*(Norm_Stats!$G$16-MIN(MAX(City_Inputs!$AL3,Norm_Stats!$F$16),Norm_Stats!$G$16))/(Norm_Stats!$G$16-Norm_Stats!$F$16)))))="",0,(IF(OR(City_Inputs!$AL3="",Norm_Stats!$F$16="",Norm_Stats!$G$16="",Norm_Stats!$G$16=Norm_Stats!$F$16),"",MAX(0,MIN(100,100*(Norm_Stats!$G$16-MIN(MAX(City_Inputs!$AL3,Norm_Stats!$F$16),Norm_Stats!$G$16))/(Norm_Stats!$G$16-Norm_Stats!$F$16)))))*0.3))/(IF((IF(OR(City_Inputs!$AA3="",Norm_Stats!$F$15="",Norm_Stats!$G$15="",Norm_Stats!$G$15=Norm_Stats!$F$15),"",MAX(0,MIN(100,100*(MIN(MAX(City_Inputs!$AA3,Norm_Stats!$F$15),Norm_Stats!$G$15)-Norm_Stats!$F$15)/(Norm_Stats!$G$15-Norm_Stats!$F$15)))))="",0,0.7)+IF((IF(OR(City_Inputs!$AL3="",Norm_Stats!$F$16="",Norm_Stats!$G$16="",Norm_Stats!$G$16=Norm_Stats!$F$16),"",MAX(0,MIN(100,100*(Norm_Stats!$G$16-MIN(MAX(City_Inputs!$AL3,Norm_Stats!$F$16),Norm_Stats!$G$16))/(Norm_Stats!$G$16-Norm_Stats!$F$16)))))="",0,0.3)))</f>
        <v/>
      </c>
      <c r="AL3" s="14">
        <f>IF((IF((IF(OR(City_Inputs!$AA3="",Norm_Stats!$F$15="",Norm_Stats!$G$15="",Norm_Stats!$G$15=Norm_Stats!$F$15),"",MAX(0,MIN(100,100*(MIN(MAX(City_Inputs!$AA3,Norm_Stats!$F$15),Norm_Stats!$G$15)-Norm_Stats!$F$15)/(Norm_Stats!$G$15-Norm_Stats!$F$15)))))="",0,0.7)+IF((IF(OR(City_Inputs!$AL3="",Norm_Stats!$F$16="",Norm_Stats!$G$16="",Norm_Stats!$G$16=Norm_Stats!$F$16),"",MAX(0,MIN(100,100*(Norm_Stats!$G$16-MIN(MAX(City_Inputs!$AL3,Norm_Stats!$F$16),Norm_Stats!$G$16))/(Norm_Stats!$G$16-Norm_Stats!$F$16)))))="",0,0.3))=0,"",(IF((IF(OR(City_Inputs!$AA3="",Norm_Stats!$F$15="",Norm_Stats!$G$15="",Norm_Stats!$G$15=Norm_Stats!$F$15),"",MAX(0,MIN(100,100*(MIN(MAX(City_Inputs!$AA3,Norm_Stats!$F$15),Norm_Stats!$G$15)-Norm_Stats!$F$15)/(Norm_Stats!$G$15-Norm_Stats!$F$15)))))="",0,0.7)+IF((IF(OR(City_Inputs!$AL3="",Norm_Stats!$F$16="",Norm_Stats!$G$16="",Norm_Stats!$G$16=Norm_Stats!$F$16),"",MAX(0,MIN(100,100*(Norm_Stats!$G$16-MIN(MAX(City_Inputs!$AL3,Norm_Stats!$F$16),Norm_Stats!$G$16))/(Norm_Stats!$G$16-Norm_Stats!$F$16)))))="",0,0.3)))</f>
        <v/>
      </c>
      <c r="AM3" s="15">
        <f>IF((IF(AG3="",0,8)+IF(AI3="",0,6)+IF(AK3="",0,4))=0,"",(IF(AG3="",0,AG3*8)+IF(AI3="",0,AI3*6)+IF(AK3="",0,AK3*4))/(IF(AG3="",0,8)+IF(AI3="",0,6)+IF(AK3="",0,4)))</f>
        <v/>
      </c>
      <c r="AN3" s="14">
        <f>IF((IF(AH3="",0,8)+IF(AJ3="",0,6)+IF(AL3="",0,4))=0,"",(IF(AH3="",0,AH3*8)+IF(AJ3="",0,AJ3*6)+IF(AL3="",0,AL3*4))/18)</f>
        <v/>
      </c>
      <c r="AO3" s="11">
        <f>IF(OR(City_Inputs!$AB3="",Norm_Stats!$F$17="",Norm_Stats!$G$17="",Norm_Stats!$G$17=Norm_Stats!$F$17),"",MAX(0,MIN(100,100*(MIN(MAX(City_Inputs!$AB3,Norm_Stats!$F$17),Norm_Stats!$G$17)-Norm_Stats!$F$17)/(Norm_Stats!$G$17-Norm_Stats!$F$17))))</f>
        <v/>
      </c>
      <c r="AP3" s="14">
        <f>IF(AO3="","",1)</f>
        <v/>
      </c>
      <c r="AQ3" s="11">
        <f>IF(OR(City_Inputs!$AC3="",Norm_Stats!$F$18="",Norm_Stats!$G$18="",Norm_Stats!$G$18=Norm_Stats!$F$18),"",MAX(0,MIN(100,100*(MIN(MAX(City_Inputs!$AC3,Norm_Stats!$F$18),Norm_Stats!$G$18)-Norm_Stats!$F$18)/(Norm_Stats!$G$18-Norm_Stats!$F$18))))</f>
        <v/>
      </c>
      <c r="AR3" s="14">
        <f>IF(AQ3="","",1)</f>
        <v/>
      </c>
      <c r="AS3" s="11">
        <f>IF(OR(City_Inputs!$AD3="",Norm_Stats!$F$19="",Norm_Stats!$G$19="",Norm_Stats!$G$19=Norm_Stats!$F$19),"",MAX(0,MIN(100,100*(MIN(MAX(City_Inputs!$AD3,Norm_Stats!$F$19),Norm_Stats!$G$19)-Norm_Stats!$F$19)/(Norm_Stats!$G$19-Norm_Stats!$F$19))))</f>
        <v/>
      </c>
      <c r="AT3" s="14">
        <f>IF(AS3="","",1)</f>
        <v/>
      </c>
      <c r="AU3" s="11">
        <f>IF(OR(City_Inputs!$BJ3="",Norm_Stats!$F$26="",Norm_Stats!$G$26="",Norm_Stats!$G$26=Norm_Stats!$F$26),"",MAX(0,MIN(100,100*(MIN(MAX(City_Inputs!$BJ3,Norm_Stats!$F$26),Norm_Stats!$G$26)-Norm_Stats!$F$26)/(Norm_Stats!$G$26-Norm_Stats!$F$26))))</f>
        <v/>
      </c>
      <c r="AV3" s="11">
        <f>IF(AU3="","",1)</f>
        <v/>
      </c>
      <c r="AW3" s="15">
        <f>IF((IF(AO3="",0,5)+IF(AQ3="",0,5)+IF(AS3="",0,5)+IF(AU3="",0,4))=0,"",(IF(AO3="",0,AO3*5)+IF(AQ3="",0,AQ3*5)+IF(AS3="",0,AS3*5)+IF(AU3="",0,AU3*4))/(IF(AO3="",0,5)+IF(AQ3="",0,5)+IF(AS3="",0,5)+IF(AU3="",0,4)))</f>
        <v/>
      </c>
      <c r="AX3" s="14">
        <f>IF((IF(AP3="",0,5)+IF(AR3="",0,5)+IF(AT3="",0,5)+IF(AV3="",0,4))=0,"",(IF(AP3="",0,AP3*5)+IF(AR3="",0,AR3*5)+IF(AT3="",0,AT3*5)+IF(AV3="",0,AV3*4))/19)</f>
        <v/>
      </c>
      <c r="AY3" s="11">
        <f>IF(OR(City_Inputs!$AE3="",Norm_Stats!$F$20="",Norm_Stats!$G$20="",Norm_Stats!$G$20=Norm_Stats!$F$20),"",MAX(0,MIN(100,100*(MIN(MAX(City_Inputs!$AE3,Norm_Stats!$F$20),Norm_Stats!$G$20)-Norm_Stats!$F$20)/(Norm_Stats!$G$20-Norm_Stats!$F$20))))</f>
        <v/>
      </c>
      <c r="AZ3" s="14">
        <f>IF(AY3="","",1)</f>
        <v/>
      </c>
      <c r="BA3" s="11">
        <f>IF(OR(City_Inputs!$AF3="",Norm_Stats!$F$21="",Norm_Stats!$G$21="",Norm_Stats!$G$21=Norm_Stats!$F$21),"",MAX(0,MIN(100,100*(MIN(MAX(City_Inputs!$AF3,Norm_Stats!$F$21),Norm_Stats!$G$21)-Norm_Stats!$F$21)/(Norm_Stats!$G$21-Norm_Stats!$F$21))))</f>
        <v/>
      </c>
      <c r="BB3" s="14">
        <f>IF(BA3="","",1)</f>
        <v/>
      </c>
      <c r="BC3" s="11">
        <f>IF((IF((IF(OR(City_Inputs!$AG3="",Norm_Stats!$F$22="",Norm_Stats!$G$22="",Norm_Stats!$G$22=Norm_Stats!$F$22),"",MAX(0,MIN(100,100*(MIN(MAX(City_Inputs!$AG3,Norm_Stats!$F$22),Norm_Stats!$G$22)-Norm_Stats!$F$22)/(Norm_Stats!$G$22-Norm_Stats!$F$22)))))="",0,0.5)+IF((IF(OR(City_Inputs!$AJ3="",Norm_Stats!$F$23="",Norm_Stats!$G$23="",Norm_Stats!$G$23=Norm_Stats!$F$23),"",MAX(0,MIN(100,100*(MIN(MAX(City_Inputs!$AJ3,Norm_Stats!$F$23),Norm_Stats!$G$23)-Norm_Stats!$F$23)/(Norm_Stats!$G$23-Norm_Stats!$F$23)))))="",0,0.3)+IF((IF(OR(City_Inputs!$AK3="",Norm_Stats!$F$24="",Norm_Stats!$G$24="",Norm_Stats!$G$24=Norm_Stats!$F$24),"",MAX(0,MIN(100,100*(MIN(MAX(City_Inputs!$AK3,Norm_Stats!$F$24),Norm_Stats!$G$24)-Norm_Stats!$F$24)/(Norm_Stats!$G$24-Norm_Stats!$F$24)))))="",0,0.2))=0,"",(IF((IF(OR(City_Inputs!$AG3="",Norm_Stats!$F$22="",Norm_Stats!$G$22="",Norm_Stats!$G$22=Norm_Stats!$F$22),"",MAX(0,MIN(100,100*(MIN(MAX(City_Inputs!$AG3,Norm_Stats!$F$22),Norm_Stats!$G$22)-Norm_Stats!$F$22)/(Norm_Stats!$G$22-Norm_Stats!$F$22)))))="",0,(IF(OR(City_Inputs!$AG3="",Norm_Stats!$F$22="",Norm_Stats!$G$22="",Norm_Stats!$G$22=Norm_Stats!$F$22),"",MAX(0,MIN(100,100*(MIN(MAX(City_Inputs!$AG3,Norm_Stats!$F$22),Norm_Stats!$G$22)-Norm_Stats!$F$22)/(Norm_Stats!$G$22-Norm_Stats!$F$22)))))*0.5)+IF((IF(OR(City_Inputs!$AJ3="",Norm_Stats!$F$23="",Norm_Stats!$G$23="",Norm_Stats!$G$23=Norm_Stats!$F$23),"",MAX(0,MIN(100,100*(MIN(MAX(City_Inputs!$AJ3,Norm_Stats!$F$23),Norm_Stats!$G$23)-Norm_Stats!$F$23)/(Norm_Stats!$G$23-Norm_Stats!$F$23)))))="",0,(IF(OR(City_Inputs!$AJ3="",Norm_Stats!$F$23="",Norm_Stats!$G$23="",Norm_Stats!$G$23=Norm_Stats!$F$23),"",MAX(0,MIN(100,100*(MIN(MAX(City_Inputs!$AJ3,Norm_Stats!$F$23),Norm_Stats!$G$23)-Norm_Stats!$F$23)/(Norm_Stats!$G$23-Norm_Stats!$F$23)))))*0.3)+IF((IF(OR(City_Inputs!$AK3="",Norm_Stats!$F$24="",Norm_Stats!$G$24="",Norm_Stats!$G$24=Norm_Stats!$F$24),"",MAX(0,MIN(100,100*(MIN(MAX(City_Inputs!$AK3,Norm_Stats!$F$24),Norm_Stats!$G$24)-Norm_Stats!$F$24)/(Norm_Stats!$G$24-Norm_Stats!$F$24)))))="",0,(IF(OR(City_Inputs!$AK3="",Norm_Stats!$F$24="",Norm_Stats!$G$24="",Norm_Stats!$G$24=Norm_Stats!$F$24),"",MAX(0,MIN(100,100*(MIN(MAX(City_Inputs!$AK3,Norm_Stats!$F$24),Norm_Stats!$G$24)-Norm_Stats!$F$24)/(Norm_Stats!$G$24-Norm_Stats!$F$24)))))*0.2))/(IF((IF(OR(City_Inputs!$AG3="",Norm_Stats!$F$22="",Norm_Stats!$G$22="",Norm_Stats!$G$22=Norm_Stats!$F$22),"",MAX(0,MIN(100,100*(MIN(MAX(City_Inputs!$AG3,Norm_Stats!$F$22),Norm_Stats!$G$22)-Norm_Stats!$F$22)/(Norm_Stats!$G$22-Norm_Stats!$F$22)))))="",0,0.5)+IF((IF(OR(City_Inputs!$AJ3="",Norm_Stats!$F$23="",Norm_Stats!$G$23="",Norm_Stats!$G$23=Norm_Stats!$F$23),"",MAX(0,MIN(100,100*(MIN(MAX(City_Inputs!$AJ3,Norm_Stats!$F$23),Norm_Stats!$G$23)-Norm_Stats!$F$23)/(Norm_Stats!$G$23-Norm_Stats!$F$23)))))="",0,0.3)+IF((IF(OR(City_Inputs!$AK3="",Norm_Stats!$F$24="",Norm_Stats!$G$24="",Norm_Stats!$G$24=Norm_Stats!$F$24),"",MAX(0,MIN(100,100*(MIN(MAX(City_Inputs!$AK3,Norm_Stats!$F$24),Norm_Stats!$G$24)-Norm_Stats!$F$24)/(Norm_Stats!$G$24-Norm_Stats!$F$24)))))="",0,0.2)))</f>
        <v/>
      </c>
      <c r="BD3" s="14">
        <f>IF((IF((IF(OR(City_Inputs!$AG3="",Norm_Stats!$F$22="",Norm_Stats!$G$22="",Norm_Stats!$G$22=Norm_Stats!$F$22),"",MAX(0,MIN(100,100*(MIN(MAX(City_Inputs!$AG3,Norm_Stats!$F$22),Norm_Stats!$G$22)-Norm_Stats!$F$22)/(Norm_Stats!$G$22-Norm_Stats!$F$22)))))="",0,0.5)+IF((IF(OR(City_Inputs!$AJ3="",Norm_Stats!$F$23="",Norm_Stats!$G$23="",Norm_Stats!$G$23=Norm_Stats!$F$23),"",MAX(0,MIN(100,100*(MIN(MAX(City_Inputs!$AJ3,Norm_Stats!$F$23),Norm_Stats!$G$23)-Norm_Stats!$F$23)/(Norm_Stats!$G$23-Norm_Stats!$F$23)))))="",0,0.3)+IF((IF(OR(City_Inputs!$AK3="",Norm_Stats!$F$24="",Norm_Stats!$G$24="",Norm_Stats!$G$24=Norm_Stats!$F$24),"",MAX(0,MIN(100,100*(MIN(MAX(City_Inputs!$AK3,Norm_Stats!$F$24),Norm_Stats!$G$24)-Norm_Stats!$F$24)/(Norm_Stats!$G$24-Norm_Stats!$F$24)))))="",0,0.2))=0,"",(IF((IF(OR(City_Inputs!$AG3="",Norm_Stats!$F$22="",Norm_Stats!$G$22="",Norm_Stats!$G$22=Norm_Stats!$F$22),"",MAX(0,MIN(100,100*(MIN(MAX(City_Inputs!$AG3,Norm_Stats!$F$22),Norm_Stats!$G$22)-Norm_Stats!$F$22)/(Norm_Stats!$G$22-Norm_Stats!$F$22)))))="",0,0.5)+IF((IF(OR(City_Inputs!$AJ3="",Norm_Stats!$F$23="",Norm_Stats!$G$23="",Norm_Stats!$G$23=Norm_Stats!$F$23),"",MAX(0,MIN(100,100*(MIN(MAX(City_Inputs!$AJ3,Norm_Stats!$F$23),Norm_Stats!$G$23)-Norm_Stats!$F$23)/(Norm_Stats!$G$23-Norm_Stats!$F$23)))))="",0,0.3)+IF((IF(OR(City_Inputs!$AK3="",Norm_Stats!$F$24="",Norm_Stats!$G$24="",Norm_Stats!$G$24=Norm_Stats!$F$24),"",MAX(0,MIN(100,100*(MIN(MAX(City_Inputs!$AK3,Norm_Stats!$F$24),Norm_Stats!$G$24)-Norm_Stats!$F$24)/(Norm_Stats!$G$24-Norm_Stats!$F$24)))))="",0,0.2)))</f>
        <v/>
      </c>
      <c r="BE3" s="11">
        <f>IF(OR(City_Inputs!$AH3="",Norm_Stats!$F$25="",Norm_Stats!$G$25="",Norm_Stats!$G$25=Norm_Stats!$F$25),"",MAX(0,MIN(100,100*(Norm_Stats!$G$25-MIN(MAX(City_Inputs!$AH3,Norm_Stats!$F$25),Norm_Stats!$G$25))/(Norm_Stats!$G$25-Norm_Stats!$F$25))))</f>
        <v/>
      </c>
      <c r="BF3" s="14">
        <f>IF(BE3="","",1)</f>
        <v/>
      </c>
      <c r="BG3" s="15">
        <f>IF((IF(AY3="",0,6)+IF(BA3="",0,5)+IF(BC3="",0,5)+IF(BE3="",0,4))=0,"",(IF(AY3="",0,AY3*6)+IF(BA3="",0,BA3*5)+IF(BC3="",0,BC3*5)+IF(BE3="",0,BE3*4))/(IF(AY3="",0,6)+IF(BA3="",0,5)+IF(BC3="",0,5)+IF(BE3="",0,4)))</f>
        <v/>
      </c>
      <c r="BH3" s="14">
        <f>IF((IF(AZ3="",0,6)+IF(BB3="",0,5)+IF(BD3="",0,5)+IF(BF3="",0,4))=0,"",(IF(AZ3="",0,AZ3*6)+IF(BB3="",0,BB3*5)+IF(BD3="",0,BD3*5)+IF(BF3="",0,BF3*4))/20)</f>
        <v/>
      </c>
      <c r="BI3" s="14">
        <f>IF(AND(R3="",AF3="",AN3="",AX3="",BH3=""),"",((R3*25)+(AF3*22)+(AN3*18)+(AX3*15)+(BH3*20))/100)</f>
        <v/>
      </c>
      <c r="BJ3" s="11">
        <f>IF(BI3="","",IF(BI3&gt;=0.75,"A",IF(BI3&gt;=0.5,"B",IF(BI3&gt;=0.35,"C","Watchlist"))))</f>
        <v/>
      </c>
      <c r="BK3" s="11">
        <f>IF(OR(BI3="",BI3&lt;0.5,R3="",R3&lt;0.35,AF3="",AF3&lt;0.35,AN3="",AN3&lt;0.35,AX3="",AX3&lt;0.35,BH3="",BH3&lt;0.35),"Watchlist","Ranked")</f>
        <v/>
      </c>
      <c r="BL3" s="15">
        <f>IF(AND(Q3="",AE3="",AM3="",AW3="",BG3=""),"",(IF(Q3="",0,Q3*25)+IF(AE3="",0,AE3*22)+IF(AM3="",0,AM3*18)+IF(AW3="",0,AW3*15)+IF(BG3="",0,BG3*20))/(IF(Q3="",0,25)+IF(AE3="",0,22)+IF(AM3="",0,18)+IF(AW3="",0,15)+IF(BG3="",0,20)))</f>
        <v/>
      </c>
      <c r="BM3" s="11">
        <f>IF(BK3="Ranked",1+COUNTIFS($BK$2:$BK$158,"Ranked",$BL$2:$BL$158,"&gt;"&amp;BL3),"")</f>
        <v/>
      </c>
      <c r="BN3" s="11">
        <f>City_Inputs!$AI3</f>
        <v/>
      </c>
    </row>
    <row r="4">
      <c r="A4" t="inlineStr">
        <is>
          <t>my-kuala-lumpur</t>
        </is>
      </c>
      <c r="B4" t="inlineStr">
        <is>
          <t>Kuala Lumpur</t>
        </is>
      </c>
      <c r="C4" t="inlineStr">
        <is>
          <t>Malaysia</t>
        </is>
      </c>
      <c r="D4" t="inlineStr">
        <is>
          <t>Southeast Asia</t>
        </is>
      </c>
      <c r="E4" t="inlineStr">
        <is>
          <t>locked</t>
        </is>
      </c>
      <c r="F4" t="inlineStr">
        <is>
          <t>primary</t>
        </is>
      </c>
      <c r="G4" s="11">
        <f>IF(OR(City_Inputs!$M4="",Norm_Stats!$F$2="",Norm_Stats!$G$2="",Norm_Stats!$G$2=Norm_Stats!$F$2),"",MAX(0,MIN(100,100*(MIN(MAX(City_Inputs!$M4,Norm_Stats!$F$2),Norm_Stats!$G$2)-Norm_Stats!$F$2)/(Norm_Stats!$G$2-Norm_Stats!$F$2))))</f>
        <v/>
      </c>
      <c r="H4" s="14">
        <f>IF(G4="","",1)</f>
        <v/>
      </c>
      <c r="I4" s="11">
        <f>IF(OR(City_Inputs!$N4="",Norm_Stats!$F$3="",Norm_Stats!$G$3="",Norm_Stats!$G$3=Norm_Stats!$F$3),"",MAX(0,MIN(100,100*(Norm_Stats!$G$3-MIN(MAX(City_Inputs!$N4,Norm_Stats!$F$3),Norm_Stats!$G$3))/(Norm_Stats!$G$3-Norm_Stats!$F$3))))</f>
        <v/>
      </c>
      <c r="J4" s="14">
        <f>IF(I4="","",1)</f>
        <v/>
      </c>
      <c r="K4" s="11">
        <f>IF(OR(City_Inputs!$P4="",Norm_Stats!$F$4="",Norm_Stats!$G$4="",Norm_Stats!$G$4=Norm_Stats!$F$4),"",MAX(0,MIN(100,100*(Norm_Stats!$G$4-MIN(MAX(City_Inputs!$P4,Norm_Stats!$F$4),Norm_Stats!$G$4))/(Norm_Stats!$G$4-Norm_Stats!$F$4))))</f>
        <v/>
      </c>
      <c r="L4" s="14">
        <f>IF(K4="","",1)</f>
        <v/>
      </c>
      <c r="M4" s="11">
        <f>IF(OR(City_Inputs!$Q4="",Norm_Stats!$F$5="",Norm_Stats!$G$5="",Norm_Stats!$G$5=Norm_Stats!$F$5),"",MAX(0,MIN(100,100*(Norm_Stats!$G$5-MIN(MAX(City_Inputs!$Q4,Norm_Stats!$F$5),Norm_Stats!$G$5))/(Norm_Stats!$G$5-Norm_Stats!$F$5))))</f>
        <v/>
      </c>
      <c r="N4" s="14">
        <f>IF(M4="","",1)</f>
        <v/>
      </c>
      <c r="O4" s="11">
        <f>IF(OR(City_Inputs!$R4="",Norm_Stats!$F$6="",Norm_Stats!$G$6="",Norm_Stats!$G$6=Norm_Stats!$F$6),"",MAX(0,MIN(100,100*(Norm_Stats!$G$6-MIN(MAX(City_Inputs!$R4,Norm_Stats!$F$6),Norm_Stats!$G$6))/(Norm_Stats!$G$6-Norm_Stats!$F$6))))</f>
        <v/>
      </c>
      <c r="P4" s="14">
        <f>IF(O4="","",1)</f>
        <v/>
      </c>
      <c r="Q4" s="15">
        <f>IF((IF(G4="",0,9)+IF(I4="",0,5)+IF(K4="",0,4)+IF(M4="",0,4)+IF(O4="",0,5))=0,"",(IF(G4="",0,G4*9)+IF(I4="",0,I4*5)+IF(K4="",0,K4*4)+IF(M4="",0,M4*4)+IF(O4="",0,O4*5))/(IF(G4="",0,9)+IF(I4="",0,5)+IF(K4="",0,4)+IF(M4="",0,4)+IF(O4="",0,5)))</f>
        <v/>
      </c>
      <c r="R4" s="14">
        <f>IF((IF(H4="",0,9)+IF(J4="",0,5)+IF(L4="",0,4)+IF(N4="",0,4)+IF(P4="",0,5))=0,"",(IF(H4="",0,H4*9)+IF(J4="",0,J4*5)+IF(L4="",0,L4*4)+IF(N4="",0,N4*4)+IF(P4="",0,P4*5))/27)</f>
        <v/>
      </c>
      <c r="S4" s="11">
        <f>IF(OR(City_Inputs!$S4="",Norm_Stats!$F$7="",Norm_Stats!$G$7="",Norm_Stats!$G$7=Norm_Stats!$F$7),"",MAX(0,MIN(100,100*(Norm_Stats!$G$7-MIN(MAX(City_Inputs!$S4,Norm_Stats!$F$7),Norm_Stats!$G$7))/(Norm_Stats!$G$7-Norm_Stats!$F$7))))</f>
        <v/>
      </c>
      <c r="T4" s="14">
        <f>IF(S4="","",1)</f>
        <v/>
      </c>
      <c r="U4" s="11">
        <f>IF(OR(City_Inputs!$T4="",Norm_Stats!$F$8="",Norm_Stats!$G$8="",Norm_Stats!$G$8=Norm_Stats!$F$8),"",MAX(0,MIN(100,100*(MIN(MAX(City_Inputs!$T4,Norm_Stats!$F$8),Norm_Stats!$G$8)-Norm_Stats!$F$8)/(Norm_Stats!$G$8-Norm_Stats!$F$8))))</f>
        <v/>
      </c>
      <c r="V4" s="14">
        <f>IF(U4="","",1)</f>
        <v/>
      </c>
      <c r="W4" s="11">
        <f>IF(OR(City_Inputs!$U4="",Norm_Stats!$F$9="",Norm_Stats!$G$9="",Norm_Stats!$G$9=Norm_Stats!$F$9),"",MAX(0,MIN(100,100*(Norm_Stats!$G$9-MIN(MAX(City_Inputs!$U4,Norm_Stats!$F$9),Norm_Stats!$G$9))/(Norm_Stats!$G$9-Norm_Stats!$F$9))))</f>
        <v/>
      </c>
      <c r="X4" s="14">
        <f>IF(W4="","",1)</f>
        <v/>
      </c>
      <c r="Y4" s="11">
        <f>IF(OR(City_Inputs!$V4="",Norm_Stats!$F$10="",Norm_Stats!$G$10="",Norm_Stats!$G$10=Norm_Stats!$F$10),"",MAX(0,MIN(100,100*(MIN(MAX(City_Inputs!$V4,Norm_Stats!$F$10),Norm_Stats!$G$10)-Norm_Stats!$F$10)/(Norm_Stats!$G$10-Norm_Stats!$F$10))))</f>
        <v/>
      </c>
      <c r="Z4" s="14">
        <f>IF(Y4="","",1)</f>
        <v/>
      </c>
      <c r="AA4" s="11">
        <f>IF(OR(City_Inputs!$W4="",Norm_Stats!$F$11="",Norm_Stats!$G$11="",Norm_Stats!$G$11=Norm_Stats!$F$11),"",MAX(0,MIN(100,100*(MIN(MAX(City_Inputs!$W4,Norm_Stats!$F$11),Norm_Stats!$G$11)-Norm_Stats!$F$11)/(Norm_Stats!$G$11-Norm_Stats!$F$11))))</f>
        <v/>
      </c>
      <c r="AB4" s="14">
        <f>IF(AA4="","",1)</f>
        <v/>
      </c>
      <c r="AC4" s="11">
        <f>IF(OR(City_Inputs!$X4="",Norm_Stats!$F$12="",Norm_Stats!$G$12="",Norm_Stats!$G$12=Norm_Stats!$F$12),"",MAX(0,MIN(100,100*(MIN(MAX(City_Inputs!$X4,Norm_Stats!$F$12),Norm_Stats!$G$12)-Norm_Stats!$F$12)/(Norm_Stats!$G$12-Norm_Stats!$F$12))))</f>
        <v/>
      </c>
      <c r="AD4" s="11">
        <f>IF(AC4="","",1)</f>
        <v/>
      </c>
      <c r="AE4" s="15">
        <f>IF((IF(S4="",0,5)+IF(U4="",0,5)+IF(W4="",0,4)+IF(Y4="",0,4)+IF(AA4="",0,4)+IF(AC4="",0,5))=0,"",(IF(S4="",0,S4*5)+IF(U4="",0,U4*5)+IF(W4="",0,W4*4)+IF(Y4="",0,Y4*4)+IF(AA4="",0,AA4*4)+IF(AC4="",0,AC4*5))/(IF(S4="",0,5)+IF(U4="",0,5)+IF(W4="",0,4)+IF(Y4="",0,4)+IF(AA4="",0,4)+IF(AC4="",0,5)))</f>
        <v/>
      </c>
      <c r="AF4" s="14">
        <f>IF((IF(T4="",0,5)+IF(V4="",0,5)+IF(X4="",0,4)+IF(Z4="",0,4)+IF(AB4="",0,4)+IF(AD4="",0,5))=0,"",(IF(T4="",0,T4*5)+IF(V4="",0,V4*5)+IF(X4="",0,X4*4)+IF(Z4="",0,Z4*4)+IF(AB4="",0,AB4*4)+IF(AD4="",0,AD4*5))/27)</f>
        <v/>
      </c>
      <c r="AG4" s="11">
        <f>IF(OR(City_Inputs!$Y4="",Norm_Stats!$F$13="",Norm_Stats!$G$13="",Norm_Stats!$G$13=Norm_Stats!$F$13),"",MAX(0,MIN(100,100*(MIN(MAX(City_Inputs!$Y4,Norm_Stats!$F$13),Norm_Stats!$G$13)-Norm_Stats!$F$13)/(Norm_Stats!$G$13-Norm_Stats!$F$13))))</f>
        <v/>
      </c>
      <c r="AH4" s="14">
        <f>IF(AG4="","",1)</f>
        <v/>
      </c>
      <c r="AI4" s="11">
        <f>IF(OR(City_Inputs!$Z4="",Norm_Stats!$F$14="",Norm_Stats!$G$14="",Norm_Stats!$G$14=Norm_Stats!$F$14),"",MAX(0,MIN(100,100*(MIN(MAX(City_Inputs!$Z4,Norm_Stats!$F$14),Norm_Stats!$G$14)-Norm_Stats!$F$14)/(Norm_Stats!$G$14-Norm_Stats!$F$14))))</f>
        <v/>
      </c>
      <c r="AJ4" s="14">
        <f>IF(AI4="","",1)</f>
        <v/>
      </c>
      <c r="AK4" s="11">
        <f>IF((IF((IF(OR(City_Inputs!$AA4="",Norm_Stats!$F$15="",Norm_Stats!$G$15="",Norm_Stats!$G$15=Norm_Stats!$F$15),"",MAX(0,MIN(100,100*(MIN(MAX(City_Inputs!$AA4,Norm_Stats!$F$15),Norm_Stats!$G$15)-Norm_Stats!$F$15)/(Norm_Stats!$G$15-Norm_Stats!$F$15)))))="",0,0.7)+IF((IF(OR(City_Inputs!$AL4="",Norm_Stats!$F$16="",Norm_Stats!$G$16="",Norm_Stats!$G$16=Norm_Stats!$F$16),"",MAX(0,MIN(100,100*(Norm_Stats!$G$16-MIN(MAX(City_Inputs!$AL4,Norm_Stats!$F$16),Norm_Stats!$G$16))/(Norm_Stats!$G$16-Norm_Stats!$F$16)))))="",0,0.3))=0,"",(IF((IF(OR(City_Inputs!$AA4="",Norm_Stats!$F$15="",Norm_Stats!$G$15="",Norm_Stats!$G$15=Norm_Stats!$F$15),"",MAX(0,MIN(100,100*(MIN(MAX(City_Inputs!$AA4,Norm_Stats!$F$15),Norm_Stats!$G$15)-Norm_Stats!$F$15)/(Norm_Stats!$G$15-Norm_Stats!$F$15)))))="",0,(IF(OR(City_Inputs!$AA4="",Norm_Stats!$F$15="",Norm_Stats!$G$15="",Norm_Stats!$G$15=Norm_Stats!$F$15),"",MAX(0,MIN(100,100*(MIN(MAX(City_Inputs!$AA4,Norm_Stats!$F$15),Norm_Stats!$G$15)-Norm_Stats!$F$15)/(Norm_Stats!$G$15-Norm_Stats!$F$15)))))*0.7)+IF((IF(OR(City_Inputs!$AL4="",Norm_Stats!$F$16="",Norm_Stats!$G$16="",Norm_Stats!$G$16=Norm_Stats!$F$16),"",MAX(0,MIN(100,100*(Norm_Stats!$G$16-MIN(MAX(City_Inputs!$AL4,Norm_Stats!$F$16),Norm_Stats!$G$16))/(Norm_Stats!$G$16-Norm_Stats!$F$16)))))="",0,(IF(OR(City_Inputs!$AL4="",Norm_Stats!$F$16="",Norm_Stats!$G$16="",Norm_Stats!$G$16=Norm_Stats!$F$16),"",MAX(0,MIN(100,100*(Norm_Stats!$G$16-MIN(MAX(City_Inputs!$AL4,Norm_Stats!$F$16),Norm_Stats!$G$16))/(Norm_Stats!$G$16-Norm_Stats!$F$16)))))*0.3))/(IF((IF(OR(City_Inputs!$AA4="",Norm_Stats!$F$15="",Norm_Stats!$G$15="",Norm_Stats!$G$15=Norm_Stats!$F$15),"",MAX(0,MIN(100,100*(MIN(MAX(City_Inputs!$AA4,Norm_Stats!$F$15),Norm_Stats!$G$15)-Norm_Stats!$F$15)/(Norm_Stats!$G$15-Norm_Stats!$F$15)))))="",0,0.7)+IF((IF(OR(City_Inputs!$AL4="",Norm_Stats!$F$16="",Norm_Stats!$G$16="",Norm_Stats!$G$16=Norm_Stats!$F$16),"",MAX(0,MIN(100,100*(Norm_Stats!$G$16-MIN(MAX(City_Inputs!$AL4,Norm_Stats!$F$16),Norm_Stats!$G$16))/(Norm_Stats!$G$16-Norm_Stats!$F$16)))))="",0,0.3)))</f>
        <v/>
      </c>
      <c r="AL4" s="14">
        <f>IF((IF((IF(OR(City_Inputs!$AA4="",Norm_Stats!$F$15="",Norm_Stats!$G$15="",Norm_Stats!$G$15=Norm_Stats!$F$15),"",MAX(0,MIN(100,100*(MIN(MAX(City_Inputs!$AA4,Norm_Stats!$F$15),Norm_Stats!$G$15)-Norm_Stats!$F$15)/(Norm_Stats!$G$15-Norm_Stats!$F$15)))))="",0,0.7)+IF((IF(OR(City_Inputs!$AL4="",Norm_Stats!$F$16="",Norm_Stats!$G$16="",Norm_Stats!$G$16=Norm_Stats!$F$16),"",MAX(0,MIN(100,100*(Norm_Stats!$G$16-MIN(MAX(City_Inputs!$AL4,Norm_Stats!$F$16),Norm_Stats!$G$16))/(Norm_Stats!$G$16-Norm_Stats!$F$16)))))="",0,0.3))=0,"",(IF((IF(OR(City_Inputs!$AA4="",Norm_Stats!$F$15="",Norm_Stats!$G$15="",Norm_Stats!$G$15=Norm_Stats!$F$15),"",MAX(0,MIN(100,100*(MIN(MAX(City_Inputs!$AA4,Norm_Stats!$F$15),Norm_Stats!$G$15)-Norm_Stats!$F$15)/(Norm_Stats!$G$15-Norm_Stats!$F$15)))))="",0,0.7)+IF((IF(OR(City_Inputs!$AL4="",Norm_Stats!$F$16="",Norm_Stats!$G$16="",Norm_Stats!$G$16=Norm_Stats!$F$16),"",MAX(0,MIN(100,100*(Norm_Stats!$G$16-MIN(MAX(City_Inputs!$AL4,Norm_Stats!$F$16),Norm_Stats!$G$16))/(Norm_Stats!$G$16-Norm_Stats!$F$16)))))="",0,0.3)))</f>
        <v/>
      </c>
      <c r="AM4" s="15">
        <f>IF((IF(AG4="",0,8)+IF(AI4="",0,6)+IF(AK4="",0,4))=0,"",(IF(AG4="",0,AG4*8)+IF(AI4="",0,AI4*6)+IF(AK4="",0,AK4*4))/(IF(AG4="",0,8)+IF(AI4="",0,6)+IF(AK4="",0,4)))</f>
        <v/>
      </c>
      <c r="AN4" s="14">
        <f>IF((IF(AH4="",0,8)+IF(AJ4="",0,6)+IF(AL4="",0,4))=0,"",(IF(AH4="",0,AH4*8)+IF(AJ4="",0,AJ4*6)+IF(AL4="",0,AL4*4))/18)</f>
        <v/>
      </c>
      <c r="AO4" s="11">
        <f>IF(OR(City_Inputs!$AB4="",Norm_Stats!$F$17="",Norm_Stats!$G$17="",Norm_Stats!$G$17=Norm_Stats!$F$17),"",MAX(0,MIN(100,100*(MIN(MAX(City_Inputs!$AB4,Norm_Stats!$F$17),Norm_Stats!$G$17)-Norm_Stats!$F$17)/(Norm_Stats!$G$17-Norm_Stats!$F$17))))</f>
        <v/>
      </c>
      <c r="AP4" s="14">
        <f>IF(AO4="","",1)</f>
        <v/>
      </c>
      <c r="AQ4" s="11">
        <f>IF(OR(City_Inputs!$AC4="",Norm_Stats!$F$18="",Norm_Stats!$G$18="",Norm_Stats!$G$18=Norm_Stats!$F$18),"",MAX(0,MIN(100,100*(MIN(MAX(City_Inputs!$AC4,Norm_Stats!$F$18),Norm_Stats!$G$18)-Norm_Stats!$F$18)/(Norm_Stats!$G$18-Norm_Stats!$F$18))))</f>
        <v/>
      </c>
      <c r="AR4" s="14">
        <f>IF(AQ4="","",1)</f>
        <v/>
      </c>
      <c r="AS4" s="11">
        <f>IF(OR(City_Inputs!$AD4="",Norm_Stats!$F$19="",Norm_Stats!$G$19="",Norm_Stats!$G$19=Norm_Stats!$F$19),"",MAX(0,MIN(100,100*(MIN(MAX(City_Inputs!$AD4,Norm_Stats!$F$19),Norm_Stats!$G$19)-Norm_Stats!$F$19)/(Norm_Stats!$G$19-Norm_Stats!$F$19))))</f>
        <v/>
      </c>
      <c r="AT4" s="14">
        <f>IF(AS4="","",1)</f>
        <v/>
      </c>
      <c r="AU4" s="11">
        <f>IF(OR(City_Inputs!$BJ4="",Norm_Stats!$F$26="",Norm_Stats!$G$26="",Norm_Stats!$G$26=Norm_Stats!$F$26),"",MAX(0,MIN(100,100*(MIN(MAX(City_Inputs!$BJ4,Norm_Stats!$F$26),Norm_Stats!$G$26)-Norm_Stats!$F$26)/(Norm_Stats!$G$26-Norm_Stats!$F$26))))</f>
        <v/>
      </c>
      <c r="AV4" s="11">
        <f>IF(AU4="","",1)</f>
        <v/>
      </c>
      <c r="AW4" s="15">
        <f>IF((IF(AO4="",0,5)+IF(AQ4="",0,5)+IF(AS4="",0,5)+IF(AU4="",0,4))=0,"",(IF(AO4="",0,AO4*5)+IF(AQ4="",0,AQ4*5)+IF(AS4="",0,AS4*5)+IF(AU4="",0,AU4*4))/(IF(AO4="",0,5)+IF(AQ4="",0,5)+IF(AS4="",0,5)+IF(AU4="",0,4)))</f>
        <v/>
      </c>
      <c r="AX4" s="14">
        <f>IF((IF(AP4="",0,5)+IF(AR4="",0,5)+IF(AT4="",0,5)+IF(AV4="",0,4))=0,"",(IF(AP4="",0,AP4*5)+IF(AR4="",0,AR4*5)+IF(AT4="",0,AT4*5)+IF(AV4="",0,AV4*4))/19)</f>
        <v/>
      </c>
      <c r="AY4" s="11">
        <f>IF(OR(City_Inputs!$AE4="",Norm_Stats!$F$20="",Norm_Stats!$G$20="",Norm_Stats!$G$20=Norm_Stats!$F$20),"",MAX(0,MIN(100,100*(MIN(MAX(City_Inputs!$AE4,Norm_Stats!$F$20),Norm_Stats!$G$20)-Norm_Stats!$F$20)/(Norm_Stats!$G$20-Norm_Stats!$F$20))))</f>
        <v/>
      </c>
      <c r="AZ4" s="14">
        <f>IF(AY4="","",1)</f>
        <v/>
      </c>
      <c r="BA4" s="11">
        <f>IF(OR(City_Inputs!$AF4="",Norm_Stats!$F$21="",Norm_Stats!$G$21="",Norm_Stats!$G$21=Norm_Stats!$F$21),"",MAX(0,MIN(100,100*(MIN(MAX(City_Inputs!$AF4,Norm_Stats!$F$21),Norm_Stats!$G$21)-Norm_Stats!$F$21)/(Norm_Stats!$G$21-Norm_Stats!$F$21))))</f>
        <v/>
      </c>
      <c r="BB4" s="14">
        <f>IF(BA4="","",1)</f>
        <v/>
      </c>
      <c r="BC4" s="11">
        <f>IF((IF((IF(OR(City_Inputs!$AG4="",Norm_Stats!$F$22="",Norm_Stats!$G$22="",Norm_Stats!$G$22=Norm_Stats!$F$22),"",MAX(0,MIN(100,100*(MIN(MAX(City_Inputs!$AG4,Norm_Stats!$F$22),Norm_Stats!$G$22)-Norm_Stats!$F$22)/(Norm_Stats!$G$22-Norm_Stats!$F$22)))))="",0,0.5)+IF((IF(OR(City_Inputs!$AJ4="",Norm_Stats!$F$23="",Norm_Stats!$G$23="",Norm_Stats!$G$23=Norm_Stats!$F$23),"",MAX(0,MIN(100,100*(MIN(MAX(City_Inputs!$AJ4,Norm_Stats!$F$23),Norm_Stats!$G$23)-Norm_Stats!$F$23)/(Norm_Stats!$G$23-Norm_Stats!$F$23)))))="",0,0.3)+IF((IF(OR(City_Inputs!$AK4="",Norm_Stats!$F$24="",Norm_Stats!$G$24="",Norm_Stats!$G$24=Norm_Stats!$F$24),"",MAX(0,MIN(100,100*(MIN(MAX(City_Inputs!$AK4,Norm_Stats!$F$24),Norm_Stats!$G$24)-Norm_Stats!$F$24)/(Norm_Stats!$G$24-Norm_Stats!$F$24)))))="",0,0.2))=0,"",(IF((IF(OR(City_Inputs!$AG4="",Norm_Stats!$F$22="",Norm_Stats!$G$22="",Norm_Stats!$G$22=Norm_Stats!$F$22),"",MAX(0,MIN(100,100*(MIN(MAX(City_Inputs!$AG4,Norm_Stats!$F$22),Norm_Stats!$G$22)-Norm_Stats!$F$22)/(Norm_Stats!$G$22-Norm_Stats!$F$22)))))="",0,(IF(OR(City_Inputs!$AG4="",Norm_Stats!$F$22="",Norm_Stats!$G$22="",Norm_Stats!$G$22=Norm_Stats!$F$22),"",MAX(0,MIN(100,100*(MIN(MAX(City_Inputs!$AG4,Norm_Stats!$F$22),Norm_Stats!$G$22)-Norm_Stats!$F$22)/(Norm_Stats!$G$22-Norm_Stats!$F$22)))))*0.5)+IF((IF(OR(City_Inputs!$AJ4="",Norm_Stats!$F$23="",Norm_Stats!$G$23="",Norm_Stats!$G$23=Norm_Stats!$F$23),"",MAX(0,MIN(100,100*(MIN(MAX(City_Inputs!$AJ4,Norm_Stats!$F$23),Norm_Stats!$G$23)-Norm_Stats!$F$23)/(Norm_Stats!$G$23-Norm_Stats!$F$23)))))="",0,(IF(OR(City_Inputs!$AJ4="",Norm_Stats!$F$23="",Norm_Stats!$G$23="",Norm_Stats!$G$23=Norm_Stats!$F$23),"",MAX(0,MIN(100,100*(MIN(MAX(City_Inputs!$AJ4,Norm_Stats!$F$23),Norm_Stats!$G$23)-Norm_Stats!$F$23)/(Norm_Stats!$G$23-Norm_Stats!$F$23)))))*0.3)+IF((IF(OR(City_Inputs!$AK4="",Norm_Stats!$F$24="",Norm_Stats!$G$24="",Norm_Stats!$G$24=Norm_Stats!$F$24),"",MAX(0,MIN(100,100*(MIN(MAX(City_Inputs!$AK4,Norm_Stats!$F$24),Norm_Stats!$G$24)-Norm_Stats!$F$24)/(Norm_Stats!$G$24-Norm_Stats!$F$24)))))="",0,(IF(OR(City_Inputs!$AK4="",Norm_Stats!$F$24="",Norm_Stats!$G$24="",Norm_Stats!$G$24=Norm_Stats!$F$24),"",MAX(0,MIN(100,100*(MIN(MAX(City_Inputs!$AK4,Norm_Stats!$F$24),Norm_Stats!$G$24)-Norm_Stats!$F$24)/(Norm_Stats!$G$24-Norm_Stats!$F$24)))))*0.2))/(IF((IF(OR(City_Inputs!$AG4="",Norm_Stats!$F$22="",Norm_Stats!$G$22="",Norm_Stats!$G$22=Norm_Stats!$F$22),"",MAX(0,MIN(100,100*(MIN(MAX(City_Inputs!$AG4,Norm_Stats!$F$22),Norm_Stats!$G$22)-Norm_Stats!$F$22)/(Norm_Stats!$G$22-Norm_Stats!$F$22)))))="",0,0.5)+IF((IF(OR(City_Inputs!$AJ4="",Norm_Stats!$F$23="",Norm_Stats!$G$23="",Norm_Stats!$G$23=Norm_Stats!$F$23),"",MAX(0,MIN(100,100*(MIN(MAX(City_Inputs!$AJ4,Norm_Stats!$F$23),Norm_Stats!$G$23)-Norm_Stats!$F$23)/(Norm_Stats!$G$23-Norm_Stats!$F$23)))))="",0,0.3)+IF((IF(OR(City_Inputs!$AK4="",Norm_Stats!$F$24="",Norm_Stats!$G$24="",Norm_Stats!$G$24=Norm_Stats!$F$24),"",MAX(0,MIN(100,100*(MIN(MAX(City_Inputs!$AK4,Norm_Stats!$F$24),Norm_Stats!$G$24)-Norm_Stats!$F$24)/(Norm_Stats!$G$24-Norm_Stats!$F$24)))))="",0,0.2)))</f>
        <v/>
      </c>
      <c r="BD4" s="14">
        <f>IF((IF((IF(OR(City_Inputs!$AG4="",Norm_Stats!$F$22="",Norm_Stats!$G$22="",Norm_Stats!$G$22=Norm_Stats!$F$22),"",MAX(0,MIN(100,100*(MIN(MAX(City_Inputs!$AG4,Norm_Stats!$F$22),Norm_Stats!$G$22)-Norm_Stats!$F$22)/(Norm_Stats!$G$22-Norm_Stats!$F$22)))))="",0,0.5)+IF((IF(OR(City_Inputs!$AJ4="",Norm_Stats!$F$23="",Norm_Stats!$G$23="",Norm_Stats!$G$23=Norm_Stats!$F$23),"",MAX(0,MIN(100,100*(MIN(MAX(City_Inputs!$AJ4,Norm_Stats!$F$23),Norm_Stats!$G$23)-Norm_Stats!$F$23)/(Norm_Stats!$G$23-Norm_Stats!$F$23)))))="",0,0.3)+IF((IF(OR(City_Inputs!$AK4="",Norm_Stats!$F$24="",Norm_Stats!$G$24="",Norm_Stats!$G$24=Norm_Stats!$F$24),"",MAX(0,MIN(100,100*(MIN(MAX(City_Inputs!$AK4,Norm_Stats!$F$24),Norm_Stats!$G$24)-Norm_Stats!$F$24)/(Norm_Stats!$G$24-Norm_Stats!$F$24)))))="",0,0.2))=0,"",(IF((IF(OR(City_Inputs!$AG4="",Norm_Stats!$F$22="",Norm_Stats!$G$22="",Norm_Stats!$G$22=Norm_Stats!$F$22),"",MAX(0,MIN(100,100*(MIN(MAX(City_Inputs!$AG4,Norm_Stats!$F$22),Norm_Stats!$G$22)-Norm_Stats!$F$22)/(Norm_Stats!$G$22-Norm_Stats!$F$22)))))="",0,0.5)+IF((IF(OR(City_Inputs!$AJ4="",Norm_Stats!$F$23="",Norm_Stats!$G$23="",Norm_Stats!$G$23=Norm_Stats!$F$23),"",MAX(0,MIN(100,100*(MIN(MAX(City_Inputs!$AJ4,Norm_Stats!$F$23),Norm_Stats!$G$23)-Norm_Stats!$F$23)/(Norm_Stats!$G$23-Norm_Stats!$F$23)))))="",0,0.3)+IF((IF(OR(City_Inputs!$AK4="",Norm_Stats!$F$24="",Norm_Stats!$G$24="",Norm_Stats!$G$24=Norm_Stats!$F$24),"",MAX(0,MIN(100,100*(MIN(MAX(City_Inputs!$AK4,Norm_Stats!$F$24),Norm_Stats!$G$24)-Norm_Stats!$F$24)/(Norm_Stats!$G$24-Norm_Stats!$F$24)))))="",0,0.2)))</f>
        <v/>
      </c>
      <c r="BE4" s="11">
        <f>IF(OR(City_Inputs!$AH4="",Norm_Stats!$F$25="",Norm_Stats!$G$25="",Norm_Stats!$G$25=Norm_Stats!$F$25),"",MAX(0,MIN(100,100*(Norm_Stats!$G$25-MIN(MAX(City_Inputs!$AH4,Norm_Stats!$F$25),Norm_Stats!$G$25))/(Norm_Stats!$G$25-Norm_Stats!$F$25))))</f>
        <v/>
      </c>
      <c r="BF4" s="14">
        <f>IF(BE4="","",1)</f>
        <v/>
      </c>
      <c r="BG4" s="15">
        <f>IF((IF(AY4="",0,6)+IF(BA4="",0,5)+IF(BC4="",0,5)+IF(BE4="",0,4))=0,"",(IF(AY4="",0,AY4*6)+IF(BA4="",0,BA4*5)+IF(BC4="",0,BC4*5)+IF(BE4="",0,BE4*4))/(IF(AY4="",0,6)+IF(BA4="",0,5)+IF(BC4="",0,5)+IF(BE4="",0,4)))</f>
        <v/>
      </c>
      <c r="BH4" s="14">
        <f>IF((IF(AZ4="",0,6)+IF(BB4="",0,5)+IF(BD4="",0,5)+IF(BF4="",0,4))=0,"",(IF(AZ4="",0,AZ4*6)+IF(BB4="",0,BB4*5)+IF(BD4="",0,BD4*5)+IF(BF4="",0,BF4*4))/20)</f>
        <v/>
      </c>
      <c r="BI4" s="14">
        <f>IF(AND(R4="",AF4="",AN4="",AX4="",BH4=""),"",((R4*25)+(AF4*22)+(AN4*18)+(AX4*15)+(BH4*20))/100)</f>
        <v/>
      </c>
      <c r="BJ4" s="11">
        <f>IF(BI4="","",IF(BI4&gt;=0.75,"A",IF(BI4&gt;=0.5,"B",IF(BI4&gt;=0.35,"C","Watchlist"))))</f>
        <v/>
      </c>
      <c r="BK4" s="11">
        <f>IF(OR(BI4="",BI4&lt;0.5,R4="",R4&lt;0.35,AF4="",AF4&lt;0.35,AN4="",AN4&lt;0.35,AX4="",AX4&lt;0.35,BH4="",BH4&lt;0.35),"Watchlist","Ranked")</f>
        <v/>
      </c>
      <c r="BL4" s="15">
        <f>IF(AND(Q4="",AE4="",AM4="",AW4="",BG4=""),"",(IF(Q4="",0,Q4*25)+IF(AE4="",0,AE4*22)+IF(AM4="",0,AM4*18)+IF(AW4="",0,AW4*15)+IF(BG4="",0,BG4*20))/(IF(Q4="",0,25)+IF(AE4="",0,22)+IF(AM4="",0,18)+IF(AW4="",0,15)+IF(BG4="",0,20)))</f>
        <v/>
      </c>
      <c r="BM4" s="11">
        <f>IF(BK4="Ranked",1+COUNTIFS($BK$2:$BK$158,"Ranked",$BL$2:$BL$158,"&gt;"&amp;BL4),"")</f>
        <v/>
      </c>
      <c r="BN4" s="11">
        <f>City_Inputs!$AI4</f>
        <v/>
      </c>
    </row>
    <row r="5">
      <c r="A5" t="inlineStr">
        <is>
          <t>id-jakarta</t>
        </is>
      </c>
      <c r="B5" t="inlineStr">
        <is>
          <t>Jakarta</t>
        </is>
      </c>
      <c r="C5" t="inlineStr">
        <is>
          <t>Indonesia</t>
        </is>
      </c>
      <c r="D5" t="inlineStr">
        <is>
          <t>Southeast Asia</t>
        </is>
      </c>
      <c r="E5" t="inlineStr">
        <is>
          <t>provisional</t>
        </is>
      </c>
      <c r="F5" t="inlineStr">
        <is>
          <t>primary</t>
        </is>
      </c>
      <c r="G5" s="11">
        <f>IF(OR(City_Inputs!$M5="",Norm_Stats!$F$2="",Norm_Stats!$G$2="",Norm_Stats!$G$2=Norm_Stats!$F$2),"",MAX(0,MIN(100,100*(MIN(MAX(City_Inputs!$M5,Norm_Stats!$F$2),Norm_Stats!$G$2)-Norm_Stats!$F$2)/(Norm_Stats!$G$2-Norm_Stats!$F$2))))</f>
        <v/>
      </c>
      <c r="H5" s="14">
        <f>IF(G5="","",1)</f>
        <v/>
      </c>
      <c r="I5" s="11">
        <f>IF(OR(City_Inputs!$N5="",Norm_Stats!$F$3="",Norm_Stats!$G$3="",Norm_Stats!$G$3=Norm_Stats!$F$3),"",MAX(0,MIN(100,100*(Norm_Stats!$G$3-MIN(MAX(City_Inputs!$N5,Norm_Stats!$F$3),Norm_Stats!$G$3))/(Norm_Stats!$G$3-Norm_Stats!$F$3))))</f>
        <v/>
      </c>
      <c r="J5" s="14">
        <f>IF(I5="","",1)</f>
        <v/>
      </c>
      <c r="K5" s="11">
        <f>IF(OR(City_Inputs!$P5="",Norm_Stats!$F$4="",Norm_Stats!$G$4="",Norm_Stats!$G$4=Norm_Stats!$F$4),"",MAX(0,MIN(100,100*(Norm_Stats!$G$4-MIN(MAX(City_Inputs!$P5,Norm_Stats!$F$4),Norm_Stats!$G$4))/(Norm_Stats!$G$4-Norm_Stats!$F$4))))</f>
        <v/>
      </c>
      <c r="L5" s="14">
        <f>IF(K5="","",1)</f>
        <v/>
      </c>
      <c r="M5" s="11">
        <f>IF(OR(City_Inputs!$Q5="",Norm_Stats!$F$5="",Norm_Stats!$G$5="",Norm_Stats!$G$5=Norm_Stats!$F$5),"",MAX(0,MIN(100,100*(Norm_Stats!$G$5-MIN(MAX(City_Inputs!$Q5,Norm_Stats!$F$5),Norm_Stats!$G$5))/(Norm_Stats!$G$5-Norm_Stats!$F$5))))</f>
        <v/>
      </c>
      <c r="N5" s="14">
        <f>IF(M5="","",1)</f>
        <v/>
      </c>
      <c r="O5" s="11">
        <f>IF(OR(City_Inputs!$R5="",Norm_Stats!$F$6="",Norm_Stats!$G$6="",Norm_Stats!$G$6=Norm_Stats!$F$6),"",MAX(0,MIN(100,100*(Norm_Stats!$G$6-MIN(MAX(City_Inputs!$R5,Norm_Stats!$F$6),Norm_Stats!$G$6))/(Norm_Stats!$G$6-Norm_Stats!$F$6))))</f>
        <v/>
      </c>
      <c r="P5" s="14">
        <f>IF(O5="","",1)</f>
        <v/>
      </c>
      <c r="Q5" s="15">
        <f>IF((IF(G5="",0,9)+IF(I5="",0,5)+IF(K5="",0,4)+IF(M5="",0,4)+IF(O5="",0,5))=0,"",(IF(G5="",0,G5*9)+IF(I5="",0,I5*5)+IF(K5="",0,K5*4)+IF(M5="",0,M5*4)+IF(O5="",0,O5*5))/(IF(G5="",0,9)+IF(I5="",0,5)+IF(K5="",0,4)+IF(M5="",0,4)+IF(O5="",0,5)))</f>
        <v/>
      </c>
      <c r="R5" s="14">
        <f>IF((IF(H5="",0,9)+IF(J5="",0,5)+IF(L5="",0,4)+IF(N5="",0,4)+IF(P5="",0,5))=0,"",(IF(H5="",0,H5*9)+IF(J5="",0,J5*5)+IF(L5="",0,L5*4)+IF(N5="",0,N5*4)+IF(P5="",0,P5*5))/27)</f>
        <v/>
      </c>
      <c r="S5" s="11">
        <f>IF(OR(City_Inputs!$S5="",Norm_Stats!$F$7="",Norm_Stats!$G$7="",Norm_Stats!$G$7=Norm_Stats!$F$7),"",MAX(0,MIN(100,100*(Norm_Stats!$G$7-MIN(MAX(City_Inputs!$S5,Norm_Stats!$F$7),Norm_Stats!$G$7))/(Norm_Stats!$G$7-Norm_Stats!$F$7))))</f>
        <v/>
      </c>
      <c r="T5" s="14">
        <f>IF(S5="","",1)</f>
        <v/>
      </c>
      <c r="U5" s="11">
        <f>IF(OR(City_Inputs!$T5="",Norm_Stats!$F$8="",Norm_Stats!$G$8="",Norm_Stats!$G$8=Norm_Stats!$F$8),"",MAX(0,MIN(100,100*(MIN(MAX(City_Inputs!$T5,Norm_Stats!$F$8),Norm_Stats!$G$8)-Norm_Stats!$F$8)/(Norm_Stats!$G$8-Norm_Stats!$F$8))))</f>
        <v/>
      </c>
      <c r="V5" s="14">
        <f>IF(U5="","",1)</f>
        <v/>
      </c>
      <c r="W5" s="11">
        <f>IF(OR(City_Inputs!$U5="",Norm_Stats!$F$9="",Norm_Stats!$G$9="",Norm_Stats!$G$9=Norm_Stats!$F$9),"",MAX(0,MIN(100,100*(Norm_Stats!$G$9-MIN(MAX(City_Inputs!$U5,Norm_Stats!$F$9),Norm_Stats!$G$9))/(Norm_Stats!$G$9-Norm_Stats!$F$9))))</f>
        <v/>
      </c>
      <c r="X5" s="14">
        <f>IF(W5="","",1)</f>
        <v/>
      </c>
      <c r="Y5" s="11">
        <f>IF(OR(City_Inputs!$V5="",Norm_Stats!$F$10="",Norm_Stats!$G$10="",Norm_Stats!$G$10=Norm_Stats!$F$10),"",MAX(0,MIN(100,100*(MIN(MAX(City_Inputs!$V5,Norm_Stats!$F$10),Norm_Stats!$G$10)-Norm_Stats!$F$10)/(Norm_Stats!$G$10-Norm_Stats!$F$10))))</f>
        <v/>
      </c>
      <c r="Z5" s="14">
        <f>IF(Y5="","",1)</f>
        <v/>
      </c>
      <c r="AA5" s="11">
        <f>IF(OR(City_Inputs!$W5="",Norm_Stats!$F$11="",Norm_Stats!$G$11="",Norm_Stats!$G$11=Norm_Stats!$F$11),"",MAX(0,MIN(100,100*(MIN(MAX(City_Inputs!$W5,Norm_Stats!$F$11),Norm_Stats!$G$11)-Norm_Stats!$F$11)/(Norm_Stats!$G$11-Norm_Stats!$F$11))))</f>
        <v/>
      </c>
      <c r="AB5" s="14">
        <f>IF(AA5="","",1)</f>
        <v/>
      </c>
      <c r="AC5" s="11">
        <f>IF(OR(City_Inputs!$X5="",Norm_Stats!$F$12="",Norm_Stats!$G$12="",Norm_Stats!$G$12=Norm_Stats!$F$12),"",MAX(0,MIN(100,100*(MIN(MAX(City_Inputs!$X5,Norm_Stats!$F$12),Norm_Stats!$G$12)-Norm_Stats!$F$12)/(Norm_Stats!$G$12-Norm_Stats!$F$12))))</f>
        <v/>
      </c>
      <c r="AD5" s="11">
        <f>IF(AC5="","",1)</f>
        <v/>
      </c>
      <c r="AE5" s="15">
        <f>IF((IF(S5="",0,5)+IF(U5="",0,5)+IF(W5="",0,4)+IF(Y5="",0,4)+IF(AA5="",0,4)+IF(AC5="",0,5))=0,"",(IF(S5="",0,S5*5)+IF(U5="",0,U5*5)+IF(W5="",0,W5*4)+IF(Y5="",0,Y5*4)+IF(AA5="",0,AA5*4)+IF(AC5="",0,AC5*5))/(IF(S5="",0,5)+IF(U5="",0,5)+IF(W5="",0,4)+IF(Y5="",0,4)+IF(AA5="",0,4)+IF(AC5="",0,5)))</f>
        <v/>
      </c>
      <c r="AF5" s="14">
        <f>IF((IF(T5="",0,5)+IF(V5="",0,5)+IF(X5="",0,4)+IF(Z5="",0,4)+IF(AB5="",0,4)+IF(AD5="",0,5))=0,"",(IF(T5="",0,T5*5)+IF(V5="",0,V5*5)+IF(X5="",0,X5*4)+IF(Z5="",0,Z5*4)+IF(AB5="",0,AB5*4)+IF(AD5="",0,AD5*5))/27)</f>
        <v/>
      </c>
      <c r="AG5" s="11">
        <f>IF(OR(City_Inputs!$Y5="",Norm_Stats!$F$13="",Norm_Stats!$G$13="",Norm_Stats!$G$13=Norm_Stats!$F$13),"",MAX(0,MIN(100,100*(MIN(MAX(City_Inputs!$Y5,Norm_Stats!$F$13),Norm_Stats!$G$13)-Norm_Stats!$F$13)/(Norm_Stats!$G$13-Norm_Stats!$F$13))))</f>
        <v/>
      </c>
      <c r="AH5" s="14">
        <f>IF(AG5="","",1)</f>
        <v/>
      </c>
      <c r="AI5" s="11">
        <f>IF(OR(City_Inputs!$Z5="",Norm_Stats!$F$14="",Norm_Stats!$G$14="",Norm_Stats!$G$14=Norm_Stats!$F$14),"",MAX(0,MIN(100,100*(MIN(MAX(City_Inputs!$Z5,Norm_Stats!$F$14),Norm_Stats!$G$14)-Norm_Stats!$F$14)/(Norm_Stats!$G$14-Norm_Stats!$F$14))))</f>
        <v/>
      </c>
      <c r="AJ5" s="14">
        <f>IF(AI5="","",1)</f>
        <v/>
      </c>
      <c r="AK5" s="11">
        <f>IF((IF((IF(OR(City_Inputs!$AA5="",Norm_Stats!$F$15="",Norm_Stats!$G$15="",Norm_Stats!$G$15=Norm_Stats!$F$15),"",MAX(0,MIN(100,100*(MIN(MAX(City_Inputs!$AA5,Norm_Stats!$F$15),Norm_Stats!$G$15)-Norm_Stats!$F$15)/(Norm_Stats!$G$15-Norm_Stats!$F$15)))))="",0,0.7)+IF((IF(OR(City_Inputs!$AL5="",Norm_Stats!$F$16="",Norm_Stats!$G$16="",Norm_Stats!$G$16=Norm_Stats!$F$16),"",MAX(0,MIN(100,100*(Norm_Stats!$G$16-MIN(MAX(City_Inputs!$AL5,Norm_Stats!$F$16),Norm_Stats!$G$16))/(Norm_Stats!$G$16-Norm_Stats!$F$16)))))="",0,0.3))=0,"",(IF((IF(OR(City_Inputs!$AA5="",Norm_Stats!$F$15="",Norm_Stats!$G$15="",Norm_Stats!$G$15=Norm_Stats!$F$15),"",MAX(0,MIN(100,100*(MIN(MAX(City_Inputs!$AA5,Norm_Stats!$F$15),Norm_Stats!$G$15)-Norm_Stats!$F$15)/(Norm_Stats!$G$15-Norm_Stats!$F$15)))))="",0,(IF(OR(City_Inputs!$AA5="",Norm_Stats!$F$15="",Norm_Stats!$G$15="",Norm_Stats!$G$15=Norm_Stats!$F$15),"",MAX(0,MIN(100,100*(MIN(MAX(City_Inputs!$AA5,Norm_Stats!$F$15),Norm_Stats!$G$15)-Norm_Stats!$F$15)/(Norm_Stats!$G$15-Norm_Stats!$F$15)))))*0.7)+IF((IF(OR(City_Inputs!$AL5="",Norm_Stats!$F$16="",Norm_Stats!$G$16="",Norm_Stats!$G$16=Norm_Stats!$F$16),"",MAX(0,MIN(100,100*(Norm_Stats!$G$16-MIN(MAX(City_Inputs!$AL5,Norm_Stats!$F$16),Norm_Stats!$G$16))/(Norm_Stats!$G$16-Norm_Stats!$F$16)))))="",0,(IF(OR(City_Inputs!$AL5="",Norm_Stats!$F$16="",Norm_Stats!$G$16="",Norm_Stats!$G$16=Norm_Stats!$F$16),"",MAX(0,MIN(100,100*(Norm_Stats!$G$16-MIN(MAX(City_Inputs!$AL5,Norm_Stats!$F$16),Norm_Stats!$G$16))/(Norm_Stats!$G$16-Norm_Stats!$F$16)))))*0.3))/(IF((IF(OR(City_Inputs!$AA5="",Norm_Stats!$F$15="",Norm_Stats!$G$15="",Norm_Stats!$G$15=Norm_Stats!$F$15),"",MAX(0,MIN(100,100*(MIN(MAX(City_Inputs!$AA5,Norm_Stats!$F$15),Norm_Stats!$G$15)-Norm_Stats!$F$15)/(Norm_Stats!$G$15-Norm_Stats!$F$15)))))="",0,0.7)+IF((IF(OR(City_Inputs!$AL5="",Norm_Stats!$F$16="",Norm_Stats!$G$16="",Norm_Stats!$G$16=Norm_Stats!$F$16),"",MAX(0,MIN(100,100*(Norm_Stats!$G$16-MIN(MAX(City_Inputs!$AL5,Norm_Stats!$F$16),Norm_Stats!$G$16))/(Norm_Stats!$G$16-Norm_Stats!$F$16)))))="",0,0.3)))</f>
        <v/>
      </c>
      <c r="AL5" s="14">
        <f>IF((IF((IF(OR(City_Inputs!$AA5="",Norm_Stats!$F$15="",Norm_Stats!$G$15="",Norm_Stats!$G$15=Norm_Stats!$F$15),"",MAX(0,MIN(100,100*(MIN(MAX(City_Inputs!$AA5,Norm_Stats!$F$15),Norm_Stats!$G$15)-Norm_Stats!$F$15)/(Norm_Stats!$G$15-Norm_Stats!$F$15)))))="",0,0.7)+IF((IF(OR(City_Inputs!$AL5="",Norm_Stats!$F$16="",Norm_Stats!$G$16="",Norm_Stats!$G$16=Norm_Stats!$F$16),"",MAX(0,MIN(100,100*(Norm_Stats!$G$16-MIN(MAX(City_Inputs!$AL5,Norm_Stats!$F$16),Norm_Stats!$G$16))/(Norm_Stats!$G$16-Norm_Stats!$F$16)))))="",0,0.3))=0,"",(IF((IF(OR(City_Inputs!$AA5="",Norm_Stats!$F$15="",Norm_Stats!$G$15="",Norm_Stats!$G$15=Norm_Stats!$F$15),"",MAX(0,MIN(100,100*(MIN(MAX(City_Inputs!$AA5,Norm_Stats!$F$15),Norm_Stats!$G$15)-Norm_Stats!$F$15)/(Norm_Stats!$G$15-Norm_Stats!$F$15)))))="",0,0.7)+IF((IF(OR(City_Inputs!$AL5="",Norm_Stats!$F$16="",Norm_Stats!$G$16="",Norm_Stats!$G$16=Norm_Stats!$F$16),"",MAX(0,MIN(100,100*(Norm_Stats!$G$16-MIN(MAX(City_Inputs!$AL5,Norm_Stats!$F$16),Norm_Stats!$G$16))/(Norm_Stats!$G$16-Norm_Stats!$F$16)))))="",0,0.3)))</f>
        <v/>
      </c>
      <c r="AM5" s="15">
        <f>IF((IF(AG5="",0,8)+IF(AI5="",0,6)+IF(AK5="",0,4))=0,"",(IF(AG5="",0,AG5*8)+IF(AI5="",0,AI5*6)+IF(AK5="",0,AK5*4))/(IF(AG5="",0,8)+IF(AI5="",0,6)+IF(AK5="",0,4)))</f>
        <v/>
      </c>
      <c r="AN5" s="14">
        <f>IF((IF(AH5="",0,8)+IF(AJ5="",0,6)+IF(AL5="",0,4))=0,"",(IF(AH5="",0,AH5*8)+IF(AJ5="",0,AJ5*6)+IF(AL5="",0,AL5*4))/18)</f>
        <v/>
      </c>
      <c r="AO5" s="11">
        <f>IF(OR(City_Inputs!$AB5="",Norm_Stats!$F$17="",Norm_Stats!$G$17="",Norm_Stats!$G$17=Norm_Stats!$F$17),"",MAX(0,MIN(100,100*(MIN(MAX(City_Inputs!$AB5,Norm_Stats!$F$17),Norm_Stats!$G$17)-Norm_Stats!$F$17)/(Norm_Stats!$G$17-Norm_Stats!$F$17))))</f>
        <v/>
      </c>
      <c r="AP5" s="14">
        <f>IF(AO5="","",1)</f>
        <v/>
      </c>
      <c r="AQ5" s="11">
        <f>IF(OR(City_Inputs!$AC5="",Norm_Stats!$F$18="",Norm_Stats!$G$18="",Norm_Stats!$G$18=Norm_Stats!$F$18),"",MAX(0,MIN(100,100*(MIN(MAX(City_Inputs!$AC5,Norm_Stats!$F$18),Norm_Stats!$G$18)-Norm_Stats!$F$18)/(Norm_Stats!$G$18-Norm_Stats!$F$18))))</f>
        <v/>
      </c>
      <c r="AR5" s="14">
        <f>IF(AQ5="","",1)</f>
        <v/>
      </c>
      <c r="AS5" s="11">
        <f>IF(OR(City_Inputs!$AD5="",Norm_Stats!$F$19="",Norm_Stats!$G$19="",Norm_Stats!$G$19=Norm_Stats!$F$19),"",MAX(0,MIN(100,100*(MIN(MAX(City_Inputs!$AD5,Norm_Stats!$F$19),Norm_Stats!$G$19)-Norm_Stats!$F$19)/(Norm_Stats!$G$19-Norm_Stats!$F$19))))</f>
        <v/>
      </c>
      <c r="AT5" s="14">
        <f>IF(AS5="","",1)</f>
        <v/>
      </c>
      <c r="AU5" s="11">
        <f>IF(OR(City_Inputs!$BJ5="",Norm_Stats!$F$26="",Norm_Stats!$G$26="",Norm_Stats!$G$26=Norm_Stats!$F$26),"",MAX(0,MIN(100,100*(MIN(MAX(City_Inputs!$BJ5,Norm_Stats!$F$26),Norm_Stats!$G$26)-Norm_Stats!$F$26)/(Norm_Stats!$G$26-Norm_Stats!$F$26))))</f>
        <v/>
      </c>
      <c r="AV5" s="11">
        <f>IF(AU5="","",1)</f>
        <v/>
      </c>
      <c r="AW5" s="15">
        <f>IF((IF(AO5="",0,5)+IF(AQ5="",0,5)+IF(AS5="",0,5)+IF(AU5="",0,4))=0,"",(IF(AO5="",0,AO5*5)+IF(AQ5="",0,AQ5*5)+IF(AS5="",0,AS5*5)+IF(AU5="",0,AU5*4))/(IF(AO5="",0,5)+IF(AQ5="",0,5)+IF(AS5="",0,5)+IF(AU5="",0,4)))</f>
        <v/>
      </c>
      <c r="AX5" s="14">
        <f>IF((IF(AP5="",0,5)+IF(AR5="",0,5)+IF(AT5="",0,5)+IF(AV5="",0,4))=0,"",(IF(AP5="",0,AP5*5)+IF(AR5="",0,AR5*5)+IF(AT5="",0,AT5*5)+IF(AV5="",0,AV5*4))/19)</f>
        <v/>
      </c>
      <c r="AY5" s="11">
        <f>IF(OR(City_Inputs!$AE5="",Norm_Stats!$F$20="",Norm_Stats!$G$20="",Norm_Stats!$G$20=Norm_Stats!$F$20),"",MAX(0,MIN(100,100*(MIN(MAX(City_Inputs!$AE5,Norm_Stats!$F$20),Norm_Stats!$G$20)-Norm_Stats!$F$20)/(Norm_Stats!$G$20-Norm_Stats!$F$20))))</f>
        <v/>
      </c>
      <c r="AZ5" s="14">
        <f>IF(AY5="","",1)</f>
        <v/>
      </c>
      <c r="BA5" s="11">
        <f>IF(OR(City_Inputs!$AF5="",Norm_Stats!$F$21="",Norm_Stats!$G$21="",Norm_Stats!$G$21=Norm_Stats!$F$21),"",MAX(0,MIN(100,100*(MIN(MAX(City_Inputs!$AF5,Norm_Stats!$F$21),Norm_Stats!$G$21)-Norm_Stats!$F$21)/(Norm_Stats!$G$21-Norm_Stats!$F$21))))</f>
        <v/>
      </c>
      <c r="BB5" s="14">
        <f>IF(BA5="","",1)</f>
        <v/>
      </c>
      <c r="BC5" s="11">
        <f>IF((IF((IF(OR(City_Inputs!$AG5="",Norm_Stats!$F$22="",Norm_Stats!$G$22="",Norm_Stats!$G$22=Norm_Stats!$F$22),"",MAX(0,MIN(100,100*(MIN(MAX(City_Inputs!$AG5,Norm_Stats!$F$22),Norm_Stats!$G$22)-Norm_Stats!$F$22)/(Norm_Stats!$G$22-Norm_Stats!$F$22)))))="",0,0.5)+IF((IF(OR(City_Inputs!$AJ5="",Norm_Stats!$F$23="",Norm_Stats!$G$23="",Norm_Stats!$G$23=Norm_Stats!$F$23),"",MAX(0,MIN(100,100*(MIN(MAX(City_Inputs!$AJ5,Norm_Stats!$F$23),Norm_Stats!$G$23)-Norm_Stats!$F$23)/(Norm_Stats!$G$23-Norm_Stats!$F$23)))))="",0,0.3)+IF((IF(OR(City_Inputs!$AK5="",Norm_Stats!$F$24="",Norm_Stats!$G$24="",Norm_Stats!$G$24=Norm_Stats!$F$24),"",MAX(0,MIN(100,100*(MIN(MAX(City_Inputs!$AK5,Norm_Stats!$F$24),Norm_Stats!$G$24)-Norm_Stats!$F$24)/(Norm_Stats!$G$24-Norm_Stats!$F$24)))))="",0,0.2))=0,"",(IF((IF(OR(City_Inputs!$AG5="",Norm_Stats!$F$22="",Norm_Stats!$G$22="",Norm_Stats!$G$22=Norm_Stats!$F$22),"",MAX(0,MIN(100,100*(MIN(MAX(City_Inputs!$AG5,Norm_Stats!$F$22),Norm_Stats!$G$22)-Norm_Stats!$F$22)/(Norm_Stats!$G$22-Norm_Stats!$F$22)))))="",0,(IF(OR(City_Inputs!$AG5="",Norm_Stats!$F$22="",Norm_Stats!$G$22="",Norm_Stats!$G$22=Norm_Stats!$F$22),"",MAX(0,MIN(100,100*(MIN(MAX(City_Inputs!$AG5,Norm_Stats!$F$22),Norm_Stats!$G$22)-Norm_Stats!$F$22)/(Norm_Stats!$G$22-Norm_Stats!$F$22)))))*0.5)+IF((IF(OR(City_Inputs!$AJ5="",Norm_Stats!$F$23="",Norm_Stats!$G$23="",Norm_Stats!$G$23=Norm_Stats!$F$23),"",MAX(0,MIN(100,100*(MIN(MAX(City_Inputs!$AJ5,Norm_Stats!$F$23),Norm_Stats!$G$23)-Norm_Stats!$F$23)/(Norm_Stats!$G$23-Norm_Stats!$F$23)))))="",0,(IF(OR(City_Inputs!$AJ5="",Norm_Stats!$F$23="",Norm_Stats!$G$23="",Norm_Stats!$G$23=Norm_Stats!$F$23),"",MAX(0,MIN(100,100*(MIN(MAX(City_Inputs!$AJ5,Norm_Stats!$F$23),Norm_Stats!$G$23)-Norm_Stats!$F$23)/(Norm_Stats!$G$23-Norm_Stats!$F$23)))))*0.3)+IF((IF(OR(City_Inputs!$AK5="",Norm_Stats!$F$24="",Norm_Stats!$G$24="",Norm_Stats!$G$24=Norm_Stats!$F$24),"",MAX(0,MIN(100,100*(MIN(MAX(City_Inputs!$AK5,Norm_Stats!$F$24),Norm_Stats!$G$24)-Norm_Stats!$F$24)/(Norm_Stats!$G$24-Norm_Stats!$F$24)))))="",0,(IF(OR(City_Inputs!$AK5="",Norm_Stats!$F$24="",Norm_Stats!$G$24="",Norm_Stats!$G$24=Norm_Stats!$F$24),"",MAX(0,MIN(100,100*(MIN(MAX(City_Inputs!$AK5,Norm_Stats!$F$24),Norm_Stats!$G$24)-Norm_Stats!$F$24)/(Norm_Stats!$G$24-Norm_Stats!$F$24)))))*0.2))/(IF((IF(OR(City_Inputs!$AG5="",Norm_Stats!$F$22="",Norm_Stats!$G$22="",Norm_Stats!$G$22=Norm_Stats!$F$22),"",MAX(0,MIN(100,100*(MIN(MAX(City_Inputs!$AG5,Norm_Stats!$F$22),Norm_Stats!$G$22)-Norm_Stats!$F$22)/(Norm_Stats!$G$22-Norm_Stats!$F$22)))))="",0,0.5)+IF((IF(OR(City_Inputs!$AJ5="",Norm_Stats!$F$23="",Norm_Stats!$G$23="",Norm_Stats!$G$23=Norm_Stats!$F$23),"",MAX(0,MIN(100,100*(MIN(MAX(City_Inputs!$AJ5,Norm_Stats!$F$23),Norm_Stats!$G$23)-Norm_Stats!$F$23)/(Norm_Stats!$G$23-Norm_Stats!$F$23)))))="",0,0.3)+IF((IF(OR(City_Inputs!$AK5="",Norm_Stats!$F$24="",Norm_Stats!$G$24="",Norm_Stats!$G$24=Norm_Stats!$F$24),"",MAX(0,MIN(100,100*(MIN(MAX(City_Inputs!$AK5,Norm_Stats!$F$24),Norm_Stats!$G$24)-Norm_Stats!$F$24)/(Norm_Stats!$G$24-Norm_Stats!$F$24)))))="",0,0.2)))</f>
        <v/>
      </c>
      <c r="BD5" s="14">
        <f>IF((IF((IF(OR(City_Inputs!$AG5="",Norm_Stats!$F$22="",Norm_Stats!$G$22="",Norm_Stats!$G$22=Norm_Stats!$F$22),"",MAX(0,MIN(100,100*(MIN(MAX(City_Inputs!$AG5,Norm_Stats!$F$22),Norm_Stats!$G$22)-Norm_Stats!$F$22)/(Norm_Stats!$G$22-Norm_Stats!$F$22)))))="",0,0.5)+IF((IF(OR(City_Inputs!$AJ5="",Norm_Stats!$F$23="",Norm_Stats!$G$23="",Norm_Stats!$G$23=Norm_Stats!$F$23),"",MAX(0,MIN(100,100*(MIN(MAX(City_Inputs!$AJ5,Norm_Stats!$F$23),Norm_Stats!$G$23)-Norm_Stats!$F$23)/(Norm_Stats!$G$23-Norm_Stats!$F$23)))))="",0,0.3)+IF((IF(OR(City_Inputs!$AK5="",Norm_Stats!$F$24="",Norm_Stats!$G$24="",Norm_Stats!$G$24=Norm_Stats!$F$24),"",MAX(0,MIN(100,100*(MIN(MAX(City_Inputs!$AK5,Norm_Stats!$F$24),Norm_Stats!$G$24)-Norm_Stats!$F$24)/(Norm_Stats!$G$24-Norm_Stats!$F$24)))))="",0,0.2))=0,"",(IF((IF(OR(City_Inputs!$AG5="",Norm_Stats!$F$22="",Norm_Stats!$G$22="",Norm_Stats!$G$22=Norm_Stats!$F$22),"",MAX(0,MIN(100,100*(MIN(MAX(City_Inputs!$AG5,Norm_Stats!$F$22),Norm_Stats!$G$22)-Norm_Stats!$F$22)/(Norm_Stats!$G$22-Norm_Stats!$F$22)))))="",0,0.5)+IF((IF(OR(City_Inputs!$AJ5="",Norm_Stats!$F$23="",Norm_Stats!$G$23="",Norm_Stats!$G$23=Norm_Stats!$F$23),"",MAX(0,MIN(100,100*(MIN(MAX(City_Inputs!$AJ5,Norm_Stats!$F$23),Norm_Stats!$G$23)-Norm_Stats!$F$23)/(Norm_Stats!$G$23-Norm_Stats!$F$23)))))="",0,0.3)+IF((IF(OR(City_Inputs!$AK5="",Norm_Stats!$F$24="",Norm_Stats!$G$24="",Norm_Stats!$G$24=Norm_Stats!$F$24),"",MAX(0,MIN(100,100*(MIN(MAX(City_Inputs!$AK5,Norm_Stats!$F$24),Norm_Stats!$G$24)-Norm_Stats!$F$24)/(Norm_Stats!$G$24-Norm_Stats!$F$24)))))="",0,0.2)))</f>
        <v/>
      </c>
      <c r="BE5" s="11">
        <f>IF(OR(City_Inputs!$AH5="",Norm_Stats!$F$25="",Norm_Stats!$G$25="",Norm_Stats!$G$25=Norm_Stats!$F$25),"",MAX(0,MIN(100,100*(Norm_Stats!$G$25-MIN(MAX(City_Inputs!$AH5,Norm_Stats!$F$25),Norm_Stats!$G$25))/(Norm_Stats!$G$25-Norm_Stats!$F$25))))</f>
        <v/>
      </c>
      <c r="BF5" s="14">
        <f>IF(BE5="","",1)</f>
        <v/>
      </c>
      <c r="BG5" s="15">
        <f>IF((IF(AY5="",0,6)+IF(BA5="",0,5)+IF(BC5="",0,5)+IF(BE5="",0,4))=0,"",(IF(AY5="",0,AY5*6)+IF(BA5="",0,BA5*5)+IF(BC5="",0,BC5*5)+IF(BE5="",0,BE5*4))/(IF(AY5="",0,6)+IF(BA5="",0,5)+IF(BC5="",0,5)+IF(BE5="",0,4)))</f>
        <v/>
      </c>
      <c r="BH5" s="14">
        <f>IF((IF(AZ5="",0,6)+IF(BB5="",0,5)+IF(BD5="",0,5)+IF(BF5="",0,4))=0,"",(IF(AZ5="",0,AZ5*6)+IF(BB5="",0,BB5*5)+IF(BD5="",0,BD5*5)+IF(BF5="",0,BF5*4))/20)</f>
        <v/>
      </c>
      <c r="BI5" s="14">
        <f>IF(AND(R5="",AF5="",AN5="",AX5="",BH5=""),"",((R5*25)+(AF5*22)+(AN5*18)+(AX5*15)+(BH5*20))/100)</f>
        <v/>
      </c>
      <c r="BJ5" s="11">
        <f>IF(BI5="","",IF(BI5&gt;=0.75,"A",IF(BI5&gt;=0.5,"B",IF(BI5&gt;=0.35,"C","Watchlist"))))</f>
        <v/>
      </c>
      <c r="BK5" s="11">
        <f>IF(OR(BI5="",BI5&lt;0.5,R5="",R5&lt;0.35,AF5="",AF5&lt;0.35,AN5="",AN5&lt;0.35,AX5="",AX5&lt;0.35,BH5="",BH5&lt;0.35),"Watchlist","Ranked")</f>
        <v/>
      </c>
      <c r="BL5" s="15">
        <f>IF(AND(Q5="",AE5="",AM5="",AW5="",BG5=""),"",(IF(Q5="",0,Q5*25)+IF(AE5="",0,AE5*22)+IF(AM5="",0,AM5*18)+IF(AW5="",0,AW5*15)+IF(BG5="",0,BG5*20))/(IF(Q5="",0,25)+IF(AE5="",0,22)+IF(AM5="",0,18)+IF(AW5="",0,15)+IF(BG5="",0,20)))</f>
        <v/>
      </c>
      <c r="BM5" s="11">
        <f>IF(BK5="Ranked",1+COUNTIFS($BK$2:$BK$158,"Ranked",$BL$2:$BL$158,"&gt;"&amp;BL5),"")</f>
        <v/>
      </c>
      <c r="BN5" s="11">
        <f>City_Inputs!$AI5</f>
        <v/>
      </c>
    </row>
    <row r="6">
      <c r="A6" t="inlineStr">
        <is>
          <t>ph-makati</t>
        </is>
      </c>
      <c r="B6" t="inlineStr">
        <is>
          <t>Makati</t>
        </is>
      </c>
      <c r="C6" t="inlineStr">
        <is>
          <t>Philippines</t>
        </is>
      </c>
      <c r="D6" t="inlineStr">
        <is>
          <t>Southeast Asia</t>
        </is>
      </c>
      <c r="E6" t="inlineStr">
        <is>
          <t>provisional</t>
        </is>
      </c>
      <c r="F6" t="inlineStr">
        <is>
          <t>primary</t>
        </is>
      </c>
      <c r="G6" s="11">
        <f>IF(OR(City_Inputs!$M6="",Norm_Stats!$F$2="",Norm_Stats!$G$2="",Norm_Stats!$G$2=Norm_Stats!$F$2),"",MAX(0,MIN(100,100*(MIN(MAX(City_Inputs!$M6,Norm_Stats!$F$2),Norm_Stats!$G$2)-Norm_Stats!$F$2)/(Norm_Stats!$G$2-Norm_Stats!$F$2))))</f>
        <v/>
      </c>
      <c r="H6" s="14">
        <f>IF(G6="","",1)</f>
        <v/>
      </c>
      <c r="I6" s="11">
        <f>IF(OR(City_Inputs!$N6="",Norm_Stats!$F$3="",Norm_Stats!$G$3="",Norm_Stats!$G$3=Norm_Stats!$F$3),"",MAX(0,MIN(100,100*(Norm_Stats!$G$3-MIN(MAX(City_Inputs!$N6,Norm_Stats!$F$3),Norm_Stats!$G$3))/(Norm_Stats!$G$3-Norm_Stats!$F$3))))</f>
        <v/>
      </c>
      <c r="J6" s="14">
        <f>IF(I6="","",1)</f>
        <v/>
      </c>
      <c r="K6" s="11">
        <f>IF(OR(City_Inputs!$P6="",Norm_Stats!$F$4="",Norm_Stats!$G$4="",Norm_Stats!$G$4=Norm_Stats!$F$4),"",MAX(0,MIN(100,100*(Norm_Stats!$G$4-MIN(MAX(City_Inputs!$P6,Norm_Stats!$F$4),Norm_Stats!$G$4))/(Norm_Stats!$G$4-Norm_Stats!$F$4))))</f>
        <v/>
      </c>
      <c r="L6" s="14">
        <f>IF(K6="","",1)</f>
        <v/>
      </c>
      <c r="M6" s="11">
        <f>IF(OR(City_Inputs!$Q6="",Norm_Stats!$F$5="",Norm_Stats!$G$5="",Norm_Stats!$G$5=Norm_Stats!$F$5),"",MAX(0,MIN(100,100*(Norm_Stats!$G$5-MIN(MAX(City_Inputs!$Q6,Norm_Stats!$F$5),Norm_Stats!$G$5))/(Norm_Stats!$G$5-Norm_Stats!$F$5))))</f>
        <v/>
      </c>
      <c r="N6" s="14">
        <f>IF(M6="","",1)</f>
        <v/>
      </c>
      <c r="O6" s="11">
        <f>IF(OR(City_Inputs!$R6="",Norm_Stats!$F$6="",Norm_Stats!$G$6="",Norm_Stats!$G$6=Norm_Stats!$F$6),"",MAX(0,MIN(100,100*(Norm_Stats!$G$6-MIN(MAX(City_Inputs!$R6,Norm_Stats!$F$6),Norm_Stats!$G$6))/(Norm_Stats!$G$6-Norm_Stats!$F$6))))</f>
        <v/>
      </c>
      <c r="P6" s="14">
        <f>IF(O6="","",1)</f>
        <v/>
      </c>
      <c r="Q6" s="15">
        <f>IF((IF(G6="",0,9)+IF(I6="",0,5)+IF(K6="",0,4)+IF(M6="",0,4)+IF(O6="",0,5))=0,"",(IF(G6="",0,G6*9)+IF(I6="",0,I6*5)+IF(K6="",0,K6*4)+IF(M6="",0,M6*4)+IF(O6="",0,O6*5))/(IF(G6="",0,9)+IF(I6="",0,5)+IF(K6="",0,4)+IF(M6="",0,4)+IF(O6="",0,5)))</f>
        <v/>
      </c>
      <c r="R6" s="14">
        <f>IF((IF(H6="",0,9)+IF(J6="",0,5)+IF(L6="",0,4)+IF(N6="",0,4)+IF(P6="",0,5))=0,"",(IF(H6="",0,H6*9)+IF(J6="",0,J6*5)+IF(L6="",0,L6*4)+IF(N6="",0,N6*4)+IF(P6="",0,P6*5))/27)</f>
        <v/>
      </c>
      <c r="S6" s="11">
        <f>IF(OR(City_Inputs!$S6="",Norm_Stats!$F$7="",Norm_Stats!$G$7="",Norm_Stats!$G$7=Norm_Stats!$F$7),"",MAX(0,MIN(100,100*(Norm_Stats!$G$7-MIN(MAX(City_Inputs!$S6,Norm_Stats!$F$7),Norm_Stats!$G$7))/(Norm_Stats!$G$7-Norm_Stats!$F$7))))</f>
        <v/>
      </c>
      <c r="T6" s="14">
        <f>IF(S6="","",1)</f>
        <v/>
      </c>
      <c r="U6" s="11">
        <f>IF(OR(City_Inputs!$T6="",Norm_Stats!$F$8="",Norm_Stats!$G$8="",Norm_Stats!$G$8=Norm_Stats!$F$8),"",MAX(0,MIN(100,100*(MIN(MAX(City_Inputs!$T6,Norm_Stats!$F$8),Norm_Stats!$G$8)-Norm_Stats!$F$8)/(Norm_Stats!$G$8-Norm_Stats!$F$8))))</f>
        <v/>
      </c>
      <c r="V6" s="14">
        <f>IF(U6="","",1)</f>
        <v/>
      </c>
      <c r="W6" s="11">
        <f>IF(OR(City_Inputs!$U6="",Norm_Stats!$F$9="",Norm_Stats!$G$9="",Norm_Stats!$G$9=Norm_Stats!$F$9),"",MAX(0,MIN(100,100*(Norm_Stats!$G$9-MIN(MAX(City_Inputs!$U6,Norm_Stats!$F$9),Norm_Stats!$G$9))/(Norm_Stats!$G$9-Norm_Stats!$F$9))))</f>
        <v/>
      </c>
      <c r="X6" s="14">
        <f>IF(W6="","",1)</f>
        <v/>
      </c>
      <c r="Y6" s="11">
        <f>IF(OR(City_Inputs!$V6="",Norm_Stats!$F$10="",Norm_Stats!$G$10="",Norm_Stats!$G$10=Norm_Stats!$F$10),"",MAX(0,MIN(100,100*(MIN(MAX(City_Inputs!$V6,Norm_Stats!$F$10),Norm_Stats!$G$10)-Norm_Stats!$F$10)/(Norm_Stats!$G$10-Norm_Stats!$F$10))))</f>
        <v/>
      </c>
      <c r="Z6" s="14">
        <f>IF(Y6="","",1)</f>
        <v/>
      </c>
      <c r="AA6" s="11">
        <f>IF(OR(City_Inputs!$W6="",Norm_Stats!$F$11="",Norm_Stats!$G$11="",Norm_Stats!$G$11=Norm_Stats!$F$11),"",MAX(0,MIN(100,100*(MIN(MAX(City_Inputs!$W6,Norm_Stats!$F$11),Norm_Stats!$G$11)-Norm_Stats!$F$11)/(Norm_Stats!$G$11-Norm_Stats!$F$11))))</f>
        <v/>
      </c>
      <c r="AB6" s="14">
        <f>IF(AA6="","",1)</f>
        <v/>
      </c>
      <c r="AC6" s="11">
        <f>IF(OR(City_Inputs!$X6="",Norm_Stats!$F$12="",Norm_Stats!$G$12="",Norm_Stats!$G$12=Norm_Stats!$F$12),"",MAX(0,MIN(100,100*(MIN(MAX(City_Inputs!$X6,Norm_Stats!$F$12),Norm_Stats!$G$12)-Norm_Stats!$F$12)/(Norm_Stats!$G$12-Norm_Stats!$F$12))))</f>
        <v/>
      </c>
      <c r="AD6" s="11">
        <f>IF(AC6="","",1)</f>
        <v/>
      </c>
      <c r="AE6" s="15">
        <f>IF((IF(S6="",0,5)+IF(U6="",0,5)+IF(W6="",0,4)+IF(Y6="",0,4)+IF(AA6="",0,4)+IF(AC6="",0,5))=0,"",(IF(S6="",0,S6*5)+IF(U6="",0,U6*5)+IF(W6="",0,W6*4)+IF(Y6="",0,Y6*4)+IF(AA6="",0,AA6*4)+IF(AC6="",0,AC6*5))/(IF(S6="",0,5)+IF(U6="",0,5)+IF(W6="",0,4)+IF(Y6="",0,4)+IF(AA6="",0,4)+IF(AC6="",0,5)))</f>
        <v/>
      </c>
      <c r="AF6" s="14">
        <f>IF((IF(T6="",0,5)+IF(V6="",0,5)+IF(X6="",0,4)+IF(Z6="",0,4)+IF(AB6="",0,4)+IF(AD6="",0,5))=0,"",(IF(T6="",0,T6*5)+IF(V6="",0,V6*5)+IF(X6="",0,X6*4)+IF(Z6="",0,Z6*4)+IF(AB6="",0,AB6*4)+IF(AD6="",0,AD6*5))/27)</f>
        <v/>
      </c>
      <c r="AG6" s="11">
        <f>IF(OR(City_Inputs!$Y6="",Norm_Stats!$F$13="",Norm_Stats!$G$13="",Norm_Stats!$G$13=Norm_Stats!$F$13),"",MAX(0,MIN(100,100*(MIN(MAX(City_Inputs!$Y6,Norm_Stats!$F$13),Norm_Stats!$G$13)-Norm_Stats!$F$13)/(Norm_Stats!$G$13-Norm_Stats!$F$13))))</f>
        <v/>
      </c>
      <c r="AH6" s="14">
        <f>IF(AG6="","",1)</f>
        <v/>
      </c>
      <c r="AI6" s="11">
        <f>IF(OR(City_Inputs!$Z6="",Norm_Stats!$F$14="",Norm_Stats!$G$14="",Norm_Stats!$G$14=Norm_Stats!$F$14),"",MAX(0,MIN(100,100*(MIN(MAX(City_Inputs!$Z6,Norm_Stats!$F$14),Norm_Stats!$G$14)-Norm_Stats!$F$14)/(Norm_Stats!$G$14-Norm_Stats!$F$14))))</f>
        <v/>
      </c>
      <c r="AJ6" s="14">
        <f>IF(AI6="","",1)</f>
        <v/>
      </c>
      <c r="AK6" s="11">
        <f>IF((IF((IF(OR(City_Inputs!$AA6="",Norm_Stats!$F$15="",Norm_Stats!$G$15="",Norm_Stats!$G$15=Norm_Stats!$F$15),"",MAX(0,MIN(100,100*(MIN(MAX(City_Inputs!$AA6,Norm_Stats!$F$15),Norm_Stats!$G$15)-Norm_Stats!$F$15)/(Norm_Stats!$G$15-Norm_Stats!$F$15)))))="",0,0.7)+IF((IF(OR(City_Inputs!$AL6="",Norm_Stats!$F$16="",Norm_Stats!$G$16="",Norm_Stats!$G$16=Norm_Stats!$F$16),"",MAX(0,MIN(100,100*(Norm_Stats!$G$16-MIN(MAX(City_Inputs!$AL6,Norm_Stats!$F$16),Norm_Stats!$G$16))/(Norm_Stats!$G$16-Norm_Stats!$F$16)))))="",0,0.3))=0,"",(IF((IF(OR(City_Inputs!$AA6="",Norm_Stats!$F$15="",Norm_Stats!$G$15="",Norm_Stats!$G$15=Norm_Stats!$F$15),"",MAX(0,MIN(100,100*(MIN(MAX(City_Inputs!$AA6,Norm_Stats!$F$15),Norm_Stats!$G$15)-Norm_Stats!$F$15)/(Norm_Stats!$G$15-Norm_Stats!$F$15)))))="",0,(IF(OR(City_Inputs!$AA6="",Norm_Stats!$F$15="",Norm_Stats!$G$15="",Norm_Stats!$G$15=Norm_Stats!$F$15),"",MAX(0,MIN(100,100*(MIN(MAX(City_Inputs!$AA6,Norm_Stats!$F$15),Norm_Stats!$G$15)-Norm_Stats!$F$15)/(Norm_Stats!$G$15-Norm_Stats!$F$15)))))*0.7)+IF((IF(OR(City_Inputs!$AL6="",Norm_Stats!$F$16="",Norm_Stats!$G$16="",Norm_Stats!$G$16=Norm_Stats!$F$16),"",MAX(0,MIN(100,100*(Norm_Stats!$G$16-MIN(MAX(City_Inputs!$AL6,Norm_Stats!$F$16),Norm_Stats!$G$16))/(Norm_Stats!$G$16-Norm_Stats!$F$16)))))="",0,(IF(OR(City_Inputs!$AL6="",Norm_Stats!$F$16="",Norm_Stats!$G$16="",Norm_Stats!$G$16=Norm_Stats!$F$16),"",MAX(0,MIN(100,100*(Norm_Stats!$G$16-MIN(MAX(City_Inputs!$AL6,Norm_Stats!$F$16),Norm_Stats!$G$16))/(Norm_Stats!$G$16-Norm_Stats!$F$16)))))*0.3))/(IF((IF(OR(City_Inputs!$AA6="",Norm_Stats!$F$15="",Norm_Stats!$G$15="",Norm_Stats!$G$15=Norm_Stats!$F$15),"",MAX(0,MIN(100,100*(MIN(MAX(City_Inputs!$AA6,Norm_Stats!$F$15),Norm_Stats!$G$15)-Norm_Stats!$F$15)/(Norm_Stats!$G$15-Norm_Stats!$F$15)))))="",0,0.7)+IF((IF(OR(City_Inputs!$AL6="",Norm_Stats!$F$16="",Norm_Stats!$G$16="",Norm_Stats!$G$16=Norm_Stats!$F$16),"",MAX(0,MIN(100,100*(Norm_Stats!$G$16-MIN(MAX(City_Inputs!$AL6,Norm_Stats!$F$16),Norm_Stats!$G$16))/(Norm_Stats!$G$16-Norm_Stats!$F$16)))))="",0,0.3)))</f>
        <v/>
      </c>
      <c r="AL6" s="14">
        <f>IF((IF((IF(OR(City_Inputs!$AA6="",Norm_Stats!$F$15="",Norm_Stats!$G$15="",Norm_Stats!$G$15=Norm_Stats!$F$15),"",MAX(0,MIN(100,100*(MIN(MAX(City_Inputs!$AA6,Norm_Stats!$F$15),Norm_Stats!$G$15)-Norm_Stats!$F$15)/(Norm_Stats!$G$15-Norm_Stats!$F$15)))))="",0,0.7)+IF((IF(OR(City_Inputs!$AL6="",Norm_Stats!$F$16="",Norm_Stats!$G$16="",Norm_Stats!$G$16=Norm_Stats!$F$16),"",MAX(0,MIN(100,100*(Norm_Stats!$G$16-MIN(MAX(City_Inputs!$AL6,Norm_Stats!$F$16),Norm_Stats!$G$16))/(Norm_Stats!$G$16-Norm_Stats!$F$16)))))="",0,0.3))=0,"",(IF((IF(OR(City_Inputs!$AA6="",Norm_Stats!$F$15="",Norm_Stats!$G$15="",Norm_Stats!$G$15=Norm_Stats!$F$15),"",MAX(0,MIN(100,100*(MIN(MAX(City_Inputs!$AA6,Norm_Stats!$F$15),Norm_Stats!$G$15)-Norm_Stats!$F$15)/(Norm_Stats!$G$15-Norm_Stats!$F$15)))))="",0,0.7)+IF((IF(OR(City_Inputs!$AL6="",Norm_Stats!$F$16="",Norm_Stats!$G$16="",Norm_Stats!$G$16=Norm_Stats!$F$16),"",MAX(0,MIN(100,100*(Norm_Stats!$G$16-MIN(MAX(City_Inputs!$AL6,Norm_Stats!$F$16),Norm_Stats!$G$16))/(Norm_Stats!$G$16-Norm_Stats!$F$16)))))="",0,0.3)))</f>
        <v/>
      </c>
      <c r="AM6" s="15">
        <f>IF((IF(AG6="",0,8)+IF(AI6="",0,6)+IF(AK6="",0,4))=0,"",(IF(AG6="",0,AG6*8)+IF(AI6="",0,AI6*6)+IF(AK6="",0,AK6*4))/(IF(AG6="",0,8)+IF(AI6="",0,6)+IF(AK6="",0,4)))</f>
        <v/>
      </c>
      <c r="AN6" s="14">
        <f>IF((IF(AH6="",0,8)+IF(AJ6="",0,6)+IF(AL6="",0,4))=0,"",(IF(AH6="",0,AH6*8)+IF(AJ6="",0,AJ6*6)+IF(AL6="",0,AL6*4))/18)</f>
        <v/>
      </c>
      <c r="AO6" s="11">
        <f>IF(OR(City_Inputs!$AB6="",Norm_Stats!$F$17="",Norm_Stats!$G$17="",Norm_Stats!$G$17=Norm_Stats!$F$17),"",MAX(0,MIN(100,100*(MIN(MAX(City_Inputs!$AB6,Norm_Stats!$F$17),Norm_Stats!$G$17)-Norm_Stats!$F$17)/(Norm_Stats!$G$17-Norm_Stats!$F$17))))</f>
        <v/>
      </c>
      <c r="AP6" s="14">
        <f>IF(AO6="","",1)</f>
        <v/>
      </c>
      <c r="AQ6" s="11">
        <f>IF(OR(City_Inputs!$AC6="",Norm_Stats!$F$18="",Norm_Stats!$G$18="",Norm_Stats!$G$18=Norm_Stats!$F$18),"",MAX(0,MIN(100,100*(MIN(MAX(City_Inputs!$AC6,Norm_Stats!$F$18),Norm_Stats!$G$18)-Norm_Stats!$F$18)/(Norm_Stats!$G$18-Norm_Stats!$F$18))))</f>
        <v/>
      </c>
      <c r="AR6" s="14">
        <f>IF(AQ6="","",1)</f>
        <v/>
      </c>
      <c r="AS6" s="11">
        <f>IF(OR(City_Inputs!$AD6="",Norm_Stats!$F$19="",Norm_Stats!$G$19="",Norm_Stats!$G$19=Norm_Stats!$F$19),"",MAX(0,MIN(100,100*(MIN(MAX(City_Inputs!$AD6,Norm_Stats!$F$19),Norm_Stats!$G$19)-Norm_Stats!$F$19)/(Norm_Stats!$G$19-Norm_Stats!$F$19))))</f>
        <v/>
      </c>
      <c r="AT6" s="14">
        <f>IF(AS6="","",1)</f>
        <v/>
      </c>
      <c r="AU6" s="11">
        <f>IF(OR(City_Inputs!$BJ6="",Norm_Stats!$F$26="",Norm_Stats!$G$26="",Norm_Stats!$G$26=Norm_Stats!$F$26),"",MAX(0,MIN(100,100*(MIN(MAX(City_Inputs!$BJ6,Norm_Stats!$F$26),Norm_Stats!$G$26)-Norm_Stats!$F$26)/(Norm_Stats!$G$26-Norm_Stats!$F$26))))</f>
        <v/>
      </c>
      <c r="AV6" s="11">
        <f>IF(AU6="","",1)</f>
        <v/>
      </c>
      <c r="AW6" s="15">
        <f>IF((IF(AO6="",0,5)+IF(AQ6="",0,5)+IF(AS6="",0,5)+IF(AU6="",0,4))=0,"",(IF(AO6="",0,AO6*5)+IF(AQ6="",0,AQ6*5)+IF(AS6="",0,AS6*5)+IF(AU6="",0,AU6*4))/(IF(AO6="",0,5)+IF(AQ6="",0,5)+IF(AS6="",0,5)+IF(AU6="",0,4)))</f>
        <v/>
      </c>
      <c r="AX6" s="14">
        <f>IF((IF(AP6="",0,5)+IF(AR6="",0,5)+IF(AT6="",0,5)+IF(AV6="",0,4))=0,"",(IF(AP6="",0,AP6*5)+IF(AR6="",0,AR6*5)+IF(AT6="",0,AT6*5)+IF(AV6="",0,AV6*4))/19)</f>
        <v/>
      </c>
      <c r="AY6" s="11">
        <f>IF(OR(City_Inputs!$AE6="",Norm_Stats!$F$20="",Norm_Stats!$G$20="",Norm_Stats!$G$20=Norm_Stats!$F$20),"",MAX(0,MIN(100,100*(MIN(MAX(City_Inputs!$AE6,Norm_Stats!$F$20),Norm_Stats!$G$20)-Norm_Stats!$F$20)/(Norm_Stats!$G$20-Norm_Stats!$F$20))))</f>
        <v/>
      </c>
      <c r="AZ6" s="14">
        <f>IF(AY6="","",1)</f>
        <v/>
      </c>
      <c r="BA6" s="11">
        <f>IF(OR(City_Inputs!$AF6="",Norm_Stats!$F$21="",Norm_Stats!$G$21="",Norm_Stats!$G$21=Norm_Stats!$F$21),"",MAX(0,MIN(100,100*(MIN(MAX(City_Inputs!$AF6,Norm_Stats!$F$21),Norm_Stats!$G$21)-Norm_Stats!$F$21)/(Norm_Stats!$G$21-Norm_Stats!$F$21))))</f>
        <v/>
      </c>
      <c r="BB6" s="14">
        <f>IF(BA6="","",1)</f>
        <v/>
      </c>
      <c r="BC6" s="11">
        <f>IF((IF((IF(OR(City_Inputs!$AG6="",Norm_Stats!$F$22="",Norm_Stats!$G$22="",Norm_Stats!$G$22=Norm_Stats!$F$22),"",MAX(0,MIN(100,100*(MIN(MAX(City_Inputs!$AG6,Norm_Stats!$F$22),Norm_Stats!$G$22)-Norm_Stats!$F$22)/(Norm_Stats!$G$22-Norm_Stats!$F$22)))))="",0,0.5)+IF((IF(OR(City_Inputs!$AJ6="",Norm_Stats!$F$23="",Norm_Stats!$G$23="",Norm_Stats!$G$23=Norm_Stats!$F$23),"",MAX(0,MIN(100,100*(MIN(MAX(City_Inputs!$AJ6,Norm_Stats!$F$23),Norm_Stats!$G$23)-Norm_Stats!$F$23)/(Norm_Stats!$G$23-Norm_Stats!$F$23)))))="",0,0.3)+IF((IF(OR(City_Inputs!$AK6="",Norm_Stats!$F$24="",Norm_Stats!$G$24="",Norm_Stats!$G$24=Norm_Stats!$F$24),"",MAX(0,MIN(100,100*(MIN(MAX(City_Inputs!$AK6,Norm_Stats!$F$24),Norm_Stats!$G$24)-Norm_Stats!$F$24)/(Norm_Stats!$G$24-Norm_Stats!$F$24)))))="",0,0.2))=0,"",(IF((IF(OR(City_Inputs!$AG6="",Norm_Stats!$F$22="",Norm_Stats!$G$22="",Norm_Stats!$G$22=Norm_Stats!$F$22),"",MAX(0,MIN(100,100*(MIN(MAX(City_Inputs!$AG6,Norm_Stats!$F$22),Norm_Stats!$G$22)-Norm_Stats!$F$22)/(Norm_Stats!$G$22-Norm_Stats!$F$22)))))="",0,(IF(OR(City_Inputs!$AG6="",Norm_Stats!$F$22="",Norm_Stats!$G$22="",Norm_Stats!$G$22=Norm_Stats!$F$22),"",MAX(0,MIN(100,100*(MIN(MAX(City_Inputs!$AG6,Norm_Stats!$F$22),Norm_Stats!$G$22)-Norm_Stats!$F$22)/(Norm_Stats!$G$22-Norm_Stats!$F$22)))))*0.5)+IF((IF(OR(City_Inputs!$AJ6="",Norm_Stats!$F$23="",Norm_Stats!$G$23="",Norm_Stats!$G$23=Norm_Stats!$F$23),"",MAX(0,MIN(100,100*(MIN(MAX(City_Inputs!$AJ6,Norm_Stats!$F$23),Norm_Stats!$G$23)-Norm_Stats!$F$23)/(Norm_Stats!$G$23-Norm_Stats!$F$23)))))="",0,(IF(OR(City_Inputs!$AJ6="",Norm_Stats!$F$23="",Norm_Stats!$G$23="",Norm_Stats!$G$23=Norm_Stats!$F$23),"",MAX(0,MIN(100,100*(MIN(MAX(City_Inputs!$AJ6,Norm_Stats!$F$23),Norm_Stats!$G$23)-Norm_Stats!$F$23)/(Norm_Stats!$G$23-Norm_Stats!$F$23)))))*0.3)+IF((IF(OR(City_Inputs!$AK6="",Norm_Stats!$F$24="",Norm_Stats!$G$24="",Norm_Stats!$G$24=Norm_Stats!$F$24),"",MAX(0,MIN(100,100*(MIN(MAX(City_Inputs!$AK6,Norm_Stats!$F$24),Norm_Stats!$G$24)-Norm_Stats!$F$24)/(Norm_Stats!$G$24-Norm_Stats!$F$24)))))="",0,(IF(OR(City_Inputs!$AK6="",Norm_Stats!$F$24="",Norm_Stats!$G$24="",Norm_Stats!$G$24=Norm_Stats!$F$24),"",MAX(0,MIN(100,100*(MIN(MAX(City_Inputs!$AK6,Norm_Stats!$F$24),Norm_Stats!$G$24)-Norm_Stats!$F$24)/(Norm_Stats!$G$24-Norm_Stats!$F$24)))))*0.2))/(IF((IF(OR(City_Inputs!$AG6="",Norm_Stats!$F$22="",Norm_Stats!$G$22="",Norm_Stats!$G$22=Norm_Stats!$F$22),"",MAX(0,MIN(100,100*(MIN(MAX(City_Inputs!$AG6,Norm_Stats!$F$22),Norm_Stats!$G$22)-Norm_Stats!$F$22)/(Norm_Stats!$G$22-Norm_Stats!$F$22)))))="",0,0.5)+IF((IF(OR(City_Inputs!$AJ6="",Norm_Stats!$F$23="",Norm_Stats!$G$23="",Norm_Stats!$G$23=Norm_Stats!$F$23),"",MAX(0,MIN(100,100*(MIN(MAX(City_Inputs!$AJ6,Norm_Stats!$F$23),Norm_Stats!$G$23)-Norm_Stats!$F$23)/(Norm_Stats!$G$23-Norm_Stats!$F$23)))))="",0,0.3)+IF((IF(OR(City_Inputs!$AK6="",Norm_Stats!$F$24="",Norm_Stats!$G$24="",Norm_Stats!$G$24=Norm_Stats!$F$24),"",MAX(0,MIN(100,100*(MIN(MAX(City_Inputs!$AK6,Norm_Stats!$F$24),Norm_Stats!$G$24)-Norm_Stats!$F$24)/(Norm_Stats!$G$24-Norm_Stats!$F$24)))))="",0,0.2)))</f>
        <v/>
      </c>
      <c r="BD6" s="14">
        <f>IF((IF((IF(OR(City_Inputs!$AG6="",Norm_Stats!$F$22="",Norm_Stats!$G$22="",Norm_Stats!$G$22=Norm_Stats!$F$22),"",MAX(0,MIN(100,100*(MIN(MAX(City_Inputs!$AG6,Norm_Stats!$F$22),Norm_Stats!$G$22)-Norm_Stats!$F$22)/(Norm_Stats!$G$22-Norm_Stats!$F$22)))))="",0,0.5)+IF((IF(OR(City_Inputs!$AJ6="",Norm_Stats!$F$23="",Norm_Stats!$G$23="",Norm_Stats!$G$23=Norm_Stats!$F$23),"",MAX(0,MIN(100,100*(MIN(MAX(City_Inputs!$AJ6,Norm_Stats!$F$23),Norm_Stats!$G$23)-Norm_Stats!$F$23)/(Norm_Stats!$G$23-Norm_Stats!$F$23)))))="",0,0.3)+IF((IF(OR(City_Inputs!$AK6="",Norm_Stats!$F$24="",Norm_Stats!$G$24="",Norm_Stats!$G$24=Norm_Stats!$F$24),"",MAX(0,MIN(100,100*(MIN(MAX(City_Inputs!$AK6,Norm_Stats!$F$24),Norm_Stats!$G$24)-Norm_Stats!$F$24)/(Norm_Stats!$G$24-Norm_Stats!$F$24)))))="",0,0.2))=0,"",(IF((IF(OR(City_Inputs!$AG6="",Norm_Stats!$F$22="",Norm_Stats!$G$22="",Norm_Stats!$G$22=Norm_Stats!$F$22),"",MAX(0,MIN(100,100*(MIN(MAX(City_Inputs!$AG6,Norm_Stats!$F$22),Norm_Stats!$G$22)-Norm_Stats!$F$22)/(Norm_Stats!$G$22-Norm_Stats!$F$22)))))="",0,0.5)+IF((IF(OR(City_Inputs!$AJ6="",Norm_Stats!$F$23="",Norm_Stats!$G$23="",Norm_Stats!$G$23=Norm_Stats!$F$23),"",MAX(0,MIN(100,100*(MIN(MAX(City_Inputs!$AJ6,Norm_Stats!$F$23),Norm_Stats!$G$23)-Norm_Stats!$F$23)/(Norm_Stats!$G$23-Norm_Stats!$F$23)))))="",0,0.3)+IF((IF(OR(City_Inputs!$AK6="",Norm_Stats!$F$24="",Norm_Stats!$G$24="",Norm_Stats!$G$24=Norm_Stats!$F$24),"",MAX(0,MIN(100,100*(MIN(MAX(City_Inputs!$AK6,Norm_Stats!$F$24),Norm_Stats!$G$24)-Norm_Stats!$F$24)/(Norm_Stats!$G$24-Norm_Stats!$F$24)))))="",0,0.2)))</f>
        <v/>
      </c>
      <c r="BE6" s="11">
        <f>IF(OR(City_Inputs!$AH6="",Norm_Stats!$F$25="",Norm_Stats!$G$25="",Norm_Stats!$G$25=Norm_Stats!$F$25),"",MAX(0,MIN(100,100*(Norm_Stats!$G$25-MIN(MAX(City_Inputs!$AH6,Norm_Stats!$F$25),Norm_Stats!$G$25))/(Norm_Stats!$G$25-Norm_Stats!$F$25))))</f>
        <v/>
      </c>
      <c r="BF6" s="14">
        <f>IF(BE6="","",1)</f>
        <v/>
      </c>
      <c r="BG6" s="15">
        <f>IF((IF(AY6="",0,6)+IF(BA6="",0,5)+IF(BC6="",0,5)+IF(BE6="",0,4))=0,"",(IF(AY6="",0,AY6*6)+IF(BA6="",0,BA6*5)+IF(BC6="",0,BC6*5)+IF(BE6="",0,BE6*4))/(IF(AY6="",0,6)+IF(BA6="",0,5)+IF(BC6="",0,5)+IF(BE6="",0,4)))</f>
        <v/>
      </c>
      <c r="BH6" s="14">
        <f>IF((IF(AZ6="",0,6)+IF(BB6="",0,5)+IF(BD6="",0,5)+IF(BF6="",0,4))=0,"",(IF(AZ6="",0,AZ6*6)+IF(BB6="",0,BB6*5)+IF(BD6="",0,BD6*5)+IF(BF6="",0,BF6*4))/20)</f>
        <v/>
      </c>
      <c r="BI6" s="14">
        <f>IF(AND(R6="",AF6="",AN6="",AX6="",BH6=""),"",((R6*25)+(AF6*22)+(AN6*18)+(AX6*15)+(BH6*20))/100)</f>
        <v/>
      </c>
      <c r="BJ6" s="11">
        <f>IF(BI6="","",IF(BI6&gt;=0.75,"A",IF(BI6&gt;=0.5,"B",IF(BI6&gt;=0.35,"C","Watchlist"))))</f>
        <v/>
      </c>
      <c r="BK6" s="11">
        <f>IF(OR(BI6="",BI6&lt;0.5,R6="",R6&lt;0.35,AF6="",AF6&lt;0.35,AN6="",AN6&lt;0.35,AX6="",AX6&lt;0.35,BH6="",BH6&lt;0.35),"Watchlist","Ranked")</f>
        <v/>
      </c>
      <c r="BL6" s="15">
        <f>IF(AND(Q6="",AE6="",AM6="",AW6="",BG6=""),"",(IF(Q6="",0,Q6*25)+IF(AE6="",0,AE6*22)+IF(AM6="",0,AM6*18)+IF(AW6="",0,AW6*15)+IF(BG6="",0,BG6*20))/(IF(Q6="",0,25)+IF(AE6="",0,22)+IF(AM6="",0,18)+IF(AW6="",0,15)+IF(BG6="",0,20)))</f>
        <v/>
      </c>
      <c r="BM6" s="11">
        <f>IF(BK6="Ranked",1+COUNTIFS($BK$2:$BK$158,"Ranked",$BL$2:$BL$158,"&gt;"&amp;BL6),"")</f>
        <v/>
      </c>
      <c r="BN6" s="11">
        <f>City_Inputs!$AI6</f>
        <v/>
      </c>
    </row>
    <row r="7">
      <c r="A7" t="inlineStr">
        <is>
          <t>my-george-town</t>
        </is>
      </c>
      <c r="B7" t="inlineStr">
        <is>
          <t>George Town</t>
        </is>
      </c>
      <c r="C7" t="inlineStr">
        <is>
          <t>Malaysia</t>
        </is>
      </c>
      <c r="D7" t="inlineStr">
        <is>
          <t>Southeast Asia</t>
        </is>
      </c>
      <c r="E7" t="inlineStr">
        <is>
          <t>locked</t>
        </is>
      </c>
      <c r="F7" t="inlineStr">
        <is>
          <t>secondary</t>
        </is>
      </c>
      <c r="G7" s="11">
        <f>IF(OR(City_Inputs!$M7="",Norm_Stats!$F$2="",Norm_Stats!$G$2="",Norm_Stats!$G$2=Norm_Stats!$F$2),"",MAX(0,MIN(100,100*(MIN(MAX(City_Inputs!$M7,Norm_Stats!$F$2),Norm_Stats!$G$2)-Norm_Stats!$F$2)/(Norm_Stats!$G$2-Norm_Stats!$F$2))))</f>
        <v/>
      </c>
      <c r="H7" s="14">
        <f>IF(G7="","",1)</f>
        <v/>
      </c>
      <c r="I7" s="11">
        <f>IF(OR(City_Inputs!$N7="",Norm_Stats!$F$3="",Norm_Stats!$G$3="",Norm_Stats!$G$3=Norm_Stats!$F$3),"",MAX(0,MIN(100,100*(Norm_Stats!$G$3-MIN(MAX(City_Inputs!$N7,Norm_Stats!$F$3),Norm_Stats!$G$3))/(Norm_Stats!$G$3-Norm_Stats!$F$3))))</f>
        <v/>
      </c>
      <c r="J7" s="14">
        <f>IF(I7="","",1)</f>
        <v/>
      </c>
      <c r="K7" s="11">
        <f>IF(OR(City_Inputs!$P7="",Norm_Stats!$F$4="",Norm_Stats!$G$4="",Norm_Stats!$G$4=Norm_Stats!$F$4),"",MAX(0,MIN(100,100*(Norm_Stats!$G$4-MIN(MAX(City_Inputs!$P7,Norm_Stats!$F$4),Norm_Stats!$G$4))/(Norm_Stats!$G$4-Norm_Stats!$F$4))))</f>
        <v/>
      </c>
      <c r="L7" s="14">
        <f>IF(K7="","",1)</f>
        <v/>
      </c>
      <c r="M7" s="11">
        <f>IF(OR(City_Inputs!$Q7="",Norm_Stats!$F$5="",Norm_Stats!$G$5="",Norm_Stats!$G$5=Norm_Stats!$F$5),"",MAX(0,MIN(100,100*(Norm_Stats!$G$5-MIN(MAX(City_Inputs!$Q7,Norm_Stats!$F$5),Norm_Stats!$G$5))/(Norm_Stats!$G$5-Norm_Stats!$F$5))))</f>
        <v/>
      </c>
      <c r="N7" s="14">
        <f>IF(M7="","",1)</f>
        <v/>
      </c>
      <c r="O7" s="11">
        <f>IF(OR(City_Inputs!$R7="",Norm_Stats!$F$6="",Norm_Stats!$G$6="",Norm_Stats!$G$6=Norm_Stats!$F$6),"",MAX(0,MIN(100,100*(Norm_Stats!$G$6-MIN(MAX(City_Inputs!$R7,Norm_Stats!$F$6),Norm_Stats!$G$6))/(Norm_Stats!$G$6-Norm_Stats!$F$6))))</f>
        <v/>
      </c>
      <c r="P7" s="14">
        <f>IF(O7="","",1)</f>
        <v/>
      </c>
      <c r="Q7" s="15">
        <f>IF((IF(G7="",0,9)+IF(I7="",0,5)+IF(K7="",0,4)+IF(M7="",0,4)+IF(O7="",0,5))=0,"",(IF(G7="",0,G7*9)+IF(I7="",0,I7*5)+IF(K7="",0,K7*4)+IF(M7="",0,M7*4)+IF(O7="",0,O7*5))/(IF(G7="",0,9)+IF(I7="",0,5)+IF(K7="",0,4)+IF(M7="",0,4)+IF(O7="",0,5)))</f>
        <v/>
      </c>
      <c r="R7" s="14">
        <f>IF((IF(H7="",0,9)+IF(J7="",0,5)+IF(L7="",0,4)+IF(N7="",0,4)+IF(P7="",0,5))=0,"",(IF(H7="",0,H7*9)+IF(J7="",0,J7*5)+IF(L7="",0,L7*4)+IF(N7="",0,N7*4)+IF(P7="",0,P7*5))/27)</f>
        <v/>
      </c>
      <c r="S7" s="11">
        <f>IF(OR(City_Inputs!$S7="",Norm_Stats!$F$7="",Norm_Stats!$G$7="",Norm_Stats!$G$7=Norm_Stats!$F$7),"",MAX(0,MIN(100,100*(Norm_Stats!$G$7-MIN(MAX(City_Inputs!$S7,Norm_Stats!$F$7),Norm_Stats!$G$7))/(Norm_Stats!$G$7-Norm_Stats!$F$7))))</f>
        <v/>
      </c>
      <c r="T7" s="14">
        <f>IF(S7="","",1)</f>
        <v/>
      </c>
      <c r="U7" s="11">
        <f>IF(OR(City_Inputs!$T7="",Norm_Stats!$F$8="",Norm_Stats!$G$8="",Norm_Stats!$G$8=Norm_Stats!$F$8),"",MAX(0,MIN(100,100*(MIN(MAX(City_Inputs!$T7,Norm_Stats!$F$8),Norm_Stats!$G$8)-Norm_Stats!$F$8)/(Norm_Stats!$G$8-Norm_Stats!$F$8))))</f>
        <v/>
      </c>
      <c r="V7" s="14">
        <f>IF(U7="","",1)</f>
        <v/>
      </c>
      <c r="W7" s="11">
        <f>IF(OR(City_Inputs!$U7="",Norm_Stats!$F$9="",Norm_Stats!$G$9="",Norm_Stats!$G$9=Norm_Stats!$F$9),"",MAX(0,MIN(100,100*(Norm_Stats!$G$9-MIN(MAX(City_Inputs!$U7,Norm_Stats!$F$9),Norm_Stats!$G$9))/(Norm_Stats!$G$9-Norm_Stats!$F$9))))</f>
        <v/>
      </c>
      <c r="X7" s="14">
        <f>IF(W7="","",1)</f>
        <v/>
      </c>
      <c r="Y7" s="11">
        <f>IF(OR(City_Inputs!$V7="",Norm_Stats!$F$10="",Norm_Stats!$G$10="",Norm_Stats!$G$10=Norm_Stats!$F$10),"",MAX(0,MIN(100,100*(MIN(MAX(City_Inputs!$V7,Norm_Stats!$F$10),Norm_Stats!$G$10)-Norm_Stats!$F$10)/(Norm_Stats!$G$10-Norm_Stats!$F$10))))</f>
        <v/>
      </c>
      <c r="Z7" s="14">
        <f>IF(Y7="","",1)</f>
        <v/>
      </c>
      <c r="AA7" s="11">
        <f>IF(OR(City_Inputs!$W7="",Norm_Stats!$F$11="",Norm_Stats!$G$11="",Norm_Stats!$G$11=Norm_Stats!$F$11),"",MAX(0,MIN(100,100*(MIN(MAX(City_Inputs!$W7,Norm_Stats!$F$11),Norm_Stats!$G$11)-Norm_Stats!$F$11)/(Norm_Stats!$G$11-Norm_Stats!$F$11))))</f>
        <v/>
      </c>
      <c r="AB7" s="14">
        <f>IF(AA7="","",1)</f>
        <v/>
      </c>
      <c r="AC7" s="11">
        <f>IF(OR(City_Inputs!$X7="",Norm_Stats!$F$12="",Norm_Stats!$G$12="",Norm_Stats!$G$12=Norm_Stats!$F$12),"",MAX(0,MIN(100,100*(MIN(MAX(City_Inputs!$X7,Norm_Stats!$F$12),Norm_Stats!$G$12)-Norm_Stats!$F$12)/(Norm_Stats!$G$12-Norm_Stats!$F$12))))</f>
        <v/>
      </c>
      <c r="AD7" s="11">
        <f>IF(AC7="","",1)</f>
        <v/>
      </c>
      <c r="AE7" s="15">
        <f>IF((IF(S7="",0,5)+IF(U7="",0,5)+IF(W7="",0,4)+IF(Y7="",0,4)+IF(AA7="",0,4)+IF(AC7="",0,5))=0,"",(IF(S7="",0,S7*5)+IF(U7="",0,U7*5)+IF(W7="",0,W7*4)+IF(Y7="",0,Y7*4)+IF(AA7="",0,AA7*4)+IF(AC7="",0,AC7*5))/(IF(S7="",0,5)+IF(U7="",0,5)+IF(W7="",0,4)+IF(Y7="",0,4)+IF(AA7="",0,4)+IF(AC7="",0,5)))</f>
        <v/>
      </c>
      <c r="AF7" s="14">
        <f>IF((IF(T7="",0,5)+IF(V7="",0,5)+IF(X7="",0,4)+IF(Z7="",0,4)+IF(AB7="",0,4)+IF(AD7="",0,5))=0,"",(IF(T7="",0,T7*5)+IF(V7="",0,V7*5)+IF(X7="",0,X7*4)+IF(Z7="",0,Z7*4)+IF(AB7="",0,AB7*4)+IF(AD7="",0,AD7*5))/27)</f>
        <v/>
      </c>
      <c r="AG7" s="11">
        <f>IF(OR(City_Inputs!$Y7="",Norm_Stats!$F$13="",Norm_Stats!$G$13="",Norm_Stats!$G$13=Norm_Stats!$F$13),"",MAX(0,MIN(100,100*(MIN(MAX(City_Inputs!$Y7,Norm_Stats!$F$13),Norm_Stats!$G$13)-Norm_Stats!$F$13)/(Norm_Stats!$G$13-Norm_Stats!$F$13))))</f>
        <v/>
      </c>
      <c r="AH7" s="14">
        <f>IF(AG7="","",1)</f>
        <v/>
      </c>
      <c r="AI7" s="11">
        <f>IF(OR(City_Inputs!$Z7="",Norm_Stats!$F$14="",Norm_Stats!$G$14="",Norm_Stats!$G$14=Norm_Stats!$F$14),"",MAX(0,MIN(100,100*(MIN(MAX(City_Inputs!$Z7,Norm_Stats!$F$14),Norm_Stats!$G$14)-Norm_Stats!$F$14)/(Norm_Stats!$G$14-Norm_Stats!$F$14))))</f>
        <v/>
      </c>
      <c r="AJ7" s="14">
        <f>IF(AI7="","",1)</f>
        <v/>
      </c>
      <c r="AK7" s="11">
        <f>IF((IF((IF(OR(City_Inputs!$AA7="",Norm_Stats!$F$15="",Norm_Stats!$G$15="",Norm_Stats!$G$15=Norm_Stats!$F$15),"",MAX(0,MIN(100,100*(MIN(MAX(City_Inputs!$AA7,Norm_Stats!$F$15),Norm_Stats!$G$15)-Norm_Stats!$F$15)/(Norm_Stats!$G$15-Norm_Stats!$F$15)))))="",0,0.7)+IF((IF(OR(City_Inputs!$AL7="",Norm_Stats!$F$16="",Norm_Stats!$G$16="",Norm_Stats!$G$16=Norm_Stats!$F$16),"",MAX(0,MIN(100,100*(Norm_Stats!$G$16-MIN(MAX(City_Inputs!$AL7,Norm_Stats!$F$16),Norm_Stats!$G$16))/(Norm_Stats!$G$16-Norm_Stats!$F$16)))))="",0,0.3))=0,"",(IF((IF(OR(City_Inputs!$AA7="",Norm_Stats!$F$15="",Norm_Stats!$G$15="",Norm_Stats!$G$15=Norm_Stats!$F$15),"",MAX(0,MIN(100,100*(MIN(MAX(City_Inputs!$AA7,Norm_Stats!$F$15),Norm_Stats!$G$15)-Norm_Stats!$F$15)/(Norm_Stats!$G$15-Norm_Stats!$F$15)))))="",0,(IF(OR(City_Inputs!$AA7="",Norm_Stats!$F$15="",Norm_Stats!$G$15="",Norm_Stats!$G$15=Norm_Stats!$F$15),"",MAX(0,MIN(100,100*(MIN(MAX(City_Inputs!$AA7,Norm_Stats!$F$15),Norm_Stats!$G$15)-Norm_Stats!$F$15)/(Norm_Stats!$G$15-Norm_Stats!$F$15)))))*0.7)+IF((IF(OR(City_Inputs!$AL7="",Norm_Stats!$F$16="",Norm_Stats!$G$16="",Norm_Stats!$G$16=Norm_Stats!$F$16),"",MAX(0,MIN(100,100*(Norm_Stats!$G$16-MIN(MAX(City_Inputs!$AL7,Norm_Stats!$F$16),Norm_Stats!$G$16))/(Norm_Stats!$G$16-Norm_Stats!$F$16)))))="",0,(IF(OR(City_Inputs!$AL7="",Norm_Stats!$F$16="",Norm_Stats!$G$16="",Norm_Stats!$G$16=Norm_Stats!$F$16),"",MAX(0,MIN(100,100*(Norm_Stats!$G$16-MIN(MAX(City_Inputs!$AL7,Norm_Stats!$F$16),Norm_Stats!$G$16))/(Norm_Stats!$G$16-Norm_Stats!$F$16)))))*0.3))/(IF((IF(OR(City_Inputs!$AA7="",Norm_Stats!$F$15="",Norm_Stats!$G$15="",Norm_Stats!$G$15=Norm_Stats!$F$15),"",MAX(0,MIN(100,100*(MIN(MAX(City_Inputs!$AA7,Norm_Stats!$F$15),Norm_Stats!$G$15)-Norm_Stats!$F$15)/(Norm_Stats!$G$15-Norm_Stats!$F$15)))))="",0,0.7)+IF((IF(OR(City_Inputs!$AL7="",Norm_Stats!$F$16="",Norm_Stats!$G$16="",Norm_Stats!$G$16=Norm_Stats!$F$16),"",MAX(0,MIN(100,100*(Norm_Stats!$G$16-MIN(MAX(City_Inputs!$AL7,Norm_Stats!$F$16),Norm_Stats!$G$16))/(Norm_Stats!$G$16-Norm_Stats!$F$16)))))="",0,0.3)))</f>
        <v/>
      </c>
      <c r="AL7" s="14">
        <f>IF((IF((IF(OR(City_Inputs!$AA7="",Norm_Stats!$F$15="",Norm_Stats!$G$15="",Norm_Stats!$G$15=Norm_Stats!$F$15),"",MAX(0,MIN(100,100*(MIN(MAX(City_Inputs!$AA7,Norm_Stats!$F$15),Norm_Stats!$G$15)-Norm_Stats!$F$15)/(Norm_Stats!$G$15-Norm_Stats!$F$15)))))="",0,0.7)+IF((IF(OR(City_Inputs!$AL7="",Norm_Stats!$F$16="",Norm_Stats!$G$16="",Norm_Stats!$G$16=Norm_Stats!$F$16),"",MAX(0,MIN(100,100*(Norm_Stats!$G$16-MIN(MAX(City_Inputs!$AL7,Norm_Stats!$F$16),Norm_Stats!$G$16))/(Norm_Stats!$G$16-Norm_Stats!$F$16)))))="",0,0.3))=0,"",(IF((IF(OR(City_Inputs!$AA7="",Norm_Stats!$F$15="",Norm_Stats!$G$15="",Norm_Stats!$G$15=Norm_Stats!$F$15),"",MAX(0,MIN(100,100*(MIN(MAX(City_Inputs!$AA7,Norm_Stats!$F$15),Norm_Stats!$G$15)-Norm_Stats!$F$15)/(Norm_Stats!$G$15-Norm_Stats!$F$15)))))="",0,0.7)+IF((IF(OR(City_Inputs!$AL7="",Norm_Stats!$F$16="",Norm_Stats!$G$16="",Norm_Stats!$G$16=Norm_Stats!$F$16),"",MAX(0,MIN(100,100*(Norm_Stats!$G$16-MIN(MAX(City_Inputs!$AL7,Norm_Stats!$F$16),Norm_Stats!$G$16))/(Norm_Stats!$G$16-Norm_Stats!$F$16)))))="",0,0.3)))</f>
        <v/>
      </c>
      <c r="AM7" s="15">
        <f>IF((IF(AG7="",0,8)+IF(AI7="",0,6)+IF(AK7="",0,4))=0,"",(IF(AG7="",0,AG7*8)+IF(AI7="",0,AI7*6)+IF(AK7="",0,AK7*4))/(IF(AG7="",0,8)+IF(AI7="",0,6)+IF(AK7="",0,4)))</f>
        <v/>
      </c>
      <c r="AN7" s="14">
        <f>IF((IF(AH7="",0,8)+IF(AJ7="",0,6)+IF(AL7="",0,4))=0,"",(IF(AH7="",0,AH7*8)+IF(AJ7="",0,AJ7*6)+IF(AL7="",0,AL7*4))/18)</f>
        <v/>
      </c>
      <c r="AO7" s="11">
        <f>IF(OR(City_Inputs!$AB7="",Norm_Stats!$F$17="",Norm_Stats!$G$17="",Norm_Stats!$G$17=Norm_Stats!$F$17),"",MAX(0,MIN(100,100*(MIN(MAX(City_Inputs!$AB7,Norm_Stats!$F$17),Norm_Stats!$G$17)-Norm_Stats!$F$17)/(Norm_Stats!$G$17-Norm_Stats!$F$17))))</f>
        <v/>
      </c>
      <c r="AP7" s="14">
        <f>IF(AO7="","",1)</f>
        <v/>
      </c>
      <c r="AQ7" s="11">
        <f>IF(OR(City_Inputs!$AC7="",Norm_Stats!$F$18="",Norm_Stats!$G$18="",Norm_Stats!$G$18=Norm_Stats!$F$18),"",MAX(0,MIN(100,100*(MIN(MAX(City_Inputs!$AC7,Norm_Stats!$F$18),Norm_Stats!$G$18)-Norm_Stats!$F$18)/(Norm_Stats!$G$18-Norm_Stats!$F$18))))</f>
        <v/>
      </c>
      <c r="AR7" s="14">
        <f>IF(AQ7="","",1)</f>
        <v/>
      </c>
      <c r="AS7" s="11">
        <f>IF(OR(City_Inputs!$AD7="",Norm_Stats!$F$19="",Norm_Stats!$G$19="",Norm_Stats!$G$19=Norm_Stats!$F$19),"",MAX(0,MIN(100,100*(MIN(MAX(City_Inputs!$AD7,Norm_Stats!$F$19),Norm_Stats!$G$19)-Norm_Stats!$F$19)/(Norm_Stats!$G$19-Norm_Stats!$F$19))))</f>
        <v/>
      </c>
      <c r="AT7" s="14">
        <f>IF(AS7="","",1)</f>
        <v/>
      </c>
      <c r="AU7" s="11">
        <f>IF(OR(City_Inputs!$BJ7="",Norm_Stats!$F$26="",Norm_Stats!$G$26="",Norm_Stats!$G$26=Norm_Stats!$F$26),"",MAX(0,MIN(100,100*(MIN(MAX(City_Inputs!$BJ7,Norm_Stats!$F$26),Norm_Stats!$G$26)-Norm_Stats!$F$26)/(Norm_Stats!$G$26-Norm_Stats!$F$26))))</f>
        <v/>
      </c>
      <c r="AV7" s="11">
        <f>IF(AU7="","",1)</f>
        <v/>
      </c>
      <c r="AW7" s="15">
        <f>IF((IF(AO7="",0,5)+IF(AQ7="",0,5)+IF(AS7="",0,5)+IF(AU7="",0,4))=0,"",(IF(AO7="",0,AO7*5)+IF(AQ7="",0,AQ7*5)+IF(AS7="",0,AS7*5)+IF(AU7="",0,AU7*4))/(IF(AO7="",0,5)+IF(AQ7="",0,5)+IF(AS7="",0,5)+IF(AU7="",0,4)))</f>
        <v/>
      </c>
      <c r="AX7" s="14">
        <f>IF((IF(AP7="",0,5)+IF(AR7="",0,5)+IF(AT7="",0,5)+IF(AV7="",0,4))=0,"",(IF(AP7="",0,AP7*5)+IF(AR7="",0,AR7*5)+IF(AT7="",0,AT7*5)+IF(AV7="",0,AV7*4))/19)</f>
        <v/>
      </c>
      <c r="AY7" s="11">
        <f>IF(OR(City_Inputs!$AE7="",Norm_Stats!$F$20="",Norm_Stats!$G$20="",Norm_Stats!$G$20=Norm_Stats!$F$20),"",MAX(0,MIN(100,100*(MIN(MAX(City_Inputs!$AE7,Norm_Stats!$F$20),Norm_Stats!$G$20)-Norm_Stats!$F$20)/(Norm_Stats!$G$20-Norm_Stats!$F$20))))</f>
        <v/>
      </c>
      <c r="AZ7" s="14">
        <f>IF(AY7="","",1)</f>
        <v/>
      </c>
      <c r="BA7" s="11">
        <f>IF(OR(City_Inputs!$AF7="",Norm_Stats!$F$21="",Norm_Stats!$G$21="",Norm_Stats!$G$21=Norm_Stats!$F$21),"",MAX(0,MIN(100,100*(MIN(MAX(City_Inputs!$AF7,Norm_Stats!$F$21),Norm_Stats!$G$21)-Norm_Stats!$F$21)/(Norm_Stats!$G$21-Norm_Stats!$F$21))))</f>
        <v/>
      </c>
      <c r="BB7" s="14">
        <f>IF(BA7="","",1)</f>
        <v/>
      </c>
      <c r="BC7" s="11">
        <f>IF((IF((IF(OR(City_Inputs!$AG7="",Norm_Stats!$F$22="",Norm_Stats!$G$22="",Norm_Stats!$G$22=Norm_Stats!$F$22),"",MAX(0,MIN(100,100*(MIN(MAX(City_Inputs!$AG7,Norm_Stats!$F$22),Norm_Stats!$G$22)-Norm_Stats!$F$22)/(Norm_Stats!$G$22-Norm_Stats!$F$22)))))="",0,0.5)+IF((IF(OR(City_Inputs!$AJ7="",Norm_Stats!$F$23="",Norm_Stats!$G$23="",Norm_Stats!$G$23=Norm_Stats!$F$23),"",MAX(0,MIN(100,100*(MIN(MAX(City_Inputs!$AJ7,Norm_Stats!$F$23),Norm_Stats!$G$23)-Norm_Stats!$F$23)/(Norm_Stats!$G$23-Norm_Stats!$F$23)))))="",0,0.3)+IF((IF(OR(City_Inputs!$AK7="",Norm_Stats!$F$24="",Norm_Stats!$G$24="",Norm_Stats!$G$24=Norm_Stats!$F$24),"",MAX(0,MIN(100,100*(MIN(MAX(City_Inputs!$AK7,Norm_Stats!$F$24),Norm_Stats!$G$24)-Norm_Stats!$F$24)/(Norm_Stats!$G$24-Norm_Stats!$F$24)))))="",0,0.2))=0,"",(IF((IF(OR(City_Inputs!$AG7="",Norm_Stats!$F$22="",Norm_Stats!$G$22="",Norm_Stats!$G$22=Norm_Stats!$F$22),"",MAX(0,MIN(100,100*(MIN(MAX(City_Inputs!$AG7,Norm_Stats!$F$22),Norm_Stats!$G$22)-Norm_Stats!$F$22)/(Norm_Stats!$G$22-Norm_Stats!$F$22)))))="",0,(IF(OR(City_Inputs!$AG7="",Norm_Stats!$F$22="",Norm_Stats!$G$22="",Norm_Stats!$G$22=Norm_Stats!$F$22),"",MAX(0,MIN(100,100*(MIN(MAX(City_Inputs!$AG7,Norm_Stats!$F$22),Norm_Stats!$G$22)-Norm_Stats!$F$22)/(Norm_Stats!$G$22-Norm_Stats!$F$22)))))*0.5)+IF((IF(OR(City_Inputs!$AJ7="",Norm_Stats!$F$23="",Norm_Stats!$G$23="",Norm_Stats!$G$23=Norm_Stats!$F$23),"",MAX(0,MIN(100,100*(MIN(MAX(City_Inputs!$AJ7,Norm_Stats!$F$23),Norm_Stats!$G$23)-Norm_Stats!$F$23)/(Norm_Stats!$G$23-Norm_Stats!$F$23)))))="",0,(IF(OR(City_Inputs!$AJ7="",Norm_Stats!$F$23="",Norm_Stats!$G$23="",Norm_Stats!$G$23=Norm_Stats!$F$23),"",MAX(0,MIN(100,100*(MIN(MAX(City_Inputs!$AJ7,Norm_Stats!$F$23),Norm_Stats!$G$23)-Norm_Stats!$F$23)/(Norm_Stats!$G$23-Norm_Stats!$F$23)))))*0.3)+IF((IF(OR(City_Inputs!$AK7="",Norm_Stats!$F$24="",Norm_Stats!$G$24="",Norm_Stats!$G$24=Norm_Stats!$F$24),"",MAX(0,MIN(100,100*(MIN(MAX(City_Inputs!$AK7,Norm_Stats!$F$24),Norm_Stats!$G$24)-Norm_Stats!$F$24)/(Norm_Stats!$G$24-Norm_Stats!$F$24)))))="",0,(IF(OR(City_Inputs!$AK7="",Norm_Stats!$F$24="",Norm_Stats!$G$24="",Norm_Stats!$G$24=Norm_Stats!$F$24),"",MAX(0,MIN(100,100*(MIN(MAX(City_Inputs!$AK7,Norm_Stats!$F$24),Norm_Stats!$G$24)-Norm_Stats!$F$24)/(Norm_Stats!$G$24-Norm_Stats!$F$24)))))*0.2))/(IF((IF(OR(City_Inputs!$AG7="",Norm_Stats!$F$22="",Norm_Stats!$G$22="",Norm_Stats!$G$22=Norm_Stats!$F$22),"",MAX(0,MIN(100,100*(MIN(MAX(City_Inputs!$AG7,Norm_Stats!$F$22),Norm_Stats!$G$22)-Norm_Stats!$F$22)/(Norm_Stats!$G$22-Norm_Stats!$F$22)))))="",0,0.5)+IF((IF(OR(City_Inputs!$AJ7="",Norm_Stats!$F$23="",Norm_Stats!$G$23="",Norm_Stats!$G$23=Norm_Stats!$F$23),"",MAX(0,MIN(100,100*(MIN(MAX(City_Inputs!$AJ7,Norm_Stats!$F$23),Norm_Stats!$G$23)-Norm_Stats!$F$23)/(Norm_Stats!$G$23-Norm_Stats!$F$23)))))="",0,0.3)+IF((IF(OR(City_Inputs!$AK7="",Norm_Stats!$F$24="",Norm_Stats!$G$24="",Norm_Stats!$G$24=Norm_Stats!$F$24),"",MAX(0,MIN(100,100*(MIN(MAX(City_Inputs!$AK7,Norm_Stats!$F$24),Norm_Stats!$G$24)-Norm_Stats!$F$24)/(Norm_Stats!$G$24-Norm_Stats!$F$24)))))="",0,0.2)))</f>
        <v/>
      </c>
      <c r="BD7" s="14">
        <f>IF((IF((IF(OR(City_Inputs!$AG7="",Norm_Stats!$F$22="",Norm_Stats!$G$22="",Norm_Stats!$G$22=Norm_Stats!$F$22),"",MAX(0,MIN(100,100*(MIN(MAX(City_Inputs!$AG7,Norm_Stats!$F$22),Norm_Stats!$G$22)-Norm_Stats!$F$22)/(Norm_Stats!$G$22-Norm_Stats!$F$22)))))="",0,0.5)+IF((IF(OR(City_Inputs!$AJ7="",Norm_Stats!$F$23="",Norm_Stats!$G$23="",Norm_Stats!$G$23=Norm_Stats!$F$23),"",MAX(0,MIN(100,100*(MIN(MAX(City_Inputs!$AJ7,Norm_Stats!$F$23),Norm_Stats!$G$23)-Norm_Stats!$F$23)/(Norm_Stats!$G$23-Norm_Stats!$F$23)))))="",0,0.3)+IF((IF(OR(City_Inputs!$AK7="",Norm_Stats!$F$24="",Norm_Stats!$G$24="",Norm_Stats!$G$24=Norm_Stats!$F$24),"",MAX(0,MIN(100,100*(MIN(MAX(City_Inputs!$AK7,Norm_Stats!$F$24),Norm_Stats!$G$24)-Norm_Stats!$F$24)/(Norm_Stats!$G$24-Norm_Stats!$F$24)))))="",0,0.2))=0,"",(IF((IF(OR(City_Inputs!$AG7="",Norm_Stats!$F$22="",Norm_Stats!$G$22="",Norm_Stats!$G$22=Norm_Stats!$F$22),"",MAX(0,MIN(100,100*(MIN(MAX(City_Inputs!$AG7,Norm_Stats!$F$22),Norm_Stats!$G$22)-Norm_Stats!$F$22)/(Norm_Stats!$G$22-Norm_Stats!$F$22)))))="",0,0.5)+IF((IF(OR(City_Inputs!$AJ7="",Norm_Stats!$F$23="",Norm_Stats!$G$23="",Norm_Stats!$G$23=Norm_Stats!$F$23),"",MAX(0,MIN(100,100*(MIN(MAX(City_Inputs!$AJ7,Norm_Stats!$F$23),Norm_Stats!$G$23)-Norm_Stats!$F$23)/(Norm_Stats!$G$23-Norm_Stats!$F$23)))))="",0,0.3)+IF((IF(OR(City_Inputs!$AK7="",Norm_Stats!$F$24="",Norm_Stats!$G$24="",Norm_Stats!$G$24=Norm_Stats!$F$24),"",MAX(0,MIN(100,100*(MIN(MAX(City_Inputs!$AK7,Norm_Stats!$F$24),Norm_Stats!$G$24)-Norm_Stats!$F$24)/(Norm_Stats!$G$24-Norm_Stats!$F$24)))))="",0,0.2)))</f>
        <v/>
      </c>
      <c r="BE7" s="11">
        <f>IF(OR(City_Inputs!$AH7="",Norm_Stats!$F$25="",Norm_Stats!$G$25="",Norm_Stats!$G$25=Norm_Stats!$F$25),"",MAX(0,MIN(100,100*(Norm_Stats!$G$25-MIN(MAX(City_Inputs!$AH7,Norm_Stats!$F$25),Norm_Stats!$G$25))/(Norm_Stats!$G$25-Norm_Stats!$F$25))))</f>
        <v/>
      </c>
      <c r="BF7" s="14">
        <f>IF(BE7="","",1)</f>
        <v/>
      </c>
      <c r="BG7" s="15">
        <f>IF((IF(AY7="",0,6)+IF(BA7="",0,5)+IF(BC7="",0,5)+IF(BE7="",0,4))=0,"",(IF(AY7="",0,AY7*6)+IF(BA7="",0,BA7*5)+IF(BC7="",0,BC7*5)+IF(BE7="",0,BE7*4))/(IF(AY7="",0,6)+IF(BA7="",0,5)+IF(BC7="",0,5)+IF(BE7="",0,4)))</f>
        <v/>
      </c>
      <c r="BH7" s="14">
        <f>IF((IF(AZ7="",0,6)+IF(BB7="",0,5)+IF(BD7="",0,5)+IF(BF7="",0,4))=0,"",(IF(AZ7="",0,AZ7*6)+IF(BB7="",0,BB7*5)+IF(BD7="",0,BD7*5)+IF(BF7="",0,BF7*4))/20)</f>
        <v/>
      </c>
      <c r="BI7" s="14">
        <f>IF(AND(R7="",AF7="",AN7="",AX7="",BH7=""),"",((R7*25)+(AF7*22)+(AN7*18)+(AX7*15)+(BH7*20))/100)</f>
        <v/>
      </c>
      <c r="BJ7" s="11">
        <f>IF(BI7="","",IF(BI7&gt;=0.75,"A",IF(BI7&gt;=0.5,"B",IF(BI7&gt;=0.35,"C","Watchlist"))))</f>
        <v/>
      </c>
      <c r="BK7" s="11">
        <f>IF(OR(BI7="",BI7&lt;0.5,R7="",R7&lt;0.35,AF7="",AF7&lt;0.35,AN7="",AN7&lt;0.35,AX7="",AX7&lt;0.35,BH7="",BH7&lt;0.35),"Watchlist","Ranked")</f>
        <v/>
      </c>
      <c r="BL7" s="15">
        <f>IF(AND(Q7="",AE7="",AM7="",AW7="",BG7=""),"",(IF(Q7="",0,Q7*25)+IF(AE7="",0,AE7*22)+IF(AM7="",0,AM7*18)+IF(AW7="",0,AW7*15)+IF(BG7="",0,BG7*20))/(IF(Q7="",0,25)+IF(AE7="",0,22)+IF(AM7="",0,18)+IF(AW7="",0,15)+IF(BG7="",0,20)))</f>
        <v/>
      </c>
      <c r="BM7" s="11">
        <f>IF(BK7="Ranked",1+COUNTIFS($BK$2:$BK$158,"Ranked",$BL$2:$BL$158,"&gt;"&amp;BL7),"")</f>
        <v/>
      </c>
      <c r="BN7" s="11">
        <f>City_Inputs!$AI7</f>
        <v/>
      </c>
    </row>
    <row r="8">
      <c r="A8" t="inlineStr">
        <is>
          <t>th-phuket</t>
        </is>
      </c>
      <c r="B8" t="inlineStr">
        <is>
          <t>Phuket</t>
        </is>
      </c>
      <c r="C8" t="inlineStr">
        <is>
          <t>Thailand</t>
        </is>
      </c>
      <c r="D8" t="inlineStr">
        <is>
          <t>Southeast Asia</t>
        </is>
      </c>
      <c r="E8" t="inlineStr">
        <is>
          <t>locked</t>
        </is>
      </c>
      <c r="F8" t="inlineStr">
        <is>
          <t>secondary</t>
        </is>
      </c>
      <c r="G8" s="11">
        <f>IF(OR(City_Inputs!$M8="",Norm_Stats!$F$2="",Norm_Stats!$G$2="",Norm_Stats!$G$2=Norm_Stats!$F$2),"",MAX(0,MIN(100,100*(MIN(MAX(City_Inputs!$M8,Norm_Stats!$F$2),Norm_Stats!$G$2)-Norm_Stats!$F$2)/(Norm_Stats!$G$2-Norm_Stats!$F$2))))</f>
        <v/>
      </c>
      <c r="H8" s="14">
        <f>IF(G8="","",1)</f>
        <v/>
      </c>
      <c r="I8" s="11">
        <f>IF(OR(City_Inputs!$N8="",Norm_Stats!$F$3="",Norm_Stats!$G$3="",Norm_Stats!$G$3=Norm_Stats!$F$3),"",MAX(0,MIN(100,100*(Norm_Stats!$G$3-MIN(MAX(City_Inputs!$N8,Norm_Stats!$F$3),Norm_Stats!$G$3))/(Norm_Stats!$G$3-Norm_Stats!$F$3))))</f>
        <v/>
      </c>
      <c r="J8" s="14">
        <f>IF(I8="","",1)</f>
        <v/>
      </c>
      <c r="K8" s="11">
        <f>IF(OR(City_Inputs!$P8="",Norm_Stats!$F$4="",Norm_Stats!$G$4="",Norm_Stats!$G$4=Norm_Stats!$F$4),"",MAX(0,MIN(100,100*(Norm_Stats!$G$4-MIN(MAX(City_Inputs!$P8,Norm_Stats!$F$4),Norm_Stats!$G$4))/(Norm_Stats!$G$4-Norm_Stats!$F$4))))</f>
        <v/>
      </c>
      <c r="L8" s="14">
        <f>IF(K8="","",1)</f>
        <v/>
      </c>
      <c r="M8" s="11">
        <f>IF(OR(City_Inputs!$Q8="",Norm_Stats!$F$5="",Norm_Stats!$G$5="",Norm_Stats!$G$5=Norm_Stats!$F$5),"",MAX(0,MIN(100,100*(Norm_Stats!$G$5-MIN(MAX(City_Inputs!$Q8,Norm_Stats!$F$5),Norm_Stats!$G$5))/(Norm_Stats!$G$5-Norm_Stats!$F$5))))</f>
        <v/>
      </c>
      <c r="N8" s="14">
        <f>IF(M8="","",1)</f>
        <v/>
      </c>
      <c r="O8" s="11">
        <f>IF(OR(City_Inputs!$R8="",Norm_Stats!$F$6="",Norm_Stats!$G$6="",Norm_Stats!$G$6=Norm_Stats!$F$6),"",MAX(0,MIN(100,100*(Norm_Stats!$G$6-MIN(MAX(City_Inputs!$R8,Norm_Stats!$F$6),Norm_Stats!$G$6))/(Norm_Stats!$G$6-Norm_Stats!$F$6))))</f>
        <v/>
      </c>
      <c r="P8" s="14">
        <f>IF(O8="","",1)</f>
        <v/>
      </c>
      <c r="Q8" s="15">
        <f>IF((IF(G8="",0,9)+IF(I8="",0,5)+IF(K8="",0,4)+IF(M8="",0,4)+IF(O8="",0,5))=0,"",(IF(G8="",0,G8*9)+IF(I8="",0,I8*5)+IF(K8="",0,K8*4)+IF(M8="",0,M8*4)+IF(O8="",0,O8*5))/(IF(G8="",0,9)+IF(I8="",0,5)+IF(K8="",0,4)+IF(M8="",0,4)+IF(O8="",0,5)))</f>
        <v/>
      </c>
      <c r="R8" s="14">
        <f>IF((IF(H8="",0,9)+IF(J8="",0,5)+IF(L8="",0,4)+IF(N8="",0,4)+IF(P8="",0,5))=0,"",(IF(H8="",0,H8*9)+IF(J8="",0,J8*5)+IF(L8="",0,L8*4)+IF(N8="",0,N8*4)+IF(P8="",0,P8*5))/27)</f>
        <v/>
      </c>
      <c r="S8" s="11">
        <f>IF(OR(City_Inputs!$S8="",Norm_Stats!$F$7="",Norm_Stats!$G$7="",Norm_Stats!$G$7=Norm_Stats!$F$7),"",MAX(0,MIN(100,100*(Norm_Stats!$G$7-MIN(MAX(City_Inputs!$S8,Norm_Stats!$F$7),Norm_Stats!$G$7))/(Norm_Stats!$G$7-Norm_Stats!$F$7))))</f>
        <v/>
      </c>
      <c r="T8" s="14">
        <f>IF(S8="","",1)</f>
        <v/>
      </c>
      <c r="U8" s="11">
        <f>IF(OR(City_Inputs!$T8="",Norm_Stats!$F$8="",Norm_Stats!$G$8="",Norm_Stats!$G$8=Norm_Stats!$F$8),"",MAX(0,MIN(100,100*(MIN(MAX(City_Inputs!$T8,Norm_Stats!$F$8),Norm_Stats!$G$8)-Norm_Stats!$F$8)/(Norm_Stats!$G$8-Norm_Stats!$F$8))))</f>
        <v/>
      </c>
      <c r="V8" s="14">
        <f>IF(U8="","",1)</f>
        <v/>
      </c>
      <c r="W8" s="11">
        <f>IF(OR(City_Inputs!$U8="",Norm_Stats!$F$9="",Norm_Stats!$G$9="",Norm_Stats!$G$9=Norm_Stats!$F$9),"",MAX(0,MIN(100,100*(Norm_Stats!$G$9-MIN(MAX(City_Inputs!$U8,Norm_Stats!$F$9),Norm_Stats!$G$9))/(Norm_Stats!$G$9-Norm_Stats!$F$9))))</f>
        <v/>
      </c>
      <c r="X8" s="14">
        <f>IF(W8="","",1)</f>
        <v/>
      </c>
      <c r="Y8" s="11">
        <f>IF(OR(City_Inputs!$V8="",Norm_Stats!$F$10="",Norm_Stats!$G$10="",Norm_Stats!$G$10=Norm_Stats!$F$10),"",MAX(0,MIN(100,100*(MIN(MAX(City_Inputs!$V8,Norm_Stats!$F$10),Norm_Stats!$G$10)-Norm_Stats!$F$10)/(Norm_Stats!$G$10-Norm_Stats!$F$10))))</f>
        <v/>
      </c>
      <c r="Z8" s="14">
        <f>IF(Y8="","",1)</f>
        <v/>
      </c>
      <c r="AA8" s="11">
        <f>IF(OR(City_Inputs!$W8="",Norm_Stats!$F$11="",Norm_Stats!$G$11="",Norm_Stats!$G$11=Norm_Stats!$F$11),"",MAX(0,MIN(100,100*(MIN(MAX(City_Inputs!$W8,Norm_Stats!$F$11),Norm_Stats!$G$11)-Norm_Stats!$F$11)/(Norm_Stats!$G$11-Norm_Stats!$F$11))))</f>
        <v/>
      </c>
      <c r="AB8" s="14">
        <f>IF(AA8="","",1)</f>
        <v/>
      </c>
      <c r="AC8" s="11">
        <f>IF(OR(City_Inputs!$X8="",Norm_Stats!$F$12="",Norm_Stats!$G$12="",Norm_Stats!$G$12=Norm_Stats!$F$12),"",MAX(0,MIN(100,100*(MIN(MAX(City_Inputs!$X8,Norm_Stats!$F$12),Norm_Stats!$G$12)-Norm_Stats!$F$12)/(Norm_Stats!$G$12-Norm_Stats!$F$12))))</f>
        <v/>
      </c>
      <c r="AD8" s="11">
        <f>IF(AC8="","",1)</f>
        <v/>
      </c>
      <c r="AE8" s="15">
        <f>IF((IF(S8="",0,5)+IF(U8="",0,5)+IF(W8="",0,4)+IF(Y8="",0,4)+IF(AA8="",0,4)+IF(AC8="",0,5))=0,"",(IF(S8="",0,S8*5)+IF(U8="",0,U8*5)+IF(W8="",0,W8*4)+IF(Y8="",0,Y8*4)+IF(AA8="",0,AA8*4)+IF(AC8="",0,AC8*5))/(IF(S8="",0,5)+IF(U8="",0,5)+IF(W8="",0,4)+IF(Y8="",0,4)+IF(AA8="",0,4)+IF(AC8="",0,5)))</f>
        <v/>
      </c>
      <c r="AF8" s="14">
        <f>IF((IF(T8="",0,5)+IF(V8="",0,5)+IF(X8="",0,4)+IF(Z8="",0,4)+IF(AB8="",0,4)+IF(AD8="",0,5))=0,"",(IF(T8="",0,T8*5)+IF(V8="",0,V8*5)+IF(X8="",0,X8*4)+IF(Z8="",0,Z8*4)+IF(AB8="",0,AB8*4)+IF(AD8="",0,AD8*5))/27)</f>
        <v/>
      </c>
      <c r="AG8" s="11">
        <f>IF(OR(City_Inputs!$Y8="",Norm_Stats!$F$13="",Norm_Stats!$G$13="",Norm_Stats!$G$13=Norm_Stats!$F$13),"",MAX(0,MIN(100,100*(MIN(MAX(City_Inputs!$Y8,Norm_Stats!$F$13),Norm_Stats!$G$13)-Norm_Stats!$F$13)/(Norm_Stats!$G$13-Norm_Stats!$F$13))))</f>
        <v/>
      </c>
      <c r="AH8" s="14">
        <f>IF(AG8="","",1)</f>
        <v/>
      </c>
      <c r="AI8" s="11">
        <f>IF(OR(City_Inputs!$Z8="",Norm_Stats!$F$14="",Norm_Stats!$G$14="",Norm_Stats!$G$14=Norm_Stats!$F$14),"",MAX(0,MIN(100,100*(MIN(MAX(City_Inputs!$Z8,Norm_Stats!$F$14),Norm_Stats!$G$14)-Norm_Stats!$F$14)/(Norm_Stats!$G$14-Norm_Stats!$F$14))))</f>
        <v/>
      </c>
      <c r="AJ8" s="14">
        <f>IF(AI8="","",1)</f>
        <v/>
      </c>
      <c r="AK8" s="11">
        <f>IF((IF((IF(OR(City_Inputs!$AA8="",Norm_Stats!$F$15="",Norm_Stats!$G$15="",Norm_Stats!$G$15=Norm_Stats!$F$15),"",MAX(0,MIN(100,100*(MIN(MAX(City_Inputs!$AA8,Norm_Stats!$F$15),Norm_Stats!$G$15)-Norm_Stats!$F$15)/(Norm_Stats!$G$15-Norm_Stats!$F$15)))))="",0,0.7)+IF((IF(OR(City_Inputs!$AL8="",Norm_Stats!$F$16="",Norm_Stats!$G$16="",Norm_Stats!$G$16=Norm_Stats!$F$16),"",MAX(0,MIN(100,100*(Norm_Stats!$G$16-MIN(MAX(City_Inputs!$AL8,Norm_Stats!$F$16),Norm_Stats!$G$16))/(Norm_Stats!$G$16-Norm_Stats!$F$16)))))="",0,0.3))=0,"",(IF((IF(OR(City_Inputs!$AA8="",Norm_Stats!$F$15="",Norm_Stats!$G$15="",Norm_Stats!$G$15=Norm_Stats!$F$15),"",MAX(0,MIN(100,100*(MIN(MAX(City_Inputs!$AA8,Norm_Stats!$F$15),Norm_Stats!$G$15)-Norm_Stats!$F$15)/(Norm_Stats!$G$15-Norm_Stats!$F$15)))))="",0,(IF(OR(City_Inputs!$AA8="",Norm_Stats!$F$15="",Norm_Stats!$G$15="",Norm_Stats!$G$15=Norm_Stats!$F$15),"",MAX(0,MIN(100,100*(MIN(MAX(City_Inputs!$AA8,Norm_Stats!$F$15),Norm_Stats!$G$15)-Norm_Stats!$F$15)/(Norm_Stats!$G$15-Norm_Stats!$F$15)))))*0.7)+IF((IF(OR(City_Inputs!$AL8="",Norm_Stats!$F$16="",Norm_Stats!$G$16="",Norm_Stats!$G$16=Norm_Stats!$F$16),"",MAX(0,MIN(100,100*(Norm_Stats!$G$16-MIN(MAX(City_Inputs!$AL8,Norm_Stats!$F$16),Norm_Stats!$G$16))/(Norm_Stats!$G$16-Norm_Stats!$F$16)))))="",0,(IF(OR(City_Inputs!$AL8="",Norm_Stats!$F$16="",Norm_Stats!$G$16="",Norm_Stats!$G$16=Norm_Stats!$F$16),"",MAX(0,MIN(100,100*(Norm_Stats!$G$16-MIN(MAX(City_Inputs!$AL8,Norm_Stats!$F$16),Norm_Stats!$G$16))/(Norm_Stats!$G$16-Norm_Stats!$F$16)))))*0.3))/(IF((IF(OR(City_Inputs!$AA8="",Norm_Stats!$F$15="",Norm_Stats!$G$15="",Norm_Stats!$G$15=Norm_Stats!$F$15),"",MAX(0,MIN(100,100*(MIN(MAX(City_Inputs!$AA8,Norm_Stats!$F$15),Norm_Stats!$G$15)-Norm_Stats!$F$15)/(Norm_Stats!$G$15-Norm_Stats!$F$15)))))="",0,0.7)+IF((IF(OR(City_Inputs!$AL8="",Norm_Stats!$F$16="",Norm_Stats!$G$16="",Norm_Stats!$G$16=Norm_Stats!$F$16),"",MAX(0,MIN(100,100*(Norm_Stats!$G$16-MIN(MAX(City_Inputs!$AL8,Norm_Stats!$F$16),Norm_Stats!$G$16))/(Norm_Stats!$G$16-Norm_Stats!$F$16)))))="",0,0.3)))</f>
        <v/>
      </c>
      <c r="AL8" s="14">
        <f>IF((IF((IF(OR(City_Inputs!$AA8="",Norm_Stats!$F$15="",Norm_Stats!$G$15="",Norm_Stats!$G$15=Norm_Stats!$F$15),"",MAX(0,MIN(100,100*(MIN(MAX(City_Inputs!$AA8,Norm_Stats!$F$15),Norm_Stats!$G$15)-Norm_Stats!$F$15)/(Norm_Stats!$G$15-Norm_Stats!$F$15)))))="",0,0.7)+IF((IF(OR(City_Inputs!$AL8="",Norm_Stats!$F$16="",Norm_Stats!$G$16="",Norm_Stats!$G$16=Norm_Stats!$F$16),"",MAX(0,MIN(100,100*(Norm_Stats!$G$16-MIN(MAX(City_Inputs!$AL8,Norm_Stats!$F$16),Norm_Stats!$G$16))/(Norm_Stats!$G$16-Norm_Stats!$F$16)))))="",0,0.3))=0,"",(IF((IF(OR(City_Inputs!$AA8="",Norm_Stats!$F$15="",Norm_Stats!$G$15="",Norm_Stats!$G$15=Norm_Stats!$F$15),"",MAX(0,MIN(100,100*(MIN(MAX(City_Inputs!$AA8,Norm_Stats!$F$15),Norm_Stats!$G$15)-Norm_Stats!$F$15)/(Norm_Stats!$G$15-Norm_Stats!$F$15)))))="",0,0.7)+IF((IF(OR(City_Inputs!$AL8="",Norm_Stats!$F$16="",Norm_Stats!$G$16="",Norm_Stats!$G$16=Norm_Stats!$F$16),"",MAX(0,MIN(100,100*(Norm_Stats!$G$16-MIN(MAX(City_Inputs!$AL8,Norm_Stats!$F$16),Norm_Stats!$G$16))/(Norm_Stats!$G$16-Norm_Stats!$F$16)))))="",0,0.3)))</f>
        <v/>
      </c>
      <c r="AM8" s="15">
        <f>IF((IF(AG8="",0,8)+IF(AI8="",0,6)+IF(AK8="",0,4))=0,"",(IF(AG8="",0,AG8*8)+IF(AI8="",0,AI8*6)+IF(AK8="",0,AK8*4))/(IF(AG8="",0,8)+IF(AI8="",0,6)+IF(AK8="",0,4)))</f>
        <v/>
      </c>
      <c r="AN8" s="14">
        <f>IF((IF(AH8="",0,8)+IF(AJ8="",0,6)+IF(AL8="",0,4))=0,"",(IF(AH8="",0,AH8*8)+IF(AJ8="",0,AJ8*6)+IF(AL8="",0,AL8*4))/18)</f>
        <v/>
      </c>
      <c r="AO8" s="11">
        <f>IF(OR(City_Inputs!$AB8="",Norm_Stats!$F$17="",Norm_Stats!$G$17="",Norm_Stats!$G$17=Norm_Stats!$F$17),"",MAX(0,MIN(100,100*(MIN(MAX(City_Inputs!$AB8,Norm_Stats!$F$17),Norm_Stats!$G$17)-Norm_Stats!$F$17)/(Norm_Stats!$G$17-Norm_Stats!$F$17))))</f>
        <v/>
      </c>
      <c r="AP8" s="14">
        <f>IF(AO8="","",1)</f>
        <v/>
      </c>
      <c r="AQ8" s="11">
        <f>IF(OR(City_Inputs!$AC8="",Norm_Stats!$F$18="",Norm_Stats!$G$18="",Norm_Stats!$G$18=Norm_Stats!$F$18),"",MAX(0,MIN(100,100*(MIN(MAX(City_Inputs!$AC8,Norm_Stats!$F$18),Norm_Stats!$G$18)-Norm_Stats!$F$18)/(Norm_Stats!$G$18-Norm_Stats!$F$18))))</f>
        <v/>
      </c>
      <c r="AR8" s="14">
        <f>IF(AQ8="","",1)</f>
        <v/>
      </c>
      <c r="AS8" s="11">
        <f>IF(OR(City_Inputs!$AD8="",Norm_Stats!$F$19="",Norm_Stats!$G$19="",Norm_Stats!$G$19=Norm_Stats!$F$19),"",MAX(0,MIN(100,100*(MIN(MAX(City_Inputs!$AD8,Norm_Stats!$F$19),Norm_Stats!$G$19)-Norm_Stats!$F$19)/(Norm_Stats!$G$19-Norm_Stats!$F$19))))</f>
        <v/>
      </c>
      <c r="AT8" s="14">
        <f>IF(AS8="","",1)</f>
        <v/>
      </c>
      <c r="AU8" s="11">
        <f>IF(OR(City_Inputs!$BJ8="",Norm_Stats!$F$26="",Norm_Stats!$G$26="",Norm_Stats!$G$26=Norm_Stats!$F$26),"",MAX(0,MIN(100,100*(MIN(MAX(City_Inputs!$BJ8,Norm_Stats!$F$26),Norm_Stats!$G$26)-Norm_Stats!$F$26)/(Norm_Stats!$G$26-Norm_Stats!$F$26))))</f>
        <v/>
      </c>
      <c r="AV8" s="11">
        <f>IF(AU8="","",1)</f>
        <v/>
      </c>
      <c r="AW8" s="15">
        <f>IF((IF(AO8="",0,5)+IF(AQ8="",0,5)+IF(AS8="",0,5)+IF(AU8="",0,4))=0,"",(IF(AO8="",0,AO8*5)+IF(AQ8="",0,AQ8*5)+IF(AS8="",0,AS8*5)+IF(AU8="",0,AU8*4))/(IF(AO8="",0,5)+IF(AQ8="",0,5)+IF(AS8="",0,5)+IF(AU8="",0,4)))</f>
        <v/>
      </c>
      <c r="AX8" s="14">
        <f>IF((IF(AP8="",0,5)+IF(AR8="",0,5)+IF(AT8="",0,5)+IF(AV8="",0,4))=0,"",(IF(AP8="",0,AP8*5)+IF(AR8="",0,AR8*5)+IF(AT8="",0,AT8*5)+IF(AV8="",0,AV8*4))/19)</f>
        <v/>
      </c>
      <c r="AY8" s="11">
        <f>IF(OR(City_Inputs!$AE8="",Norm_Stats!$F$20="",Norm_Stats!$G$20="",Norm_Stats!$G$20=Norm_Stats!$F$20),"",MAX(0,MIN(100,100*(MIN(MAX(City_Inputs!$AE8,Norm_Stats!$F$20),Norm_Stats!$G$20)-Norm_Stats!$F$20)/(Norm_Stats!$G$20-Norm_Stats!$F$20))))</f>
        <v/>
      </c>
      <c r="AZ8" s="14">
        <f>IF(AY8="","",1)</f>
        <v/>
      </c>
      <c r="BA8" s="11">
        <f>IF(OR(City_Inputs!$AF8="",Norm_Stats!$F$21="",Norm_Stats!$G$21="",Norm_Stats!$G$21=Norm_Stats!$F$21),"",MAX(0,MIN(100,100*(MIN(MAX(City_Inputs!$AF8,Norm_Stats!$F$21),Norm_Stats!$G$21)-Norm_Stats!$F$21)/(Norm_Stats!$G$21-Norm_Stats!$F$21))))</f>
        <v/>
      </c>
      <c r="BB8" s="14">
        <f>IF(BA8="","",1)</f>
        <v/>
      </c>
      <c r="BC8" s="11">
        <f>IF((IF((IF(OR(City_Inputs!$AG8="",Norm_Stats!$F$22="",Norm_Stats!$G$22="",Norm_Stats!$G$22=Norm_Stats!$F$22),"",MAX(0,MIN(100,100*(MIN(MAX(City_Inputs!$AG8,Norm_Stats!$F$22),Norm_Stats!$G$22)-Norm_Stats!$F$22)/(Norm_Stats!$G$22-Norm_Stats!$F$22)))))="",0,0.5)+IF((IF(OR(City_Inputs!$AJ8="",Norm_Stats!$F$23="",Norm_Stats!$G$23="",Norm_Stats!$G$23=Norm_Stats!$F$23),"",MAX(0,MIN(100,100*(MIN(MAX(City_Inputs!$AJ8,Norm_Stats!$F$23),Norm_Stats!$G$23)-Norm_Stats!$F$23)/(Norm_Stats!$G$23-Norm_Stats!$F$23)))))="",0,0.3)+IF((IF(OR(City_Inputs!$AK8="",Norm_Stats!$F$24="",Norm_Stats!$G$24="",Norm_Stats!$G$24=Norm_Stats!$F$24),"",MAX(0,MIN(100,100*(MIN(MAX(City_Inputs!$AK8,Norm_Stats!$F$24),Norm_Stats!$G$24)-Norm_Stats!$F$24)/(Norm_Stats!$G$24-Norm_Stats!$F$24)))))="",0,0.2))=0,"",(IF((IF(OR(City_Inputs!$AG8="",Norm_Stats!$F$22="",Norm_Stats!$G$22="",Norm_Stats!$G$22=Norm_Stats!$F$22),"",MAX(0,MIN(100,100*(MIN(MAX(City_Inputs!$AG8,Norm_Stats!$F$22),Norm_Stats!$G$22)-Norm_Stats!$F$22)/(Norm_Stats!$G$22-Norm_Stats!$F$22)))))="",0,(IF(OR(City_Inputs!$AG8="",Norm_Stats!$F$22="",Norm_Stats!$G$22="",Norm_Stats!$G$22=Norm_Stats!$F$22),"",MAX(0,MIN(100,100*(MIN(MAX(City_Inputs!$AG8,Norm_Stats!$F$22),Norm_Stats!$G$22)-Norm_Stats!$F$22)/(Norm_Stats!$G$22-Norm_Stats!$F$22)))))*0.5)+IF((IF(OR(City_Inputs!$AJ8="",Norm_Stats!$F$23="",Norm_Stats!$G$23="",Norm_Stats!$G$23=Norm_Stats!$F$23),"",MAX(0,MIN(100,100*(MIN(MAX(City_Inputs!$AJ8,Norm_Stats!$F$23),Norm_Stats!$G$23)-Norm_Stats!$F$23)/(Norm_Stats!$G$23-Norm_Stats!$F$23)))))="",0,(IF(OR(City_Inputs!$AJ8="",Norm_Stats!$F$23="",Norm_Stats!$G$23="",Norm_Stats!$G$23=Norm_Stats!$F$23),"",MAX(0,MIN(100,100*(MIN(MAX(City_Inputs!$AJ8,Norm_Stats!$F$23),Norm_Stats!$G$23)-Norm_Stats!$F$23)/(Norm_Stats!$G$23-Norm_Stats!$F$23)))))*0.3)+IF((IF(OR(City_Inputs!$AK8="",Norm_Stats!$F$24="",Norm_Stats!$G$24="",Norm_Stats!$G$24=Norm_Stats!$F$24),"",MAX(0,MIN(100,100*(MIN(MAX(City_Inputs!$AK8,Norm_Stats!$F$24),Norm_Stats!$G$24)-Norm_Stats!$F$24)/(Norm_Stats!$G$24-Norm_Stats!$F$24)))))="",0,(IF(OR(City_Inputs!$AK8="",Norm_Stats!$F$24="",Norm_Stats!$G$24="",Norm_Stats!$G$24=Norm_Stats!$F$24),"",MAX(0,MIN(100,100*(MIN(MAX(City_Inputs!$AK8,Norm_Stats!$F$24),Norm_Stats!$G$24)-Norm_Stats!$F$24)/(Norm_Stats!$G$24-Norm_Stats!$F$24)))))*0.2))/(IF((IF(OR(City_Inputs!$AG8="",Norm_Stats!$F$22="",Norm_Stats!$G$22="",Norm_Stats!$G$22=Norm_Stats!$F$22),"",MAX(0,MIN(100,100*(MIN(MAX(City_Inputs!$AG8,Norm_Stats!$F$22),Norm_Stats!$G$22)-Norm_Stats!$F$22)/(Norm_Stats!$G$22-Norm_Stats!$F$22)))))="",0,0.5)+IF((IF(OR(City_Inputs!$AJ8="",Norm_Stats!$F$23="",Norm_Stats!$G$23="",Norm_Stats!$G$23=Norm_Stats!$F$23),"",MAX(0,MIN(100,100*(MIN(MAX(City_Inputs!$AJ8,Norm_Stats!$F$23),Norm_Stats!$G$23)-Norm_Stats!$F$23)/(Norm_Stats!$G$23-Norm_Stats!$F$23)))))="",0,0.3)+IF((IF(OR(City_Inputs!$AK8="",Norm_Stats!$F$24="",Norm_Stats!$G$24="",Norm_Stats!$G$24=Norm_Stats!$F$24),"",MAX(0,MIN(100,100*(MIN(MAX(City_Inputs!$AK8,Norm_Stats!$F$24),Norm_Stats!$G$24)-Norm_Stats!$F$24)/(Norm_Stats!$G$24-Norm_Stats!$F$24)))))="",0,0.2)))</f>
        <v/>
      </c>
      <c r="BD8" s="14">
        <f>IF((IF((IF(OR(City_Inputs!$AG8="",Norm_Stats!$F$22="",Norm_Stats!$G$22="",Norm_Stats!$G$22=Norm_Stats!$F$22),"",MAX(0,MIN(100,100*(MIN(MAX(City_Inputs!$AG8,Norm_Stats!$F$22),Norm_Stats!$G$22)-Norm_Stats!$F$22)/(Norm_Stats!$G$22-Norm_Stats!$F$22)))))="",0,0.5)+IF((IF(OR(City_Inputs!$AJ8="",Norm_Stats!$F$23="",Norm_Stats!$G$23="",Norm_Stats!$G$23=Norm_Stats!$F$23),"",MAX(0,MIN(100,100*(MIN(MAX(City_Inputs!$AJ8,Norm_Stats!$F$23),Norm_Stats!$G$23)-Norm_Stats!$F$23)/(Norm_Stats!$G$23-Norm_Stats!$F$23)))))="",0,0.3)+IF((IF(OR(City_Inputs!$AK8="",Norm_Stats!$F$24="",Norm_Stats!$G$24="",Norm_Stats!$G$24=Norm_Stats!$F$24),"",MAX(0,MIN(100,100*(MIN(MAX(City_Inputs!$AK8,Norm_Stats!$F$24),Norm_Stats!$G$24)-Norm_Stats!$F$24)/(Norm_Stats!$G$24-Norm_Stats!$F$24)))))="",0,0.2))=0,"",(IF((IF(OR(City_Inputs!$AG8="",Norm_Stats!$F$22="",Norm_Stats!$G$22="",Norm_Stats!$G$22=Norm_Stats!$F$22),"",MAX(0,MIN(100,100*(MIN(MAX(City_Inputs!$AG8,Norm_Stats!$F$22),Norm_Stats!$G$22)-Norm_Stats!$F$22)/(Norm_Stats!$G$22-Norm_Stats!$F$22)))))="",0,0.5)+IF((IF(OR(City_Inputs!$AJ8="",Norm_Stats!$F$23="",Norm_Stats!$G$23="",Norm_Stats!$G$23=Norm_Stats!$F$23),"",MAX(0,MIN(100,100*(MIN(MAX(City_Inputs!$AJ8,Norm_Stats!$F$23),Norm_Stats!$G$23)-Norm_Stats!$F$23)/(Norm_Stats!$G$23-Norm_Stats!$F$23)))))="",0,0.3)+IF((IF(OR(City_Inputs!$AK8="",Norm_Stats!$F$24="",Norm_Stats!$G$24="",Norm_Stats!$G$24=Norm_Stats!$F$24),"",MAX(0,MIN(100,100*(MIN(MAX(City_Inputs!$AK8,Norm_Stats!$F$24),Norm_Stats!$G$24)-Norm_Stats!$F$24)/(Norm_Stats!$G$24-Norm_Stats!$F$24)))))="",0,0.2)))</f>
        <v/>
      </c>
      <c r="BE8" s="11">
        <f>IF(OR(City_Inputs!$AH8="",Norm_Stats!$F$25="",Norm_Stats!$G$25="",Norm_Stats!$G$25=Norm_Stats!$F$25),"",MAX(0,MIN(100,100*(Norm_Stats!$G$25-MIN(MAX(City_Inputs!$AH8,Norm_Stats!$F$25),Norm_Stats!$G$25))/(Norm_Stats!$G$25-Norm_Stats!$F$25))))</f>
        <v/>
      </c>
      <c r="BF8" s="14">
        <f>IF(BE8="","",1)</f>
        <v/>
      </c>
      <c r="BG8" s="15">
        <f>IF((IF(AY8="",0,6)+IF(BA8="",0,5)+IF(BC8="",0,5)+IF(BE8="",0,4))=0,"",(IF(AY8="",0,AY8*6)+IF(BA8="",0,BA8*5)+IF(BC8="",0,BC8*5)+IF(BE8="",0,BE8*4))/(IF(AY8="",0,6)+IF(BA8="",0,5)+IF(BC8="",0,5)+IF(BE8="",0,4)))</f>
        <v/>
      </c>
      <c r="BH8" s="14">
        <f>IF((IF(AZ8="",0,6)+IF(BB8="",0,5)+IF(BD8="",0,5)+IF(BF8="",0,4))=0,"",(IF(AZ8="",0,AZ8*6)+IF(BB8="",0,BB8*5)+IF(BD8="",0,BD8*5)+IF(BF8="",0,BF8*4))/20)</f>
        <v/>
      </c>
      <c r="BI8" s="14">
        <f>IF(AND(R8="",AF8="",AN8="",AX8="",BH8=""),"",((R8*25)+(AF8*22)+(AN8*18)+(AX8*15)+(BH8*20))/100)</f>
        <v/>
      </c>
      <c r="BJ8" s="11">
        <f>IF(BI8="","",IF(BI8&gt;=0.75,"A",IF(BI8&gt;=0.5,"B",IF(BI8&gt;=0.35,"C","Watchlist"))))</f>
        <v/>
      </c>
      <c r="BK8" s="11">
        <f>IF(OR(BI8="",BI8&lt;0.5,R8="",R8&lt;0.35,AF8="",AF8&lt;0.35,AN8="",AN8&lt;0.35,AX8="",AX8&lt;0.35,BH8="",BH8&lt;0.35),"Watchlist","Ranked")</f>
        <v/>
      </c>
      <c r="BL8" s="15">
        <f>IF(AND(Q8="",AE8="",AM8="",AW8="",BG8=""),"",(IF(Q8="",0,Q8*25)+IF(AE8="",0,AE8*22)+IF(AM8="",0,AM8*18)+IF(AW8="",0,AW8*15)+IF(BG8="",0,BG8*20))/(IF(Q8="",0,25)+IF(AE8="",0,22)+IF(AM8="",0,18)+IF(AW8="",0,15)+IF(BG8="",0,20)))</f>
        <v/>
      </c>
      <c r="BM8" s="11">
        <f>IF(BK8="Ranked",1+COUNTIFS($BK$2:$BK$158,"Ranked",$BL$2:$BL$158,"&gt;"&amp;BL8),"")</f>
        <v/>
      </c>
      <c r="BN8" s="11">
        <f>City_Inputs!$AI8</f>
        <v/>
      </c>
    </row>
    <row r="9">
      <c r="A9" t="inlineStr">
        <is>
          <t>th-chiang-mai</t>
        </is>
      </c>
      <c r="B9" t="inlineStr">
        <is>
          <t>Chiang Mai</t>
        </is>
      </c>
      <c r="C9" t="inlineStr">
        <is>
          <t>Thailand</t>
        </is>
      </c>
      <c r="D9" t="inlineStr">
        <is>
          <t>Southeast Asia</t>
        </is>
      </c>
      <c r="E9" t="inlineStr">
        <is>
          <t>locked</t>
        </is>
      </c>
      <c r="F9" t="inlineStr">
        <is>
          <t>secondary</t>
        </is>
      </c>
      <c r="G9" s="11">
        <f>IF(OR(City_Inputs!$M9="",Norm_Stats!$F$2="",Norm_Stats!$G$2="",Norm_Stats!$G$2=Norm_Stats!$F$2),"",MAX(0,MIN(100,100*(MIN(MAX(City_Inputs!$M9,Norm_Stats!$F$2),Norm_Stats!$G$2)-Norm_Stats!$F$2)/(Norm_Stats!$G$2-Norm_Stats!$F$2))))</f>
        <v/>
      </c>
      <c r="H9" s="14">
        <f>IF(G9="","",1)</f>
        <v/>
      </c>
      <c r="I9" s="11">
        <f>IF(OR(City_Inputs!$N9="",Norm_Stats!$F$3="",Norm_Stats!$G$3="",Norm_Stats!$G$3=Norm_Stats!$F$3),"",MAX(0,MIN(100,100*(Norm_Stats!$G$3-MIN(MAX(City_Inputs!$N9,Norm_Stats!$F$3),Norm_Stats!$G$3))/(Norm_Stats!$G$3-Norm_Stats!$F$3))))</f>
        <v/>
      </c>
      <c r="J9" s="14">
        <f>IF(I9="","",1)</f>
        <v/>
      </c>
      <c r="K9" s="11">
        <f>IF(OR(City_Inputs!$P9="",Norm_Stats!$F$4="",Norm_Stats!$G$4="",Norm_Stats!$G$4=Norm_Stats!$F$4),"",MAX(0,MIN(100,100*(Norm_Stats!$G$4-MIN(MAX(City_Inputs!$P9,Norm_Stats!$F$4),Norm_Stats!$G$4))/(Norm_Stats!$G$4-Norm_Stats!$F$4))))</f>
        <v/>
      </c>
      <c r="L9" s="14">
        <f>IF(K9="","",1)</f>
        <v/>
      </c>
      <c r="M9" s="11">
        <f>IF(OR(City_Inputs!$Q9="",Norm_Stats!$F$5="",Norm_Stats!$G$5="",Norm_Stats!$G$5=Norm_Stats!$F$5),"",MAX(0,MIN(100,100*(Norm_Stats!$G$5-MIN(MAX(City_Inputs!$Q9,Norm_Stats!$F$5),Norm_Stats!$G$5))/(Norm_Stats!$G$5-Norm_Stats!$F$5))))</f>
        <v/>
      </c>
      <c r="N9" s="14">
        <f>IF(M9="","",1)</f>
        <v/>
      </c>
      <c r="O9" s="11">
        <f>IF(OR(City_Inputs!$R9="",Norm_Stats!$F$6="",Norm_Stats!$G$6="",Norm_Stats!$G$6=Norm_Stats!$F$6),"",MAX(0,MIN(100,100*(Norm_Stats!$G$6-MIN(MAX(City_Inputs!$R9,Norm_Stats!$F$6),Norm_Stats!$G$6))/(Norm_Stats!$G$6-Norm_Stats!$F$6))))</f>
        <v/>
      </c>
      <c r="P9" s="14">
        <f>IF(O9="","",1)</f>
        <v/>
      </c>
      <c r="Q9" s="15">
        <f>IF((IF(G9="",0,9)+IF(I9="",0,5)+IF(K9="",0,4)+IF(M9="",0,4)+IF(O9="",0,5))=0,"",(IF(G9="",0,G9*9)+IF(I9="",0,I9*5)+IF(K9="",0,K9*4)+IF(M9="",0,M9*4)+IF(O9="",0,O9*5))/(IF(G9="",0,9)+IF(I9="",0,5)+IF(K9="",0,4)+IF(M9="",0,4)+IF(O9="",0,5)))</f>
        <v/>
      </c>
      <c r="R9" s="14">
        <f>IF((IF(H9="",0,9)+IF(J9="",0,5)+IF(L9="",0,4)+IF(N9="",0,4)+IF(P9="",0,5))=0,"",(IF(H9="",0,H9*9)+IF(J9="",0,J9*5)+IF(L9="",0,L9*4)+IF(N9="",0,N9*4)+IF(P9="",0,P9*5))/27)</f>
        <v/>
      </c>
      <c r="S9" s="11">
        <f>IF(OR(City_Inputs!$S9="",Norm_Stats!$F$7="",Norm_Stats!$G$7="",Norm_Stats!$G$7=Norm_Stats!$F$7),"",MAX(0,MIN(100,100*(Norm_Stats!$G$7-MIN(MAX(City_Inputs!$S9,Norm_Stats!$F$7),Norm_Stats!$G$7))/(Norm_Stats!$G$7-Norm_Stats!$F$7))))</f>
        <v/>
      </c>
      <c r="T9" s="14">
        <f>IF(S9="","",1)</f>
        <v/>
      </c>
      <c r="U9" s="11">
        <f>IF(OR(City_Inputs!$T9="",Norm_Stats!$F$8="",Norm_Stats!$G$8="",Norm_Stats!$G$8=Norm_Stats!$F$8),"",MAX(0,MIN(100,100*(MIN(MAX(City_Inputs!$T9,Norm_Stats!$F$8),Norm_Stats!$G$8)-Norm_Stats!$F$8)/(Norm_Stats!$G$8-Norm_Stats!$F$8))))</f>
        <v/>
      </c>
      <c r="V9" s="14">
        <f>IF(U9="","",1)</f>
        <v/>
      </c>
      <c r="W9" s="11">
        <f>IF(OR(City_Inputs!$U9="",Norm_Stats!$F$9="",Norm_Stats!$G$9="",Norm_Stats!$G$9=Norm_Stats!$F$9),"",MAX(0,MIN(100,100*(Norm_Stats!$G$9-MIN(MAX(City_Inputs!$U9,Norm_Stats!$F$9),Norm_Stats!$G$9))/(Norm_Stats!$G$9-Norm_Stats!$F$9))))</f>
        <v/>
      </c>
      <c r="X9" s="14">
        <f>IF(W9="","",1)</f>
        <v/>
      </c>
      <c r="Y9" s="11">
        <f>IF(OR(City_Inputs!$V9="",Norm_Stats!$F$10="",Norm_Stats!$G$10="",Norm_Stats!$G$10=Norm_Stats!$F$10),"",MAX(0,MIN(100,100*(MIN(MAX(City_Inputs!$V9,Norm_Stats!$F$10),Norm_Stats!$G$10)-Norm_Stats!$F$10)/(Norm_Stats!$G$10-Norm_Stats!$F$10))))</f>
        <v/>
      </c>
      <c r="Z9" s="14">
        <f>IF(Y9="","",1)</f>
        <v/>
      </c>
      <c r="AA9" s="11">
        <f>IF(OR(City_Inputs!$W9="",Norm_Stats!$F$11="",Norm_Stats!$G$11="",Norm_Stats!$G$11=Norm_Stats!$F$11),"",MAX(0,MIN(100,100*(MIN(MAX(City_Inputs!$W9,Norm_Stats!$F$11),Norm_Stats!$G$11)-Norm_Stats!$F$11)/(Norm_Stats!$G$11-Norm_Stats!$F$11))))</f>
        <v/>
      </c>
      <c r="AB9" s="14">
        <f>IF(AA9="","",1)</f>
        <v/>
      </c>
      <c r="AC9" s="11">
        <f>IF(OR(City_Inputs!$X9="",Norm_Stats!$F$12="",Norm_Stats!$G$12="",Norm_Stats!$G$12=Norm_Stats!$F$12),"",MAX(0,MIN(100,100*(MIN(MAX(City_Inputs!$X9,Norm_Stats!$F$12),Norm_Stats!$G$12)-Norm_Stats!$F$12)/(Norm_Stats!$G$12-Norm_Stats!$F$12))))</f>
        <v/>
      </c>
      <c r="AD9" s="11">
        <f>IF(AC9="","",1)</f>
        <v/>
      </c>
      <c r="AE9" s="15">
        <f>IF((IF(S9="",0,5)+IF(U9="",0,5)+IF(W9="",0,4)+IF(Y9="",0,4)+IF(AA9="",0,4)+IF(AC9="",0,5))=0,"",(IF(S9="",0,S9*5)+IF(U9="",0,U9*5)+IF(W9="",0,W9*4)+IF(Y9="",0,Y9*4)+IF(AA9="",0,AA9*4)+IF(AC9="",0,AC9*5))/(IF(S9="",0,5)+IF(U9="",0,5)+IF(W9="",0,4)+IF(Y9="",0,4)+IF(AA9="",0,4)+IF(AC9="",0,5)))</f>
        <v/>
      </c>
      <c r="AF9" s="14">
        <f>IF((IF(T9="",0,5)+IF(V9="",0,5)+IF(X9="",0,4)+IF(Z9="",0,4)+IF(AB9="",0,4)+IF(AD9="",0,5))=0,"",(IF(T9="",0,T9*5)+IF(V9="",0,V9*5)+IF(X9="",0,X9*4)+IF(Z9="",0,Z9*4)+IF(AB9="",0,AB9*4)+IF(AD9="",0,AD9*5))/27)</f>
        <v/>
      </c>
      <c r="AG9" s="11">
        <f>IF(OR(City_Inputs!$Y9="",Norm_Stats!$F$13="",Norm_Stats!$G$13="",Norm_Stats!$G$13=Norm_Stats!$F$13),"",MAX(0,MIN(100,100*(MIN(MAX(City_Inputs!$Y9,Norm_Stats!$F$13),Norm_Stats!$G$13)-Norm_Stats!$F$13)/(Norm_Stats!$G$13-Norm_Stats!$F$13))))</f>
        <v/>
      </c>
      <c r="AH9" s="14">
        <f>IF(AG9="","",1)</f>
        <v/>
      </c>
      <c r="AI9" s="11">
        <f>IF(OR(City_Inputs!$Z9="",Norm_Stats!$F$14="",Norm_Stats!$G$14="",Norm_Stats!$G$14=Norm_Stats!$F$14),"",MAX(0,MIN(100,100*(MIN(MAX(City_Inputs!$Z9,Norm_Stats!$F$14),Norm_Stats!$G$14)-Norm_Stats!$F$14)/(Norm_Stats!$G$14-Norm_Stats!$F$14))))</f>
        <v/>
      </c>
      <c r="AJ9" s="14">
        <f>IF(AI9="","",1)</f>
        <v/>
      </c>
      <c r="AK9" s="11">
        <f>IF((IF((IF(OR(City_Inputs!$AA9="",Norm_Stats!$F$15="",Norm_Stats!$G$15="",Norm_Stats!$G$15=Norm_Stats!$F$15),"",MAX(0,MIN(100,100*(MIN(MAX(City_Inputs!$AA9,Norm_Stats!$F$15),Norm_Stats!$G$15)-Norm_Stats!$F$15)/(Norm_Stats!$G$15-Norm_Stats!$F$15)))))="",0,0.7)+IF((IF(OR(City_Inputs!$AL9="",Norm_Stats!$F$16="",Norm_Stats!$G$16="",Norm_Stats!$G$16=Norm_Stats!$F$16),"",MAX(0,MIN(100,100*(Norm_Stats!$G$16-MIN(MAX(City_Inputs!$AL9,Norm_Stats!$F$16),Norm_Stats!$G$16))/(Norm_Stats!$G$16-Norm_Stats!$F$16)))))="",0,0.3))=0,"",(IF((IF(OR(City_Inputs!$AA9="",Norm_Stats!$F$15="",Norm_Stats!$G$15="",Norm_Stats!$G$15=Norm_Stats!$F$15),"",MAX(0,MIN(100,100*(MIN(MAX(City_Inputs!$AA9,Norm_Stats!$F$15),Norm_Stats!$G$15)-Norm_Stats!$F$15)/(Norm_Stats!$G$15-Norm_Stats!$F$15)))))="",0,(IF(OR(City_Inputs!$AA9="",Norm_Stats!$F$15="",Norm_Stats!$G$15="",Norm_Stats!$G$15=Norm_Stats!$F$15),"",MAX(0,MIN(100,100*(MIN(MAX(City_Inputs!$AA9,Norm_Stats!$F$15),Norm_Stats!$G$15)-Norm_Stats!$F$15)/(Norm_Stats!$G$15-Norm_Stats!$F$15)))))*0.7)+IF((IF(OR(City_Inputs!$AL9="",Norm_Stats!$F$16="",Norm_Stats!$G$16="",Norm_Stats!$G$16=Norm_Stats!$F$16),"",MAX(0,MIN(100,100*(Norm_Stats!$G$16-MIN(MAX(City_Inputs!$AL9,Norm_Stats!$F$16),Norm_Stats!$G$16))/(Norm_Stats!$G$16-Norm_Stats!$F$16)))))="",0,(IF(OR(City_Inputs!$AL9="",Norm_Stats!$F$16="",Norm_Stats!$G$16="",Norm_Stats!$G$16=Norm_Stats!$F$16),"",MAX(0,MIN(100,100*(Norm_Stats!$G$16-MIN(MAX(City_Inputs!$AL9,Norm_Stats!$F$16),Norm_Stats!$G$16))/(Norm_Stats!$G$16-Norm_Stats!$F$16)))))*0.3))/(IF((IF(OR(City_Inputs!$AA9="",Norm_Stats!$F$15="",Norm_Stats!$G$15="",Norm_Stats!$G$15=Norm_Stats!$F$15),"",MAX(0,MIN(100,100*(MIN(MAX(City_Inputs!$AA9,Norm_Stats!$F$15),Norm_Stats!$G$15)-Norm_Stats!$F$15)/(Norm_Stats!$G$15-Norm_Stats!$F$15)))))="",0,0.7)+IF((IF(OR(City_Inputs!$AL9="",Norm_Stats!$F$16="",Norm_Stats!$G$16="",Norm_Stats!$G$16=Norm_Stats!$F$16),"",MAX(0,MIN(100,100*(Norm_Stats!$G$16-MIN(MAX(City_Inputs!$AL9,Norm_Stats!$F$16),Norm_Stats!$G$16))/(Norm_Stats!$G$16-Norm_Stats!$F$16)))))="",0,0.3)))</f>
        <v/>
      </c>
      <c r="AL9" s="14">
        <f>IF((IF((IF(OR(City_Inputs!$AA9="",Norm_Stats!$F$15="",Norm_Stats!$G$15="",Norm_Stats!$G$15=Norm_Stats!$F$15),"",MAX(0,MIN(100,100*(MIN(MAX(City_Inputs!$AA9,Norm_Stats!$F$15),Norm_Stats!$G$15)-Norm_Stats!$F$15)/(Norm_Stats!$G$15-Norm_Stats!$F$15)))))="",0,0.7)+IF((IF(OR(City_Inputs!$AL9="",Norm_Stats!$F$16="",Norm_Stats!$G$16="",Norm_Stats!$G$16=Norm_Stats!$F$16),"",MAX(0,MIN(100,100*(Norm_Stats!$G$16-MIN(MAX(City_Inputs!$AL9,Norm_Stats!$F$16),Norm_Stats!$G$16))/(Norm_Stats!$G$16-Norm_Stats!$F$16)))))="",0,0.3))=0,"",(IF((IF(OR(City_Inputs!$AA9="",Norm_Stats!$F$15="",Norm_Stats!$G$15="",Norm_Stats!$G$15=Norm_Stats!$F$15),"",MAX(0,MIN(100,100*(MIN(MAX(City_Inputs!$AA9,Norm_Stats!$F$15),Norm_Stats!$G$15)-Norm_Stats!$F$15)/(Norm_Stats!$G$15-Norm_Stats!$F$15)))))="",0,0.7)+IF((IF(OR(City_Inputs!$AL9="",Norm_Stats!$F$16="",Norm_Stats!$G$16="",Norm_Stats!$G$16=Norm_Stats!$F$16),"",MAX(0,MIN(100,100*(Norm_Stats!$G$16-MIN(MAX(City_Inputs!$AL9,Norm_Stats!$F$16),Norm_Stats!$G$16))/(Norm_Stats!$G$16-Norm_Stats!$F$16)))))="",0,0.3)))</f>
        <v/>
      </c>
      <c r="AM9" s="15">
        <f>IF((IF(AG9="",0,8)+IF(AI9="",0,6)+IF(AK9="",0,4))=0,"",(IF(AG9="",0,AG9*8)+IF(AI9="",0,AI9*6)+IF(AK9="",0,AK9*4))/(IF(AG9="",0,8)+IF(AI9="",0,6)+IF(AK9="",0,4)))</f>
        <v/>
      </c>
      <c r="AN9" s="14">
        <f>IF((IF(AH9="",0,8)+IF(AJ9="",0,6)+IF(AL9="",0,4))=0,"",(IF(AH9="",0,AH9*8)+IF(AJ9="",0,AJ9*6)+IF(AL9="",0,AL9*4))/18)</f>
        <v/>
      </c>
      <c r="AO9" s="11">
        <f>IF(OR(City_Inputs!$AB9="",Norm_Stats!$F$17="",Norm_Stats!$G$17="",Norm_Stats!$G$17=Norm_Stats!$F$17),"",MAX(0,MIN(100,100*(MIN(MAX(City_Inputs!$AB9,Norm_Stats!$F$17),Norm_Stats!$G$17)-Norm_Stats!$F$17)/(Norm_Stats!$G$17-Norm_Stats!$F$17))))</f>
        <v/>
      </c>
      <c r="AP9" s="14">
        <f>IF(AO9="","",1)</f>
        <v/>
      </c>
      <c r="AQ9" s="11">
        <f>IF(OR(City_Inputs!$AC9="",Norm_Stats!$F$18="",Norm_Stats!$G$18="",Norm_Stats!$G$18=Norm_Stats!$F$18),"",MAX(0,MIN(100,100*(MIN(MAX(City_Inputs!$AC9,Norm_Stats!$F$18),Norm_Stats!$G$18)-Norm_Stats!$F$18)/(Norm_Stats!$G$18-Norm_Stats!$F$18))))</f>
        <v/>
      </c>
      <c r="AR9" s="14">
        <f>IF(AQ9="","",1)</f>
        <v/>
      </c>
      <c r="AS9" s="11">
        <f>IF(OR(City_Inputs!$AD9="",Norm_Stats!$F$19="",Norm_Stats!$G$19="",Norm_Stats!$G$19=Norm_Stats!$F$19),"",MAX(0,MIN(100,100*(MIN(MAX(City_Inputs!$AD9,Norm_Stats!$F$19),Norm_Stats!$G$19)-Norm_Stats!$F$19)/(Norm_Stats!$G$19-Norm_Stats!$F$19))))</f>
        <v/>
      </c>
      <c r="AT9" s="14">
        <f>IF(AS9="","",1)</f>
        <v/>
      </c>
      <c r="AU9" s="11">
        <f>IF(OR(City_Inputs!$BJ9="",Norm_Stats!$F$26="",Norm_Stats!$G$26="",Norm_Stats!$G$26=Norm_Stats!$F$26),"",MAX(0,MIN(100,100*(MIN(MAX(City_Inputs!$BJ9,Norm_Stats!$F$26),Norm_Stats!$G$26)-Norm_Stats!$F$26)/(Norm_Stats!$G$26-Norm_Stats!$F$26))))</f>
        <v/>
      </c>
      <c r="AV9" s="11">
        <f>IF(AU9="","",1)</f>
        <v/>
      </c>
      <c r="AW9" s="15">
        <f>IF((IF(AO9="",0,5)+IF(AQ9="",0,5)+IF(AS9="",0,5)+IF(AU9="",0,4))=0,"",(IF(AO9="",0,AO9*5)+IF(AQ9="",0,AQ9*5)+IF(AS9="",0,AS9*5)+IF(AU9="",0,AU9*4))/(IF(AO9="",0,5)+IF(AQ9="",0,5)+IF(AS9="",0,5)+IF(AU9="",0,4)))</f>
        <v/>
      </c>
      <c r="AX9" s="14">
        <f>IF((IF(AP9="",0,5)+IF(AR9="",0,5)+IF(AT9="",0,5)+IF(AV9="",0,4))=0,"",(IF(AP9="",0,AP9*5)+IF(AR9="",0,AR9*5)+IF(AT9="",0,AT9*5)+IF(AV9="",0,AV9*4))/19)</f>
        <v/>
      </c>
      <c r="AY9" s="11">
        <f>IF(OR(City_Inputs!$AE9="",Norm_Stats!$F$20="",Norm_Stats!$G$20="",Norm_Stats!$G$20=Norm_Stats!$F$20),"",MAX(0,MIN(100,100*(MIN(MAX(City_Inputs!$AE9,Norm_Stats!$F$20),Norm_Stats!$G$20)-Norm_Stats!$F$20)/(Norm_Stats!$G$20-Norm_Stats!$F$20))))</f>
        <v/>
      </c>
      <c r="AZ9" s="14">
        <f>IF(AY9="","",1)</f>
        <v/>
      </c>
      <c r="BA9" s="11">
        <f>IF(OR(City_Inputs!$AF9="",Norm_Stats!$F$21="",Norm_Stats!$G$21="",Norm_Stats!$G$21=Norm_Stats!$F$21),"",MAX(0,MIN(100,100*(MIN(MAX(City_Inputs!$AF9,Norm_Stats!$F$21),Norm_Stats!$G$21)-Norm_Stats!$F$21)/(Norm_Stats!$G$21-Norm_Stats!$F$21))))</f>
        <v/>
      </c>
      <c r="BB9" s="14">
        <f>IF(BA9="","",1)</f>
        <v/>
      </c>
      <c r="BC9" s="11">
        <f>IF((IF((IF(OR(City_Inputs!$AG9="",Norm_Stats!$F$22="",Norm_Stats!$G$22="",Norm_Stats!$G$22=Norm_Stats!$F$22),"",MAX(0,MIN(100,100*(MIN(MAX(City_Inputs!$AG9,Norm_Stats!$F$22),Norm_Stats!$G$22)-Norm_Stats!$F$22)/(Norm_Stats!$G$22-Norm_Stats!$F$22)))))="",0,0.5)+IF((IF(OR(City_Inputs!$AJ9="",Norm_Stats!$F$23="",Norm_Stats!$G$23="",Norm_Stats!$G$23=Norm_Stats!$F$23),"",MAX(0,MIN(100,100*(MIN(MAX(City_Inputs!$AJ9,Norm_Stats!$F$23),Norm_Stats!$G$23)-Norm_Stats!$F$23)/(Norm_Stats!$G$23-Norm_Stats!$F$23)))))="",0,0.3)+IF((IF(OR(City_Inputs!$AK9="",Norm_Stats!$F$24="",Norm_Stats!$G$24="",Norm_Stats!$G$24=Norm_Stats!$F$24),"",MAX(0,MIN(100,100*(MIN(MAX(City_Inputs!$AK9,Norm_Stats!$F$24),Norm_Stats!$G$24)-Norm_Stats!$F$24)/(Norm_Stats!$G$24-Norm_Stats!$F$24)))))="",0,0.2))=0,"",(IF((IF(OR(City_Inputs!$AG9="",Norm_Stats!$F$22="",Norm_Stats!$G$22="",Norm_Stats!$G$22=Norm_Stats!$F$22),"",MAX(0,MIN(100,100*(MIN(MAX(City_Inputs!$AG9,Norm_Stats!$F$22),Norm_Stats!$G$22)-Norm_Stats!$F$22)/(Norm_Stats!$G$22-Norm_Stats!$F$22)))))="",0,(IF(OR(City_Inputs!$AG9="",Norm_Stats!$F$22="",Norm_Stats!$G$22="",Norm_Stats!$G$22=Norm_Stats!$F$22),"",MAX(0,MIN(100,100*(MIN(MAX(City_Inputs!$AG9,Norm_Stats!$F$22),Norm_Stats!$G$22)-Norm_Stats!$F$22)/(Norm_Stats!$G$22-Norm_Stats!$F$22)))))*0.5)+IF((IF(OR(City_Inputs!$AJ9="",Norm_Stats!$F$23="",Norm_Stats!$G$23="",Norm_Stats!$G$23=Norm_Stats!$F$23),"",MAX(0,MIN(100,100*(MIN(MAX(City_Inputs!$AJ9,Norm_Stats!$F$23),Norm_Stats!$G$23)-Norm_Stats!$F$23)/(Norm_Stats!$G$23-Norm_Stats!$F$23)))))="",0,(IF(OR(City_Inputs!$AJ9="",Norm_Stats!$F$23="",Norm_Stats!$G$23="",Norm_Stats!$G$23=Norm_Stats!$F$23),"",MAX(0,MIN(100,100*(MIN(MAX(City_Inputs!$AJ9,Norm_Stats!$F$23),Norm_Stats!$G$23)-Norm_Stats!$F$23)/(Norm_Stats!$G$23-Norm_Stats!$F$23)))))*0.3)+IF((IF(OR(City_Inputs!$AK9="",Norm_Stats!$F$24="",Norm_Stats!$G$24="",Norm_Stats!$G$24=Norm_Stats!$F$24),"",MAX(0,MIN(100,100*(MIN(MAX(City_Inputs!$AK9,Norm_Stats!$F$24),Norm_Stats!$G$24)-Norm_Stats!$F$24)/(Norm_Stats!$G$24-Norm_Stats!$F$24)))))="",0,(IF(OR(City_Inputs!$AK9="",Norm_Stats!$F$24="",Norm_Stats!$G$24="",Norm_Stats!$G$24=Norm_Stats!$F$24),"",MAX(0,MIN(100,100*(MIN(MAX(City_Inputs!$AK9,Norm_Stats!$F$24),Norm_Stats!$G$24)-Norm_Stats!$F$24)/(Norm_Stats!$G$24-Norm_Stats!$F$24)))))*0.2))/(IF((IF(OR(City_Inputs!$AG9="",Norm_Stats!$F$22="",Norm_Stats!$G$22="",Norm_Stats!$G$22=Norm_Stats!$F$22),"",MAX(0,MIN(100,100*(MIN(MAX(City_Inputs!$AG9,Norm_Stats!$F$22),Norm_Stats!$G$22)-Norm_Stats!$F$22)/(Norm_Stats!$G$22-Norm_Stats!$F$22)))))="",0,0.5)+IF((IF(OR(City_Inputs!$AJ9="",Norm_Stats!$F$23="",Norm_Stats!$G$23="",Norm_Stats!$G$23=Norm_Stats!$F$23),"",MAX(0,MIN(100,100*(MIN(MAX(City_Inputs!$AJ9,Norm_Stats!$F$23),Norm_Stats!$G$23)-Norm_Stats!$F$23)/(Norm_Stats!$G$23-Norm_Stats!$F$23)))))="",0,0.3)+IF((IF(OR(City_Inputs!$AK9="",Norm_Stats!$F$24="",Norm_Stats!$G$24="",Norm_Stats!$G$24=Norm_Stats!$F$24),"",MAX(0,MIN(100,100*(MIN(MAX(City_Inputs!$AK9,Norm_Stats!$F$24),Norm_Stats!$G$24)-Norm_Stats!$F$24)/(Norm_Stats!$G$24-Norm_Stats!$F$24)))))="",0,0.2)))</f>
        <v/>
      </c>
      <c r="BD9" s="14">
        <f>IF((IF((IF(OR(City_Inputs!$AG9="",Norm_Stats!$F$22="",Norm_Stats!$G$22="",Norm_Stats!$G$22=Norm_Stats!$F$22),"",MAX(0,MIN(100,100*(MIN(MAX(City_Inputs!$AG9,Norm_Stats!$F$22),Norm_Stats!$G$22)-Norm_Stats!$F$22)/(Norm_Stats!$G$22-Norm_Stats!$F$22)))))="",0,0.5)+IF((IF(OR(City_Inputs!$AJ9="",Norm_Stats!$F$23="",Norm_Stats!$G$23="",Norm_Stats!$G$23=Norm_Stats!$F$23),"",MAX(0,MIN(100,100*(MIN(MAX(City_Inputs!$AJ9,Norm_Stats!$F$23),Norm_Stats!$G$23)-Norm_Stats!$F$23)/(Norm_Stats!$G$23-Norm_Stats!$F$23)))))="",0,0.3)+IF((IF(OR(City_Inputs!$AK9="",Norm_Stats!$F$24="",Norm_Stats!$G$24="",Norm_Stats!$G$24=Norm_Stats!$F$24),"",MAX(0,MIN(100,100*(MIN(MAX(City_Inputs!$AK9,Norm_Stats!$F$24),Norm_Stats!$G$24)-Norm_Stats!$F$24)/(Norm_Stats!$G$24-Norm_Stats!$F$24)))))="",0,0.2))=0,"",(IF((IF(OR(City_Inputs!$AG9="",Norm_Stats!$F$22="",Norm_Stats!$G$22="",Norm_Stats!$G$22=Norm_Stats!$F$22),"",MAX(0,MIN(100,100*(MIN(MAX(City_Inputs!$AG9,Norm_Stats!$F$22),Norm_Stats!$G$22)-Norm_Stats!$F$22)/(Norm_Stats!$G$22-Norm_Stats!$F$22)))))="",0,0.5)+IF((IF(OR(City_Inputs!$AJ9="",Norm_Stats!$F$23="",Norm_Stats!$G$23="",Norm_Stats!$G$23=Norm_Stats!$F$23),"",MAX(0,MIN(100,100*(MIN(MAX(City_Inputs!$AJ9,Norm_Stats!$F$23),Norm_Stats!$G$23)-Norm_Stats!$F$23)/(Norm_Stats!$G$23-Norm_Stats!$F$23)))))="",0,0.3)+IF((IF(OR(City_Inputs!$AK9="",Norm_Stats!$F$24="",Norm_Stats!$G$24="",Norm_Stats!$G$24=Norm_Stats!$F$24),"",MAX(0,MIN(100,100*(MIN(MAX(City_Inputs!$AK9,Norm_Stats!$F$24),Norm_Stats!$G$24)-Norm_Stats!$F$24)/(Norm_Stats!$G$24-Norm_Stats!$F$24)))))="",0,0.2)))</f>
        <v/>
      </c>
      <c r="BE9" s="11">
        <f>IF(OR(City_Inputs!$AH9="",Norm_Stats!$F$25="",Norm_Stats!$G$25="",Norm_Stats!$G$25=Norm_Stats!$F$25),"",MAX(0,MIN(100,100*(Norm_Stats!$G$25-MIN(MAX(City_Inputs!$AH9,Norm_Stats!$F$25),Norm_Stats!$G$25))/(Norm_Stats!$G$25-Norm_Stats!$F$25))))</f>
        <v/>
      </c>
      <c r="BF9" s="14">
        <f>IF(BE9="","",1)</f>
        <v/>
      </c>
      <c r="BG9" s="15">
        <f>IF((IF(AY9="",0,6)+IF(BA9="",0,5)+IF(BC9="",0,5)+IF(BE9="",0,4))=0,"",(IF(AY9="",0,AY9*6)+IF(BA9="",0,BA9*5)+IF(BC9="",0,BC9*5)+IF(BE9="",0,BE9*4))/(IF(AY9="",0,6)+IF(BA9="",0,5)+IF(BC9="",0,5)+IF(BE9="",0,4)))</f>
        <v/>
      </c>
      <c r="BH9" s="14">
        <f>IF((IF(AZ9="",0,6)+IF(BB9="",0,5)+IF(BD9="",0,5)+IF(BF9="",0,4))=0,"",(IF(AZ9="",0,AZ9*6)+IF(BB9="",0,BB9*5)+IF(BD9="",0,BD9*5)+IF(BF9="",0,BF9*4))/20)</f>
        <v/>
      </c>
      <c r="BI9" s="14">
        <f>IF(AND(R9="",AF9="",AN9="",AX9="",BH9=""),"",((R9*25)+(AF9*22)+(AN9*18)+(AX9*15)+(BH9*20))/100)</f>
        <v/>
      </c>
      <c r="BJ9" s="11">
        <f>IF(BI9="","",IF(BI9&gt;=0.75,"A",IF(BI9&gt;=0.5,"B",IF(BI9&gt;=0.35,"C","Watchlist"))))</f>
        <v/>
      </c>
      <c r="BK9" s="11">
        <f>IF(OR(BI9="",BI9&lt;0.5,R9="",R9&lt;0.35,AF9="",AF9&lt;0.35,AN9="",AN9&lt;0.35,AX9="",AX9&lt;0.35,BH9="",BH9&lt;0.35),"Watchlist","Ranked")</f>
        <v/>
      </c>
      <c r="BL9" s="15">
        <f>IF(AND(Q9="",AE9="",AM9="",AW9="",BG9=""),"",(IF(Q9="",0,Q9*25)+IF(AE9="",0,AE9*22)+IF(AM9="",0,AM9*18)+IF(AW9="",0,AW9*15)+IF(BG9="",0,BG9*20))/(IF(Q9="",0,25)+IF(AE9="",0,22)+IF(AM9="",0,18)+IF(AW9="",0,15)+IF(BG9="",0,20)))</f>
        <v/>
      </c>
      <c r="BM9" s="11">
        <f>IF(BK9="Ranked",1+COUNTIFS($BK$2:$BK$158,"Ranked",$BL$2:$BL$158,"&gt;"&amp;BL9),"")</f>
        <v/>
      </c>
      <c r="BN9" s="11">
        <f>City_Inputs!$AI9</f>
        <v/>
      </c>
    </row>
    <row r="10">
      <c r="A10" t="inlineStr">
        <is>
          <t>my-kuching</t>
        </is>
      </c>
      <c r="B10" t="inlineStr">
        <is>
          <t>Kuching</t>
        </is>
      </c>
      <c r="C10" t="inlineStr">
        <is>
          <t>Malaysia</t>
        </is>
      </c>
      <c r="D10" t="inlineStr">
        <is>
          <t>Southeast Asia</t>
        </is>
      </c>
      <c r="E10" t="inlineStr">
        <is>
          <t>locked</t>
        </is>
      </c>
      <c r="F10" t="inlineStr">
        <is>
          <t>secondary</t>
        </is>
      </c>
      <c r="G10" s="11">
        <f>IF(OR(City_Inputs!$M10="",Norm_Stats!$F$2="",Norm_Stats!$G$2="",Norm_Stats!$G$2=Norm_Stats!$F$2),"",MAX(0,MIN(100,100*(MIN(MAX(City_Inputs!$M10,Norm_Stats!$F$2),Norm_Stats!$G$2)-Norm_Stats!$F$2)/(Norm_Stats!$G$2-Norm_Stats!$F$2))))</f>
        <v/>
      </c>
      <c r="H10" s="14">
        <f>IF(G10="","",1)</f>
        <v/>
      </c>
      <c r="I10" s="11">
        <f>IF(OR(City_Inputs!$N10="",Norm_Stats!$F$3="",Norm_Stats!$G$3="",Norm_Stats!$G$3=Norm_Stats!$F$3),"",MAX(0,MIN(100,100*(Norm_Stats!$G$3-MIN(MAX(City_Inputs!$N10,Norm_Stats!$F$3),Norm_Stats!$G$3))/(Norm_Stats!$G$3-Norm_Stats!$F$3))))</f>
        <v/>
      </c>
      <c r="J10" s="14">
        <f>IF(I10="","",1)</f>
        <v/>
      </c>
      <c r="K10" s="11">
        <f>IF(OR(City_Inputs!$P10="",Norm_Stats!$F$4="",Norm_Stats!$G$4="",Norm_Stats!$G$4=Norm_Stats!$F$4),"",MAX(0,MIN(100,100*(Norm_Stats!$G$4-MIN(MAX(City_Inputs!$P10,Norm_Stats!$F$4),Norm_Stats!$G$4))/(Norm_Stats!$G$4-Norm_Stats!$F$4))))</f>
        <v/>
      </c>
      <c r="L10" s="14">
        <f>IF(K10="","",1)</f>
        <v/>
      </c>
      <c r="M10" s="11">
        <f>IF(OR(City_Inputs!$Q10="",Norm_Stats!$F$5="",Norm_Stats!$G$5="",Norm_Stats!$G$5=Norm_Stats!$F$5),"",MAX(0,MIN(100,100*(Norm_Stats!$G$5-MIN(MAX(City_Inputs!$Q10,Norm_Stats!$F$5),Norm_Stats!$G$5))/(Norm_Stats!$G$5-Norm_Stats!$F$5))))</f>
        <v/>
      </c>
      <c r="N10" s="14">
        <f>IF(M10="","",1)</f>
        <v/>
      </c>
      <c r="O10" s="11">
        <f>IF(OR(City_Inputs!$R10="",Norm_Stats!$F$6="",Norm_Stats!$G$6="",Norm_Stats!$G$6=Norm_Stats!$F$6),"",MAX(0,MIN(100,100*(Norm_Stats!$G$6-MIN(MAX(City_Inputs!$R10,Norm_Stats!$F$6),Norm_Stats!$G$6))/(Norm_Stats!$G$6-Norm_Stats!$F$6))))</f>
        <v/>
      </c>
      <c r="P10" s="14">
        <f>IF(O10="","",1)</f>
        <v/>
      </c>
      <c r="Q10" s="15">
        <f>IF((IF(G10="",0,9)+IF(I10="",0,5)+IF(K10="",0,4)+IF(M10="",0,4)+IF(O10="",0,5))=0,"",(IF(G10="",0,G10*9)+IF(I10="",0,I10*5)+IF(K10="",0,K10*4)+IF(M10="",0,M10*4)+IF(O10="",0,O10*5))/(IF(G10="",0,9)+IF(I10="",0,5)+IF(K10="",0,4)+IF(M10="",0,4)+IF(O10="",0,5)))</f>
        <v/>
      </c>
      <c r="R10" s="14">
        <f>IF((IF(H10="",0,9)+IF(J10="",0,5)+IF(L10="",0,4)+IF(N10="",0,4)+IF(P10="",0,5))=0,"",(IF(H10="",0,H10*9)+IF(J10="",0,J10*5)+IF(L10="",0,L10*4)+IF(N10="",0,N10*4)+IF(P10="",0,P10*5))/27)</f>
        <v/>
      </c>
      <c r="S10" s="11">
        <f>IF(OR(City_Inputs!$S10="",Norm_Stats!$F$7="",Norm_Stats!$G$7="",Norm_Stats!$G$7=Norm_Stats!$F$7),"",MAX(0,MIN(100,100*(Norm_Stats!$G$7-MIN(MAX(City_Inputs!$S10,Norm_Stats!$F$7),Norm_Stats!$G$7))/(Norm_Stats!$G$7-Norm_Stats!$F$7))))</f>
        <v/>
      </c>
      <c r="T10" s="14">
        <f>IF(S10="","",1)</f>
        <v/>
      </c>
      <c r="U10" s="11">
        <f>IF(OR(City_Inputs!$T10="",Norm_Stats!$F$8="",Norm_Stats!$G$8="",Norm_Stats!$G$8=Norm_Stats!$F$8),"",MAX(0,MIN(100,100*(MIN(MAX(City_Inputs!$T10,Norm_Stats!$F$8),Norm_Stats!$G$8)-Norm_Stats!$F$8)/(Norm_Stats!$G$8-Norm_Stats!$F$8))))</f>
        <v/>
      </c>
      <c r="V10" s="14">
        <f>IF(U10="","",1)</f>
        <v/>
      </c>
      <c r="W10" s="11">
        <f>IF(OR(City_Inputs!$U10="",Norm_Stats!$F$9="",Norm_Stats!$G$9="",Norm_Stats!$G$9=Norm_Stats!$F$9),"",MAX(0,MIN(100,100*(Norm_Stats!$G$9-MIN(MAX(City_Inputs!$U10,Norm_Stats!$F$9),Norm_Stats!$G$9))/(Norm_Stats!$G$9-Norm_Stats!$F$9))))</f>
        <v/>
      </c>
      <c r="X10" s="14">
        <f>IF(W10="","",1)</f>
        <v/>
      </c>
      <c r="Y10" s="11">
        <f>IF(OR(City_Inputs!$V10="",Norm_Stats!$F$10="",Norm_Stats!$G$10="",Norm_Stats!$G$10=Norm_Stats!$F$10),"",MAX(0,MIN(100,100*(MIN(MAX(City_Inputs!$V10,Norm_Stats!$F$10),Norm_Stats!$G$10)-Norm_Stats!$F$10)/(Norm_Stats!$G$10-Norm_Stats!$F$10))))</f>
        <v/>
      </c>
      <c r="Z10" s="14">
        <f>IF(Y10="","",1)</f>
        <v/>
      </c>
      <c r="AA10" s="11">
        <f>IF(OR(City_Inputs!$W10="",Norm_Stats!$F$11="",Norm_Stats!$G$11="",Norm_Stats!$G$11=Norm_Stats!$F$11),"",MAX(0,MIN(100,100*(MIN(MAX(City_Inputs!$W10,Norm_Stats!$F$11),Norm_Stats!$G$11)-Norm_Stats!$F$11)/(Norm_Stats!$G$11-Norm_Stats!$F$11))))</f>
        <v/>
      </c>
      <c r="AB10" s="14">
        <f>IF(AA10="","",1)</f>
        <v/>
      </c>
      <c r="AC10" s="11">
        <f>IF(OR(City_Inputs!$X10="",Norm_Stats!$F$12="",Norm_Stats!$G$12="",Norm_Stats!$G$12=Norm_Stats!$F$12),"",MAX(0,MIN(100,100*(MIN(MAX(City_Inputs!$X10,Norm_Stats!$F$12),Norm_Stats!$G$12)-Norm_Stats!$F$12)/(Norm_Stats!$G$12-Norm_Stats!$F$12))))</f>
        <v/>
      </c>
      <c r="AD10" s="11">
        <f>IF(AC10="","",1)</f>
        <v/>
      </c>
      <c r="AE10" s="15">
        <f>IF((IF(S10="",0,5)+IF(U10="",0,5)+IF(W10="",0,4)+IF(Y10="",0,4)+IF(AA10="",0,4)+IF(AC10="",0,5))=0,"",(IF(S10="",0,S10*5)+IF(U10="",0,U10*5)+IF(W10="",0,W10*4)+IF(Y10="",0,Y10*4)+IF(AA10="",0,AA10*4)+IF(AC10="",0,AC10*5))/(IF(S10="",0,5)+IF(U10="",0,5)+IF(W10="",0,4)+IF(Y10="",0,4)+IF(AA10="",0,4)+IF(AC10="",0,5)))</f>
        <v/>
      </c>
      <c r="AF10" s="14">
        <f>IF((IF(T10="",0,5)+IF(V10="",0,5)+IF(X10="",0,4)+IF(Z10="",0,4)+IF(AB10="",0,4)+IF(AD10="",0,5))=0,"",(IF(T10="",0,T10*5)+IF(V10="",0,V10*5)+IF(X10="",0,X10*4)+IF(Z10="",0,Z10*4)+IF(AB10="",0,AB10*4)+IF(AD10="",0,AD10*5))/27)</f>
        <v/>
      </c>
      <c r="AG10" s="11">
        <f>IF(OR(City_Inputs!$Y10="",Norm_Stats!$F$13="",Norm_Stats!$G$13="",Norm_Stats!$G$13=Norm_Stats!$F$13),"",MAX(0,MIN(100,100*(MIN(MAX(City_Inputs!$Y10,Norm_Stats!$F$13),Norm_Stats!$G$13)-Norm_Stats!$F$13)/(Norm_Stats!$G$13-Norm_Stats!$F$13))))</f>
        <v/>
      </c>
      <c r="AH10" s="14">
        <f>IF(AG10="","",1)</f>
        <v/>
      </c>
      <c r="AI10" s="11">
        <f>IF(OR(City_Inputs!$Z10="",Norm_Stats!$F$14="",Norm_Stats!$G$14="",Norm_Stats!$G$14=Norm_Stats!$F$14),"",MAX(0,MIN(100,100*(MIN(MAX(City_Inputs!$Z10,Norm_Stats!$F$14),Norm_Stats!$G$14)-Norm_Stats!$F$14)/(Norm_Stats!$G$14-Norm_Stats!$F$14))))</f>
        <v/>
      </c>
      <c r="AJ10" s="14">
        <f>IF(AI10="","",1)</f>
        <v/>
      </c>
      <c r="AK10" s="11">
        <f>IF((IF((IF(OR(City_Inputs!$AA10="",Norm_Stats!$F$15="",Norm_Stats!$G$15="",Norm_Stats!$G$15=Norm_Stats!$F$15),"",MAX(0,MIN(100,100*(MIN(MAX(City_Inputs!$AA10,Norm_Stats!$F$15),Norm_Stats!$G$15)-Norm_Stats!$F$15)/(Norm_Stats!$G$15-Norm_Stats!$F$15)))))="",0,0.7)+IF((IF(OR(City_Inputs!$AL10="",Norm_Stats!$F$16="",Norm_Stats!$G$16="",Norm_Stats!$G$16=Norm_Stats!$F$16),"",MAX(0,MIN(100,100*(Norm_Stats!$G$16-MIN(MAX(City_Inputs!$AL10,Norm_Stats!$F$16),Norm_Stats!$G$16))/(Norm_Stats!$G$16-Norm_Stats!$F$16)))))="",0,0.3))=0,"",(IF((IF(OR(City_Inputs!$AA10="",Norm_Stats!$F$15="",Norm_Stats!$G$15="",Norm_Stats!$G$15=Norm_Stats!$F$15),"",MAX(0,MIN(100,100*(MIN(MAX(City_Inputs!$AA10,Norm_Stats!$F$15),Norm_Stats!$G$15)-Norm_Stats!$F$15)/(Norm_Stats!$G$15-Norm_Stats!$F$15)))))="",0,(IF(OR(City_Inputs!$AA10="",Norm_Stats!$F$15="",Norm_Stats!$G$15="",Norm_Stats!$G$15=Norm_Stats!$F$15),"",MAX(0,MIN(100,100*(MIN(MAX(City_Inputs!$AA10,Norm_Stats!$F$15),Norm_Stats!$G$15)-Norm_Stats!$F$15)/(Norm_Stats!$G$15-Norm_Stats!$F$15)))))*0.7)+IF((IF(OR(City_Inputs!$AL10="",Norm_Stats!$F$16="",Norm_Stats!$G$16="",Norm_Stats!$G$16=Norm_Stats!$F$16),"",MAX(0,MIN(100,100*(Norm_Stats!$G$16-MIN(MAX(City_Inputs!$AL10,Norm_Stats!$F$16),Norm_Stats!$G$16))/(Norm_Stats!$G$16-Norm_Stats!$F$16)))))="",0,(IF(OR(City_Inputs!$AL10="",Norm_Stats!$F$16="",Norm_Stats!$G$16="",Norm_Stats!$G$16=Norm_Stats!$F$16),"",MAX(0,MIN(100,100*(Norm_Stats!$G$16-MIN(MAX(City_Inputs!$AL10,Norm_Stats!$F$16),Norm_Stats!$G$16))/(Norm_Stats!$G$16-Norm_Stats!$F$16)))))*0.3))/(IF((IF(OR(City_Inputs!$AA10="",Norm_Stats!$F$15="",Norm_Stats!$G$15="",Norm_Stats!$G$15=Norm_Stats!$F$15),"",MAX(0,MIN(100,100*(MIN(MAX(City_Inputs!$AA10,Norm_Stats!$F$15),Norm_Stats!$G$15)-Norm_Stats!$F$15)/(Norm_Stats!$G$15-Norm_Stats!$F$15)))))="",0,0.7)+IF((IF(OR(City_Inputs!$AL10="",Norm_Stats!$F$16="",Norm_Stats!$G$16="",Norm_Stats!$G$16=Norm_Stats!$F$16),"",MAX(0,MIN(100,100*(Norm_Stats!$G$16-MIN(MAX(City_Inputs!$AL10,Norm_Stats!$F$16),Norm_Stats!$G$16))/(Norm_Stats!$G$16-Norm_Stats!$F$16)))))="",0,0.3)))</f>
        <v/>
      </c>
      <c r="AL10" s="14">
        <f>IF((IF((IF(OR(City_Inputs!$AA10="",Norm_Stats!$F$15="",Norm_Stats!$G$15="",Norm_Stats!$G$15=Norm_Stats!$F$15),"",MAX(0,MIN(100,100*(MIN(MAX(City_Inputs!$AA10,Norm_Stats!$F$15),Norm_Stats!$G$15)-Norm_Stats!$F$15)/(Norm_Stats!$G$15-Norm_Stats!$F$15)))))="",0,0.7)+IF((IF(OR(City_Inputs!$AL10="",Norm_Stats!$F$16="",Norm_Stats!$G$16="",Norm_Stats!$G$16=Norm_Stats!$F$16),"",MAX(0,MIN(100,100*(Norm_Stats!$G$16-MIN(MAX(City_Inputs!$AL10,Norm_Stats!$F$16),Norm_Stats!$G$16))/(Norm_Stats!$G$16-Norm_Stats!$F$16)))))="",0,0.3))=0,"",(IF((IF(OR(City_Inputs!$AA10="",Norm_Stats!$F$15="",Norm_Stats!$G$15="",Norm_Stats!$G$15=Norm_Stats!$F$15),"",MAX(0,MIN(100,100*(MIN(MAX(City_Inputs!$AA10,Norm_Stats!$F$15),Norm_Stats!$G$15)-Norm_Stats!$F$15)/(Norm_Stats!$G$15-Norm_Stats!$F$15)))))="",0,0.7)+IF((IF(OR(City_Inputs!$AL10="",Norm_Stats!$F$16="",Norm_Stats!$G$16="",Norm_Stats!$G$16=Norm_Stats!$F$16),"",MAX(0,MIN(100,100*(Norm_Stats!$G$16-MIN(MAX(City_Inputs!$AL10,Norm_Stats!$F$16),Norm_Stats!$G$16))/(Norm_Stats!$G$16-Norm_Stats!$F$16)))))="",0,0.3)))</f>
        <v/>
      </c>
      <c r="AM10" s="15">
        <f>IF((IF(AG10="",0,8)+IF(AI10="",0,6)+IF(AK10="",0,4))=0,"",(IF(AG10="",0,AG10*8)+IF(AI10="",0,AI10*6)+IF(AK10="",0,AK10*4))/(IF(AG10="",0,8)+IF(AI10="",0,6)+IF(AK10="",0,4)))</f>
        <v/>
      </c>
      <c r="AN10" s="14">
        <f>IF((IF(AH10="",0,8)+IF(AJ10="",0,6)+IF(AL10="",0,4))=0,"",(IF(AH10="",0,AH10*8)+IF(AJ10="",0,AJ10*6)+IF(AL10="",0,AL10*4))/18)</f>
        <v/>
      </c>
      <c r="AO10" s="11">
        <f>IF(OR(City_Inputs!$AB10="",Norm_Stats!$F$17="",Norm_Stats!$G$17="",Norm_Stats!$G$17=Norm_Stats!$F$17),"",MAX(0,MIN(100,100*(MIN(MAX(City_Inputs!$AB10,Norm_Stats!$F$17),Norm_Stats!$G$17)-Norm_Stats!$F$17)/(Norm_Stats!$G$17-Norm_Stats!$F$17))))</f>
        <v/>
      </c>
      <c r="AP10" s="14">
        <f>IF(AO10="","",1)</f>
        <v/>
      </c>
      <c r="AQ10" s="11">
        <f>IF(OR(City_Inputs!$AC10="",Norm_Stats!$F$18="",Norm_Stats!$G$18="",Norm_Stats!$G$18=Norm_Stats!$F$18),"",MAX(0,MIN(100,100*(MIN(MAX(City_Inputs!$AC10,Norm_Stats!$F$18),Norm_Stats!$G$18)-Norm_Stats!$F$18)/(Norm_Stats!$G$18-Norm_Stats!$F$18))))</f>
        <v/>
      </c>
      <c r="AR10" s="14">
        <f>IF(AQ10="","",1)</f>
        <v/>
      </c>
      <c r="AS10" s="11">
        <f>IF(OR(City_Inputs!$AD10="",Norm_Stats!$F$19="",Norm_Stats!$G$19="",Norm_Stats!$G$19=Norm_Stats!$F$19),"",MAX(0,MIN(100,100*(MIN(MAX(City_Inputs!$AD10,Norm_Stats!$F$19),Norm_Stats!$G$19)-Norm_Stats!$F$19)/(Norm_Stats!$G$19-Norm_Stats!$F$19))))</f>
        <v/>
      </c>
      <c r="AT10" s="14">
        <f>IF(AS10="","",1)</f>
        <v/>
      </c>
      <c r="AU10" s="11">
        <f>IF(OR(City_Inputs!$BJ10="",Norm_Stats!$F$26="",Norm_Stats!$G$26="",Norm_Stats!$G$26=Norm_Stats!$F$26),"",MAX(0,MIN(100,100*(MIN(MAX(City_Inputs!$BJ10,Norm_Stats!$F$26),Norm_Stats!$G$26)-Norm_Stats!$F$26)/(Norm_Stats!$G$26-Norm_Stats!$F$26))))</f>
        <v/>
      </c>
      <c r="AV10" s="11">
        <f>IF(AU10="","",1)</f>
        <v/>
      </c>
      <c r="AW10" s="15">
        <f>IF((IF(AO10="",0,5)+IF(AQ10="",0,5)+IF(AS10="",0,5)+IF(AU10="",0,4))=0,"",(IF(AO10="",0,AO10*5)+IF(AQ10="",0,AQ10*5)+IF(AS10="",0,AS10*5)+IF(AU10="",0,AU10*4))/(IF(AO10="",0,5)+IF(AQ10="",0,5)+IF(AS10="",0,5)+IF(AU10="",0,4)))</f>
        <v/>
      </c>
      <c r="AX10" s="14">
        <f>IF((IF(AP10="",0,5)+IF(AR10="",0,5)+IF(AT10="",0,5)+IF(AV10="",0,4))=0,"",(IF(AP10="",0,AP10*5)+IF(AR10="",0,AR10*5)+IF(AT10="",0,AT10*5)+IF(AV10="",0,AV10*4))/19)</f>
        <v/>
      </c>
      <c r="AY10" s="11">
        <f>IF(OR(City_Inputs!$AE10="",Norm_Stats!$F$20="",Norm_Stats!$G$20="",Norm_Stats!$G$20=Norm_Stats!$F$20),"",MAX(0,MIN(100,100*(MIN(MAX(City_Inputs!$AE10,Norm_Stats!$F$20),Norm_Stats!$G$20)-Norm_Stats!$F$20)/(Norm_Stats!$G$20-Norm_Stats!$F$20))))</f>
        <v/>
      </c>
      <c r="AZ10" s="14">
        <f>IF(AY10="","",1)</f>
        <v/>
      </c>
      <c r="BA10" s="11">
        <f>IF(OR(City_Inputs!$AF10="",Norm_Stats!$F$21="",Norm_Stats!$G$21="",Norm_Stats!$G$21=Norm_Stats!$F$21),"",MAX(0,MIN(100,100*(MIN(MAX(City_Inputs!$AF10,Norm_Stats!$F$21),Norm_Stats!$G$21)-Norm_Stats!$F$21)/(Norm_Stats!$G$21-Norm_Stats!$F$21))))</f>
        <v/>
      </c>
      <c r="BB10" s="14">
        <f>IF(BA10="","",1)</f>
        <v/>
      </c>
      <c r="BC10" s="11">
        <f>IF((IF((IF(OR(City_Inputs!$AG10="",Norm_Stats!$F$22="",Norm_Stats!$G$22="",Norm_Stats!$G$22=Norm_Stats!$F$22),"",MAX(0,MIN(100,100*(MIN(MAX(City_Inputs!$AG10,Norm_Stats!$F$22),Norm_Stats!$G$22)-Norm_Stats!$F$22)/(Norm_Stats!$G$22-Norm_Stats!$F$22)))))="",0,0.5)+IF((IF(OR(City_Inputs!$AJ10="",Norm_Stats!$F$23="",Norm_Stats!$G$23="",Norm_Stats!$G$23=Norm_Stats!$F$23),"",MAX(0,MIN(100,100*(MIN(MAX(City_Inputs!$AJ10,Norm_Stats!$F$23),Norm_Stats!$G$23)-Norm_Stats!$F$23)/(Norm_Stats!$G$23-Norm_Stats!$F$23)))))="",0,0.3)+IF((IF(OR(City_Inputs!$AK10="",Norm_Stats!$F$24="",Norm_Stats!$G$24="",Norm_Stats!$G$24=Norm_Stats!$F$24),"",MAX(0,MIN(100,100*(MIN(MAX(City_Inputs!$AK10,Norm_Stats!$F$24),Norm_Stats!$G$24)-Norm_Stats!$F$24)/(Norm_Stats!$G$24-Norm_Stats!$F$24)))))="",0,0.2))=0,"",(IF((IF(OR(City_Inputs!$AG10="",Norm_Stats!$F$22="",Norm_Stats!$G$22="",Norm_Stats!$G$22=Norm_Stats!$F$22),"",MAX(0,MIN(100,100*(MIN(MAX(City_Inputs!$AG10,Norm_Stats!$F$22),Norm_Stats!$G$22)-Norm_Stats!$F$22)/(Norm_Stats!$G$22-Norm_Stats!$F$22)))))="",0,(IF(OR(City_Inputs!$AG10="",Norm_Stats!$F$22="",Norm_Stats!$G$22="",Norm_Stats!$G$22=Norm_Stats!$F$22),"",MAX(0,MIN(100,100*(MIN(MAX(City_Inputs!$AG10,Norm_Stats!$F$22),Norm_Stats!$G$22)-Norm_Stats!$F$22)/(Norm_Stats!$G$22-Norm_Stats!$F$22)))))*0.5)+IF((IF(OR(City_Inputs!$AJ10="",Norm_Stats!$F$23="",Norm_Stats!$G$23="",Norm_Stats!$G$23=Norm_Stats!$F$23),"",MAX(0,MIN(100,100*(MIN(MAX(City_Inputs!$AJ10,Norm_Stats!$F$23),Norm_Stats!$G$23)-Norm_Stats!$F$23)/(Norm_Stats!$G$23-Norm_Stats!$F$23)))))="",0,(IF(OR(City_Inputs!$AJ10="",Norm_Stats!$F$23="",Norm_Stats!$G$23="",Norm_Stats!$G$23=Norm_Stats!$F$23),"",MAX(0,MIN(100,100*(MIN(MAX(City_Inputs!$AJ10,Norm_Stats!$F$23),Norm_Stats!$G$23)-Norm_Stats!$F$23)/(Norm_Stats!$G$23-Norm_Stats!$F$23)))))*0.3)+IF((IF(OR(City_Inputs!$AK10="",Norm_Stats!$F$24="",Norm_Stats!$G$24="",Norm_Stats!$G$24=Norm_Stats!$F$24),"",MAX(0,MIN(100,100*(MIN(MAX(City_Inputs!$AK10,Norm_Stats!$F$24),Norm_Stats!$G$24)-Norm_Stats!$F$24)/(Norm_Stats!$G$24-Norm_Stats!$F$24)))))="",0,(IF(OR(City_Inputs!$AK10="",Norm_Stats!$F$24="",Norm_Stats!$G$24="",Norm_Stats!$G$24=Norm_Stats!$F$24),"",MAX(0,MIN(100,100*(MIN(MAX(City_Inputs!$AK10,Norm_Stats!$F$24),Norm_Stats!$G$24)-Norm_Stats!$F$24)/(Norm_Stats!$G$24-Norm_Stats!$F$24)))))*0.2))/(IF((IF(OR(City_Inputs!$AG10="",Norm_Stats!$F$22="",Norm_Stats!$G$22="",Norm_Stats!$G$22=Norm_Stats!$F$22),"",MAX(0,MIN(100,100*(MIN(MAX(City_Inputs!$AG10,Norm_Stats!$F$22),Norm_Stats!$G$22)-Norm_Stats!$F$22)/(Norm_Stats!$G$22-Norm_Stats!$F$22)))))="",0,0.5)+IF((IF(OR(City_Inputs!$AJ10="",Norm_Stats!$F$23="",Norm_Stats!$G$23="",Norm_Stats!$G$23=Norm_Stats!$F$23),"",MAX(0,MIN(100,100*(MIN(MAX(City_Inputs!$AJ10,Norm_Stats!$F$23),Norm_Stats!$G$23)-Norm_Stats!$F$23)/(Norm_Stats!$G$23-Norm_Stats!$F$23)))))="",0,0.3)+IF((IF(OR(City_Inputs!$AK10="",Norm_Stats!$F$24="",Norm_Stats!$G$24="",Norm_Stats!$G$24=Norm_Stats!$F$24),"",MAX(0,MIN(100,100*(MIN(MAX(City_Inputs!$AK10,Norm_Stats!$F$24),Norm_Stats!$G$24)-Norm_Stats!$F$24)/(Norm_Stats!$G$24-Norm_Stats!$F$24)))))="",0,0.2)))</f>
        <v/>
      </c>
      <c r="BD10" s="14">
        <f>IF((IF((IF(OR(City_Inputs!$AG10="",Norm_Stats!$F$22="",Norm_Stats!$G$22="",Norm_Stats!$G$22=Norm_Stats!$F$22),"",MAX(0,MIN(100,100*(MIN(MAX(City_Inputs!$AG10,Norm_Stats!$F$22),Norm_Stats!$G$22)-Norm_Stats!$F$22)/(Norm_Stats!$G$22-Norm_Stats!$F$22)))))="",0,0.5)+IF((IF(OR(City_Inputs!$AJ10="",Norm_Stats!$F$23="",Norm_Stats!$G$23="",Norm_Stats!$G$23=Norm_Stats!$F$23),"",MAX(0,MIN(100,100*(MIN(MAX(City_Inputs!$AJ10,Norm_Stats!$F$23),Norm_Stats!$G$23)-Norm_Stats!$F$23)/(Norm_Stats!$G$23-Norm_Stats!$F$23)))))="",0,0.3)+IF((IF(OR(City_Inputs!$AK10="",Norm_Stats!$F$24="",Norm_Stats!$G$24="",Norm_Stats!$G$24=Norm_Stats!$F$24),"",MAX(0,MIN(100,100*(MIN(MAX(City_Inputs!$AK10,Norm_Stats!$F$24),Norm_Stats!$G$24)-Norm_Stats!$F$24)/(Norm_Stats!$G$24-Norm_Stats!$F$24)))))="",0,0.2))=0,"",(IF((IF(OR(City_Inputs!$AG10="",Norm_Stats!$F$22="",Norm_Stats!$G$22="",Norm_Stats!$G$22=Norm_Stats!$F$22),"",MAX(0,MIN(100,100*(MIN(MAX(City_Inputs!$AG10,Norm_Stats!$F$22),Norm_Stats!$G$22)-Norm_Stats!$F$22)/(Norm_Stats!$G$22-Norm_Stats!$F$22)))))="",0,0.5)+IF((IF(OR(City_Inputs!$AJ10="",Norm_Stats!$F$23="",Norm_Stats!$G$23="",Norm_Stats!$G$23=Norm_Stats!$F$23),"",MAX(0,MIN(100,100*(MIN(MAX(City_Inputs!$AJ10,Norm_Stats!$F$23),Norm_Stats!$G$23)-Norm_Stats!$F$23)/(Norm_Stats!$G$23-Norm_Stats!$F$23)))))="",0,0.3)+IF((IF(OR(City_Inputs!$AK10="",Norm_Stats!$F$24="",Norm_Stats!$G$24="",Norm_Stats!$G$24=Norm_Stats!$F$24),"",MAX(0,MIN(100,100*(MIN(MAX(City_Inputs!$AK10,Norm_Stats!$F$24),Norm_Stats!$G$24)-Norm_Stats!$F$24)/(Norm_Stats!$G$24-Norm_Stats!$F$24)))))="",0,0.2)))</f>
        <v/>
      </c>
      <c r="BE10" s="11">
        <f>IF(OR(City_Inputs!$AH10="",Norm_Stats!$F$25="",Norm_Stats!$G$25="",Norm_Stats!$G$25=Norm_Stats!$F$25),"",MAX(0,MIN(100,100*(Norm_Stats!$G$25-MIN(MAX(City_Inputs!$AH10,Norm_Stats!$F$25),Norm_Stats!$G$25))/(Norm_Stats!$G$25-Norm_Stats!$F$25))))</f>
        <v/>
      </c>
      <c r="BF10" s="14">
        <f>IF(BE10="","",1)</f>
        <v/>
      </c>
      <c r="BG10" s="15">
        <f>IF((IF(AY10="",0,6)+IF(BA10="",0,5)+IF(BC10="",0,5)+IF(BE10="",0,4))=0,"",(IF(AY10="",0,AY10*6)+IF(BA10="",0,BA10*5)+IF(BC10="",0,BC10*5)+IF(BE10="",0,BE10*4))/(IF(AY10="",0,6)+IF(BA10="",0,5)+IF(BC10="",0,5)+IF(BE10="",0,4)))</f>
        <v/>
      </c>
      <c r="BH10" s="14">
        <f>IF((IF(AZ10="",0,6)+IF(BB10="",0,5)+IF(BD10="",0,5)+IF(BF10="",0,4))=0,"",(IF(AZ10="",0,AZ10*6)+IF(BB10="",0,BB10*5)+IF(BD10="",0,BD10*5)+IF(BF10="",0,BF10*4))/20)</f>
        <v/>
      </c>
      <c r="BI10" s="14">
        <f>IF(AND(R10="",AF10="",AN10="",AX10="",BH10=""),"",((R10*25)+(AF10*22)+(AN10*18)+(AX10*15)+(BH10*20))/100)</f>
        <v/>
      </c>
      <c r="BJ10" s="11">
        <f>IF(BI10="","",IF(BI10&gt;=0.75,"A",IF(BI10&gt;=0.5,"B",IF(BI10&gt;=0.35,"C","Watchlist"))))</f>
        <v/>
      </c>
      <c r="BK10" s="11">
        <f>IF(OR(BI10="",BI10&lt;0.5,R10="",R10&lt;0.35,AF10="",AF10&lt;0.35,AN10="",AN10&lt;0.35,AX10="",AX10&lt;0.35,BH10="",BH10&lt;0.35),"Watchlist","Ranked")</f>
        <v/>
      </c>
      <c r="BL10" s="15">
        <f>IF(AND(Q10="",AE10="",AM10="",AW10="",BG10=""),"",(IF(Q10="",0,Q10*25)+IF(AE10="",0,AE10*22)+IF(AM10="",0,AM10*18)+IF(AW10="",0,AW10*15)+IF(BG10="",0,BG10*20))/(IF(Q10="",0,25)+IF(AE10="",0,22)+IF(AM10="",0,18)+IF(AW10="",0,15)+IF(BG10="",0,20)))</f>
        <v/>
      </c>
      <c r="BM10" s="11">
        <f>IF(BK10="Ranked",1+COUNTIFS($BK$2:$BK$158,"Ranked",$BL$2:$BL$158,"&gt;"&amp;BL10),"")</f>
        <v/>
      </c>
      <c r="BN10" s="11">
        <f>City_Inputs!$AI10</f>
        <v/>
      </c>
    </row>
    <row r="11">
      <c r="A11" t="inlineStr">
        <is>
          <t>my-kota-kinabalu</t>
        </is>
      </c>
      <c r="B11" t="inlineStr">
        <is>
          <t>Kota Kinabalu</t>
        </is>
      </c>
      <c r="C11" t="inlineStr">
        <is>
          <t>Malaysia</t>
        </is>
      </c>
      <c r="D11" t="inlineStr">
        <is>
          <t>Southeast Asia</t>
        </is>
      </c>
      <c r="E11" t="inlineStr">
        <is>
          <t>provisional</t>
        </is>
      </c>
      <c r="F11" t="inlineStr">
        <is>
          <t>secondary</t>
        </is>
      </c>
      <c r="G11" s="11">
        <f>IF(OR(City_Inputs!$M11="",Norm_Stats!$F$2="",Norm_Stats!$G$2="",Norm_Stats!$G$2=Norm_Stats!$F$2),"",MAX(0,MIN(100,100*(MIN(MAX(City_Inputs!$M11,Norm_Stats!$F$2),Norm_Stats!$G$2)-Norm_Stats!$F$2)/(Norm_Stats!$G$2-Norm_Stats!$F$2))))</f>
        <v/>
      </c>
      <c r="H11" s="14">
        <f>IF(G11="","",1)</f>
        <v/>
      </c>
      <c r="I11" s="11">
        <f>IF(OR(City_Inputs!$N11="",Norm_Stats!$F$3="",Norm_Stats!$G$3="",Norm_Stats!$G$3=Norm_Stats!$F$3),"",MAX(0,MIN(100,100*(Norm_Stats!$G$3-MIN(MAX(City_Inputs!$N11,Norm_Stats!$F$3),Norm_Stats!$G$3))/(Norm_Stats!$G$3-Norm_Stats!$F$3))))</f>
        <v/>
      </c>
      <c r="J11" s="14">
        <f>IF(I11="","",1)</f>
        <v/>
      </c>
      <c r="K11" s="11">
        <f>IF(OR(City_Inputs!$P11="",Norm_Stats!$F$4="",Norm_Stats!$G$4="",Norm_Stats!$G$4=Norm_Stats!$F$4),"",MAX(0,MIN(100,100*(Norm_Stats!$G$4-MIN(MAX(City_Inputs!$P11,Norm_Stats!$F$4),Norm_Stats!$G$4))/(Norm_Stats!$G$4-Norm_Stats!$F$4))))</f>
        <v/>
      </c>
      <c r="L11" s="14">
        <f>IF(K11="","",1)</f>
        <v/>
      </c>
      <c r="M11" s="11">
        <f>IF(OR(City_Inputs!$Q11="",Norm_Stats!$F$5="",Norm_Stats!$G$5="",Norm_Stats!$G$5=Norm_Stats!$F$5),"",MAX(0,MIN(100,100*(Norm_Stats!$G$5-MIN(MAX(City_Inputs!$Q11,Norm_Stats!$F$5),Norm_Stats!$G$5))/(Norm_Stats!$G$5-Norm_Stats!$F$5))))</f>
        <v/>
      </c>
      <c r="N11" s="14">
        <f>IF(M11="","",1)</f>
        <v/>
      </c>
      <c r="O11" s="11">
        <f>IF(OR(City_Inputs!$R11="",Norm_Stats!$F$6="",Norm_Stats!$G$6="",Norm_Stats!$G$6=Norm_Stats!$F$6),"",MAX(0,MIN(100,100*(Norm_Stats!$G$6-MIN(MAX(City_Inputs!$R11,Norm_Stats!$F$6),Norm_Stats!$G$6))/(Norm_Stats!$G$6-Norm_Stats!$F$6))))</f>
        <v/>
      </c>
      <c r="P11" s="14">
        <f>IF(O11="","",1)</f>
        <v/>
      </c>
      <c r="Q11" s="15">
        <f>IF((IF(G11="",0,9)+IF(I11="",0,5)+IF(K11="",0,4)+IF(M11="",0,4)+IF(O11="",0,5))=0,"",(IF(G11="",0,G11*9)+IF(I11="",0,I11*5)+IF(K11="",0,K11*4)+IF(M11="",0,M11*4)+IF(O11="",0,O11*5))/(IF(G11="",0,9)+IF(I11="",0,5)+IF(K11="",0,4)+IF(M11="",0,4)+IF(O11="",0,5)))</f>
        <v/>
      </c>
      <c r="R11" s="14">
        <f>IF((IF(H11="",0,9)+IF(J11="",0,5)+IF(L11="",0,4)+IF(N11="",0,4)+IF(P11="",0,5))=0,"",(IF(H11="",0,H11*9)+IF(J11="",0,J11*5)+IF(L11="",0,L11*4)+IF(N11="",0,N11*4)+IF(P11="",0,P11*5))/27)</f>
        <v/>
      </c>
      <c r="S11" s="11">
        <f>IF(OR(City_Inputs!$S11="",Norm_Stats!$F$7="",Norm_Stats!$G$7="",Norm_Stats!$G$7=Norm_Stats!$F$7),"",MAX(0,MIN(100,100*(Norm_Stats!$G$7-MIN(MAX(City_Inputs!$S11,Norm_Stats!$F$7),Norm_Stats!$G$7))/(Norm_Stats!$G$7-Norm_Stats!$F$7))))</f>
        <v/>
      </c>
      <c r="T11" s="14">
        <f>IF(S11="","",1)</f>
        <v/>
      </c>
      <c r="U11" s="11">
        <f>IF(OR(City_Inputs!$T11="",Norm_Stats!$F$8="",Norm_Stats!$G$8="",Norm_Stats!$G$8=Norm_Stats!$F$8),"",MAX(0,MIN(100,100*(MIN(MAX(City_Inputs!$T11,Norm_Stats!$F$8),Norm_Stats!$G$8)-Norm_Stats!$F$8)/(Norm_Stats!$G$8-Norm_Stats!$F$8))))</f>
        <v/>
      </c>
      <c r="V11" s="14">
        <f>IF(U11="","",1)</f>
        <v/>
      </c>
      <c r="W11" s="11">
        <f>IF(OR(City_Inputs!$U11="",Norm_Stats!$F$9="",Norm_Stats!$G$9="",Norm_Stats!$G$9=Norm_Stats!$F$9),"",MAX(0,MIN(100,100*(Norm_Stats!$G$9-MIN(MAX(City_Inputs!$U11,Norm_Stats!$F$9),Norm_Stats!$G$9))/(Norm_Stats!$G$9-Norm_Stats!$F$9))))</f>
        <v/>
      </c>
      <c r="X11" s="14">
        <f>IF(W11="","",1)</f>
        <v/>
      </c>
      <c r="Y11" s="11">
        <f>IF(OR(City_Inputs!$V11="",Norm_Stats!$F$10="",Norm_Stats!$G$10="",Norm_Stats!$G$10=Norm_Stats!$F$10),"",MAX(0,MIN(100,100*(MIN(MAX(City_Inputs!$V11,Norm_Stats!$F$10),Norm_Stats!$G$10)-Norm_Stats!$F$10)/(Norm_Stats!$G$10-Norm_Stats!$F$10))))</f>
        <v/>
      </c>
      <c r="Z11" s="14">
        <f>IF(Y11="","",1)</f>
        <v/>
      </c>
      <c r="AA11" s="11">
        <f>IF(OR(City_Inputs!$W11="",Norm_Stats!$F$11="",Norm_Stats!$G$11="",Norm_Stats!$G$11=Norm_Stats!$F$11),"",MAX(0,MIN(100,100*(MIN(MAX(City_Inputs!$W11,Norm_Stats!$F$11),Norm_Stats!$G$11)-Norm_Stats!$F$11)/(Norm_Stats!$G$11-Norm_Stats!$F$11))))</f>
        <v/>
      </c>
      <c r="AB11" s="14">
        <f>IF(AA11="","",1)</f>
        <v/>
      </c>
      <c r="AC11" s="11">
        <f>IF(OR(City_Inputs!$X11="",Norm_Stats!$F$12="",Norm_Stats!$G$12="",Norm_Stats!$G$12=Norm_Stats!$F$12),"",MAX(0,MIN(100,100*(MIN(MAX(City_Inputs!$X11,Norm_Stats!$F$12),Norm_Stats!$G$12)-Norm_Stats!$F$12)/(Norm_Stats!$G$12-Norm_Stats!$F$12))))</f>
        <v/>
      </c>
      <c r="AD11" s="11">
        <f>IF(AC11="","",1)</f>
        <v/>
      </c>
      <c r="AE11" s="15">
        <f>IF((IF(S11="",0,5)+IF(U11="",0,5)+IF(W11="",0,4)+IF(Y11="",0,4)+IF(AA11="",0,4)+IF(AC11="",0,5))=0,"",(IF(S11="",0,S11*5)+IF(U11="",0,U11*5)+IF(W11="",0,W11*4)+IF(Y11="",0,Y11*4)+IF(AA11="",0,AA11*4)+IF(AC11="",0,AC11*5))/(IF(S11="",0,5)+IF(U11="",0,5)+IF(W11="",0,4)+IF(Y11="",0,4)+IF(AA11="",0,4)+IF(AC11="",0,5)))</f>
        <v/>
      </c>
      <c r="AF11" s="14">
        <f>IF((IF(T11="",0,5)+IF(V11="",0,5)+IF(X11="",0,4)+IF(Z11="",0,4)+IF(AB11="",0,4)+IF(AD11="",0,5))=0,"",(IF(T11="",0,T11*5)+IF(V11="",0,V11*5)+IF(X11="",0,X11*4)+IF(Z11="",0,Z11*4)+IF(AB11="",0,AB11*4)+IF(AD11="",0,AD11*5))/27)</f>
        <v/>
      </c>
      <c r="AG11" s="11">
        <f>IF(OR(City_Inputs!$Y11="",Norm_Stats!$F$13="",Norm_Stats!$G$13="",Norm_Stats!$G$13=Norm_Stats!$F$13),"",MAX(0,MIN(100,100*(MIN(MAX(City_Inputs!$Y11,Norm_Stats!$F$13),Norm_Stats!$G$13)-Norm_Stats!$F$13)/(Norm_Stats!$G$13-Norm_Stats!$F$13))))</f>
        <v/>
      </c>
      <c r="AH11" s="14">
        <f>IF(AG11="","",1)</f>
        <v/>
      </c>
      <c r="AI11" s="11">
        <f>IF(OR(City_Inputs!$Z11="",Norm_Stats!$F$14="",Norm_Stats!$G$14="",Norm_Stats!$G$14=Norm_Stats!$F$14),"",MAX(0,MIN(100,100*(MIN(MAX(City_Inputs!$Z11,Norm_Stats!$F$14),Norm_Stats!$G$14)-Norm_Stats!$F$14)/(Norm_Stats!$G$14-Norm_Stats!$F$14))))</f>
        <v/>
      </c>
      <c r="AJ11" s="14">
        <f>IF(AI11="","",1)</f>
        <v/>
      </c>
      <c r="AK11" s="11">
        <f>IF((IF((IF(OR(City_Inputs!$AA11="",Norm_Stats!$F$15="",Norm_Stats!$G$15="",Norm_Stats!$G$15=Norm_Stats!$F$15),"",MAX(0,MIN(100,100*(MIN(MAX(City_Inputs!$AA11,Norm_Stats!$F$15),Norm_Stats!$G$15)-Norm_Stats!$F$15)/(Norm_Stats!$G$15-Norm_Stats!$F$15)))))="",0,0.7)+IF((IF(OR(City_Inputs!$AL11="",Norm_Stats!$F$16="",Norm_Stats!$G$16="",Norm_Stats!$G$16=Norm_Stats!$F$16),"",MAX(0,MIN(100,100*(Norm_Stats!$G$16-MIN(MAX(City_Inputs!$AL11,Norm_Stats!$F$16),Norm_Stats!$G$16))/(Norm_Stats!$G$16-Norm_Stats!$F$16)))))="",0,0.3))=0,"",(IF((IF(OR(City_Inputs!$AA11="",Norm_Stats!$F$15="",Norm_Stats!$G$15="",Norm_Stats!$G$15=Norm_Stats!$F$15),"",MAX(0,MIN(100,100*(MIN(MAX(City_Inputs!$AA11,Norm_Stats!$F$15),Norm_Stats!$G$15)-Norm_Stats!$F$15)/(Norm_Stats!$G$15-Norm_Stats!$F$15)))))="",0,(IF(OR(City_Inputs!$AA11="",Norm_Stats!$F$15="",Norm_Stats!$G$15="",Norm_Stats!$G$15=Norm_Stats!$F$15),"",MAX(0,MIN(100,100*(MIN(MAX(City_Inputs!$AA11,Norm_Stats!$F$15),Norm_Stats!$G$15)-Norm_Stats!$F$15)/(Norm_Stats!$G$15-Norm_Stats!$F$15)))))*0.7)+IF((IF(OR(City_Inputs!$AL11="",Norm_Stats!$F$16="",Norm_Stats!$G$16="",Norm_Stats!$G$16=Norm_Stats!$F$16),"",MAX(0,MIN(100,100*(Norm_Stats!$G$16-MIN(MAX(City_Inputs!$AL11,Norm_Stats!$F$16),Norm_Stats!$G$16))/(Norm_Stats!$G$16-Norm_Stats!$F$16)))))="",0,(IF(OR(City_Inputs!$AL11="",Norm_Stats!$F$16="",Norm_Stats!$G$16="",Norm_Stats!$G$16=Norm_Stats!$F$16),"",MAX(0,MIN(100,100*(Norm_Stats!$G$16-MIN(MAX(City_Inputs!$AL11,Norm_Stats!$F$16),Norm_Stats!$G$16))/(Norm_Stats!$G$16-Norm_Stats!$F$16)))))*0.3))/(IF((IF(OR(City_Inputs!$AA11="",Norm_Stats!$F$15="",Norm_Stats!$G$15="",Norm_Stats!$G$15=Norm_Stats!$F$15),"",MAX(0,MIN(100,100*(MIN(MAX(City_Inputs!$AA11,Norm_Stats!$F$15),Norm_Stats!$G$15)-Norm_Stats!$F$15)/(Norm_Stats!$G$15-Norm_Stats!$F$15)))))="",0,0.7)+IF((IF(OR(City_Inputs!$AL11="",Norm_Stats!$F$16="",Norm_Stats!$G$16="",Norm_Stats!$G$16=Norm_Stats!$F$16),"",MAX(0,MIN(100,100*(Norm_Stats!$G$16-MIN(MAX(City_Inputs!$AL11,Norm_Stats!$F$16),Norm_Stats!$G$16))/(Norm_Stats!$G$16-Norm_Stats!$F$16)))))="",0,0.3)))</f>
        <v/>
      </c>
      <c r="AL11" s="14">
        <f>IF((IF((IF(OR(City_Inputs!$AA11="",Norm_Stats!$F$15="",Norm_Stats!$G$15="",Norm_Stats!$G$15=Norm_Stats!$F$15),"",MAX(0,MIN(100,100*(MIN(MAX(City_Inputs!$AA11,Norm_Stats!$F$15),Norm_Stats!$G$15)-Norm_Stats!$F$15)/(Norm_Stats!$G$15-Norm_Stats!$F$15)))))="",0,0.7)+IF((IF(OR(City_Inputs!$AL11="",Norm_Stats!$F$16="",Norm_Stats!$G$16="",Norm_Stats!$G$16=Norm_Stats!$F$16),"",MAX(0,MIN(100,100*(Norm_Stats!$G$16-MIN(MAX(City_Inputs!$AL11,Norm_Stats!$F$16),Norm_Stats!$G$16))/(Norm_Stats!$G$16-Norm_Stats!$F$16)))))="",0,0.3))=0,"",(IF((IF(OR(City_Inputs!$AA11="",Norm_Stats!$F$15="",Norm_Stats!$G$15="",Norm_Stats!$G$15=Norm_Stats!$F$15),"",MAX(0,MIN(100,100*(MIN(MAX(City_Inputs!$AA11,Norm_Stats!$F$15),Norm_Stats!$G$15)-Norm_Stats!$F$15)/(Norm_Stats!$G$15-Norm_Stats!$F$15)))))="",0,0.7)+IF((IF(OR(City_Inputs!$AL11="",Norm_Stats!$F$16="",Norm_Stats!$G$16="",Norm_Stats!$G$16=Norm_Stats!$F$16),"",MAX(0,MIN(100,100*(Norm_Stats!$G$16-MIN(MAX(City_Inputs!$AL11,Norm_Stats!$F$16),Norm_Stats!$G$16))/(Norm_Stats!$G$16-Norm_Stats!$F$16)))))="",0,0.3)))</f>
        <v/>
      </c>
      <c r="AM11" s="15">
        <f>IF((IF(AG11="",0,8)+IF(AI11="",0,6)+IF(AK11="",0,4))=0,"",(IF(AG11="",0,AG11*8)+IF(AI11="",0,AI11*6)+IF(AK11="",0,AK11*4))/(IF(AG11="",0,8)+IF(AI11="",0,6)+IF(AK11="",0,4)))</f>
        <v/>
      </c>
      <c r="AN11" s="14">
        <f>IF((IF(AH11="",0,8)+IF(AJ11="",0,6)+IF(AL11="",0,4))=0,"",(IF(AH11="",0,AH11*8)+IF(AJ11="",0,AJ11*6)+IF(AL11="",0,AL11*4))/18)</f>
        <v/>
      </c>
      <c r="AO11" s="11">
        <f>IF(OR(City_Inputs!$AB11="",Norm_Stats!$F$17="",Norm_Stats!$G$17="",Norm_Stats!$G$17=Norm_Stats!$F$17),"",MAX(0,MIN(100,100*(MIN(MAX(City_Inputs!$AB11,Norm_Stats!$F$17),Norm_Stats!$G$17)-Norm_Stats!$F$17)/(Norm_Stats!$G$17-Norm_Stats!$F$17))))</f>
        <v/>
      </c>
      <c r="AP11" s="14">
        <f>IF(AO11="","",1)</f>
        <v/>
      </c>
      <c r="AQ11" s="11">
        <f>IF(OR(City_Inputs!$AC11="",Norm_Stats!$F$18="",Norm_Stats!$G$18="",Norm_Stats!$G$18=Norm_Stats!$F$18),"",MAX(0,MIN(100,100*(MIN(MAX(City_Inputs!$AC11,Norm_Stats!$F$18),Norm_Stats!$G$18)-Norm_Stats!$F$18)/(Norm_Stats!$G$18-Norm_Stats!$F$18))))</f>
        <v/>
      </c>
      <c r="AR11" s="14">
        <f>IF(AQ11="","",1)</f>
        <v/>
      </c>
      <c r="AS11" s="11">
        <f>IF(OR(City_Inputs!$AD11="",Norm_Stats!$F$19="",Norm_Stats!$G$19="",Norm_Stats!$G$19=Norm_Stats!$F$19),"",MAX(0,MIN(100,100*(MIN(MAX(City_Inputs!$AD11,Norm_Stats!$F$19),Norm_Stats!$G$19)-Norm_Stats!$F$19)/(Norm_Stats!$G$19-Norm_Stats!$F$19))))</f>
        <v/>
      </c>
      <c r="AT11" s="14">
        <f>IF(AS11="","",1)</f>
        <v/>
      </c>
      <c r="AU11" s="11">
        <f>IF(OR(City_Inputs!$BJ11="",Norm_Stats!$F$26="",Norm_Stats!$G$26="",Norm_Stats!$G$26=Norm_Stats!$F$26),"",MAX(0,MIN(100,100*(MIN(MAX(City_Inputs!$BJ11,Norm_Stats!$F$26),Norm_Stats!$G$26)-Norm_Stats!$F$26)/(Norm_Stats!$G$26-Norm_Stats!$F$26))))</f>
        <v/>
      </c>
      <c r="AV11" s="11">
        <f>IF(AU11="","",1)</f>
        <v/>
      </c>
      <c r="AW11" s="15">
        <f>IF((IF(AO11="",0,5)+IF(AQ11="",0,5)+IF(AS11="",0,5)+IF(AU11="",0,4))=0,"",(IF(AO11="",0,AO11*5)+IF(AQ11="",0,AQ11*5)+IF(AS11="",0,AS11*5)+IF(AU11="",0,AU11*4))/(IF(AO11="",0,5)+IF(AQ11="",0,5)+IF(AS11="",0,5)+IF(AU11="",0,4)))</f>
        <v/>
      </c>
      <c r="AX11" s="14">
        <f>IF((IF(AP11="",0,5)+IF(AR11="",0,5)+IF(AT11="",0,5)+IF(AV11="",0,4))=0,"",(IF(AP11="",0,AP11*5)+IF(AR11="",0,AR11*5)+IF(AT11="",0,AT11*5)+IF(AV11="",0,AV11*4))/19)</f>
        <v/>
      </c>
      <c r="AY11" s="11">
        <f>IF(OR(City_Inputs!$AE11="",Norm_Stats!$F$20="",Norm_Stats!$G$20="",Norm_Stats!$G$20=Norm_Stats!$F$20),"",MAX(0,MIN(100,100*(MIN(MAX(City_Inputs!$AE11,Norm_Stats!$F$20),Norm_Stats!$G$20)-Norm_Stats!$F$20)/(Norm_Stats!$G$20-Norm_Stats!$F$20))))</f>
        <v/>
      </c>
      <c r="AZ11" s="14">
        <f>IF(AY11="","",1)</f>
        <v/>
      </c>
      <c r="BA11" s="11">
        <f>IF(OR(City_Inputs!$AF11="",Norm_Stats!$F$21="",Norm_Stats!$G$21="",Norm_Stats!$G$21=Norm_Stats!$F$21),"",MAX(0,MIN(100,100*(MIN(MAX(City_Inputs!$AF11,Norm_Stats!$F$21),Norm_Stats!$G$21)-Norm_Stats!$F$21)/(Norm_Stats!$G$21-Norm_Stats!$F$21))))</f>
        <v/>
      </c>
      <c r="BB11" s="14">
        <f>IF(BA11="","",1)</f>
        <v/>
      </c>
      <c r="BC11" s="11">
        <f>IF((IF((IF(OR(City_Inputs!$AG11="",Norm_Stats!$F$22="",Norm_Stats!$G$22="",Norm_Stats!$G$22=Norm_Stats!$F$22),"",MAX(0,MIN(100,100*(MIN(MAX(City_Inputs!$AG11,Norm_Stats!$F$22),Norm_Stats!$G$22)-Norm_Stats!$F$22)/(Norm_Stats!$G$22-Norm_Stats!$F$22)))))="",0,0.5)+IF((IF(OR(City_Inputs!$AJ11="",Norm_Stats!$F$23="",Norm_Stats!$G$23="",Norm_Stats!$G$23=Norm_Stats!$F$23),"",MAX(0,MIN(100,100*(MIN(MAX(City_Inputs!$AJ11,Norm_Stats!$F$23),Norm_Stats!$G$23)-Norm_Stats!$F$23)/(Norm_Stats!$G$23-Norm_Stats!$F$23)))))="",0,0.3)+IF((IF(OR(City_Inputs!$AK11="",Norm_Stats!$F$24="",Norm_Stats!$G$24="",Norm_Stats!$G$24=Norm_Stats!$F$24),"",MAX(0,MIN(100,100*(MIN(MAX(City_Inputs!$AK11,Norm_Stats!$F$24),Norm_Stats!$G$24)-Norm_Stats!$F$24)/(Norm_Stats!$G$24-Norm_Stats!$F$24)))))="",0,0.2))=0,"",(IF((IF(OR(City_Inputs!$AG11="",Norm_Stats!$F$22="",Norm_Stats!$G$22="",Norm_Stats!$G$22=Norm_Stats!$F$22),"",MAX(0,MIN(100,100*(MIN(MAX(City_Inputs!$AG11,Norm_Stats!$F$22),Norm_Stats!$G$22)-Norm_Stats!$F$22)/(Norm_Stats!$G$22-Norm_Stats!$F$22)))))="",0,(IF(OR(City_Inputs!$AG11="",Norm_Stats!$F$22="",Norm_Stats!$G$22="",Norm_Stats!$G$22=Norm_Stats!$F$22),"",MAX(0,MIN(100,100*(MIN(MAX(City_Inputs!$AG11,Norm_Stats!$F$22),Norm_Stats!$G$22)-Norm_Stats!$F$22)/(Norm_Stats!$G$22-Norm_Stats!$F$22)))))*0.5)+IF((IF(OR(City_Inputs!$AJ11="",Norm_Stats!$F$23="",Norm_Stats!$G$23="",Norm_Stats!$G$23=Norm_Stats!$F$23),"",MAX(0,MIN(100,100*(MIN(MAX(City_Inputs!$AJ11,Norm_Stats!$F$23),Norm_Stats!$G$23)-Norm_Stats!$F$23)/(Norm_Stats!$G$23-Norm_Stats!$F$23)))))="",0,(IF(OR(City_Inputs!$AJ11="",Norm_Stats!$F$23="",Norm_Stats!$G$23="",Norm_Stats!$G$23=Norm_Stats!$F$23),"",MAX(0,MIN(100,100*(MIN(MAX(City_Inputs!$AJ11,Norm_Stats!$F$23),Norm_Stats!$G$23)-Norm_Stats!$F$23)/(Norm_Stats!$G$23-Norm_Stats!$F$23)))))*0.3)+IF((IF(OR(City_Inputs!$AK11="",Norm_Stats!$F$24="",Norm_Stats!$G$24="",Norm_Stats!$G$24=Norm_Stats!$F$24),"",MAX(0,MIN(100,100*(MIN(MAX(City_Inputs!$AK11,Norm_Stats!$F$24),Norm_Stats!$G$24)-Norm_Stats!$F$24)/(Norm_Stats!$G$24-Norm_Stats!$F$24)))))="",0,(IF(OR(City_Inputs!$AK11="",Norm_Stats!$F$24="",Norm_Stats!$G$24="",Norm_Stats!$G$24=Norm_Stats!$F$24),"",MAX(0,MIN(100,100*(MIN(MAX(City_Inputs!$AK11,Norm_Stats!$F$24),Norm_Stats!$G$24)-Norm_Stats!$F$24)/(Norm_Stats!$G$24-Norm_Stats!$F$24)))))*0.2))/(IF((IF(OR(City_Inputs!$AG11="",Norm_Stats!$F$22="",Norm_Stats!$G$22="",Norm_Stats!$G$22=Norm_Stats!$F$22),"",MAX(0,MIN(100,100*(MIN(MAX(City_Inputs!$AG11,Norm_Stats!$F$22),Norm_Stats!$G$22)-Norm_Stats!$F$22)/(Norm_Stats!$G$22-Norm_Stats!$F$22)))))="",0,0.5)+IF((IF(OR(City_Inputs!$AJ11="",Norm_Stats!$F$23="",Norm_Stats!$G$23="",Norm_Stats!$G$23=Norm_Stats!$F$23),"",MAX(0,MIN(100,100*(MIN(MAX(City_Inputs!$AJ11,Norm_Stats!$F$23),Norm_Stats!$G$23)-Norm_Stats!$F$23)/(Norm_Stats!$G$23-Norm_Stats!$F$23)))))="",0,0.3)+IF((IF(OR(City_Inputs!$AK11="",Norm_Stats!$F$24="",Norm_Stats!$G$24="",Norm_Stats!$G$24=Norm_Stats!$F$24),"",MAX(0,MIN(100,100*(MIN(MAX(City_Inputs!$AK11,Norm_Stats!$F$24),Norm_Stats!$G$24)-Norm_Stats!$F$24)/(Norm_Stats!$G$24-Norm_Stats!$F$24)))))="",0,0.2)))</f>
        <v/>
      </c>
      <c r="BD11" s="14">
        <f>IF((IF((IF(OR(City_Inputs!$AG11="",Norm_Stats!$F$22="",Norm_Stats!$G$22="",Norm_Stats!$G$22=Norm_Stats!$F$22),"",MAX(0,MIN(100,100*(MIN(MAX(City_Inputs!$AG11,Norm_Stats!$F$22),Norm_Stats!$G$22)-Norm_Stats!$F$22)/(Norm_Stats!$G$22-Norm_Stats!$F$22)))))="",0,0.5)+IF((IF(OR(City_Inputs!$AJ11="",Norm_Stats!$F$23="",Norm_Stats!$G$23="",Norm_Stats!$G$23=Norm_Stats!$F$23),"",MAX(0,MIN(100,100*(MIN(MAX(City_Inputs!$AJ11,Norm_Stats!$F$23),Norm_Stats!$G$23)-Norm_Stats!$F$23)/(Norm_Stats!$G$23-Norm_Stats!$F$23)))))="",0,0.3)+IF((IF(OR(City_Inputs!$AK11="",Norm_Stats!$F$24="",Norm_Stats!$G$24="",Norm_Stats!$G$24=Norm_Stats!$F$24),"",MAX(0,MIN(100,100*(MIN(MAX(City_Inputs!$AK11,Norm_Stats!$F$24),Norm_Stats!$G$24)-Norm_Stats!$F$24)/(Norm_Stats!$G$24-Norm_Stats!$F$24)))))="",0,0.2))=0,"",(IF((IF(OR(City_Inputs!$AG11="",Norm_Stats!$F$22="",Norm_Stats!$G$22="",Norm_Stats!$G$22=Norm_Stats!$F$22),"",MAX(0,MIN(100,100*(MIN(MAX(City_Inputs!$AG11,Norm_Stats!$F$22),Norm_Stats!$G$22)-Norm_Stats!$F$22)/(Norm_Stats!$G$22-Norm_Stats!$F$22)))))="",0,0.5)+IF((IF(OR(City_Inputs!$AJ11="",Norm_Stats!$F$23="",Norm_Stats!$G$23="",Norm_Stats!$G$23=Norm_Stats!$F$23),"",MAX(0,MIN(100,100*(MIN(MAX(City_Inputs!$AJ11,Norm_Stats!$F$23),Norm_Stats!$G$23)-Norm_Stats!$F$23)/(Norm_Stats!$G$23-Norm_Stats!$F$23)))))="",0,0.3)+IF((IF(OR(City_Inputs!$AK11="",Norm_Stats!$F$24="",Norm_Stats!$G$24="",Norm_Stats!$G$24=Norm_Stats!$F$24),"",MAX(0,MIN(100,100*(MIN(MAX(City_Inputs!$AK11,Norm_Stats!$F$24),Norm_Stats!$G$24)-Norm_Stats!$F$24)/(Norm_Stats!$G$24-Norm_Stats!$F$24)))))="",0,0.2)))</f>
        <v/>
      </c>
      <c r="BE11" s="11">
        <f>IF(OR(City_Inputs!$AH11="",Norm_Stats!$F$25="",Norm_Stats!$G$25="",Norm_Stats!$G$25=Norm_Stats!$F$25),"",MAX(0,MIN(100,100*(Norm_Stats!$G$25-MIN(MAX(City_Inputs!$AH11,Norm_Stats!$F$25),Norm_Stats!$G$25))/(Norm_Stats!$G$25-Norm_Stats!$F$25))))</f>
        <v/>
      </c>
      <c r="BF11" s="14">
        <f>IF(BE11="","",1)</f>
        <v/>
      </c>
      <c r="BG11" s="15">
        <f>IF((IF(AY11="",0,6)+IF(BA11="",0,5)+IF(BC11="",0,5)+IF(BE11="",0,4))=0,"",(IF(AY11="",0,AY11*6)+IF(BA11="",0,BA11*5)+IF(BC11="",0,BC11*5)+IF(BE11="",0,BE11*4))/(IF(AY11="",0,6)+IF(BA11="",0,5)+IF(BC11="",0,5)+IF(BE11="",0,4)))</f>
        <v/>
      </c>
      <c r="BH11" s="14">
        <f>IF((IF(AZ11="",0,6)+IF(BB11="",0,5)+IF(BD11="",0,5)+IF(BF11="",0,4))=0,"",(IF(AZ11="",0,AZ11*6)+IF(BB11="",0,BB11*5)+IF(BD11="",0,BD11*5)+IF(BF11="",0,BF11*4))/20)</f>
        <v/>
      </c>
      <c r="BI11" s="14">
        <f>IF(AND(R11="",AF11="",AN11="",AX11="",BH11=""),"",((R11*25)+(AF11*22)+(AN11*18)+(AX11*15)+(BH11*20))/100)</f>
        <v/>
      </c>
      <c r="BJ11" s="11">
        <f>IF(BI11="","",IF(BI11&gt;=0.75,"A",IF(BI11&gt;=0.5,"B",IF(BI11&gt;=0.35,"C","Watchlist"))))</f>
        <v/>
      </c>
      <c r="BK11" s="11">
        <f>IF(OR(BI11="",BI11&lt;0.5,R11="",R11&lt;0.35,AF11="",AF11&lt;0.35,AN11="",AN11&lt;0.35,AX11="",AX11&lt;0.35,BH11="",BH11&lt;0.35),"Watchlist","Ranked")</f>
        <v/>
      </c>
      <c r="BL11" s="15">
        <f>IF(AND(Q11="",AE11="",AM11="",AW11="",BG11=""),"",(IF(Q11="",0,Q11*25)+IF(AE11="",0,AE11*22)+IF(AM11="",0,AM11*18)+IF(AW11="",0,AW11*15)+IF(BG11="",0,BG11*20))/(IF(Q11="",0,25)+IF(AE11="",0,22)+IF(AM11="",0,18)+IF(AW11="",0,15)+IF(BG11="",0,20)))</f>
        <v/>
      </c>
      <c r="BM11" s="11">
        <f>IF(BK11="Ranked",1+COUNTIFS($BK$2:$BK$158,"Ranked",$BL$2:$BL$158,"&gt;"&amp;BL11),"")</f>
        <v/>
      </c>
      <c r="BN11" s="11">
        <f>City_Inputs!$AI11</f>
        <v/>
      </c>
    </row>
    <row r="12">
      <c r="A12" t="inlineStr">
        <is>
          <t>my-melaka</t>
        </is>
      </c>
      <c r="B12" t="inlineStr">
        <is>
          <t>Melaka</t>
        </is>
      </c>
      <c r="C12" t="inlineStr">
        <is>
          <t>Malaysia</t>
        </is>
      </c>
      <c r="D12" t="inlineStr">
        <is>
          <t>Southeast Asia</t>
        </is>
      </c>
      <c r="E12" t="inlineStr">
        <is>
          <t>provisional</t>
        </is>
      </c>
      <c r="F12" t="inlineStr">
        <is>
          <t>secondary</t>
        </is>
      </c>
      <c r="G12" s="11">
        <f>IF(OR(City_Inputs!$M12="",Norm_Stats!$F$2="",Norm_Stats!$G$2="",Norm_Stats!$G$2=Norm_Stats!$F$2),"",MAX(0,MIN(100,100*(MIN(MAX(City_Inputs!$M12,Norm_Stats!$F$2),Norm_Stats!$G$2)-Norm_Stats!$F$2)/(Norm_Stats!$G$2-Norm_Stats!$F$2))))</f>
        <v/>
      </c>
      <c r="H12" s="14">
        <f>IF(G12="","",1)</f>
        <v/>
      </c>
      <c r="I12" s="11">
        <f>IF(OR(City_Inputs!$N12="",Norm_Stats!$F$3="",Norm_Stats!$G$3="",Norm_Stats!$G$3=Norm_Stats!$F$3),"",MAX(0,MIN(100,100*(Norm_Stats!$G$3-MIN(MAX(City_Inputs!$N12,Norm_Stats!$F$3),Norm_Stats!$G$3))/(Norm_Stats!$G$3-Norm_Stats!$F$3))))</f>
        <v/>
      </c>
      <c r="J12" s="14">
        <f>IF(I12="","",1)</f>
        <v/>
      </c>
      <c r="K12" s="11">
        <f>IF(OR(City_Inputs!$P12="",Norm_Stats!$F$4="",Norm_Stats!$G$4="",Norm_Stats!$G$4=Norm_Stats!$F$4),"",MAX(0,MIN(100,100*(Norm_Stats!$G$4-MIN(MAX(City_Inputs!$P12,Norm_Stats!$F$4),Norm_Stats!$G$4))/(Norm_Stats!$G$4-Norm_Stats!$F$4))))</f>
        <v/>
      </c>
      <c r="L12" s="14">
        <f>IF(K12="","",1)</f>
        <v/>
      </c>
      <c r="M12" s="11">
        <f>IF(OR(City_Inputs!$Q12="",Norm_Stats!$F$5="",Norm_Stats!$G$5="",Norm_Stats!$G$5=Norm_Stats!$F$5),"",MAX(0,MIN(100,100*(Norm_Stats!$G$5-MIN(MAX(City_Inputs!$Q12,Norm_Stats!$F$5),Norm_Stats!$G$5))/(Norm_Stats!$G$5-Norm_Stats!$F$5))))</f>
        <v/>
      </c>
      <c r="N12" s="14">
        <f>IF(M12="","",1)</f>
        <v/>
      </c>
      <c r="O12" s="11">
        <f>IF(OR(City_Inputs!$R12="",Norm_Stats!$F$6="",Norm_Stats!$G$6="",Norm_Stats!$G$6=Norm_Stats!$F$6),"",MAX(0,MIN(100,100*(Norm_Stats!$G$6-MIN(MAX(City_Inputs!$R12,Norm_Stats!$F$6),Norm_Stats!$G$6))/(Norm_Stats!$G$6-Norm_Stats!$F$6))))</f>
        <v/>
      </c>
      <c r="P12" s="14">
        <f>IF(O12="","",1)</f>
        <v/>
      </c>
      <c r="Q12" s="15">
        <f>IF((IF(G12="",0,9)+IF(I12="",0,5)+IF(K12="",0,4)+IF(M12="",0,4)+IF(O12="",0,5))=0,"",(IF(G12="",0,G12*9)+IF(I12="",0,I12*5)+IF(K12="",0,K12*4)+IF(M12="",0,M12*4)+IF(O12="",0,O12*5))/(IF(G12="",0,9)+IF(I12="",0,5)+IF(K12="",0,4)+IF(M12="",0,4)+IF(O12="",0,5)))</f>
        <v/>
      </c>
      <c r="R12" s="14">
        <f>IF((IF(H12="",0,9)+IF(J12="",0,5)+IF(L12="",0,4)+IF(N12="",0,4)+IF(P12="",0,5))=0,"",(IF(H12="",0,H12*9)+IF(J12="",0,J12*5)+IF(L12="",0,L12*4)+IF(N12="",0,N12*4)+IF(P12="",0,P12*5))/27)</f>
        <v/>
      </c>
      <c r="S12" s="11">
        <f>IF(OR(City_Inputs!$S12="",Norm_Stats!$F$7="",Norm_Stats!$G$7="",Norm_Stats!$G$7=Norm_Stats!$F$7),"",MAX(0,MIN(100,100*(Norm_Stats!$G$7-MIN(MAX(City_Inputs!$S12,Norm_Stats!$F$7),Norm_Stats!$G$7))/(Norm_Stats!$G$7-Norm_Stats!$F$7))))</f>
        <v/>
      </c>
      <c r="T12" s="14">
        <f>IF(S12="","",1)</f>
        <v/>
      </c>
      <c r="U12" s="11">
        <f>IF(OR(City_Inputs!$T12="",Norm_Stats!$F$8="",Norm_Stats!$G$8="",Norm_Stats!$G$8=Norm_Stats!$F$8),"",MAX(0,MIN(100,100*(MIN(MAX(City_Inputs!$T12,Norm_Stats!$F$8),Norm_Stats!$G$8)-Norm_Stats!$F$8)/(Norm_Stats!$G$8-Norm_Stats!$F$8))))</f>
        <v/>
      </c>
      <c r="V12" s="14">
        <f>IF(U12="","",1)</f>
        <v/>
      </c>
      <c r="W12" s="11">
        <f>IF(OR(City_Inputs!$U12="",Norm_Stats!$F$9="",Norm_Stats!$G$9="",Norm_Stats!$G$9=Norm_Stats!$F$9),"",MAX(0,MIN(100,100*(Norm_Stats!$G$9-MIN(MAX(City_Inputs!$U12,Norm_Stats!$F$9),Norm_Stats!$G$9))/(Norm_Stats!$G$9-Norm_Stats!$F$9))))</f>
        <v/>
      </c>
      <c r="X12" s="14">
        <f>IF(W12="","",1)</f>
        <v/>
      </c>
      <c r="Y12" s="11">
        <f>IF(OR(City_Inputs!$V12="",Norm_Stats!$F$10="",Norm_Stats!$G$10="",Norm_Stats!$G$10=Norm_Stats!$F$10),"",MAX(0,MIN(100,100*(MIN(MAX(City_Inputs!$V12,Norm_Stats!$F$10),Norm_Stats!$G$10)-Norm_Stats!$F$10)/(Norm_Stats!$G$10-Norm_Stats!$F$10))))</f>
        <v/>
      </c>
      <c r="Z12" s="14">
        <f>IF(Y12="","",1)</f>
        <v/>
      </c>
      <c r="AA12" s="11">
        <f>IF(OR(City_Inputs!$W12="",Norm_Stats!$F$11="",Norm_Stats!$G$11="",Norm_Stats!$G$11=Norm_Stats!$F$11),"",MAX(0,MIN(100,100*(MIN(MAX(City_Inputs!$W12,Norm_Stats!$F$11),Norm_Stats!$G$11)-Norm_Stats!$F$11)/(Norm_Stats!$G$11-Norm_Stats!$F$11))))</f>
        <v/>
      </c>
      <c r="AB12" s="14">
        <f>IF(AA12="","",1)</f>
        <v/>
      </c>
      <c r="AC12" s="11">
        <f>IF(OR(City_Inputs!$X12="",Norm_Stats!$F$12="",Norm_Stats!$G$12="",Norm_Stats!$G$12=Norm_Stats!$F$12),"",MAX(0,MIN(100,100*(MIN(MAX(City_Inputs!$X12,Norm_Stats!$F$12),Norm_Stats!$G$12)-Norm_Stats!$F$12)/(Norm_Stats!$G$12-Norm_Stats!$F$12))))</f>
        <v/>
      </c>
      <c r="AD12" s="11">
        <f>IF(AC12="","",1)</f>
        <v/>
      </c>
      <c r="AE12" s="15">
        <f>IF((IF(S12="",0,5)+IF(U12="",0,5)+IF(W12="",0,4)+IF(Y12="",0,4)+IF(AA12="",0,4)+IF(AC12="",0,5))=0,"",(IF(S12="",0,S12*5)+IF(U12="",0,U12*5)+IF(W12="",0,W12*4)+IF(Y12="",0,Y12*4)+IF(AA12="",0,AA12*4)+IF(AC12="",0,AC12*5))/(IF(S12="",0,5)+IF(U12="",0,5)+IF(W12="",0,4)+IF(Y12="",0,4)+IF(AA12="",0,4)+IF(AC12="",0,5)))</f>
        <v/>
      </c>
      <c r="AF12" s="14">
        <f>IF((IF(T12="",0,5)+IF(V12="",0,5)+IF(X12="",0,4)+IF(Z12="",0,4)+IF(AB12="",0,4)+IF(AD12="",0,5))=0,"",(IF(T12="",0,T12*5)+IF(V12="",0,V12*5)+IF(X12="",0,X12*4)+IF(Z12="",0,Z12*4)+IF(AB12="",0,AB12*4)+IF(AD12="",0,AD12*5))/27)</f>
        <v/>
      </c>
      <c r="AG12" s="11">
        <f>IF(OR(City_Inputs!$Y12="",Norm_Stats!$F$13="",Norm_Stats!$G$13="",Norm_Stats!$G$13=Norm_Stats!$F$13),"",MAX(0,MIN(100,100*(MIN(MAX(City_Inputs!$Y12,Norm_Stats!$F$13),Norm_Stats!$G$13)-Norm_Stats!$F$13)/(Norm_Stats!$G$13-Norm_Stats!$F$13))))</f>
        <v/>
      </c>
      <c r="AH12" s="14">
        <f>IF(AG12="","",1)</f>
        <v/>
      </c>
      <c r="AI12" s="11">
        <f>IF(OR(City_Inputs!$Z12="",Norm_Stats!$F$14="",Norm_Stats!$G$14="",Norm_Stats!$G$14=Norm_Stats!$F$14),"",MAX(0,MIN(100,100*(MIN(MAX(City_Inputs!$Z12,Norm_Stats!$F$14),Norm_Stats!$G$14)-Norm_Stats!$F$14)/(Norm_Stats!$G$14-Norm_Stats!$F$14))))</f>
        <v/>
      </c>
      <c r="AJ12" s="14">
        <f>IF(AI12="","",1)</f>
        <v/>
      </c>
      <c r="AK12" s="11">
        <f>IF((IF((IF(OR(City_Inputs!$AA12="",Norm_Stats!$F$15="",Norm_Stats!$G$15="",Norm_Stats!$G$15=Norm_Stats!$F$15),"",MAX(0,MIN(100,100*(MIN(MAX(City_Inputs!$AA12,Norm_Stats!$F$15),Norm_Stats!$G$15)-Norm_Stats!$F$15)/(Norm_Stats!$G$15-Norm_Stats!$F$15)))))="",0,0.7)+IF((IF(OR(City_Inputs!$AL12="",Norm_Stats!$F$16="",Norm_Stats!$G$16="",Norm_Stats!$G$16=Norm_Stats!$F$16),"",MAX(0,MIN(100,100*(Norm_Stats!$G$16-MIN(MAX(City_Inputs!$AL12,Norm_Stats!$F$16),Norm_Stats!$G$16))/(Norm_Stats!$G$16-Norm_Stats!$F$16)))))="",0,0.3))=0,"",(IF((IF(OR(City_Inputs!$AA12="",Norm_Stats!$F$15="",Norm_Stats!$G$15="",Norm_Stats!$G$15=Norm_Stats!$F$15),"",MAX(0,MIN(100,100*(MIN(MAX(City_Inputs!$AA12,Norm_Stats!$F$15),Norm_Stats!$G$15)-Norm_Stats!$F$15)/(Norm_Stats!$G$15-Norm_Stats!$F$15)))))="",0,(IF(OR(City_Inputs!$AA12="",Norm_Stats!$F$15="",Norm_Stats!$G$15="",Norm_Stats!$G$15=Norm_Stats!$F$15),"",MAX(0,MIN(100,100*(MIN(MAX(City_Inputs!$AA12,Norm_Stats!$F$15),Norm_Stats!$G$15)-Norm_Stats!$F$15)/(Norm_Stats!$G$15-Norm_Stats!$F$15)))))*0.7)+IF((IF(OR(City_Inputs!$AL12="",Norm_Stats!$F$16="",Norm_Stats!$G$16="",Norm_Stats!$G$16=Norm_Stats!$F$16),"",MAX(0,MIN(100,100*(Norm_Stats!$G$16-MIN(MAX(City_Inputs!$AL12,Norm_Stats!$F$16),Norm_Stats!$G$16))/(Norm_Stats!$G$16-Norm_Stats!$F$16)))))="",0,(IF(OR(City_Inputs!$AL12="",Norm_Stats!$F$16="",Norm_Stats!$G$16="",Norm_Stats!$G$16=Norm_Stats!$F$16),"",MAX(0,MIN(100,100*(Norm_Stats!$G$16-MIN(MAX(City_Inputs!$AL12,Norm_Stats!$F$16),Norm_Stats!$G$16))/(Norm_Stats!$G$16-Norm_Stats!$F$16)))))*0.3))/(IF((IF(OR(City_Inputs!$AA12="",Norm_Stats!$F$15="",Norm_Stats!$G$15="",Norm_Stats!$G$15=Norm_Stats!$F$15),"",MAX(0,MIN(100,100*(MIN(MAX(City_Inputs!$AA12,Norm_Stats!$F$15),Norm_Stats!$G$15)-Norm_Stats!$F$15)/(Norm_Stats!$G$15-Norm_Stats!$F$15)))))="",0,0.7)+IF((IF(OR(City_Inputs!$AL12="",Norm_Stats!$F$16="",Norm_Stats!$G$16="",Norm_Stats!$G$16=Norm_Stats!$F$16),"",MAX(0,MIN(100,100*(Norm_Stats!$G$16-MIN(MAX(City_Inputs!$AL12,Norm_Stats!$F$16),Norm_Stats!$G$16))/(Norm_Stats!$G$16-Norm_Stats!$F$16)))))="",0,0.3)))</f>
        <v/>
      </c>
      <c r="AL12" s="14">
        <f>IF((IF((IF(OR(City_Inputs!$AA12="",Norm_Stats!$F$15="",Norm_Stats!$G$15="",Norm_Stats!$G$15=Norm_Stats!$F$15),"",MAX(0,MIN(100,100*(MIN(MAX(City_Inputs!$AA12,Norm_Stats!$F$15),Norm_Stats!$G$15)-Norm_Stats!$F$15)/(Norm_Stats!$G$15-Norm_Stats!$F$15)))))="",0,0.7)+IF((IF(OR(City_Inputs!$AL12="",Norm_Stats!$F$16="",Norm_Stats!$G$16="",Norm_Stats!$G$16=Norm_Stats!$F$16),"",MAX(0,MIN(100,100*(Norm_Stats!$G$16-MIN(MAX(City_Inputs!$AL12,Norm_Stats!$F$16),Norm_Stats!$G$16))/(Norm_Stats!$G$16-Norm_Stats!$F$16)))))="",0,0.3))=0,"",(IF((IF(OR(City_Inputs!$AA12="",Norm_Stats!$F$15="",Norm_Stats!$G$15="",Norm_Stats!$G$15=Norm_Stats!$F$15),"",MAX(0,MIN(100,100*(MIN(MAX(City_Inputs!$AA12,Norm_Stats!$F$15),Norm_Stats!$G$15)-Norm_Stats!$F$15)/(Norm_Stats!$G$15-Norm_Stats!$F$15)))))="",0,0.7)+IF((IF(OR(City_Inputs!$AL12="",Norm_Stats!$F$16="",Norm_Stats!$G$16="",Norm_Stats!$G$16=Norm_Stats!$F$16),"",MAX(0,MIN(100,100*(Norm_Stats!$G$16-MIN(MAX(City_Inputs!$AL12,Norm_Stats!$F$16),Norm_Stats!$G$16))/(Norm_Stats!$G$16-Norm_Stats!$F$16)))))="",0,0.3)))</f>
        <v/>
      </c>
      <c r="AM12" s="15">
        <f>IF((IF(AG12="",0,8)+IF(AI12="",0,6)+IF(AK12="",0,4))=0,"",(IF(AG12="",0,AG12*8)+IF(AI12="",0,AI12*6)+IF(AK12="",0,AK12*4))/(IF(AG12="",0,8)+IF(AI12="",0,6)+IF(AK12="",0,4)))</f>
        <v/>
      </c>
      <c r="AN12" s="14">
        <f>IF((IF(AH12="",0,8)+IF(AJ12="",0,6)+IF(AL12="",0,4))=0,"",(IF(AH12="",0,AH12*8)+IF(AJ12="",0,AJ12*6)+IF(AL12="",0,AL12*4))/18)</f>
        <v/>
      </c>
      <c r="AO12" s="11">
        <f>IF(OR(City_Inputs!$AB12="",Norm_Stats!$F$17="",Norm_Stats!$G$17="",Norm_Stats!$G$17=Norm_Stats!$F$17),"",MAX(0,MIN(100,100*(MIN(MAX(City_Inputs!$AB12,Norm_Stats!$F$17),Norm_Stats!$G$17)-Norm_Stats!$F$17)/(Norm_Stats!$G$17-Norm_Stats!$F$17))))</f>
        <v/>
      </c>
      <c r="AP12" s="14">
        <f>IF(AO12="","",1)</f>
        <v/>
      </c>
      <c r="AQ12" s="11">
        <f>IF(OR(City_Inputs!$AC12="",Norm_Stats!$F$18="",Norm_Stats!$G$18="",Norm_Stats!$G$18=Norm_Stats!$F$18),"",MAX(0,MIN(100,100*(MIN(MAX(City_Inputs!$AC12,Norm_Stats!$F$18),Norm_Stats!$G$18)-Norm_Stats!$F$18)/(Norm_Stats!$G$18-Norm_Stats!$F$18))))</f>
        <v/>
      </c>
      <c r="AR12" s="14">
        <f>IF(AQ12="","",1)</f>
        <v/>
      </c>
      <c r="AS12" s="11">
        <f>IF(OR(City_Inputs!$AD12="",Norm_Stats!$F$19="",Norm_Stats!$G$19="",Norm_Stats!$G$19=Norm_Stats!$F$19),"",MAX(0,MIN(100,100*(MIN(MAX(City_Inputs!$AD12,Norm_Stats!$F$19),Norm_Stats!$G$19)-Norm_Stats!$F$19)/(Norm_Stats!$G$19-Norm_Stats!$F$19))))</f>
        <v/>
      </c>
      <c r="AT12" s="14">
        <f>IF(AS12="","",1)</f>
        <v/>
      </c>
      <c r="AU12" s="11">
        <f>IF(OR(City_Inputs!$BJ12="",Norm_Stats!$F$26="",Norm_Stats!$G$26="",Norm_Stats!$G$26=Norm_Stats!$F$26),"",MAX(0,MIN(100,100*(MIN(MAX(City_Inputs!$BJ12,Norm_Stats!$F$26),Norm_Stats!$G$26)-Norm_Stats!$F$26)/(Norm_Stats!$G$26-Norm_Stats!$F$26))))</f>
        <v/>
      </c>
      <c r="AV12" s="11">
        <f>IF(AU12="","",1)</f>
        <v/>
      </c>
      <c r="AW12" s="15">
        <f>IF((IF(AO12="",0,5)+IF(AQ12="",0,5)+IF(AS12="",0,5)+IF(AU12="",0,4))=0,"",(IF(AO12="",0,AO12*5)+IF(AQ12="",0,AQ12*5)+IF(AS12="",0,AS12*5)+IF(AU12="",0,AU12*4))/(IF(AO12="",0,5)+IF(AQ12="",0,5)+IF(AS12="",0,5)+IF(AU12="",0,4)))</f>
        <v/>
      </c>
      <c r="AX12" s="14">
        <f>IF((IF(AP12="",0,5)+IF(AR12="",0,5)+IF(AT12="",0,5)+IF(AV12="",0,4))=0,"",(IF(AP12="",0,AP12*5)+IF(AR12="",0,AR12*5)+IF(AT12="",0,AT12*5)+IF(AV12="",0,AV12*4))/19)</f>
        <v/>
      </c>
      <c r="AY12" s="11">
        <f>IF(OR(City_Inputs!$AE12="",Norm_Stats!$F$20="",Norm_Stats!$G$20="",Norm_Stats!$G$20=Norm_Stats!$F$20),"",MAX(0,MIN(100,100*(MIN(MAX(City_Inputs!$AE12,Norm_Stats!$F$20),Norm_Stats!$G$20)-Norm_Stats!$F$20)/(Norm_Stats!$G$20-Norm_Stats!$F$20))))</f>
        <v/>
      </c>
      <c r="AZ12" s="14">
        <f>IF(AY12="","",1)</f>
        <v/>
      </c>
      <c r="BA12" s="11">
        <f>IF(OR(City_Inputs!$AF12="",Norm_Stats!$F$21="",Norm_Stats!$G$21="",Norm_Stats!$G$21=Norm_Stats!$F$21),"",MAX(0,MIN(100,100*(MIN(MAX(City_Inputs!$AF12,Norm_Stats!$F$21),Norm_Stats!$G$21)-Norm_Stats!$F$21)/(Norm_Stats!$G$21-Norm_Stats!$F$21))))</f>
        <v/>
      </c>
      <c r="BB12" s="14">
        <f>IF(BA12="","",1)</f>
        <v/>
      </c>
      <c r="BC12" s="11">
        <f>IF((IF((IF(OR(City_Inputs!$AG12="",Norm_Stats!$F$22="",Norm_Stats!$G$22="",Norm_Stats!$G$22=Norm_Stats!$F$22),"",MAX(0,MIN(100,100*(MIN(MAX(City_Inputs!$AG12,Norm_Stats!$F$22),Norm_Stats!$G$22)-Norm_Stats!$F$22)/(Norm_Stats!$G$22-Norm_Stats!$F$22)))))="",0,0.5)+IF((IF(OR(City_Inputs!$AJ12="",Norm_Stats!$F$23="",Norm_Stats!$G$23="",Norm_Stats!$G$23=Norm_Stats!$F$23),"",MAX(0,MIN(100,100*(MIN(MAX(City_Inputs!$AJ12,Norm_Stats!$F$23),Norm_Stats!$G$23)-Norm_Stats!$F$23)/(Norm_Stats!$G$23-Norm_Stats!$F$23)))))="",0,0.3)+IF((IF(OR(City_Inputs!$AK12="",Norm_Stats!$F$24="",Norm_Stats!$G$24="",Norm_Stats!$G$24=Norm_Stats!$F$24),"",MAX(0,MIN(100,100*(MIN(MAX(City_Inputs!$AK12,Norm_Stats!$F$24),Norm_Stats!$G$24)-Norm_Stats!$F$24)/(Norm_Stats!$G$24-Norm_Stats!$F$24)))))="",0,0.2))=0,"",(IF((IF(OR(City_Inputs!$AG12="",Norm_Stats!$F$22="",Norm_Stats!$G$22="",Norm_Stats!$G$22=Norm_Stats!$F$22),"",MAX(0,MIN(100,100*(MIN(MAX(City_Inputs!$AG12,Norm_Stats!$F$22),Norm_Stats!$G$22)-Norm_Stats!$F$22)/(Norm_Stats!$G$22-Norm_Stats!$F$22)))))="",0,(IF(OR(City_Inputs!$AG12="",Norm_Stats!$F$22="",Norm_Stats!$G$22="",Norm_Stats!$G$22=Norm_Stats!$F$22),"",MAX(0,MIN(100,100*(MIN(MAX(City_Inputs!$AG12,Norm_Stats!$F$22),Norm_Stats!$G$22)-Norm_Stats!$F$22)/(Norm_Stats!$G$22-Norm_Stats!$F$22)))))*0.5)+IF((IF(OR(City_Inputs!$AJ12="",Norm_Stats!$F$23="",Norm_Stats!$G$23="",Norm_Stats!$G$23=Norm_Stats!$F$23),"",MAX(0,MIN(100,100*(MIN(MAX(City_Inputs!$AJ12,Norm_Stats!$F$23),Norm_Stats!$G$23)-Norm_Stats!$F$23)/(Norm_Stats!$G$23-Norm_Stats!$F$23)))))="",0,(IF(OR(City_Inputs!$AJ12="",Norm_Stats!$F$23="",Norm_Stats!$G$23="",Norm_Stats!$G$23=Norm_Stats!$F$23),"",MAX(0,MIN(100,100*(MIN(MAX(City_Inputs!$AJ12,Norm_Stats!$F$23),Norm_Stats!$G$23)-Norm_Stats!$F$23)/(Norm_Stats!$G$23-Norm_Stats!$F$23)))))*0.3)+IF((IF(OR(City_Inputs!$AK12="",Norm_Stats!$F$24="",Norm_Stats!$G$24="",Norm_Stats!$G$24=Norm_Stats!$F$24),"",MAX(0,MIN(100,100*(MIN(MAX(City_Inputs!$AK12,Norm_Stats!$F$24),Norm_Stats!$G$24)-Norm_Stats!$F$24)/(Norm_Stats!$G$24-Norm_Stats!$F$24)))))="",0,(IF(OR(City_Inputs!$AK12="",Norm_Stats!$F$24="",Norm_Stats!$G$24="",Norm_Stats!$G$24=Norm_Stats!$F$24),"",MAX(0,MIN(100,100*(MIN(MAX(City_Inputs!$AK12,Norm_Stats!$F$24),Norm_Stats!$G$24)-Norm_Stats!$F$24)/(Norm_Stats!$G$24-Norm_Stats!$F$24)))))*0.2))/(IF((IF(OR(City_Inputs!$AG12="",Norm_Stats!$F$22="",Norm_Stats!$G$22="",Norm_Stats!$G$22=Norm_Stats!$F$22),"",MAX(0,MIN(100,100*(MIN(MAX(City_Inputs!$AG12,Norm_Stats!$F$22),Norm_Stats!$G$22)-Norm_Stats!$F$22)/(Norm_Stats!$G$22-Norm_Stats!$F$22)))))="",0,0.5)+IF((IF(OR(City_Inputs!$AJ12="",Norm_Stats!$F$23="",Norm_Stats!$G$23="",Norm_Stats!$G$23=Norm_Stats!$F$23),"",MAX(0,MIN(100,100*(MIN(MAX(City_Inputs!$AJ12,Norm_Stats!$F$23),Norm_Stats!$G$23)-Norm_Stats!$F$23)/(Norm_Stats!$G$23-Norm_Stats!$F$23)))))="",0,0.3)+IF((IF(OR(City_Inputs!$AK12="",Norm_Stats!$F$24="",Norm_Stats!$G$24="",Norm_Stats!$G$24=Norm_Stats!$F$24),"",MAX(0,MIN(100,100*(MIN(MAX(City_Inputs!$AK12,Norm_Stats!$F$24),Norm_Stats!$G$24)-Norm_Stats!$F$24)/(Norm_Stats!$G$24-Norm_Stats!$F$24)))))="",0,0.2)))</f>
        <v/>
      </c>
      <c r="BD12" s="14">
        <f>IF((IF((IF(OR(City_Inputs!$AG12="",Norm_Stats!$F$22="",Norm_Stats!$G$22="",Norm_Stats!$G$22=Norm_Stats!$F$22),"",MAX(0,MIN(100,100*(MIN(MAX(City_Inputs!$AG12,Norm_Stats!$F$22),Norm_Stats!$G$22)-Norm_Stats!$F$22)/(Norm_Stats!$G$22-Norm_Stats!$F$22)))))="",0,0.5)+IF((IF(OR(City_Inputs!$AJ12="",Norm_Stats!$F$23="",Norm_Stats!$G$23="",Norm_Stats!$G$23=Norm_Stats!$F$23),"",MAX(0,MIN(100,100*(MIN(MAX(City_Inputs!$AJ12,Norm_Stats!$F$23),Norm_Stats!$G$23)-Norm_Stats!$F$23)/(Norm_Stats!$G$23-Norm_Stats!$F$23)))))="",0,0.3)+IF((IF(OR(City_Inputs!$AK12="",Norm_Stats!$F$24="",Norm_Stats!$G$24="",Norm_Stats!$G$24=Norm_Stats!$F$24),"",MAX(0,MIN(100,100*(MIN(MAX(City_Inputs!$AK12,Norm_Stats!$F$24),Norm_Stats!$G$24)-Norm_Stats!$F$24)/(Norm_Stats!$G$24-Norm_Stats!$F$24)))))="",0,0.2))=0,"",(IF((IF(OR(City_Inputs!$AG12="",Norm_Stats!$F$22="",Norm_Stats!$G$22="",Norm_Stats!$G$22=Norm_Stats!$F$22),"",MAX(0,MIN(100,100*(MIN(MAX(City_Inputs!$AG12,Norm_Stats!$F$22),Norm_Stats!$G$22)-Norm_Stats!$F$22)/(Norm_Stats!$G$22-Norm_Stats!$F$22)))))="",0,0.5)+IF((IF(OR(City_Inputs!$AJ12="",Norm_Stats!$F$23="",Norm_Stats!$G$23="",Norm_Stats!$G$23=Norm_Stats!$F$23),"",MAX(0,MIN(100,100*(MIN(MAX(City_Inputs!$AJ12,Norm_Stats!$F$23),Norm_Stats!$G$23)-Norm_Stats!$F$23)/(Norm_Stats!$G$23-Norm_Stats!$F$23)))))="",0,0.3)+IF((IF(OR(City_Inputs!$AK12="",Norm_Stats!$F$24="",Norm_Stats!$G$24="",Norm_Stats!$G$24=Norm_Stats!$F$24),"",MAX(0,MIN(100,100*(MIN(MAX(City_Inputs!$AK12,Norm_Stats!$F$24),Norm_Stats!$G$24)-Norm_Stats!$F$24)/(Norm_Stats!$G$24-Norm_Stats!$F$24)))))="",0,0.2)))</f>
        <v/>
      </c>
      <c r="BE12" s="11">
        <f>IF(OR(City_Inputs!$AH12="",Norm_Stats!$F$25="",Norm_Stats!$G$25="",Norm_Stats!$G$25=Norm_Stats!$F$25),"",MAX(0,MIN(100,100*(Norm_Stats!$G$25-MIN(MAX(City_Inputs!$AH12,Norm_Stats!$F$25),Norm_Stats!$G$25))/(Norm_Stats!$G$25-Norm_Stats!$F$25))))</f>
        <v/>
      </c>
      <c r="BF12" s="14">
        <f>IF(BE12="","",1)</f>
        <v/>
      </c>
      <c r="BG12" s="15">
        <f>IF((IF(AY12="",0,6)+IF(BA12="",0,5)+IF(BC12="",0,5)+IF(BE12="",0,4))=0,"",(IF(AY12="",0,AY12*6)+IF(BA12="",0,BA12*5)+IF(BC12="",0,BC12*5)+IF(BE12="",0,BE12*4))/(IF(AY12="",0,6)+IF(BA12="",0,5)+IF(BC12="",0,5)+IF(BE12="",0,4)))</f>
        <v/>
      </c>
      <c r="BH12" s="14">
        <f>IF((IF(AZ12="",0,6)+IF(BB12="",0,5)+IF(BD12="",0,5)+IF(BF12="",0,4))=0,"",(IF(AZ12="",0,AZ12*6)+IF(BB12="",0,BB12*5)+IF(BD12="",0,BD12*5)+IF(BF12="",0,BF12*4))/20)</f>
        <v/>
      </c>
      <c r="BI12" s="14">
        <f>IF(AND(R12="",AF12="",AN12="",AX12="",BH12=""),"",((R12*25)+(AF12*22)+(AN12*18)+(AX12*15)+(BH12*20))/100)</f>
        <v/>
      </c>
      <c r="BJ12" s="11">
        <f>IF(BI12="","",IF(BI12&gt;=0.75,"A",IF(BI12&gt;=0.5,"B",IF(BI12&gt;=0.35,"C","Watchlist"))))</f>
        <v/>
      </c>
      <c r="BK12" s="11">
        <f>IF(OR(BI12="",BI12&lt;0.5,R12="",R12&lt;0.35,AF12="",AF12&lt;0.35,AN12="",AN12&lt;0.35,AX12="",AX12&lt;0.35,BH12="",BH12&lt;0.35),"Watchlist","Ranked")</f>
        <v/>
      </c>
      <c r="BL12" s="15">
        <f>IF(AND(Q12="",AE12="",AM12="",AW12="",BG12=""),"",(IF(Q12="",0,Q12*25)+IF(AE12="",0,AE12*22)+IF(AM12="",0,AM12*18)+IF(AW12="",0,AW12*15)+IF(BG12="",0,BG12*20))/(IF(Q12="",0,25)+IF(AE12="",0,22)+IF(AM12="",0,18)+IF(AW12="",0,15)+IF(BG12="",0,20)))</f>
        <v/>
      </c>
      <c r="BM12" s="11">
        <f>IF(BK12="Ranked",1+COUNTIFS($BK$2:$BK$158,"Ranked",$BL$2:$BL$158,"&gt;"&amp;BL12),"")</f>
        <v/>
      </c>
      <c r="BN12" s="11">
        <f>City_Inputs!$AI12</f>
        <v/>
      </c>
    </row>
    <row r="13">
      <c r="A13" t="inlineStr">
        <is>
          <t>th-hat-yai</t>
        </is>
      </c>
      <c r="B13" t="inlineStr">
        <is>
          <t>Hat Yai</t>
        </is>
      </c>
      <c r="C13" t="inlineStr">
        <is>
          <t>Thailand</t>
        </is>
      </c>
      <c r="D13" t="inlineStr">
        <is>
          <t>Southeast Asia</t>
        </is>
      </c>
      <c r="E13" t="inlineStr">
        <is>
          <t>provisional</t>
        </is>
      </c>
      <c r="F13" t="inlineStr">
        <is>
          <t>secondary</t>
        </is>
      </c>
      <c r="G13" s="11">
        <f>IF(OR(City_Inputs!$M13="",Norm_Stats!$F$2="",Norm_Stats!$G$2="",Norm_Stats!$G$2=Norm_Stats!$F$2),"",MAX(0,MIN(100,100*(MIN(MAX(City_Inputs!$M13,Norm_Stats!$F$2),Norm_Stats!$G$2)-Norm_Stats!$F$2)/(Norm_Stats!$G$2-Norm_Stats!$F$2))))</f>
        <v/>
      </c>
      <c r="H13" s="14">
        <f>IF(G13="","",1)</f>
        <v/>
      </c>
      <c r="I13" s="11">
        <f>IF(OR(City_Inputs!$N13="",Norm_Stats!$F$3="",Norm_Stats!$G$3="",Norm_Stats!$G$3=Norm_Stats!$F$3),"",MAX(0,MIN(100,100*(Norm_Stats!$G$3-MIN(MAX(City_Inputs!$N13,Norm_Stats!$F$3),Norm_Stats!$G$3))/(Norm_Stats!$G$3-Norm_Stats!$F$3))))</f>
        <v/>
      </c>
      <c r="J13" s="14">
        <f>IF(I13="","",1)</f>
        <v/>
      </c>
      <c r="K13" s="11">
        <f>IF(OR(City_Inputs!$P13="",Norm_Stats!$F$4="",Norm_Stats!$G$4="",Norm_Stats!$G$4=Norm_Stats!$F$4),"",MAX(0,MIN(100,100*(Norm_Stats!$G$4-MIN(MAX(City_Inputs!$P13,Norm_Stats!$F$4),Norm_Stats!$G$4))/(Norm_Stats!$G$4-Norm_Stats!$F$4))))</f>
        <v/>
      </c>
      <c r="L13" s="14">
        <f>IF(K13="","",1)</f>
        <v/>
      </c>
      <c r="M13" s="11">
        <f>IF(OR(City_Inputs!$Q13="",Norm_Stats!$F$5="",Norm_Stats!$G$5="",Norm_Stats!$G$5=Norm_Stats!$F$5),"",MAX(0,MIN(100,100*(Norm_Stats!$G$5-MIN(MAX(City_Inputs!$Q13,Norm_Stats!$F$5),Norm_Stats!$G$5))/(Norm_Stats!$G$5-Norm_Stats!$F$5))))</f>
        <v/>
      </c>
      <c r="N13" s="14">
        <f>IF(M13="","",1)</f>
        <v/>
      </c>
      <c r="O13" s="11">
        <f>IF(OR(City_Inputs!$R13="",Norm_Stats!$F$6="",Norm_Stats!$G$6="",Norm_Stats!$G$6=Norm_Stats!$F$6),"",MAX(0,MIN(100,100*(Norm_Stats!$G$6-MIN(MAX(City_Inputs!$R13,Norm_Stats!$F$6),Norm_Stats!$G$6))/(Norm_Stats!$G$6-Norm_Stats!$F$6))))</f>
        <v/>
      </c>
      <c r="P13" s="14">
        <f>IF(O13="","",1)</f>
        <v/>
      </c>
      <c r="Q13" s="15">
        <f>IF((IF(G13="",0,9)+IF(I13="",0,5)+IF(K13="",0,4)+IF(M13="",0,4)+IF(O13="",0,5))=0,"",(IF(G13="",0,G13*9)+IF(I13="",0,I13*5)+IF(K13="",0,K13*4)+IF(M13="",0,M13*4)+IF(O13="",0,O13*5))/(IF(G13="",0,9)+IF(I13="",0,5)+IF(K13="",0,4)+IF(M13="",0,4)+IF(O13="",0,5)))</f>
        <v/>
      </c>
      <c r="R13" s="14">
        <f>IF((IF(H13="",0,9)+IF(J13="",0,5)+IF(L13="",0,4)+IF(N13="",0,4)+IF(P13="",0,5))=0,"",(IF(H13="",0,H13*9)+IF(J13="",0,J13*5)+IF(L13="",0,L13*4)+IF(N13="",0,N13*4)+IF(P13="",0,P13*5))/27)</f>
        <v/>
      </c>
      <c r="S13" s="11">
        <f>IF(OR(City_Inputs!$S13="",Norm_Stats!$F$7="",Norm_Stats!$G$7="",Norm_Stats!$G$7=Norm_Stats!$F$7),"",MAX(0,MIN(100,100*(Norm_Stats!$G$7-MIN(MAX(City_Inputs!$S13,Norm_Stats!$F$7),Norm_Stats!$G$7))/(Norm_Stats!$G$7-Norm_Stats!$F$7))))</f>
        <v/>
      </c>
      <c r="T13" s="14">
        <f>IF(S13="","",1)</f>
        <v/>
      </c>
      <c r="U13" s="11">
        <f>IF(OR(City_Inputs!$T13="",Norm_Stats!$F$8="",Norm_Stats!$G$8="",Norm_Stats!$G$8=Norm_Stats!$F$8),"",MAX(0,MIN(100,100*(MIN(MAX(City_Inputs!$T13,Norm_Stats!$F$8),Norm_Stats!$G$8)-Norm_Stats!$F$8)/(Norm_Stats!$G$8-Norm_Stats!$F$8))))</f>
        <v/>
      </c>
      <c r="V13" s="14">
        <f>IF(U13="","",1)</f>
        <v/>
      </c>
      <c r="W13" s="11">
        <f>IF(OR(City_Inputs!$U13="",Norm_Stats!$F$9="",Norm_Stats!$G$9="",Norm_Stats!$G$9=Norm_Stats!$F$9),"",MAX(0,MIN(100,100*(Norm_Stats!$G$9-MIN(MAX(City_Inputs!$U13,Norm_Stats!$F$9),Norm_Stats!$G$9))/(Norm_Stats!$G$9-Norm_Stats!$F$9))))</f>
        <v/>
      </c>
      <c r="X13" s="14">
        <f>IF(W13="","",1)</f>
        <v/>
      </c>
      <c r="Y13" s="11">
        <f>IF(OR(City_Inputs!$V13="",Norm_Stats!$F$10="",Norm_Stats!$G$10="",Norm_Stats!$G$10=Norm_Stats!$F$10),"",MAX(0,MIN(100,100*(MIN(MAX(City_Inputs!$V13,Norm_Stats!$F$10),Norm_Stats!$G$10)-Norm_Stats!$F$10)/(Norm_Stats!$G$10-Norm_Stats!$F$10))))</f>
        <v/>
      </c>
      <c r="Z13" s="14">
        <f>IF(Y13="","",1)</f>
        <v/>
      </c>
      <c r="AA13" s="11">
        <f>IF(OR(City_Inputs!$W13="",Norm_Stats!$F$11="",Norm_Stats!$G$11="",Norm_Stats!$G$11=Norm_Stats!$F$11),"",MAX(0,MIN(100,100*(MIN(MAX(City_Inputs!$W13,Norm_Stats!$F$11),Norm_Stats!$G$11)-Norm_Stats!$F$11)/(Norm_Stats!$G$11-Norm_Stats!$F$11))))</f>
        <v/>
      </c>
      <c r="AB13" s="14">
        <f>IF(AA13="","",1)</f>
        <v/>
      </c>
      <c r="AC13" s="11">
        <f>IF(OR(City_Inputs!$X13="",Norm_Stats!$F$12="",Norm_Stats!$G$12="",Norm_Stats!$G$12=Norm_Stats!$F$12),"",MAX(0,MIN(100,100*(MIN(MAX(City_Inputs!$X13,Norm_Stats!$F$12),Norm_Stats!$G$12)-Norm_Stats!$F$12)/(Norm_Stats!$G$12-Norm_Stats!$F$12))))</f>
        <v/>
      </c>
      <c r="AD13" s="11">
        <f>IF(AC13="","",1)</f>
        <v/>
      </c>
      <c r="AE13" s="15">
        <f>IF((IF(S13="",0,5)+IF(U13="",0,5)+IF(W13="",0,4)+IF(Y13="",0,4)+IF(AA13="",0,4)+IF(AC13="",0,5))=0,"",(IF(S13="",0,S13*5)+IF(U13="",0,U13*5)+IF(W13="",0,W13*4)+IF(Y13="",0,Y13*4)+IF(AA13="",0,AA13*4)+IF(AC13="",0,AC13*5))/(IF(S13="",0,5)+IF(U13="",0,5)+IF(W13="",0,4)+IF(Y13="",0,4)+IF(AA13="",0,4)+IF(AC13="",0,5)))</f>
        <v/>
      </c>
      <c r="AF13" s="14">
        <f>IF((IF(T13="",0,5)+IF(V13="",0,5)+IF(X13="",0,4)+IF(Z13="",0,4)+IF(AB13="",0,4)+IF(AD13="",0,5))=0,"",(IF(T13="",0,T13*5)+IF(V13="",0,V13*5)+IF(X13="",0,X13*4)+IF(Z13="",0,Z13*4)+IF(AB13="",0,AB13*4)+IF(AD13="",0,AD13*5))/27)</f>
        <v/>
      </c>
      <c r="AG13" s="11">
        <f>IF(OR(City_Inputs!$Y13="",Norm_Stats!$F$13="",Norm_Stats!$G$13="",Norm_Stats!$G$13=Norm_Stats!$F$13),"",MAX(0,MIN(100,100*(MIN(MAX(City_Inputs!$Y13,Norm_Stats!$F$13),Norm_Stats!$G$13)-Norm_Stats!$F$13)/(Norm_Stats!$G$13-Norm_Stats!$F$13))))</f>
        <v/>
      </c>
      <c r="AH13" s="14">
        <f>IF(AG13="","",1)</f>
        <v/>
      </c>
      <c r="AI13" s="11">
        <f>IF(OR(City_Inputs!$Z13="",Norm_Stats!$F$14="",Norm_Stats!$G$14="",Norm_Stats!$G$14=Norm_Stats!$F$14),"",MAX(0,MIN(100,100*(MIN(MAX(City_Inputs!$Z13,Norm_Stats!$F$14),Norm_Stats!$G$14)-Norm_Stats!$F$14)/(Norm_Stats!$G$14-Norm_Stats!$F$14))))</f>
        <v/>
      </c>
      <c r="AJ13" s="14">
        <f>IF(AI13="","",1)</f>
        <v/>
      </c>
      <c r="AK13" s="11">
        <f>IF((IF((IF(OR(City_Inputs!$AA13="",Norm_Stats!$F$15="",Norm_Stats!$G$15="",Norm_Stats!$G$15=Norm_Stats!$F$15),"",MAX(0,MIN(100,100*(MIN(MAX(City_Inputs!$AA13,Norm_Stats!$F$15),Norm_Stats!$G$15)-Norm_Stats!$F$15)/(Norm_Stats!$G$15-Norm_Stats!$F$15)))))="",0,0.7)+IF((IF(OR(City_Inputs!$AL13="",Norm_Stats!$F$16="",Norm_Stats!$G$16="",Norm_Stats!$G$16=Norm_Stats!$F$16),"",MAX(0,MIN(100,100*(Norm_Stats!$G$16-MIN(MAX(City_Inputs!$AL13,Norm_Stats!$F$16),Norm_Stats!$G$16))/(Norm_Stats!$G$16-Norm_Stats!$F$16)))))="",0,0.3))=0,"",(IF((IF(OR(City_Inputs!$AA13="",Norm_Stats!$F$15="",Norm_Stats!$G$15="",Norm_Stats!$G$15=Norm_Stats!$F$15),"",MAX(0,MIN(100,100*(MIN(MAX(City_Inputs!$AA13,Norm_Stats!$F$15),Norm_Stats!$G$15)-Norm_Stats!$F$15)/(Norm_Stats!$G$15-Norm_Stats!$F$15)))))="",0,(IF(OR(City_Inputs!$AA13="",Norm_Stats!$F$15="",Norm_Stats!$G$15="",Norm_Stats!$G$15=Norm_Stats!$F$15),"",MAX(0,MIN(100,100*(MIN(MAX(City_Inputs!$AA13,Norm_Stats!$F$15),Norm_Stats!$G$15)-Norm_Stats!$F$15)/(Norm_Stats!$G$15-Norm_Stats!$F$15)))))*0.7)+IF((IF(OR(City_Inputs!$AL13="",Norm_Stats!$F$16="",Norm_Stats!$G$16="",Norm_Stats!$G$16=Norm_Stats!$F$16),"",MAX(0,MIN(100,100*(Norm_Stats!$G$16-MIN(MAX(City_Inputs!$AL13,Norm_Stats!$F$16),Norm_Stats!$G$16))/(Norm_Stats!$G$16-Norm_Stats!$F$16)))))="",0,(IF(OR(City_Inputs!$AL13="",Norm_Stats!$F$16="",Norm_Stats!$G$16="",Norm_Stats!$G$16=Norm_Stats!$F$16),"",MAX(0,MIN(100,100*(Norm_Stats!$G$16-MIN(MAX(City_Inputs!$AL13,Norm_Stats!$F$16),Norm_Stats!$G$16))/(Norm_Stats!$G$16-Norm_Stats!$F$16)))))*0.3))/(IF((IF(OR(City_Inputs!$AA13="",Norm_Stats!$F$15="",Norm_Stats!$G$15="",Norm_Stats!$G$15=Norm_Stats!$F$15),"",MAX(0,MIN(100,100*(MIN(MAX(City_Inputs!$AA13,Norm_Stats!$F$15),Norm_Stats!$G$15)-Norm_Stats!$F$15)/(Norm_Stats!$G$15-Norm_Stats!$F$15)))))="",0,0.7)+IF((IF(OR(City_Inputs!$AL13="",Norm_Stats!$F$16="",Norm_Stats!$G$16="",Norm_Stats!$G$16=Norm_Stats!$F$16),"",MAX(0,MIN(100,100*(Norm_Stats!$G$16-MIN(MAX(City_Inputs!$AL13,Norm_Stats!$F$16),Norm_Stats!$G$16))/(Norm_Stats!$G$16-Norm_Stats!$F$16)))))="",0,0.3)))</f>
        <v/>
      </c>
      <c r="AL13" s="14">
        <f>IF((IF((IF(OR(City_Inputs!$AA13="",Norm_Stats!$F$15="",Norm_Stats!$G$15="",Norm_Stats!$G$15=Norm_Stats!$F$15),"",MAX(0,MIN(100,100*(MIN(MAX(City_Inputs!$AA13,Norm_Stats!$F$15),Norm_Stats!$G$15)-Norm_Stats!$F$15)/(Norm_Stats!$G$15-Norm_Stats!$F$15)))))="",0,0.7)+IF((IF(OR(City_Inputs!$AL13="",Norm_Stats!$F$16="",Norm_Stats!$G$16="",Norm_Stats!$G$16=Norm_Stats!$F$16),"",MAX(0,MIN(100,100*(Norm_Stats!$G$16-MIN(MAX(City_Inputs!$AL13,Norm_Stats!$F$16),Norm_Stats!$G$16))/(Norm_Stats!$G$16-Norm_Stats!$F$16)))))="",0,0.3))=0,"",(IF((IF(OR(City_Inputs!$AA13="",Norm_Stats!$F$15="",Norm_Stats!$G$15="",Norm_Stats!$G$15=Norm_Stats!$F$15),"",MAX(0,MIN(100,100*(MIN(MAX(City_Inputs!$AA13,Norm_Stats!$F$15),Norm_Stats!$G$15)-Norm_Stats!$F$15)/(Norm_Stats!$G$15-Norm_Stats!$F$15)))))="",0,0.7)+IF((IF(OR(City_Inputs!$AL13="",Norm_Stats!$F$16="",Norm_Stats!$G$16="",Norm_Stats!$G$16=Norm_Stats!$F$16),"",MAX(0,MIN(100,100*(Norm_Stats!$G$16-MIN(MAX(City_Inputs!$AL13,Norm_Stats!$F$16),Norm_Stats!$G$16))/(Norm_Stats!$G$16-Norm_Stats!$F$16)))))="",0,0.3)))</f>
        <v/>
      </c>
      <c r="AM13" s="15">
        <f>IF((IF(AG13="",0,8)+IF(AI13="",0,6)+IF(AK13="",0,4))=0,"",(IF(AG13="",0,AG13*8)+IF(AI13="",0,AI13*6)+IF(AK13="",0,AK13*4))/(IF(AG13="",0,8)+IF(AI13="",0,6)+IF(AK13="",0,4)))</f>
        <v/>
      </c>
      <c r="AN13" s="14">
        <f>IF((IF(AH13="",0,8)+IF(AJ13="",0,6)+IF(AL13="",0,4))=0,"",(IF(AH13="",0,AH13*8)+IF(AJ13="",0,AJ13*6)+IF(AL13="",0,AL13*4))/18)</f>
        <v/>
      </c>
      <c r="AO13" s="11">
        <f>IF(OR(City_Inputs!$AB13="",Norm_Stats!$F$17="",Norm_Stats!$G$17="",Norm_Stats!$G$17=Norm_Stats!$F$17),"",MAX(0,MIN(100,100*(MIN(MAX(City_Inputs!$AB13,Norm_Stats!$F$17),Norm_Stats!$G$17)-Norm_Stats!$F$17)/(Norm_Stats!$G$17-Norm_Stats!$F$17))))</f>
        <v/>
      </c>
      <c r="AP13" s="14">
        <f>IF(AO13="","",1)</f>
        <v/>
      </c>
      <c r="AQ13" s="11">
        <f>IF(OR(City_Inputs!$AC13="",Norm_Stats!$F$18="",Norm_Stats!$G$18="",Norm_Stats!$G$18=Norm_Stats!$F$18),"",MAX(0,MIN(100,100*(MIN(MAX(City_Inputs!$AC13,Norm_Stats!$F$18),Norm_Stats!$G$18)-Norm_Stats!$F$18)/(Norm_Stats!$G$18-Norm_Stats!$F$18))))</f>
        <v/>
      </c>
      <c r="AR13" s="14">
        <f>IF(AQ13="","",1)</f>
        <v/>
      </c>
      <c r="AS13" s="11">
        <f>IF(OR(City_Inputs!$AD13="",Norm_Stats!$F$19="",Norm_Stats!$G$19="",Norm_Stats!$G$19=Norm_Stats!$F$19),"",MAX(0,MIN(100,100*(MIN(MAX(City_Inputs!$AD13,Norm_Stats!$F$19),Norm_Stats!$G$19)-Norm_Stats!$F$19)/(Norm_Stats!$G$19-Norm_Stats!$F$19))))</f>
        <v/>
      </c>
      <c r="AT13" s="14">
        <f>IF(AS13="","",1)</f>
        <v/>
      </c>
      <c r="AU13" s="11">
        <f>IF(OR(City_Inputs!$BJ13="",Norm_Stats!$F$26="",Norm_Stats!$G$26="",Norm_Stats!$G$26=Norm_Stats!$F$26),"",MAX(0,MIN(100,100*(MIN(MAX(City_Inputs!$BJ13,Norm_Stats!$F$26),Norm_Stats!$G$26)-Norm_Stats!$F$26)/(Norm_Stats!$G$26-Norm_Stats!$F$26))))</f>
        <v/>
      </c>
      <c r="AV13" s="11">
        <f>IF(AU13="","",1)</f>
        <v/>
      </c>
      <c r="AW13" s="15">
        <f>IF((IF(AO13="",0,5)+IF(AQ13="",0,5)+IF(AS13="",0,5)+IF(AU13="",0,4))=0,"",(IF(AO13="",0,AO13*5)+IF(AQ13="",0,AQ13*5)+IF(AS13="",0,AS13*5)+IF(AU13="",0,AU13*4))/(IF(AO13="",0,5)+IF(AQ13="",0,5)+IF(AS13="",0,5)+IF(AU13="",0,4)))</f>
        <v/>
      </c>
      <c r="AX13" s="14">
        <f>IF((IF(AP13="",0,5)+IF(AR13="",0,5)+IF(AT13="",0,5)+IF(AV13="",0,4))=0,"",(IF(AP13="",0,AP13*5)+IF(AR13="",0,AR13*5)+IF(AT13="",0,AT13*5)+IF(AV13="",0,AV13*4))/19)</f>
        <v/>
      </c>
      <c r="AY13" s="11">
        <f>IF(OR(City_Inputs!$AE13="",Norm_Stats!$F$20="",Norm_Stats!$G$20="",Norm_Stats!$G$20=Norm_Stats!$F$20),"",MAX(0,MIN(100,100*(MIN(MAX(City_Inputs!$AE13,Norm_Stats!$F$20),Norm_Stats!$G$20)-Norm_Stats!$F$20)/(Norm_Stats!$G$20-Norm_Stats!$F$20))))</f>
        <v/>
      </c>
      <c r="AZ13" s="14">
        <f>IF(AY13="","",1)</f>
        <v/>
      </c>
      <c r="BA13" s="11">
        <f>IF(OR(City_Inputs!$AF13="",Norm_Stats!$F$21="",Norm_Stats!$G$21="",Norm_Stats!$G$21=Norm_Stats!$F$21),"",MAX(0,MIN(100,100*(MIN(MAX(City_Inputs!$AF13,Norm_Stats!$F$21),Norm_Stats!$G$21)-Norm_Stats!$F$21)/(Norm_Stats!$G$21-Norm_Stats!$F$21))))</f>
        <v/>
      </c>
      <c r="BB13" s="14">
        <f>IF(BA13="","",1)</f>
        <v/>
      </c>
      <c r="BC13" s="11">
        <f>IF((IF((IF(OR(City_Inputs!$AG13="",Norm_Stats!$F$22="",Norm_Stats!$G$22="",Norm_Stats!$G$22=Norm_Stats!$F$22),"",MAX(0,MIN(100,100*(MIN(MAX(City_Inputs!$AG13,Norm_Stats!$F$22),Norm_Stats!$G$22)-Norm_Stats!$F$22)/(Norm_Stats!$G$22-Norm_Stats!$F$22)))))="",0,0.5)+IF((IF(OR(City_Inputs!$AJ13="",Norm_Stats!$F$23="",Norm_Stats!$G$23="",Norm_Stats!$G$23=Norm_Stats!$F$23),"",MAX(0,MIN(100,100*(MIN(MAX(City_Inputs!$AJ13,Norm_Stats!$F$23),Norm_Stats!$G$23)-Norm_Stats!$F$23)/(Norm_Stats!$G$23-Norm_Stats!$F$23)))))="",0,0.3)+IF((IF(OR(City_Inputs!$AK13="",Norm_Stats!$F$24="",Norm_Stats!$G$24="",Norm_Stats!$G$24=Norm_Stats!$F$24),"",MAX(0,MIN(100,100*(MIN(MAX(City_Inputs!$AK13,Norm_Stats!$F$24),Norm_Stats!$G$24)-Norm_Stats!$F$24)/(Norm_Stats!$G$24-Norm_Stats!$F$24)))))="",0,0.2))=0,"",(IF((IF(OR(City_Inputs!$AG13="",Norm_Stats!$F$22="",Norm_Stats!$G$22="",Norm_Stats!$G$22=Norm_Stats!$F$22),"",MAX(0,MIN(100,100*(MIN(MAX(City_Inputs!$AG13,Norm_Stats!$F$22),Norm_Stats!$G$22)-Norm_Stats!$F$22)/(Norm_Stats!$G$22-Norm_Stats!$F$22)))))="",0,(IF(OR(City_Inputs!$AG13="",Norm_Stats!$F$22="",Norm_Stats!$G$22="",Norm_Stats!$G$22=Norm_Stats!$F$22),"",MAX(0,MIN(100,100*(MIN(MAX(City_Inputs!$AG13,Norm_Stats!$F$22),Norm_Stats!$G$22)-Norm_Stats!$F$22)/(Norm_Stats!$G$22-Norm_Stats!$F$22)))))*0.5)+IF((IF(OR(City_Inputs!$AJ13="",Norm_Stats!$F$23="",Norm_Stats!$G$23="",Norm_Stats!$G$23=Norm_Stats!$F$23),"",MAX(0,MIN(100,100*(MIN(MAX(City_Inputs!$AJ13,Norm_Stats!$F$23),Norm_Stats!$G$23)-Norm_Stats!$F$23)/(Norm_Stats!$G$23-Norm_Stats!$F$23)))))="",0,(IF(OR(City_Inputs!$AJ13="",Norm_Stats!$F$23="",Norm_Stats!$G$23="",Norm_Stats!$G$23=Norm_Stats!$F$23),"",MAX(0,MIN(100,100*(MIN(MAX(City_Inputs!$AJ13,Norm_Stats!$F$23),Norm_Stats!$G$23)-Norm_Stats!$F$23)/(Norm_Stats!$G$23-Norm_Stats!$F$23)))))*0.3)+IF((IF(OR(City_Inputs!$AK13="",Norm_Stats!$F$24="",Norm_Stats!$G$24="",Norm_Stats!$G$24=Norm_Stats!$F$24),"",MAX(0,MIN(100,100*(MIN(MAX(City_Inputs!$AK13,Norm_Stats!$F$24),Norm_Stats!$G$24)-Norm_Stats!$F$24)/(Norm_Stats!$G$24-Norm_Stats!$F$24)))))="",0,(IF(OR(City_Inputs!$AK13="",Norm_Stats!$F$24="",Norm_Stats!$G$24="",Norm_Stats!$G$24=Norm_Stats!$F$24),"",MAX(0,MIN(100,100*(MIN(MAX(City_Inputs!$AK13,Norm_Stats!$F$24),Norm_Stats!$G$24)-Norm_Stats!$F$24)/(Norm_Stats!$G$24-Norm_Stats!$F$24)))))*0.2))/(IF((IF(OR(City_Inputs!$AG13="",Norm_Stats!$F$22="",Norm_Stats!$G$22="",Norm_Stats!$G$22=Norm_Stats!$F$22),"",MAX(0,MIN(100,100*(MIN(MAX(City_Inputs!$AG13,Norm_Stats!$F$22),Norm_Stats!$G$22)-Norm_Stats!$F$22)/(Norm_Stats!$G$22-Norm_Stats!$F$22)))))="",0,0.5)+IF((IF(OR(City_Inputs!$AJ13="",Norm_Stats!$F$23="",Norm_Stats!$G$23="",Norm_Stats!$G$23=Norm_Stats!$F$23),"",MAX(0,MIN(100,100*(MIN(MAX(City_Inputs!$AJ13,Norm_Stats!$F$23),Norm_Stats!$G$23)-Norm_Stats!$F$23)/(Norm_Stats!$G$23-Norm_Stats!$F$23)))))="",0,0.3)+IF((IF(OR(City_Inputs!$AK13="",Norm_Stats!$F$24="",Norm_Stats!$G$24="",Norm_Stats!$G$24=Norm_Stats!$F$24),"",MAX(0,MIN(100,100*(MIN(MAX(City_Inputs!$AK13,Norm_Stats!$F$24),Norm_Stats!$G$24)-Norm_Stats!$F$24)/(Norm_Stats!$G$24-Norm_Stats!$F$24)))))="",0,0.2)))</f>
        <v/>
      </c>
      <c r="BD13" s="14">
        <f>IF((IF((IF(OR(City_Inputs!$AG13="",Norm_Stats!$F$22="",Norm_Stats!$G$22="",Norm_Stats!$G$22=Norm_Stats!$F$22),"",MAX(0,MIN(100,100*(MIN(MAX(City_Inputs!$AG13,Norm_Stats!$F$22),Norm_Stats!$G$22)-Norm_Stats!$F$22)/(Norm_Stats!$G$22-Norm_Stats!$F$22)))))="",0,0.5)+IF((IF(OR(City_Inputs!$AJ13="",Norm_Stats!$F$23="",Norm_Stats!$G$23="",Norm_Stats!$G$23=Norm_Stats!$F$23),"",MAX(0,MIN(100,100*(MIN(MAX(City_Inputs!$AJ13,Norm_Stats!$F$23),Norm_Stats!$G$23)-Norm_Stats!$F$23)/(Norm_Stats!$G$23-Norm_Stats!$F$23)))))="",0,0.3)+IF((IF(OR(City_Inputs!$AK13="",Norm_Stats!$F$24="",Norm_Stats!$G$24="",Norm_Stats!$G$24=Norm_Stats!$F$24),"",MAX(0,MIN(100,100*(MIN(MAX(City_Inputs!$AK13,Norm_Stats!$F$24),Norm_Stats!$G$24)-Norm_Stats!$F$24)/(Norm_Stats!$G$24-Norm_Stats!$F$24)))))="",0,0.2))=0,"",(IF((IF(OR(City_Inputs!$AG13="",Norm_Stats!$F$22="",Norm_Stats!$G$22="",Norm_Stats!$G$22=Norm_Stats!$F$22),"",MAX(0,MIN(100,100*(MIN(MAX(City_Inputs!$AG13,Norm_Stats!$F$22),Norm_Stats!$G$22)-Norm_Stats!$F$22)/(Norm_Stats!$G$22-Norm_Stats!$F$22)))))="",0,0.5)+IF((IF(OR(City_Inputs!$AJ13="",Norm_Stats!$F$23="",Norm_Stats!$G$23="",Norm_Stats!$G$23=Norm_Stats!$F$23),"",MAX(0,MIN(100,100*(MIN(MAX(City_Inputs!$AJ13,Norm_Stats!$F$23),Norm_Stats!$G$23)-Norm_Stats!$F$23)/(Norm_Stats!$G$23-Norm_Stats!$F$23)))))="",0,0.3)+IF((IF(OR(City_Inputs!$AK13="",Norm_Stats!$F$24="",Norm_Stats!$G$24="",Norm_Stats!$G$24=Norm_Stats!$F$24),"",MAX(0,MIN(100,100*(MIN(MAX(City_Inputs!$AK13,Norm_Stats!$F$24),Norm_Stats!$G$24)-Norm_Stats!$F$24)/(Norm_Stats!$G$24-Norm_Stats!$F$24)))))="",0,0.2)))</f>
        <v/>
      </c>
      <c r="BE13" s="11">
        <f>IF(OR(City_Inputs!$AH13="",Norm_Stats!$F$25="",Norm_Stats!$G$25="",Norm_Stats!$G$25=Norm_Stats!$F$25),"",MAX(0,MIN(100,100*(Norm_Stats!$G$25-MIN(MAX(City_Inputs!$AH13,Norm_Stats!$F$25),Norm_Stats!$G$25))/(Norm_Stats!$G$25-Norm_Stats!$F$25))))</f>
        <v/>
      </c>
      <c r="BF13" s="14">
        <f>IF(BE13="","",1)</f>
        <v/>
      </c>
      <c r="BG13" s="15">
        <f>IF((IF(AY13="",0,6)+IF(BA13="",0,5)+IF(BC13="",0,5)+IF(BE13="",0,4))=0,"",(IF(AY13="",0,AY13*6)+IF(BA13="",0,BA13*5)+IF(BC13="",0,BC13*5)+IF(BE13="",0,BE13*4))/(IF(AY13="",0,6)+IF(BA13="",0,5)+IF(BC13="",0,5)+IF(BE13="",0,4)))</f>
        <v/>
      </c>
      <c r="BH13" s="14">
        <f>IF((IF(AZ13="",0,6)+IF(BB13="",0,5)+IF(BD13="",0,5)+IF(BF13="",0,4))=0,"",(IF(AZ13="",0,AZ13*6)+IF(BB13="",0,BB13*5)+IF(BD13="",0,BD13*5)+IF(BF13="",0,BF13*4))/20)</f>
        <v/>
      </c>
      <c r="BI13" s="14">
        <f>IF(AND(R13="",AF13="",AN13="",AX13="",BH13=""),"",((R13*25)+(AF13*22)+(AN13*18)+(AX13*15)+(BH13*20))/100)</f>
        <v/>
      </c>
      <c r="BJ13" s="11">
        <f>IF(BI13="","",IF(BI13&gt;=0.75,"A",IF(BI13&gt;=0.5,"B",IF(BI13&gt;=0.35,"C","Watchlist"))))</f>
        <v/>
      </c>
      <c r="BK13" s="11">
        <f>IF(OR(BI13="",BI13&lt;0.5,R13="",R13&lt;0.35,AF13="",AF13&lt;0.35,AN13="",AN13&lt;0.35,AX13="",AX13&lt;0.35,BH13="",BH13&lt;0.35),"Watchlist","Ranked")</f>
        <v/>
      </c>
      <c r="BL13" s="15">
        <f>IF(AND(Q13="",AE13="",AM13="",AW13="",BG13=""),"",(IF(Q13="",0,Q13*25)+IF(AE13="",0,AE13*22)+IF(AM13="",0,AM13*18)+IF(AW13="",0,AW13*15)+IF(BG13="",0,BG13*20))/(IF(Q13="",0,25)+IF(AE13="",0,22)+IF(AM13="",0,18)+IF(AW13="",0,15)+IF(BG13="",0,20)))</f>
        <v/>
      </c>
      <c r="BM13" s="11">
        <f>IF(BK13="Ranked",1+COUNTIFS($BK$2:$BK$158,"Ranked",$BL$2:$BL$158,"&gt;"&amp;BL13),"")</f>
        <v/>
      </c>
      <c r="BN13" s="11">
        <f>City_Inputs!$AI13</f>
        <v/>
      </c>
    </row>
    <row r="14">
      <c r="A14" t="inlineStr">
        <is>
          <t>tw-taipei</t>
        </is>
      </c>
      <c r="B14" t="inlineStr">
        <is>
          <t>Taipei</t>
        </is>
      </c>
      <c r="C14" t="inlineStr">
        <is>
          <t>Taiwan</t>
        </is>
      </c>
      <c r="D14" t="inlineStr">
        <is>
          <t>East Asia</t>
        </is>
      </c>
      <c r="E14" t="inlineStr">
        <is>
          <t>locked</t>
        </is>
      </c>
      <c r="F14" t="inlineStr">
        <is>
          <t>primary</t>
        </is>
      </c>
      <c r="G14" s="11">
        <f>IF(OR(City_Inputs!$M14="",Norm_Stats!$F$2="",Norm_Stats!$G$2="",Norm_Stats!$G$2=Norm_Stats!$F$2),"",MAX(0,MIN(100,100*(MIN(MAX(City_Inputs!$M14,Norm_Stats!$F$2),Norm_Stats!$G$2)-Norm_Stats!$F$2)/(Norm_Stats!$G$2-Norm_Stats!$F$2))))</f>
        <v/>
      </c>
      <c r="H14" s="14">
        <f>IF(G14="","",1)</f>
        <v/>
      </c>
      <c r="I14" s="11">
        <f>IF(OR(City_Inputs!$N14="",Norm_Stats!$F$3="",Norm_Stats!$G$3="",Norm_Stats!$G$3=Norm_Stats!$F$3),"",MAX(0,MIN(100,100*(Norm_Stats!$G$3-MIN(MAX(City_Inputs!$N14,Norm_Stats!$F$3),Norm_Stats!$G$3))/(Norm_Stats!$G$3-Norm_Stats!$F$3))))</f>
        <v/>
      </c>
      <c r="J14" s="14">
        <f>IF(I14="","",1)</f>
        <v/>
      </c>
      <c r="K14" s="11">
        <f>IF(OR(City_Inputs!$P14="",Norm_Stats!$F$4="",Norm_Stats!$G$4="",Norm_Stats!$G$4=Norm_Stats!$F$4),"",MAX(0,MIN(100,100*(Norm_Stats!$G$4-MIN(MAX(City_Inputs!$P14,Norm_Stats!$F$4),Norm_Stats!$G$4))/(Norm_Stats!$G$4-Norm_Stats!$F$4))))</f>
        <v/>
      </c>
      <c r="L14" s="14">
        <f>IF(K14="","",1)</f>
        <v/>
      </c>
      <c r="M14" s="11">
        <f>IF(OR(City_Inputs!$Q14="",Norm_Stats!$F$5="",Norm_Stats!$G$5="",Norm_Stats!$G$5=Norm_Stats!$F$5),"",MAX(0,MIN(100,100*(Norm_Stats!$G$5-MIN(MAX(City_Inputs!$Q14,Norm_Stats!$F$5),Norm_Stats!$G$5))/(Norm_Stats!$G$5-Norm_Stats!$F$5))))</f>
        <v/>
      </c>
      <c r="N14" s="14">
        <f>IF(M14="","",1)</f>
        <v/>
      </c>
      <c r="O14" s="11">
        <f>IF(OR(City_Inputs!$R14="",Norm_Stats!$F$6="",Norm_Stats!$G$6="",Norm_Stats!$G$6=Norm_Stats!$F$6),"",MAX(0,MIN(100,100*(Norm_Stats!$G$6-MIN(MAX(City_Inputs!$R14,Norm_Stats!$F$6),Norm_Stats!$G$6))/(Norm_Stats!$G$6-Norm_Stats!$F$6))))</f>
        <v/>
      </c>
      <c r="P14" s="14">
        <f>IF(O14="","",1)</f>
        <v/>
      </c>
      <c r="Q14" s="15">
        <f>IF((IF(G14="",0,9)+IF(I14="",0,5)+IF(K14="",0,4)+IF(M14="",0,4)+IF(O14="",0,5))=0,"",(IF(G14="",0,G14*9)+IF(I14="",0,I14*5)+IF(K14="",0,K14*4)+IF(M14="",0,M14*4)+IF(O14="",0,O14*5))/(IF(G14="",0,9)+IF(I14="",0,5)+IF(K14="",0,4)+IF(M14="",0,4)+IF(O14="",0,5)))</f>
        <v/>
      </c>
      <c r="R14" s="14">
        <f>IF((IF(H14="",0,9)+IF(J14="",0,5)+IF(L14="",0,4)+IF(N14="",0,4)+IF(P14="",0,5))=0,"",(IF(H14="",0,H14*9)+IF(J14="",0,J14*5)+IF(L14="",0,L14*4)+IF(N14="",0,N14*4)+IF(P14="",0,P14*5))/27)</f>
        <v/>
      </c>
      <c r="S14" s="11">
        <f>IF(OR(City_Inputs!$S14="",Norm_Stats!$F$7="",Norm_Stats!$G$7="",Norm_Stats!$G$7=Norm_Stats!$F$7),"",MAX(0,MIN(100,100*(Norm_Stats!$G$7-MIN(MAX(City_Inputs!$S14,Norm_Stats!$F$7),Norm_Stats!$G$7))/(Norm_Stats!$G$7-Norm_Stats!$F$7))))</f>
        <v/>
      </c>
      <c r="T14" s="14">
        <f>IF(S14="","",1)</f>
        <v/>
      </c>
      <c r="U14" s="11">
        <f>IF(OR(City_Inputs!$T14="",Norm_Stats!$F$8="",Norm_Stats!$G$8="",Norm_Stats!$G$8=Norm_Stats!$F$8),"",MAX(0,MIN(100,100*(MIN(MAX(City_Inputs!$T14,Norm_Stats!$F$8),Norm_Stats!$G$8)-Norm_Stats!$F$8)/(Norm_Stats!$G$8-Norm_Stats!$F$8))))</f>
        <v/>
      </c>
      <c r="V14" s="14">
        <f>IF(U14="","",1)</f>
        <v/>
      </c>
      <c r="W14" s="11">
        <f>IF(OR(City_Inputs!$U14="",Norm_Stats!$F$9="",Norm_Stats!$G$9="",Norm_Stats!$G$9=Norm_Stats!$F$9),"",MAX(0,MIN(100,100*(Norm_Stats!$G$9-MIN(MAX(City_Inputs!$U14,Norm_Stats!$F$9),Norm_Stats!$G$9))/(Norm_Stats!$G$9-Norm_Stats!$F$9))))</f>
        <v/>
      </c>
      <c r="X14" s="14">
        <f>IF(W14="","",1)</f>
        <v/>
      </c>
      <c r="Y14" s="11">
        <f>IF(OR(City_Inputs!$V14="",Norm_Stats!$F$10="",Norm_Stats!$G$10="",Norm_Stats!$G$10=Norm_Stats!$F$10),"",MAX(0,MIN(100,100*(MIN(MAX(City_Inputs!$V14,Norm_Stats!$F$10),Norm_Stats!$G$10)-Norm_Stats!$F$10)/(Norm_Stats!$G$10-Norm_Stats!$F$10))))</f>
        <v/>
      </c>
      <c r="Z14" s="14">
        <f>IF(Y14="","",1)</f>
        <v/>
      </c>
      <c r="AA14" s="11">
        <f>IF(OR(City_Inputs!$W14="",Norm_Stats!$F$11="",Norm_Stats!$G$11="",Norm_Stats!$G$11=Norm_Stats!$F$11),"",MAX(0,MIN(100,100*(MIN(MAX(City_Inputs!$W14,Norm_Stats!$F$11),Norm_Stats!$G$11)-Norm_Stats!$F$11)/(Norm_Stats!$G$11-Norm_Stats!$F$11))))</f>
        <v/>
      </c>
      <c r="AB14" s="14">
        <f>IF(AA14="","",1)</f>
        <v/>
      </c>
      <c r="AC14" s="11">
        <f>IF(OR(City_Inputs!$X14="",Norm_Stats!$F$12="",Norm_Stats!$G$12="",Norm_Stats!$G$12=Norm_Stats!$F$12),"",MAX(0,MIN(100,100*(MIN(MAX(City_Inputs!$X14,Norm_Stats!$F$12),Norm_Stats!$G$12)-Norm_Stats!$F$12)/(Norm_Stats!$G$12-Norm_Stats!$F$12))))</f>
        <v/>
      </c>
      <c r="AD14" s="11">
        <f>IF(AC14="","",1)</f>
        <v/>
      </c>
      <c r="AE14" s="15">
        <f>IF((IF(S14="",0,5)+IF(U14="",0,5)+IF(W14="",0,4)+IF(Y14="",0,4)+IF(AA14="",0,4)+IF(AC14="",0,5))=0,"",(IF(S14="",0,S14*5)+IF(U14="",0,U14*5)+IF(W14="",0,W14*4)+IF(Y14="",0,Y14*4)+IF(AA14="",0,AA14*4)+IF(AC14="",0,AC14*5))/(IF(S14="",0,5)+IF(U14="",0,5)+IF(W14="",0,4)+IF(Y14="",0,4)+IF(AA14="",0,4)+IF(AC14="",0,5)))</f>
        <v/>
      </c>
      <c r="AF14" s="14">
        <f>IF((IF(T14="",0,5)+IF(V14="",0,5)+IF(X14="",0,4)+IF(Z14="",0,4)+IF(AB14="",0,4)+IF(AD14="",0,5))=0,"",(IF(T14="",0,T14*5)+IF(V14="",0,V14*5)+IF(X14="",0,X14*4)+IF(Z14="",0,Z14*4)+IF(AB14="",0,AB14*4)+IF(AD14="",0,AD14*5))/27)</f>
        <v/>
      </c>
      <c r="AG14" s="11">
        <f>IF(OR(City_Inputs!$Y14="",Norm_Stats!$F$13="",Norm_Stats!$G$13="",Norm_Stats!$G$13=Norm_Stats!$F$13),"",MAX(0,MIN(100,100*(MIN(MAX(City_Inputs!$Y14,Norm_Stats!$F$13),Norm_Stats!$G$13)-Norm_Stats!$F$13)/(Norm_Stats!$G$13-Norm_Stats!$F$13))))</f>
        <v/>
      </c>
      <c r="AH14" s="14">
        <f>IF(AG14="","",1)</f>
        <v/>
      </c>
      <c r="AI14" s="11">
        <f>IF(OR(City_Inputs!$Z14="",Norm_Stats!$F$14="",Norm_Stats!$G$14="",Norm_Stats!$G$14=Norm_Stats!$F$14),"",MAX(0,MIN(100,100*(MIN(MAX(City_Inputs!$Z14,Norm_Stats!$F$14),Norm_Stats!$G$14)-Norm_Stats!$F$14)/(Norm_Stats!$G$14-Norm_Stats!$F$14))))</f>
        <v/>
      </c>
      <c r="AJ14" s="14">
        <f>IF(AI14="","",1)</f>
        <v/>
      </c>
      <c r="AK14" s="11">
        <f>IF((IF((IF(OR(City_Inputs!$AA14="",Norm_Stats!$F$15="",Norm_Stats!$G$15="",Norm_Stats!$G$15=Norm_Stats!$F$15),"",MAX(0,MIN(100,100*(MIN(MAX(City_Inputs!$AA14,Norm_Stats!$F$15),Norm_Stats!$G$15)-Norm_Stats!$F$15)/(Norm_Stats!$G$15-Norm_Stats!$F$15)))))="",0,0.7)+IF((IF(OR(City_Inputs!$AL14="",Norm_Stats!$F$16="",Norm_Stats!$G$16="",Norm_Stats!$G$16=Norm_Stats!$F$16),"",MAX(0,MIN(100,100*(Norm_Stats!$G$16-MIN(MAX(City_Inputs!$AL14,Norm_Stats!$F$16),Norm_Stats!$G$16))/(Norm_Stats!$G$16-Norm_Stats!$F$16)))))="",0,0.3))=0,"",(IF((IF(OR(City_Inputs!$AA14="",Norm_Stats!$F$15="",Norm_Stats!$G$15="",Norm_Stats!$G$15=Norm_Stats!$F$15),"",MAX(0,MIN(100,100*(MIN(MAX(City_Inputs!$AA14,Norm_Stats!$F$15),Norm_Stats!$G$15)-Norm_Stats!$F$15)/(Norm_Stats!$G$15-Norm_Stats!$F$15)))))="",0,(IF(OR(City_Inputs!$AA14="",Norm_Stats!$F$15="",Norm_Stats!$G$15="",Norm_Stats!$G$15=Norm_Stats!$F$15),"",MAX(0,MIN(100,100*(MIN(MAX(City_Inputs!$AA14,Norm_Stats!$F$15),Norm_Stats!$G$15)-Norm_Stats!$F$15)/(Norm_Stats!$G$15-Norm_Stats!$F$15)))))*0.7)+IF((IF(OR(City_Inputs!$AL14="",Norm_Stats!$F$16="",Norm_Stats!$G$16="",Norm_Stats!$G$16=Norm_Stats!$F$16),"",MAX(0,MIN(100,100*(Norm_Stats!$G$16-MIN(MAX(City_Inputs!$AL14,Norm_Stats!$F$16),Norm_Stats!$G$16))/(Norm_Stats!$G$16-Norm_Stats!$F$16)))))="",0,(IF(OR(City_Inputs!$AL14="",Norm_Stats!$F$16="",Norm_Stats!$G$16="",Norm_Stats!$G$16=Norm_Stats!$F$16),"",MAX(0,MIN(100,100*(Norm_Stats!$G$16-MIN(MAX(City_Inputs!$AL14,Norm_Stats!$F$16),Norm_Stats!$G$16))/(Norm_Stats!$G$16-Norm_Stats!$F$16)))))*0.3))/(IF((IF(OR(City_Inputs!$AA14="",Norm_Stats!$F$15="",Norm_Stats!$G$15="",Norm_Stats!$G$15=Norm_Stats!$F$15),"",MAX(0,MIN(100,100*(MIN(MAX(City_Inputs!$AA14,Norm_Stats!$F$15),Norm_Stats!$G$15)-Norm_Stats!$F$15)/(Norm_Stats!$G$15-Norm_Stats!$F$15)))))="",0,0.7)+IF((IF(OR(City_Inputs!$AL14="",Norm_Stats!$F$16="",Norm_Stats!$G$16="",Norm_Stats!$G$16=Norm_Stats!$F$16),"",MAX(0,MIN(100,100*(Norm_Stats!$G$16-MIN(MAX(City_Inputs!$AL14,Norm_Stats!$F$16),Norm_Stats!$G$16))/(Norm_Stats!$G$16-Norm_Stats!$F$16)))))="",0,0.3)))</f>
        <v/>
      </c>
      <c r="AL14" s="14">
        <f>IF((IF((IF(OR(City_Inputs!$AA14="",Norm_Stats!$F$15="",Norm_Stats!$G$15="",Norm_Stats!$G$15=Norm_Stats!$F$15),"",MAX(0,MIN(100,100*(MIN(MAX(City_Inputs!$AA14,Norm_Stats!$F$15),Norm_Stats!$G$15)-Norm_Stats!$F$15)/(Norm_Stats!$G$15-Norm_Stats!$F$15)))))="",0,0.7)+IF((IF(OR(City_Inputs!$AL14="",Norm_Stats!$F$16="",Norm_Stats!$G$16="",Norm_Stats!$G$16=Norm_Stats!$F$16),"",MAX(0,MIN(100,100*(Norm_Stats!$G$16-MIN(MAX(City_Inputs!$AL14,Norm_Stats!$F$16),Norm_Stats!$G$16))/(Norm_Stats!$G$16-Norm_Stats!$F$16)))))="",0,0.3))=0,"",(IF((IF(OR(City_Inputs!$AA14="",Norm_Stats!$F$15="",Norm_Stats!$G$15="",Norm_Stats!$G$15=Norm_Stats!$F$15),"",MAX(0,MIN(100,100*(MIN(MAX(City_Inputs!$AA14,Norm_Stats!$F$15),Norm_Stats!$G$15)-Norm_Stats!$F$15)/(Norm_Stats!$G$15-Norm_Stats!$F$15)))))="",0,0.7)+IF((IF(OR(City_Inputs!$AL14="",Norm_Stats!$F$16="",Norm_Stats!$G$16="",Norm_Stats!$G$16=Norm_Stats!$F$16),"",MAX(0,MIN(100,100*(Norm_Stats!$G$16-MIN(MAX(City_Inputs!$AL14,Norm_Stats!$F$16),Norm_Stats!$G$16))/(Norm_Stats!$G$16-Norm_Stats!$F$16)))))="",0,0.3)))</f>
        <v/>
      </c>
      <c r="AM14" s="15">
        <f>IF((IF(AG14="",0,8)+IF(AI14="",0,6)+IF(AK14="",0,4))=0,"",(IF(AG14="",0,AG14*8)+IF(AI14="",0,AI14*6)+IF(AK14="",0,AK14*4))/(IF(AG14="",0,8)+IF(AI14="",0,6)+IF(AK14="",0,4)))</f>
        <v/>
      </c>
      <c r="AN14" s="14">
        <f>IF((IF(AH14="",0,8)+IF(AJ14="",0,6)+IF(AL14="",0,4))=0,"",(IF(AH14="",0,AH14*8)+IF(AJ14="",0,AJ14*6)+IF(AL14="",0,AL14*4))/18)</f>
        <v/>
      </c>
      <c r="AO14" s="11">
        <f>IF(OR(City_Inputs!$AB14="",Norm_Stats!$F$17="",Norm_Stats!$G$17="",Norm_Stats!$G$17=Norm_Stats!$F$17),"",MAX(0,MIN(100,100*(MIN(MAX(City_Inputs!$AB14,Norm_Stats!$F$17),Norm_Stats!$G$17)-Norm_Stats!$F$17)/(Norm_Stats!$G$17-Norm_Stats!$F$17))))</f>
        <v/>
      </c>
      <c r="AP14" s="14">
        <f>IF(AO14="","",1)</f>
        <v/>
      </c>
      <c r="AQ14" s="11">
        <f>IF(OR(City_Inputs!$AC14="",Norm_Stats!$F$18="",Norm_Stats!$G$18="",Norm_Stats!$G$18=Norm_Stats!$F$18),"",MAX(0,MIN(100,100*(MIN(MAX(City_Inputs!$AC14,Norm_Stats!$F$18),Norm_Stats!$G$18)-Norm_Stats!$F$18)/(Norm_Stats!$G$18-Norm_Stats!$F$18))))</f>
        <v/>
      </c>
      <c r="AR14" s="14">
        <f>IF(AQ14="","",1)</f>
        <v/>
      </c>
      <c r="AS14" s="11">
        <f>IF(OR(City_Inputs!$AD14="",Norm_Stats!$F$19="",Norm_Stats!$G$19="",Norm_Stats!$G$19=Norm_Stats!$F$19),"",MAX(0,MIN(100,100*(MIN(MAX(City_Inputs!$AD14,Norm_Stats!$F$19),Norm_Stats!$G$19)-Norm_Stats!$F$19)/(Norm_Stats!$G$19-Norm_Stats!$F$19))))</f>
        <v/>
      </c>
      <c r="AT14" s="14">
        <f>IF(AS14="","",1)</f>
        <v/>
      </c>
      <c r="AU14" s="11">
        <f>IF(OR(City_Inputs!$BJ14="",Norm_Stats!$F$26="",Norm_Stats!$G$26="",Norm_Stats!$G$26=Norm_Stats!$F$26),"",MAX(0,MIN(100,100*(MIN(MAX(City_Inputs!$BJ14,Norm_Stats!$F$26),Norm_Stats!$G$26)-Norm_Stats!$F$26)/(Norm_Stats!$G$26-Norm_Stats!$F$26))))</f>
        <v/>
      </c>
      <c r="AV14" s="11">
        <f>IF(AU14="","",1)</f>
        <v/>
      </c>
      <c r="AW14" s="15">
        <f>IF((IF(AO14="",0,5)+IF(AQ14="",0,5)+IF(AS14="",0,5)+IF(AU14="",0,4))=0,"",(IF(AO14="",0,AO14*5)+IF(AQ14="",0,AQ14*5)+IF(AS14="",0,AS14*5)+IF(AU14="",0,AU14*4))/(IF(AO14="",0,5)+IF(AQ14="",0,5)+IF(AS14="",0,5)+IF(AU14="",0,4)))</f>
        <v/>
      </c>
      <c r="AX14" s="14">
        <f>IF((IF(AP14="",0,5)+IF(AR14="",0,5)+IF(AT14="",0,5)+IF(AV14="",0,4))=0,"",(IF(AP14="",0,AP14*5)+IF(AR14="",0,AR14*5)+IF(AT14="",0,AT14*5)+IF(AV14="",0,AV14*4))/19)</f>
        <v/>
      </c>
      <c r="AY14" s="11">
        <f>IF(OR(City_Inputs!$AE14="",Norm_Stats!$F$20="",Norm_Stats!$G$20="",Norm_Stats!$G$20=Norm_Stats!$F$20),"",MAX(0,MIN(100,100*(MIN(MAX(City_Inputs!$AE14,Norm_Stats!$F$20),Norm_Stats!$G$20)-Norm_Stats!$F$20)/(Norm_Stats!$G$20-Norm_Stats!$F$20))))</f>
        <v/>
      </c>
      <c r="AZ14" s="14">
        <f>IF(AY14="","",1)</f>
        <v/>
      </c>
      <c r="BA14" s="11">
        <f>IF(OR(City_Inputs!$AF14="",Norm_Stats!$F$21="",Norm_Stats!$G$21="",Norm_Stats!$G$21=Norm_Stats!$F$21),"",MAX(0,MIN(100,100*(MIN(MAX(City_Inputs!$AF14,Norm_Stats!$F$21),Norm_Stats!$G$21)-Norm_Stats!$F$21)/(Norm_Stats!$G$21-Norm_Stats!$F$21))))</f>
        <v/>
      </c>
      <c r="BB14" s="14">
        <f>IF(BA14="","",1)</f>
        <v/>
      </c>
      <c r="BC14" s="11">
        <f>IF((IF((IF(OR(City_Inputs!$AG14="",Norm_Stats!$F$22="",Norm_Stats!$G$22="",Norm_Stats!$G$22=Norm_Stats!$F$22),"",MAX(0,MIN(100,100*(MIN(MAX(City_Inputs!$AG14,Norm_Stats!$F$22),Norm_Stats!$G$22)-Norm_Stats!$F$22)/(Norm_Stats!$G$22-Norm_Stats!$F$22)))))="",0,0.5)+IF((IF(OR(City_Inputs!$AJ14="",Norm_Stats!$F$23="",Norm_Stats!$G$23="",Norm_Stats!$G$23=Norm_Stats!$F$23),"",MAX(0,MIN(100,100*(MIN(MAX(City_Inputs!$AJ14,Norm_Stats!$F$23),Norm_Stats!$G$23)-Norm_Stats!$F$23)/(Norm_Stats!$G$23-Norm_Stats!$F$23)))))="",0,0.3)+IF((IF(OR(City_Inputs!$AK14="",Norm_Stats!$F$24="",Norm_Stats!$G$24="",Norm_Stats!$G$24=Norm_Stats!$F$24),"",MAX(0,MIN(100,100*(MIN(MAX(City_Inputs!$AK14,Norm_Stats!$F$24),Norm_Stats!$G$24)-Norm_Stats!$F$24)/(Norm_Stats!$G$24-Norm_Stats!$F$24)))))="",0,0.2))=0,"",(IF((IF(OR(City_Inputs!$AG14="",Norm_Stats!$F$22="",Norm_Stats!$G$22="",Norm_Stats!$G$22=Norm_Stats!$F$22),"",MAX(0,MIN(100,100*(MIN(MAX(City_Inputs!$AG14,Norm_Stats!$F$22),Norm_Stats!$G$22)-Norm_Stats!$F$22)/(Norm_Stats!$G$22-Norm_Stats!$F$22)))))="",0,(IF(OR(City_Inputs!$AG14="",Norm_Stats!$F$22="",Norm_Stats!$G$22="",Norm_Stats!$G$22=Norm_Stats!$F$22),"",MAX(0,MIN(100,100*(MIN(MAX(City_Inputs!$AG14,Norm_Stats!$F$22),Norm_Stats!$G$22)-Norm_Stats!$F$22)/(Norm_Stats!$G$22-Norm_Stats!$F$22)))))*0.5)+IF((IF(OR(City_Inputs!$AJ14="",Norm_Stats!$F$23="",Norm_Stats!$G$23="",Norm_Stats!$G$23=Norm_Stats!$F$23),"",MAX(0,MIN(100,100*(MIN(MAX(City_Inputs!$AJ14,Norm_Stats!$F$23),Norm_Stats!$G$23)-Norm_Stats!$F$23)/(Norm_Stats!$G$23-Norm_Stats!$F$23)))))="",0,(IF(OR(City_Inputs!$AJ14="",Norm_Stats!$F$23="",Norm_Stats!$G$23="",Norm_Stats!$G$23=Norm_Stats!$F$23),"",MAX(0,MIN(100,100*(MIN(MAX(City_Inputs!$AJ14,Norm_Stats!$F$23),Norm_Stats!$G$23)-Norm_Stats!$F$23)/(Norm_Stats!$G$23-Norm_Stats!$F$23)))))*0.3)+IF((IF(OR(City_Inputs!$AK14="",Norm_Stats!$F$24="",Norm_Stats!$G$24="",Norm_Stats!$G$24=Norm_Stats!$F$24),"",MAX(0,MIN(100,100*(MIN(MAX(City_Inputs!$AK14,Norm_Stats!$F$24),Norm_Stats!$G$24)-Norm_Stats!$F$24)/(Norm_Stats!$G$24-Norm_Stats!$F$24)))))="",0,(IF(OR(City_Inputs!$AK14="",Norm_Stats!$F$24="",Norm_Stats!$G$24="",Norm_Stats!$G$24=Norm_Stats!$F$24),"",MAX(0,MIN(100,100*(MIN(MAX(City_Inputs!$AK14,Norm_Stats!$F$24),Norm_Stats!$G$24)-Norm_Stats!$F$24)/(Norm_Stats!$G$24-Norm_Stats!$F$24)))))*0.2))/(IF((IF(OR(City_Inputs!$AG14="",Norm_Stats!$F$22="",Norm_Stats!$G$22="",Norm_Stats!$G$22=Norm_Stats!$F$22),"",MAX(0,MIN(100,100*(MIN(MAX(City_Inputs!$AG14,Norm_Stats!$F$22),Norm_Stats!$G$22)-Norm_Stats!$F$22)/(Norm_Stats!$G$22-Norm_Stats!$F$22)))))="",0,0.5)+IF((IF(OR(City_Inputs!$AJ14="",Norm_Stats!$F$23="",Norm_Stats!$G$23="",Norm_Stats!$G$23=Norm_Stats!$F$23),"",MAX(0,MIN(100,100*(MIN(MAX(City_Inputs!$AJ14,Norm_Stats!$F$23),Norm_Stats!$G$23)-Norm_Stats!$F$23)/(Norm_Stats!$G$23-Norm_Stats!$F$23)))))="",0,0.3)+IF((IF(OR(City_Inputs!$AK14="",Norm_Stats!$F$24="",Norm_Stats!$G$24="",Norm_Stats!$G$24=Norm_Stats!$F$24),"",MAX(0,MIN(100,100*(MIN(MAX(City_Inputs!$AK14,Norm_Stats!$F$24),Norm_Stats!$G$24)-Norm_Stats!$F$24)/(Norm_Stats!$G$24-Norm_Stats!$F$24)))))="",0,0.2)))</f>
        <v/>
      </c>
      <c r="BD14" s="14">
        <f>IF((IF((IF(OR(City_Inputs!$AG14="",Norm_Stats!$F$22="",Norm_Stats!$G$22="",Norm_Stats!$G$22=Norm_Stats!$F$22),"",MAX(0,MIN(100,100*(MIN(MAX(City_Inputs!$AG14,Norm_Stats!$F$22),Norm_Stats!$G$22)-Norm_Stats!$F$22)/(Norm_Stats!$G$22-Norm_Stats!$F$22)))))="",0,0.5)+IF((IF(OR(City_Inputs!$AJ14="",Norm_Stats!$F$23="",Norm_Stats!$G$23="",Norm_Stats!$G$23=Norm_Stats!$F$23),"",MAX(0,MIN(100,100*(MIN(MAX(City_Inputs!$AJ14,Norm_Stats!$F$23),Norm_Stats!$G$23)-Norm_Stats!$F$23)/(Norm_Stats!$G$23-Norm_Stats!$F$23)))))="",0,0.3)+IF((IF(OR(City_Inputs!$AK14="",Norm_Stats!$F$24="",Norm_Stats!$G$24="",Norm_Stats!$G$24=Norm_Stats!$F$24),"",MAX(0,MIN(100,100*(MIN(MAX(City_Inputs!$AK14,Norm_Stats!$F$24),Norm_Stats!$G$24)-Norm_Stats!$F$24)/(Norm_Stats!$G$24-Norm_Stats!$F$24)))))="",0,0.2))=0,"",(IF((IF(OR(City_Inputs!$AG14="",Norm_Stats!$F$22="",Norm_Stats!$G$22="",Norm_Stats!$G$22=Norm_Stats!$F$22),"",MAX(0,MIN(100,100*(MIN(MAX(City_Inputs!$AG14,Norm_Stats!$F$22),Norm_Stats!$G$22)-Norm_Stats!$F$22)/(Norm_Stats!$G$22-Norm_Stats!$F$22)))))="",0,0.5)+IF((IF(OR(City_Inputs!$AJ14="",Norm_Stats!$F$23="",Norm_Stats!$G$23="",Norm_Stats!$G$23=Norm_Stats!$F$23),"",MAX(0,MIN(100,100*(MIN(MAX(City_Inputs!$AJ14,Norm_Stats!$F$23),Norm_Stats!$G$23)-Norm_Stats!$F$23)/(Norm_Stats!$G$23-Norm_Stats!$F$23)))))="",0,0.3)+IF((IF(OR(City_Inputs!$AK14="",Norm_Stats!$F$24="",Norm_Stats!$G$24="",Norm_Stats!$G$24=Norm_Stats!$F$24),"",MAX(0,MIN(100,100*(MIN(MAX(City_Inputs!$AK14,Norm_Stats!$F$24),Norm_Stats!$G$24)-Norm_Stats!$F$24)/(Norm_Stats!$G$24-Norm_Stats!$F$24)))))="",0,0.2)))</f>
        <v/>
      </c>
      <c r="BE14" s="11">
        <f>IF(OR(City_Inputs!$AH14="",Norm_Stats!$F$25="",Norm_Stats!$G$25="",Norm_Stats!$G$25=Norm_Stats!$F$25),"",MAX(0,MIN(100,100*(Norm_Stats!$G$25-MIN(MAX(City_Inputs!$AH14,Norm_Stats!$F$25),Norm_Stats!$G$25))/(Norm_Stats!$G$25-Norm_Stats!$F$25))))</f>
        <v/>
      </c>
      <c r="BF14" s="14">
        <f>IF(BE14="","",1)</f>
        <v/>
      </c>
      <c r="BG14" s="15">
        <f>IF((IF(AY14="",0,6)+IF(BA14="",0,5)+IF(BC14="",0,5)+IF(BE14="",0,4))=0,"",(IF(AY14="",0,AY14*6)+IF(BA14="",0,BA14*5)+IF(BC14="",0,BC14*5)+IF(BE14="",0,BE14*4))/(IF(AY14="",0,6)+IF(BA14="",0,5)+IF(BC14="",0,5)+IF(BE14="",0,4)))</f>
        <v/>
      </c>
      <c r="BH14" s="14">
        <f>IF((IF(AZ14="",0,6)+IF(BB14="",0,5)+IF(BD14="",0,5)+IF(BF14="",0,4))=0,"",(IF(AZ14="",0,AZ14*6)+IF(BB14="",0,BB14*5)+IF(BD14="",0,BD14*5)+IF(BF14="",0,BF14*4))/20)</f>
        <v/>
      </c>
      <c r="BI14" s="14">
        <f>IF(AND(R14="",AF14="",AN14="",AX14="",BH14=""),"",((R14*25)+(AF14*22)+(AN14*18)+(AX14*15)+(BH14*20))/100)</f>
        <v/>
      </c>
      <c r="BJ14" s="11">
        <f>IF(BI14="","",IF(BI14&gt;=0.75,"A",IF(BI14&gt;=0.5,"B",IF(BI14&gt;=0.35,"C","Watchlist"))))</f>
        <v/>
      </c>
      <c r="BK14" s="11">
        <f>IF(OR(BI14="",BI14&lt;0.5,R14="",R14&lt;0.35,AF14="",AF14&lt;0.35,AN14="",AN14&lt;0.35,AX14="",AX14&lt;0.35,BH14="",BH14&lt;0.35),"Watchlist","Ranked")</f>
        <v/>
      </c>
      <c r="BL14" s="15">
        <f>IF(AND(Q14="",AE14="",AM14="",AW14="",BG14=""),"",(IF(Q14="",0,Q14*25)+IF(AE14="",0,AE14*22)+IF(AM14="",0,AM14*18)+IF(AW14="",0,AW14*15)+IF(BG14="",0,BG14*20))/(IF(Q14="",0,25)+IF(AE14="",0,22)+IF(AM14="",0,18)+IF(AW14="",0,15)+IF(BG14="",0,20)))</f>
        <v/>
      </c>
      <c r="BM14" s="11">
        <f>IF(BK14="Ranked",1+COUNTIFS($BK$2:$BK$158,"Ranked",$BL$2:$BL$158,"&gt;"&amp;BL14),"")</f>
        <v/>
      </c>
      <c r="BN14" s="11">
        <f>City_Inputs!$AI14</f>
        <v/>
      </c>
    </row>
    <row r="15">
      <c r="A15" t="inlineStr">
        <is>
          <t>kr-busan</t>
        </is>
      </c>
      <c r="B15" t="inlineStr">
        <is>
          <t>Busan</t>
        </is>
      </c>
      <c r="C15" t="inlineStr">
        <is>
          <t>South Korea</t>
        </is>
      </c>
      <c r="D15" t="inlineStr">
        <is>
          <t>East Asia</t>
        </is>
      </c>
      <c r="E15" t="inlineStr">
        <is>
          <t>locked</t>
        </is>
      </c>
      <c r="F15" t="inlineStr">
        <is>
          <t>primary</t>
        </is>
      </c>
      <c r="G15" s="11">
        <f>IF(OR(City_Inputs!$M15="",Norm_Stats!$F$2="",Norm_Stats!$G$2="",Norm_Stats!$G$2=Norm_Stats!$F$2),"",MAX(0,MIN(100,100*(MIN(MAX(City_Inputs!$M15,Norm_Stats!$F$2),Norm_Stats!$G$2)-Norm_Stats!$F$2)/(Norm_Stats!$G$2-Norm_Stats!$F$2))))</f>
        <v/>
      </c>
      <c r="H15" s="14">
        <f>IF(G15="","",1)</f>
        <v/>
      </c>
      <c r="I15" s="11">
        <f>IF(OR(City_Inputs!$N15="",Norm_Stats!$F$3="",Norm_Stats!$G$3="",Norm_Stats!$G$3=Norm_Stats!$F$3),"",MAX(0,MIN(100,100*(Norm_Stats!$G$3-MIN(MAX(City_Inputs!$N15,Norm_Stats!$F$3),Norm_Stats!$G$3))/(Norm_Stats!$G$3-Norm_Stats!$F$3))))</f>
        <v/>
      </c>
      <c r="J15" s="14">
        <f>IF(I15="","",1)</f>
        <v/>
      </c>
      <c r="K15" s="11">
        <f>IF(OR(City_Inputs!$P15="",Norm_Stats!$F$4="",Norm_Stats!$G$4="",Norm_Stats!$G$4=Norm_Stats!$F$4),"",MAX(0,MIN(100,100*(Norm_Stats!$G$4-MIN(MAX(City_Inputs!$P15,Norm_Stats!$F$4),Norm_Stats!$G$4))/(Norm_Stats!$G$4-Norm_Stats!$F$4))))</f>
        <v/>
      </c>
      <c r="L15" s="14">
        <f>IF(K15="","",1)</f>
        <v/>
      </c>
      <c r="M15" s="11">
        <f>IF(OR(City_Inputs!$Q15="",Norm_Stats!$F$5="",Norm_Stats!$G$5="",Norm_Stats!$G$5=Norm_Stats!$F$5),"",MAX(0,MIN(100,100*(Norm_Stats!$G$5-MIN(MAX(City_Inputs!$Q15,Norm_Stats!$F$5),Norm_Stats!$G$5))/(Norm_Stats!$G$5-Norm_Stats!$F$5))))</f>
        <v/>
      </c>
      <c r="N15" s="14">
        <f>IF(M15="","",1)</f>
        <v/>
      </c>
      <c r="O15" s="11">
        <f>IF(OR(City_Inputs!$R15="",Norm_Stats!$F$6="",Norm_Stats!$G$6="",Norm_Stats!$G$6=Norm_Stats!$F$6),"",MAX(0,MIN(100,100*(Norm_Stats!$G$6-MIN(MAX(City_Inputs!$R15,Norm_Stats!$F$6),Norm_Stats!$G$6))/(Norm_Stats!$G$6-Norm_Stats!$F$6))))</f>
        <v/>
      </c>
      <c r="P15" s="14">
        <f>IF(O15="","",1)</f>
        <v/>
      </c>
      <c r="Q15" s="15">
        <f>IF((IF(G15="",0,9)+IF(I15="",0,5)+IF(K15="",0,4)+IF(M15="",0,4)+IF(O15="",0,5))=0,"",(IF(G15="",0,G15*9)+IF(I15="",0,I15*5)+IF(K15="",0,K15*4)+IF(M15="",0,M15*4)+IF(O15="",0,O15*5))/(IF(G15="",0,9)+IF(I15="",0,5)+IF(K15="",0,4)+IF(M15="",0,4)+IF(O15="",0,5)))</f>
        <v/>
      </c>
      <c r="R15" s="14">
        <f>IF((IF(H15="",0,9)+IF(J15="",0,5)+IF(L15="",0,4)+IF(N15="",0,4)+IF(P15="",0,5))=0,"",(IF(H15="",0,H15*9)+IF(J15="",0,J15*5)+IF(L15="",0,L15*4)+IF(N15="",0,N15*4)+IF(P15="",0,P15*5))/27)</f>
        <v/>
      </c>
      <c r="S15" s="11">
        <f>IF(OR(City_Inputs!$S15="",Norm_Stats!$F$7="",Norm_Stats!$G$7="",Norm_Stats!$G$7=Norm_Stats!$F$7),"",MAX(0,MIN(100,100*(Norm_Stats!$G$7-MIN(MAX(City_Inputs!$S15,Norm_Stats!$F$7),Norm_Stats!$G$7))/(Norm_Stats!$G$7-Norm_Stats!$F$7))))</f>
        <v/>
      </c>
      <c r="T15" s="14">
        <f>IF(S15="","",1)</f>
        <v/>
      </c>
      <c r="U15" s="11">
        <f>IF(OR(City_Inputs!$T15="",Norm_Stats!$F$8="",Norm_Stats!$G$8="",Norm_Stats!$G$8=Norm_Stats!$F$8),"",MAX(0,MIN(100,100*(MIN(MAX(City_Inputs!$T15,Norm_Stats!$F$8),Norm_Stats!$G$8)-Norm_Stats!$F$8)/(Norm_Stats!$G$8-Norm_Stats!$F$8))))</f>
        <v/>
      </c>
      <c r="V15" s="14">
        <f>IF(U15="","",1)</f>
        <v/>
      </c>
      <c r="W15" s="11">
        <f>IF(OR(City_Inputs!$U15="",Norm_Stats!$F$9="",Norm_Stats!$G$9="",Norm_Stats!$G$9=Norm_Stats!$F$9),"",MAX(0,MIN(100,100*(Norm_Stats!$G$9-MIN(MAX(City_Inputs!$U15,Norm_Stats!$F$9),Norm_Stats!$G$9))/(Norm_Stats!$G$9-Norm_Stats!$F$9))))</f>
        <v/>
      </c>
      <c r="X15" s="14">
        <f>IF(W15="","",1)</f>
        <v/>
      </c>
      <c r="Y15" s="11">
        <f>IF(OR(City_Inputs!$V15="",Norm_Stats!$F$10="",Norm_Stats!$G$10="",Norm_Stats!$G$10=Norm_Stats!$F$10),"",MAX(0,MIN(100,100*(MIN(MAX(City_Inputs!$V15,Norm_Stats!$F$10),Norm_Stats!$G$10)-Norm_Stats!$F$10)/(Norm_Stats!$G$10-Norm_Stats!$F$10))))</f>
        <v/>
      </c>
      <c r="Z15" s="14">
        <f>IF(Y15="","",1)</f>
        <v/>
      </c>
      <c r="AA15" s="11">
        <f>IF(OR(City_Inputs!$W15="",Norm_Stats!$F$11="",Norm_Stats!$G$11="",Norm_Stats!$G$11=Norm_Stats!$F$11),"",MAX(0,MIN(100,100*(MIN(MAX(City_Inputs!$W15,Norm_Stats!$F$11),Norm_Stats!$G$11)-Norm_Stats!$F$11)/(Norm_Stats!$G$11-Norm_Stats!$F$11))))</f>
        <v/>
      </c>
      <c r="AB15" s="14">
        <f>IF(AA15="","",1)</f>
        <v/>
      </c>
      <c r="AC15" s="11">
        <f>IF(OR(City_Inputs!$X15="",Norm_Stats!$F$12="",Norm_Stats!$G$12="",Norm_Stats!$G$12=Norm_Stats!$F$12),"",MAX(0,MIN(100,100*(MIN(MAX(City_Inputs!$X15,Norm_Stats!$F$12),Norm_Stats!$G$12)-Norm_Stats!$F$12)/(Norm_Stats!$G$12-Norm_Stats!$F$12))))</f>
        <v/>
      </c>
      <c r="AD15" s="11">
        <f>IF(AC15="","",1)</f>
        <v/>
      </c>
      <c r="AE15" s="15">
        <f>IF((IF(S15="",0,5)+IF(U15="",0,5)+IF(W15="",0,4)+IF(Y15="",0,4)+IF(AA15="",0,4)+IF(AC15="",0,5))=0,"",(IF(S15="",0,S15*5)+IF(U15="",0,U15*5)+IF(W15="",0,W15*4)+IF(Y15="",0,Y15*4)+IF(AA15="",0,AA15*4)+IF(AC15="",0,AC15*5))/(IF(S15="",0,5)+IF(U15="",0,5)+IF(W15="",0,4)+IF(Y15="",0,4)+IF(AA15="",0,4)+IF(AC15="",0,5)))</f>
        <v/>
      </c>
      <c r="AF15" s="14">
        <f>IF((IF(T15="",0,5)+IF(V15="",0,5)+IF(X15="",0,4)+IF(Z15="",0,4)+IF(AB15="",0,4)+IF(AD15="",0,5))=0,"",(IF(T15="",0,T15*5)+IF(V15="",0,V15*5)+IF(X15="",0,X15*4)+IF(Z15="",0,Z15*4)+IF(AB15="",0,AB15*4)+IF(AD15="",0,AD15*5))/27)</f>
        <v/>
      </c>
      <c r="AG15" s="11">
        <f>IF(OR(City_Inputs!$Y15="",Norm_Stats!$F$13="",Norm_Stats!$G$13="",Norm_Stats!$G$13=Norm_Stats!$F$13),"",MAX(0,MIN(100,100*(MIN(MAX(City_Inputs!$Y15,Norm_Stats!$F$13),Norm_Stats!$G$13)-Norm_Stats!$F$13)/(Norm_Stats!$G$13-Norm_Stats!$F$13))))</f>
        <v/>
      </c>
      <c r="AH15" s="14">
        <f>IF(AG15="","",1)</f>
        <v/>
      </c>
      <c r="AI15" s="11">
        <f>IF(OR(City_Inputs!$Z15="",Norm_Stats!$F$14="",Norm_Stats!$G$14="",Norm_Stats!$G$14=Norm_Stats!$F$14),"",MAX(0,MIN(100,100*(MIN(MAX(City_Inputs!$Z15,Norm_Stats!$F$14),Norm_Stats!$G$14)-Norm_Stats!$F$14)/(Norm_Stats!$G$14-Norm_Stats!$F$14))))</f>
        <v/>
      </c>
      <c r="AJ15" s="14">
        <f>IF(AI15="","",1)</f>
        <v/>
      </c>
      <c r="AK15" s="11">
        <f>IF((IF((IF(OR(City_Inputs!$AA15="",Norm_Stats!$F$15="",Norm_Stats!$G$15="",Norm_Stats!$G$15=Norm_Stats!$F$15),"",MAX(0,MIN(100,100*(MIN(MAX(City_Inputs!$AA15,Norm_Stats!$F$15),Norm_Stats!$G$15)-Norm_Stats!$F$15)/(Norm_Stats!$G$15-Norm_Stats!$F$15)))))="",0,0.7)+IF((IF(OR(City_Inputs!$AL15="",Norm_Stats!$F$16="",Norm_Stats!$G$16="",Norm_Stats!$G$16=Norm_Stats!$F$16),"",MAX(0,MIN(100,100*(Norm_Stats!$G$16-MIN(MAX(City_Inputs!$AL15,Norm_Stats!$F$16),Norm_Stats!$G$16))/(Norm_Stats!$G$16-Norm_Stats!$F$16)))))="",0,0.3))=0,"",(IF((IF(OR(City_Inputs!$AA15="",Norm_Stats!$F$15="",Norm_Stats!$G$15="",Norm_Stats!$G$15=Norm_Stats!$F$15),"",MAX(0,MIN(100,100*(MIN(MAX(City_Inputs!$AA15,Norm_Stats!$F$15),Norm_Stats!$G$15)-Norm_Stats!$F$15)/(Norm_Stats!$G$15-Norm_Stats!$F$15)))))="",0,(IF(OR(City_Inputs!$AA15="",Norm_Stats!$F$15="",Norm_Stats!$G$15="",Norm_Stats!$G$15=Norm_Stats!$F$15),"",MAX(0,MIN(100,100*(MIN(MAX(City_Inputs!$AA15,Norm_Stats!$F$15),Norm_Stats!$G$15)-Norm_Stats!$F$15)/(Norm_Stats!$G$15-Norm_Stats!$F$15)))))*0.7)+IF((IF(OR(City_Inputs!$AL15="",Norm_Stats!$F$16="",Norm_Stats!$G$16="",Norm_Stats!$G$16=Norm_Stats!$F$16),"",MAX(0,MIN(100,100*(Norm_Stats!$G$16-MIN(MAX(City_Inputs!$AL15,Norm_Stats!$F$16),Norm_Stats!$G$16))/(Norm_Stats!$G$16-Norm_Stats!$F$16)))))="",0,(IF(OR(City_Inputs!$AL15="",Norm_Stats!$F$16="",Norm_Stats!$G$16="",Norm_Stats!$G$16=Norm_Stats!$F$16),"",MAX(0,MIN(100,100*(Norm_Stats!$G$16-MIN(MAX(City_Inputs!$AL15,Norm_Stats!$F$16),Norm_Stats!$G$16))/(Norm_Stats!$G$16-Norm_Stats!$F$16)))))*0.3))/(IF((IF(OR(City_Inputs!$AA15="",Norm_Stats!$F$15="",Norm_Stats!$G$15="",Norm_Stats!$G$15=Norm_Stats!$F$15),"",MAX(0,MIN(100,100*(MIN(MAX(City_Inputs!$AA15,Norm_Stats!$F$15),Norm_Stats!$G$15)-Norm_Stats!$F$15)/(Norm_Stats!$G$15-Norm_Stats!$F$15)))))="",0,0.7)+IF((IF(OR(City_Inputs!$AL15="",Norm_Stats!$F$16="",Norm_Stats!$G$16="",Norm_Stats!$G$16=Norm_Stats!$F$16),"",MAX(0,MIN(100,100*(Norm_Stats!$G$16-MIN(MAX(City_Inputs!$AL15,Norm_Stats!$F$16),Norm_Stats!$G$16))/(Norm_Stats!$G$16-Norm_Stats!$F$16)))))="",0,0.3)))</f>
        <v/>
      </c>
      <c r="AL15" s="14">
        <f>IF((IF((IF(OR(City_Inputs!$AA15="",Norm_Stats!$F$15="",Norm_Stats!$G$15="",Norm_Stats!$G$15=Norm_Stats!$F$15),"",MAX(0,MIN(100,100*(MIN(MAX(City_Inputs!$AA15,Norm_Stats!$F$15),Norm_Stats!$G$15)-Norm_Stats!$F$15)/(Norm_Stats!$G$15-Norm_Stats!$F$15)))))="",0,0.7)+IF((IF(OR(City_Inputs!$AL15="",Norm_Stats!$F$16="",Norm_Stats!$G$16="",Norm_Stats!$G$16=Norm_Stats!$F$16),"",MAX(0,MIN(100,100*(Norm_Stats!$G$16-MIN(MAX(City_Inputs!$AL15,Norm_Stats!$F$16),Norm_Stats!$G$16))/(Norm_Stats!$G$16-Norm_Stats!$F$16)))))="",0,0.3))=0,"",(IF((IF(OR(City_Inputs!$AA15="",Norm_Stats!$F$15="",Norm_Stats!$G$15="",Norm_Stats!$G$15=Norm_Stats!$F$15),"",MAX(0,MIN(100,100*(MIN(MAX(City_Inputs!$AA15,Norm_Stats!$F$15),Norm_Stats!$G$15)-Norm_Stats!$F$15)/(Norm_Stats!$G$15-Norm_Stats!$F$15)))))="",0,0.7)+IF((IF(OR(City_Inputs!$AL15="",Norm_Stats!$F$16="",Norm_Stats!$G$16="",Norm_Stats!$G$16=Norm_Stats!$F$16),"",MAX(0,MIN(100,100*(Norm_Stats!$G$16-MIN(MAX(City_Inputs!$AL15,Norm_Stats!$F$16),Norm_Stats!$G$16))/(Norm_Stats!$G$16-Norm_Stats!$F$16)))))="",0,0.3)))</f>
        <v/>
      </c>
      <c r="AM15" s="15">
        <f>IF((IF(AG15="",0,8)+IF(AI15="",0,6)+IF(AK15="",0,4))=0,"",(IF(AG15="",0,AG15*8)+IF(AI15="",0,AI15*6)+IF(AK15="",0,AK15*4))/(IF(AG15="",0,8)+IF(AI15="",0,6)+IF(AK15="",0,4)))</f>
        <v/>
      </c>
      <c r="AN15" s="14">
        <f>IF((IF(AH15="",0,8)+IF(AJ15="",0,6)+IF(AL15="",0,4))=0,"",(IF(AH15="",0,AH15*8)+IF(AJ15="",0,AJ15*6)+IF(AL15="",0,AL15*4))/18)</f>
        <v/>
      </c>
      <c r="AO15" s="11">
        <f>IF(OR(City_Inputs!$AB15="",Norm_Stats!$F$17="",Norm_Stats!$G$17="",Norm_Stats!$G$17=Norm_Stats!$F$17),"",MAX(0,MIN(100,100*(MIN(MAX(City_Inputs!$AB15,Norm_Stats!$F$17),Norm_Stats!$G$17)-Norm_Stats!$F$17)/(Norm_Stats!$G$17-Norm_Stats!$F$17))))</f>
        <v/>
      </c>
      <c r="AP15" s="14">
        <f>IF(AO15="","",1)</f>
        <v/>
      </c>
      <c r="AQ15" s="11">
        <f>IF(OR(City_Inputs!$AC15="",Norm_Stats!$F$18="",Norm_Stats!$G$18="",Norm_Stats!$G$18=Norm_Stats!$F$18),"",MAX(0,MIN(100,100*(MIN(MAX(City_Inputs!$AC15,Norm_Stats!$F$18),Norm_Stats!$G$18)-Norm_Stats!$F$18)/(Norm_Stats!$G$18-Norm_Stats!$F$18))))</f>
        <v/>
      </c>
      <c r="AR15" s="14">
        <f>IF(AQ15="","",1)</f>
        <v/>
      </c>
      <c r="AS15" s="11">
        <f>IF(OR(City_Inputs!$AD15="",Norm_Stats!$F$19="",Norm_Stats!$G$19="",Norm_Stats!$G$19=Norm_Stats!$F$19),"",MAX(0,MIN(100,100*(MIN(MAX(City_Inputs!$AD15,Norm_Stats!$F$19),Norm_Stats!$G$19)-Norm_Stats!$F$19)/(Norm_Stats!$G$19-Norm_Stats!$F$19))))</f>
        <v/>
      </c>
      <c r="AT15" s="14">
        <f>IF(AS15="","",1)</f>
        <v/>
      </c>
      <c r="AU15" s="11">
        <f>IF(OR(City_Inputs!$BJ15="",Norm_Stats!$F$26="",Norm_Stats!$G$26="",Norm_Stats!$G$26=Norm_Stats!$F$26),"",MAX(0,MIN(100,100*(MIN(MAX(City_Inputs!$BJ15,Norm_Stats!$F$26),Norm_Stats!$G$26)-Norm_Stats!$F$26)/(Norm_Stats!$G$26-Norm_Stats!$F$26))))</f>
        <v/>
      </c>
      <c r="AV15" s="11">
        <f>IF(AU15="","",1)</f>
        <v/>
      </c>
      <c r="AW15" s="15">
        <f>IF((IF(AO15="",0,5)+IF(AQ15="",0,5)+IF(AS15="",0,5)+IF(AU15="",0,4))=0,"",(IF(AO15="",0,AO15*5)+IF(AQ15="",0,AQ15*5)+IF(AS15="",0,AS15*5)+IF(AU15="",0,AU15*4))/(IF(AO15="",0,5)+IF(AQ15="",0,5)+IF(AS15="",0,5)+IF(AU15="",0,4)))</f>
        <v/>
      </c>
      <c r="AX15" s="14">
        <f>IF((IF(AP15="",0,5)+IF(AR15="",0,5)+IF(AT15="",0,5)+IF(AV15="",0,4))=0,"",(IF(AP15="",0,AP15*5)+IF(AR15="",0,AR15*5)+IF(AT15="",0,AT15*5)+IF(AV15="",0,AV15*4))/19)</f>
        <v/>
      </c>
      <c r="AY15" s="11">
        <f>IF(OR(City_Inputs!$AE15="",Norm_Stats!$F$20="",Norm_Stats!$G$20="",Norm_Stats!$G$20=Norm_Stats!$F$20),"",MAX(0,MIN(100,100*(MIN(MAX(City_Inputs!$AE15,Norm_Stats!$F$20),Norm_Stats!$G$20)-Norm_Stats!$F$20)/(Norm_Stats!$G$20-Norm_Stats!$F$20))))</f>
        <v/>
      </c>
      <c r="AZ15" s="14">
        <f>IF(AY15="","",1)</f>
        <v/>
      </c>
      <c r="BA15" s="11">
        <f>IF(OR(City_Inputs!$AF15="",Norm_Stats!$F$21="",Norm_Stats!$G$21="",Norm_Stats!$G$21=Norm_Stats!$F$21),"",MAX(0,MIN(100,100*(MIN(MAX(City_Inputs!$AF15,Norm_Stats!$F$21),Norm_Stats!$G$21)-Norm_Stats!$F$21)/(Norm_Stats!$G$21-Norm_Stats!$F$21))))</f>
        <v/>
      </c>
      <c r="BB15" s="14">
        <f>IF(BA15="","",1)</f>
        <v/>
      </c>
      <c r="BC15" s="11">
        <f>IF((IF((IF(OR(City_Inputs!$AG15="",Norm_Stats!$F$22="",Norm_Stats!$G$22="",Norm_Stats!$G$22=Norm_Stats!$F$22),"",MAX(0,MIN(100,100*(MIN(MAX(City_Inputs!$AG15,Norm_Stats!$F$22),Norm_Stats!$G$22)-Norm_Stats!$F$22)/(Norm_Stats!$G$22-Norm_Stats!$F$22)))))="",0,0.5)+IF((IF(OR(City_Inputs!$AJ15="",Norm_Stats!$F$23="",Norm_Stats!$G$23="",Norm_Stats!$G$23=Norm_Stats!$F$23),"",MAX(0,MIN(100,100*(MIN(MAX(City_Inputs!$AJ15,Norm_Stats!$F$23),Norm_Stats!$G$23)-Norm_Stats!$F$23)/(Norm_Stats!$G$23-Norm_Stats!$F$23)))))="",0,0.3)+IF((IF(OR(City_Inputs!$AK15="",Norm_Stats!$F$24="",Norm_Stats!$G$24="",Norm_Stats!$G$24=Norm_Stats!$F$24),"",MAX(0,MIN(100,100*(MIN(MAX(City_Inputs!$AK15,Norm_Stats!$F$24),Norm_Stats!$G$24)-Norm_Stats!$F$24)/(Norm_Stats!$G$24-Norm_Stats!$F$24)))))="",0,0.2))=0,"",(IF((IF(OR(City_Inputs!$AG15="",Norm_Stats!$F$22="",Norm_Stats!$G$22="",Norm_Stats!$G$22=Norm_Stats!$F$22),"",MAX(0,MIN(100,100*(MIN(MAX(City_Inputs!$AG15,Norm_Stats!$F$22),Norm_Stats!$G$22)-Norm_Stats!$F$22)/(Norm_Stats!$G$22-Norm_Stats!$F$22)))))="",0,(IF(OR(City_Inputs!$AG15="",Norm_Stats!$F$22="",Norm_Stats!$G$22="",Norm_Stats!$G$22=Norm_Stats!$F$22),"",MAX(0,MIN(100,100*(MIN(MAX(City_Inputs!$AG15,Norm_Stats!$F$22),Norm_Stats!$G$22)-Norm_Stats!$F$22)/(Norm_Stats!$G$22-Norm_Stats!$F$22)))))*0.5)+IF((IF(OR(City_Inputs!$AJ15="",Norm_Stats!$F$23="",Norm_Stats!$G$23="",Norm_Stats!$G$23=Norm_Stats!$F$23),"",MAX(0,MIN(100,100*(MIN(MAX(City_Inputs!$AJ15,Norm_Stats!$F$23),Norm_Stats!$G$23)-Norm_Stats!$F$23)/(Norm_Stats!$G$23-Norm_Stats!$F$23)))))="",0,(IF(OR(City_Inputs!$AJ15="",Norm_Stats!$F$23="",Norm_Stats!$G$23="",Norm_Stats!$G$23=Norm_Stats!$F$23),"",MAX(0,MIN(100,100*(MIN(MAX(City_Inputs!$AJ15,Norm_Stats!$F$23),Norm_Stats!$G$23)-Norm_Stats!$F$23)/(Norm_Stats!$G$23-Norm_Stats!$F$23)))))*0.3)+IF((IF(OR(City_Inputs!$AK15="",Norm_Stats!$F$24="",Norm_Stats!$G$24="",Norm_Stats!$G$24=Norm_Stats!$F$24),"",MAX(0,MIN(100,100*(MIN(MAX(City_Inputs!$AK15,Norm_Stats!$F$24),Norm_Stats!$G$24)-Norm_Stats!$F$24)/(Norm_Stats!$G$24-Norm_Stats!$F$24)))))="",0,(IF(OR(City_Inputs!$AK15="",Norm_Stats!$F$24="",Norm_Stats!$G$24="",Norm_Stats!$G$24=Norm_Stats!$F$24),"",MAX(0,MIN(100,100*(MIN(MAX(City_Inputs!$AK15,Norm_Stats!$F$24),Norm_Stats!$G$24)-Norm_Stats!$F$24)/(Norm_Stats!$G$24-Norm_Stats!$F$24)))))*0.2))/(IF((IF(OR(City_Inputs!$AG15="",Norm_Stats!$F$22="",Norm_Stats!$G$22="",Norm_Stats!$G$22=Norm_Stats!$F$22),"",MAX(0,MIN(100,100*(MIN(MAX(City_Inputs!$AG15,Norm_Stats!$F$22),Norm_Stats!$G$22)-Norm_Stats!$F$22)/(Norm_Stats!$G$22-Norm_Stats!$F$22)))))="",0,0.5)+IF((IF(OR(City_Inputs!$AJ15="",Norm_Stats!$F$23="",Norm_Stats!$G$23="",Norm_Stats!$G$23=Norm_Stats!$F$23),"",MAX(0,MIN(100,100*(MIN(MAX(City_Inputs!$AJ15,Norm_Stats!$F$23),Norm_Stats!$G$23)-Norm_Stats!$F$23)/(Norm_Stats!$G$23-Norm_Stats!$F$23)))))="",0,0.3)+IF((IF(OR(City_Inputs!$AK15="",Norm_Stats!$F$24="",Norm_Stats!$G$24="",Norm_Stats!$G$24=Norm_Stats!$F$24),"",MAX(0,MIN(100,100*(MIN(MAX(City_Inputs!$AK15,Norm_Stats!$F$24),Norm_Stats!$G$24)-Norm_Stats!$F$24)/(Norm_Stats!$G$24-Norm_Stats!$F$24)))))="",0,0.2)))</f>
        <v/>
      </c>
      <c r="BD15" s="14">
        <f>IF((IF((IF(OR(City_Inputs!$AG15="",Norm_Stats!$F$22="",Norm_Stats!$G$22="",Norm_Stats!$G$22=Norm_Stats!$F$22),"",MAX(0,MIN(100,100*(MIN(MAX(City_Inputs!$AG15,Norm_Stats!$F$22),Norm_Stats!$G$22)-Norm_Stats!$F$22)/(Norm_Stats!$G$22-Norm_Stats!$F$22)))))="",0,0.5)+IF((IF(OR(City_Inputs!$AJ15="",Norm_Stats!$F$23="",Norm_Stats!$G$23="",Norm_Stats!$G$23=Norm_Stats!$F$23),"",MAX(0,MIN(100,100*(MIN(MAX(City_Inputs!$AJ15,Norm_Stats!$F$23),Norm_Stats!$G$23)-Norm_Stats!$F$23)/(Norm_Stats!$G$23-Norm_Stats!$F$23)))))="",0,0.3)+IF((IF(OR(City_Inputs!$AK15="",Norm_Stats!$F$24="",Norm_Stats!$G$24="",Norm_Stats!$G$24=Norm_Stats!$F$24),"",MAX(0,MIN(100,100*(MIN(MAX(City_Inputs!$AK15,Norm_Stats!$F$24),Norm_Stats!$G$24)-Norm_Stats!$F$24)/(Norm_Stats!$G$24-Norm_Stats!$F$24)))))="",0,0.2))=0,"",(IF((IF(OR(City_Inputs!$AG15="",Norm_Stats!$F$22="",Norm_Stats!$G$22="",Norm_Stats!$G$22=Norm_Stats!$F$22),"",MAX(0,MIN(100,100*(MIN(MAX(City_Inputs!$AG15,Norm_Stats!$F$22),Norm_Stats!$G$22)-Norm_Stats!$F$22)/(Norm_Stats!$G$22-Norm_Stats!$F$22)))))="",0,0.5)+IF((IF(OR(City_Inputs!$AJ15="",Norm_Stats!$F$23="",Norm_Stats!$G$23="",Norm_Stats!$G$23=Norm_Stats!$F$23),"",MAX(0,MIN(100,100*(MIN(MAX(City_Inputs!$AJ15,Norm_Stats!$F$23),Norm_Stats!$G$23)-Norm_Stats!$F$23)/(Norm_Stats!$G$23-Norm_Stats!$F$23)))))="",0,0.3)+IF((IF(OR(City_Inputs!$AK15="",Norm_Stats!$F$24="",Norm_Stats!$G$24="",Norm_Stats!$G$24=Norm_Stats!$F$24),"",MAX(0,MIN(100,100*(MIN(MAX(City_Inputs!$AK15,Norm_Stats!$F$24),Norm_Stats!$G$24)-Norm_Stats!$F$24)/(Norm_Stats!$G$24-Norm_Stats!$F$24)))))="",0,0.2)))</f>
        <v/>
      </c>
      <c r="BE15" s="11">
        <f>IF(OR(City_Inputs!$AH15="",Norm_Stats!$F$25="",Norm_Stats!$G$25="",Norm_Stats!$G$25=Norm_Stats!$F$25),"",MAX(0,MIN(100,100*(Norm_Stats!$G$25-MIN(MAX(City_Inputs!$AH15,Norm_Stats!$F$25),Norm_Stats!$G$25))/(Norm_Stats!$G$25-Norm_Stats!$F$25))))</f>
        <v/>
      </c>
      <c r="BF15" s="14">
        <f>IF(BE15="","",1)</f>
        <v/>
      </c>
      <c r="BG15" s="15">
        <f>IF((IF(AY15="",0,6)+IF(BA15="",0,5)+IF(BC15="",0,5)+IF(BE15="",0,4))=0,"",(IF(AY15="",0,AY15*6)+IF(BA15="",0,BA15*5)+IF(BC15="",0,BC15*5)+IF(BE15="",0,BE15*4))/(IF(AY15="",0,6)+IF(BA15="",0,5)+IF(BC15="",0,5)+IF(BE15="",0,4)))</f>
        <v/>
      </c>
      <c r="BH15" s="14">
        <f>IF((IF(AZ15="",0,6)+IF(BB15="",0,5)+IF(BD15="",0,5)+IF(BF15="",0,4))=0,"",(IF(AZ15="",0,AZ15*6)+IF(BB15="",0,BB15*5)+IF(BD15="",0,BD15*5)+IF(BF15="",0,BF15*4))/20)</f>
        <v/>
      </c>
      <c r="BI15" s="14">
        <f>IF(AND(R15="",AF15="",AN15="",AX15="",BH15=""),"",((R15*25)+(AF15*22)+(AN15*18)+(AX15*15)+(BH15*20))/100)</f>
        <v/>
      </c>
      <c r="BJ15" s="11">
        <f>IF(BI15="","",IF(BI15&gt;=0.75,"A",IF(BI15&gt;=0.5,"B",IF(BI15&gt;=0.35,"C","Watchlist"))))</f>
        <v/>
      </c>
      <c r="BK15" s="11">
        <f>IF(OR(BI15="",BI15&lt;0.5,R15="",R15&lt;0.35,AF15="",AF15&lt;0.35,AN15="",AN15&lt;0.35,AX15="",AX15&lt;0.35,BH15="",BH15&lt;0.35),"Watchlist","Ranked")</f>
        <v/>
      </c>
      <c r="BL15" s="15">
        <f>IF(AND(Q15="",AE15="",AM15="",AW15="",BG15=""),"",(IF(Q15="",0,Q15*25)+IF(AE15="",0,AE15*22)+IF(AM15="",0,AM15*18)+IF(AW15="",0,AW15*15)+IF(BG15="",0,BG15*20))/(IF(Q15="",0,25)+IF(AE15="",0,22)+IF(AM15="",0,18)+IF(AW15="",0,15)+IF(BG15="",0,20)))</f>
        <v/>
      </c>
      <c r="BM15" s="11">
        <f>IF(BK15="Ranked",1+COUNTIFS($BK$2:$BK$158,"Ranked",$BL$2:$BL$158,"&gt;"&amp;BL15),"")</f>
        <v/>
      </c>
      <c r="BN15" s="11">
        <f>City_Inputs!$AI15</f>
        <v/>
      </c>
    </row>
    <row r="16">
      <c r="A16" t="inlineStr">
        <is>
          <t>cn-shanghai</t>
        </is>
      </c>
      <c r="B16" t="inlineStr">
        <is>
          <t>Shanghai</t>
        </is>
      </c>
      <c r="C16" t="inlineStr">
        <is>
          <t>China</t>
        </is>
      </c>
      <c r="D16" t="inlineStr">
        <is>
          <t>East Asia</t>
        </is>
      </c>
      <c r="E16" t="inlineStr">
        <is>
          <t>provisional</t>
        </is>
      </c>
      <c r="F16" t="inlineStr">
        <is>
          <t>primary</t>
        </is>
      </c>
      <c r="G16" s="11">
        <f>IF(OR(City_Inputs!$M16="",Norm_Stats!$F$2="",Norm_Stats!$G$2="",Norm_Stats!$G$2=Norm_Stats!$F$2),"",MAX(0,MIN(100,100*(MIN(MAX(City_Inputs!$M16,Norm_Stats!$F$2),Norm_Stats!$G$2)-Norm_Stats!$F$2)/(Norm_Stats!$G$2-Norm_Stats!$F$2))))</f>
        <v/>
      </c>
      <c r="H16" s="14">
        <f>IF(G16="","",1)</f>
        <v/>
      </c>
      <c r="I16" s="11">
        <f>IF(OR(City_Inputs!$N16="",Norm_Stats!$F$3="",Norm_Stats!$G$3="",Norm_Stats!$G$3=Norm_Stats!$F$3),"",MAX(0,MIN(100,100*(Norm_Stats!$G$3-MIN(MAX(City_Inputs!$N16,Norm_Stats!$F$3),Norm_Stats!$G$3))/(Norm_Stats!$G$3-Norm_Stats!$F$3))))</f>
        <v/>
      </c>
      <c r="J16" s="14">
        <f>IF(I16="","",1)</f>
        <v/>
      </c>
      <c r="K16" s="11">
        <f>IF(OR(City_Inputs!$P16="",Norm_Stats!$F$4="",Norm_Stats!$G$4="",Norm_Stats!$G$4=Norm_Stats!$F$4),"",MAX(0,MIN(100,100*(Norm_Stats!$G$4-MIN(MAX(City_Inputs!$P16,Norm_Stats!$F$4),Norm_Stats!$G$4))/(Norm_Stats!$G$4-Norm_Stats!$F$4))))</f>
        <v/>
      </c>
      <c r="L16" s="14">
        <f>IF(K16="","",1)</f>
        <v/>
      </c>
      <c r="M16" s="11">
        <f>IF(OR(City_Inputs!$Q16="",Norm_Stats!$F$5="",Norm_Stats!$G$5="",Norm_Stats!$G$5=Norm_Stats!$F$5),"",MAX(0,MIN(100,100*(Norm_Stats!$G$5-MIN(MAX(City_Inputs!$Q16,Norm_Stats!$F$5),Norm_Stats!$G$5))/(Norm_Stats!$G$5-Norm_Stats!$F$5))))</f>
        <v/>
      </c>
      <c r="N16" s="14">
        <f>IF(M16="","",1)</f>
        <v/>
      </c>
      <c r="O16" s="11">
        <f>IF(OR(City_Inputs!$R16="",Norm_Stats!$F$6="",Norm_Stats!$G$6="",Norm_Stats!$G$6=Norm_Stats!$F$6),"",MAX(0,MIN(100,100*(Norm_Stats!$G$6-MIN(MAX(City_Inputs!$R16,Norm_Stats!$F$6),Norm_Stats!$G$6))/(Norm_Stats!$G$6-Norm_Stats!$F$6))))</f>
        <v/>
      </c>
      <c r="P16" s="14">
        <f>IF(O16="","",1)</f>
        <v/>
      </c>
      <c r="Q16" s="15">
        <f>IF((IF(G16="",0,9)+IF(I16="",0,5)+IF(K16="",0,4)+IF(M16="",0,4)+IF(O16="",0,5))=0,"",(IF(G16="",0,G16*9)+IF(I16="",0,I16*5)+IF(K16="",0,K16*4)+IF(M16="",0,M16*4)+IF(O16="",0,O16*5))/(IF(G16="",0,9)+IF(I16="",0,5)+IF(K16="",0,4)+IF(M16="",0,4)+IF(O16="",0,5)))</f>
        <v/>
      </c>
      <c r="R16" s="14">
        <f>IF((IF(H16="",0,9)+IF(J16="",0,5)+IF(L16="",0,4)+IF(N16="",0,4)+IF(P16="",0,5))=0,"",(IF(H16="",0,H16*9)+IF(J16="",0,J16*5)+IF(L16="",0,L16*4)+IF(N16="",0,N16*4)+IF(P16="",0,P16*5))/27)</f>
        <v/>
      </c>
      <c r="S16" s="11">
        <f>IF(OR(City_Inputs!$S16="",Norm_Stats!$F$7="",Norm_Stats!$G$7="",Norm_Stats!$G$7=Norm_Stats!$F$7),"",MAX(0,MIN(100,100*(Norm_Stats!$G$7-MIN(MAX(City_Inputs!$S16,Norm_Stats!$F$7),Norm_Stats!$G$7))/(Norm_Stats!$G$7-Norm_Stats!$F$7))))</f>
        <v/>
      </c>
      <c r="T16" s="14">
        <f>IF(S16="","",1)</f>
        <v/>
      </c>
      <c r="U16" s="11">
        <f>IF(OR(City_Inputs!$T16="",Norm_Stats!$F$8="",Norm_Stats!$G$8="",Norm_Stats!$G$8=Norm_Stats!$F$8),"",MAX(0,MIN(100,100*(MIN(MAX(City_Inputs!$T16,Norm_Stats!$F$8),Norm_Stats!$G$8)-Norm_Stats!$F$8)/(Norm_Stats!$G$8-Norm_Stats!$F$8))))</f>
        <v/>
      </c>
      <c r="V16" s="14">
        <f>IF(U16="","",1)</f>
        <v/>
      </c>
      <c r="W16" s="11">
        <f>IF(OR(City_Inputs!$U16="",Norm_Stats!$F$9="",Norm_Stats!$G$9="",Norm_Stats!$G$9=Norm_Stats!$F$9),"",MAX(0,MIN(100,100*(Norm_Stats!$G$9-MIN(MAX(City_Inputs!$U16,Norm_Stats!$F$9),Norm_Stats!$G$9))/(Norm_Stats!$G$9-Norm_Stats!$F$9))))</f>
        <v/>
      </c>
      <c r="X16" s="14">
        <f>IF(W16="","",1)</f>
        <v/>
      </c>
      <c r="Y16" s="11">
        <f>IF(OR(City_Inputs!$V16="",Norm_Stats!$F$10="",Norm_Stats!$G$10="",Norm_Stats!$G$10=Norm_Stats!$F$10),"",MAX(0,MIN(100,100*(MIN(MAX(City_Inputs!$V16,Norm_Stats!$F$10),Norm_Stats!$G$10)-Norm_Stats!$F$10)/(Norm_Stats!$G$10-Norm_Stats!$F$10))))</f>
        <v/>
      </c>
      <c r="Z16" s="14">
        <f>IF(Y16="","",1)</f>
        <v/>
      </c>
      <c r="AA16" s="11">
        <f>IF(OR(City_Inputs!$W16="",Norm_Stats!$F$11="",Norm_Stats!$G$11="",Norm_Stats!$G$11=Norm_Stats!$F$11),"",MAX(0,MIN(100,100*(MIN(MAX(City_Inputs!$W16,Norm_Stats!$F$11),Norm_Stats!$G$11)-Norm_Stats!$F$11)/(Norm_Stats!$G$11-Norm_Stats!$F$11))))</f>
        <v/>
      </c>
      <c r="AB16" s="14">
        <f>IF(AA16="","",1)</f>
        <v/>
      </c>
      <c r="AC16" s="11">
        <f>IF(OR(City_Inputs!$X16="",Norm_Stats!$F$12="",Norm_Stats!$G$12="",Norm_Stats!$G$12=Norm_Stats!$F$12),"",MAX(0,MIN(100,100*(MIN(MAX(City_Inputs!$X16,Norm_Stats!$F$12),Norm_Stats!$G$12)-Norm_Stats!$F$12)/(Norm_Stats!$G$12-Norm_Stats!$F$12))))</f>
        <v/>
      </c>
      <c r="AD16" s="11">
        <f>IF(AC16="","",1)</f>
        <v/>
      </c>
      <c r="AE16" s="15">
        <f>IF((IF(S16="",0,5)+IF(U16="",0,5)+IF(W16="",0,4)+IF(Y16="",0,4)+IF(AA16="",0,4)+IF(AC16="",0,5))=0,"",(IF(S16="",0,S16*5)+IF(U16="",0,U16*5)+IF(W16="",0,W16*4)+IF(Y16="",0,Y16*4)+IF(AA16="",0,AA16*4)+IF(AC16="",0,AC16*5))/(IF(S16="",0,5)+IF(U16="",0,5)+IF(W16="",0,4)+IF(Y16="",0,4)+IF(AA16="",0,4)+IF(AC16="",0,5)))</f>
        <v/>
      </c>
      <c r="AF16" s="14">
        <f>IF((IF(T16="",0,5)+IF(V16="",0,5)+IF(X16="",0,4)+IF(Z16="",0,4)+IF(AB16="",0,4)+IF(AD16="",0,5))=0,"",(IF(T16="",0,T16*5)+IF(V16="",0,V16*5)+IF(X16="",0,X16*4)+IF(Z16="",0,Z16*4)+IF(AB16="",0,AB16*4)+IF(AD16="",0,AD16*5))/27)</f>
        <v/>
      </c>
      <c r="AG16" s="11">
        <f>IF(OR(City_Inputs!$Y16="",Norm_Stats!$F$13="",Norm_Stats!$G$13="",Norm_Stats!$G$13=Norm_Stats!$F$13),"",MAX(0,MIN(100,100*(MIN(MAX(City_Inputs!$Y16,Norm_Stats!$F$13),Norm_Stats!$G$13)-Norm_Stats!$F$13)/(Norm_Stats!$G$13-Norm_Stats!$F$13))))</f>
        <v/>
      </c>
      <c r="AH16" s="14">
        <f>IF(AG16="","",1)</f>
        <v/>
      </c>
      <c r="AI16" s="11">
        <f>IF(OR(City_Inputs!$Z16="",Norm_Stats!$F$14="",Norm_Stats!$G$14="",Norm_Stats!$G$14=Norm_Stats!$F$14),"",MAX(0,MIN(100,100*(MIN(MAX(City_Inputs!$Z16,Norm_Stats!$F$14),Norm_Stats!$G$14)-Norm_Stats!$F$14)/(Norm_Stats!$G$14-Norm_Stats!$F$14))))</f>
        <v/>
      </c>
      <c r="AJ16" s="14">
        <f>IF(AI16="","",1)</f>
        <v/>
      </c>
      <c r="AK16" s="11">
        <f>IF((IF((IF(OR(City_Inputs!$AA16="",Norm_Stats!$F$15="",Norm_Stats!$G$15="",Norm_Stats!$G$15=Norm_Stats!$F$15),"",MAX(0,MIN(100,100*(MIN(MAX(City_Inputs!$AA16,Norm_Stats!$F$15),Norm_Stats!$G$15)-Norm_Stats!$F$15)/(Norm_Stats!$G$15-Norm_Stats!$F$15)))))="",0,0.7)+IF((IF(OR(City_Inputs!$AL16="",Norm_Stats!$F$16="",Norm_Stats!$G$16="",Norm_Stats!$G$16=Norm_Stats!$F$16),"",MAX(0,MIN(100,100*(Norm_Stats!$G$16-MIN(MAX(City_Inputs!$AL16,Norm_Stats!$F$16),Norm_Stats!$G$16))/(Norm_Stats!$G$16-Norm_Stats!$F$16)))))="",0,0.3))=0,"",(IF((IF(OR(City_Inputs!$AA16="",Norm_Stats!$F$15="",Norm_Stats!$G$15="",Norm_Stats!$G$15=Norm_Stats!$F$15),"",MAX(0,MIN(100,100*(MIN(MAX(City_Inputs!$AA16,Norm_Stats!$F$15),Norm_Stats!$G$15)-Norm_Stats!$F$15)/(Norm_Stats!$G$15-Norm_Stats!$F$15)))))="",0,(IF(OR(City_Inputs!$AA16="",Norm_Stats!$F$15="",Norm_Stats!$G$15="",Norm_Stats!$G$15=Norm_Stats!$F$15),"",MAX(0,MIN(100,100*(MIN(MAX(City_Inputs!$AA16,Norm_Stats!$F$15),Norm_Stats!$G$15)-Norm_Stats!$F$15)/(Norm_Stats!$G$15-Norm_Stats!$F$15)))))*0.7)+IF((IF(OR(City_Inputs!$AL16="",Norm_Stats!$F$16="",Norm_Stats!$G$16="",Norm_Stats!$G$16=Norm_Stats!$F$16),"",MAX(0,MIN(100,100*(Norm_Stats!$G$16-MIN(MAX(City_Inputs!$AL16,Norm_Stats!$F$16),Norm_Stats!$G$16))/(Norm_Stats!$G$16-Norm_Stats!$F$16)))))="",0,(IF(OR(City_Inputs!$AL16="",Norm_Stats!$F$16="",Norm_Stats!$G$16="",Norm_Stats!$G$16=Norm_Stats!$F$16),"",MAX(0,MIN(100,100*(Norm_Stats!$G$16-MIN(MAX(City_Inputs!$AL16,Norm_Stats!$F$16),Norm_Stats!$G$16))/(Norm_Stats!$G$16-Norm_Stats!$F$16)))))*0.3))/(IF((IF(OR(City_Inputs!$AA16="",Norm_Stats!$F$15="",Norm_Stats!$G$15="",Norm_Stats!$G$15=Norm_Stats!$F$15),"",MAX(0,MIN(100,100*(MIN(MAX(City_Inputs!$AA16,Norm_Stats!$F$15),Norm_Stats!$G$15)-Norm_Stats!$F$15)/(Norm_Stats!$G$15-Norm_Stats!$F$15)))))="",0,0.7)+IF((IF(OR(City_Inputs!$AL16="",Norm_Stats!$F$16="",Norm_Stats!$G$16="",Norm_Stats!$G$16=Norm_Stats!$F$16),"",MAX(0,MIN(100,100*(Norm_Stats!$G$16-MIN(MAX(City_Inputs!$AL16,Norm_Stats!$F$16),Norm_Stats!$G$16))/(Norm_Stats!$G$16-Norm_Stats!$F$16)))))="",0,0.3)))</f>
        <v/>
      </c>
      <c r="AL16" s="14">
        <f>IF((IF((IF(OR(City_Inputs!$AA16="",Norm_Stats!$F$15="",Norm_Stats!$G$15="",Norm_Stats!$G$15=Norm_Stats!$F$15),"",MAX(0,MIN(100,100*(MIN(MAX(City_Inputs!$AA16,Norm_Stats!$F$15),Norm_Stats!$G$15)-Norm_Stats!$F$15)/(Norm_Stats!$G$15-Norm_Stats!$F$15)))))="",0,0.7)+IF((IF(OR(City_Inputs!$AL16="",Norm_Stats!$F$16="",Norm_Stats!$G$16="",Norm_Stats!$G$16=Norm_Stats!$F$16),"",MAX(0,MIN(100,100*(Norm_Stats!$G$16-MIN(MAX(City_Inputs!$AL16,Norm_Stats!$F$16),Norm_Stats!$G$16))/(Norm_Stats!$G$16-Norm_Stats!$F$16)))))="",0,0.3))=0,"",(IF((IF(OR(City_Inputs!$AA16="",Norm_Stats!$F$15="",Norm_Stats!$G$15="",Norm_Stats!$G$15=Norm_Stats!$F$15),"",MAX(0,MIN(100,100*(MIN(MAX(City_Inputs!$AA16,Norm_Stats!$F$15),Norm_Stats!$G$15)-Norm_Stats!$F$15)/(Norm_Stats!$G$15-Norm_Stats!$F$15)))))="",0,0.7)+IF((IF(OR(City_Inputs!$AL16="",Norm_Stats!$F$16="",Norm_Stats!$G$16="",Norm_Stats!$G$16=Norm_Stats!$F$16),"",MAX(0,MIN(100,100*(Norm_Stats!$G$16-MIN(MAX(City_Inputs!$AL16,Norm_Stats!$F$16),Norm_Stats!$G$16))/(Norm_Stats!$G$16-Norm_Stats!$F$16)))))="",0,0.3)))</f>
        <v/>
      </c>
      <c r="AM16" s="15">
        <f>IF((IF(AG16="",0,8)+IF(AI16="",0,6)+IF(AK16="",0,4))=0,"",(IF(AG16="",0,AG16*8)+IF(AI16="",0,AI16*6)+IF(AK16="",0,AK16*4))/(IF(AG16="",0,8)+IF(AI16="",0,6)+IF(AK16="",0,4)))</f>
        <v/>
      </c>
      <c r="AN16" s="14">
        <f>IF((IF(AH16="",0,8)+IF(AJ16="",0,6)+IF(AL16="",0,4))=0,"",(IF(AH16="",0,AH16*8)+IF(AJ16="",0,AJ16*6)+IF(AL16="",0,AL16*4))/18)</f>
        <v/>
      </c>
      <c r="AO16" s="11">
        <f>IF(OR(City_Inputs!$AB16="",Norm_Stats!$F$17="",Norm_Stats!$G$17="",Norm_Stats!$G$17=Norm_Stats!$F$17),"",MAX(0,MIN(100,100*(MIN(MAX(City_Inputs!$AB16,Norm_Stats!$F$17),Norm_Stats!$G$17)-Norm_Stats!$F$17)/(Norm_Stats!$G$17-Norm_Stats!$F$17))))</f>
        <v/>
      </c>
      <c r="AP16" s="14">
        <f>IF(AO16="","",1)</f>
        <v/>
      </c>
      <c r="AQ16" s="11">
        <f>IF(OR(City_Inputs!$AC16="",Norm_Stats!$F$18="",Norm_Stats!$G$18="",Norm_Stats!$G$18=Norm_Stats!$F$18),"",MAX(0,MIN(100,100*(MIN(MAX(City_Inputs!$AC16,Norm_Stats!$F$18),Norm_Stats!$G$18)-Norm_Stats!$F$18)/(Norm_Stats!$G$18-Norm_Stats!$F$18))))</f>
        <v/>
      </c>
      <c r="AR16" s="14">
        <f>IF(AQ16="","",1)</f>
        <v/>
      </c>
      <c r="AS16" s="11">
        <f>IF(OR(City_Inputs!$AD16="",Norm_Stats!$F$19="",Norm_Stats!$G$19="",Norm_Stats!$G$19=Norm_Stats!$F$19),"",MAX(0,MIN(100,100*(MIN(MAX(City_Inputs!$AD16,Norm_Stats!$F$19),Norm_Stats!$G$19)-Norm_Stats!$F$19)/(Norm_Stats!$G$19-Norm_Stats!$F$19))))</f>
        <v/>
      </c>
      <c r="AT16" s="14">
        <f>IF(AS16="","",1)</f>
        <v/>
      </c>
      <c r="AU16" s="11">
        <f>IF(OR(City_Inputs!$BJ16="",Norm_Stats!$F$26="",Norm_Stats!$G$26="",Norm_Stats!$G$26=Norm_Stats!$F$26),"",MAX(0,MIN(100,100*(MIN(MAX(City_Inputs!$BJ16,Norm_Stats!$F$26),Norm_Stats!$G$26)-Norm_Stats!$F$26)/(Norm_Stats!$G$26-Norm_Stats!$F$26))))</f>
        <v/>
      </c>
      <c r="AV16" s="11">
        <f>IF(AU16="","",1)</f>
        <v/>
      </c>
      <c r="AW16" s="15">
        <f>IF((IF(AO16="",0,5)+IF(AQ16="",0,5)+IF(AS16="",0,5)+IF(AU16="",0,4))=0,"",(IF(AO16="",0,AO16*5)+IF(AQ16="",0,AQ16*5)+IF(AS16="",0,AS16*5)+IF(AU16="",0,AU16*4))/(IF(AO16="",0,5)+IF(AQ16="",0,5)+IF(AS16="",0,5)+IF(AU16="",0,4)))</f>
        <v/>
      </c>
      <c r="AX16" s="14">
        <f>IF((IF(AP16="",0,5)+IF(AR16="",0,5)+IF(AT16="",0,5)+IF(AV16="",0,4))=0,"",(IF(AP16="",0,AP16*5)+IF(AR16="",0,AR16*5)+IF(AT16="",0,AT16*5)+IF(AV16="",0,AV16*4))/19)</f>
        <v/>
      </c>
      <c r="AY16" s="11">
        <f>IF(OR(City_Inputs!$AE16="",Norm_Stats!$F$20="",Norm_Stats!$G$20="",Norm_Stats!$G$20=Norm_Stats!$F$20),"",MAX(0,MIN(100,100*(MIN(MAX(City_Inputs!$AE16,Norm_Stats!$F$20),Norm_Stats!$G$20)-Norm_Stats!$F$20)/(Norm_Stats!$G$20-Norm_Stats!$F$20))))</f>
        <v/>
      </c>
      <c r="AZ16" s="14">
        <f>IF(AY16="","",1)</f>
        <v/>
      </c>
      <c r="BA16" s="11">
        <f>IF(OR(City_Inputs!$AF16="",Norm_Stats!$F$21="",Norm_Stats!$G$21="",Norm_Stats!$G$21=Norm_Stats!$F$21),"",MAX(0,MIN(100,100*(MIN(MAX(City_Inputs!$AF16,Norm_Stats!$F$21),Norm_Stats!$G$21)-Norm_Stats!$F$21)/(Norm_Stats!$G$21-Norm_Stats!$F$21))))</f>
        <v/>
      </c>
      <c r="BB16" s="14">
        <f>IF(BA16="","",1)</f>
        <v/>
      </c>
      <c r="BC16" s="11">
        <f>IF((IF((IF(OR(City_Inputs!$AG16="",Norm_Stats!$F$22="",Norm_Stats!$G$22="",Norm_Stats!$G$22=Norm_Stats!$F$22),"",MAX(0,MIN(100,100*(MIN(MAX(City_Inputs!$AG16,Norm_Stats!$F$22),Norm_Stats!$G$22)-Norm_Stats!$F$22)/(Norm_Stats!$G$22-Norm_Stats!$F$22)))))="",0,0.5)+IF((IF(OR(City_Inputs!$AJ16="",Norm_Stats!$F$23="",Norm_Stats!$G$23="",Norm_Stats!$G$23=Norm_Stats!$F$23),"",MAX(0,MIN(100,100*(MIN(MAX(City_Inputs!$AJ16,Norm_Stats!$F$23),Norm_Stats!$G$23)-Norm_Stats!$F$23)/(Norm_Stats!$G$23-Norm_Stats!$F$23)))))="",0,0.3)+IF((IF(OR(City_Inputs!$AK16="",Norm_Stats!$F$24="",Norm_Stats!$G$24="",Norm_Stats!$G$24=Norm_Stats!$F$24),"",MAX(0,MIN(100,100*(MIN(MAX(City_Inputs!$AK16,Norm_Stats!$F$24),Norm_Stats!$G$24)-Norm_Stats!$F$24)/(Norm_Stats!$G$24-Norm_Stats!$F$24)))))="",0,0.2))=0,"",(IF((IF(OR(City_Inputs!$AG16="",Norm_Stats!$F$22="",Norm_Stats!$G$22="",Norm_Stats!$G$22=Norm_Stats!$F$22),"",MAX(0,MIN(100,100*(MIN(MAX(City_Inputs!$AG16,Norm_Stats!$F$22),Norm_Stats!$G$22)-Norm_Stats!$F$22)/(Norm_Stats!$G$22-Norm_Stats!$F$22)))))="",0,(IF(OR(City_Inputs!$AG16="",Norm_Stats!$F$22="",Norm_Stats!$G$22="",Norm_Stats!$G$22=Norm_Stats!$F$22),"",MAX(0,MIN(100,100*(MIN(MAX(City_Inputs!$AG16,Norm_Stats!$F$22),Norm_Stats!$G$22)-Norm_Stats!$F$22)/(Norm_Stats!$G$22-Norm_Stats!$F$22)))))*0.5)+IF((IF(OR(City_Inputs!$AJ16="",Norm_Stats!$F$23="",Norm_Stats!$G$23="",Norm_Stats!$G$23=Norm_Stats!$F$23),"",MAX(0,MIN(100,100*(MIN(MAX(City_Inputs!$AJ16,Norm_Stats!$F$23),Norm_Stats!$G$23)-Norm_Stats!$F$23)/(Norm_Stats!$G$23-Norm_Stats!$F$23)))))="",0,(IF(OR(City_Inputs!$AJ16="",Norm_Stats!$F$23="",Norm_Stats!$G$23="",Norm_Stats!$G$23=Norm_Stats!$F$23),"",MAX(0,MIN(100,100*(MIN(MAX(City_Inputs!$AJ16,Norm_Stats!$F$23),Norm_Stats!$G$23)-Norm_Stats!$F$23)/(Norm_Stats!$G$23-Norm_Stats!$F$23)))))*0.3)+IF((IF(OR(City_Inputs!$AK16="",Norm_Stats!$F$24="",Norm_Stats!$G$24="",Norm_Stats!$G$24=Norm_Stats!$F$24),"",MAX(0,MIN(100,100*(MIN(MAX(City_Inputs!$AK16,Norm_Stats!$F$24),Norm_Stats!$G$24)-Norm_Stats!$F$24)/(Norm_Stats!$G$24-Norm_Stats!$F$24)))))="",0,(IF(OR(City_Inputs!$AK16="",Norm_Stats!$F$24="",Norm_Stats!$G$24="",Norm_Stats!$G$24=Norm_Stats!$F$24),"",MAX(0,MIN(100,100*(MIN(MAX(City_Inputs!$AK16,Norm_Stats!$F$24),Norm_Stats!$G$24)-Norm_Stats!$F$24)/(Norm_Stats!$G$24-Norm_Stats!$F$24)))))*0.2))/(IF((IF(OR(City_Inputs!$AG16="",Norm_Stats!$F$22="",Norm_Stats!$G$22="",Norm_Stats!$G$22=Norm_Stats!$F$22),"",MAX(0,MIN(100,100*(MIN(MAX(City_Inputs!$AG16,Norm_Stats!$F$22),Norm_Stats!$G$22)-Norm_Stats!$F$22)/(Norm_Stats!$G$22-Norm_Stats!$F$22)))))="",0,0.5)+IF((IF(OR(City_Inputs!$AJ16="",Norm_Stats!$F$23="",Norm_Stats!$G$23="",Norm_Stats!$G$23=Norm_Stats!$F$23),"",MAX(0,MIN(100,100*(MIN(MAX(City_Inputs!$AJ16,Norm_Stats!$F$23),Norm_Stats!$G$23)-Norm_Stats!$F$23)/(Norm_Stats!$G$23-Norm_Stats!$F$23)))))="",0,0.3)+IF((IF(OR(City_Inputs!$AK16="",Norm_Stats!$F$24="",Norm_Stats!$G$24="",Norm_Stats!$G$24=Norm_Stats!$F$24),"",MAX(0,MIN(100,100*(MIN(MAX(City_Inputs!$AK16,Norm_Stats!$F$24),Norm_Stats!$G$24)-Norm_Stats!$F$24)/(Norm_Stats!$G$24-Norm_Stats!$F$24)))))="",0,0.2)))</f>
        <v/>
      </c>
      <c r="BD16" s="14">
        <f>IF((IF((IF(OR(City_Inputs!$AG16="",Norm_Stats!$F$22="",Norm_Stats!$G$22="",Norm_Stats!$G$22=Norm_Stats!$F$22),"",MAX(0,MIN(100,100*(MIN(MAX(City_Inputs!$AG16,Norm_Stats!$F$22),Norm_Stats!$G$22)-Norm_Stats!$F$22)/(Norm_Stats!$G$22-Norm_Stats!$F$22)))))="",0,0.5)+IF((IF(OR(City_Inputs!$AJ16="",Norm_Stats!$F$23="",Norm_Stats!$G$23="",Norm_Stats!$G$23=Norm_Stats!$F$23),"",MAX(0,MIN(100,100*(MIN(MAX(City_Inputs!$AJ16,Norm_Stats!$F$23),Norm_Stats!$G$23)-Norm_Stats!$F$23)/(Norm_Stats!$G$23-Norm_Stats!$F$23)))))="",0,0.3)+IF((IF(OR(City_Inputs!$AK16="",Norm_Stats!$F$24="",Norm_Stats!$G$24="",Norm_Stats!$G$24=Norm_Stats!$F$24),"",MAX(0,MIN(100,100*(MIN(MAX(City_Inputs!$AK16,Norm_Stats!$F$24),Norm_Stats!$G$24)-Norm_Stats!$F$24)/(Norm_Stats!$G$24-Norm_Stats!$F$24)))))="",0,0.2))=0,"",(IF((IF(OR(City_Inputs!$AG16="",Norm_Stats!$F$22="",Norm_Stats!$G$22="",Norm_Stats!$G$22=Norm_Stats!$F$22),"",MAX(0,MIN(100,100*(MIN(MAX(City_Inputs!$AG16,Norm_Stats!$F$22),Norm_Stats!$G$22)-Norm_Stats!$F$22)/(Norm_Stats!$G$22-Norm_Stats!$F$22)))))="",0,0.5)+IF((IF(OR(City_Inputs!$AJ16="",Norm_Stats!$F$23="",Norm_Stats!$G$23="",Norm_Stats!$G$23=Norm_Stats!$F$23),"",MAX(0,MIN(100,100*(MIN(MAX(City_Inputs!$AJ16,Norm_Stats!$F$23),Norm_Stats!$G$23)-Norm_Stats!$F$23)/(Norm_Stats!$G$23-Norm_Stats!$F$23)))))="",0,0.3)+IF((IF(OR(City_Inputs!$AK16="",Norm_Stats!$F$24="",Norm_Stats!$G$24="",Norm_Stats!$G$24=Norm_Stats!$F$24),"",MAX(0,MIN(100,100*(MIN(MAX(City_Inputs!$AK16,Norm_Stats!$F$24),Norm_Stats!$G$24)-Norm_Stats!$F$24)/(Norm_Stats!$G$24-Norm_Stats!$F$24)))))="",0,0.2)))</f>
        <v/>
      </c>
      <c r="BE16" s="11">
        <f>IF(OR(City_Inputs!$AH16="",Norm_Stats!$F$25="",Norm_Stats!$G$25="",Norm_Stats!$G$25=Norm_Stats!$F$25),"",MAX(0,MIN(100,100*(Norm_Stats!$G$25-MIN(MAX(City_Inputs!$AH16,Norm_Stats!$F$25),Norm_Stats!$G$25))/(Norm_Stats!$G$25-Norm_Stats!$F$25))))</f>
        <v/>
      </c>
      <c r="BF16" s="14">
        <f>IF(BE16="","",1)</f>
        <v/>
      </c>
      <c r="BG16" s="15">
        <f>IF((IF(AY16="",0,6)+IF(BA16="",0,5)+IF(BC16="",0,5)+IF(BE16="",0,4))=0,"",(IF(AY16="",0,AY16*6)+IF(BA16="",0,BA16*5)+IF(BC16="",0,BC16*5)+IF(BE16="",0,BE16*4))/(IF(AY16="",0,6)+IF(BA16="",0,5)+IF(BC16="",0,5)+IF(BE16="",0,4)))</f>
        <v/>
      </c>
      <c r="BH16" s="14">
        <f>IF((IF(AZ16="",0,6)+IF(BB16="",0,5)+IF(BD16="",0,5)+IF(BF16="",0,4))=0,"",(IF(AZ16="",0,AZ16*6)+IF(BB16="",0,BB16*5)+IF(BD16="",0,BD16*5)+IF(BF16="",0,BF16*4))/20)</f>
        <v/>
      </c>
      <c r="BI16" s="14">
        <f>IF(AND(R16="",AF16="",AN16="",AX16="",BH16=""),"",((R16*25)+(AF16*22)+(AN16*18)+(AX16*15)+(BH16*20))/100)</f>
        <v/>
      </c>
      <c r="BJ16" s="11">
        <f>IF(BI16="","",IF(BI16&gt;=0.75,"A",IF(BI16&gt;=0.5,"B",IF(BI16&gt;=0.35,"C","Watchlist"))))</f>
        <v/>
      </c>
      <c r="BK16" s="11">
        <f>IF(OR(BI16="",BI16&lt;0.5,R16="",R16&lt;0.35,AF16="",AF16&lt;0.35,AN16="",AN16&lt;0.35,AX16="",AX16&lt;0.35,BH16="",BH16&lt;0.35),"Watchlist","Ranked")</f>
        <v/>
      </c>
      <c r="BL16" s="15">
        <f>IF(AND(Q16="",AE16="",AM16="",AW16="",BG16=""),"",(IF(Q16="",0,Q16*25)+IF(AE16="",0,AE16*22)+IF(AM16="",0,AM16*18)+IF(AW16="",0,AW16*15)+IF(BG16="",0,BG16*20))/(IF(Q16="",0,25)+IF(AE16="",0,22)+IF(AM16="",0,18)+IF(AW16="",0,15)+IF(BG16="",0,20)))</f>
        <v/>
      </c>
      <c r="BM16" s="11">
        <f>IF(BK16="Ranked",1+COUNTIFS($BK$2:$BK$158,"Ranked",$BL$2:$BL$158,"&gt;"&amp;BL16),"")</f>
        <v/>
      </c>
      <c r="BN16" s="11">
        <f>City_Inputs!$AI16</f>
        <v/>
      </c>
    </row>
    <row r="17">
      <c r="A17" t="inlineStr">
        <is>
          <t>cn-shenzhen</t>
        </is>
      </c>
      <c r="B17" t="inlineStr">
        <is>
          <t>Shenzhen</t>
        </is>
      </c>
      <c r="C17" t="inlineStr">
        <is>
          <t>China</t>
        </is>
      </c>
      <c r="D17" t="inlineStr">
        <is>
          <t>East Asia</t>
        </is>
      </c>
      <c r="E17" t="inlineStr">
        <is>
          <t>provisional</t>
        </is>
      </c>
      <c r="F17" t="inlineStr">
        <is>
          <t>primary</t>
        </is>
      </c>
      <c r="G17" s="11">
        <f>IF(OR(City_Inputs!$M17="",Norm_Stats!$F$2="",Norm_Stats!$G$2="",Norm_Stats!$G$2=Norm_Stats!$F$2),"",MAX(0,MIN(100,100*(MIN(MAX(City_Inputs!$M17,Norm_Stats!$F$2),Norm_Stats!$G$2)-Norm_Stats!$F$2)/(Norm_Stats!$G$2-Norm_Stats!$F$2))))</f>
        <v/>
      </c>
      <c r="H17" s="14">
        <f>IF(G17="","",1)</f>
        <v/>
      </c>
      <c r="I17" s="11">
        <f>IF(OR(City_Inputs!$N17="",Norm_Stats!$F$3="",Norm_Stats!$G$3="",Norm_Stats!$G$3=Norm_Stats!$F$3),"",MAX(0,MIN(100,100*(Norm_Stats!$G$3-MIN(MAX(City_Inputs!$N17,Norm_Stats!$F$3),Norm_Stats!$G$3))/(Norm_Stats!$G$3-Norm_Stats!$F$3))))</f>
        <v/>
      </c>
      <c r="J17" s="14">
        <f>IF(I17="","",1)</f>
        <v/>
      </c>
      <c r="K17" s="11">
        <f>IF(OR(City_Inputs!$P17="",Norm_Stats!$F$4="",Norm_Stats!$G$4="",Norm_Stats!$G$4=Norm_Stats!$F$4),"",MAX(0,MIN(100,100*(Norm_Stats!$G$4-MIN(MAX(City_Inputs!$P17,Norm_Stats!$F$4),Norm_Stats!$G$4))/(Norm_Stats!$G$4-Norm_Stats!$F$4))))</f>
        <v/>
      </c>
      <c r="L17" s="14">
        <f>IF(K17="","",1)</f>
        <v/>
      </c>
      <c r="M17" s="11">
        <f>IF(OR(City_Inputs!$Q17="",Norm_Stats!$F$5="",Norm_Stats!$G$5="",Norm_Stats!$G$5=Norm_Stats!$F$5),"",MAX(0,MIN(100,100*(Norm_Stats!$G$5-MIN(MAX(City_Inputs!$Q17,Norm_Stats!$F$5),Norm_Stats!$G$5))/(Norm_Stats!$G$5-Norm_Stats!$F$5))))</f>
        <v/>
      </c>
      <c r="N17" s="14">
        <f>IF(M17="","",1)</f>
        <v/>
      </c>
      <c r="O17" s="11">
        <f>IF(OR(City_Inputs!$R17="",Norm_Stats!$F$6="",Norm_Stats!$G$6="",Norm_Stats!$G$6=Norm_Stats!$F$6),"",MAX(0,MIN(100,100*(Norm_Stats!$G$6-MIN(MAX(City_Inputs!$R17,Norm_Stats!$F$6),Norm_Stats!$G$6))/(Norm_Stats!$G$6-Norm_Stats!$F$6))))</f>
        <v/>
      </c>
      <c r="P17" s="14">
        <f>IF(O17="","",1)</f>
        <v/>
      </c>
      <c r="Q17" s="15">
        <f>IF((IF(G17="",0,9)+IF(I17="",0,5)+IF(K17="",0,4)+IF(M17="",0,4)+IF(O17="",0,5))=0,"",(IF(G17="",0,G17*9)+IF(I17="",0,I17*5)+IF(K17="",0,K17*4)+IF(M17="",0,M17*4)+IF(O17="",0,O17*5))/(IF(G17="",0,9)+IF(I17="",0,5)+IF(K17="",0,4)+IF(M17="",0,4)+IF(O17="",0,5)))</f>
        <v/>
      </c>
      <c r="R17" s="14">
        <f>IF((IF(H17="",0,9)+IF(J17="",0,5)+IF(L17="",0,4)+IF(N17="",0,4)+IF(P17="",0,5))=0,"",(IF(H17="",0,H17*9)+IF(J17="",0,J17*5)+IF(L17="",0,L17*4)+IF(N17="",0,N17*4)+IF(P17="",0,P17*5))/27)</f>
        <v/>
      </c>
      <c r="S17" s="11">
        <f>IF(OR(City_Inputs!$S17="",Norm_Stats!$F$7="",Norm_Stats!$G$7="",Norm_Stats!$G$7=Norm_Stats!$F$7),"",MAX(0,MIN(100,100*(Norm_Stats!$G$7-MIN(MAX(City_Inputs!$S17,Norm_Stats!$F$7),Norm_Stats!$G$7))/(Norm_Stats!$G$7-Norm_Stats!$F$7))))</f>
        <v/>
      </c>
      <c r="T17" s="14">
        <f>IF(S17="","",1)</f>
        <v/>
      </c>
      <c r="U17" s="11">
        <f>IF(OR(City_Inputs!$T17="",Norm_Stats!$F$8="",Norm_Stats!$G$8="",Norm_Stats!$G$8=Norm_Stats!$F$8),"",MAX(0,MIN(100,100*(MIN(MAX(City_Inputs!$T17,Norm_Stats!$F$8),Norm_Stats!$G$8)-Norm_Stats!$F$8)/(Norm_Stats!$G$8-Norm_Stats!$F$8))))</f>
        <v/>
      </c>
      <c r="V17" s="14">
        <f>IF(U17="","",1)</f>
        <v/>
      </c>
      <c r="W17" s="11">
        <f>IF(OR(City_Inputs!$U17="",Norm_Stats!$F$9="",Norm_Stats!$G$9="",Norm_Stats!$G$9=Norm_Stats!$F$9),"",MAX(0,MIN(100,100*(Norm_Stats!$G$9-MIN(MAX(City_Inputs!$U17,Norm_Stats!$F$9),Norm_Stats!$G$9))/(Norm_Stats!$G$9-Norm_Stats!$F$9))))</f>
        <v/>
      </c>
      <c r="X17" s="14">
        <f>IF(W17="","",1)</f>
        <v/>
      </c>
      <c r="Y17" s="11">
        <f>IF(OR(City_Inputs!$V17="",Norm_Stats!$F$10="",Norm_Stats!$G$10="",Norm_Stats!$G$10=Norm_Stats!$F$10),"",MAX(0,MIN(100,100*(MIN(MAX(City_Inputs!$V17,Norm_Stats!$F$10),Norm_Stats!$G$10)-Norm_Stats!$F$10)/(Norm_Stats!$G$10-Norm_Stats!$F$10))))</f>
        <v/>
      </c>
      <c r="Z17" s="14">
        <f>IF(Y17="","",1)</f>
        <v/>
      </c>
      <c r="AA17" s="11">
        <f>IF(OR(City_Inputs!$W17="",Norm_Stats!$F$11="",Norm_Stats!$G$11="",Norm_Stats!$G$11=Norm_Stats!$F$11),"",MAX(0,MIN(100,100*(MIN(MAX(City_Inputs!$W17,Norm_Stats!$F$11),Norm_Stats!$G$11)-Norm_Stats!$F$11)/(Norm_Stats!$G$11-Norm_Stats!$F$11))))</f>
        <v/>
      </c>
      <c r="AB17" s="14">
        <f>IF(AA17="","",1)</f>
        <v/>
      </c>
      <c r="AC17" s="11">
        <f>IF(OR(City_Inputs!$X17="",Norm_Stats!$F$12="",Norm_Stats!$G$12="",Norm_Stats!$G$12=Norm_Stats!$F$12),"",MAX(0,MIN(100,100*(MIN(MAX(City_Inputs!$X17,Norm_Stats!$F$12),Norm_Stats!$G$12)-Norm_Stats!$F$12)/(Norm_Stats!$G$12-Norm_Stats!$F$12))))</f>
        <v/>
      </c>
      <c r="AD17" s="11">
        <f>IF(AC17="","",1)</f>
        <v/>
      </c>
      <c r="AE17" s="15">
        <f>IF((IF(S17="",0,5)+IF(U17="",0,5)+IF(W17="",0,4)+IF(Y17="",0,4)+IF(AA17="",0,4)+IF(AC17="",0,5))=0,"",(IF(S17="",0,S17*5)+IF(U17="",0,U17*5)+IF(W17="",0,W17*4)+IF(Y17="",0,Y17*4)+IF(AA17="",0,AA17*4)+IF(AC17="",0,AC17*5))/(IF(S17="",0,5)+IF(U17="",0,5)+IF(W17="",0,4)+IF(Y17="",0,4)+IF(AA17="",0,4)+IF(AC17="",0,5)))</f>
        <v/>
      </c>
      <c r="AF17" s="14">
        <f>IF((IF(T17="",0,5)+IF(V17="",0,5)+IF(X17="",0,4)+IF(Z17="",0,4)+IF(AB17="",0,4)+IF(AD17="",0,5))=0,"",(IF(T17="",0,T17*5)+IF(V17="",0,V17*5)+IF(X17="",0,X17*4)+IF(Z17="",0,Z17*4)+IF(AB17="",0,AB17*4)+IF(AD17="",0,AD17*5))/27)</f>
        <v/>
      </c>
      <c r="AG17" s="11">
        <f>IF(OR(City_Inputs!$Y17="",Norm_Stats!$F$13="",Norm_Stats!$G$13="",Norm_Stats!$G$13=Norm_Stats!$F$13),"",MAX(0,MIN(100,100*(MIN(MAX(City_Inputs!$Y17,Norm_Stats!$F$13),Norm_Stats!$G$13)-Norm_Stats!$F$13)/(Norm_Stats!$G$13-Norm_Stats!$F$13))))</f>
        <v/>
      </c>
      <c r="AH17" s="14">
        <f>IF(AG17="","",1)</f>
        <v/>
      </c>
      <c r="AI17" s="11">
        <f>IF(OR(City_Inputs!$Z17="",Norm_Stats!$F$14="",Norm_Stats!$G$14="",Norm_Stats!$G$14=Norm_Stats!$F$14),"",MAX(0,MIN(100,100*(MIN(MAX(City_Inputs!$Z17,Norm_Stats!$F$14),Norm_Stats!$G$14)-Norm_Stats!$F$14)/(Norm_Stats!$G$14-Norm_Stats!$F$14))))</f>
        <v/>
      </c>
      <c r="AJ17" s="14">
        <f>IF(AI17="","",1)</f>
        <v/>
      </c>
      <c r="AK17" s="11">
        <f>IF((IF((IF(OR(City_Inputs!$AA17="",Norm_Stats!$F$15="",Norm_Stats!$G$15="",Norm_Stats!$G$15=Norm_Stats!$F$15),"",MAX(0,MIN(100,100*(MIN(MAX(City_Inputs!$AA17,Norm_Stats!$F$15),Norm_Stats!$G$15)-Norm_Stats!$F$15)/(Norm_Stats!$G$15-Norm_Stats!$F$15)))))="",0,0.7)+IF((IF(OR(City_Inputs!$AL17="",Norm_Stats!$F$16="",Norm_Stats!$G$16="",Norm_Stats!$G$16=Norm_Stats!$F$16),"",MAX(0,MIN(100,100*(Norm_Stats!$G$16-MIN(MAX(City_Inputs!$AL17,Norm_Stats!$F$16),Norm_Stats!$G$16))/(Norm_Stats!$G$16-Norm_Stats!$F$16)))))="",0,0.3))=0,"",(IF((IF(OR(City_Inputs!$AA17="",Norm_Stats!$F$15="",Norm_Stats!$G$15="",Norm_Stats!$G$15=Norm_Stats!$F$15),"",MAX(0,MIN(100,100*(MIN(MAX(City_Inputs!$AA17,Norm_Stats!$F$15),Norm_Stats!$G$15)-Norm_Stats!$F$15)/(Norm_Stats!$G$15-Norm_Stats!$F$15)))))="",0,(IF(OR(City_Inputs!$AA17="",Norm_Stats!$F$15="",Norm_Stats!$G$15="",Norm_Stats!$G$15=Norm_Stats!$F$15),"",MAX(0,MIN(100,100*(MIN(MAX(City_Inputs!$AA17,Norm_Stats!$F$15),Norm_Stats!$G$15)-Norm_Stats!$F$15)/(Norm_Stats!$G$15-Norm_Stats!$F$15)))))*0.7)+IF((IF(OR(City_Inputs!$AL17="",Norm_Stats!$F$16="",Norm_Stats!$G$16="",Norm_Stats!$G$16=Norm_Stats!$F$16),"",MAX(0,MIN(100,100*(Norm_Stats!$G$16-MIN(MAX(City_Inputs!$AL17,Norm_Stats!$F$16),Norm_Stats!$G$16))/(Norm_Stats!$G$16-Norm_Stats!$F$16)))))="",0,(IF(OR(City_Inputs!$AL17="",Norm_Stats!$F$16="",Norm_Stats!$G$16="",Norm_Stats!$G$16=Norm_Stats!$F$16),"",MAX(0,MIN(100,100*(Norm_Stats!$G$16-MIN(MAX(City_Inputs!$AL17,Norm_Stats!$F$16),Norm_Stats!$G$16))/(Norm_Stats!$G$16-Norm_Stats!$F$16)))))*0.3))/(IF((IF(OR(City_Inputs!$AA17="",Norm_Stats!$F$15="",Norm_Stats!$G$15="",Norm_Stats!$G$15=Norm_Stats!$F$15),"",MAX(0,MIN(100,100*(MIN(MAX(City_Inputs!$AA17,Norm_Stats!$F$15),Norm_Stats!$G$15)-Norm_Stats!$F$15)/(Norm_Stats!$G$15-Norm_Stats!$F$15)))))="",0,0.7)+IF((IF(OR(City_Inputs!$AL17="",Norm_Stats!$F$16="",Norm_Stats!$G$16="",Norm_Stats!$G$16=Norm_Stats!$F$16),"",MAX(0,MIN(100,100*(Norm_Stats!$G$16-MIN(MAX(City_Inputs!$AL17,Norm_Stats!$F$16),Norm_Stats!$G$16))/(Norm_Stats!$G$16-Norm_Stats!$F$16)))))="",0,0.3)))</f>
        <v/>
      </c>
      <c r="AL17" s="14">
        <f>IF((IF((IF(OR(City_Inputs!$AA17="",Norm_Stats!$F$15="",Norm_Stats!$G$15="",Norm_Stats!$G$15=Norm_Stats!$F$15),"",MAX(0,MIN(100,100*(MIN(MAX(City_Inputs!$AA17,Norm_Stats!$F$15),Norm_Stats!$G$15)-Norm_Stats!$F$15)/(Norm_Stats!$G$15-Norm_Stats!$F$15)))))="",0,0.7)+IF((IF(OR(City_Inputs!$AL17="",Norm_Stats!$F$16="",Norm_Stats!$G$16="",Norm_Stats!$G$16=Norm_Stats!$F$16),"",MAX(0,MIN(100,100*(Norm_Stats!$G$16-MIN(MAX(City_Inputs!$AL17,Norm_Stats!$F$16),Norm_Stats!$G$16))/(Norm_Stats!$G$16-Norm_Stats!$F$16)))))="",0,0.3))=0,"",(IF((IF(OR(City_Inputs!$AA17="",Norm_Stats!$F$15="",Norm_Stats!$G$15="",Norm_Stats!$G$15=Norm_Stats!$F$15),"",MAX(0,MIN(100,100*(MIN(MAX(City_Inputs!$AA17,Norm_Stats!$F$15),Norm_Stats!$G$15)-Norm_Stats!$F$15)/(Norm_Stats!$G$15-Norm_Stats!$F$15)))))="",0,0.7)+IF((IF(OR(City_Inputs!$AL17="",Norm_Stats!$F$16="",Norm_Stats!$G$16="",Norm_Stats!$G$16=Norm_Stats!$F$16),"",MAX(0,MIN(100,100*(Norm_Stats!$G$16-MIN(MAX(City_Inputs!$AL17,Norm_Stats!$F$16),Norm_Stats!$G$16))/(Norm_Stats!$G$16-Norm_Stats!$F$16)))))="",0,0.3)))</f>
        <v/>
      </c>
      <c r="AM17" s="15">
        <f>IF((IF(AG17="",0,8)+IF(AI17="",0,6)+IF(AK17="",0,4))=0,"",(IF(AG17="",0,AG17*8)+IF(AI17="",0,AI17*6)+IF(AK17="",0,AK17*4))/(IF(AG17="",0,8)+IF(AI17="",0,6)+IF(AK17="",0,4)))</f>
        <v/>
      </c>
      <c r="AN17" s="14">
        <f>IF((IF(AH17="",0,8)+IF(AJ17="",0,6)+IF(AL17="",0,4))=0,"",(IF(AH17="",0,AH17*8)+IF(AJ17="",0,AJ17*6)+IF(AL17="",0,AL17*4))/18)</f>
        <v/>
      </c>
      <c r="AO17" s="11">
        <f>IF(OR(City_Inputs!$AB17="",Norm_Stats!$F$17="",Norm_Stats!$G$17="",Norm_Stats!$G$17=Norm_Stats!$F$17),"",MAX(0,MIN(100,100*(MIN(MAX(City_Inputs!$AB17,Norm_Stats!$F$17),Norm_Stats!$G$17)-Norm_Stats!$F$17)/(Norm_Stats!$G$17-Norm_Stats!$F$17))))</f>
        <v/>
      </c>
      <c r="AP17" s="14">
        <f>IF(AO17="","",1)</f>
        <v/>
      </c>
      <c r="AQ17" s="11">
        <f>IF(OR(City_Inputs!$AC17="",Norm_Stats!$F$18="",Norm_Stats!$G$18="",Norm_Stats!$G$18=Norm_Stats!$F$18),"",MAX(0,MIN(100,100*(MIN(MAX(City_Inputs!$AC17,Norm_Stats!$F$18),Norm_Stats!$G$18)-Norm_Stats!$F$18)/(Norm_Stats!$G$18-Norm_Stats!$F$18))))</f>
        <v/>
      </c>
      <c r="AR17" s="14">
        <f>IF(AQ17="","",1)</f>
        <v/>
      </c>
      <c r="AS17" s="11">
        <f>IF(OR(City_Inputs!$AD17="",Norm_Stats!$F$19="",Norm_Stats!$G$19="",Norm_Stats!$G$19=Norm_Stats!$F$19),"",MAX(0,MIN(100,100*(MIN(MAX(City_Inputs!$AD17,Norm_Stats!$F$19),Norm_Stats!$G$19)-Norm_Stats!$F$19)/(Norm_Stats!$G$19-Norm_Stats!$F$19))))</f>
        <v/>
      </c>
      <c r="AT17" s="14">
        <f>IF(AS17="","",1)</f>
        <v/>
      </c>
      <c r="AU17" s="11">
        <f>IF(OR(City_Inputs!$BJ17="",Norm_Stats!$F$26="",Norm_Stats!$G$26="",Norm_Stats!$G$26=Norm_Stats!$F$26),"",MAX(0,MIN(100,100*(MIN(MAX(City_Inputs!$BJ17,Norm_Stats!$F$26),Norm_Stats!$G$26)-Norm_Stats!$F$26)/(Norm_Stats!$G$26-Norm_Stats!$F$26))))</f>
        <v/>
      </c>
      <c r="AV17" s="11">
        <f>IF(AU17="","",1)</f>
        <v/>
      </c>
      <c r="AW17" s="15">
        <f>IF((IF(AO17="",0,5)+IF(AQ17="",0,5)+IF(AS17="",0,5)+IF(AU17="",0,4))=0,"",(IF(AO17="",0,AO17*5)+IF(AQ17="",0,AQ17*5)+IF(AS17="",0,AS17*5)+IF(AU17="",0,AU17*4))/(IF(AO17="",0,5)+IF(AQ17="",0,5)+IF(AS17="",0,5)+IF(AU17="",0,4)))</f>
        <v/>
      </c>
      <c r="AX17" s="14">
        <f>IF((IF(AP17="",0,5)+IF(AR17="",0,5)+IF(AT17="",0,5)+IF(AV17="",0,4))=0,"",(IF(AP17="",0,AP17*5)+IF(AR17="",0,AR17*5)+IF(AT17="",0,AT17*5)+IF(AV17="",0,AV17*4))/19)</f>
        <v/>
      </c>
      <c r="AY17" s="11">
        <f>IF(OR(City_Inputs!$AE17="",Norm_Stats!$F$20="",Norm_Stats!$G$20="",Norm_Stats!$G$20=Norm_Stats!$F$20),"",MAX(0,MIN(100,100*(MIN(MAX(City_Inputs!$AE17,Norm_Stats!$F$20),Norm_Stats!$G$20)-Norm_Stats!$F$20)/(Norm_Stats!$G$20-Norm_Stats!$F$20))))</f>
        <v/>
      </c>
      <c r="AZ17" s="14">
        <f>IF(AY17="","",1)</f>
        <v/>
      </c>
      <c r="BA17" s="11">
        <f>IF(OR(City_Inputs!$AF17="",Norm_Stats!$F$21="",Norm_Stats!$G$21="",Norm_Stats!$G$21=Norm_Stats!$F$21),"",MAX(0,MIN(100,100*(MIN(MAX(City_Inputs!$AF17,Norm_Stats!$F$21),Norm_Stats!$G$21)-Norm_Stats!$F$21)/(Norm_Stats!$G$21-Norm_Stats!$F$21))))</f>
        <v/>
      </c>
      <c r="BB17" s="14">
        <f>IF(BA17="","",1)</f>
        <v/>
      </c>
      <c r="BC17" s="11">
        <f>IF((IF((IF(OR(City_Inputs!$AG17="",Norm_Stats!$F$22="",Norm_Stats!$G$22="",Norm_Stats!$G$22=Norm_Stats!$F$22),"",MAX(0,MIN(100,100*(MIN(MAX(City_Inputs!$AG17,Norm_Stats!$F$22),Norm_Stats!$G$22)-Norm_Stats!$F$22)/(Norm_Stats!$G$22-Norm_Stats!$F$22)))))="",0,0.5)+IF((IF(OR(City_Inputs!$AJ17="",Norm_Stats!$F$23="",Norm_Stats!$G$23="",Norm_Stats!$G$23=Norm_Stats!$F$23),"",MAX(0,MIN(100,100*(MIN(MAX(City_Inputs!$AJ17,Norm_Stats!$F$23),Norm_Stats!$G$23)-Norm_Stats!$F$23)/(Norm_Stats!$G$23-Norm_Stats!$F$23)))))="",0,0.3)+IF((IF(OR(City_Inputs!$AK17="",Norm_Stats!$F$24="",Norm_Stats!$G$24="",Norm_Stats!$G$24=Norm_Stats!$F$24),"",MAX(0,MIN(100,100*(MIN(MAX(City_Inputs!$AK17,Norm_Stats!$F$24),Norm_Stats!$G$24)-Norm_Stats!$F$24)/(Norm_Stats!$G$24-Norm_Stats!$F$24)))))="",0,0.2))=0,"",(IF((IF(OR(City_Inputs!$AG17="",Norm_Stats!$F$22="",Norm_Stats!$G$22="",Norm_Stats!$G$22=Norm_Stats!$F$22),"",MAX(0,MIN(100,100*(MIN(MAX(City_Inputs!$AG17,Norm_Stats!$F$22),Norm_Stats!$G$22)-Norm_Stats!$F$22)/(Norm_Stats!$G$22-Norm_Stats!$F$22)))))="",0,(IF(OR(City_Inputs!$AG17="",Norm_Stats!$F$22="",Norm_Stats!$G$22="",Norm_Stats!$G$22=Norm_Stats!$F$22),"",MAX(0,MIN(100,100*(MIN(MAX(City_Inputs!$AG17,Norm_Stats!$F$22),Norm_Stats!$G$22)-Norm_Stats!$F$22)/(Norm_Stats!$G$22-Norm_Stats!$F$22)))))*0.5)+IF((IF(OR(City_Inputs!$AJ17="",Norm_Stats!$F$23="",Norm_Stats!$G$23="",Norm_Stats!$G$23=Norm_Stats!$F$23),"",MAX(0,MIN(100,100*(MIN(MAX(City_Inputs!$AJ17,Norm_Stats!$F$23),Norm_Stats!$G$23)-Norm_Stats!$F$23)/(Norm_Stats!$G$23-Norm_Stats!$F$23)))))="",0,(IF(OR(City_Inputs!$AJ17="",Norm_Stats!$F$23="",Norm_Stats!$G$23="",Norm_Stats!$G$23=Norm_Stats!$F$23),"",MAX(0,MIN(100,100*(MIN(MAX(City_Inputs!$AJ17,Norm_Stats!$F$23),Norm_Stats!$G$23)-Norm_Stats!$F$23)/(Norm_Stats!$G$23-Norm_Stats!$F$23)))))*0.3)+IF((IF(OR(City_Inputs!$AK17="",Norm_Stats!$F$24="",Norm_Stats!$G$24="",Norm_Stats!$G$24=Norm_Stats!$F$24),"",MAX(0,MIN(100,100*(MIN(MAX(City_Inputs!$AK17,Norm_Stats!$F$24),Norm_Stats!$G$24)-Norm_Stats!$F$24)/(Norm_Stats!$G$24-Norm_Stats!$F$24)))))="",0,(IF(OR(City_Inputs!$AK17="",Norm_Stats!$F$24="",Norm_Stats!$G$24="",Norm_Stats!$G$24=Norm_Stats!$F$24),"",MAX(0,MIN(100,100*(MIN(MAX(City_Inputs!$AK17,Norm_Stats!$F$24),Norm_Stats!$G$24)-Norm_Stats!$F$24)/(Norm_Stats!$G$24-Norm_Stats!$F$24)))))*0.2))/(IF((IF(OR(City_Inputs!$AG17="",Norm_Stats!$F$22="",Norm_Stats!$G$22="",Norm_Stats!$G$22=Norm_Stats!$F$22),"",MAX(0,MIN(100,100*(MIN(MAX(City_Inputs!$AG17,Norm_Stats!$F$22),Norm_Stats!$G$22)-Norm_Stats!$F$22)/(Norm_Stats!$G$22-Norm_Stats!$F$22)))))="",0,0.5)+IF((IF(OR(City_Inputs!$AJ17="",Norm_Stats!$F$23="",Norm_Stats!$G$23="",Norm_Stats!$G$23=Norm_Stats!$F$23),"",MAX(0,MIN(100,100*(MIN(MAX(City_Inputs!$AJ17,Norm_Stats!$F$23),Norm_Stats!$G$23)-Norm_Stats!$F$23)/(Norm_Stats!$G$23-Norm_Stats!$F$23)))))="",0,0.3)+IF((IF(OR(City_Inputs!$AK17="",Norm_Stats!$F$24="",Norm_Stats!$G$24="",Norm_Stats!$G$24=Norm_Stats!$F$24),"",MAX(0,MIN(100,100*(MIN(MAX(City_Inputs!$AK17,Norm_Stats!$F$24),Norm_Stats!$G$24)-Norm_Stats!$F$24)/(Norm_Stats!$G$24-Norm_Stats!$F$24)))))="",0,0.2)))</f>
        <v/>
      </c>
      <c r="BD17" s="14">
        <f>IF((IF((IF(OR(City_Inputs!$AG17="",Norm_Stats!$F$22="",Norm_Stats!$G$22="",Norm_Stats!$G$22=Norm_Stats!$F$22),"",MAX(0,MIN(100,100*(MIN(MAX(City_Inputs!$AG17,Norm_Stats!$F$22),Norm_Stats!$G$22)-Norm_Stats!$F$22)/(Norm_Stats!$G$22-Norm_Stats!$F$22)))))="",0,0.5)+IF((IF(OR(City_Inputs!$AJ17="",Norm_Stats!$F$23="",Norm_Stats!$G$23="",Norm_Stats!$G$23=Norm_Stats!$F$23),"",MAX(0,MIN(100,100*(MIN(MAX(City_Inputs!$AJ17,Norm_Stats!$F$23),Norm_Stats!$G$23)-Norm_Stats!$F$23)/(Norm_Stats!$G$23-Norm_Stats!$F$23)))))="",0,0.3)+IF((IF(OR(City_Inputs!$AK17="",Norm_Stats!$F$24="",Norm_Stats!$G$24="",Norm_Stats!$G$24=Norm_Stats!$F$24),"",MAX(0,MIN(100,100*(MIN(MAX(City_Inputs!$AK17,Norm_Stats!$F$24),Norm_Stats!$G$24)-Norm_Stats!$F$24)/(Norm_Stats!$G$24-Norm_Stats!$F$24)))))="",0,0.2))=0,"",(IF((IF(OR(City_Inputs!$AG17="",Norm_Stats!$F$22="",Norm_Stats!$G$22="",Norm_Stats!$G$22=Norm_Stats!$F$22),"",MAX(0,MIN(100,100*(MIN(MAX(City_Inputs!$AG17,Norm_Stats!$F$22),Norm_Stats!$G$22)-Norm_Stats!$F$22)/(Norm_Stats!$G$22-Norm_Stats!$F$22)))))="",0,0.5)+IF((IF(OR(City_Inputs!$AJ17="",Norm_Stats!$F$23="",Norm_Stats!$G$23="",Norm_Stats!$G$23=Norm_Stats!$F$23),"",MAX(0,MIN(100,100*(MIN(MAX(City_Inputs!$AJ17,Norm_Stats!$F$23),Norm_Stats!$G$23)-Norm_Stats!$F$23)/(Norm_Stats!$G$23-Norm_Stats!$F$23)))))="",0,0.3)+IF((IF(OR(City_Inputs!$AK17="",Norm_Stats!$F$24="",Norm_Stats!$G$24="",Norm_Stats!$G$24=Norm_Stats!$F$24),"",MAX(0,MIN(100,100*(MIN(MAX(City_Inputs!$AK17,Norm_Stats!$F$24),Norm_Stats!$G$24)-Norm_Stats!$F$24)/(Norm_Stats!$G$24-Norm_Stats!$F$24)))))="",0,0.2)))</f>
        <v/>
      </c>
      <c r="BE17" s="11">
        <f>IF(OR(City_Inputs!$AH17="",Norm_Stats!$F$25="",Norm_Stats!$G$25="",Norm_Stats!$G$25=Norm_Stats!$F$25),"",MAX(0,MIN(100,100*(Norm_Stats!$G$25-MIN(MAX(City_Inputs!$AH17,Norm_Stats!$F$25),Norm_Stats!$G$25))/(Norm_Stats!$G$25-Norm_Stats!$F$25))))</f>
        <v/>
      </c>
      <c r="BF17" s="14">
        <f>IF(BE17="","",1)</f>
        <v/>
      </c>
      <c r="BG17" s="15">
        <f>IF((IF(AY17="",0,6)+IF(BA17="",0,5)+IF(BC17="",0,5)+IF(BE17="",0,4))=0,"",(IF(AY17="",0,AY17*6)+IF(BA17="",0,BA17*5)+IF(BC17="",0,BC17*5)+IF(BE17="",0,BE17*4))/(IF(AY17="",0,6)+IF(BA17="",0,5)+IF(BC17="",0,5)+IF(BE17="",0,4)))</f>
        <v/>
      </c>
      <c r="BH17" s="14">
        <f>IF((IF(AZ17="",0,6)+IF(BB17="",0,5)+IF(BD17="",0,5)+IF(BF17="",0,4))=0,"",(IF(AZ17="",0,AZ17*6)+IF(BB17="",0,BB17*5)+IF(BD17="",0,BD17*5)+IF(BF17="",0,BF17*4))/20)</f>
        <v/>
      </c>
      <c r="BI17" s="14">
        <f>IF(AND(R17="",AF17="",AN17="",AX17="",BH17=""),"",((R17*25)+(AF17*22)+(AN17*18)+(AX17*15)+(BH17*20))/100)</f>
        <v/>
      </c>
      <c r="BJ17" s="11">
        <f>IF(BI17="","",IF(BI17&gt;=0.75,"A",IF(BI17&gt;=0.5,"B",IF(BI17&gt;=0.35,"C","Watchlist"))))</f>
        <v/>
      </c>
      <c r="BK17" s="11">
        <f>IF(OR(BI17="",BI17&lt;0.5,R17="",R17&lt;0.35,AF17="",AF17&lt;0.35,AN17="",AN17&lt;0.35,AX17="",AX17&lt;0.35,BH17="",BH17&lt;0.35),"Watchlist","Ranked")</f>
        <v/>
      </c>
      <c r="BL17" s="15">
        <f>IF(AND(Q17="",AE17="",AM17="",AW17="",BG17=""),"",(IF(Q17="",0,Q17*25)+IF(AE17="",0,AE17*22)+IF(AM17="",0,AM17*18)+IF(AW17="",0,AW17*15)+IF(BG17="",0,BG17*20))/(IF(Q17="",0,25)+IF(AE17="",0,22)+IF(AM17="",0,18)+IF(AW17="",0,15)+IF(BG17="",0,20)))</f>
        <v/>
      </c>
      <c r="BM17" s="11">
        <f>IF(BK17="Ranked",1+COUNTIFS($BK$2:$BK$158,"Ranked",$BL$2:$BL$158,"&gt;"&amp;BL17),"")</f>
        <v/>
      </c>
      <c r="BN17" s="11">
        <f>City_Inputs!$AI17</f>
        <v/>
      </c>
    </row>
    <row r="18">
      <c r="A18" t="inlineStr">
        <is>
          <t>cn-chengdu</t>
        </is>
      </c>
      <c r="B18" t="inlineStr">
        <is>
          <t>Chengdu</t>
        </is>
      </c>
      <c r="C18" t="inlineStr">
        <is>
          <t>China</t>
        </is>
      </c>
      <c r="D18" t="inlineStr">
        <is>
          <t>East Asia</t>
        </is>
      </c>
      <c r="E18" t="inlineStr">
        <is>
          <t>provisional</t>
        </is>
      </c>
      <c r="F18" t="inlineStr">
        <is>
          <t>primary</t>
        </is>
      </c>
      <c r="G18" s="11">
        <f>IF(OR(City_Inputs!$M18="",Norm_Stats!$F$2="",Norm_Stats!$G$2="",Norm_Stats!$G$2=Norm_Stats!$F$2),"",MAX(0,MIN(100,100*(MIN(MAX(City_Inputs!$M18,Norm_Stats!$F$2),Norm_Stats!$G$2)-Norm_Stats!$F$2)/(Norm_Stats!$G$2-Norm_Stats!$F$2))))</f>
        <v/>
      </c>
      <c r="H18" s="14">
        <f>IF(G18="","",1)</f>
        <v/>
      </c>
      <c r="I18" s="11">
        <f>IF(OR(City_Inputs!$N18="",Norm_Stats!$F$3="",Norm_Stats!$G$3="",Norm_Stats!$G$3=Norm_Stats!$F$3),"",MAX(0,MIN(100,100*(Norm_Stats!$G$3-MIN(MAX(City_Inputs!$N18,Norm_Stats!$F$3),Norm_Stats!$G$3))/(Norm_Stats!$G$3-Norm_Stats!$F$3))))</f>
        <v/>
      </c>
      <c r="J18" s="14">
        <f>IF(I18="","",1)</f>
        <v/>
      </c>
      <c r="K18" s="11">
        <f>IF(OR(City_Inputs!$P18="",Norm_Stats!$F$4="",Norm_Stats!$G$4="",Norm_Stats!$G$4=Norm_Stats!$F$4),"",MAX(0,MIN(100,100*(Norm_Stats!$G$4-MIN(MAX(City_Inputs!$P18,Norm_Stats!$F$4),Norm_Stats!$G$4))/(Norm_Stats!$G$4-Norm_Stats!$F$4))))</f>
        <v/>
      </c>
      <c r="L18" s="14">
        <f>IF(K18="","",1)</f>
        <v/>
      </c>
      <c r="M18" s="11">
        <f>IF(OR(City_Inputs!$Q18="",Norm_Stats!$F$5="",Norm_Stats!$G$5="",Norm_Stats!$G$5=Norm_Stats!$F$5),"",MAX(0,MIN(100,100*(Norm_Stats!$G$5-MIN(MAX(City_Inputs!$Q18,Norm_Stats!$F$5),Norm_Stats!$G$5))/(Norm_Stats!$G$5-Norm_Stats!$F$5))))</f>
        <v/>
      </c>
      <c r="N18" s="14">
        <f>IF(M18="","",1)</f>
        <v/>
      </c>
      <c r="O18" s="11">
        <f>IF(OR(City_Inputs!$R18="",Norm_Stats!$F$6="",Norm_Stats!$G$6="",Norm_Stats!$G$6=Norm_Stats!$F$6),"",MAX(0,MIN(100,100*(Norm_Stats!$G$6-MIN(MAX(City_Inputs!$R18,Norm_Stats!$F$6),Norm_Stats!$G$6))/(Norm_Stats!$G$6-Norm_Stats!$F$6))))</f>
        <v/>
      </c>
      <c r="P18" s="14">
        <f>IF(O18="","",1)</f>
        <v/>
      </c>
      <c r="Q18" s="15">
        <f>IF((IF(G18="",0,9)+IF(I18="",0,5)+IF(K18="",0,4)+IF(M18="",0,4)+IF(O18="",0,5))=0,"",(IF(G18="",0,G18*9)+IF(I18="",0,I18*5)+IF(K18="",0,K18*4)+IF(M18="",0,M18*4)+IF(O18="",0,O18*5))/(IF(G18="",0,9)+IF(I18="",0,5)+IF(K18="",0,4)+IF(M18="",0,4)+IF(O18="",0,5)))</f>
        <v/>
      </c>
      <c r="R18" s="14">
        <f>IF((IF(H18="",0,9)+IF(J18="",0,5)+IF(L18="",0,4)+IF(N18="",0,4)+IF(P18="",0,5))=0,"",(IF(H18="",0,H18*9)+IF(J18="",0,J18*5)+IF(L18="",0,L18*4)+IF(N18="",0,N18*4)+IF(P18="",0,P18*5))/27)</f>
        <v/>
      </c>
      <c r="S18" s="11">
        <f>IF(OR(City_Inputs!$S18="",Norm_Stats!$F$7="",Norm_Stats!$G$7="",Norm_Stats!$G$7=Norm_Stats!$F$7),"",MAX(0,MIN(100,100*(Norm_Stats!$G$7-MIN(MAX(City_Inputs!$S18,Norm_Stats!$F$7),Norm_Stats!$G$7))/(Norm_Stats!$G$7-Norm_Stats!$F$7))))</f>
        <v/>
      </c>
      <c r="T18" s="14">
        <f>IF(S18="","",1)</f>
        <v/>
      </c>
      <c r="U18" s="11">
        <f>IF(OR(City_Inputs!$T18="",Norm_Stats!$F$8="",Norm_Stats!$G$8="",Norm_Stats!$G$8=Norm_Stats!$F$8),"",MAX(0,MIN(100,100*(MIN(MAX(City_Inputs!$T18,Norm_Stats!$F$8),Norm_Stats!$G$8)-Norm_Stats!$F$8)/(Norm_Stats!$G$8-Norm_Stats!$F$8))))</f>
        <v/>
      </c>
      <c r="V18" s="14">
        <f>IF(U18="","",1)</f>
        <v/>
      </c>
      <c r="W18" s="11">
        <f>IF(OR(City_Inputs!$U18="",Norm_Stats!$F$9="",Norm_Stats!$G$9="",Norm_Stats!$G$9=Norm_Stats!$F$9),"",MAX(0,MIN(100,100*(Norm_Stats!$G$9-MIN(MAX(City_Inputs!$U18,Norm_Stats!$F$9),Norm_Stats!$G$9))/(Norm_Stats!$G$9-Norm_Stats!$F$9))))</f>
        <v/>
      </c>
      <c r="X18" s="14">
        <f>IF(W18="","",1)</f>
        <v/>
      </c>
      <c r="Y18" s="11">
        <f>IF(OR(City_Inputs!$V18="",Norm_Stats!$F$10="",Norm_Stats!$G$10="",Norm_Stats!$G$10=Norm_Stats!$F$10),"",MAX(0,MIN(100,100*(MIN(MAX(City_Inputs!$V18,Norm_Stats!$F$10),Norm_Stats!$G$10)-Norm_Stats!$F$10)/(Norm_Stats!$G$10-Norm_Stats!$F$10))))</f>
        <v/>
      </c>
      <c r="Z18" s="14">
        <f>IF(Y18="","",1)</f>
        <v/>
      </c>
      <c r="AA18" s="11">
        <f>IF(OR(City_Inputs!$W18="",Norm_Stats!$F$11="",Norm_Stats!$G$11="",Norm_Stats!$G$11=Norm_Stats!$F$11),"",MAX(0,MIN(100,100*(MIN(MAX(City_Inputs!$W18,Norm_Stats!$F$11),Norm_Stats!$G$11)-Norm_Stats!$F$11)/(Norm_Stats!$G$11-Norm_Stats!$F$11))))</f>
        <v/>
      </c>
      <c r="AB18" s="14">
        <f>IF(AA18="","",1)</f>
        <v/>
      </c>
      <c r="AC18" s="11">
        <f>IF(OR(City_Inputs!$X18="",Norm_Stats!$F$12="",Norm_Stats!$G$12="",Norm_Stats!$G$12=Norm_Stats!$F$12),"",MAX(0,MIN(100,100*(MIN(MAX(City_Inputs!$X18,Norm_Stats!$F$12),Norm_Stats!$G$12)-Norm_Stats!$F$12)/(Norm_Stats!$G$12-Norm_Stats!$F$12))))</f>
        <v/>
      </c>
      <c r="AD18" s="11">
        <f>IF(AC18="","",1)</f>
        <v/>
      </c>
      <c r="AE18" s="15">
        <f>IF((IF(S18="",0,5)+IF(U18="",0,5)+IF(W18="",0,4)+IF(Y18="",0,4)+IF(AA18="",0,4)+IF(AC18="",0,5))=0,"",(IF(S18="",0,S18*5)+IF(U18="",0,U18*5)+IF(W18="",0,W18*4)+IF(Y18="",0,Y18*4)+IF(AA18="",0,AA18*4)+IF(AC18="",0,AC18*5))/(IF(S18="",0,5)+IF(U18="",0,5)+IF(W18="",0,4)+IF(Y18="",0,4)+IF(AA18="",0,4)+IF(AC18="",0,5)))</f>
        <v/>
      </c>
      <c r="AF18" s="14">
        <f>IF((IF(T18="",0,5)+IF(V18="",0,5)+IF(X18="",0,4)+IF(Z18="",0,4)+IF(AB18="",0,4)+IF(AD18="",0,5))=0,"",(IF(T18="",0,T18*5)+IF(V18="",0,V18*5)+IF(X18="",0,X18*4)+IF(Z18="",0,Z18*4)+IF(AB18="",0,AB18*4)+IF(AD18="",0,AD18*5))/27)</f>
        <v/>
      </c>
      <c r="AG18" s="11">
        <f>IF(OR(City_Inputs!$Y18="",Norm_Stats!$F$13="",Norm_Stats!$G$13="",Norm_Stats!$G$13=Norm_Stats!$F$13),"",MAX(0,MIN(100,100*(MIN(MAX(City_Inputs!$Y18,Norm_Stats!$F$13),Norm_Stats!$G$13)-Norm_Stats!$F$13)/(Norm_Stats!$G$13-Norm_Stats!$F$13))))</f>
        <v/>
      </c>
      <c r="AH18" s="14">
        <f>IF(AG18="","",1)</f>
        <v/>
      </c>
      <c r="AI18" s="11">
        <f>IF(OR(City_Inputs!$Z18="",Norm_Stats!$F$14="",Norm_Stats!$G$14="",Norm_Stats!$G$14=Norm_Stats!$F$14),"",MAX(0,MIN(100,100*(MIN(MAX(City_Inputs!$Z18,Norm_Stats!$F$14),Norm_Stats!$G$14)-Norm_Stats!$F$14)/(Norm_Stats!$G$14-Norm_Stats!$F$14))))</f>
        <v/>
      </c>
      <c r="AJ18" s="14">
        <f>IF(AI18="","",1)</f>
        <v/>
      </c>
      <c r="AK18" s="11">
        <f>IF((IF((IF(OR(City_Inputs!$AA18="",Norm_Stats!$F$15="",Norm_Stats!$G$15="",Norm_Stats!$G$15=Norm_Stats!$F$15),"",MAX(0,MIN(100,100*(MIN(MAX(City_Inputs!$AA18,Norm_Stats!$F$15),Norm_Stats!$G$15)-Norm_Stats!$F$15)/(Norm_Stats!$G$15-Norm_Stats!$F$15)))))="",0,0.7)+IF((IF(OR(City_Inputs!$AL18="",Norm_Stats!$F$16="",Norm_Stats!$G$16="",Norm_Stats!$G$16=Norm_Stats!$F$16),"",MAX(0,MIN(100,100*(Norm_Stats!$G$16-MIN(MAX(City_Inputs!$AL18,Norm_Stats!$F$16),Norm_Stats!$G$16))/(Norm_Stats!$G$16-Norm_Stats!$F$16)))))="",0,0.3))=0,"",(IF((IF(OR(City_Inputs!$AA18="",Norm_Stats!$F$15="",Norm_Stats!$G$15="",Norm_Stats!$G$15=Norm_Stats!$F$15),"",MAX(0,MIN(100,100*(MIN(MAX(City_Inputs!$AA18,Norm_Stats!$F$15),Norm_Stats!$G$15)-Norm_Stats!$F$15)/(Norm_Stats!$G$15-Norm_Stats!$F$15)))))="",0,(IF(OR(City_Inputs!$AA18="",Norm_Stats!$F$15="",Norm_Stats!$G$15="",Norm_Stats!$G$15=Norm_Stats!$F$15),"",MAX(0,MIN(100,100*(MIN(MAX(City_Inputs!$AA18,Norm_Stats!$F$15),Norm_Stats!$G$15)-Norm_Stats!$F$15)/(Norm_Stats!$G$15-Norm_Stats!$F$15)))))*0.7)+IF((IF(OR(City_Inputs!$AL18="",Norm_Stats!$F$16="",Norm_Stats!$G$16="",Norm_Stats!$G$16=Norm_Stats!$F$16),"",MAX(0,MIN(100,100*(Norm_Stats!$G$16-MIN(MAX(City_Inputs!$AL18,Norm_Stats!$F$16),Norm_Stats!$G$16))/(Norm_Stats!$G$16-Norm_Stats!$F$16)))))="",0,(IF(OR(City_Inputs!$AL18="",Norm_Stats!$F$16="",Norm_Stats!$G$16="",Norm_Stats!$G$16=Norm_Stats!$F$16),"",MAX(0,MIN(100,100*(Norm_Stats!$G$16-MIN(MAX(City_Inputs!$AL18,Norm_Stats!$F$16),Norm_Stats!$G$16))/(Norm_Stats!$G$16-Norm_Stats!$F$16)))))*0.3))/(IF((IF(OR(City_Inputs!$AA18="",Norm_Stats!$F$15="",Norm_Stats!$G$15="",Norm_Stats!$G$15=Norm_Stats!$F$15),"",MAX(0,MIN(100,100*(MIN(MAX(City_Inputs!$AA18,Norm_Stats!$F$15),Norm_Stats!$G$15)-Norm_Stats!$F$15)/(Norm_Stats!$G$15-Norm_Stats!$F$15)))))="",0,0.7)+IF((IF(OR(City_Inputs!$AL18="",Norm_Stats!$F$16="",Norm_Stats!$G$16="",Norm_Stats!$G$16=Norm_Stats!$F$16),"",MAX(0,MIN(100,100*(Norm_Stats!$G$16-MIN(MAX(City_Inputs!$AL18,Norm_Stats!$F$16),Norm_Stats!$G$16))/(Norm_Stats!$G$16-Norm_Stats!$F$16)))))="",0,0.3)))</f>
        <v/>
      </c>
      <c r="AL18" s="14">
        <f>IF((IF((IF(OR(City_Inputs!$AA18="",Norm_Stats!$F$15="",Norm_Stats!$G$15="",Norm_Stats!$G$15=Norm_Stats!$F$15),"",MAX(0,MIN(100,100*(MIN(MAX(City_Inputs!$AA18,Norm_Stats!$F$15),Norm_Stats!$G$15)-Norm_Stats!$F$15)/(Norm_Stats!$G$15-Norm_Stats!$F$15)))))="",0,0.7)+IF((IF(OR(City_Inputs!$AL18="",Norm_Stats!$F$16="",Norm_Stats!$G$16="",Norm_Stats!$G$16=Norm_Stats!$F$16),"",MAX(0,MIN(100,100*(Norm_Stats!$G$16-MIN(MAX(City_Inputs!$AL18,Norm_Stats!$F$16),Norm_Stats!$G$16))/(Norm_Stats!$G$16-Norm_Stats!$F$16)))))="",0,0.3))=0,"",(IF((IF(OR(City_Inputs!$AA18="",Norm_Stats!$F$15="",Norm_Stats!$G$15="",Norm_Stats!$G$15=Norm_Stats!$F$15),"",MAX(0,MIN(100,100*(MIN(MAX(City_Inputs!$AA18,Norm_Stats!$F$15),Norm_Stats!$G$15)-Norm_Stats!$F$15)/(Norm_Stats!$G$15-Norm_Stats!$F$15)))))="",0,0.7)+IF((IF(OR(City_Inputs!$AL18="",Norm_Stats!$F$16="",Norm_Stats!$G$16="",Norm_Stats!$G$16=Norm_Stats!$F$16),"",MAX(0,MIN(100,100*(Norm_Stats!$G$16-MIN(MAX(City_Inputs!$AL18,Norm_Stats!$F$16),Norm_Stats!$G$16))/(Norm_Stats!$G$16-Norm_Stats!$F$16)))))="",0,0.3)))</f>
        <v/>
      </c>
      <c r="AM18" s="15">
        <f>IF((IF(AG18="",0,8)+IF(AI18="",0,6)+IF(AK18="",0,4))=0,"",(IF(AG18="",0,AG18*8)+IF(AI18="",0,AI18*6)+IF(AK18="",0,AK18*4))/(IF(AG18="",0,8)+IF(AI18="",0,6)+IF(AK18="",0,4)))</f>
        <v/>
      </c>
      <c r="AN18" s="14">
        <f>IF((IF(AH18="",0,8)+IF(AJ18="",0,6)+IF(AL18="",0,4))=0,"",(IF(AH18="",0,AH18*8)+IF(AJ18="",0,AJ18*6)+IF(AL18="",0,AL18*4))/18)</f>
        <v/>
      </c>
      <c r="AO18" s="11">
        <f>IF(OR(City_Inputs!$AB18="",Norm_Stats!$F$17="",Norm_Stats!$G$17="",Norm_Stats!$G$17=Norm_Stats!$F$17),"",MAX(0,MIN(100,100*(MIN(MAX(City_Inputs!$AB18,Norm_Stats!$F$17),Norm_Stats!$G$17)-Norm_Stats!$F$17)/(Norm_Stats!$G$17-Norm_Stats!$F$17))))</f>
        <v/>
      </c>
      <c r="AP18" s="14">
        <f>IF(AO18="","",1)</f>
        <v/>
      </c>
      <c r="AQ18" s="11">
        <f>IF(OR(City_Inputs!$AC18="",Norm_Stats!$F$18="",Norm_Stats!$G$18="",Norm_Stats!$G$18=Norm_Stats!$F$18),"",MAX(0,MIN(100,100*(MIN(MAX(City_Inputs!$AC18,Norm_Stats!$F$18),Norm_Stats!$G$18)-Norm_Stats!$F$18)/(Norm_Stats!$G$18-Norm_Stats!$F$18))))</f>
        <v/>
      </c>
      <c r="AR18" s="14">
        <f>IF(AQ18="","",1)</f>
        <v/>
      </c>
      <c r="AS18" s="11">
        <f>IF(OR(City_Inputs!$AD18="",Norm_Stats!$F$19="",Norm_Stats!$G$19="",Norm_Stats!$G$19=Norm_Stats!$F$19),"",MAX(0,MIN(100,100*(MIN(MAX(City_Inputs!$AD18,Norm_Stats!$F$19),Norm_Stats!$G$19)-Norm_Stats!$F$19)/(Norm_Stats!$G$19-Norm_Stats!$F$19))))</f>
        <v/>
      </c>
      <c r="AT18" s="14">
        <f>IF(AS18="","",1)</f>
        <v/>
      </c>
      <c r="AU18" s="11">
        <f>IF(OR(City_Inputs!$BJ18="",Norm_Stats!$F$26="",Norm_Stats!$G$26="",Norm_Stats!$G$26=Norm_Stats!$F$26),"",MAX(0,MIN(100,100*(MIN(MAX(City_Inputs!$BJ18,Norm_Stats!$F$26),Norm_Stats!$G$26)-Norm_Stats!$F$26)/(Norm_Stats!$G$26-Norm_Stats!$F$26))))</f>
        <v/>
      </c>
      <c r="AV18" s="11">
        <f>IF(AU18="","",1)</f>
        <v/>
      </c>
      <c r="AW18" s="15">
        <f>IF((IF(AO18="",0,5)+IF(AQ18="",0,5)+IF(AS18="",0,5)+IF(AU18="",0,4))=0,"",(IF(AO18="",0,AO18*5)+IF(AQ18="",0,AQ18*5)+IF(AS18="",0,AS18*5)+IF(AU18="",0,AU18*4))/(IF(AO18="",0,5)+IF(AQ18="",0,5)+IF(AS18="",0,5)+IF(AU18="",0,4)))</f>
        <v/>
      </c>
      <c r="AX18" s="14">
        <f>IF((IF(AP18="",0,5)+IF(AR18="",0,5)+IF(AT18="",0,5)+IF(AV18="",0,4))=0,"",(IF(AP18="",0,AP18*5)+IF(AR18="",0,AR18*5)+IF(AT18="",0,AT18*5)+IF(AV18="",0,AV18*4))/19)</f>
        <v/>
      </c>
      <c r="AY18" s="11">
        <f>IF(OR(City_Inputs!$AE18="",Norm_Stats!$F$20="",Norm_Stats!$G$20="",Norm_Stats!$G$20=Norm_Stats!$F$20),"",MAX(0,MIN(100,100*(MIN(MAX(City_Inputs!$AE18,Norm_Stats!$F$20),Norm_Stats!$G$20)-Norm_Stats!$F$20)/(Norm_Stats!$G$20-Norm_Stats!$F$20))))</f>
        <v/>
      </c>
      <c r="AZ18" s="14">
        <f>IF(AY18="","",1)</f>
        <v/>
      </c>
      <c r="BA18" s="11">
        <f>IF(OR(City_Inputs!$AF18="",Norm_Stats!$F$21="",Norm_Stats!$G$21="",Norm_Stats!$G$21=Norm_Stats!$F$21),"",MAX(0,MIN(100,100*(MIN(MAX(City_Inputs!$AF18,Norm_Stats!$F$21),Norm_Stats!$G$21)-Norm_Stats!$F$21)/(Norm_Stats!$G$21-Norm_Stats!$F$21))))</f>
        <v/>
      </c>
      <c r="BB18" s="14">
        <f>IF(BA18="","",1)</f>
        <v/>
      </c>
      <c r="BC18" s="11">
        <f>IF((IF((IF(OR(City_Inputs!$AG18="",Norm_Stats!$F$22="",Norm_Stats!$G$22="",Norm_Stats!$G$22=Norm_Stats!$F$22),"",MAX(0,MIN(100,100*(MIN(MAX(City_Inputs!$AG18,Norm_Stats!$F$22),Norm_Stats!$G$22)-Norm_Stats!$F$22)/(Norm_Stats!$G$22-Norm_Stats!$F$22)))))="",0,0.5)+IF((IF(OR(City_Inputs!$AJ18="",Norm_Stats!$F$23="",Norm_Stats!$G$23="",Norm_Stats!$G$23=Norm_Stats!$F$23),"",MAX(0,MIN(100,100*(MIN(MAX(City_Inputs!$AJ18,Norm_Stats!$F$23),Norm_Stats!$G$23)-Norm_Stats!$F$23)/(Norm_Stats!$G$23-Norm_Stats!$F$23)))))="",0,0.3)+IF((IF(OR(City_Inputs!$AK18="",Norm_Stats!$F$24="",Norm_Stats!$G$24="",Norm_Stats!$G$24=Norm_Stats!$F$24),"",MAX(0,MIN(100,100*(MIN(MAX(City_Inputs!$AK18,Norm_Stats!$F$24),Norm_Stats!$G$24)-Norm_Stats!$F$24)/(Norm_Stats!$G$24-Norm_Stats!$F$24)))))="",0,0.2))=0,"",(IF((IF(OR(City_Inputs!$AG18="",Norm_Stats!$F$22="",Norm_Stats!$G$22="",Norm_Stats!$G$22=Norm_Stats!$F$22),"",MAX(0,MIN(100,100*(MIN(MAX(City_Inputs!$AG18,Norm_Stats!$F$22),Norm_Stats!$G$22)-Norm_Stats!$F$22)/(Norm_Stats!$G$22-Norm_Stats!$F$22)))))="",0,(IF(OR(City_Inputs!$AG18="",Norm_Stats!$F$22="",Norm_Stats!$G$22="",Norm_Stats!$G$22=Norm_Stats!$F$22),"",MAX(0,MIN(100,100*(MIN(MAX(City_Inputs!$AG18,Norm_Stats!$F$22),Norm_Stats!$G$22)-Norm_Stats!$F$22)/(Norm_Stats!$G$22-Norm_Stats!$F$22)))))*0.5)+IF((IF(OR(City_Inputs!$AJ18="",Norm_Stats!$F$23="",Norm_Stats!$G$23="",Norm_Stats!$G$23=Norm_Stats!$F$23),"",MAX(0,MIN(100,100*(MIN(MAX(City_Inputs!$AJ18,Norm_Stats!$F$23),Norm_Stats!$G$23)-Norm_Stats!$F$23)/(Norm_Stats!$G$23-Norm_Stats!$F$23)))))="",0,(IF(OR(City_Inputs!$AJ18="",Norm_Stats!$F$23="",Norm_Stats!$G$23="",Norm_Stats!$G$23=Norm_Stats!$F$23),"",MAX(0,MIN(100,100*(MIN(MAX(City_Inputs!$AJ18,Norm_Stats!$F$23),Norm_Stats!$G$23)-Norm_Stats!$F$23)/(Norm_Stats!$G$23-Norm_Stats!$F$23)))))*0.3)+IF((IF(OR(City_Inputs!$AK18="",Norm_Stats!$F$24="",Norm_Stats!$G$24="",Norm_Stats!$G$24=Norm_Stats!$F$24),"",MAX(0,MIN(100,100*(MIN(MAX(City_Inputs!$AK18,Norm_Stats!$F$24),Norm_Stats!$G$24)-Norm_Stats!$F$24)/(Norm_Stats!$G$24-Norm_Stats!$F$24)))))="",0,(IF(OR(City_Inputs!$AK18="",Norm_Stats!$F$24="",Norm_Stats!$G$24="",Norm_Stats!$G$24=Norm_Stats!$F$24),"",MAX(0,MIN(100,100*(MIN(MAX(City_Inputs!$AK18,Norm_Stats!$F$24),Norm_Stats!$G$24)-Norm_Stats!$F$24)/(Norm_Stats!$G$24-Norm_Stats!$F$24)))))*0.2))/(IF((IF(OR(City_Inputs!$AG18="",Norm_Stats!$F$22="",Norm_Stats!$G$22="",Norm_Stats!$G$22=Norm_Stats!$F$22),"",MAX(0,MIN(100,100*(MIN(MAX(City_Inputs!$AG18,Norm_Stats!$F$22),Norm_Stats!$G$22)-Norm_Stats!$F$22)/(Norm_Stats!$G$22-Norm_Stats!$F$22)))))="",0,0.5)+IF((IF(OR(City_Inputs!$AJ18="",Norm_Stats!$F$23="",Norm_Stats!$G$23="",Norm_Stats!$G$23=Norm_Stats!$F$23),"",MAX(0,MIN(100,100*(MIN(MAX(City_Inputs!$AJ18,Norm_Stats!$F$23),Norm_Stats!$G$23)-Norm_Stats!$F$23)/(Norm_Stats!$G$23-Norm_Stats!$F$23)))))="",0,0.3)+IF((IF(OR(City_Inputs!$AK18="",Norm_Stats!$F$24="",Norm_Stats!$G$24="",Norm_Stats!$G$24=Norm_Stats!$F$24),"",MAX(0,MIN(100,100*(MIN(MAX(City_Inputs!$AK18,Norm_Stats!$F$24),Norm_Stats!$G$24)-Norm_Stats!$F$24)/(Norm_Stats!$G$24-Norm_Stats!$F$24)))))="",0,0.2)))</f>
        <v/>
      </c>
      <c r="BD18" s="14">
        <f>IF((IF((IF(OR(City_Inputs!$AG18="",Norm_Stats!$F$22="",Norm_Stats!$G$22="",Norm_Stats!$G$22=Norm_Stats!$F$22),"",MAX(0,MIN(100,100*(MIN(MAX(City_Inputs!$AG18,Norm_Stats!$F$22),Norm_Stats!$G$22)-Norm_Stats!$F$22)/(Norm_Stats!$G$22-Norm_Stats!$F$22)))))="",0,0.5)+IF((IF(OR(City_Inputs!$AJ18="",Norm_Stats!$F$23="",Norm_Stats!$G$23="",Norm_Stats!$G$23=Norm_Stats!$F$23),"",MAX(0,MIN(100,100*(MIN(MAX(City_Inputs!$AJ18,Norm_Stats!$F$23),Norm_Stats!$G$23)-Norm_Stats!$F$23)/(Norm_Stats!$G$23-Norm_Stats!$F$23)))))="",0,0.3)+IF((IF(OR(City_Inputs!$AK18="",Norm_Stats!$F$24="",Norm_Stats!$G$24="",Norm_Stats!$G$24=Norm_Stats!$F$24),"",MAX(0,MIN(100,100*(MIN(MAX(City_Inputs!$AK18,Norm_Stats!$F$24),Norm_Stats!$G$24)-Norm_Stats!$F$24)/(Norm_Stats!$G$24-Norm_Stats!$F$24)))))="",0,0.2))=0,"",(IF((IF(OR(City_Inputs!$AG18="",Norm_Stats!$F$22="",Norm_Stats!$G$22="",Norm_Stats!$G$22=Norm_Stats!$F$22),"",MAX(0,MIN(100,100*(MIN(MAX(City_Inputs!$AG18,Norm_Stats!$F$22),Norm_Stats!$G$22)-Norm_Stats!$F$22)/(Norm_Stats!$G$22-Norm_Stats!$F$22)))))="",0,0.5)+IF((IF(OR(City_Inputs!$AJ18="",Norm_Stats!$F$23="",Norm_Stats!$G$23="",Norm_Stats!$G$23=Norm_Stats!$F$23),"",MAX(0,MIN(100,100*(MIN(MAX(City_Inputs!$AJ18,Norm_Stats!$F$23),Norm_Stats!$G$23)-Norm_Stats!$F$23)/(Norm_Stats!$G$23-Norm_Stats!$F$23)))))="",0,0.3)+IF((IF(OR(City_Inputs!$AK18="",Norm_Stats!$F$24="",Norm_Stats!$G$24="",Norm_Stats!$G$24=Norm_Stats!$F$24),"",MAX(0,MIN(100,100*(MIN(MAX(City_Inputs!$AK18,Norm_Stats!$F$24),Norm_Stats!$G$24)-Norm_Stats!$F$24)/(Norm_Stats!$G$24-Norm_Stats!$F$24)))))="",0,0.2)))</f>
        <v/>
      </c>
      <c r="BE18" s="11">
        <f>IF(OR(City_Inputs!$AH18="",Norm_Stats!$F$25="",Norm_Stats!$G$25="",Norm_Stats!$G$25=Norm_Stats!$F$25),"",MAX(0,MIN(100,100*(Norm_Stats!$G$25-MIN(MAX(City_Inputs!$AH18,Norm_Stats!$F$25),Norm_Stats!$G$25))/(Norm_Stats!$G$25-Norm_Stats!$F$25))))</f>
        <v/>
      </c>
      <c r="BF18" s="14">
        <f>IF(BE18="","",1)</f>
        <v/>
      </c>
      <c r="BG18" s="15">
        <f>IF((IF(AY18="",0,6)+IF(BA18="",0,5)+IF(BC18="",0,5)+IF(BE18="",0,4))=0,"",(IF(AY18="",0,AY18*6)+IF(BA18="",0,BA18*5)+IF(BC18="",0,BC18*5)+IF(BE18="",0,BE18*4))/(IF(AY18="",0,6)+IF(BA18="",0,5)+IF(BC18="",0,5)+IF(BE18="",0,4)))</f>
        <v/>
      </c>
      <c r="BH18" s="14">
        <f>IF((IF(AZ18="",0,6)+IF(BB18="",0,5)+IF(BD18="",0,5)+IF(BF18="",0,4))=0,"",(IF(AZ18="",0,AZ18*6)+IF(BB18="",0,BB18*5)+IF(BD18="",0,BD18*5)+IF(BF18="",0,BF18*4))/20)</f>
        <v/>
      </c>
      <c r="BI18" s="14">
        <f>IF(AND(R18="",AF18="",AN18="",AX18="",BH18=""),"",((R18*25)+(AF18*22)+(AN18*18)+(AX18*15)+(BH18*20))/100)</f>
        <v/>
      </c>
      <c r="BJ18" s="11">
        <f>IF(BI18="","",IF(BI18&gt;=0.75,"A",IF(BI18&gt;=0.5,"B",IF(BI18&gt;=0.35,"C","Watchlist"))))</f>
        <v/>
      </c>
      <c r="BK18" s="11">
        <f>IF(OR(BI18="",BI18&lt;0.5,R18="",R18&lt;0.35,AF18="",AF18&lt;0.35,AN18="",AN18&lt;0.35,AX18="",AX18&lt;0.35,BH18="",BH18&lt;0.35),"Watchlist","Ranked")</f>
        <v/>
      </c>
      <c r="BL18" s="15">
        <f>IF(AND(Q18="",AE18="",AM18="",AW18="",BG18=""),"",(IF(Q18="",0,Q18*25)+IF(AE18="",0,AE18*22)+IF(AM18="",0,AM18*18)+IF(AW18="",0,AW18*15)+IF(BG18="",0,BG18*20))/(IF(Q18="",0,25)+IF(AE18="",0,22)+IF(AM18="",0,18)+IF(AW18="",0,15)+IF(BG18="",0,20)))</f>
        <v/>
      </c>
      <c r="BM18" s="11">
        <f>IF(BK18="Ranked",1+COUNTIFS($BK$2:$BK$158,"Ranked",$BL$2:$BL$158,"&gt;"&amp;BL18),"")</f>
        <v/>
      </c>
      <c r="BN18" s="11">
        <f>City_Inputs!$AI18</f>
        <v/>
      </c>
    </row>
    <row r="19">
      <c r="A19" t="inlineStr">
        <is>
          <t>cn-chongqing</t>
        </is>
      </c>
      <c r="B19" t="inlineStr">
        <is>
          <t>Chongqing</t>
        </is>
      </c>
      <c r="C19" t="inlineStr">
        <is>
          <t>China</t>
        </is>
      </c>
      <c r="D19" t="inlineStr">
        <is>
          <t>East Asia</t>
        </is>
      </c>
      <c r="E19" t="inlineStr">
        <is>
          <t>provisional</t>
        </is>
      </c>
      <c r="F19" t="inlineStr">
        <is>
          <t>primary</t>
        </is>
      </c>
      <c r="G19" s="11">
        <f>IF(OR(City_Inputs!$M19="",Norm_Stats!$F$2="",Norm_Stats!$G$2="",Norm_Stats!$G$2=Norm_Stats!$F$2),"",MAX(0,MIN(100,100*(MIN(MAX(City_Inputs!$M19,Norm_Stats!$F$2),Norm_Stats!$G$2)-Norm_Stats!$F$2)/(Norm_Stats!$G$2-Norm_Stats!$F$2))))</f>
        <v/>
      </c>
      <c r="H19" s="14">
        <f>IF(G19="","",1)</f>
        <v/>
      </c>
      <c r="I19" s="11">
        <f>IF(OR(City_Inputs!$N19="",Norm_Stats!$F$3="",Norm_Stats!$G$3="",Norm_Stats!$G$3=Norm_Stats!$F$3),"",MAX(0,MIN(100,100*(Norm_Stats!$G$3-MIN(MAX(City_Inputs!$N19,Norm_Stats!$F$3),Norm_Stats!$G$3))/(Norm_Stats!$G$3-Norm_Stats!$F$3))))</f>
        <v/>
      </c>
      <c r="J19" s="14">
        <f>IF(I19="","",1)</f>
        <v/>
      </c>
      <c r="K19" s="11">
        <f>IF(OR(City_Inputs!$P19="",Norm_Stats!$F$4="",Norm_Stats!$G$4="",Norm_Stats!$G$4=Norm_Stats!$F$4),"",MAX(0,MIN(100,100*(Norm_Stats!$G$4-MIN(MAX(City_Inputs!$P19,Norm_Stats!$F$4),Norm_Stats!$G$4))/(Norm_Stats!$G$4-Norm_Stats!$F$4))))</f>
        <v/>
      </c>
      <c r="L19" s="14">
        <f>IF(K19="","",1)</f>
        <v/>
      </c>
      <c r="M19" s="11">
        <f>IF(OR(City_Inputs!$Q19="",Norm_Stats!$F$5="",Norm_Stats!$G$5="",Norm_Stats!$G$5=Norm_Stats!$F$5),"",MAX(0,MIN(100,100*(Norm_Stats!$G$5-MIN(MAX(City_Inputs!$Q19,Norm_Stats!$F$5),Norm_Stats!$G$5))/(Norm_Stats!$G$5-Norm_Stats!$F$5))))</f>
        <v/>
      </c>
      <c r="N19" s="14">
        <f>IF(M19="","",1)</f>
        <v/>
      </c>
      <c r="O19" s="11">
        <f>IF(OR(City_Inputs!$R19="",Norm_Stats!$F$6="",Norm_Stats!$G$6="",Norm_Stats!$G$6=Norm_Stats!$F$6),"",MAX(0,MIN(100,100*(Norm_Stats!$G$6-MIN(MAX(City_Inputs!$R19,Norm_Stats!$F$6),Norm_Stats!$G$6))/(Norm_Stats!$G$6-Norm_Stats!$F$6))))</f>
        <v/>
      </c>
      <c r="P19" s="14">
        <f>IF(O19="","",1)</f>
        <v/>
      </c>
      <c r="Q19" s="15">
        <f>IF((IF(G19="",0,9)+IF(I19="",0,5)+IF(K19="",0,4)+IF(M19="",0,4)+IF(O19="",0,5))=0,"",(IF(G19="",0,G19*9)+IF(I19="",0,I19*5)+IF(K19="",0,K19*4)+IF(M19="",0,M19*4)+IF(O19="",0,O19*5))/(IF(G19="",0,9)+IF(I19="",0,5)+IF(K19="",0,4)+IF(M19="",0,4)+IF(O19="",0,5)))</f>
        <v/>
      </c>
      <c r="R19" s="14">
        <f>IF((IF(H19="",0,9)+IF(J19="",0,5)+IF(L19="",0,4)+IF(N19="",0,4)+IF(P19="",0,5))=0,"",(IF(H19="",0,H19*9)+IF(J19="",0,J19*5)+IF(L19="",0,L19*4)+IF(N19="",0,N19*4)+IF(P19="",0,P19*5))/27)</f>
        <v/>
      </c>
      <c r="S19" s="11">
        <f>IF(OR(City_Inputs!$S19="",Norm_Stats!$F$7="",Norm_Stats!$G$7="",Norm_Stats!$G$7=Norm_Stats!$F$7),"",MAX(0,MIN(100,100*(Norm_Stats!$G$7-MIN(MAX(City_Inputs!$S19,Norm_Stats!$F$7),Norm_Stats!$G$7))/(Norm_Stats!$G$7-Norm_Stats!$F$7))))</f>
        <v/>
      </c>
      <c r="T19" s="14">
        <f>IF(S19="","",1)</f>
        <v/>
      </c>
      <c r="U19" s="11">
        <f>IF(OR(City_Inputs!$T19="",Norm_Stats!$F$8="",Norm_Stats!$G$8="",Norm_Stats!$G$8=Norm_Stats!$F$8),"",MAX(0,MIN(100,100*(MIN(MAX(City_Inputs!$T19,Norm_Stats!$F$8),Norm_Stats!$G$8)-Norm_Stats!$F$8)/(Norm_Stats!$G$8-Norm_Stats!$F$8))))</f>
        <v/>
      </c>
      <c r="V19" s="14">
        <f>IF(U19="","",1)</f>
        <v/>
      </c>
      <c r="W19" s="11">
        <f>IF(OR(City_Inputs!$U19="",Norm_Stats!$F$9="",Norm_Stats!$G$9="",Norm_Stats!$G$9=Norm_Stats!$F$9),"",MAX(0,MIN(100,100*(Norm_Stats!$G$9-MIN(MAX(City_Inputs!$U19,Norm_Stats!$F$9),Norm_Stats!$G$9))/(Norm_Stats!$G$9-Norm_Stats!$F$9))))</f>
        <v/>
      </c>
      <c r="X19" s="14">
        <f>IF(W19="","",1)</f>
        <v/>
      </c>
      <c r="Y19" s="11">
        <f>IF(OR(City_Inputs!$V19="",Norm_Stats!$F$10="",Norm_Stats!$G$10="",Norm_Stats!$G$10=Norm_Stats!$F$10),"",MAX(0,MIN(100,100*(MIN(MAX(City_Inputs!$V19,Norm_Stats!$F$10),Norm_Stats!$G$10)-Norm_Stats!$F$10)/(Norm_Stats!$G$10-Norm_Stats!$F$10))))</f>
        <v/>
      </c>
      <c r="Z19" s="14">
        <f>IF(Y19="","",1)</f>
        <v/>
      </c>
      <c r="AA19" s="11">
        <f>IF(OR(City_Inputs!$W19="",Norm_Stats!$F$11="",Norm_Stats!$G$11="",Norm_Stats!$G$11=Norm_Stats!$F$11),"",MAX(0,MIN(100,100*(MIN(MAX(City_Inputs!$W19,Norm_Stats!$F$11),Norm_Stats!$G$11)-Norm_Stats!$F$11)/(Norm_Stats!$G$11-Norm_Stats!$F$11))))</f>
        <v/>
      </c>
      <c r="AB19" s="14">
        <f>IF(AA19="","",1)</f>
        <v/>
      </c>
      <c r="AC19" s="11">
        <f>IF(OR(City_Inputs!$X19="",Norm_Stats!$F$12="",Norm_Stats!$G$12="",Norm_Stats!$G$12=Norm_Stats!$F$12),"",MAX(0,MIN(100,100*(MIN(MAX(City_Inputs!$X19,Norm_Stats!$F$12),Norm_Stats!$G$12)-Norm_Stats!$F$12)/(Norm_Stats!$G$12-Norm_Stats!$F$12))))</f>
        <v/>
      </c>
      <c r="AD19" s="11">
        <f>IF(AC19="","",1)</f>
        <v/>
      </c>
      <c r="AE19" s="15">
        <f>IF((IF(S19="",0,5)+IF(U19="",0,5)+IF(W19="",0,4)+IF(Y19="",0,4)+IF(AA19="",0,4)+IF(AC19="",0,5))=0,"",(IF(S19="",0,S19*5)+IF(U19="",0,U19*5)+IF(W19="",0,W19*4)+IF(Y19="",0,Y19*4)+IF(AA19="",0,AA19*4)+IF(AC19="",0,AC19*5))/(IF(S19="",0,5)+IF(U19="",0,5)+IF(W19="",0,4)+IF(Y19="",0,4)+IF(AA19="",0,4)+IF(AC19="",0,5)))</f>
        <v/>
      </c>
      <c r="AF19" s="14">
        <f>IF((IF(T19="",0,5)+IF(V19="",0,5)+IF(X19="",0,4)+IF(Z19="",0,4)+IF(AB19="",0,4)+IF(AD19="",0,5))=0,"",(IF(T19="",0,T19*5)+IF(V19="",0,V19*5)+IF(X19="",0,X19*4)+IF(Z19="",0,Z19*4)+IF(AB19="",0,AB19*4)+IF(AD19="",0,AD19*5))/27)</f>
        <v/>
      </c>
      <c r="AG19" s="11">
        <f>IF(OR(City_Inputs!$Y19="",Norm_Stats!$F$13="",Norm_Stats!$G$13="",Norm_Stats!$G$13=Norm_Stats!$F$13),"",MAX(0,MIN(100,100*(MIN(MAX(City_Inputs!$Y19,Norm_Stats!$F$13),Norm_Stats!$G$13)-Norm_Stats!$F$13)/(Norm_Stats!$G$13-Norm_Stats!$F$13))))</f>
        <v/>
      </c>
      <c r="AH19" s="14">
        <f>IF(AG19="","",1)</f>
        <v/>
      </c>
      <c r="AI19" s="11">
        <f>IF(OR(City_Inputs!$Z19="",Norm_Stats!$F$14="",Norm_Stats!$G$14="",Norm_Stats!$G$14=Norm_Stats!$F$14),"",MAX(0,MIN(100,100*(MIN(MAX(City_Inputs!$Z19,Norm_Stats!$F$14),Norm_Stats!$G$14)-Norm_Stats!$F$14)/(Norm_Stats!$G$14-Norm_Stats!$F$14))))</f>
        <v/>
      </c>
      <c r="AJ19" s="14">
        <f>IF(AI19="","",1)</f>
        <v/>
      </c>
      <c r="AK19" s="11">
        <f>IF((IF((IF(OR(City_Inputs!$AA19="",Norm_Stats!$F$15="",Norm_Stats!$G$15="",Norm_Stats!$G$15=Norm_Stats!$F$15),"",MAX(0,MIN(100,100*(MIN(MAX(City_Inputs!$AA19,Norm_Stats!$F$15),Norm_Stats!$G$15)-Norm_Stats!$F$15)/(Norm_Stats!$G$15-Norm_Stats!$F$15)))))="",0,0.7)+IF((IF(OR(City_Inputs!$AL19="",Norm_Stats!$F$16="",Norm_Stats!$G$16="",Norm_Stats!$G$16=Norm_Stats!$F$16),"",MAX(0,MIN(100,100*(Norm_Stats!$G$16-MIN(MAX(City_Inputs!$AL19,Norm_Stats!$F$16),Norm_Stats!$G$16))/(Norm_Stats!$G$16-Norm_Stats!$F$16)))))="",0,0.3))=0,"",(IF((IF(OR(City_Inputs!$AA19="",Norm_Stats!$F$15="",Norm_Stats!$G$15="",Norm_Stats!$G$15=Norm_Stats!$F$15),"",MAX(0,MIN(100,100*(MIN(MAX(City_Inputs!$AA19,Norm_Stats!$F$15),Norm_Stats!$G$15)-Norm_Stats!$F$15)/(Norm_Stats!$G$15-Norm_Stats!$F$15)))))="",0,(IF(OR(City_Inputs!$AA19="",Norm_Stats!$F$15="",Norm_Stats!$G$15="",Norm_Stats!$G$15=Norm_Stats!$F$15),"",MAX(0,MIN(100,100*(MIN(MAX(City_Inputs!$AA19,Norm_Stats!$F$15),Norm_Stats!$G$15)-Norm_Stats!$F$15)/(Norm_Stats!$G$15-Norm_Stats!$F$15)))))*0.7)+IF((IF(OR(City_Inputs!$AL19="",Norm_Stats!$F$16="",Norm_Stats!$G$16="",Norm_Stats!$G$16=Norm_Stats!$F$16),"",MAX(0,MIN(100,100*(Norm_Stats!$G$16-MIN(MAX(City_Inputs!$AL19,Norm_Stats!$F$16),Norm_Stats!$G$16))/(Norm_Stats!$G$16-Norm_Stats!$F$16)))))="",0,(IF(OR(City_Inputs!$AL19="",Norm_Stats!$F$16="",Norm_Stats!$G$16="",Norm_Stats!$G$16=Norm_Stats!$F$16),"",MAX(0,MIN(100,100*(Norm_Stats!$G$16-MIN(MAX(City_Inputs!$AL19,Norm_Stats!$F$16),Norm_Stats!$G$16))/(Norm_Stats!$G$16-Norm_Stats!$F$16)))))*0.3))/(IF((IF(OR(City_Inputs!$AA19="",Norm_Stats!$F$15="",Norm_Stats!$G$15="",Norm_Stats!$G$15=Norm_Stats!$F$15),"",MAX(0,MIN(100,100*(MIN(MAX(City_Inputs!$AA19,Norm_Stats!$F$15),Norm_Stats!$G$15)-Norm_Stats!$F$15)/(Norm_Stats!$G$15-Norm_Stats!$F$15)))))="",0,0.7)+IF((IF(OR(City_Inputs!$AL19="",Norm_Stats!$F$16="",Norm_Stats!$G$16="",Norm_Stats!$G$16=Norm_Stats!$F$16),"",MAX(0,MIN(100,100*(Norm_Stats!$G$16-MIN(MAX(City_Inputs!$AL19,Norm_Stats!$F$16),Norm_Stats!$G$16))/(Norm_Stats!$G$16-Norm_Stats!$F$16)))))="",0,0.3)))</f>
        <v/>
      </c>
      <c r="AL19" s="14">
        <f>IF((IF((IF(OR(City_Inputs!$AA19="",Norm_Stats!$F$15="",Norm_Stats!$G$15="",Norm_Stats!$G$15=Norm_Stats!$F$15),"",MAX(0,MIN(100,100*(MIN(MAX(City_Inputs!$AA19,Norm_Stats!$F$15),Norm_Stats!$G$15)-Norm_Stats!$F$15)/(Norm_Stats!$G$15-Norm_Stats!$F$15)))))="",0,0.7)+IF((IF(OR(City_Inputs!$AL19="",Norm_Stats!$F$16="",Norm_Stats!$G$16="",Norm_Stats!$G$16=Norm_Stats!$F$16),"",MAX(0,MIN(100,100*(Norm_Stats!$G$16-MIN(MAX(City_Inputs!$AL19,Norm_Stats!$F$16),Norm_Stats!$G$16))/(Norm_Stats!$G$16-Norm_Stats!$F$16)))))="",0,0.3))=0,"",(IF((IF(OR(City_Inputs!$AA19="",Norm_Stats!$F$15="",Norm_Stats!$G$15="",Norm_Stats!$G$15=Norm_Stats!$F$15),"",MAX(0,MIN(100,100*(MIN(MAX(City_Inputs!$AA19,Norm_Stats!$F$15),Norm_Stats!$G$15)-Norm_Stats!$F$15)/(Norm_Stats!$G$15-Norm_Stats!$F$15)))))="",0,0.7)+IF((IF(OR(City_Inputs!$AL19="",Norm_Stats!$F$16="",Norm_Stats!$G$16="",Norm_Stats!$G$16=Norm_Stats!$F$16),"",MAX(0,MIN(100,100*(Norm_Stats!$G$16-MIN(MAX(City_Inputs!$AL19,Norm_Stats!$F$16),Norm_Stats!$G$16))/(Norm_Stats!$G$16-Norm_Stats!$F$16)))))="",0,0.3)))</f>
        <v/>
      </c>
      <c r="AM19" s="15">
        <f>IF((IF(AG19="",0,8)+IF(AI19="",0,6)+IF(AK19="",0,4))=0,"",(IF(AG19="",0,AG19*8)+IF(AI19="",0,AI19*6)+IF(AK19="",0,AK19*4))/(IF(AG19="",0,8)+IF(AI19="",0,6)+IF(AK19="",0,4)))</f>
        <v/>
      </c>
      <c r="AN19" s="14">
        <f>IF((IF(AH19="",0,8)+IF(AJ19="",0,6)+IF(AL19="",0,4))=0,"",(IF(AH19="",0,AH19*8)+IF(AJ19="",0,AJ19*6)+IF(AL19="",0,AL19*4))/18)</f>
        <v/>
      </c>
      <c r="AO19" s="11">
        <f>IF(OR(City_Inputs!$AB19="",Norm_Stats!$F$17="",Norm_Stats!$G$17="",Norm_Stats!$G$17=Norm_Stats!$F$17),"",MAX(0,MIN(100,100*(MIN(MAX(City_Inputs!$AB19,Norm_Stats!$F$17),Norm_Stats!$G$17)-Norm_Stats!$F$17)/(Norm_Stats!$G$17-Norm_Stats!$F$17))))</f>
        <v/>
      </c>
      <c r="AP19" s="14">
        <f>IF(AO19="","",1)</f>
        <v/>
      </c>
      <c r="AQ19" s="11">
        <f>IF(OR(City_Inputs!$AC19="",Norm_Stats!$F$18="",Norm_Stats!$G$18="",Norm_Stats!$G$18=Norm_Stats!$F$18),"",MAX(0,MIN(100,100*(MIN(MAX(City_Inputs!$AC19,Norm_Stats!$F$18),Norm_Stats!$G$18)-Norm_Stats!$F$18)/(Norm_Stats!$G$18-Norm_Stats!$F$18))))</f>
        <v/>
      </c>
      <c r="AR19" s="14">
        <f>IF(AQ19="","",1)</f>
        <v/>
      </c>
      <c r="AS19" s="11">
        <f>IF(OR(City_Inputs!$AD19="",Norm_Stats!$F$19="",Norm_Stats!$G$19="",Norm_Stats!$G$19=Norm_Stats!$F$19),"",MAX(0,MIN(100,100*(MIN(MAX(City_Inputs!$AD19,Norm_Stats!$F$19),Norm_Stats!$G$19)-Norm_Stats!$F$19)/(Norm_Stats!$G$19-Norm_Stats!$F$19))))</f>
        <v/>
      </c>
      <c r="AT19" s="14">
        <f>IF(AS19="","",1)</f>
        <v/>
      </c>
      <c r="AU19" s="11">
        <f>IF(OR(City_Inputs!$BJ19="",Norm_Stats!$F$26="",Norm_Stats!$G$26="",Norm_Stats!$G$26=Norm_Stats!$F$26),"",MAX(0,MIN(100,100*(MIN(MAX(City_Inputs!$BJ19,Norm_Stats!$F$26),Norm_Stats!$G$26)-Norm_Stats!$F$26)/(Norm_Stats!$G$26-Norm_Stats!$F$26))))</f>
        <v/>
      </c>
      <c r="AV19" s="11">
        <f>IF(AU19="","",1)</f>
        <v/>
      </c>
      <c r="AW19" s="15">
        <f>IF((IF(AO19="",0,5)+IF(AQ19="",0,5)+IF(AS19="",0,5)+IF(AU19="",0,4))=0,"",(IF(AO19="",0,AO19*5)+IF(AQ19="",0,AQ19*5)+IF(AS19="",0,AS19*5)+IF(AU19="",0,AU19*4))/(IF(AO19="",0,5)+IF(AQ19="",0,5)+IF(AS19="",0,5)+IF(AU19="",0,4)))</f>
        <v/>
      </c>
      <c r="AX19" s="14">
        <f>IF((IF(AP19="",0,5)+IF(AR19="",0,5)+IF(AT19="",0,5)+IF(AV19="",0,4))=0,"",(IF(AP19="",0,AP19*5)+IF(AR19="",0,AR19*5)+IF(AT19="",0,AT19*5)+IF(AV19="",0,AV19*4))/19)</f>
        <v/>
      </c>
      <c r="AY19" s="11">
        <f>IF(OR(City_Inputs!$AE19="",Norm_Stats!$F$20="",Norm_Stats!$G$20="",Norm_Stats!$G$20=Norm_Stats!$F$20),"",MAX(0,MIN(100,100*(MIN(MAX(City_Inputs!$AE19,Norm_Stats!$F$20),Norm_Stats!$G$20)-Norm_Stats!$F$20)/(Norm_Stats!$G$20-Norm_Stats!$F$20))))</f>
        <v/>
      </c>
      <c r="AZ19" s="14">
        <f>IF(AY19="","",1)</f>
        <v/>
      </c>
      <c r="BA19" s="11">
        <f>IF(OR(City_Inputs!$AF19="",Norm_Stats!$F$21="",Norm_Stats!$G$21="",Norm_Stats!$G$21=Norm_Stats!$F$21),"",MAX(0,MIN(100,100*(MIN(MAX(City_Inputs!$AF19,Norm_Stats!$F$21),Norm_Stats!$G$21)-Norm_Stats!$F$21)/(Norm_Stats!$G$21-Norm_Stats!$F$21))))</f>
        <v/>
      </c>
      <c r="BB19" s="14">
        <f>IF(BA19="","",1)</f>
        <v/>
      </c>
      <c r="BC19" s="11">
        <f>IF((IF((IF(OR(City_Inputs!$AG19="",Norm_Stats!$F$22="",Norm_Stats!$G$22="",Norm_Stats!$G$22=Norm_Stats!$F$22),"",MAX(0,MIN(100,100*(MIN(MAX(City_Inputs!$AG19,Norm_Stats!$F$22),Norm_Stats!$G$22)-Norm_Stats!$F$22)/(Norm_Stats!$G$22-Norm_Stats!$F$22)))))="",0,0.5)+IF((IF(OR(City_Inputs!$AJ19="",Norm_Stats!$F$23="",Norm_Stats!$G$23="",Norm_Stats!$G$23=Norm_Stats!$F$23),"",MAX(0,MIN(100,100*(MIN(MAX(City_Inputs!$AJ19,Norm_Stats!$F$23),Norm_Stats!$G$23)-Norm_Stats!$F$23)/(Norm_Stats!$G$23-Norm_Stats!$F$23)))))="",0,0.3)+IF((IF(OR(City_Inputs!$AK19="",Norm_Stats!$F$24="",Norm_Stats!$G$24="",Norm_Stats!$G$24=Norm_Stats!$F$24),"",MAX(0,MIN(100,100*(MIN(MAX(City_Inputs!$AK19,Norm_Stats!$F$24),Norm_Stats!$G$24)-Norm_Stats!$F$24)/(Norm_Stats!$G$24-Norm_Stats!$F$24)))))="",0,0.2))=0,"",(IF((IF(OR(City_Inputs!$AG19="",Norm_Stats!$F$22="",Norm_Stats!$G$22="",Norm_Stats!$G$22=Norm_Stats!$F$22),"",MAX(0,MIN(100,100*(MIN(MAX(City_Inputs!$AG19,Norm_Stats!$F$22),Norm_Stats!$G$22)-Norm_Stats!$F$22)/(Norm_Stats!$G$22-Norm_Stats!$F$22)))))="",0,(IF(OR(City_Inputs!$AG19="",Norm_Stats!$F$22="",Norm_Stats!$G$22="",Norm_Stats!$G$22=Norm_Stats!$F$22),"",MAX(0,MIN(100,100*(MIN(MAX(City_Inputs!$AG19,Norm_Stats!$F$22),Norm_Stats!$G$22)-Norm_Stats!$F$22)/(Norm_Stats!$G$22-Norm_Stats!$F$22)))))*0.5)+IF((IF(OR(City_Inputs!$AJ19="",Norm_Stats!$F$23="",Norm_Stats!$G$23="",Norm_Stats!$G$23=Norm_Stats!$F$23),"",MAX(0,MIN(100,100*(MIN(MAX(City_Inputs!$AJ19,Norm_Stats!$F$23),Norm_Stats!$G$23)-Norm_Stats!$F$23)/(Norm_Stats!$G$23-Norm_Stats!$F$23)))))="",0,(IF(OR(City_Inputs!$AJ19="",Norm_Stats!$F$23="",Norm_Stats!$G$23="",Norm_Stats!$G$23=Norm_Stats!$F$23),"",MAX(0,MIN(100,100*(MIN(MAX(City_Inputs!$AJ19,Norm_Stats!$F$23),Norm_Stats!$G$23)-Norm_Stats!$F$23)/(Norm_Stats!$G$23-Norm_Stats!$F$23)))))*0.3)+IF((IF(OR(City_Inputs!$AK19="",Norm_Stats!$F$24="",Norm_Stats!$G$24="",Norm_Stats!$G$24=Norm_Stats!$F$24),"",MAX(0,MIN(100,100*(MIN(MAX(City_Inputs!$AK19,Norm_Stats!$F$24),Norm_Stats!$G$24)-Norm_Stats!$F$24)/(Norm_Stats!$G$24-Norm_Stats!$F$24)))))="",0,(IF(OR(City_Inputs!$AK19="",Norm_Stats!$F$24="",Norm_Stats!$G$24="",Norm_Stats!$G$24=Norm_Stats!$F$24),"",MAX(0,MIN(100,100*(MIN(MAX(City_Inputs!$AK19,Norm_Stats!$F$24),Norm_Stats!$G$24)-Norm_Stats!$F$24)/(Norm_Stats!$G$24-Norm_Stats!$F$24)))))*0.2))/(IF((IF(OR(City_Inputs!$AG19="",Norm_Stats!$F$22="",Norm_Stats!$G$22="",Norm_Stats!$G$22=Norm_Stats!$F$22),"",MAX(0,MIN(100,100*(MIN(MAX(City_Inputs!$AG19,Norm_Stats!$F$22),Norm_Stats!$G$22)-Norm_Stats!$F$22)/(Norm_Stats!$G$22-Norm_Stats!$F$22)))))="",0,0.5)+IF((IF(OR(City_Inputs!$AJ19="",Norm_Stats!$F$23="",Norm_Stats!$G$23="",Norm_Stats!$G$23=Norm_Stats!$F$23),"",MAX(0,MIN(100,100*(MIN(MAX(City_Inputs!$AJ19,Norm_Stats!$F$23),Norm_Stats!$G$23)-Norm_Stats!$F$23)/(Norm_Stats!$G$23-Norm_Stats!$F$23)))))="",0,0.3)+IF((IF(OR(City_Inputs!$AK19="",Norm_Stats!$F$24="",Norm_Stats!$G$24="",Norm_Stats!$G$24=Norm_Stats!$F$24),"",MAX(0,MIN(100,100*(MIN(MAX(City_Inputs!$AK19,Norm_Stats!$F$24),Norm_Stats!$G$24)-Norm_Stats!$F$24)/(Norm_Stats!$G$24-Norm_Stats!$F$24)))))="",0,0.2)))</f>
        <v/>
      </c>
      <c r="BD19" s="14">
        <f>IF((IF((IF(OR(City_Inputs!$AG19="",Norm_Stats!$F$22="",Norm_Stats!$G$22="",Norm_Stats!$G$22=Norm_Stats!$F$22),"",MAX(0,MIN(100,100*(MIN(MAX(City_Inputs!$AG19,Norm_Stats!$F$22),Norm_Stats!$G$22)-Norm_Stats!$F$22)/(Norm_Stats!$G$22-Norm_Stats!$F$22)))))="",0,0.5)+IF((IF(OR(City_Inputs!$AJ19="",Norm_Stats!$F$23="",Norm_Stats!$G$23="",Norm_Stats!$G$23=Norm_Stats!$F$23),"",MAX(0,MIN(100,100*(MIN(MAX(City_Inputs!$AJ19,Norm_Stats!$F$23),Norm_Stats!$G$23)-Norm_Stats!$F$23)/(Norm_Stats!$G$23-Norm_Stats!$F$23)))))="",0,0.3)+IF((IF(OR(City_Inputs!$AK19="",Norm_Stats!$F$24="",Norm_Stats!$G$24="",Norm_Stats!$G$24=Norm_Stats!$F$24),"",MAX(0,MIN(100,100*(MIN(MAX(City_Inputs!$AK19,Norm_Stats!$F$24),Norm_Stats!$G$24)-Norm_Stats!$F$24)/(Norm_Stats!$G$24-Norm_Stats!$F$24)))))="",0,0.2))=0,"",(IF((IF(OR(City_Inputs!$AG19="",Norm_Stats!$F$22="",Norm_Stats!$G$22="",Norm_Stats!$G$22=Norm_Stats!$F$22),"",MAX(0,MIN(100,100*(MIN(MAX(City_Inputs!$AG19,Norm_Stats!$F$22),Norm_Stats!$G$22)-Norm_Stats!$F$22)/(Norm_Stats!$G$22-Norm_Stats!$F$22)))))="",0,0.5)+IF((IF(OR(City_Inputs!$AJ19="",Norm_Stats!$F$23="",Norm_Stats!$G$23="",Norm_Stats!$G$23=Norm_Stats!$F$23),"",MAX(0,MIN(100,100*(MIN(MAX(City_Inputs!$AJ19,Norm_Stats!$F$23),Norm_Stats!$G$23)-Norm_Stats!$F$23)/(Norm_Stats!$G$23-Norm_Stats!$F$23)))))="",0,0.3)+IF((IF(OR(City_Inputs!$AK19="",Norm_Stats!$F$24="",Norm_Stats!$G$24="",Norm_Stats!$G$24=Norm_Stats!$F$24),"",MAX(0,MIN(100,100*(MIN(MAX(City_Inputs!$AK19,Norm_Stats!$F$24),Norm_Stats!$G$24)-Norm_Stats!$F$24)/(Norm_Stats!$G$24-Norm_Stats!$F$24)))))="",0,0.2)))</f>
        <v/>
      </c>
      <c r="BE19" s="11">
        <f>IF(OR(City_Inputs!$AH19="",Norm_Stats!$F$25="",Norm_Stats!$G$25="",Norm_Stats!$G$25=Norm_Stats!$F$25),"",MAX(0,MIN(100,100*(Norm_Stats!$G$25-MIN(MAX(City_Inputs!$AH19,Norm_Stats!$F$25),Norm_Stats!$G$25))/(Norm_Stats!$G$25-Norm_Stats!$F$25))))</f>
        <v/>
      </c>
      <c r="BF19" s="14">
        <f>IF(BE19="","",1)</f>
        <v/>
      </c>
      <c r="BG19" s="15">
        <f>IF((IF(AY19="",0,6)+IF(BA19="",0,5)+IF(BC19="",0,5)+IF(BE19="",0,4))=0,"",(IF(AY19="",0,AY19*6)+IF(BA19="",0,BA19*5)+IF(BC19="",0,BC19*5)+IF(BE19="",0,BE19*4))/(IF(AY19="",0,6)+IF(BA19="",0,5)+IF(BC19="",0,5)+IF(BE19="",0,4)))</f>
        <v/>
      </c>
      <c r="BH19" s="14">
        <f>IF((IF(AZ19="",0,6)+IF(BB19="",0,5)+IF(BD19="",0,5)+IF(BF19="",0,4))=0,"",(IF(AZ19="",0,AZ19*6)+IF(BB19="",0,BB19*5)+IF(BD19="",0,BD19*5)+IF(BF19="",0,BF19*4))/20)</f>
        <v/>
      </c>
      <c r="BI19" s="14">
        <f>IF(AND(R19="",AF19="",AN19="",AX19="",BH19=""),"",((R19*25)+(AF19*22)+(AN19*18)+(AX19*15)+(BH19*20))/100)</f>
        <v/>
      </c>
      <c r="BJ19" s="11">
        <f>IF(BI19="","",IF(BI19&gt;=0.75,"A",IF(BI19&gt;=0.5,"B",IF(BI19&gt;=0.35,"C","Watchlist"))))</f>
        <v/>
      </c>
      <c r="BK19" s="11">
        <f>IF(OR(BI19="",BI19&lt;0.5,R19="",R19&lt;0.35,AF19="",AF19&lt;0.35,AN19="",AN19&lt;0.35,AX19="",AX19&lt;0.35,BH19="",BH19&lt;0.35),"Watchlist","Ranked")</f>
        <v/>
      </c>
      <c r="BL19" s="15">
        <f>IF(AND(Q19="",AE19="",AM19="",AW19="",BG19=""),"",(IF(Q19="",0,Q19*25)+IF(AE19="",0,AE19*22)+IF(AM19="",0,AM19*18)+IF(AW19="",0,AW19*15)+IF(BG19="",0,BG19*20))/(IF(Q19="",0,25)+IF(AE19="",0,22)+IF(AM19="",0,18)+IF(AW19="",0,15)+IF(BG19="",0,20)))</f>
        <v/>
      </c>
      <c r="BM19" s="11">
        <f>IF(BK19="Ranked",1+COUNTIFS($BK$2:$BK$158,"Ranked",$BL$2:$BL$158,"&gt;"&amp;BL19),"")</f>
        <v/>
      </c>
      <c r="BN19" s="11">
        <f>City_Inputs!$AI19</f>
        <v/>
      </c>
    </row>
    <row r="20">
      <c r="A20" t="inlineStr">
        <is>
          <t>cn-hangzhou</t>
        </is>
      </c>
      <c r="B20" t="inlineStr">
        <is>
          <t>Hangzhou</t>
        </is>
      </c>
      <c r="C20" t="inlineStr">
        <is>
          <t>China</t>
        </is>
      </c>
      <c r="D20" t="inlineStr">
        <is>
          <t>East Asia</t>
        </is>
      </c>
      <c r="E20" t="inlineStr">
        <is>
          <t>provisional</t>
        </is>
      </c>
      <c r="F20" t="inlineStr">
        <is>
          <t>primary</t>
        </is>
      </c>
      <c r="G20" s="11">
        <f>IF(OR(City_Inputs!$M20="",Norm_Stats!$F$2="",Norm_Stats!$G$2="",Norm_Stats!$G$2=Norm_Stats!$F$2),"",MAX(0,MIN(100,100*(MIN(MAX(City_Inputs!$M20,Norm_Stats!$F$2),Norm_Stats!$G$2)-Norm_Stats!$F$2)/(Norm_Stats!$G$2-Norm_Stats!$F$2))))</f>
        <v/>
      </c>
      <c r="H20" s="14">
        <f>IF(G20="","",1)</f>
        <v/>
      </c>
      <c r="I20" s="11">
        <f>IF(OR(City_Inputs!$N20="",Norm_Stats!$F$3="",Norm_Stats!$G$3="",Norm_Stats!$G$3=Norm_Stats!$F$3),"",MAX(0,MIN(100,100*(Norm_Stats!$G$3-MIN(MAX(City_Inputs!$N20,Norm_Stats!$F$3),Norm_Stats!$G$3))/(Norm_Stats!$G$3-Norm_Stats!$F$3))))</f>
        <v/>
      </c>
      <c r="J20" s="14">
        <f>IF(I20="","",1)</f>
        <v/>
      </c>
      <c r="K20" s="11">
        <f>IF(OR(City_Inputs!$P20="",Norm_Stats!$F$4="",Norm_Stats!$G$4="",Norm_Stats!$G$4=Norm_Stats!$F$4),"",MAX(0,MIN(100,100*(Norm_Stats!$G$4-MIN(MAX(City_Inputs!$P20,Norm_Stats!$F$4),Norm_Stats!$G$4))/(Norm_Stats!$G$4-Norm_Stats!$F$4))))</f>
        <v/>
      </c>
      <c r="L20" s="14">
        <f>IF(K20="","",1)</f>
        <v/>
      </c>
      <c r="M20" s="11">
        <f>IF(OR(City_Inputs!$Q20="",Norm_Stats!$F$5="",Norm_Stats!$G$5="",Norm_Stats!$G$5=Norm_Stats!$F$5),"",MAX(0,MIN(100,100*(Norm_Stats!$G$5-MIN(MAX(City_Inputs!$Q20,Norm_Stats!$F$5),Norm_Stats!$G$5))/(Norm_Stats!$G$5-Norm_Stats!$F$5))))</f>
        <v/>
      </c>
      <c r="N20" s="14">
        <f>IF(M20="","",1)</f>
        <v/>
      </c>
      <c r="O20" s="11">
        <f>IF(OR(City_Inputs!$R20="",Norm_Stats!$F$6="",Norm_Stats!$G$6="",Norm_Stats!$G$6=Norm_Stats!$F$6),"",MAX(0,MIN(100,100*(Norm_Stats!$G$6-MIN(MAX(City_Inputs!$R20,Norm_Stats!$F$6),Norm_Stats!$G$6))/(Norm_Stats!$G$6-Norm_Stats!$F$6))))</f>
        <v/>
      </c>
      <c r="P20" s="14">
        <f>IF(O20="","",1)</f>
        <v/>
      </c>
      <c r="Q20" s="15">
        <f>IF((IF(G20="",0,9)+IF(I20="",0,5)+IF(K20="",0,4)+IF(M20="",0,4)+IF(O20="",0,5))=0,"",(IF(G20="",0,G20*9)+IF(I20="",0,I20*5)+IF(K20="",0,K20*4)+IF(M20="",0,M20*4)+IF(O20="",0,O20*5))/(IF(G20="",0,9)+IF(I20="",0,5)+IF(K20="",0,4)+IF(M20="",0,4)+IF(O20="",0,5)))</f>
        <v/>
      </c>
      <c r="R20" s="14">
        <f>IF((IF(H20="",0,9)+IF(J20="",0,5)+IF(L20="",0,4)+IF(N20="",0,4)+IF(P20="",0,5))=0,"",(IF(H20="",0,H20*9)+IF(J20="",0,J20*5)+IF(L20="",0,L20*4)+IF(N20="",0,N20*4)+IF(P20="",0,P20*5))/27)</f>
        <v/>
      </c>
      <c r="S20" s="11">
        <f>IF(OR(City_Inputs!$S20="",Norm_Stats!$F$7="",Norm_Stats!$G$7="",Norm_Stats!$G$7=Norm_Stats!$F$7),"",MAX(0,MIN(100,100*(Norm_Stats!$G$7-MIN(MAX(City_Inputs!$S20,Norm_Stats!$F$7),Norm_Stats!$G$7))/(Norm_Stats!$G$7-Norm_Stats!$F$7))))</f>
        <v/>
      </c>
      <c r="T20" s="14">
        <f>IF(S20="","",1)</f>
        <v/>
      </c>
      <c r="U20" s="11">
        <f>IF(OR(City_Inputs!$T20="",Norm_Stats!$F$8="",Norm_Stats!$G$8="",Norm_Stats!$G$8=Norm_Stats!$F$8),"",MAX(0,MIN(100,100*(MIN(MAX(City_Inputs!$T20,Norm_Stats!$F$8),Norm_Stats!$G$8)-Norm_Stats!$F$8)/(Norm_Stats!$G$8-Norm_Stats!$F$8))))</f>
        <v/>
      </c>
      <c r="V20" s="14">
        <f>IF(U20="","",1)</f>
        <v/>
      </c>
      <c r="W20" s="11">
        <f>IF(OR(City_Inputs!$U20="",Norm_Stats!$F$9="",Norm_Stats!$G$9="",Norm_Stats!$G$9=Norm_Stats!$F$9),"",MAX(0,MIN(100,100*(Norm_Stats!$G$9-MIN(MAX(City_Inputs!$U20,Norm_Stats!$F$9),Norm_Stats!$G$9))/(Norm_Stats!$G$9-Norm_Stats!$F$9))))</f>
        <v/>
      </c>
      <c r="X20" s="14">
        <f>IF(W20="","",1)</f>
        <v/>
      </c>
      <c r="Y20" s="11">
        <f>IF(OR(City_Inputs!$V20="",Norm_Stats!$F$10="",Norm_Stats!$G$10="",Norm_Stats!$G$10=Norm_Stats!$F$10),"",MAX(0,MIN(100,100*(MIN(MAX(City_Inputs!$V20,Norm_Stats!$F$10),Norm_Stats!$G$10)-Norm_Stats!$F$10)/(Norm_Stats!$G$10-Norm_Stats!$F$10))))</f>
        <v/>
      </c>
      <c r="Z20" s="14">
        <f>IF(Y20="","",1)</f>
        <v/>
      </c>
      <c r="AA20" s="11">
        <f>IF(OR(City_Inputs!$W20="",Norm_Stats!$F$11="",Norm_Stats!$G$11="",Norm_Stats!$G$11=Norm_Stats!$F$11),"",MAX(0,MIN(100,100*(MIN(MAX(City_Inputs!$W20,Norm_Stats!$F$11),Norm_Stats!$G$11)-Norm_Stats!$F$11)/(Norm_Stats!$G$11-Norm_Stats!$F$11))))</f>
        <v/>
      </c>
      <c r="AB20" s="14">
        <f>IF(AA20="","",1)</f>
        <v/>
      </c>
      <c r="AC20" s="11">
        <f>IF(OR(City_Inputs!$X20="",Norm_Stats!$F$12="",Norm_Stats!$G$12="",Norm_Stats!$G$12=Norm_Stats!$F$12),"",MAX(0,MIN(100,100*(MIN(MAX(City_Inputs!$X20,Norm_Stats!$F$12),Norm_Stats!$G$12)-Norm_Stats!$F$12)/(Norm_Stats!$G$12-Norm_Stats!$F$12))))</f>
        <v/>
      </c>
      <c r="AD20" s="11">
        <f>IF(AC20="","",1)</f>
        <v/>
      </c>
      <c r="AE20" s="15">
        <f>IF((IF(S20="",0,5)+IF(U20="",0,5)+IF(W20="",0,4)+IF(Y20="",0,4)+IF(AA20="",0,4)+IF(AC20="",0,5))=0,"",(IF(S20="",0,S20*5)+IF(U20="",0,U20*5)+IF(W20="",0,W20*4)+IF(Y20="",0,Y20*4)+IF(AA20="",0,AA20*4)+IF(AC20="",0,AC20*5))/(IF(S20="",0,5)+IF(U20="",0,5)+IF(W20="",0,4)+IF(Y20="",0,4)+IF(AA20="",0,4)+IF(AC20="",0,5)))</f>
        <v/>
      </c>
      <c r="AF20" s="14">
        <f>IF((IF(T20="",0,5)+IF(V20="",0,5)+IF(X20="",0,4)+IF(Z20="",0,4)+IF(AB20="",0,4)+IF(AD20="",0,5))=0,"",(IF(T20="",0,T20*5)+IF(V20="",0,V20*5)+IF(X20="",0,X20*4)+IF(Z20="",0,Z20*4)+IF(AB20="",0,AB20*4)+IF(AD20="",0,AD20*5))/27)</f>
        <v/>
      </c>
      <c r="AG20" s="11">
        <f>IF(OR(City_Inputs!$Y20="",Norm_Stats!$F$13="",Norm_Stats!$G$13="",Norm_Stats!$G$13=Norm_Stats!$F$13),"",MAX(0,MIN(100,100*(MIN(MAX(City_Inputs!$Y20,Norm_Stats!$F$13),Norm_Stats!$G$13)-Norm_Stats!$F$13)/(Norm_Stats!$G$13-Norm_Stats!$F$13))))</f>
        <v/>
      </c>
      <c r="AH20" s="14">
        <f>IF(AG20="","",1)</f>
        <v/>
      </c>
      <c r="AI20" s="11">
        <f>IF(OR(City_Inputs!$Z20="",Norm_Stats!$F$14="",Norm_Stats!$G$14="",Norm_Stats!$G$14=Norm_Stats!$F$14),"",MAX(0,MIN(100,100*(MIN(MAX(City_Inputs!$Z20,Norm_Stats!$F$14),Norm_Stats!$G$14)-Norm_Stats!$F$14)/(Norm_Stats!$G$14-Norm_Stats!$F$14))))</f>
        <v/>
      </c>
      <c r="AJ20" s="14">
        <f>IF(AI20="","",1)</f>
        <v/>
      </c>
      <c r="AK20" s="11">
        <f>IF((IF((IF(OR(City_Inputs!$AA20="",Norm_Stats!$F$15="",Norm_Stats!$G$15="",Norm_Stats!$G$15=Norm_Stats!$F$15),"",MAX(0,MIN(100,100*(MIN(MAX(City_Inputs!$AA20,Norm_Stats!$F$15),Norm_Stats!$G$15)-Norm_Stats!$F$15)/(Norm_Stats!$G$15-Norm_Stats!$F$15)))))="",0,0.7)+IF((IF(OR(City_Inputs!$AL20="",Norm_Stats!$F$16="",Norm_Stats!$G$16="",Norm_Stats!$G$16=Norm_Stats!$F$16),"",MAX(0,MIN(100,100*(Norm_Stats!$G$16-MIN(MAX(City_Inputs!$AL20,Norm_Stats!$F$16),Norm_Stats!$G$16))/(Norm_Stats!$G$16-Norm_Stats!$F$16)))))="",0,0.3))=0,"",(IF((IF(OR(City_Inputs!$AA20="",Norm_Stats!$F$15="",Norm_Stats!$G$15="",Norm_Stats!$G$15=Norm_Stats!$F$15),"",MAX(0,MIN(100,100*(MIN(MAX(City_Inputs!$AA20,Norm_Stats!$F$15),Norm_Stats!$G$15)-Norm_Stats!$F$15)/(Norm_Stats!$G$15-Norm_Stats!$F$15)))))="",0,(IF(OR(City_Inputs!$AA20="",Norm_Stats!$F$15="",Norm_Stats!$G$15="",Norm_Stats!$G$15=Norm_Stats!$F$15),"",MAX(0,MIN(100,100*(MIN(MAX(City_Inputs!$AA20,Norm_Stats!$F$15),Norm_Stats!$G$15)-Norm_Stats!$F$15)/(Norm_Stats!$G$15-Norm_Stats!$F$15)))))*0.7)+IF((IF(OR(City_Inputs!$AL20="",Norm_Stats!$F$16="",Norm_Stats!$G$16="",Norm_Stats!$G$16=Norm_Stats!$F$16),"",MAX(0,MIN(100,100*(Norm_Stats!$G$16-MIN(MAX(City_Inputs!$AL20,Norm_Stats!$F$16),Norm_Stats!$G$16))/(Norm_Stats!$G$16-Norm_Stats!$F$16)))))="",0,(IF(OR(City_Inputs!$AL20="",Norm_Stats!$F$16="",Norm_Stats!$G$16="",Norm_Stats!$G$16=Norm_Stats!$F$16),"",MAX(0,MIN(100,100*(Norm_Stats!$G$16-MIN(MAX(City_Inputs!$AL20,Norm_Stats!$F$16),Norm_Stats!$G$16))/(Norm_Stats!$G$16-Norm_Stats!$F$16)))))*0.3))/(IF((IF(OR(City_Inputs!$AA20="",Norm_Stats!$F$15="",Norm_Stats!$G$15="",Norm_Stats!$G$15=Norm_Stats!$F$15),"",MAX(0,MIN(100,100*(MIN(MAX(City_Inputs!$AA20,Norm_Stats!$F$15),Norm_Stats!$G$15)-Norm_Stats!$F$15)/(Norm_Stats!$G$15-Norm_Stats!$F$15)))))="",0,0.7)+IF((IF(OR(City_Inputs!$AL20="",Norm_Stats!$F$16="",Norm_Stats!$G$16="",Norm_Stats!$G$16=Norm_Stats!$F$16),"",MAX(0,MIN(100,100*(Norm_Stats!$G$16-MIN(MAX(City_Inputs!$AL20,Norm_Stats!$F$16),Norm_Stats!$G$16))/(Norm_Stats!$G$16-Norm_Stats!$F$16)))))="",0,0.3)))</f>
        <v/>
      </c>
      <c r="AL20" s="14">
        <f>IF((IF((IF(OR(City_Inputs!$AA20="",Norm_Stats!$F$15="",Norm_Stats!$G$15="",Norm_Stats!$G$15=Norm_Stats!$F$15),"",MAX(0,MIN(100,100*(MIN(MAX(City_Inputs!$AA20,Norm_Stats!$F$15),Norm_Stats!$G$15)-Norm_Stats!$F$15)/(Norm_Stats!$G$15-Norm_Stats!$F$15)))))="",0,0.7)+IF((IF(OR(City_Inputs!$AL20="",Norm_Stats!$F$16="",Norm_Stats!$G$16="",Norm_Stats!$G$16=Norm_Stats!$F$16),"",MAX(0,MIN(100,100*(Norm_Stats!$G$16-MIN(MAX(City_Inputs!$AL20,Norm_Stats!$F$16),Norm_Stats!$G$16))/(Norm_Stats!$G$16-Norm_Stats!$F$16)))))="",0,0.3))=0,"",(IF((IF(OR(City_Inputs!$AA20="",Norm_Stats!$F$15="",Norm_Stats!$G$15="",Norm_Stats!$G$15=Norm_Stats!$F$15),"",MAX(0,MIN(100,100*(MIN(MAX(City_Inputs!$AA20,Norm_Stats!$F$15),Norm_Stats!$G$15)-Norm_Stats!$F$15)/(Norm_Stats!$G$15-Norm_Stats!$F$15)))))="",0,0.7)+IF((IF(OR(City_Inputs!$AL20="",Norm_Stats!$F$16="",Norm_Stats!$G$16="",Norm_Stats!$G$16=Norm_Stats!$F$16),"",MAX(0,MIN(100,100*(Norm_Stats!$G$16-MIN(MAX(City_Inputs!$AL20,Norm_Stats!$F$16),Norm_Stats!$G$16))/(Norm_Stats!$G$16-Norm_Stats!$F$16)))))="",0,0.3)))</f>
        <v/>
      </c>
      <c r="AM20" s="15">
        <f>IF((IF(AG20="",0,8)+IF(AI20="",0,6)+IF(AK20="",0,4))=0,"",(IF(AG20="",0,AG20*8)+IF(AI20="",0,AI20*6)+IF(AK20="",0,AK20*4))/(IF(AG20="",0,8)+IF(AI20="",0,6)+IF(AK20="",0,4)))</f>
        <v/>
      </c>
      <c r="AN20" s="14">
        <f>IF((IF(AH20="",0,8)+IF(AJ20="",0,6)+IF(AL20="",0,4))=0,"",(IF(AH20="",0,AH20*8)+IF(AJ20="",0,AJ20*6)+IF(AL20="",0,AL20*4))/18)</f>
        <v/>
      </c>
      <c r="AO20" s="11">
        <f>IF(OR(City_Inputs!$AB20="",Norm_Stats!$F$17="",Norm_Stats!$G$17="",Norm_Stats!$G$17=Norm_Stats!$F$17),"",MAX(0,MIN(100,100*(MIN(MAX(City_Inputs!$AB20,Norm_Stats!$F$17),Norm_Stats!$G$17)-Norm_Stats!$F$17)/(Norm_Stats!$G$17-Norm_Stats!$F$17))))</f>
        <v/>
      </c>
      <c r="AP20" s="14">
        <f>IF(AO20="","",1)</f>
        <v/>
      </c>
      <c r="AQ20" s="11">
        <f>IF(OR(City_Inputs!$AC20="",Norm_Stats!$F$18="",Norm_Stats!$G$18="",Norm_Stats!$G$18=Norm_Stats!$F$18),"",MAX(0,MIN(100,100*(MIN(MAX(City_Inputs!$AC20,Norm_Stats!$F$18),Norm_Stats!$G$18)-Norm_Stats!$F$18)/(Norm_Stats!$G$18-Norm_Stats!$F$18))))</f>
        <v/>
      </c>
      <c r="AR20" s="14">
        <f>IF(AQ20="","",1)</f>
        <v/>
      </c>
      <c r="AS20" s="11">
        <f>IF(OR(City_Inputs!$AD20="",Norm_Stats!$F$19="",Norm_Stats!$G$19="",Norm_Stats!$G$19=Norm_Stats!$F$19),"",MAX(0,MIN(100,100*(MIN(MAX(City_Inputs!$AD20,Norm_Stats!$F$19),Norm_Stats!$G$19)-Norm_Stats!$F$19)/(Norm_Stats!$G$19-Norm_Stats!$F$19))))</f>
        <v/>
      </c>
      <c r="AT20" s="14">
        <f>IF(AS20="","",1)</f>
        <v/>
      </c>
      <c r="AU20" s="11">
        <f>IF(OR(City_Inputs!$BJ20="",Norm_Stats!$F$26="",Norm_Stats!$G$26="",Norm_Stats!$G$26=Norm_Stats!$F$26),"",MAX(0,MIN(100,100*(MIN(MAX(City_Inputs!$BJ20,Norm_Stats!$F$26),Norm_Stats!$G$26)-Norm_Stats!$F$26)/(Norm_Stats!$G$26-Norm_Stats!$F$26))))</f>
        <v/>
      </c>
      <c r="AV20" s="11">
        <f>IF(AU20="","",1)</f>
        <v/>
      </c>
      <c r="AW20" s="15">
        <f>IF((IF(AO20="",0,5)+IF(AQ20="",0,5)+IF(AS20="",0,5)+IF(AU20="",0,4))=0,"",(IF(AO20="",0,AO20*5)+IF(AQ20="",0,AQ20*5)+IF(AS20="",0,AS20*5)+IF(AU20="",0,AU20*4))/(IF(AO20="",0,5)+IF(AQ20="",0,5)+IF(AS20="",0,5)+IF(AU20="",0,4)))</f>
        <v/>
      </c>
      <c r="AX20" s="14">
        <f>IF((IF(AP20="",0,5)+IF(AR20="",0,5)+IF(AT20="",0,5)+IF(AV20="",0,4))=0,"",(IF(AP20="",0,AP20*5)+IF(AR20="",0,AR20*5)+IF(AT20="",0,AT20*5)+IF(AV20="",0,AV20*4))/19)</f>
        <v/>
      </c>
      <c r="AY20" s="11">
        <f>IF(OR(City_Inputs!$AE20="",Norm_Stats!$F$20="",Norm_Stats!$G$20="",Norm_Stats!$G$20=Norm_Stats!$F$20),"",MAX(0,MIN(100,100*(MIN(MAX(City_Inputs!$AE20,Norm_Stats!$F$20),Norm_Stats!$G$20)-Norm_Stats!$F$20)/(Norm_Stats!$G$20-Norm_Stats!$F$20))))</f>
        <v/>
      </c>
      <c r="AZ20" s="14">
        <f>IF(AY20="","",1)</f>
        <v/>
      </c>
      <c r="BA20" s="11">
        <f>IF(OR(City_Inputs!$AF20="",Norm_Stats!$F$21="",Norm_Stats!$G$21="",Norm_Stats!$G$21=Norm_Stats!$F$21),"",MAX(0,MIN(100,100*(MIN(MAX(City_Inputs!$AF20,Norm_Stats!$F$21),Norm_Stats!$G$21)-Norm_Stats!$F$21)/(Norm_Stats!$G$21-Norm_Stats!$F$21))))</f>
        <v/>
      </c>
      <c r="BB20" s="14">
        <f>IF(BA20="","",1)</f>
        <v/>
      </c>
      <c r="BC20" s="11">
        <f>IF((IF((IF(OR(City_Inputs!$AG20="",Norm_Stats!$F$22="",Norm_Stats!$G$22="",Norm_Stats!$G$22=Norm_Stats!$F$22),"",MAX(0,MIN(100,100*(MIN(MAX(City_Inputs!$AG20,Norm_Stats!$F$22),Norm_Stats!$G$22)-Norm_Stats!$F$22)/(Norm_Stats!$G$22-Norm_Stats!$F$22)))))="",0,0.5)+IF((IF(OR(City_Inputs!$AJ20="",Norm_Stats!$F$23="",Norm_Stats!$G$23="",Norm_Stats!$G$23=Norm_Stats!$F$23),"",MAX(0,MIN(100,100*(MIN(MAX(City_Inputs!$AJ20,Norm_Stats!$F$23),Norm_Stats!$G$23)-Norm_Stats!$F$23)/(Norm_Stats!$G$23-Norm_Stats!$F$23)))))="",0,0.3)+IF((IF(OR(City_Inputs!$AK20="",Norm_Stats!$F$24="",Norm_Stats!$G$24="",Norm_Stats!$G$24=Norm_Stats!$F$24),"",MAX(0,MIN(100,100*(MIN(MAX(City_Inputs!$AK20,Norm_Stats!$F$24),Norm_Stats!$G$24)-Norm_Stats!$F$24)/(Norm_Stats!$G$24-Norm_Stats!$F$24)))))="",0,0.2))=0,"",(IF((IF(OR(City_Inputs!$AG20="",Norm_Stats!$F$22="",Norm_Stats!$G$22="",Norm_Stats!$G$22=Norm_Stats!$F$22),"",MAX(0,MIN(100,100*(MIN(MAX(City_Inputs!$AG20,Norm_Stats!$F$22),Norm_Stats!$G$22)-Norm_Stats!$F$22)/(Norm_Stats!$G$22-Norm_Stats!$F$22)))))="",0,(IF(OR(City_Inputs!$AG20="",Norm_Stats!$F$22="",Norm_Stats!$G$22="",Norm_Stats!$G$22=Norm_Stats!$F$22),"",MAX(0,MIN(100,100*(MIN(MAX(City_Inputs!$AG20,Norm_Stats!$F$22),Norm_Stats!$G$22)-Norm_Stats!$F$22)/(Norm_Stats!$G$22-Norm_Stats!$F$22)))))*0.5)+IF((IF(OR(City_Inputs!$AJ20="",Norm_Stats!$F$23="",Norm_Stats!$G$23="",Norm_Stats!$G$23=Norm_Stats!$F$23),"",MAX(0,MIN(100,100*(MIN(MAX(City_Inputs!$AJ20,Norm_Stats!$F$23),Norm_Stats!$G$23)-Norm_Stats!$F$23)/(Norm_Stats!$G$23-Norm_Stats!$F$23)))))="",0,(IF(OR(City_Inputs!$AJ20="",Norm_Stats!$F$23="",Norm_Stats!$G$23="",Norm_Stats!$G$23=Norm_Stats!$F$23),"",MAX(0,MIN(100,100*(MIN(MAX(City_Inputs!$AJ20,Norm_Stats!$F$23),Norm_Stats!$G$23)-Norm_Stats!$F$23)/(Norm_Stats!$G$23-Norm_Stats!$F$23)))))*0.3)+IF((IF(OR(City_Inputs!$AK20="",Norm_Stats!$F$24="",Norm_Stats!$G$24="",Norm_Stats!$G$24=Norm_Stats!$F$24),"",MAX(0,MIN(100,100*(MIN(MAX(City_Inputs!$AK20,Norm_Stats!$F$24),Norm_Stats!$G$24)-Norm_Stats!$F$24)/(Norm_Stats!$G$24-Norm_Stats!$F$24)))))="",0,(IF(OR(City_Inputs!$AK20="",Norm_Stats!$F$24="",Norm_Stats!$G$24="",Norm_Stats!$G$24=Norm_Stats!$F$24),"",MAX(0,MIN(100,100*(MIN(MAX(City_Inputs!$AK20,Norm_Stats!$F$24),Norm_Stats!$G$24)-Norm_Stats!$F$24)/(Norm_Stats!$G$24-Norm_Stats!$F$24)))))*0.2))/(IF((IF(OR(City_Inputs!$AG20="",Norm_Stats!$F$22="",Norm_Stats!$G$22="",Norm_Stats!$G$22=Norm_Stats!$F$22),"",MAX(0,MIN(100,100*(MIN(MAX(City_Inputs!$AG20,Norm_Stats!$F$22),Norm_Stats!$G$22)-Norm_Stats!$F$22)/(Norm_Stats!$G$22-Norm_Stats!$F$22)))))="",0,0.5)+IF((IF(OR(City_Inputs!$AJ20="",Norm_Stats!$F$23="",Norm_Stats!$G$23="",Norm_Stats!$G$23=Norm_Stats!$F$23),"",MAX(0,MIN(100,100*(MIN(MAX(City_Inputs!$AJ20,Norm_Stats!$F$23),Norm_Stats!$G$23)-Norm_Stats!$F$23)/(Norm_Stats!$G$23-Norm_Stats!$F$23)))))="",0,0.3)+IF((IF(OR(City_Inputs!$AK20="",Norm_Stats!$F$24="",Norm_Stats!$G$24="",Norm_Stats!$G$24=Norm_Stats!$F$24),"",MAX(0,MIN(100,100*(MIN(MAX(City_Inputs!$AK20,Norm_Stats!$F$24),Norm_Stats!$G$24)-Norm_Stats!$F$24)/(Norm_Stats!$G$24-Norm_Stats!$F$24)))))="",0,0.2)))</f>
        <v/>
      </c>
      <c r="BD20" s="14">
        <f>IF((IF((IF(OR(City_Inputs!$AG20="",Norm_Stats!$F$22="",Norm_Stats!$G$22="",Norm_Stats!$G$22=Norm_Stats!$F$22),"",MAX(0,MIN(100,100*(MIN(MAX(City_Inputs!$AG20,Norm_Stats!$F$22),Norm_Stats!$G$22)-Norm_Stats!$F$22)/(Norm_Stats!$G$22-Norm_Stats!$F$22)))))="",0,0.5)+IF((IF(OR(City_Inputs!$AJ20="",Norm_Stats!$F$23="",Norm_Stats!$G$23="",Norm_Stats!$G$23=Norm_Stats!$F$23),"",MAX(0,MIN(100,100*(MIN(MAX(City_Inputs!$AJ20,Norm_Stats!$F$23),Norm_Stats!$G$23)-Norm_Stats!$F$23)/(Norm_Stats!$G$23-Norm_Stats!$F$23)))))="",0,0.3)+IF((IF(OR(City_Inputs!$AK20="",Norm_Stats!$F$24="",Norm_Stats!$G$24="",Norm_Stats!$G$24=Norm_Stats!$F$24),"",MAX(0,MIN(100,100*(MIN(MAX(City_Inputs!$AK20,Norm_Stats!$F$24),Norm_Stats!$G$24)-Norm_Stats!$F$24)/(Norm_Stats!$G$24-Norm_Stats!$F$24)))))="",0,0.2))=0,"",(IF((IF(OR(City_Inputs!$AG20="",Norm_Stats!$F$22="",Norm_Stats!$G$22="",Norm_Stats!$G$22=Norm_Stats!$F$22),"",MAX(0,MIN(100,100*(MIN(MAX(City_Inputs!$AG20,Norm_Stats!$F$22),Norm_Stats!$G$22)-Norm_Stats!$F$22)/(Norm_Stats!$G$22-Norm_Stats!$F$22)))))="",0,0.5)+IF((IF(OR(City_Inputs!$AJ20="",Norm_Stats!$F$23="",Norm_Stats!$G$23="",Norm_Stats!$G$23=Norm_Stats!$F$23),"",MAX(0,MIN(100,100*(MIN(MAX(City_Inputs!$AJ20,Norm_Stats!$F$23),Norm_Stats!$G$23)-Norm_Stats!$F$23)/(Norm_Stats!$G$23-Norm_Stats!$F$23)))))="",0,0.3)+IF((IF(OR(City_Inputs!$AK20="",Norm_Stats!$F$24="",Norm_Stats!$G$24="",Norm_Stats!$G$24=Norm_Stats!$F$24),"",MAX(0,MIN(100,100*(MIN(MAX(City_Inputs!$AK20,Norm_Stats!$F$24),Norm_Stats!$G$24)-Norm_Stats!$F$24)/(Norm_Stats!$G$24-Norm_Stats!$F$24)))))="",0,0.2)))</f>
        <v/>
      </c>
      <c r="BE20" s="11">
        <f>IF(OR(City_Inputs!$AH20="",Norm_Stats!$F$25="",Norm_Stats!$G$25="",Norm_Stats!$G$25=Norm_Stats!$F$25),"",MAX(0,MIN(100,100*(Norm_Stats!$G$25-MIN(MAX(City_Inputs!$AH20,Norm_Stats!$F$25),Norm_Stats!$G$25))/(Norm_Stats!$G$25-Norm_Stats!$F$25))))</f>
        <v/>
      </c>
      <c r="BF20" s="14">
        <f>IF(BE20="","",1)</f>
        <v/>
      </c>
      <c r="BG20" s="15">
        <f>IF((IF(AY20="",0,6)+IF(BA20="",0,5)+IF(BC20="",0,5)+IF(BE20="",0,4))=0,"",(IF(AY20="",0,AY20*6)+IF(BA20="",0,BA20*5)+IF(BC20="",0,BC20*5)+IF(BE20="",0,BE20*4))/(IF(AY20="",0,6)+IF(BA20="",0,5)+IF(BC20="",0,5)+IF(BE20="",0,4)))</f>
        <v/>
      </c>
      <c r="BH20" s="14">
        <f>IF((IF(AZ20="",0,6)+IF(BB20="",0,5)+IF(BD20="",0,5)+IF(BF20="",0,4))=0,"",(IF(AZ20="",0,AZ20*6)+IF(BB20="",0,BB20*5)+IF(BD20="",0,BD20*5)+IF(BF20="",0,BF20*4))/20)</f>
        <v/>
      </c>
      <c r="BI20" s="14">
        <f>IF(AND(R20="",AF20="",AN20="",AX20="",BH20=""),"",((R20*25)+(AF20*22)+(AN20*18)+(AX20*15)+(BH20*20))/100)</f>
        <v/>
      </c>
      <c r="BJ20" s="11">
        <f>IF(BI20="","",IF(BI20&gt;=0.75,"A",IF(BI20&gt;=0.5,"B",IF(BI20&gt;=0.35,"C","Watchlist"))))</f>
        <v/>
      </c>
      <c r="BK20" s="11">
        <f>IF(OR(BI20="",BI20&lt;0.5,R20="",R20&lt;0.35,AF20="",AF20&lt;0.35,AN20="",AN20&lt;0.35,AX20="",AX20&lt;0.35,BH20="",BH20&lt;0.35),"Watchlist","Ranked")</f>
        <v/>
      </c>
      <c r="BL20" s="15">
        <f>IF(AND(Q20="",AE20="",AM20="",AW20="",BG20=""),"",(IF(Q20="",0,Q20*25)+IF(AE20="",0,AE20*22)+IF(AM20="",0,AM20*18)+IF(AW20="",0,AW20*15)+IF(BG20="",0,BG20*20))/(IF(Q20="",0,25)+IF(AE20="",0,22)+IF(AM20="",0,18)+IF(AW20="",0,15)+IF(BG20="",0,20)))</f>
        <v/>
      </c>
      <c r="BM20" s="11">
        <f>IF(BK20="Ranked",1+COUNTIFS($BK$2:$BK$158,"Ranked",$BL$2:$BL$158,"&gt;"&amp;BL20),"")</f>
        <v/>
      </c>
      <c r="BN20" s="11">
        <f>City_Inputs!$AI20</f>
        <v/>
      </c>
    </row>
    <row r="21">
      <c r="A21" t="inlineStr">
        <is>
          <t>jp-hiroshima</t>
        </is>
      </c>
      <c r="B21" t="inlineStr">
        <is>
          <t>Hiroshima</t>
        </is>
      </c>
      <c r="C21" t="inlineStr">
        <is>
          <t>Japan</t>
        </is>
      </c>
      <c r="D21" t="inlineStr">
        <is>
          <t>East Asia</t>
        </is>
      </c>
      <c r="E21" t="inlineStr">
        <is>
          <t>provisional</t>
        </is>
      </c>
      <c r="F21" t="inlineStr">
        <is>
          <t>primary</t>
        </is>
      </c>
      <c r="G21" s="11">
        <f>IF(OR(City_Inputs!$M21="",Norm_Stats!$F$2="",Norm_Stats!$G$2="",Norm_Stats!$G$2=Norm_Stats!$F$2),"",MAX(0,MIN(100,100*(MIN(MAX(City_Inputs!$M21,Norm_Stats!$F$2),Norm_Stats!$G$2)-Norm_Stats!$F$2)/(Norm_Stats!$G$2-Norm_Stats!$F$2))))</f>
        <v/>
      </c>
      <c r="H21" s="14">
        <f>IF(G21="","",1)</f>
        <v/>
      </c>
      <c r="I21" s="11">
        <f>IF(OR(City_Inputs!$N21="",Norm_Stats!$F$3="",Norm_Stats!$G$3="",Norm_Stats!$G$3=Norm_Stats!$F$3),"",MAX(0,MIN(100,100*(Norm_Stats!$G$3-MIN(MAX(City_Inputs!$N21,Norm_Stats!$F$3),Norm_Stats!$G$3))/(Norm_Stats!$G$3-Norm_Stats!$F$3))))</f>
        <v/>
      </c>
      <c r="J21" s="14">
        <f>IF(I21="","",1)</f>
        <v/>
      </c>
      <c r="K21" s="11">
        <f>IF(OR(City_Inputs!$P21="",Norm_Stats!$F$4="",Norm_Stats!$G$4="",Norm_Stats!$G$4=Norm_Stats!$F$4),"",MAX(0,MIN(100,100*(Norm_Stats!$G$4-MIN(MAX(City_Inputs!$P21,Norm_Stats!$F$4),Norm_Stats!$G$4))/(Norm_Stats!$G$4-Norm_Stats!$F$4))))</f>
        <v/>
      </c>
      <c r="L21" s="14">
        <f>IF(K21="","",1)</f>
        <v/>
      </c>
      <c r="M21" s="11">
        <f>IF(OR(City_Inputs!$Q21="",Norm_Stats!$F$5="",Norm_Stats!$G$5="",Norm_Stats!$G$5=Norm_Stats!$F$5),"",MAX(0,MIN(100,100*(Norm_Stats!$G$5-MIN(MAX(City_Inputs!$Q21,Norm_Stats!$F$5),Norm_Stats!$G$5))/(Norm_Stats!$G$5-Norm_Stats!$F$5))))</f>
        <v/>
      </c>
      <c r="N21" s="14">
        <f>IF(M21="","",1)</f>
        <v/>
      </c>
      <c r="O21" s="11">
        <f>IF(OR(City_Inputs!$R21="",Norm_Stats!$F$6="",Norm_Stats!$G$6="",Norm_Stats!$G$6=Norm_Stats!$F$6),"",MAX(0,MIN(100,100*(Norm_Stats!$G$6-MIN(MAX(City_Inputs!$R21,Norm_Stats!$F$6),Norm_Stats!$G$6))/(Norm_Stats!$G$6-Norm_Stats!$F$6))))</f>
        <v/>
      </c>
      <c r="P21" s="14">
        <f>IF(O21="","",1)</f>
        <v/>
      </c>
      <c r="Q21" s="15">
        <f>IF((IF(G21="",0,9)+IF(I21="",0,5)+IF(K21="",0,4)+IF(M21="",0,4)+IF(O21="",0,5))=0,"",(IF(G21="",0,G21*9)+IF(I21="",0,I21*5)+IF(K21="",0,K21*4)+IF(M21="",0,M21*4)+IF(O21="",0,O21*5))/(IF(G21="",0,9)+IF(I21="",0,5)+IF(K21="",0,4)+IF(M21="",0,4)+IF(O21="",0,5)))</f>
        <v/>
      </c>
      <c r="R21" s="14">
        <f>IF((IF(H21="",0,9)+IF(J21="",0,5)+IF(L21="",0,4)+IF(N21="",0,4)+IF(P21="",0,5))=0,"",(IF(H21="",0,H21*9)+IF(J21="",0,J21*5)+IF(L21="",0,L21*4)+IF(N21="",0,N21*4)+IF(P21="",0,P21*5))/27)</f>
        <v/>
      </c>
      <c r="S21" s="11">
        <f>IF(OR(City_Inputs!$S21="",Norm_Stats!$F$7="",Norm_Stats!$G$7="",Norm_Stats!$G$7=Norm_Stats!$F$7),"",MAX(0,MIN(100,100*(Norm_Stats!$G$7-MIN(MAX(City_Inputs!$S21,Norm_Stats!$F$7),Norm_Stats!$G$7))/(Norm_Stats!$G$7-Norm_Stats!$F$7))))</f>
        <v/>
      </c>
      <c r="T21" s="14">
        <f>IF(S21="","",1)</f>
        <v/>
      </c>
      <c r="U21" s="11">
        <f>IF(OR(City_Inputs!$T21="",Norm_Stats!$F$8="",Norm_Stats!$G$8="",Norm_Stats!$G$8=Norm_Stats!$F$8),"",MAX(0,MIN(100,100*(MIN(MAX(City_Inputs!$T21,Norm_Stats!$F$8),Norm_Stats!$G$8)-Norm_Stats!$F$8)/(Norm_Stats!$G$8-Norm_Stats!$F$8))))</f>
        <v/>
      </c>
      <c r="V21" s="14">
        <f>IF(U21="","",1)</f>
        <v/>
      </c>
      <c r="W21" s="11">
        <f>IF(OR(City_Inputs!$U21="",Norm_Stats!$F$9="",Norm_Stats!$G$9="",Norm_Stats!$G$9=Norm_Stats!$F$9),"",MAX(0,MIN(100,100*(Norm_Stats!$G$9-MIN(MAX(City_Inputs!$U21,Norm_Stats!$F$9),Norm_Stats!$G$9))/(Norm_Stats!$G$9-Norm_Stats!$F$9))))</f>
        <v/>
      </c>
      <c r="X21" s="14">
        <f>IF(W21="","",1)</f>
        <v/>
      </c>
      <c r="Y21" s="11">
        <f>IF(OR(City_Inputs!$V21="",Norm_Stats!$F$10="",Norm_Stats!$G$10="",Norm_Stats!$G$10=Norm_Stats!$F$10),"",MAX(0,MIN(100,100*(MIN(MAX(City_Inputs!$V21,Norm_Stats!$F$10),Norm_Stats!$G$10)-Norm_Stats!$F$10)/(Norm_Stats!$G$10-Norm_Stats!$F$10))))</f>
        <v/>
      </c>
      <c r="Z21" s="14">
        <f>IF(Y21="","",1)</f>
        <v/>
      </c>
      <c r="AA21" s="11">
        <f>IF(OR(City_Inputs!$W21="",Norm_Stats!$F$11="",Norm_Stats!$G$11="",Norm_Stats!$G$11=Norm_Stats!$F$11),"",MAX(0,MIN(100,100*(MIN(MAX(City_Inputs!$W21,Norm_Stats!$F$11),Norm_Stats!$G$11)-Norm_Stats!$F$11)/(Norm_Stats!$G$11-Norm_Stats!$F$11))))</f>
        <v/>
      </c>
      <c r="AB21" s="14">
        <f>IF(AA21="","",1)</f>
        <v/>
      </c>
      <c r="AC21" s="11">
        <f>IF(OR(City_Inputs!$X21="",Norm_Stats!$F$12="",Norm_Stats!$G$12="",Norm_Stats!$G$12=Norm_Stats!$F$12),"",MAX(0,MIN(100,100*(MIN(MAX(City_Inputs!$X21,Norm_Stats!$F$12),Norm_Stats!$G$12)-Norm_Stats!$F$12)/(Norm_Stats!$G$12-Norm_Stats!$F$12))))</f>
        <v/>
      </c>
      <c r="AD21" s="11">
        <f>IF(AC21="","",1)</f>
        <v/>
      </c>
      <c r="AE21" s="15">
        <f>IF((IF(S21="",0,5)+IF(U21="",0,5)+IF(W21="",0,4)+IF(Y21="",0,4)+IF(AA21="",0,4)+IF(AC21="",0,5))=0,"",(IF(S21="",0,S21*5)+IF(U21="",0,U21*5)+IF(W21="",0,W21*4)+IF(Y21="",0,Y21*4)+IF(AA21="",0,AA21*4)+IF(AC21="",0,AC21*5))/(IF(S21="",0,5)+IF(U21="",0,5)+IF(W21="",0,4)+IF(Y21="",0,4)+IF(AA21="",0,4)+IF(AC21="",0,5)))</f>
        <v/>
      </c>
      <c r="AF21" s="14">
        <f>IF((IF(T21="",0,5)+IF(V21="",0,5)+IF(X21="",0,4)+IF(Z21="",0,4)+IF(AB21="",0,4)+IF(AD21="",0,5))=0,"",(IF(T21="",0,T21*5)+IF(V21="",0,V21*5)+IF(X21="",0,X21*4)+IF(Z21="",0,Z21*4)+IF(AB21="",0,AB21*4)+IF(AD21="",0,AD21*5))/27)</f>
        <v/>
      </c>
      <c r="AG21" s="11">
        <f>IF(OR(City_Inputs!$Y21="",Norm_Stats!$F$13="",Norm_Stats!$G$13="",Norm_Stats!$G$13=Norm_Stats!$F$13),"",MAX(0,MIN(100,100*(MIN(MAX(City_Inputs!$Y21,Norm_Stats!$F$13),Norm_Stats!$G$13)-Norm_Stats!$F$13)/(Norm_Stats!$G$13-Norm_Stats!$F$13))))</f>
        <v/>
      </c>
      <c r="AH21" s="14">
        <f>IF(AG21="","",1)</f>
        <v/>
      </c>
      <c r="AI21" s="11">
        <f>IF(OR(City_Inputs!$Z21="",Norm_Stats!$F$14="",Norm_Stats!$G$14="",Norm_Stats!$G$14=Norm_Stats!$F$14),"",MAX(0,MIN(100,100*(MIN(MAX(City_Inputs!$Z21,Norm_Stats!$F$14),Norm_Stats!$G$14)-Norm_Stats!$F$14)/(Norm_Stats!$G$14-Norm_Stats!$F$14))))</f>
        <v/>
      </c>
      <c r="AJ21" s="14">
        <f>IF(AI21="","",1)</f>
        <v/>
      </c>
      <c r="AK21" s="11">
        <f>IF((IF((IF(OR(City_Inputs!$AA21="",Norm_Stats!$F$15="",Norm_Stats!$G$15="",Norm_Stats!$G$15=Norm_Stats!$F$15),"",MAX(0,MIN(100,100*(MIN(MAX(City_Inputs!$AA21,Norm_Stats!$F$15),Norm_Stats!$G$15)-Norm_Stats!$F$15)/(Norm_Stats!$G$15-Norm_Stats!$F$15)))))="",0,0.7)+IF((IF(OR(City_Inputs!$AL21="",Norm_Stats!$F$16="",Norm_Stats!$G$16="",Norm_Stats!$G$16=Norm_Stats!$F$16),"",MAX(0,MIN(100,100*(Norm_Stats!$G$16-MIN(MAX(City_Inputs!$AL21,Norm_Stats!$F$16),Norm_Stats!$G$16))/(Norm_Stats!$G$16-Norm_Stats!$F$16)))))="",0,0.3))=0,"",(IF((IF(OR(City_Inputs!$AA21="",Norm_Stats!$F$15="",Norm_Stats!$G$15="",Norm_Stats!$G$15=Norm_Stats!$F$15),"",MAX(0,MIN(100,100*(MIN(MAX(City_Inputs!$AA21,Norm_Stats!$F$15),Norm_Stats!$G$15)-Norm_Stats!$F$15)/(Norm_Stats!$G$15-Norm_Stats!$F$15)))))="",0,(IF(OR(City_Inputs!$AA21="",Norm_Stats!$F$15="",Norm_Stats!$G$15="",Norm_Stats!$G$15=Norm_Stats!$F$15),"",MAX(0,MIN(100,100*(MIN(MAX(City_Inputs!$AA21,Norm_Stats!$F$15),Norm_Stats!$G$15)-Norm_Stats!$F$15)/(Norm_Stats!$G$15-Norm_Stats!$F$15)))))*0.7)+IF((IF(OR(City_Inputs!$AL21="",Norm_Stats!$F$16="",Norm_Stats!$G$16="",Norm_Stats!$G$16=Norm_Stats!$F$16),"",MAX(0,MIN(100,100*(Norm_Stats!$G$16-MIN(MAX(City_Inputs!$AL21,Norm_Stats!$F$16),Norm_Stats!$G$16))/(Norm_Stats!$G$16-Norm_Stats!$F$16)))))="",0,(IF(OR(City_Inputs!$AL21="",Norm_Stats!$F$16="",Norm_Stats!$G$16="",Norm_Stats!$G$16=Norm_Stats!$F$16),"",MAX(0,MIN(100,100*(Norm_Stats!$G$16-MIN(MAX(City_Inputs!$AL21,Norm_Stats!$F$16),Norm_Stats!$G$16))/(Norm_Stats!$G$16-Norm_Stats!$F$16)))))*0.3))/(IF((IF(OR(City_Inputs!$AA21="",Norm_Stats!$F$15="",Norm_Stats!$G$15="",Norm_Stats!$G$15=Norm_Stats!$F$15),"",MAX(0,MIN(100,100*(MIN(MAX(City_Inputs!$AA21,Norm_Stats!$F$15),Norm_Stats!$G$15)-Norm_Stats!$F$15)/(Norm_Stats!$G$15-Norm_Stats!$F$15)))))="",0,0.7)+IF((IF(OR(City_Inputs!$AL21="",Norm_Stats!$F$16="",Norm_Stats!$G$16="",Norm_Stats!$G$16=Norm_Stats!$F$16),"",MAX(0,MIN(100,100*(Norm_Stats!$G$16-MIN(MAX(City_Inputs!$AL21,Norm_Stats!$F$16),Norm_Stats!$G$16))/(Norm_Stats!$G$16-Norm_Stats!$F$16)))))="",0,0.3)))</f>
        <v/>
      </c>
      <c r="AL21" s="14">
        <f>IF((IF((IF(OR(City_Inputs!$AA21="",Norm_Stats!$F$15="",Norm_Stats!$G$15="",Norm_Stats!$G$15=Norm_Stats!$F$15),"",MAX(0,MIN(100,100*(MIN(MAX(City_Inputs!$AA21,Norm_Stats!$F$15),Norm_Stats!$G$15)-Norm_Stats!$F$15)/(Norm_Stats!$G$15-Norm_Stats!$F$15)))))="",0,0.7)+IF((IF(OR(City_Inputs!$AL21="",Norm_Stats!$F$16="",Norm_Stats!$G$16="",Norm_Stats!$G$16=Norm_Stats!$F$16),"",MAX(0,MIN(100,100*(Norm_Stats!$G$16-MIN(MAX(City_Inputs!$AL21,Norm_Stats!$F$16),Norm_Stats!$G$16))/(Norm_Stats!$G$16-Norm_Stats!$F$16)))))="",0,0.3))=0,"",(IF((IF(OR(City_Inputs!$AA21="",Norm_Stats!$F$15="",Norm_Stats!$G$15="",Norm_Stats!$G$15=Norm_Stats!$F$15),"",MAX(0,MIN(100,100*(MIN(MAX(City_Inputs!$AA21,Norm_Stats!$F$15),Norm_Stats!$G$15)-Norm_Stats!$F$15)/(Norm_Stats!$G$15-Norm_Stats!$F$15)))))="",0,0.7)+IF((IF(OR(City_Inputs!$AL21="",Norm_Stats!$F$16="",Norm_Stats!$G$16="",Norm_Stats!$G$16=Norm_Stats!$F$16),"",MAX(0,MIN(100,100*(Norm_Stats!$G$16-MIN(MAX(City_Inputs!$AL21,Norm_Stats!$F$16),Norm_Stats!$G$16))/(Norm_Stats!$G$16-Norm_Stats!$F$16)))))="",0,0.3)))</f>
        <v/>
      </c>
      <c r="AM21" s="15">
        <f>IF((IF(AG21="",0,8)+IF(AI21="",0,6)+IF(AK21="",0,4))=0,"",(IF(AG21="",0,AG21*8)+IF(AI21="",0,AI21*6)+IF(AK21="",0,AK21*4))/(IF(AG21="",0,8)+IF(AI21="",0,6)+IF(AK21="",0,4)))</f>
        <v/>
      </c>
      <c r="AN21" s="14">
        <f>IF((IF(AH21="",0,8)+IF(AJ21="",0,6)+IF(AL21="",0,4))=0,"",(IF(AH21="",0,AH21*8)+IF(AJ21="",0,AJ21*6)+IF(AL21="",0,AL21*4))/18)</f>
        <v/>
      </c>
      <c r="AO21" s="11">
        <f>IF(OR(City_Inputs!$AB21="",Norm_Stats!$F$17="",Norm_Stats!$G$17="",Norm_Stats!$G$17=Norm_Stats!$F$17),"",MAX(0,MIN(100,100*(MIN(MAX(City_Inputs!$AB21,Norm_Stats!$F$17),Norm_Stats!$G$17)-Norm_Stats!$F$17)/(Norm_Stats!$G$17-Norm_Stats!$F$17))))</f>
        <v/>
      </c>
      <c r="AP21" s="14">
        <f>IF(AO21="","",1)</f>
        <v/>
      </c>
      <c r="AQ21" s="11">
        <f>IF(OR(City_Inputs!$AC21="",Norm_Stats!$F$18="",Norm_Stats!$G$18="",Norm_Stats!$G$18=Norm_Stats!$F$18),"",MAX(0,MIN(100,100*(MIN(MAX(City_Inputs!$AC21,Norm_Stats!$F$18),Norm_Stats!$G$18)-Norm_Stats!$F$18)/(Norm_Stats!$G$18-Norm_Stats!$F$18))))</f>
        <v/>
      </c>
      <c r="AR21" s="14">
        <f>IF(AQ21="","",1)</f>
        <v/>
      </c>
      <c r="AS21" s="11">
        <f>IF(OR(City_Inputs!$AD21="",Norm_Stats!$F$19="",Norm_Stats!$G$19="",Norm_Stats!$G$19=Norm_Stats!$F$19),"",MAX(0,MIN(100,100*(MIN(MAX(City_Inputs!$AD21,Norm_Stats!$F$19),Norm_Stats!$G$19)-Norm_Stats!$F$19)/(Norm_Stats!$G$19-Norm_Stats!$F$19))))</f>
        <v/>
      </c>
      <c r="AT21" s="14">
        <f>IF(AS21="","",1)</f>
        <v/>
      </c>
      <c r="AU21" s="11">
        <f>IF(OR(City_Inputs!$BJ21="",Norm_Stats!$F$26="",Norm_Stats!$G$26="",Norm_Stats!$G$26=Norm_Stats!$F$26),"",MAX(0,MIN(100,100*(MIN(MAX(City_Inputs!$BJ21,Norm_Stats!$F$26),Norm_Stats!$G$26)-Norm_Stats!$F$26)/(Norm_Stats!$G$26-Norm_Stats!$F$26))))</f>
        <v/>
      </c>
      <c r="AV21" s="11">
        <f>IF(AU21="","",1)</f>
        <v/>
      </c>
      <c r="AW21" s="15">
        <f>IF((IF(AO21="",0,5)+IF(AQ21="",0,5)+IF(AS21="",0,5)+IF(AU21="",0,4))=0,"",(IF(AO21="",0,AO21*5)+IF(AQ21="",0,AQ21*5)+IF(AS21="",0,AS21*5)+IF(AU21="",0,AU21*4))/(IF(AO21="",0,5)+IF(AQ21="",0,5)+IF(AS21="",0,5)+IF(AU21="",0,4)))</f>
        <v/>
      </c>
      <c r="AX21" s="14">
        <f>IF((IF(AP21="",0,5)+IF(AR21="",0,5)+IF(AT21="",0,5)+IF(AV21="",0,4))=0,"",(IF(AP21="",0,AP21*5)+IF(AR21="",0,AR21*5)+IF(AT21="",0,AT21*5)+IF(AV21="",0,AV21*4))/19)</f>
        <v/>
      </c>
      <c r="AY21" s="11">
        <f>IF(OR(City_Inputs!$AE21="",Norm_Stats!$F$20="",Norm_Stats!$G$20="",Norm_Stats!$G$20=Norm_Stats!$F$20),"",MAX(0,MIN(100,100*(MIN(MAX(City_Inputs!$AE21,Norm_Stats!$F$20),Norm_Stats!$G$20)-Norm_Stats!$F$20)/(Norm_Stats!$G$20-Norm_Stats!$F$20))))</f>
        <v/>
      </c>
      <c r="AZ21" s="14">
        <f>IF(AY21="","",1)</f>
        <v/>
      </c>
      <c r="BA21" s="11">
        <f>IF(OR(City_Inputs!$AF21="",Norm_Stats!$F$21="",Norm_Stats!$G$21="",Norm_Stats!$G$21=Norm_Stats!$F$21),"",MAX(0,MIN(100,100*(MIN(MAX(City_Inputs!$AF21,Norm_Stats!$F$21),Norm_Stats!$G$21)-Norm_Stats!$F$21)/(Norm_Stats!$G$21-Norm_Stats!$F$21))))</f>
        <v/>
      </c>
      <c r="BB21" s="14">
        <f>IF(BA21="","",1)</f>
        <v/>
      </c>
      <c r="BC21" s="11">
        <f>IF((IF((IF(OR(City_Inputs!$AG21="",Norm_Stats!$F$22="",Norm_Stats!$G$22="",Norm_Stats!$G$22=Norm_Stats!$F$22),"",MAX(0,MIN(100,100*(MIN(MAX(City_Inputs!$AG21,Norm_Stats!$F$22),Norm_Stats!$G$22)-Norm_Stats!$F$22)/(Norm_Stats!$G$22-Norm_Stats!$F$22)))))="",0,0.5)+IF((IF(OR(City_Inputs!$AJ21="",Norm_Stats!$F$23="",Norm_Stats!$G$23="",Norm_Stats!$G$23=Norm_Stats!$F$23),"",MAX(0,MIN(100,100*(MIN(MAX(City_Inputs!$AJ21,Norm_Stats!$F$23),Norm_Stats!$G$23)-Norm_Stats!$F$23)/(Norm_Stats!$G$23-Norm_Stats!$F$23)))))="",0,0.3)+IF((IF(OR(City_Inputs!$AK21="",Norm_Stats!$F$24="",Norm_Stats!$G$24="",Norm_Stats!$G$24=Norm_Stats!$F$24),"",MAX(0,MIN(100,100*(MIN(MAX(City_Inputs!$AK21,Norm_Stats!$F$24),Norm_Stats!$G$24)-Norm_Stats!$F$24)/(Norm_Stats!$G$24-Norm_Stats!$F$24)))))="",0,0.2))=0,"",(IF((IF(OR(City_Inputs!$AG21="",Norm_Stats!$F$22="",Norm_Stats!$G$22="",Norm_Stats!$G$22=Norm_Stats!$F$22),"",MAX(0,MIN(100,100*(MIN(MAX(City_Inputs!$AG21,Norm_Stats!$F$22),Norm_Stats!$G$22)-Norm_Stats!$F$22)/(Norm_Stats!$G$22-Norm_Stats!$F$22)))))="",0,(IF(OR(City_Inputs!$AG21="",Norm_Stats!$F$22="",Norm_Stats!$G$22="",Norm_Stats!$G$22=Norm_Stats!$F$22),"",MAX(0,MIN(100,100*(MIN(MAX(City_Inputs!$AG21,Norm_Stats!$F$22),Norm_Stats!$G$22)-Norm_Stats!$F$22)/(Norm_Stats!$G$22-Norm_Stats!$F$22)))))*0.5)+IF((IF(OR(City_Inputs!$AJ21="",Norm_Stats!$F$23="",Norm_Stats!$G$23="",Norm_Stats!$G$23=Norm_Stats!$F$23),"",MAX(0,MIN(100,100*(MIN(MAX(City_Inputs!$AJ21,Norm_Stats!$F$23),Norm_Stats!$G$23)-Norm_Stats!$F$23)/(Norm_Stats!$G$23-Norm_Stats!$F$23)))))="",0,(IF(OR(City_Inputs!$AJ21="",Norm_Stats!$F$23="",Norm_Stats!$G$23="",Norm_Stats!$G$23=Norm_Stats!$F$23),"",MAX(0,MIN(100,100*(MIN(MAX(City_Inputs!$AJ21,Norm_Stats!$F$23),Norm_Stats!$G$23)-Norm_Stats!$F$23)/(Norm_Stats!$G$23-Norm_Stats!$F$23)))))*0.3)+IF((IF(OR(City_Inputs!$AK21="",Norm_Stats!$F$24="",Norm_Stats!$G$24="",Norm_Stats!$G$24=Norm_Stats!$F$24),"",MAX(0,MIN(100,100*(MIN(MAX(City_Inputs!$AK21,Norm_Stats!$F$24),Norm_Stats!$G$24)-Norm_Stats!$F$24)/(Norm_Stats!$G$24-Norm_Stats!$F$24)))))="",0,(IF(OR(City_Inputs!$AK21="",Norm_Stats!$F$24="",Norm_Stats!$G$24="",Norm_Stats!$G$24=Norm_Stats!$F$24),"",MAX(0,MIN(100,100*(MIN(MAX(City_Inputs!$AK21,Norm_Stats!$F$24),Norm_Stats!$G$24)-Norm_Stats!$F$24)/(Norm_Stats!$G$24-Norm_Stats!$F$24)))))*0.2))/(IF((IF(OR(City_Inputs!$AG21="",Norm_Stats!$F$22="",Norm_Stats!$G$22="",Norm_Stats!$G$22=Norm_Stats!$F$22),"",MAX(0,MIN(100,100*(MIN(MAX(City_Inputs!$AG21,Norm_Stats!$F$22),Norm_Stats!$G$22)-Norm_Stats!$F$22)/(Norm_Stats!$G$22-Norm_Stats!$F$22)))))="",0,0.5)+IF((IF(OR(City_Inputs!$AJ21="",Norm_Stats!$F$23="",Norm_Stats!$G$23="",Norm_Stats!$G$23=Norm_Stats!$F$23),"",MAX(0,MIN(100,100*(MIN(MAX(City_Inputs!$AJ21,Norm_Stats!$F$23),Norm_Stats!$G$23)-Norm_Stats!$F$23)/(Norm_Stats!$G$23-Norm_Stats!$F$23)))))="",0,0.3)+IF((IF(OR(City_Inputs!$AK21="",Norm_Stats!$F$24="",Norm_Stats!$G$24="",Norm_Stats!$G$24=Norm_Stats!$F$24),"",MAX(0,MIN(100,100*(MIN(MAX(City_Inputs!$AK21,Norm_Stats!$F$24),Norm_Stats!$G$24)-Norm_Stats!$F$24)/(Norm_Stats!$G$24-Norm_Stats!$F$24)))))="",0,0.2)))</f>
        <v/>
      </c>
      <c r="BD21" s="14">
        <f>IF((IF((IF(OR(City_Inputs!$AG21="",Norm_Stats!$F$22="",Norm_Stats!$G$22="",Norm_Stats!$G$22=Norm_Stats!$F$22),"",MAX(0,MIN(100,100*(MIN(MAX(City_Inputs!$AG21,Norm_Stats!$F$22),Norm_Stats!$G$22)-Norm_Stats!$F$22)/(Norm_Stats!$G$22-Norm_Stats!$F$22)))))="",0,0.5)+IF((IF(OR(City_Inputs!$AJ21="",Norm_Stats!$F$23="",Norm_Stats!$G$23="",Norm_Stats!$G$23=Norm_Stats!$F$23),"",MAX(0,MIN(100,100*(MIN(MAX(City_Inputs!$AJ21,Norm_Stats!$F$23),Norm_Stats!$G$23)-Norm_Stats!$F$23)/(Norm_Stats!$G$23-Norm_Stats!$F$23)))))="",0,0.3)+IF((IF(OR(City_Inputs!$AK21="",Norm_Stats!$F$24="",Norm_Stats!$G$24="",Norm_Stats!$G$24=Norm_Stats!$F$24),"",MAX(0,MIN(100,100*(MIN(MAX(City_Inputs!$AK21,Norm_Stats!$F$24),Norm_Stats!$G$24)-Norm_Stats!$F$24)/(Norm_Stats!$G$24-Norm_Stats!$F$24)))))="",0,0.2))=0,"",(IF((IF(OR(City_Inputs!$AG21="",Norm_Stats!$F$22="",Norm_Stats!$G$22="",Norm_Stats!$G$22=Norm_Stats!$F$22),"",MAX(0,MIN(100,100*(MIN(MAX(City_Inputs!$AG21,Norm_Stats!$F$22),Norm_Stats!$G$22)-Norm_Stats!$F$22)/(Norm_Stats!$G$22-Norm_Stats!$F$22)))))="",0,0.5)+IF((IF(OR(City_Inputs!$AJ21="",Norm_Stats!$F$23="",Norm_Stats!$G$23="",Norm_Stats!$G$23=Norm_Stats!$F$23),"",MAX(0,MIN(100,100*(MIN(MAX(City_Inputs!$AJ21,Norm_Stats!$F$23),Norm_Stats!$G$23)-Norm_Stats!$F$23)/(Norm_Stats!$G$23-Norm_Stats!$F$23)))))="",0,0.3)+IF((IF(OR(City_Inputs!$AK21="",Norm_Stats!$F$24="",Norm_Stats!$G$24="",Norm_Stats!$G$24=Norm_Stats!$F$24),"",MAX(0,MIN(100,100*(MIN(MAX(City_Inputs!$AK21,Norm_Stats!$F$24),Norm_Stats!$G$24)-Norm_Stats!$F$24)/(Norm_Stats!$G$24-Norm_Stats!$F$24)))))="",0,0.2)))</f>
        <v/>
      </c>
      <c r="BE21" s="11">
        <f>IF(OR(City_Inputs!$AH21="",Norm_Stats!$F$25="",Norm_Stats!$G$25="",Norm_Stats!$G$25=Norm_Stats!$F$25),"",MAX(0,MIN(100,100*(Norm_Stats!$G$25-MIN(MAX(City_Inputs!$AH21,Norm_Stats!$F$25),Norm_Stats!$G$25))/(Norm_Stats!$G$25-Norm_Stats!$F$25))))</f>
        <v/>
      </c>
      <c r="BF21" s="14">
        <f>IF(BE21="","",1)</f>
        <v/>
      </c>
      <c r="BG21" s="15">
        <f>IF((IF(AY21="",0,6)+IF(BA21="",0,5)+IF(BC21="",0,5)+IF(BE21="",0,4))=0,"",(IF(AY21="",0,AY21*6)+IF(BA21="",0,BA21*5)+IF(BC21="",0,BC21*5)+IF(BE21="",0,BE21*4))/(IF(AY21="",0,6)+IF(BA21="",0,5)+IF(BC21="",0,5)+IF(BE21="",0,4)))</f>
        <v/>
      </c>
      <c r="BH21" s="14">
        <f>IF((IF(AZ21="",0,6)+IF(BB21="",0,5)+IF(BD21="",0,5)+IF(BF21="",0,4))=0,"",(IF(AZ21="",0,AZ21*6)+IF(BB21="",0,BB21*5)+IF(BD21="",0,BD21*5)+IF(BF21="",0,BF21*4))/20)</f>
        <v/>
      </c>
      <c r="BI21" s="14">
        <f>IF(AND(R21="",AF21="",AN21="",AX21="",BH21=""),"",((R21*25)+(AF21*22)+(AN21*18)+(AX21*15)+(BH21*20))/100)</f>
        <v/>
      </c>
      <c r="BJ21" s="11">
        <f>IF(BI21="","",IF(BI21&gt;=0.75,"A",IF(BI21&gt;=0.5,"B",IF(BI21&gt;=0.35,"C","Watchlist"))))</f>
        <v/>
      </c>
      <c r="BK21" s="11">
        <f>IF(OR(BI21="",BI21&lt;0.5,R21="",R21&lt;0.35,AF21="",AF21&lt;0.35,AN21="",AN21&lt;0.35,AX21="",AX21&lt;0.35,BH21="",BH21&lt;0.35),"Watchlist","Ranked")</f>
        <v/>
      </c>
      <c r="BL21" s="15">
        <f>IF(AND(Q21="",AE21="",AM21="",AW21="",BG21=""),"",(IF(Q21="",0,Q21*25)+IF(AE21="",0,AE21*22)+IF(AM21="",0,AM21*18)+IF(AW21="",0,AW21*15)+IF(BG21="",0,BG21*20))/(IF(Q21="",0,25)+IF(AE21="",0,22)+IF(AM21="",0,18)+IF(AW21="",0,15)+IF(BG21="",0,20)))</f>
        <v/>
      </c>
      <c r="BM21" s="11">
        <f>IF(BK21="Ranked",1+COUNTIFS($BK$2:$BK$158,"Ranked",$BL$2:$BL$158,"&gt;"&amp;BL21),"")</f>
        <v/>
      </c>
      <c r="BN21" s="11">
        <f>City_Inputs!$AI21</f>
        <v/>
      </c>
    </row>
    <row r="22">
      <c r="A22" t="inlineStr">
        <is>
          <t>kr-suwon</t>
        </is>
      </c>
      <c r="B22" t="inlineStr">
        <is>
          <t>Suwon</t>
        </is>
      </c>
      <c r="C22" t="inlineStr">
        <is>
          <t>South Korea</t>
        </is>
      </c>
      <c r="D22" t="inlineStr">
        <is>
          <t>East Asia</t>
        </is>
      </c>
      <c r="E22" t="inlineStr">
        <is>
          <t>provisional</t>
        </is>
      </c>
      <c r="F22" t="inlineStr">
        <is>
          <t>primary</t>
        </is>
      </c>
      <c r="G22" s="11">
        <f>IF(OR(City_Inputs!$M22="",Norm_Stats!$F$2="",Norm_Stats!$G$2="",Norm_Stats!$G$2=Norm_Stats!$F$2),"",MAX(0,MIN(100,100*(MIN(MAX(City_Inputs!$M22,Norm_Stats!$F$2),Norm_Stats!$G$2)-Norm_Stats!$F$2)/(Norm_Stats!$G$2-Norm_Stats!$F$2))))</f>
        <v/>
      </c>
      <c r="H22" s="14">
        <f>IF(G22="","",1)</f>
        <v/>
      </c>
      <c r="I22" s="11">
        <f>IF(OR(City_Inputs!$N22="",Norm_Stats!$F$3="",Norm_Stats!$G$3="",Norm_Stats!$G$3=Norm_Stats!$F$3),"",MAX(0,MIN(100,100*(Norm_Stats!$G$3-MIN(MAX(City_Inputs!$N22,Norm_Stats!$F$3),Norm_Stats!$G$3))/(Norm_Stats!$G$3-Norm_Stats!$F$3))))</f>
        <v/>
      </c>
      <c r="J22" s="14">
        <f>IF(I22="","",1)</f>
        <v/>
      </c>
      <c r="K22" s="11">
        <f>IF(OR(City_Inputs!$P22="",Norm_Stats!$F$4="",Norm_Stats!$G$4="",Norm_Stats!$G$4=Norm_Stats!$F$4),"",MAX(0,MIN(100,100*(Norm_Stats!$G$4-MIN(MAX(City_Inputs!$P22,Norm_Stats!$F$4),Norm_Stats!$G$4))/(Norm_Stats!$G$4-Norm_Stats!$F$4))))</f>
        <v/>
      </c>
      <c r="L22" s="14">
        <f>IF(K22="","",1)</f>
        <v/>
      </c>
      <c r="M22" s="11">
        <f>IF(OR(City_Inputs!$Q22="",Norm_Stats!$F$5="",Norm_Stats!$G$5="",Norm_Stats!$G$5=Norm_Stats!$F$5),"",MAX(0,MIN(100,100*(Norm_Stats!$G$5-MIN(MAX(City_Inputs!$Q22,Norm_Stats!$F$5),Norm_Stats!$G$5))/(Norm_Stats!$G$5-Norm_Stats!$F$5))))</f>
        <v/>
      </c>
      <c r="N22" s="14">
        <f>IF(M22="","",1)</f>
        <v/>
      </c>
      <c r="O22" s="11">
        <f>IF(OR(City_Inputs!$R22="",Norm_Stats!$F$6="",Norm_Stats!$G$6="",Norm_Stats!$G$6=Norm_Stats!$F$6),"",MAX(0,MIN(100,100*(Norm_Stats!$G$6-MIN(MAX(City_Inputs!$R22,Norm_Stats!$F$6),Norm_Stats!$G$6))/(Norm_Stats!$G$6-Norm_Stats!$F$6))))</f>
        <v/>
      </c>
      <c r="P22" s="14">
        <f>IF(O22="","",1)</f>
        <v/>
      </c>
      <c r="Q22" s="15">
        <f>IF((IF(G22="",0,9)+IF(I22="",0,5)+IF(K22="",0,4)+IF(M22="",0,4)+IF(O22="",0,5))=0,"",(IF(G22="",0,G22*9)+IF(I22="",0,I22*5)+IF(K22="",0,K22*4)+IF(M22="",0,M22*4)+IF(O22="",0,O22*5))/(IF(G22="",0,9)+IF(I22="",0,5)+IF(K22="",0,4)+IF(M22="",0,4)+IF(O22="",0,5)))</f>
        <v/>
      </c>
      <c r="R22" s="14">
        <f>IF((IF(H22="",0,9)+IF(J22="",0,5)+IF(L22="",0,4)+IF(N22="",0,4)+IF(P22="",0,5))=0,"",(IF(H22="",0,H22*9)+IF(J22="",0,J22*5)+IF(L22="",0,L22*4)+IF(N22="",0,N22*4)+IF(P22="",0,P22*5))/27)</f>
        <v/>
      </c>
      <c r="S22" s="11">
        <f>IF(OR(City_Inputs!$S22="",Norm_Stats!$F$7="",Norm_Stats!$G$7="",Norm_Stats!$G$7=Norm_Stats!$F$7),"",MAX(0,MIN(100,100*(Norm_Stats!$G$7-MIN(MAX(City_Inputs!$S22,Norm_Stats!$F$7),Norm_Stats!$G$7))/(Norm_Stats!$G$7-Norm_Stats!$F$7))))</f>
        <v/>
      </c>
      <c r="T22" s="14">
        <f>IF(S22="","",1)</f>
        <v/>
      </c>
      <c r="U22" s="11">
        <f>IF(OR(City_Inputs!$T22="",Norm_Stats!$F$8="",Norm_Stats!$G$8="",Norm_Stats!$G$8=Norm_Stats!$F$8),"",MAX(0,MIN(100,100*(MIN(MAX(City_Inputs!$T22,Norm_Stats!$F$8),Norm_Stats!$G$8)-Norm_Stats!$F$8)/(Norm_Stats!$G$8-Norm_Stats!$F$8))))</f>
        <v/>
      </c>
      <c r="V22" s="14">
        <f>IF(U22="","",1)</f>
        <v/>
      </c>
      <c r="W22" s="11">
        <f>IF(OR(City_Inputs!$U22="",Norm_Stats!$F$9="",Norm_Stats!$G$9="",Norm_Stats!$G$9=Norm_Stats!$F$9),"",MAX(0,MIN(100,100*(Norm_Stats!$G$9-MIN(MAX(City_Inputs!$U22,Norm_Stats!$F$9),Norm_Stats!$G$9))/(Norm_Stats!$G$9-Norm_Stats!$F$9))))</f>
        <v/>
      </c>
      <c r="X22" s="14">
        <f>IF(W22="","",1)</f>
        <v/>
      </c>
      <c r="Y22" s="11">
        <f>IF(OR(City_Inputs!$V22="",Norm_Stats!$F$10="",Norm_Stats!$G$10="",Norm_Stats!$G$10=Norm_Stats!$F$10),"",MAX(0,MIN(100,100*(MIN(MAX(City_Inputs!$V22,Norm_Stats!$F$10),Norm_Stats!$G$10)-Norm_Stats!$F$10)/(Norm_Stats!$G$10-Norm_Stats!$F$10))))</f>
        <v/>
      </c>
      <c r="Z22" s="14">
        <f>IF(Y22="","",1)</f>
        <v/>
      </c>
      <c r="AA22" s="11">
        <f>IF(OR(City_Inputs!$W22="",Norm_Stats!$F$11="",Norm_Stats!$G$11="",Norm_Stats!$G$11=Norm_Stats!$F$11),"",MAX(0,MIN(100,100*(MIN(MAX(City_Inputs!$W22,Norm_Stats!$F$11),Norm_Stats!$G$11)-Norm_Stats!$F$11)/(Norm_Stats!$G$11-Norm_Stats!$F$11))))</f>
        <v/>
      </c>
      <c r="AB22" s="14">
        <f>IF(AA22="","",1)</f>
        <v/>
      </c>
      <c r="AC22" s="11">
        <f>IF(OR(City_Inputs!$X22="",Norm_Stats!$F$12="",Norm_Stats!$G$12="",Norm_Stats!$G$12=Norm_Stats!$F$12),"",MAX(0,MIN(100,100*(MIN(MAX(City_Inputs!$X22,Norm_Stats!$F$12),Norm_Stats!$G$12)-Norm_Stats!$F$12)/(Norm_Stats!$G$12-Norm_Stats!$F$12))))</f>
        <v/>
      </c>
      <c r="AD22" s="11">
        <f>IF(AC22="","",1)</f>
        <v/>
      </c>
      <c r="AE22" s="15">
        <f>IF((IF(S22="",0,5)+IF(U22="",0,5)+IF(W22="",0,4)+IF(Y22="",0,4)+IF(AA22="",0,4)+IF(AC22="",0,5))=0,"",(IF(S22="",0,S22*5)+IF(U22="",0,U22*5)+IF(W22="",0,W22*4)+IF(Y22="",0,Y22*4)+IF(AA22="",0,AA22*4)+IF(AC22="",0,AC22*5))/(IF(S22="",0,5)+IF(U22="",0,5)+IF(W22="",0,4)+IF(Y22="",0,4)+IF(AA22="",0,4)+IF(AC22="",0,5)))</f>
        <v/>
      </c>
      <c r="AF22" s="14">
        <f>IF((IF(T22="",0,5)+IF(V22="",0,5)+IF(X22="",0,4)+IF(Z22="",0,4)+IF(AB22="",0,4)+IF(AD22="",0,5))=0,"",(IF(T22="",0,T22*5)+IF(V22="",0,V22*5)+IF(X22="",0,X22*4)+IF(Z22="",0,Z22*4)+IF(AB22="",0,AB22*4)+IF(AD22="",0,AD22*5))/27)</f>
        <v/>
      </c>
      <c r="AG22" s="11">
        <f>IF(OR(City_Inputs!$Y22="",Norm_Stats!$F$13="",Norm_Stats!$G$13="",Norm_Stats!$G$13=Norm_Stats!$F$13),"",MAX(0,MIN(100,100*(MIN(MAX(City_Inputs!$Y22,Norm_Stats!$F$13),Norm_Stats!$G$13)-Norm_Stats!$F$13)/(Norm_Stats!$G$13-Norm_Stats!$F$13))))</f>
        <v/>
      </c>
      <c r="AH22" s="14">
        <f>IF(AG22="","",1)</f>
        <v/>
      </c>
      <c r="AI22" s="11">
        <f>IF(OR(City_Inputs!$Z22="",Norm_Stats!$F$14="",Norm_Stats!$G$14="",Norm_Stats!$G$14=Norm_Stats!$F$14),"",MAX(0,MIN(100,100*(MIN(MAX(City_Inputs!$Z22,Norm_Stats!$F$14),Norm_Stats!$G$14)-Norm_Stats!$F$14)/(Norm_Stats!$G$14-Norm_Stats!$F$14))))</f>
        <v/>
      </c>
      <c r="AJ22" s="14">
        <f>IF(AI22="","",1)</f>
        <v/>
      </c>
      <c r="AK22" s="11">
        <f>IF((IF((IF(OR(City_Inputs!$AA22="",Norm_Stats!$F$15="",Norm_Stats!$G$15="",Norm_Stats!$G$15=Norm_Stats!$F$15),"",MAX(0,MIN(100,100*(MIN(MAX(City_Inputs!$AA22,Norm_Stats!$F$15),Norm_Stats!$G$15)-Norm_Stats!$F$15)/(Norm_Stats!$G$15-Norm_Stats!$F$15)))))="",0,0.7)+IF((IF(OR(City_Inputs!$AL22="",Norm_Stats!$F$16="",Norm_Stats!$G$16="",Norm_Stats!$G$16=Norm_Stats!$F$16),"",MAX(0,MIN(100,100*(Norm_Stats!$G$16-MIN(MAX(City_Inputs!$AL22,Norm_Stats!$F$16),Norm_Stats!$G$16))/(Norm_Stats!$G$16-Norm_Stats!$F$16)))))="",0,0.3))=0,"",(IF((IF(OR(City_Inputs!$AA22="",Norm_Stats!$F$15="",Norm_Stats!$G$15="",Norm_Stats!$G$15=Norm_Stats!$F$15),"",MAX(0,MIN(100,100*(MIN(MAX(City_Inputs!$AA22,Norm_Stats!$F$15),Norm_Stats!$G$15)-Norm_Stats!$F$15)/(Norm_Stats!$G$15-Norm_Stats!$F$15)))))="",0,(IF(OR(City_Inputs!$AA22="",Norm_Stats!$F$15="",Norm_Stats!$G$15="",Norm_Stats!$G$15=Norm_Stats!$F$15),"",MAX(0,MIN(100,100*(MIN(MAX(City_Inputs!$AA22,Norm_Stats!$F$15),Norm_Stats!$G$15)-Norm_Stats!$F$15)/(Norm_Stats!$G$15-Norm_Stats!$F$15)))))*0.7)+IF((IF(OR(City_Inputs!$AL22="",Norm_Stats!$F$16="",Norm_Stats!$G$16="",Norm_Stats!$G$16=Norm_Stats!$F$16),"",MAX(0,MIN(100,100*(Norm_Stats!$G$16-MIN(MAX(City_Inputs!$AL22,Norm_Stats!$F$16),Norm_Stats!$G$16))/(Norm_Stats!$G$16-Norm_Stats!$F$16)))))="",0,(IF(OR(City_Inputs!$AL22="",Norm_Stats!$F$16="",Norm_Stats!$G$16="",Norm_Stats!$G$16=Norm_Stats!$F$16),"",MAX(0,MIN(100,100*(Norm_Stats!$G$16-MIN(MAX(City_Inputs!$AL22,Norm_Stats!$F$16),Norm_Stats!$G$16))/(Norm_Stats!$G$16-Norm_Stats!$F$16)))))*0.3))/(IF((IF(OR(City_Inputs!$AA22="",Norm_Stats!$F$15="",Norm_Stats!$G$15="",Norm_Stats!$G$15=Norm_Stats!$F$15),"",MAX(0,MIN(100,100*(MIN(MAX(City_Inputs!$AA22,Norm_Stats!$F$15),Norm_Stats!$G$15)-Norm_Stats!$F$15)/(Norm_Stats!$G$15-Norm_Stats!$F$15)))))="",0,0.7)+IF((IF(OR(City_Inputs!$AL22="",Norm_Stats!$F$16="",Norm_Stats!$G$16="",Norm_Stats!$G$16=Norm_Stats!$F$16),"",MAX(0,MIN(100,100*(Norm_Stats!$G$16-MIN(MAX(City_Inputs!$AL22,Norm_Stats!$F$16),Norm_Stats!$G$16))/(Norm_Stats!$G$16-Norm_Stats!$F$16)))))="",0,0.3)))</f>
        <v/>
      </c>
      <c r="AL22" s="14">
        <f>IF((IF((IF(OR(City_Inputs!$AA22="",Norm_Stats!$F$15="",Norm_Stats!$G$15="",Norm_Stats!$G$15=Norm_Stats!$F$15),"",MAX(0,MIN(100,100*(MIN(MAX(City_Inputs!$AA22,Norm_Stats!$F$15),Norm_Stats!$G$15)-Norm_Stats!$F$15)/(Norm_Stats!$G$15-Norm_Stats!$F$15)))))="",0,0.7)+IF((IF(OR(City_Inputs!$AL22="",Norm_Stats!$F$16="",Norm_Stats!$G$16="",Norm_Stats!$G$16=Norm_Stats!$F$16),"",MAX(0,MIN(100,100*(Norm_Stats!$G$16-MIN(MAX(City_Inputs!$AL22,Norm_Stats!$F$16),Norm_Stats!$G$16))/(Norm_Stats!$G$16-Norm_Stats!$F$16)))))="",0,0.3))=0,"",(IF((IF(OR(City_Inputs!$AA22="",Norm_Stats!$F$15="",Norm_Stats!$G$15="",Norm_Stats!$G$15=Norm_Stats!$F$15),"",MAX(0,MIN(100,100*(MIN(MAX(City_Inputs!$AA22,Norm_Stats!$F$15),Norm_Stats!$G$15)-Norm_Stats!$F$15)/(Norm_Stats!$G$15-Norm_Stats!$F$15)))))="",0,0.7)+IF((IF(OR(City_Inputs!$AL22="",Norm_Stats!$F$16="",Norm_Stats!$G$16="",Norm_Stats!$G$16=Norm_Stats!$F$16),"",MAX(0,MIN(100,100*(Norm_Stats!$G$16-MIN(MAX(City_Inputs!$AL22,Norm_Stats!$F$16),Norm_Stats!$G$16))/(Norm_Stats!$G$16-Norm_Stats!$F$16)))))="",0,0.3)))</f>
        <v/>
      </c>
      <c r="AM22" s="15">
        <f>IF((IF(AG22="",0,8)+IF(AI22="",0,6)+IF(AK22="",0,4))=0,"",(IF(AG22="",0,AG22*8)+IF(AI22="",0,AI22*6)+IF(AK22="",0,AK22*4))/(IF(AG22="",0,8)+IF(AI22="",0,6)+IF(AK22="",0,4)))</f>
        <v/>
      </c>
      <c r="AN22" s="14">
        <f>IF((IF(AH22="",0,8)+IF(AJ22="",0,6)+IF(AL22="",0,4))=0,"",(IF(AH22="",0,AH22*8)+IF(AJ22="",0,AJ22*6)+IF(AL22="",0,AL22*4))/18)</f>
        <v/>
      </c>
      <c r="AO22" s="11">
        <f>IF(OR(City_Inputs!$AB22="",Norm_Stats!$F$17="",Norm_Stats!$G$17="",Norm_Stats!$G$17=Norm_Stats!$F$17),"",MAX(0,MIN(100,100*(MIN(MAX(City_Inputs!$AB22,Norm_Stats!$F$17),Norm_Stats!$G$17)-Norm_Stats!$F$17)/(Norm_Stats!$G$17-Norm_Stats!$F$17))))</f>
        <v/>
      </c>
      <c r="AP22" s="14">
        <f>IF(AO22="","",1)</f>
        <v/>
      </c>
      <c r="AQ22" s="11">
        <f>IF(OR(City_Inputs!$AC22="",Norm_Stats!$F$18="",Norm_Stats!$G$18="",Norm_Stats!$G$18=Norm_Stats!$F$18),"",MAX(0,MIN(100,100*(MIN(MAX(City_Inputs!$AC22,Norm_Stats!$F$18),Norm_Stats!$G$18)-Norm_Stats!$F$18)/(Norm_Stats!$G$18-Norm_Stats!$F$18))))</f>
        <v/>
      </c>
      <c r="AR22" s="14">
        <f>IF(AQ22="","",1)</f>
        <v/>
      </c>
      <c r="AS22" s="11">
        <f>IF(OR(City_Inputs!$AD22="",Norm_Stats!$F$19="",Norm_Stats!$G$19="",Norm_Stats!$G$19=Norm_Stats!$F$19),"",MAX(0,MIN(100,100*(MIN(MAX(City_Inputs!$AD22,Norm_Stats!$F$19),Norm_Stats!$G$19)-Norm_Stats!$F$19)/(Norm_Stats!$G$19-Norm_Stats!$F$19))))</f>
        <v/>
      </c>
      <c r="AT22" s="14">
        <f>IF(AS22="","",1)</f>
        <v/>
      </c>
      <c r="AU22" s="11">
        <f>IF(OR(City_Inputs!$BJ22="",Norm_Stats!$F$26="",Norm_Stats!$G$26="",Norm_Stats!$G$26=Norm_Stats!$F$26),"",MAX(0,MIN(100,100*(MIN(MAX(City_Inputs!$BJ22,Norm_Stats!$F$26),Norm_Stats!$G$26)-Norm_Stats!$F$26)/(Norm_Stats!$G$26-Norm_Stats!$F$26))))</f>
        <v/>
      </c>
      <c r="AV22" s="11">
        <f>IF(AU22="","",1)</f>
        <v/>
      </c>
      <c r="AW22" s="15">
        <f>IF((IF(AO22="",0,5)+IF(AQ22="",0,5)+IF(AS22="",0,5)+IF(AU22="",0,4))=0,"",(IF(AO22="",0,AO22*5)+IF(AQ22="",0,AQ22*5)+IF(AS22="",0,AS22*5)+IF(AU22="",0,AU22*4))/(IF(AO22="",0,5)+IF(AQ22="",0,5)+IF(AS22="",0,5)+IF(AU22="",0,4)))</f>
        <v/>
      </c>
      <c r="AX22" s="14">
        <f>IF((IF(AP22="",0,5)+IF(AR22="",0,5)+IF(AT22="",0,5)+IF(AV22="",0,4))=0,"",(IF(AP22="",0,AP22*5)+IF(AR22="",0,AR22*5)+IF(AT22="",0,AT22*5)+IF(AV22="",0,AV22*4))/19)</f>
        <v/>
      </c>
      <c r="AY22" s="11">
        <f>IF(OR(City_Inputs!$AE22="",Norm_Stats!$F$20="",Norm_Stats!$G$20="",Norm_Stats!$G$20=Norm_Stats!$F$20),"",MAX(0,MIN(100,100*(MIN(MAX(City_Inputs!$AE22,Norm_Stats!$F$20),Norm_Stats!$G$20)-Norm_Stats!$F$20)/(Norm_Stats!$G$20-Norm_Stats!$F$20))))</f>
        <v/>
      </c>
      <c r="AZ22" s="14">
        <f>IF(AY22="","",1)</f>
        <v/>
      </c>
      <c r="BA22" s="11">
        <f>IF(OR(City_Inputs!$AF22="",Norm_Stats!$F$21="",Norm_Stats!$G$21="",Norm_Stats!$G$21=Norm_Stats!$F$21),"",MAX(0,MIN(100,100*(MIN(MAX(City_Inputs!$AF22,Norm_Stats!$F$21),Norm_Stats!$G$21)-Norm_Stats!$F$21)/(Norm_Stats!$G$21-Norm_Stats!$F$21))))</f>
        <v/>
      </c>
      <c r="BB22" s="14">
        <f>IF(BA22="","",1)</f>
        <v/>
      </c>
      <c r="BC22" s="11">
        <f>IF((IF((IF(OR(City_Inputs!$AG22="",Norm_Stats!$F$22="",Norm_Stats!$G$22="",Norm_Stats!$G$22=Norm_Stats!$F$22),"",MAX(0,MIN(100,100*(MIN(MAX(City_Inputs!$AG22,Norm_Stats!$F$22),Norm_Stats!$G$22)-Norm_Stats!$F$22)/(Norm_Stats!$G$22-Norm_Stats!$F$22)))))="",0,0.5)+IF((IF(OR(City_Inputs!$AJ22="",Norm_Stats!$F$23="",Norm_Stats!$G$23="",Norm_Stats!$G$23=Norm_Stats!$F$23),"",MAX(0,MIN(100,100*(MIN(MAX(City_Inputs!$AJ22,Norm_Stats!$F$23),Norm_Stats!$G$23)-Norm_Stats!$F$23)/(Norm_Stats!$G$23-Norm_Stats!$F$23)))))="",0,0.3)+IF((IF(OR(City_Inputs!$AK22="",Norm_Stats!$F$24="",Norm_Stats!$G$24="",Norm_Stats!$G$24=Norm_Stats!$F$24),"",MAX(0,MIN(100,100*(MIN(MAX(City_Inputs!$AK22,Norm_Stats!$F$24),Norm_Stats!$G$24)-Norm_Stats!$F$24)/(Norm_Stats!$G$24-Norm_Stats!$F$24)))))="",0,0.2))=0,"",(IF((IF(OR(City_Inputs!$AG22="",Norm_Stats!$F$22="",Norm_Stats!$G$22="",Norm_Stats!$G$22=Norm_Stats!$F$22),"",MAX(0,MIN(100,100*(MIN(MAX(City_Inputs!$AG22,Norm_Stats!$F$22),Norm_Stats!$G$22)-Norm_Stats!$F$22)/(Norm_Stats!$G$22-Norm_Stats!$F$22)))))="",0,(IF(OR(City_Inputs!$AG22="",Norm_Stats!$F$22="",Norm_Stats!$G$22="",Norm_Stats!$G$22=Norm_Stats!$F$22),"",MAX(0,MIN(100,100*(MIN(MAX(City_Inputs!$AG22,Norm_Stats!$F$22),Norm_Stats!$G$22)-Norm_Stats!$F$22)/(Norm_Stats!$G$22-Norm_Stats!$F$22)))))*0.5)+IF((IF(OR(City_Inputs!$AJ22="",Norm_Stats!$F$23="",Norm_Stats!$G$23="",Norm_Stats!$G$23=Norm_Stats!$F$23),"",MAX(0,MIN(100,100*(MIN(MAX(City_Inputs!$AJ22,Norm_Stats!$F$23),Norm_Stats!$G$23)-Norm_Stats!$F$23)/(Norm_Stats!$G$23-Norm_Stats!$F$23)))))="",0,(IF(OR(City_Inputs!$AJ22="",Norm_Stats!$F$23="",Norm_Stats!$G$23="",Norm_Stats!$G$23=Norm_Stats!$F$23),"",MAX(0,MIN(100,100*(MIN(MAX(City_Inputs!$AJ22,Norm_Stats!$F$23),Norm_Stats!$G$23)-Norm_Stats!$F$23)/(Norm_Stats!$G$23-Norm_Stats!$F$23)))))*0.3)+IF((IF(OR(City_Inputs!$AK22="",Norm_Stats!$F$24="",Norm_Stats!$G$24="",Norm_Stats!$G$24=Norm_Stats!$F$24),"",MAX(0,MIN(100,100*(MIN(MAX(City_Inputs!$AK22,Norm_Stats!$F$24),Norm_Stats!$G$24)-Norm_Stats!$F$24)/(Norm_Stats!$G$24-Norm_Stats!$F$24)))))="",0,(IF(OR(City_Inputs!$AK22="",Norm_Stats!$F$24="",Norm_Stats!$G$24="",Norm_Stats!$G$24=Norm_Stats!$F$24),"",MAX(0,MIN(100,100*(MIN(MAX(City_Inputs!$AK22,Norm_Stats!$F$24),Norm_Stats!$G$24)-Norm_Stats!$F$24)/(Norm_Stats!$G$24-Norm_Stats!$F$24)))))*0.2))/(IF((IF(OR(City_Inputs!$AG22="",Norm_Stats!$F$22="",Norm_Stats!$G$22="",Norm_Stats!$G$22=Norm_Stats!$F$22),"",MAX(0,MIN(100,100*(MIN(MAX(City_Inputs!$AG22,Norm_Stats!$F$22),Norm_Stats!$G$22)-Norm_Stats!$F$22)/(Norm_Stats!$G$22-Norm_Stats!$F$22)))))="",0,0.5)+IF((IF(OR(City_Inputs!$AJ22="",Norm_Stats!$F$23="",Norm_Stats!$G$23="",Norm_Stats!$G$23=Norm_Stats!$F$23),"",MAX(0,MIN(100,100*(MIN(MAX(City_Inputs!$AJ22,Norm_Stats!$F$23),Norm_Stats!$G$23)-Norm_Stats!$F$23)/(Norm_Stats!$G$23-Norm_Stats!$F$23)))))="",0,0.3)+IF((IF(OR(City_Inputs!$AK22="",Norm_Stats!$F$24="",Norm_Stats!$G$24="",Norm_Stats!$G$24=Norm_Stats!$F$24),"",MAX(0,MIN(100,100*(MIN(MAX(City_Inputs!$AK22,Norm_Stats!$F$24),Norm_Stats!$G$24)-Norm_Stats!$F$24)/(Norm_Stats!$G$24-Norm_Stats!$F$24)))))="",0,0.2)))</f>
        <v/>
      </c>
      <c r="BD22" s="14">
        <f>IF((IF((IF(OR(City_Inputs!$AG22="",Norm_Stats!$F$22="",Norm_Stats!$G$22="",Norm_Stats!$G$22=Norm_Stats!$F$22),"",MAX(0,MIN(100,100*(MIN(MAX(City_Inputs!$AG22,Norm_Stats!$F$22),Norm_Stats!$G$22)-Norm_Stats!$F$22)/(Norm_Stats!$G$22-Norm_Stats!$F$22)))))="",0,0.5)+IF((IF(OR(City_Inputs!$AJ22="",Norm_Stats!$F$23="",Norm_Stats!$G$23="",Norm_Stats!$G$23=Norm_Stats!$F$23),"",MAX(0,MIN(100,100*(MIN(MAX(City_Inputs!$AJ22,Norm_Stats!$F$23),Norm_Stats!$G$23)-Norm_Stats!$F$23)/(Norm_Stats!$G$23-Norm_Stats!$F$23)))))="",0,0.3)+IF((IF(OR(City_Inputs!$AK22="",Norm_Stats!$F$24="",Norm_Stats!$G$24="",Norm_Stats!$G$24=Norm_Stats!$F$24),"",MAX(0,MIN(100,100*(MIN(MAX(City_Inputs!$AK22,Norm_Stats!$F$24),Norm_Stats!$G$24)-Norm_Stats!$F$24)/(Norm_Stats!$G$24-Norm_Stats!$F$24)))))="",0,0.2))=0,"",(IF((IF(OR(City_Inputs!$AG22="",Norm_Stats!$F$22="",Norm_Stats!$G$22="",Norm_Stats!$G$22=Norm_Stats!$F$22),"",MAX(0,MIN(100,100*(MIN(MAX(City_Inputs!$AG22,Norm_Stats!$F$22),Norm_Stats!$G$22)-Norm_Stats!$F$22)/(Norm_Stats!$G$22-Norm_Stats!$F$22)))))="",0,0.5)+IF((IF(OR(City_Inputs!$AJ22="",Norm_Stats!$F$23="",Norm_Stats!$G$23="",Norm_Stats!$G$23=Norm_Stats!$F$23),"",MAX(0,MIN(100,100*(MIN(MAX(City_Inputs!$AJ22,Norm_Stats!$F$23),Norm_Stats!$G$23)-Norm_Stats!$F$23)/(Norm_Stats!$G$23-Norm_Stats!$F$23)))))="",0,0.3)+IF((IF(OR(City_Inputs!$AK22="",Norm_Stats!$F$24="",Norm_Stats!$G$24="",Norm_Stats!$G$24=Norm_Stats!$F$24),"",MAX(0,MIN(100,100*(MIN(MAX(City_Inputs!$AK22,Norm_Stats!$F$24),Norm_Stats!$G$24)-Norm_Stats!$F$24)/(Norm_Stats!$G$24-Norm_Stats!$F$24)))))="",0,0.2)))</f>
        <v/>
      </c>
      <c r="BE22" s="11">
        <f>IF(OR(City_Inputs!$AH22="",Norm_Stats!$F$25="",Norm_Stats!$G$25="",Norm_Stats!$G$25=Norm_Stats!$F$25),"",MAX(0,MIN(100,100*(Norm_Stats!$G$25-MIN(MAX(City_Inputs!$AH22,Norm_Stats!$F$25),Norm_Stats!$G$25))/(Norm_Stats!$G$25-Norm_Stats!$F$25))))</f>
        <v/>
      </c>
      <c r="BF22" s="14">
        <f>IF(BE22="","",1)</f>
        <v/>
      </c>
      <c r="BG22" s="15">
        <f>IF((IF(AY22="",0,6)+IF(BA22="",0,5)+IF(BC22="",0,5)+IF(BE22="",0,4))=0,"",(IF(AY22="",0,AY22*6)+IF(BA22="",0,BA22*5)+IF(BC22="",0,BC22*5)+IF(BE22="",0,BE22*4))/(IF(AY22="",0,6)+IF(BA22="",0,5)+IF(BC22="",0,5)+IF(BE22="",0,4)))</f>
        <v/>
      </c>
      <c r="BH22" s="14">
        <f>IF((IF(AZ22="",0,6)+IF(BB22="",0,5)+IF(BD22="",0,5)+IF(BF22="",0,4))=0,"",(IF(AZ22="",0,AZ22*6)+IF(BB22="",0,BB22*5)+IF(BD22="",0,BD22*5)+IF(BF22="",0,BF22*4))/20)</f>
        <v/>
      </c>
      <c r="BI22" s="14">
        <f>IF(AND(R22="",AF22="",AN22="",AX22="",BH22=""),"",((R22*25)+(AF22*22)+(AN22*18)+(AX22*15)+(BH22*20))/100)</f>
        <v/>
      </c>
      <c r="BJ22" s="11">
        <f>IF(BI22="","",IF(BI22&gt;=0.75,"A",IF(BI22&gt;=0.5,"B",IF(BI22&gt;=0.35,"C","Watchlist"))))</f>
        <v/>
      </c>
      <c r="BK22" s="11">
        <f>IF(OR(BI22="",BI22&lt;0.5,R22="",R22&lt;0.35,AF22="",AF22&lt;0.35,AN22="",AN22&lt;0.35,AX22="",AX22&lt;0.35,BH22="",BH22&lt;0.35),"Watchlist","Ranked")</f>
        <v/>
      </c>
      <c r="BL22" s="15">
        <f>IF(AND(Q22="",AE22="",AM22="",AW22="",BG22=""),"",(IF(Q22="",0,Q22*25)+IF(AE22="",0,AE22*22)+IF(AM22="",0,AM22*18)+IF(AW22="",0,AW22*15)+IF(BG22="",0,BG22*20))/(IF(Q22="",0,25)+IF(AE22="",0,22)+IF(AM22="",0,18)+IF(AW22="",0,15)+IF(BG22="",0,20)))</f>
        <v/>
      </c>
      <c r="BM22" s="11">
        <f>IF(BK22="Ranked",1+COUNTIFS($BK$2:$BK$158,"Ranked",$BL$2:$BL$158,"&gt;"&amp;BL22),"")</f>
        <v/>
      </c>
      <c r="BN22" s="11">
        <f>City_Inputs!$AI22</f>
        <v/>
      </c>
    </row>
    <row r="23">
      <c r="A23" t="inlineStr">
        <is>
          <t>kr-jeju-city</t>
        </is>
      </c>
      <c r="B23" t="inlineStr">
        <is>
          <t>Jeju City</t>
        </is>
      </c>
      <c r="C23" t="inlineStr">
        <is>
          <t>South Korea</t>
        </is>
      </c>
      <c r="D23" t="inlineStr">
        <is>
          <t>East Asia</t>
        </is>
      </c>
      <c r="E23" t="inlineStr">
        <is>
          <t>locked</t>
        </is>
      </c>
      <c r="F23" t="inlineStr">
        <is>
          <t>secondary</t>
        </is>
      </c>
      <c r="G23" s="11">
        <f>IF(OR(City_Inputs!$M23="",Norm_Stats!$F$2="",Norm_Stats!$G$2="",Norm_Stats!$G$2=Norm_Stats!$F$2),"",MAX(0,MIN(100,100*(MIN(MAX(City_Inputs!$M23,Norm_Stats!$F$2),Norm_Stats!$G$2)-Norm_Stats!$F$2)/(Norm_Stats!$G$2-Norm_Stats!$F$2))))</f>
        <v/>
      </c>
      <c r="H23" s="14">
        <f>IF(G23="","",1)</f>
        <v/>
      </c>
      <c r="I23" s="11">
        <f>IF(OR(City_Inputs!$N23="",Norm_Stats!$F$3="",Norm_Stats!$G$3="",Norm_Stats!$G$3=Norm_Stats!$F$3),"",MAX(0,MIN(100,100*(Norm_Stats!$G$3-MIN(MAX(City_Inputs!$N23,Norm_Stats!$F$3),Norm_Stats!$G$3))/(Norm_Stats!$G$3-Norm_Stats!$F$3))))</f>
        <v/>
      </c>
      <c r="J23" s="14">
        <f>IF(I23="","",1)</f>
        <v/>
      </c>
      <c r="K23" s="11">
        <f>IF(OR(City_Inputs!$P23="",Norm_Stats!$F$4="",Norm_Stats!$G$4="",Norm_Stats!$G$4=Norm_Stats!$F$4),"",MAX(0,MIN(100,100*(Norm_Stats!$G$4-MIN(MAX(City_Inputs!$P23,Norm_Stats!$F$4),Norm_Stats!$G$4))/(Norm_Stats!$G$4-Norm_Stats!$F$4))))</f>
        <v/>
      </c>
      <c r="L23" s="14">
        <f>IF(K23="","",1)</f>
        <v/>
      </c>
      <c r="M23" s="11">
        <f>IF(OR(City_Inputs!$Q23="",Norm_Stats!$F$5="",Norm_Stats!$G$5="",Norm_Stats!$G$5=Norm_Stats!$F$5),"",MAX(0,MIN(100,100*(Norm_Stats!$G$5-MIN(MAX(City_Inputs!$Q23,Norm_Stats!$F$5),Norm_Stats!$G$5))/(Norm_Stats!$G$5-Norm_Stats!$F$5))))</f>
        <v/>
      </c>
      <c r="N23" s="14">
        <f>IF(M23="","",1)</f>
        <v/>
      </c>
      <c r="O23" s="11">
        <f>IF(OR(City_Inputs!$R23="",Norm_Stats!$F$6="",Norm_Stats!$G$6="",Norm_Stats!$G$6=Norm_Stats!$F$6),"",MAX(0,MIN(100,100*(Norm_Stats!$G$6-MIN(MAX(City_Inputs!$R23,Norm_Stats!$F$6),Norm_Stats!$G$6))/(Norm_Stats!$G$6-Norm_Stats!$F$6))))</f>
        <v/>
      </c>
      <c r="P23" s="14">
        <f>IF(O23="","",1)</f>
        <v/>
      </c>
      <c r="Q23" s="15">
        <f>IF((IF(G23="",0,9)+IF(I23="",0,5)+IF(K23="",0,4)+IF(M23="",0,4)+IF(O23="",0,5))=0,"",(IF(G23="",0,G23*9)+IF(I23="",0,I23*5)+IF(K23="",0,K23*4)+IF(M23="",0,M23*4)+IF(O23="",0,O23*5))/(IF(G23="",0,9)+IF(I23="",0,5)+IF(K23="",0,4)+IF(M23="",0,4)+IF(O23="",0,5)))</f>
        <v/>
      </c>
      <c r="R23" s="14">
        <f>IF((IF(H23="",0,9)+IF(J23="",0,5)+IF(L23="",0,4)+IF(N23="",0,4)+IF(P23="",0,5))=0,"",(IF(H23="",0,H23*9)+IF(J23="",0,J23*5)+IF(L23="",0,L23*4)+IF(N23="",0,N23*4)+IF(P23="",0,P23*5))/27)</f>
        <v/>
      </c>
      <c r="S23" s="11">
        <f>IF(OR(City_Inputs!$S23="",Norm_Stats!$F$7="",Norm_Stats!$G$7="",Norm_Stats!$G$7=Norm_Stats!$F$7),"",MAX(0,MIN(100,100*(Norm_Stats!$G$7-MIN(MAX(City_Inputs!$S23,Norm_Stats!$F$7),Norm_Stats!$G$7))/(Norm_Stats!$G$7-Norm_Stats!$F$7))))</f>
        <v/>
      </c>
      <c r="T23" s="14">
        <f>IF(S23="","",1)</f>
        <v/>
      </c>
      <c r="U23" s="11">
        <f>IF(OR(City_Inputs!$T23="",Norm_Stats!$F$8="",Norm_Stats!$G$8="",Norm_Stats!$G$8=Norm_Stats!$F$8),"",MAX(0,MIN(100,100*(MIN(MAX(City_Inputs!$T23,Norm_Stats!$F$8),Norm_Stats!$G$8)-Norm_Stats!$F$8)/(Norm_Stats!$G$8-Norm_Stats!$F$8))))</f>
        <v/>
      </c>
      <c r="V23" s="14">
        <f>IF(U23="","",1)</f>
        <v/>
      </c>
      <c r="W23" s="11">
        <f>IF(OR(City_Inputs!$U23="",Norm_Stats!$F$9="",Norm_Stats!$G$9="",Norm_Stats!$G$9=Norm_Stats!$F$9),"",MAX(0,MIN(100,100*(Norm_Stats!$G$9-MIN(MAX(City_Inputs!$U23,Norm_Stats!$F$9),Norm_Stats!$G$9))/(Norm_Stats!$G$9-Norm_Stats!$F$9))))</f>
        <v/>
      </c>
      <c r="X23" s="14">
        <f>IF(W23="","",1)</f>
        <v/>
      </c>
      <c r="Y23" s="11">
        <f>IF(OR(City_Inputs!$V23="",Norm_Stats!$F$10="",Norm_Stats!$G$10="",Norm_Stats!$G$10=Norm_Stats!$F$10),"",MAX(0,MIN(100,100*(MIN(MAX(City_Inputs!$V23,Norm_Stats!$F$10),Norm_Stats!$G$10)-Norm_Stats!$F$10)/(Norm_Stats!$G$10-Norm_Stats!$F$10))))</f>
        <v/>
      </c>
      <c r="Z23" s="14">
        <f>IF(Y23="","",1)</f>
        <v/>
      </c>
      <c r="AA23" s="11">
        <f>IF(OR(City_Inputs!$W23="",Norm_Stats!$F$11="",Norm_Stats!$G$11="",Norm_Stats!$G$11=Norm_Stats!$F$11),"",MAX(0,MIN(100,100*(MIN(MAX(City_Inputs!$W23,Norm_Stats!$F$11),Norm_Stats!$G$11)-Norm_Stats!$F$11)/(Norm_Stats!$G$11-Norm_Stats!$F$11))))</f>
        <v/>
      </c>
      <c r="AB23" s="14">
        <f>IF(AA23="","",1)</f>
        <v/>
      </c>
      <c r="AC23" s="11">
        <f>IF(OR(City_Inputs!$X23="",Norm_Stats!$F$12="",Norm_Stats!$G$12="",Norm_Stats!$G$12=Norm_Stats!$F$12),"",MAX(0,MIN(100,100*(MIN(MAX(City_Inputs!$X23,Norm_Stats!$F$12),Norm_Stats!$G$12)-Norm_Stats!$F$12)/(Norm_Stats!$G$12-Norm_Stats!$F$12))))</f>
        <v/>
      </c>
      <c r="AD23" s="11">
        <f>IF(AC23="","",1)</f>
        <v/>
      </c>
      <c r="AE23" s="15">
        <f>IF((IF(S23="",0,5)+IF(U23="",0,5)+IF(W23="",0,4)+IF(Y23="",0,4)+IF(AA23="",0,4)+IF(AC23="",0,5))=0,"",(IF(S23="",0,S23*5)+IF(U23="",0,U23*5)+IF(W23="",0,W23*4)+IF(Y23="",0,Y23*4)+IF(AA23="",0,AA23*4)+IF(AC23="",0,AC23*5))/(IF(S23="",0,5)+IF(U23="",0,5)+IF(W23="",0,4)+IF(Y23="",0,4)+IF(AA23="",0,4)+IF(AC23="",0,5)))</f>
        <v/>
      </c>
      <c r="AF23" s="14">
        <f>IF((IF(T23="",0,5)+IF(V23="",0,5)+IF(X23="",0,4)+IF(Z23="",0,4)+IF(AB23="",0,4)+IF(AD23="",0,5))=0,"",(IF(T23="",0,T23*5)+IF(V23="",0,V23*5)+IF(X23="",0,X23*4)+IF(Z23="",0,Z23*4)+IF(AB23="",0,AB23*4)+IF(AD23="",0,AD23*5))/27)</f>
        <v/>
      </c>
      <c r="AG23" s="11">
        <f>IF(OR(City_Inputs!$Y23="",Norm_Stats!$F$13="",Norm_Stats!$G$13="",Norm_Stats!$G$13=Norm_Stats!$F$13),"",MAX(0,MIN(100,100*(MIN(MAX(City_Inputs!$Y23,Norm_Stats!$F$13),Norm_Stats!$G$13)-Norm_Stats!$F$13)/(Norm_Stats!$G$13-Norm_Stats!$F$13))))</f>
        <v/>
      </c>
      <c r="AH23" s="14">
        <f>IF(AG23="","",1)</f>
        <v/>
      </c>
      <c r="AI23" s="11">
        <f>IF(OR(City_Inputs!$Z23="",Norm_Stats!$F$14="",Norm_Stats!$G$14="",Norm_Stats!$G$14=Norm_Stats!$F$14),"",MAX(0,MIN(100,100*(MIN(MAX(City_Inputs!$Z23,Norm_Stats!$F$14),Norm_Stats!$G$14)-Norm_Stats!$F$14)/(Norm_Stats!$G$14-Norm_Stats!$F$14))))</f>
        <v/>
      </c>
      <c r="AJ23" s="14">
        <f>IF(AI23="","",1)</f>
        <v/>
      </c>
      <c r="AK23" s="11">
        <f>IF((IF((IF(OR(City_Inputs!$AA23="",Norm_Stats!$F$15="",Norm_Stats!$G$15="",Norm_Stats!$G$15=Norm_Stats!$F$15),"",MAX(0,MIN(100,100*(MIN(MAX(City_Inputs!$AA23,Norm_Stats!$F$15),Norm_Stats!$G$15)-Norm_Stats!$F$15)/(Norm_Stats!$G$15-Norm_Stats!$F$15)))))="",0,0.7)+IF((IF(OR(City_Inputs!$AL23="",Norm_Stats!$F$16="",Norm_Stats!$G$16="",Norm_Stats!$G$16=Norm_Stats!$F$16),"",MAX(0,MIN(100,100*(Norm_Stats!$G$16-MIN(MAX(City_Inputs!$AL23,Norm_Stats!$F$16),Norm_Stats!$G$16))/(Norm_Stats!$G$16-Norm_Stats!$F$16)))))="",0,0.3))=0,"",(IF((IF(OR(City_Inputs!$AA23="",Norm_Stats!$F$15="",Norm_Stats!$G$15="",Norm_Stats!$G$15=Norm_Stats!$F$15),"",MAX(0,MIN(100,100*(MIN(MAX(City_Inputs!$AA23,Norm_Stats!$F$15),Norm_Stats!$G$15)-Norm_Stats!$F$15)/(Norm_Stats!$G$15-Norm_Stats!$F$15)))))="",0,(IF(OR(City_Inputs!$AA23="",Norm_Stats!$F$15="",Norm_Stats!$G$15="",Norm_Stats!$G$15=Norm_Stats!$F$15),"",MAX(0,MIN(100,100*(MIN(MAX(City_Inputs!$AA23,Norm_Stats!$F$15),Norm_Stats!$G$15)-Norm_Stats!$F$15)/(Norm_Stats!$G$15-Norm_Stats!$F$15)))))*0.7)+IF((IF(OR(City_Inputs!$AL23="",Norm_Stats!$F$16="",Norm_Stats!$G$16="",Norm_Stats!$G$16=Norm_Stats!$F$16),"",MAX(0,MIN(100,100*(Norm_Stats!$G$16-MIN(MAX(City_Inputs!$AL23,Norm_Stats!$F$16),Norm_Stats!$G$16))/(Norm_Stats!$G$16-Norm_Stats!$F$16)))))="",0,(IF(OR(City_Inputs!$AL23="",Norm_Stats!$F$16="",Norm_Stats!$G$16="",Norm_Stats!$G$16=Norm_Stats!$F$16),"",MAX(0,MIN(100,100*(Norm_Stats!$G$16-MIN(MAX(City_Inputs!$AL23,Norm_Stats!$F$16),Norm_Stats!$G$16))/(Norm_Stats!$G$16-Norm_Stats!$F$16)))))*0.3))/(IF((IF(OR(City_Inputs!$AA23="",Norm_Stats!$F$15="",Norm_Stats!$G$15="",Norm_Stats!$G$15=Norm_Stats!$F$15),"",MAX(0,MIN(100,100*(MIN(MAX(City_Inputs!$AA23,Norm_Stats!$F$15),Norm_Stats!$G$15)-Norm_Stats!$F$15)/(Norm_Stats!$G$15-Norm_Stats!$F$15)))))="",0,0.7)+IF((IF(OR(City_Inputs!$AL23="",Norm_Stats!$F$16="",Norm_Stats!$G$16="",Norm_Stats!$G$16=Norm_Stats!$F$16),"",MAX(0,MIN(100,100*(Norm_Stats!$G$16-MIN(MAX(City_Inputs!$AL23,Norm_Stats!$F$16),Norm_Stats!$G$16))/(Norm_Stats!$G$16-Norm_Stats!$F$16)))))="",0,0.3)))</f>
        <v/>
      </c>
      <c r="AL23" s="14">
        <f>IF((IF((IF(OR(City_Inputs!$AA23="",Norm_Stats!$F$15="",Norm_Stats!$G$15="",Norm_Stats!$G$15=Norm_Stats!$F$15),"",MAX(0,MIN(100,100*(MIN(MAX(City_Inputs!$AA23,Norm_Stats!$F$15),Norm_Stats!$G$15)-Norm_Stats!$F$15)/(Norm_Stats!$G$15-Norm_Stats!$F$15)))))="",0,0.7)+IF((IF(OR(City_Inputs!$AL23="",Norm_Stats!$F$16="",Norm_Stats!$G$16="",Norm_Stats!$G$16=Norm_Stats!$F$16),"",MAX(0,MIN(100,100*(Norm_Stats!$G$16-MIN(MAX(City_Inputs!$AL23,Norm_Stats!$F$16),Norm_Stats!$G$16))/(Norm_Stats!$G$16-Norm_Stats!$F$16)))))="",0,0.3))=0,"",(IF((IF(OR(City_Inputs!$AA23="",Norm_Stats!$F$15="",Norm_Stats!$G$15="",Norm_Stats!$G$15=Norm_Stats!$F$15),"",MAX(0,MIN(100,100*(MIN(MAX(City_Inputs!$AA23,Norm_Stats!$F$15),Norm_Stats!$G$15)-Norm_Stats!$F$15)/(Norm_Stats!$G$15-Norm_Stats!$F$15)))))="",0,0.7)+IF((IF(OR(City_Inputs!$AL23="",Norm_Stats!$F$16="",Norm_Stats!$G$16="",Norm_Stats!$G$16=Norm_Stats!$F$16),"",MAX(0,MIN(100,100*(Norm_Stats!$G$16-MIN(MAX(City_Inputs!$AL23,Norm_Stats!$F$16),Norm_Stats!$G$16))/(Norm_Stats!$G$16-Norm_Stats!$F$16)))))="",0,0.3)))</f>
        <v/>
      </c>
      <c r="AM23" s="15">
        <f>IF((IF(AG23="",0,8)+IF(AI23="",0,6)+IF(AK23="",0,4))=0,"",(IF(AG23="",0,AG23*8)+IF(AI23="",0,AI23*6)+IF(AK23="",0,AK23*4))/(IF(AG23="",0,8)+IF(AI23="",0,6)+IF(AK23="",0,4)))</f>
        <v/>
      </c>
      <c r="AN23" s="14">
        <f>IF((IF(AH23="",0,8)+IF(AJ23="",0,6)+IF(AL23="",0,4))=0,"",(IF(AH23="",0,AH23*8)+IF(AJ23="",0,AJ23*6)+IF(AL23="",0,AL23*4))/18)</f>
        <v/>
      </c>
      <c r="AO23" s="11">
        <f>IF(OR(City_Inputs!$AB23="",Norm_Stats!$F$17="",Norm_Stats!$G$17="",Norm_Stats!$G$17=Norm_Stats!$F$17),"",MAX(0,MIN(100,100*(MIN(MAX(City_Inputs!$AB23,Norm_Stats!$F$17),Norm_Stats!$G$17)-Norm_Stats!$F$17)/(Norm_Stats!$G$17-Norm_Stats!$F$17))))</f>
        <v/>
      </c>
      <c r="AP23" s="14">
        <f>IF(AO23="","",1)</f>
        <v/>
      </c>
      <c r="AQ23" s="11">
        <f>IF(OR(City_Inputs!$AC23="",Norm_Stats!$F$18="",Norm_Stats!$G$18="",Norm_Stats!$G$18=Norm_Stats!$F$18),"",MAX(0,MIN(100,100*(MIN(MAX(City_Inputs!$AC23,Norm_Stats!$F$18),Norm_Stats!$G$18)-Norm_Stats!$F$18)/(Norm_Stats!$G$18-Norm_Stats!$F$18))))</f>
        <v/>
      </c>
      <c r="AR23" s="14">
        <f>IF(AQ23="","",1)</f>
        <v/>
      </c>
      <c r="AS23" s="11">
        <f>IF(OR(City_Inputs!$AD23="",Norm_Stats!$F$19="",Norm_Stats!$G$19="",Norm_Stats!$G$19=Norm_Stats!$F$19),"",MAX(0,MIN(100,100*(MIN(MAX(City_Inputs!$AD23,Norm_Stats!$F$19),Norm_Stats!$G$19)-Norm_Stats!$F$19)/(Norm_Stats!$G$19-Norm_Stats!$F$19))))</f>
        <v/>
      </c>
      <c r="AT23" s="14">
        <f>IF(AS23="","",1)</f>
        <v/>
      </c>
      <c r="AU23" s="11">
        <f>IF(OR(City_Inputs!$BJ23="",Norm_Stats!$F$26="",Norm_Stats!$G$26="",Norm_Stats!$G$26=Norm_Stats!$F$26),"",MAX(0,MIN(100,100*(MIN(MAX(City_Inputs!$BJ23,Norm_Stats!$F$26),Norm_Stats!$G$26)-Norm_Stats!$F$26)/(Norm_Stats!$G$26-Norm_Stats!$F$26))))</f>
        <v/>
      </c>
      <c r="AV23" s="11">
        <f>IF(AU23="","",1)</f>
        <v/>
      </c>
      <c r="AW23" s="15">
        <f>IF((IF(AO23="",0,5)+IF(AQ23="",0,5)+IF(AS23="",0,5)+IF(AU23="",0,4))=0,"",(IF(AO23="",0,AO23*5)+IF(AQ23="",0,AQ23*5)+IF(AS23="",0,AS23*5)+IF(AU23="",0,AU23*4))/(IF(AO23="",0,5)+IF(AQ23="",0,5)+IF(AS23="",0,5)+IF(AU23="",0,4)))</f>
        <v/>
      </c>
      <c r="AX23" s="14">
        <f>IF((IF(AP23="",0,5)+IF(AR23="",0,5)+IF(AT23="",0,5)+IF(AV23="",0,4))=0,"",(IF(AP23="",0,AP23*5)+IF(AR23="",0,AR23*5)+IF(AT23="",0,AT23*5)+IF(AV23="",0,AV23*4))/19)</f>
        <v/>
      </c>
      <c r="AY23" s="11">
        <f>IF(OR(City_Inputs!$AE23="",Norm_Stats!$F$20="",Norm_Stats!$G$20="",Norm_Stats!$G$20=Norm_Stats!$F$20),"",MAX(0,MIN(100,100*(MIN(MAX(City_Inputs!$AE23,Norm_Stats!$F$20),Norm_Stats!$G$20)-Norm_Stats!$F$20)/(Norm_Stats!$G$20-Norm_Stats!$F$20))))</f>
        <v/>
      </c>
      <c r="AZ23" s="14">
        <f>IF(AY23="","",1)</f>
        <v/>
      </c>
      <c r="BA23" s="11">
        <f>IF(OR(City_Inputs!$AF23="",Norm_Stats!$F$21="",Norm_Stats!$G$21="",Norm_Stats!$G$21=Norm_Stats!$F$21),"",MAX(0,MIN(100,100*(MIN(MAX(City_Inputs!$AF23,Norm_Stats!$F$21),Norm_Stats!$G$21)-Norm_Stats!$F$21)/(Norm_Stats!$G$21-Norm_Stats!$F$21))))</f>
        <v/>
      </c>
      <c r="BB23" s="14">
        <f>IF(BA23="","",1)</f>
        <v/>
      </c>
      <c r="BC23" s="11">
        <f>IF((IF((IF(OR(City_Inputs!$AG23="",Norm_Stats!$F$22="",Norm_Stats!$G$22="",Norm_Stats!$G$22=Norm_Stats!$F$22),"",MAX(0,MIN(100,100*(MIN(MAX(City_Inputs!$AG23,Norm_Stats!$F$22),Norm_Stats!$G$22)-Norm_Stats!$F$22)/(Norm_Stats!$G$22-Norm_Stats!$F$22)))))="",0,0.5)+IF((IF(OR(City_Inputs!$AJ23="",Norm_Stats!$F$23="",Norm_Stats!$G$23="",Norm_Stats!$G$23=Norm_Stats!$F$23),"",MAX(0,MIN(100,100*(MIN(MAX(City_Inputs!$AJ23,Norm_Stats!$F$23),Norm_Stats!$G$23)-Norm_Stats!$F$23)/(Norm_Stats!$G$23-Norm_Stats!$F$23)))))="",0,0.3)+IF((IF(OR(City_Inputs!$AK23="",Norm_Stats!$F$24="",Norm_Stats!$G$24="",Norm_Stats!$G$24=Norm_Stats!$F$24),"",MAX(0,MIN(100,100*(MIN(MAX(City_Inputs!$AK23,Norm_Stats!$F$24),Norm_Stats!$G$24)-Norm_Stats!$F$24)/(Norm_Stats!$G$24-Norm_Stats!$F$24)))))="",0,0.2))=0,"",(IF((IF(OR(City_Inputs!$AG23="",Norm_Stats!$F$22="",Norm_Stats!$G$22="",Norm_Stats!$G$22=Norm_Stats!$F$22),"",MAX(0,MIN(100,100*(MIN(MAX(City_Inputs!$AG23,Norm_Stats!$F$22),Norm_Stats!$G$22)-Norm_Stats!$F$22)/(Norm_Stats!$G$22-Norm_Stats!$F$22)))))="",0,(IF(OR(City_Inputs!$AG23="",Norm_Stats!$F$22="",Norm_Stats!$G$22="",Norm_Stats!$G$22=Norm_Stats!$F$22),"",MAX(0,MIN(100,100*(MIN(MAX(City_Inputs!$AG23,Norm_Stats!$F$22),Norm_Stats!$G$22)-Norm_Stats!$F$22)/(Norm_Stats!$G$22-Norm_Stats!$F$22)))))*0.5)+IF((IF(OR(City_Inputs!$AJ23="",Norm_Stats!$F$23="",Norm_Stats!$G$23="",Norm_Stats!$G$23=Norm_Stats!$F$23),"",MAX(0,MIN(100,100*(MIN(MAX(City_Inputs!$AJ23,Norm_Stats!$F$23),Norm_Stats!$G$23)-Norm_Stats!$F$23)/(Norm_Stats!$G$23-Norm_Stats!$F$23)))))="",0,(IF(OR(City_Inputs!$AJ23="",Norm_Stats!$F$23="",Norm_Stats!$G$23="",Norm_Stats!$G$23=Norm_Stats!$F$23),"",MAX(0,MIN(100,100*(MIN(MAX(City_Inputs!$AJ23,Norm_Stats!$F$23),Norm_Stats!$G$23)-Norm_Stats!$F$23)/(Norm_Stats!$G$23-Norm_Stats!$F$23)))))*0.3)+IF((IF(OR(City_Inputs!$AK23="",Norm_Stats!$F$24="",Norm_Stats!$G$24="",Norm_Stats!$G$24=Norm_Stats!$F$24),"",MAX(0,MIN(100,100*(MIN(MAX(City_Inputs!$AK23,Norm_Stats!$F$24),Norm_Stats!$G$24)-Norm_Stats!$F$24)/(Norm_Stats!$G$24-Norm_Stats!$F$24)))))="",0,(IF(OR(City_Inputs!$AK23="",Norm_Stats!$F$24="",Norm_Stats!$G$24="",Norm_Stats!$G$24=Norm_Stats!$F$24),"",MAX(0,MIN(100,100*(MIN(MAX(City_Inputs!$AK23,Norm_Stats!$F$24),Norm_Stats!$G$24)-Norm_Stats!$F$24)/(Norm_Stats!$G$24-Norm_Stats!$F$24)))))*0.2))/(IF((IF(OR(City_Inputs!$AG23="",Norm_Stats!$F$22="",Norm_Stats!$G$22="",Norm_Stats!$G$22=Norm_Stats!$F$22),"",MAX(0,MIN(100,100*(MIN(MAX(City_Inputs!$AG23,Norm_Stats!$F$22),Norm_Stats!$G$22)-Norm_Stats!$F$22)/(Norm_Stats!$G$22-Norm_Stats!$F$22)))))="",0,0.5)+IF((IF(OR(City_Inputs!$AJ23="",Norm_Stats!$F$23="",Norm_Stats!$G$23="",Norm_Stats!$G$23=Norm_Stats!$F$23),"",MAX(0,MIN(100,100*(MIN(MAX(City_Inputs!$AJ23,Norm_Stats!$F$23),Norm_Stats!$G$23)-Norm_Stats!$F$23)/(Norm_Stats!$G$23-Norm_Stats!$F$23)))))="",0,0.3)+IF((IF(OR(City_Inputs!$AK23="",Norm_Stats!$F$24="",Norm_Stats!$G$24="",Norm_Stats!$G$24=Norm_Stats!$F$24),"",MAX(0,MIN(100,100*(MIN(MAX(City_Inputs!$AK23,Norm_Stats!$F$24),Norm_Stats!$G$24)-Norm_Stats!$F$24)/(Norm_Stats!$G$24-Norm_Stats!$F$24)))))="",0,0.2)))</f>
        <v/>
      </c>
      <c r="BD23" s="14">
        <f>IF((IF((IF(OR(City_Inputs!$AG23="",Norm_Stats!$F$22="",Norm_Stats!$G$22="",Norm_Stats!$G$22=Norm_Stats!$F$22),"",MAX(0,MIN(100,100*(MIN(MAX(City_Inputs!$AG23,Norm_Stats!$F$22),Norm_Stats!$G$22)-Norm_Stats!$F$22)/(Norm_Stats!$G$22-Norm_Stats!$F$22)))))="",0,0.5)+IF((IF(OR(City_Inputs!$AJ23="",Norm_Stats!$F$23="",Norm_Stats!$G$23="",Norm_Stats!$G$23=Norm_Stats!$F$23),"",MAX(0,MIN(100,100*(MIN(MAX(City_Inputs!$AJ23,Norm_Stats!$F$23),Norm_Stats!$G$23)-Norm_Stats!$F$23)/(Norm_Stats!$G$23-Norm_Stats!$F$23)))))="",0,0.3)+IF((IF(OR(City_Inputs!$AK23="",Norm_Stats!$F$24="",Norm_Stats!$G$24="",Norm_Stats!$G$24=Norm_Stats!$F$24),"",MAX(0,MIN(100,100*(MIN(MAX(City_Inputs!$AK23,Norm_Stats!$F$24),Norm_Stats!$G$24)-Norm_Stats!$F$24)/(Norm_Stats!$G$24-Norm_Stats!$F$24)))))="",0,0.2))=0,"",(IF((IF(OR(City_Inputs!$AG23="",Norm_Stats!$F$22="",Norm_Stats!$G$22="",Norm_Stats!$G$22=Norm_Stats!$F$22),"",MAX(0,MIN(100,100*(MIN(MAX(City_Inputs!$AG23,Norm_Stats!$F$22),Norm_Stats!$G$22)-Norm_Stats!$F$22)/(Norm_Stats!$G$22-Norm_Stats!$F$22)))))="",0,0.5)+IF((IF(OR(City_Inputs!$AJ23="",Norm_Stats!$F$23="",Norm_Stats!$G$23="",Norm_Stats!$G$23=Norm_Stats!$F$23),"",MAX(0,MIN(100,100*(MIN(MAX(City_Inputs!$AJ23,Norm_Stats!$F$23),Norm_Stats!$G$23)-Norm_Stats!$F$23)/(Norm_Stats!$G$23-Norm_Stats!$F$23)))))="",0,0.3)+IF((IF(OR(City_Inputs!$AK23="",Norm_Stats!$F$24="",Norm_Stats!$G$24="",Norm_Stats!$G$24=Norm_Stats!$F$24),"",MAX(0,MIN(100,100*(MIN(MAX(City_Inputs!$AK23,Norm_Stats!$F$24),Norm_Stats!$G$24)-Norm_Stats!$F$24)/(Norm_Stats!$G$24-Norm_Stats!$F$24)))))="",0,0.2)))</f>
        <v/>
      </c>
      <c r="BE23" s="11">
        <f>IF(OR(City_Inputs!$AH23="",Norm_Stats!$F$25="",Norm_Stats!$G$25="",Norm_Stats!$G$25=Norm_Stats!$F$25),"",MAX(0,MIN(100,100*(Norm_Stats!$G$25-MIN(MAX(City_Inputs!$AH23,Norm_Stats!$F$25),Norm_Stats!$G$25))/(Norm_Stats!$G$25-Norm_Stats!$F$25))))</f>
        <v/>
      </c>
      <c r="BF23" s="14">
        <f>IF(BE23="","",1)</f>
        <v/>
      </c>
      <c r="BG23" s="15">
        <f>IF((IF(AY23="",0,6)+IF(BA23="",0,5)+IF(BC23="",0,5)+IF(BE23="",0,4))=0,"",(IF(AY23="",0,AY23*6)+IF(BA23="",0,BA23*5)+IF(BC23="",0,BC23*5)+IF(BE23="",0,BE23*4))/(IF(AY23="",0,6)+IF(BA23="",0,5)+IF(BC23="",0,5)+IF(BE23="",0,4)))</f>
        <v/>
      </c>
      <c r="BH23" s="14">
        <f>IF((IF(AZ23="",0,6)+IF(BB23="",0,5)+IF(BD23="",0,5)+IF(BF23="",0,4))=0,"",(IF(AZ23="",0,AZ23*6)+IF(BB23="",0,BB23*5)+IF(BD23="",0,BD23*5)+IF(BF23="",0,BF23*4))/20)</f>
        <v/>
      </c>
      <c r="BI23" s="14">
        <f>IF(AND(R23="",AF23="",AN23="",AX23="",BH23=""),"",((R23*25)+(AF23*22)+(AN23*18)+(AX23*15)+(BH23*20))/100)</f>
        <v/>
      </c>
      <c r="BJ23" s="11">
        <f>IF(BI23="","",IF(BI23&gt;=0.75,"A",IF(BI23&gt;=0.5,"B",IF(BI23&gt;=0.35,"C","Watchlist"))))</f>
        <v/>
      </c>
      <c r="BK23" s="11">
        <f>IF(OR(BI23="",BI23&lt;0.5,R23="",R23&lt;0.35,AF23="",AF23&lt;0.35,AN23="",AN23&lt;0.35,AX23="",AX23&lt;0.35,BH23="",BH23&lt;0.35),"Watchlist","Ranked")</f>
        <v/>
      </c>
      <c r="BL23" s="15">
        <f>IF(AND(Q23="",AE23="",AM23="",AW23="",BG23=""),"",(IF(Q23="",0,Q23*25)+IF(AE23="",0,AE23*22)+IF(AM23="",0,AM23*18)+IF(AW23="",0,AW23*15)+IF(BG23="",0,BG23*20))/(IF(Q23="",0,25)+IF(AE23="",0,22)+IF(AM23="",0,18)+IF(AW23="",0,15)+IF(BG23="",0,20)))</f>
        <v/>
      </c>
      <c r="BM23" s="11">
        <f>IF(BK23="Ranked",1+COUNTIFS($BK$2:$BK$158,"Ranked",$BL$2:$BL$158,"&gt;"&amp;BL23),"")</f>
        <v/>
      </c>
      <c r="BN23" s="11">
        <f>City_Inputs!$AI23</f>
        <v/>
      </c>
    </row>
    <row r="24">
      <c r="A24" t="inlineStr">
        <is>
          <t>jp-fukuoka</t>
        </is>
      </c>
      <c r="B24" t="inlineStr">
        <is>
          <t>Fukuoka</t>
        </is>
      </c>
      <c r="C24" t="inlineStr">
        <is>
          <t>Japan</t>
        </is>
      </c>
      <c r="D24" t="inlineStr">
        <is>
          <t>East Asia</t>
        </is>
      </c>
      <c r="E24" t="inlineStr">
        <is>
          <t>locked</t>
        </is>
      </c>
      <c r="F24" t="inlineStr">
        <is>
          <t>secondary</t>
        </is>
      </c>
      <c r="G24" s="11">
        <f>IF(OR(City_Inputs!$M24="",Norm_Stats!$F$2="",Norm_Stats!$G$2="",Norm_Stats!$G$2=Norm_Stats!$F$2),"",MAX(0,MIN(100,100*(MIN(MAX(City_Inputs!$M24,Norm_Stats!$F$2),Norm_Stats!$G$2)-Norm_Stats!$F$2)/(Norm_Stats!$G$2-Norm_Stats!$F$2))))</f>
        <v/>
      </c>
      <c r="H24" s="14">
        <f>IF(G24="","",1)</f>
        <v/>
      </c>
      <c r="I24" s="11">
        <f>IF(OR(City_Inputs!$N24="",Norm_Stats!$F$3="",Norm_Stats!$G$3="",Norm_Stats!$G$3=Norm_Stats!$F$3),"",MAX(0,MIN(100,100*(Norm_Stats!$G$3-MIN(MAX(City_Inputs!$N24,Norm_Stats!$F$3),Norm_Stats!$G$3))/(Norm_Stats!$G$3-Norm_Stats!$F$3))))</f>
        <v/>
      </c>
      <c r="J24" s="14">
        <f>IF(I24="","",1)</f>
        <v/>
      </c>
      <c r="K24" s="11">
        <f>IF(OR(City_Inputs!$P24="",Norm_Stats!$F$4="",Norm_Stats!$G$4="",Norm_Stats!$G$4=Norm_Stats!$F$4),"",MAX(0,MIN(100,100*(Norm_Stats!$G$4-MIN(MAX(City_Inputs!$P24,Norm_Stats!$F$4),Norm_Stats!$G$4))/(Norm_Stats!$G$4-Norm_Stats!$F$4))))</f>
        <v/>
      </c>
      <c r="L24" s="14">
        <f>IF(K24="","",1)</f>
        <v/>
      </c>
      <c r="M24" s="11">
        <f>IF(OR(City_Inputs!$Q24="",Norm_Stats!$F$5="",Norm_Stats!$G$5="",Norm_Stats!$G$5=Norm_Stats!$F$5),"",MAX(0,MIN(100,100*(Norm_Stats!$G$5-MIN(MAX(City_Inputs!$Q24,Norm_Stats!$F$5),Norm_Stats!$G$5))/(Norm_Stats!$G$5-Norm_Stats!$F$5))))</f>
        <v/>
      </c>
      <c r="N24" s="14">
        <f>IF(M24="","",1)</f>
        <v/>
      </c>
      <c r="O24" s="11">
        <f>IF(OR(City_Inputs!$R24="",Norm_Stats!$F$6="",Norm_Stats!$G$6="",Norm_Stats!$G$6=Norm_Stats!$F$6),"",MAX(0,MIN(100,100*(Norm_Stats!$G$6-MIN(MAX(City_Inputs!$R24,Norm_Stats!$F$6),Norm_Stats!$G$6))/(Norm_Stats!$G$6-Norm_Stats!$F$6))))</f>
        <v/>
      </c>
      <c r="P24" s="14">
        <f>IF(O24="","",1)</f>
        <v/>
      </c>
      <c r="Q24" s="15">
        <f>IF((IF(G24="",0,9)+IF(I24="",0,5)+IF(K24="",0,4)+IF(M24="",0,4)+IF(O24="",0,5))=0,"",(IF(G24="",0,G24*9)+IF(I24="",0,I24*5)+IF(K24="",0,K24*4)+IF(M24="",0,M24*4)+IF(O24="",0,O24*5))/(IF(G24="",0,9)+IF(I24="",0,5)+IF(K24="",0,4)+IF(M24="",0,4)+IF(O24="",0,5)))</f>
        <v/>
      </c>
      <c r="R24" s="14">
        <f>IF((IF(H24="",0,9)+IF(J24="",0,5)+IF(L24="",0,4)+IF(N24="",0,4)+IF(P24="",0,5))=0,"",(IF(H24="",0,H24*9)+IF(J24="",0,J24*5)+IF(L24="",0,L24*4)+IF(N24="",0,N24*4)+IF(P24="",0,P24*5))/27)</f>
        <v/>
      </c>
      <c r="S24" s="11">
        <f>IF(OR(City_Inputs!$S24="",Norm_Stats!$F$7="",Norm_Stats!$G$7="",Norm_Stats!$G$7=Norm_Stats!$F$7),"",MAX(0,MIN(100,100*(Norm_Stats!$G$7-MIN(MAX(City_Inputs!$S24,Norm_Stats!$F$7),Norm_Stats!$G$7))/(Norm_Stats!$G$7-Norm_Stats!$F$7))))</f>
        <v/>
      </c>
      <c r="T24" s="14">
        <f>IF(S24="","",1)</f>
        <v/>
      </c>
      <c r="U24" s="11">
        <f>IF(OR(City_Inputs!$T24="",Norm_Stats!$F$8="",Norm_Stats!$G$8="",Norm_Stats!$G$8=Norm_Stats!$F$8),"",MAX(0,MIN(100,100*(MIN(MAX(City_Inputs!$T24,Norm_Stats!$F$8),Norm_Stats!$G$8)-Norm_Stats!$F$8)/(Norm_Stats!$G$8-Norm_Stats!$F$8))))</f>
        <v/>
      </c>
      <c r="V24" s="14">
        <f>IF(U24="","",1)</f>
        <v/>
      </c>
      <c r="W24" s="11">
        <f>IF(OR(City_Inputs!$U24="",Norm_Stats!$F$9="",Norm_Stats!$G$9="",Norm_Stats!$G$9=Norm_Stats!$F$9),"",MAX(0,MIN(100,100*(Norm_Stats!$G$9-MIN(MAX(City_Inputs!$U24,Norm_Stats!$F$9),Norm_Stats!$G$9))/(Norm_Stats!$G$9-Norm_Stats!$F$9))))</f>
        <v/>
      </c>
      <c r="X24" s="14">
        <f>IF(W24="","",1)</f>
        <v/>
      </c>
      <c r="Y24" s="11">
        <f>IF(OR(City_Inputs!$V24="",Norm_Stats!$F$10="",Norm_Stats!$G$10="",Norm_Stats!$G$10=Norm_Stats!$F$10),"",MAX(0,MIN(100,100*(MIN(MAX(City_Inputs!$V24,Norm_Stats!$F$10),Norm_Stats!$G$10)-Norm_Stats!$F$10)/(Norm_Stats!$G$10-Norm_Stats!$F$10))))</f>
        <v/>
      </c>
      <c r="Z24" s="14">
        <f>IF(Y24="","",1)</f>
        <v/>
      </c>
      <c r="AA24" s="11">
        <f>IF(OR(City_Inputs!$W24="",Norm_Stats!$F$11="",Norm_Stats!$G$11="",Norm_Stats!$G$11=Norm_Stats!$F$11),"",MAX(0,MIN(100,100*(MIN(MAX(City_Inputs!$W24,Norm_Stats!$F$11),Norm_Stats!$G$11)-Norm_Stats!$F$11)/(Norm_Stats!$G$11-Norm_Stats!$F$11))))</f>
        <v/>
      </c>
      <c r="AB24" s="14">
        <f>IF(AA24="","",1)</f>
        <v/>
      </c>
      <c r="AC24" s="11">
        <f>IF(OR(City_Inputs!$X24="",Norm_Stats!$F$12="",Norm_Stats!$G$12="",Norm_Stats!$G$12=Norm_Stats!$F$12),"",MAX(0,MIN(100,100*(MIN(MAX(City_Inputs!$X24,Norm_Stats!$F$12),Norm_Stats!$G$12)-Norm_Stats!$F$12)/(Norm_Stats!$G$12-Norm_Stats!$F$12))))</f>
        <v/>
      </c>
      <c r="AD24" s="11">
        <f>IF(AC24="","",1)</f>
        <v/>
      </c>
      <c r="AE24" s="15">
        <f>IF((IF(S24="",0,5)+IF(U24="",0,5)+IF(W24="",0,4)+IF(Y24="",0,4)+IF(AA24="",0,4)+IF(AC24="",0,5))=0,"",(IF(S24="",0,S24*5)+IF(U24="",0,U24*5)+IF(W24="",0,W24*4)+IF(Y24="",0,Y24*4)+IF(AA24="",0,AA24*4)+IF(AC24="",0,AC24*5))/(IF(S24="",0,5)+IF(U24="",0,5)+IF(W24="",0,4)+IF(Y24="",0,4)+IF(AA24="",0,4)+IF(AC24="",0,5)))</f>
        <v/>
      </c>
      <c r="AF24" s="14">
        <f>IF((IF(T24="",0,5)+IF(V24="",0,5)+IF(X24="",0,4)+IF(Z24="",0,4)+IF(AB24="",0,4)+IF(AD24="",0,5))=0,"",(IF(T24="",0,T24*5)+IF(V24="",0,V24*5)+IF(X24="",0,X24*4)+IF(Z24="",0,Z24*4)+IF(AB24="",0,AB24*4)+IF(AD24="",0,AD24*5))/27)</f>
        <v/>
      </c>
      <c r="AG24" s="11">
        <f>IF(OR(City_Inputs!$Y24="",Norm_Stats!$F$13="",Norm_Stats!$G$13="",Norm_Stats!$G$13=Norm_Stats!$F$13),"",MAX(0,MIN(100,100*(MIN(MAX(City_Inputs!$Y24,Norm_Stats!$F$13),Norm_Stats!$G$13)-Norm_Stats!$F$13)/(Norm_Stats!$G$13-Norm_Stats!$F$13))))</f>
        <v/>
      </c>
      <c r="AH24" s="14">
        <f>IF(AG24="","",1)</f>
        <v/>
      </c>
      <c r="AI24" s="11">
        <f>IF(OR(City_Inputs!$Z24="",Norm_Stats!$F$14="",Norm_Stats!$G$14="",Norm_Stats!$G$14=Norm_Stats!$F$14),"",MAX(0,MIN(100,100*(MIN(MAX(City_Inputs!$Z24,Norm_Stats!$F$14),Norm_Stats!$G$14)-Norm_Stats!$F$14)/(Norm_Stats!$G$14-Norm_Stats!$F$14))))</f>
        <v/>
      </c>
      <c r="AJ24" s="14">
        <f>IF(AI24="","",1)</f>
        <v/>
      </c>
      <c r="AK24" s="11">
        <f>IF((IF((IF(OR(City_Inputs!$AA24="",Norm_Stats!$F$15="",Norm_Stats!$G$15="",Norm_Stats!$G$15=Norm_Stats!$F$15),"",MAX(0,MIN(100,100*(MIN(MAX(City_Inputs!$AA24,Norm_Stats!$F$15),Norm_Stats!$G$15)-Norm_Stats!$F$15)/(Norm_Stats!$G$15-Norm_Stats!$F$15)))))="",0,0.7)+IF((IF(OR(City_Inputs!$AL24="",Norm_Stats!$F$16="",Norm_Stats!$G$16="",Norm_Stats!$G$16=Norm_Stats!$F$16),"",MAX(0,MIN(100,100*(Norm_Stats!$G$16-MIN(MAX(City_Inputs!$AL24,Norm_Stats!$F$16),Norm_Stats!$G$16))/(Norm_Stats!$G$16-Norm_Stats!$F$16)))))="",0,0.3))=0,"",(IF((IF(OR(City_Inputs!$AA24="",Norm_Stats!$F$15="",Norm_Stats!$G$15="",Norm_Stats!$G$15=Norm_Stats!$F$15),"",MAX(0,MIN(100,100*(MIN(MAX(City_Inputs!$AA24,Norm_Stats!$F$15),Norm_Stats!$G$15)-Norm_Stats!$F$15)/(Norm_Stats!$G$15-Norm_Stats!$F$15)))))="",0,(IF(OR(City_Inputs!$AA24="",Norm_Stats!$F$15="",Norm_Stats!$G$15="",Norm_Stats!$G$15=Norm_Stats!$F$15),"",MAX(0,MIN(100,100*(MIN(MAX(City_Inputs!$AA24,Norm_Stats!$F$15),Norm_Stats!$G$15)-Norm_Stats!$F$15)/(Norm_Stats!$G$15-Norm_Stats!$F$15)))))*0.7)+IF((IF(OR(City_Inputs!$AL24="",Norm_Stats!$F$16="",Norm_Stats!$G$16="",Norm_Stats!$G$16=Norm_Stats!$F$16),"",MAX(0,MIN(100,100*(Norm_Stats!$G$16-MIN(MAX(City_Inputs!$AL24,Norm_Stats!$F$16),Norm_Stats!$G$16))/(Norm_Stats!$G$16-Norm_Stats!$F$16)))))="",0,(IF(OR(City_Inputs!$AL24="",Norm_Stats!$F$16="",Norm_Stats!$G$16="",Norm_Stats!$G$16=Norm_Stats!$F$16),"",MAX(0,MIN(100,100*(Norm_Stats!$G$16-MIN(MAX(City_Inputs!$AL24,Norm_Stats!$F$16),Norm_Stats!$G$16))/(Norm_Stats!$G$16-Norm_Stats!$F$16)))))*0.3))/(IF((IF(OR(City_Inputs!$AA24="",Norm_Stats!$F$15="",Norm_Stats!$G$15="",Norm_Stats!$G$15=Norm_Stats!$F$15),"",MAX(0,MIN(100,100*(MIN(MAX(City_Inputs!$AA24,Norm_Stats!$F$15),Norm_Stats!$G$15)-Norm_Stats!$F$15)/(Norm_Stats!$G$15-Norm_Stats!$F$15)))))="",0,0.7)+IF((IF(OR(City_Inputs!$AL24="",Norm_Stats!$F$16="",Norm_Stats!$G$16="",Norm_Stats!$G$16=Norm_Stats!$F$16),"",MAX(0,MIN(100,100*(Norm_Stats!$G$16-MIN(MAX(City_Inputs!$AL24,Norm_Stats!$F$16),Norm_Stats!$G$16))/(Norm_Stats!$G$16-Norm_Stats!$F$16)))))="",0,0.3)))</f>
        <v/>
      </c>
      <c r="AL24" s="14">
        <f>IF((IF((IF(OR(City_Inputs!$AA24="",Norm_Stats!$F$15="",Norm_Stats!$G$15="",Norm_Stats!$G$15=Norm_Stats!$F$15),"",MAX(0,MIN(100,100*(MIN(MAX(City_Inputs!$AA24,Norm_Stats!$F$15),Norm_Stats!$G$15)-Norm_Stats!$F$15)/(Norm_Stats!$G$15-Norm_Stats!$F$15)))))="",0,0.7)+IF((IF(OR(City_Inputs!$AL24="",Norm_Stats!$F$16="",Norm_Stats!$G$16="",Norm_Stats!$G$16=Norm_Stats!$F$16),"",MAX(0,MIN(100,100*(Norm_Stats!$G$16-MIN(MAX(City_Inputs!$AL24,Norm_Stats!$F$16),Norm_Stats!$G$16))/(Norm_Stats!$G$16-Norm_Stats!$F$16)))))="",0,0.3))=0,"",(IF((IF(OR(City_Inputs!$AA24="",Norm_Stats!$F$15="",Norm_Stats!$G$15="",Norm_Stats!$G$15=Norm_Stats!$F$15),"",MAX(0,MIN(100,100*(MIN(MAX(City_Inputs!$AA24,Norm_Stats!$F$15),Norm_Stats!$G$15)-Norm_Stats!$F$15)/(Norm_Stats!$G$15-Norm_Stats!$F$15)))))="",0,0.7)+IF((IF(OR(City_Inputs!$AL24="",Norm_Stats!$F$16="",Norm_Stats!$G$16="",Norm_Stats!$G$16=Norm_Stats!$F$16),"",MAX(0,MIN(100,100*(Norm_Stats!$G$16-MIN(MAX(City_Inputs!$AL24,Norm_Stats!$F$16),Norm_Stats!$G$16))/(Norm_Stats!$G$16-Norm_Stats!$F$16)))))="",0,0.3)))</f>
        <v/>
      </c>
      <c r="AM24" s="15">
        <f>IF((IF(AG24="",0,8)+IF(AI24="",0,6)+IF(AK24="",0,4))=0,"",(IF(AG24="",0,AG24*8)+IF(AI24="",0,AI24*6)+IF(AK24="",0,AK24*4))/(IF(AG24="",0,8)+IF(AI24="",0,6)+IF(AK24="",0,4)))</f>
        <v/>
      </c>
      <c r="AN24" s="14">
        <f>IF((IF(AH24="",0,8)+IF(AJ24="",0,6)+IF(AL24="",0,4))=0,"",(IF(AH24="",0,AH24*8)+IF(AJ24="",0,AJ24*6)+IF(AL24="",0,AL24*4))/18)</f>
        <v/>
      </c>
      <c r="AO24" s="11">
        <f>IF(OR(City_Inputs!$AB24="",Norm_Stats!$F$17="",Norm_Stats!$G$17="",Norm_Stats!$G$17=Norm_Stats!$F$17),"",MAX(0,MIN(100,100*(MIN(MAX(City_Inputs!$AB24,Norm_Stats!$F$17),Norm_Stats!$G$17)-Norm_Stats!$F$17)/(Norm_Stats!$G$17-Norm_Stats!$F$17))))</f>
        <v/>
      </c>
      <c r="AP24" s="14">
        <f>IF(AO24="","",1)</f>
        <v/>
      </c>
      <c r="AQ24" s="11">
        <f>IF(OR(City_Inputs!$AC24="",Norm_Stats!$F$18="",Norm_Stats!$G$18="",Norm_Stats!$G$18=Norm_Stats!$F$18),"",MAX(0,MIN(100,100*(MIN(MAX(City_Inputs!$AC24,Norm_Stats!$F$18),Norm_Stats!$G$18)-Norm_Stats!$F$18)/(Norm_Stats!$G$18-Norm_Stats!$F$18))))</f>
        <v/>
      </c>
      <c r="AR24" s="14">
        <f>IF(AQ24="","",1)</f>
        <v/>
      </c>
      <c r="AS24" s="11">
        <f>IF(OR(City_Inputs!$AD24="",Norm_Stats!$F$19="",Norm_Stats!$G$19="",Norm_Stats!$G$19=Norm_Stats!$F$19),"",MAX(0,MIN(100,100*(MIN(MAX(City_Inputs!$AD24,Norm_Stats!$F$19),Norm_Stats!$G$19)-Norm_Stats!$F$19)/(Norm_Stats!$G$19-Norm_Stats!$F$19))))</f>
        <v/>
      </c>
      <c r="AT24" s="14">
        <f>IF(AS24="","",1)</f>
        <v/>
      </c>
      <c r="AU24" s="11">
        <f>IF(OR(City_Inputs!$BJ24="",Norm_Stats!$F$26="",Norm_Stats!$G$26="",Norm_Stats!$G$26=Norm_Stats!$F$26),"",MAX(0,MIN(100,100*(MIN(MAX(City_Inputs!$BJ24,Norm_Stats!$F$26),Norm_Stats!$G$26)-Norm_Stats!$F$26)/(Norm_Stats!$G$26-Norm_Stats!$F$26))))</f>
        <v/>
      </c>
      <c r="AV24" s="11">
        <f>IF(AU24="","",1)</f>
        <v/>
      </c>
      <c r="AW24" s="15">
        <f>IF((IF(AO24="",0,5)+IF(AQ24="",0,5)+IF(AS24="",0,5)+IF(AU24="",0,4))=0,"",(IF(AO24="",0,AO24*5)+IF(AQ24="",0,AQ24*5)+IF(AS24="",0,AS24*5)+IF(AU24="",0,AU24*4))/(IF(AO24="",0,5)+IF(AQ24="",0,5)+IF(AS24="",0,5)+IF(AU24="",0,4)))</f>
        <v/>
      </c>
      <c r="AX24" s="14">
        <f>IF((IF(AP24="",0,5)+IF(AR24="",0,5)+IF(AT24="",0,5)+IF(AV24="",0,4))=0,"",(IF(AP24="",0,AP24*5)+IF(AR24="",0,AR24*5)+IF(AT24="",0,AT24*5)+IF(AV24="",0,AV24*4))/19)</f>
        <v/>
      </c>
      <c r="AY24" s="11">
        <f>IF(OR(City_Inputs!$AE24="",Norm_Stats!$F$20="",Norm_Stats!$G$20="",Norm_Stats!$G$20=Norm_Stats!$F$20),"",MAX(0,MIN(100,100*(MIN(MAX(City_Inputs!$AE24,Norm_Stats!$F$20),Norm_Stats!$G$20)-Norm_Stats!$F$20)/(Norm_Stats!$G$20-Norm_Stats!$F$20))))</f>
        <v/>
      </c>
      <c r="AZ24" s="14">
        <f>IF(AY24="","",1)</f>
        <v/>
      </c>
      <c r="BA24" s="11">
        <f>IF(OR(City_Inputs!$AF24="",Norm_Stats!$F$21="",Norm_Stats!$G$21="",Norm_Stats!$G$21=Norm_Stats!$F$21),"",MAX(0,MIN(100,100*(MIN(MAX(City_Inputs!$AF24,Norm_Stats!$F$21),Norm_Stats!$G$21)-Norm_Stats!$F$21)/(Norm_Stats!$G$21-Norm_Stats!$F$21))))</f>
        <v/>
      </c>
      <c r="BB24" s="14">
        <f>IF(BA24="","",1)</f>
        <v/>
      </c>
      <c r="BC24" s="11">
        <f>IF((IF((IF(OR(City_Inputs!$AG24="",Norm_Stats!$F$22="",Norm_Stats!$G$22="",Norm_Stats!$G$22=Norm_Stats!$F$22),"",MAX(0,MIN(100,100*(MIN(MAX(City_Inputs!$AG24,Norm_Stats!$F$22),Norm_Stats!$G$22)-Norm_Stats!$F$22)/(Norm_Stats!$G$22-Norm_Stats!$F$22)))))="",0,0.5)+IF((IF(OR(City_Inputs!$AJ24="",Norm_Stats!$F$23="",Norm_Stats!$G$23="",Norm_Stats!$G$23=Norm_Stats!$F$23),"",MAX(0,MIN(100,100*(MIN(MAX(City_Inputs!$AJ24,Norm_Stats!$F$23),Norm_Stats!$G$23)-Norm_Stats!$F$23)/(Norm_Stats!$G$23-Norm_Stats!$F$23)))))="",0,0.3)+IF((IF(OR(City_Inputs!$AK24="",Norm_Stats!$F$24="",Norm_Stats!$G$24="",Norm_Stats!$G$24=Norm_Stats!$F$24),"",MAX(0,MIN(100,100*(MIN(MAX(City_Inputs!$AK24,Norm_Stats!$F$24),Norm_Stats!$G$24)-Norm_Stats!$F$24)/(Norm_Stats!$G$24-Norm_Stats!$F$24)))))="",0,0.2))=0,"",(IF((IF(OR(City_Inputs!$AG24="",Norm_Stats!$F$22="",Norm_Stats!$G$22="",Norm_Stats!$G$22=Norm_Stats!$F$22),"",MAX(0,MIN(100,100*(MIN(MAX(City_Inputs!$AG24,Norm_Stats!$F$22),Norm_Stats!$G$22)-Norm_Stats!$F$22)/(Norm_Stats!$G$22-Norm_Stats!$F$22)))))="",0,(IF(OR(City_Inputs!$AG24="",Norm_Stats!$F$22="",Norm_Stats!$G$22="",Norm_Stats!$G$22=Norm_Stats!$F$22),"",MAX(0,MIN(100,100*(MIN(MAX(City_Inputs!$AG24,Norm_Stats!$F$22),Norm_Stats!$G$22)-Norm_Stats!$F$22)/(Norm_Stats!$G$22-Norm_Stats!$F$22)))))*0.5)+IF((IF(OR(City_Inputs!$AJ24="",Norm_Stats!$F$23="",Norm_Stats!$G$23="",Norm_Stats!$G$23=Norm_Stats!$F$23),"",MAX(0,MIN(100,100*(MIN(MAX(City_Inputs!$AJ24,Norm_Stats!$F$23),Norm_Stats!$G$23)-Norm_Stats!$F$23)/(Norm_Stats!$G$23-Norm_Stats!$F$23)))))="",0,(IF(OR(City_Inputs!$AJ24="",Norm_Stats!$F$23="",Norm_Stats!$G$23="",Norm_Stats!$G$23=Norm_Stats!$F$23),"",MAX(0,MIN(100,100*(MIN(MAX(City_Inputs!$AJ24,Norm_Stats!$F$23),Norm_Stats!$G$23)-Norm_Stats!$F$23)/(Norm_Stats!$G$23-Norm_Stats!$F$23)))))*0.3)+IF((IF(OR(City_Inputs!$AK24="",Norm_Stats!$F$24="",Norm_Stats!$G$24="",Norm_Stats!$G$24=Norm_Stats!$F$24),"",MAX(0,MIN(100,100*(MIN(MAX(City_Inputs!$AK24,Norm_Stats!$F$24),Norm_Stats!$G$24)-Norm_Stats!$F$24)/(Norm_Stats!$G$24-Norm_Stats!$F$24)))))="",0,(IF(OR(City_Inputs!$AK24="",Norm_Stats!$F$24="",Norm_Stats!$G$24="",Norm_Stats!$G$24=Norm_Stats!$F$24),"",MAX(0,MIN(100,100*(MIN(MAX(City_Inputs!$AK24,Norm_Stats!$F$24),Norm_Stats!$G$24)-Norm_Stats!$F$24)/(Norm_Stats!$G$24-Norm_Stats!$F$24)))))*0.2))/(IF((IF(OR(City_Inputs!$AG24="",Norm_Stats!$F$22="",Norm_Stats!$G$22="",Norm_Stats!$G$22=Norm_Stats!$F$22),"",MAX(0,MIN(100,100*(MIN(MAX(City_Inputs!$AG24,Norm_Stats!$F$22),Norm_Stats!$G$22)-Norm_Stats!$F$22)/(Norm_Stats!$G$22-Norm_Stats!$F$22)))))="",0,0.5)+IF((IF(OR(City_Inputs!$AJ24="",Norm_Stats!$F$23="",Norm_Stats!$G$23="",Norm_Stats!$G$23=Norm_Stats!$F$23),"",MAX(0,MIN(100,100*(MIN(MAX(City_Inputs!$AJ24,Norm_Stats!$F$23),Norm_Stats!$G$23)-Norm_Stats!$F$23)/(Norm_Stats!$G$23-Norm_Stats!$F$23)))))="",0,0.3)+IF((IF(OR(City_Inputs!$AK24="",Norm_Stats!$F$24="",Norm_Stats!$G$24="",Norm_Stats!$G$24=Norm_Stats!$F$24),"",MAX(0,MIN(100,100*(MIN(MAX(City_Inputs!$AK24,Norm_Stats!$F$24),Norm_Stats!$G$24)-Norm_Stats!$F$24)/(Norm_Stats!$G$24-Norm_Stats!$F$24)))))="",0,0.2)))</f>
        <v/>
      </c>
      <c r="BD24" s="14">
        <f>IF((IF((IF(OR(City_Inputs!$AG24="",Norm_Stats!$F$22="",Norm_Stats!$G$22="",Norm_Stats!$G$22=Norm_Stats!$F$22),"",MAX(0,MIN(100,100*(MIN(MAX(City_Inputs!$AG24,Norm_Stats!$F$22),Norm_Stats!$G$22)-Norm_Stats!$F$22)/(Norm_Stats!$G$22-Norm_Stats!$F$22)))))="",0,0.5)+IF((IF(OR(City_Inputs!$AJ24="",Norm_Stats!$F$23="",Norm_Stats!$G$23="",Norm_Stats!$G$23=Norm_Stats!$F$23),"",MAX(0,MIN(100,100*(MIN(MAX(City_Inputs!$AJ24,Norm_Stats!$F$23),Norm_Stats!$G$23)-Norm_Stats!$F$23)/(Norm_Stats!$G$23-Norm_Stats!$F$23)))))="",0,0.3)+IF((IF(OR(City_Inputs!$AK24="",Norm_Stats!$F$24="",Norm_Stats!$G$24="",Norm_Stats!$G$24=Norm_Stats!$F$24),"",MAX(0,MIN(100,100*(MIN(MAX(City_Inputs!$AK24,Norm_Stats!$F$24),Norm_Stats!$G$24)-Norm_Stats!$F$24)/(Norm_Stats!$G$24-Norm_Stats!$F$24)))))="",0,0.2))=0,"",(IF((IF(OR(City_Inputs!$AG24="",Norm_Stats!$F$22="",Norm_Stats!$G$22="",Norm_Stats!$G$22=Norm_Stats!$F$22),"",MAX(0,MIN(100,100*(MIN(MAX(City_Inputs!$AG24,Norm_Stats!$F$22),Norm_Stats!$G$22)-Norm_Stats!$F$22)/(Norm_Stats!$G$22-Norm_Stats!$F$22)))))="",0,0.5)+IF((IF(OR(City_Inputs!$AJ24="",Norm_Stats!$F$23="",Norm_Stats!$G$23="",Norm_Stats!$G$23=Norm_Stats!$F$23),"",MAX(0,MIN(100,100*(MIN(MAX(City_Inputs!$AJ24,Norm_Stats!$F$23),Norm_Stats!$G$23)-Norm_Stats!$F$23)/(Norm_Stats!$G$23-Norm_Stats!$F$23)))))="",0,0.3)+IF((IF(OR(City_Inputs!$AK24="",Norm_Stats!$F$24="",Norm_Stats!$G$24="",Norm_Stats!$G$24=Norm_Stats!$F$24),"",MAX(0,MIN(100,100*(MIN(MAX(City_Inputs!$AK24,Norm_Stats!$F$24),Norm_Stats!$G$24)-Norm_Stats!$F$24)/(Norm_Stats!$G$24-Norm_Stats!$F$24)))))="",0,0.2)))</f>
        <v/>
      </c>
      <c r="BE24" s="11">
        <f>IF(OR(City_Inputs!$AH24="",Norm_Stats!$F$25="",Norm_Stats!$G$25="",Norm_Stats!$G$25=Norm_Stats!$F$25),"",MAX(0,MIN(100,100*(Norm_Stats!$G$25-MIN(MAX(City_Inputs!$AH24,Norm_Stats!$F$25),Norm_Stats!$G$25))/(Norm_Stats!$G$25-Norm_Stats!$F$25))))</f>
        <v/>
      </c>
      <c r="BF24" s="14">
        <f>IF(BE24="","",1)</f>
        <v/>
      </c>
      <c r="BG24" s="15">
        <f>IF((IF(AY24="",0,6)+IF(BA24="",0,5)+IF(BC24="",0,5)+IF(BE24="",0,4))=0,"",(IF(AY24="",0,AY24*6)+IF(BA24="",0,BA24*5)+IF(BC24="",0,BC24*5)+IF(BE24="",0,BE24*4))/(IF(AY24="",0,6)+IF(BA24="",0,5)+IF(BC24="",0,5)+IF(BE24="",0,4)))</f>
        <v/>
      </c>
      <c r="BH24" s="14">
        <f>IF((IF(AZ24="",0,6)+IF(BB24="",0,5)+IF(BD24="",0,5)+IF(BF24="",0,4))=0,"",(IF(AZ24="",0,AZ24*6)+IF(BB24="",0,BB24*5)+IF(BD24="",0,BD24*5)+IF(BF24="",0,BF24*4))/20)</f>
        <v/>
      </c>
      <c r="BI24" s="14">
        <f>IF(AND(R24="",AF24="",AN24="",AX24="",BH24=""),"",((R24*25)+(AF24*22)+(AN24*18)+(AX24*15)+(BH24*20))/100)</f>
        <v/>
      </c>
      <c r="BJ24" s="11">
        <f>IF(BI24="","",IF(BI24&gt;=0.75,"A",IF(BI24&gt;=0.5,"B",IF(BI24&gt;=0.35,"C","Watchlist"))))</f>
        <v/>
      </c>
      <c r="BK24" s="11">
        <f>IF(OR(BI24="",BI24&lt;0.5,R24="",R24&lt;0.35,AF24="",AF24&lt;0.35,AN24="",AN24&lt;0.35,AX24="",AX24&lt;0.35,BH24="",BH24&lt;0.35),"Watchlist","Ranked")</f>
        <v/>
      </c>
      <c r="BL24" s="15">
        <f>IF(AND(Q24="",AE24="",AM24="",AW24="",BG24=""),"",(IF(Q24="",0,Q24*25)+IF(AE24="",0,AE24*22)+IF(AM24="",0,AM24*18)+IF(AW24="",0,AW24*15)+IF(BG24="",0,BG24*20))/(IF(Q24="",0,25)+IF(AE24="",0,22)+IF(AM24="",0,18)+IF(AW24="",0,15)+IF(BG24="",0,20)))</f>
        <v/>
      </c>
      <c r="BM24" s="11">
        <f>IF(BK24="Ranked",1+COUNTIFS($BK$2:$BK$158,"Ranked",$BL$2:$BL$158,"&gt;"&amp;BL24),"")</f>
        <v/>
      </c>
      <c r="BN24" s="11">
        <f>City_Inputs!$AI24</f>
        <v/>
      </c>
    </row>
    <row r="25">
      <c r="A25" t="inlineStr">
        <is>
          <t>jp-kobe</t>
        </is>
      </c>
      <c r="B25" t="inlineStr">
        <is>
          <t>Kobe</t>
        </is>
      </c>
      <c r="C25" t="inlineStr">
        <is>
          <t>Japan</t>
        </is>
      </c>
      <c r="D25" t="inlineStr">
        <is>
          <t>East Asia</t>
        </is>
      </c>
      <c r="E25" t="inlineStr">
        <is>
          <t>locked</t>
        </is>
      </c>
      <c r="F25" t="inlineStr">
        <is>
          <t>secondary</t>
        </is>
      </c>
      <c r="G25" s="11">
        <f>IF(OR(City_Inputs!$M25="",Norm_Stats!$F$2="",Norm_Stats!$G$2="",Norm_Stats!$G$2=Norm_Stats!$F$2),"",MAX(0,MIN(100,100*(MIN(MAX(City_Inputs!$M25,Norm_Stats!$F$2),Norm_Stats!$G$2)-Norm_Stats!$F$2)/(Norm_Stats!$G$2-Norm_Stats!$F$2))))</f>
        <v/>
      </c>
      <c r="H25" s="14">
        <f>IF(G25="","",1)</f>
        <v/>
      </c>
      <c r="I25" s="11">
        <f>IF(OR(City_Inputs!$N25="",Norm_Stats!$F$3="",Norm_Stats!$G$3="",Norm_Stats!$G$3=Norm_Stats!$F$3),"",MAX(0,MIN(100,100*(Norm_Stats!$G$3-MIN(MAX(City_Inputs!$N25,Norm_Stats!$F$3),Norm_Stats!$G$3))/(Norm_Stats!$G$3-Norm_Stats!$F$3))))</f>
        <v/>
      </c>
      <c r="J25" s="14">
        <f>IF(I25="","",1)</f>
        <v/>
      </c>
      <c r="K25" s="11">
        <f>IF(OR(City_Inputs!$P25="",Norm_Stats!$F$4="",Norm_Stats!$G$4="",Norm_Stats!$G$4=Norm_Stats!$F$4),"",MAX(0,MIN(100,100*(Norm_Stats!$G$4-MIN(MAX(City_Inputs!$P25,Norm_Stats!$F$4),Norm_Stats!$G$4))/(Norm_Stats!$G$4-Norm_Stats!$F$4))))</f>
        <v/>
      </c>
      <c r="L25" s="14">
        <f>IF(K25="","",1)</f>
        <v/>
      </c>
      <c r="M25" s="11">
        <f>IF(OR(City_Inputs!$Q25="",Norm_Stats!$F$5="",Norm_Stats!$G$5="",Norm_Stats!$G$5=Norm_Stats!$F$5),"",MAX(0,MIN(100,100*(Norm_Stats!$G$5-MIN(MAX(City_Inputs!$Q25,Norm_Stats!$F$5),Norm_Stats!$G$5))/(Norm_Stats!$G$5-Norm_Stats!$F$5))))</f>
        <v/>
      </c>
      <c r="N25" s="14">
        <f>IF(M25="","",1)</f>
        <v/>
      </c>
      <c r="O25" s="11">
        <f>IF(OR(City_Inputs!$R25="",Norm_Stats!$F$6="",Norm_Stats!$G$6="",Norm_Stats!$G$6=Norm_Stats!$F$6),"",MAX(0,MIN(100,100*(Norm_Stats!$G$6-MIN(MAX(City_Inputs!$R25,Norm_Stats!$F$6),Norm_Stats!$G$6))/(Norm_Stats!$G$6-Norm_Stats!$F$6))))</f>
        <v/>
      </c>
      <c r="P25" s="14">
        <f>IF(O25="","",1)</f>
        <v/>
      </c>
      <c r="Q25" s="15">
        <f>IF((IF(G25="",0,9)+IF(I25="",0,5)+IF(K25="",0,4)+IF(M25="",0,4)+IF(O25="",0,5))=0,"",(IF(G25="",0,G25*9)+IF(I25="",0,I25*5)+IF(K25="",0,K25*4)+IF(M25="",0,M25*4)+IF(O25="",0,O25*5))/(IF(G25="",0,9)+IF(I25="",0,5)+IF(K25="",0,4)+IF(M25="",0,4)+IF(O25="",0,5)))</f>
        <v/>
      </c>
      <c r="R25" s="14">
        <f>IF((IF(H25="",0,9)+IF(J25="",0,5)+IF(L25="",0,4)+IF(N25="",0,4)+IF(P25="",0,5))=0,"",(IF(H25="",0,H25*9)+IF(J25="",0,J25*5)+IF(L25="",0,L25*4)+IF(N25="",0,N25*4)+IF(P25="",0,P25*5))/27)</f>
        <v/>
      </c>
      <c r="S25" s="11">
        <f>IF(OR(City_Inputs!$S25="",Norm_Stats!$F$7="",Norm_Stats!$G$7="",Norm_Stats!$G$7=Norm_Stats!$F$7),"",MAX(0,MIN(100,100*(Norm_Stats!$G$7-MIN(MAX(City_Inputs!$S25,Norm_Stats!$F$7),Norm_Stats!$G$7))/(Norm_Stats!$G$7-Norm_Stats!$F$7))))</f>
        <v/>
      </c>
      <c r="T25" s="14">
        <f>IF(S25="","",1)</f>
        <v/>
      </c>
      <c r="U25" s="11">
        <f>IF(OR(City_Inputs!$T25="",Norm_Stats!$F$8="",Norm_Stats!$G$8="",Norm_Stats!$G$8=Norm_Stats!$F$8),"",MAX(0,MIN(100,100*(MIN(MAX(City_Inputs!$T25,Norm_Stats!$F$8),Norm_Stats!$G$8)-Norm_Stats!$F$8)/(Norm_Stats!$G$8-Norm_Stats!$F$8))))</f>
        <v/>
      </c>
      <c r="V25" s="14">
        <f>IF(U25="","",1)</f>
        <v/>
      </c>
      <c r="W25" s="11">
        <f>IF(OR(City_Inputs!$U25="",Norm_Stats!$F$9="",Norm_Stats!$G$9="",Norm_Stats!$G$9=Norm_Stats!$F$9),"",MAX(0,MIN(100,100*(Norm_Stats!$G$9-MIN(MAX(City_Inputs!$U25,Norm_Stats!$F$9),Norm_Stats!$G$9))/(Norm_Stats!$G$9-Norm_Stats!$F$9))))</f>
        <v/>
      </c>
      <c r="X25" s="14">
        <f>IF(W25="","",1)</f>
        <v/>
      </c>
      <c r="Y25" s="11">
        <f>IF(OR(City_Inputs!$V25="",Norm_Stats!$F$10="",Norm_Stats!$G$10="",Norm_Stats!$G$10=Norm_Stats!$F$10),"",MAX(0,MIN(100,100*(MIN(MAX(City_Inputs!$V25,Norm_Stats!$F$10),Norm_Stats!$G$10)-Norm_Stats!$F$10)/(Norm_Stats!$G$10-Norm_Stats!$F$10))))</f>
        <v/>
      </c>
      <c r="Z25" s="14">
        <f>IF(Y25="","",1)</f>
        <v/>
      </c>
      <c r="AA25" s="11">
        <f>IF(OR(City_Inputs!$W25="",Norm_Stats!$F$11="",Norm_Stats!$G$11="",Norm_Stats!$G$11=Norm_Stats!$F$11),"",MAX(0,MIN(100,100*(MIN(MAX(City_Inputs!$W25,Norm_Stats!$F$11),Norm_Stats!$G$11)-Norm_Stats!$F$11)/(Norm_Stats!$G$11-Norm_Stats!$F$11))))</f>
        <v/>
      </c>
      <c r="AB25" s="14">
        <f>IF(AA25="","",1)</f>
        <v/>
      </c>
      <c r="AC25" s="11">
        <f>IF(OR(City_Inputs!$X25="",Norm_Stats!$F$12="",Norm_Stats!$G$12="",Norm_Stats!$G$12=Norm_Stats!$F$12),"",MAX(0,MIN(100,100*(MIN(MAX(City_Inputs!$X25,Norm_Stats!$F$12),Norm_Stats!$G$12)-Norm_Stats!$F$12)/(Norm_Stats!$G$12-Norm_Stats!$F$12))))</f>
        <v/>
      </c>
      <c r="AD25" s="11">
        <f>IF(AC25="","",1)</f>
        <v/>
      </c>
      <c r="AE25" s="15">
        <f>IF((IF(S25="",0,5)+IF(U25="",0,5)+IF(W25="",0,4)+IF(Y25="",0,4)+IF(AA25="",0,4)+IF(AC25="",0,5))=0,"",(IF(S25="",0,S25*5)+IF(U25="",0,U25*5)+IF(W25="",0,W25*4)+IF(Y25="",0,Y25*4)+IF(AA25="",0,AA25*4)+IF(AC25="",0,AC25*5))/(IF(S25="",0,5)+IF(U25="",0,5)+IF(W25="",0,4)+IF(Y25="",0,4)+IF(AA25="",0,4)+IF(AC25="",0,5)))</f>
        <v/>
      </c>
      <c r="AF25" s="14">
        <f>IF((IF(T25="",0,5)+IF(V25="",0,5)+IF(X25="",0,4)+IF(Z25="",0,4)+IF(AB25="",0,4)+IF(AD25="",0,5))=0,"",(IF(T25="",0,T25*5)+IF(V25="",0,V25*5)+IF(X25="",0,X25*4)+IF(Z25="",0,Z25*4)+IF(AB25="",0,AB25*4)+IF(AD25="",0,AD25*5))/27)</f>
        <v/>
      </c>
      <c r="AG25" s="11">
        <f>IF(OR(City_Inputs!$Y25="",Norm_Stats!$F$13="",Norm_Stats!$G$13="",Norm_Stats!$G$13=Norm_Stats!$F$13),"",MAX(0,MIN(100,100*(MIN(MAX(City_Inputs!$Y25,Norm_Stats!$F$13),Norm_Stats!$G$13)-Norm_Stats!$F$13)/(Norm_Stats!$G$13-Norm_Stats!$F$13))))</f>
        <v/>
      </c>
      <c r="AH25" s="14">
        <f>IF(AG25="","",1)</f>
        <v/>
      </c>
      <c r="AI25" s="11">
        <f>IF(OR(City_Inputs!$Z25="",Norm_Stats!$F$14="",Norm_Stats!$G$14="",Norm_Stats!$G$14=Norm_Stats!$F$14),"",MAX(0,MIN(100,100*(MIN(MAX(City_Inputs!$Z25,Norm_Stats!$F$14),Norm_Stats!$G$14)-Norm_Stats!$F$14)/(Norm_Stats!$G$14-Norm_Stats!$F$14))))</f>
        <v/>
      </c>
      <c r="AJ25" s="14">
        <f>IF(AI25="","",1)</f>
        <v/>
      </c>
      <c r="AK25" s="11">
        <f>IF((IF((IF(OR(City_Inputs!$AA25="",Norm_Stats!$F$15="",Norm_Stats!$G$15="",Norm_Stats!$G$15=Norm_Stats!$F$15),"",MAX(0,MIN(100,100*(MIN(MAX(City_Inputs!$AA25,Norm_Stats!$F$15),Norm_Stats!$G$15)-Norm_Stats!$F$15)/(Norm_Stats!$G$15-Norm_Stats!$F$15)))))="",0,0.7)+IF((IF(OR(City_Inputs!$AL25="",Norm_Stats!$F$16="",Norm_Stats!$G$16="",Norm_Stats!$G$16=Norm_Stats!$F$16),"",MAX(0,MIN(100,100*(Norm_Stats!$G$16-MIN(MAX(City_Inputs!$AL25,Norm_Stats!$F$16),Norm_Stats!$G$16))/(Norm_Stats!$G$16-Norm_Stats!$F$16)))))="",0,0.3))=0,"",(IF((IF(OR(City_Inputs!$AA25="",Norm_Stats!$F$15="",Norm_Stats!$G$15="",Norm_Stats!$G$15=Norm_Stats!$F$15),"",MAX(0,MIN(100,100*(MIN(MAX(City_Inputs!$AA25,Norm_Stats!$F$15),Norm_Stats!$G$15)-Norm_Stats!$F$15)/(Norm_Stats!$G$15-Norm_Stats!$F$15)))))="",0,(IF(OR(City_Inputs!$AA25="",Norm_Stats!$F$15="",Norm_Stats!$G$15="",Norm_Stats!$G$15=Norm_Stats!$F$15),"",MAX(0,MIN(100,100*(MIN(MAX(City_Inputs!$AA25,Norm_Stats!$F$15),Norm_Stats!$G$15)-Norm_Stats!$F$15)/(Norm_Stats!$G$15-Norm_Stats!$F$15)))))*0.7)+IF((IF(OR(City_Inputs!$AL25="",Norm_Stats!$F$16="",Norm_Stats!$G$16="",Norm_Stats!$G$16=Norm_Stats!$F$16),"",MAX(0,MIN(100,100*(Norm_Stats!$G$16-MIN(MAX(City_Inputs!$AL25,Norm_Stats!$F$16),Norm_Stats!$G$16))/(Norm_Stats!$G$16-Norm_Stats!$F$16)))))="",0,(IF(OR(City_Inputs!$AL25="",Norm_Stats!$F$16="",Norm_Stats!$G$16="",Norm_Stats!$G$16=Norm_Stats!$F$16),"",MAX(0,MIN(100,100*(Norm_Stats!$G$16-MIN(MAX(City_Inputs!$AL25,Norm_Stats!$F$16),Norm_Stats!$G$16))/(Norm_Stats!$G$16-Norm_Stats!$F$16)))))*0.3))/(IF((IF(OR(City_Inputs!$AA25="",Norm_Stats!$F$15="",Norm_Stats!$G$15="",Norm_Stats!$G$15=Norm_Stats!$F$15),"",MAX(0,MIN(100,100*(MIN(MAX(City_Inputs!$AA25,Norm_Stats!$F$15),Norm_Stats!$G$15)-Norm_Stats!$F$15)/(Norm_Stats!$G$15-Norm_Stats!$F$15)))))="",0,0.7)+IF((IF(OR(City_Inputs!$AL25="",Norm_Stats!$F$16="",Norm_Stats!$G$16="",Norm_Stats!$G$16=Norm_Stats!$F$16),"",MAX(0,MIN(100,100*(Norm_Stats!$G$16-MIN(MAX(City_Inputs!$AL25,Norm_Stats!$F$16),Norm_Stats!$G$16))/(Norm_Stats!$G$16-Norm_Stats!$F$16)))))="",0,0.3)))</f>
        <v/>
      </c>
      <c r="AL25" s="14">
        <f>IF((IF((IF(OR(City_Inputs!$AA25="",Norm_Stats!$F$15="",Norm_Stats!$G$15="",Norm_Stats!$G$15=Norm_Stats!$F$15),"",MAX(0,MIN(100,100*(MIN(MAX(City_Inputs!$AA25,Norm_Stats!$F$15),Norm_Stats!$G$15)-Norm_Stats!$F$15)/(Norm_Stats!$G$15-Norm_Stats!$F$15)))))="",0,0.7)+IF((IF(OR(City_Inputs!$AL25="",Norm_Stats!$F$16="",Norm_Stats!$G$16="",Norm_Stats!$G$16=Norm_Stats!$F$16),"",MAX(0,MIN(100,100*(Norm_Stats!$G$16-MIN(MAX(City_Inputs!$AL25,Norm_Stats!$F$16),Norm_Stats!$G$16))/(Norm_Stats!$G$16-Norm_Stats!$F$16)))))="",0,0.3))=0,"",(IF((IF(OR(City_Inputs!$AA25="",Norm_Stats!$F$15="",Norm_Stats!$G$15="",Norm_Stats!$G$15=Norm_Stats!$F$15),"",MAX(0,MIN(100,100*(MIN(MAX(City_Inputs!$AA25,Norm_Stats!$F$15),Norm_Stats!$G$15)-Norm_Stats!$F$15)/(Norm_Stats!$G$15-Norm_Stats!$F$15)))))="",0,0.7)+IF((IF(OR(City_Inputs!$AL25="",Norm_Stats!$F$16="",Norm_Stats!$G$16="",Norm_Stats!$G$16=Norm_Stats!$F$16),"",MAX(0,MIN(100,100*(Norm_Stats!$G$16-MIN(MAX(City_Inputs!$AL25,Norm_Stats!$F$16),Norm_Stats!$G$16))/(Norm_Stats!$G$16-Norm_Stats!$F$16)))))="",0,0.3)))</f>
        <v/>
      </c>
      <c r="AM25" s="15">
        <f>IF((IF(AG25="",0,8)+IF(AI25="",0,6)+IF(AK25="",0,4))=0,"",(IF(AG25="",0,AG25*8)+IF(AI25="",0,AI25*6)+IF(AK25="",0,AK25*4))/(IF(AG25="",0,8)+IF(AI25="",0,6)+IF(AK25="",0,4)))</f>
        <v/>
      </c>
      <c r="AN25" s="14">
        <f>IF((IF(AH25="",0,8)+IF(AJ25="",0,6)+IF(AL25="",0,4))=0,"",(IF(AH25="",0,AH25*8)+IF(AJ25="",0,AJ25*6)+IF(AL25="",0,AL25*4))/18)</f>
        <v/>
      </c>
      <c r="AO25" s="11">
        <f>IF(OR(City_Inputs!$AB25="",Norm_Stats!$F$17="",Norm_Stats!$G$17="",Norm_Stats!$G$17=Norm_Stats!$F$17),"",MAX(0,MIN(100,100*(MIN(MAX(City_Inputs!$AB25,Norm_Stats!$F$17),Norm_Stats!$G$17)-Norm_Stats!$F$17)/(Norm_Stats!$G$17-Norm_Stats!$F$17))))</f>
        <v/>
      </c>
      <c r="AP25" s="14">
        <f>IF(AO25="","",1)</f>
        <v/>
      </c>
      <c r="AQ25" s="11">
        <f>IF(OR(City_Inputs!$AC25="",Norm_Stats!$F$18="",Norm_Stats!$G$18="",Norm_Stats!$G$18=Norm_Stats!$F$18),"",MAX(0,MIN(100,100*(MIN(MAX(City_Inputs!$AC25,Norm_Stats!$F$18),Norm_Stats!$G$18)-Norm_Stats!$F$18)/(Norm_Stats!$G$18-Norm_Stats!$F$18))))</f>
        <v/>
      </c>
      <c r="AR25" s="14">
        <f>IF(AQ25="","",1)</f>
        <v/>
      </c>
      <c r="AS25" s="11">
        <f>IF(OR(City_Inputs!$AD25="",Norm_Stats!$F$19="",Norm_Stats!$G$19="",Norm_Stats!$G$19=Norm_Stats!$F$19),"",MAX(0,MIN(100,100*(MIN(MAX(City_Inputs!$AD25,Norm_Stats!$F$19),Norm_Stats!$G$19)-Norm_Stats!$F$19)/(Norm_Stats!$G$19-Norm_Stats!$F$19))))</f>
        <v/>
      </c>
      <c r="AT25" s="14">
        <f>IF(AS25="","",1)</f>
        <v/>
      </c>
      <c r="AU25" s="11">
        <f>IF(OR(City_Inputs!$BJ25="",Norm_Stats!$F$26="",Norm_Stats!$G$26="",Norm_Stats!$G$26=Norm_Stats!$F$26),"",MAX(0,MIN(100,100*(MIN(MAX(City_Inputs!$BJ25,Norm_Stats!$F$26),Norm_Stats!$G$26)-Norm_Stats!$F$26)/(Norm_Stats!$G$26-Norm_Stats!$F$26))))</f>
        <v/>
      </c>
      <c r="AV25" s="11">
        <f>IF(AU25="","",1)</f>
        <v/>
      </c>
      <c r="AW25" s="15">
        <f>IF((IF(AO25="",0,5)+IF(AQ25="",0,5)+IF(AS25="",0,5)+IF(AU25="",0,4))=0,"",(IF(AO25="",0,AO25*5)+IF(AQ25="",0,AQ25*5)+IF(AS25="",0,AS25*5)+IF(AU25="",0,AU25*4))/(IF(AO25="",0,5)+IF(AQ25="",0,5)+IF(AS25="",0,5)+IF(AU25="",0,4)))</f>
        <v/>
      </c>
      <c r="AX25" s="14">
        <f>IF((IF(AP25="",0,5)+IF(AR25="",0,5)+IF(AT25="",0,5)+IF(AV25="",0,4))=0,"",(IF(AP25="",0,AP25*5)+IF(AR25="",0,AR25*5)+IF(AT25="",0,AT25*5)+IF(AV25="",0,AV25*4))/19)</f>
        <v/>
      </c>
      <c r="AY25" s="11">
        <f>IF(OR(City_Inputs!$AE25="",Norm_Stats!$F$20="",Norm_Stats!$G$20="",Norm_Stats!$G$20=Norm_Stats!$F$20),"",MAX(0,MIN(100,100*(MIN(MAX(City_Inputs!$AE25,Norm_Stats!$F$20),Norm_Stats!$G$20)-Norm_Stats!$F$20)/(Norm_Stats!$G$20-Norm_Stats!$F$20))))</f>
        <v/>
      </c>
      <c r="AZ25" s="14">
        <f>IF(AY25="","",1)</f>
        <v/>
      </c>
      <c r="BA25" s="11">
        <f>IF(OR(City_Inputs!$AF25="",Norm_Stats!$F$21="",Norm_Stats!$G$21="",Norm_Stats!$G$21=Norm_Stats!$F$21),"",MAX(0,MIN(100,100*(MIN(MAX(City_Inputs!$AF25,Norm_Stats!$F$21),Norm_Stats!$G$21)-Norm_Stats!$F$21)/(Norm_Stats!$G$21-Norm_Stats!$F$21))))</f>
        <v/>
      </c>
      <c r="BB25" s="14">
        <f>IF(BA25="","",1)</f>
        <v/>
      </c>
      <c r="BC25" s="11">
        <f>IF((IF((IF(OR(City_Inputs!$AG25="",Norm_Stats!$F$22="",Norm_Stats!$G$22="",Norm_Stats!$G$22=Norm_Stats!$F$22),"",MAX(0,MIN(100,100*(MIN(MAX(City_Inputs!$AG25,Norm_Stats!$F$22),Norm_Stats!$G$22)-Norm_Stats!$F$22)/(Norm_Stats!$G$22-Norm_Stats!$F$22)))))="",0,0.5)+IF((IF(OR(City_Inputs!$AJ25="",Norm_Stats!$F$23="",Norm_Stats!$G$23="",Norm_Stats!$G$23=Norm_Stats!$F$23),"",MAX(0,MIN(100,100*(MIN(MAX(City_Inputs!$AJ25,Norm_Stats!$F$23),Norm_Stats!$G$23)-Norm_Stats!$F$23)/(Norm_Stats!$G$23-Norm_Stats!$F$23)))))="",0,0.3)+IF((IF(OR(City_Inputs!$AK25="",Norm_Stats!$F$24="",Norm_Stats!$G$24="",Norm_Stats!$G$24=Norm_Stats!$F$24),"",MAX(0,MIN(100,100*(MIN(MAX(City_Inputs!$AK25,Norm_Stats!$F$24),Norm_Stats!$G$24)-Norm_Stats!$F$24)/(Norm_Stats!$G$24-Norm_Stats!$F$24)))))="",0,0.2))=0,"",(IF((IF(OR(City_Inputs!$AG25="",Norm_Stats!$F$22="",Norm_Stats!$G$22="",Norm_Stats!$G$22=Norm_Stats!$F$22),"",MAX(0,MIN(100,100*(MIN(MAX(City_Inputs!$AG25,Norm_Stats!$F$22),Norm_Stats!$G$22)-Norm_Stats!$F$22)/(Norm_Stats!$G$22-Norm_Stats!$F$22)))))="",0,(IF(OR(City_Inputs!$AG25="",Norm_Stats!$F$22="",Norm_Stats!$G$22="",Norm_Stats!$G$22=Norm_Stats!$F$22),"",MAX(0,MIN(100,100*(MIN(MAX(City_Inputs!$AG25,Norm_Stats!$F$22),Norm_Stats!$G$22)-Norm_Stats!$F$22)/(Norm_Stats!$G$22-Norm_Stats!$F$22)))))*0.5)+IF((IF(OR(City_Inputs!$AJ25="",Norm_Stats!$F$23="",Norm_Stats!$G$23="",Norm_Stats!$G$23=Norm_Stats!$F$23),"",MAX(0,MIN(100,100*(MIN(MAX(City_Inputs!$AJ25,Norm_Stats!$F$23),Norm_Stats!$G$23)-Norm_Stats!$F$23)/(Norm_Stats!$G$23-Norm_Stats!$F$23)))))="",0,(IF(OR(City_Inputs!$AJ25="",Norm_Stats!$F$23="",Norm_Stats!$G$23="",Norm_Stats!$G$23=Norm_Stats!$F$23),"",MAX(0,MIN(100,100*(MIN(MAX(City_Inputs!$AJ25,Norm_Stats!$F$23),Norm_Stats!$G$23)-Norm_Stats!$F$23)/(Norm_Stats!$G$23-Norm_Stats!$F$23)))))*0.3)+IF((IF(OR(City_Inputs!$AK25="",Norm_Stats!$F$24="",Norm_Stats!$G$24="",Norm_Stats!$G$24=Norm_Stats!$F$24),"",MAX(0,MIN(100,100*(MIN(MAX(City_Inputs!$AK25,Norm_Stats!$F$24),Norm_Stats!$G$24)-Norm_Stats!$F$24)/(Norm_Stats!$G$24-Norm_Stats!$F$24)))))="",0,(IF(OR(City_Inputs!$AK25="",Norm_Stats!$F$24="",Norm_Stats!$G$24="",Norm_Stats!$G$24=Norm_Stats!$F$24),"",MAX(0,MIN(100,100*(MIN(MAX(City_Inputs!$AK25,Norm_Stats!$F$24),Norm_Stats!$G$24)-Norm_Stats!$F$24)/(Norm_Stats!$G$24-Norm_Stats!$F$24)))))*0.2))/(IF((IF(OR(City_Inputs!$AG25="",Norm_Stats!$F$22="",Norm_Stats!$G$22="",Norm_Stats!$G$22=Norm_Stats!$F$22),"",MAX(0,MIN(100,100*(MIN(MAX(City_Inputs!$AG25,Norm_Stats!$F$22),Norm_Stats!$G$22)-Norm_Stats!$F$22)/(Norm_Stats!$G$22-Norm_Stats!$F$22)))))="",0,0.5)+IF((IF(OR(City_Inputs!$AJ25="",Norm_Stats!$F$23="",Norm_Stats!$G$23="",Norm_Stats!$G$23=Norm_Stats!$F$23),"",MAX(0,MIN(100,100*(MIN(MAX(City_Inputs!$AJ25,Norm_Stats!$F$23),Norm_Stats!$G$23)-Norm_Stats!$F$23)/(Norm_Stats!$G$23-Norm_Stats!$F$23)))))="",0,0.3)+IF((IF(OR(City_Inputs!$AK25="",Norm_Stats!$F$24="",Norm_Stats!$G$24="",Norm_Stats!$G$24=Norm_Stats!$F$24),"",MAX(0,MIN(100,100*(MIN(MAX(City_Inputs!$AK25,Norm_Stats!$F$24),Norm_Stats!$G$24)-Norm_Stats!$F$24)/(Norm_Stats!$G$24-Norm_Stats!$F$24)))))="",0,0.2)))</f>
        <v/>
      </c>
      <c r="BD25" s="14">
        <f>IF((IF((IF(OR(City_Inputs!$AG25="",Norm_Stats!$F$22="",Norm_Stats!$G$22="",Norm_Stats!$G$22=Norm_Stats!$F$22),"",MAX(0,MIN(100,100*(MIN(MAX(City_Inputs!$AG25,Norm_Stats!$F$22),Norm_Stats!$G$22)-Norm_Stats!$F$22)/(Norm_Stats!$G$22-Norm_Stats!$F$22)))))="",0,0.5)+IF((IF(OR(City_Inputs!$AJ25="",Norm_Stats!$F$23="",Norm_Stats!$G$23="",Norm_Stats!$G$23=Norm_Stats!$F$23),"",MAX(0,MIN(100,100*(MIN(MAX(City_Inputs!$AJ25,Norm_Stats!$F$23),Norm_Stats!$G$23)-Norm_Stats!$F$23)/(Norm_Stats!$G$23-Norm_Stats!$F$23)))))="",0,0.3)+IF((IF(OR(City_Inputs!$AK25="",Norm_Stats!$F$24="",Norm_Stats!$G$24="",Norm_Stats!$G$24=Norm_Stats!$F$24),"",MAX(0,MIN(100,100*(MIN(MAX(City_Inputs!$AK25,Norm_Stats!$F$24),Norm_Stats!$G$24)-Norm_Stats!$F$24)/(Norm_Stats!$G$24-Norm_Stats!$F$24)))))="",0,0.2))=0,"",(IF((IF(OR(City_Inputs!$AG25="",Norm_Stats!$F$22="",Norm_Stats!$G$22="",Norm_Stats!$G$22=Norm_Stats!$F$22),"",MAX(0,MIN(100,100*(MIN(MAX(City_Inputs!$AG25,Norm_Stats!$F$22),Norm_Stats!$G$22)-Norm_Stats!$F$22)/(Norm_Stats!$G$22-Norm_Stats!$F$22)))))="",0,0.5)+IF((IF(OR(City_Inputs!$AJ25="",Norm_Stats!$F$23="",Norm_Stats!$G$23="",Norm_Stats!$G$23=Norm_Stats!$F$23),"",MAX(0,MIN(100,100*(MIN(MAX(City_Inputs!$AJ25,Norm_Stats!$F$23),Norm_Stats!$G$23)-Norm_Stats!$F$23)/(Norm_Stats!$G$23-Norm_Stats!$F$23)))))="",0,0.3)+IF((IF(OR(City_Inputs!$AK25="",Norm_Stats!$F$24="",Norm_Stats!$G$24="",Norm_Stats!$G$24=Norm_Stats!$F$24),"",MAX(0,MIN(100,100*(MIN(MAX(City_Inputs!$AK25,Norm_Stats!$F$24),Norm_Stats!$G$24)-Norm_Stats!$F$24)/(Norm_Stats!$G$24-Norm_Stats!$F$24)))))="",0,0.2)))</f>
        <v/>
      </c>
      <c r="BE25" s="11">
        <f>IF(OR(City_Inputs!$AH25="",Norm_Stats!$F$25="",Norm_Stats!$G$25="",Norm_Stats!$G$25=Norm_Stats!$F$25),"",MAX(0,MIN(100,100*(Norm_Stats!$G$25-MIN(MAX(City_Inputs!$AH25,Norm_Stats!$F$25),Norm_Stats!$G$25))/(Norm_Stats!$G$25-Norm_Stats!$F$25))))</f>
        <v/>
      </c>
      <c r="BF25" s="14">
        <f>IF(BE25="","",1)</f>
        <v/>
      </c>
      <c r="BG25" s="15">
        <f>IF((IF(AY25="",0,6)+IF(BA25="",0,5)+IF(BC25="",0,5)+IF(BE25="",0,4))=0,"",(IF(AY25="",0,AY25*6)+IF(BA25="",0,BA25*5)+IF(BC25="",0,BC25*5)+IF(BE25="",0,BE25*4))/(IF(AY25="",0,6)+IF(BA25="",0,5)+IF(BC25="",0,5)+IF(BE25="",0,4)))</f>
        <v/>
      </c>
      <c r="BH25" s="14">
        <f>IF((IF(AZ25="",0,6)+IF(BB25="",0,5)+IF(BD25="",0,5)+IF(BF25="",0,4))=0,"",(IF(AZ25="",0,AZ25*6)+IF(BB25="",0,BB25*5)+IF(BD25="",0,BD25*5)+IF(BF25="",0,BF25*4))/20)</f>
        <v/>
      </c>
      <c r="BI25" s="14">
        <f>IF(AND(R25="",AF25="",AN25="",AX25="",BH25=""),"",((R25*25)+(AF25*22)+(AN25*18)+(AX25*15)+(BH25*20))/100)</f>
        <v/>
      </c>
      <c r="BJ25" s="11">
        <f>IF(BI25="","",IF(BI25&gt;=0.75,"A",IF(BI25&gt;=0.5,"B",IF(BI25&gt;=0.35,"C","Watchlist"))))</f>
        <v/>
      </c>
      <c r="BK25" s="11">
        <f>IF(OR(BI25="",BI25&lt;0.5,R25="",R25&lt;0.35,AF25="",AF25&lt;0.35,AN25="",AN25&lt;0.35,AX25="",AX25&lt;0.35,BH25="",BH25&lt;0.35),"Watchlist","Ranked")</f>
        <v/>
      </c>
      <c r="BL25" s="15">
        <f>IF(AND(Q25="",AE25="",AM25="",AW25="",BG25=""),"",(IF(Q25="",0,Q25*25)+IF(AE25="",0,AE25*22)+IF(AM25="",0,AM25*18)+IF(AW25="",0,AW25*15)+IF(BG25="",0,BG25*20))/(IF(Q25="",0,25)+IF(AE25="",0,22)+IF(AM25="",0,18)+IF(AW25="",0,15)+IF(BG25="",0,20)))</f>
        <v/>
      </c>
      <c r="BM25" s="11">
        <f>IF(BK25="Ranked",1+COUNTIFS($BK$2:$BK$158,"Ranked",$BL$2:$BL$158,"&gt;"&amp;BL25),"")</f>
        <v/>
      </c>
      <c r="BN25" s="11">
        <f>City_Inputs!$AI25</f>
        <v/>
      </c>
    </row>
    <row r="26">
      <c r="A26" t="inlineStr">
        <is>
          <t>jp-sapporo</t>
        </is>
      </c>
      <c r="B26" t="inlineStr">
        <is>
          <t>Sapporo</t>
        </is>
      </c>
      <c r="C26" t="inlineStr">
        <is>
          <t>Japan</t>
        </is>
      </c>
      <c r="D26" t="inlineStr">
        <is>
          <t>East Asia</t>
        </is>
      </c>
      <c r="E26" t="inlineStr">
        <is>
          <t>locked</t>
        </is>
      </c>
      <c r="F26" t="inlineStr">
        <is>
          <t>secondary</t>
        </is>
      </c>
      <c r="G26" s="11">
        <f>IF(OR(City_Inputs!$M26="",Norm_Stats!$F$2="",Norm_Stats!$G$2="",Norm_Stats!$G$2=Norm_Stats!$F$2),"",MAX(0,MIN(100,100*(MIN(MAX(City_Inputs!$M26,Norm_Stats!$F$2),Norm_Stats!$G$2)-Norm_Stats!$F$2)/(Norm_Stats!$G$2-Norm_Stats!$F$2))))</f>
        <v/>
      </c>
      <c r="H26" s="14">
        <f>IF(G26="","",1)</f>
        <v/>
      </c>
      <c r="I26" s="11">
        <f>IF(OR(City_Inputs!$N26="",Norm_Stats!$F$3="",Norm_Stats!$G$3="",Norm_Stats!$G$3=Norm_Stats!$F$3),"",MAX(0,MIN(100,100*(Norm_Stats!$G$3-MIN(MAX(City_Inputs!$N26,Norm_Stats!$F$3),Norm_Stats!$G$3))/(Norm_Stats!$G$3-Norm_Stats!$F$3))))</f>
        <v/>
      </c>
      <c r="J26" s="14">
        <f>IF(I26="","",1)</f>
        <v/>
      </c>
      <c r="K26" s="11">
        <f>IF(OR(City_Inputs!$P26="",Norm_Stats!$F$4="",Norm_Stats!$G$4="",Norm_Stats!$G$4=Norm_Stats!$F$4),"",MAX(0,MIN(100,100*(Norm_Stats!$G$4-MIN(MAX(City_Inputs!$P26,Norm_Stats!$F$4),Norm_Stats!$G$4))/(Norm_Stats!$G$4-Norm_Stats!$F$4))))</f>
        <v/>
      </c>
      <c r="L26" s="14">
        <f>IF(K26="","",1)</f>
        <v/>
      </c>
      <c r="M26" s="11">
        <f>IF(OR(City_Inputs!$Q26="",Norm_Stats!$F$5="",Norm_Stats!$G$5="",Norm_Stats!$G$5=Norm_Stats!$F$5),"",MAX(0,MIN(100,100*(Norm_Stats!$G$5-MIN(MAX(City_Inputs!$Q26,Norm_Stats!$F$5),Norm_Stats!$G$5))/(Norm_Stats!$G$5-Norm_Stats!$F$5))))</f>
        <v/>
      </c>
      <c r="N26" s="14">
        <f>IF(M26="","",1)</f>
        <v/>
      </c>
      <c r="O26" s="11">
        <f>IF(OR(City_Inputs!$R26="",Norm_Stats!$F$6="",Norm_Stats!$G$6="",Norm_Stats!$G$6=Norm_Stats!$F$6),"",MAX(0,MIN(100,100*(Norm_Stats!$G$6-MIN(MAX(City_Inputs!$R26,Norm_Stats!$F$6),Norm_Stats!$G$6))/(Norm_Stats!$G$6-Norm_Stats!$F$6))))</f>
        <v/>
      </c>
      <c r="P26" s="14">
        <f>IF(O26="","",1)</f>
        <v/>
      </c>
      <c r="Q26" s="15">
        <f>IF((IF(G26="",0,9)+IF(I26="",0,5)+IF(K26="",0,4)+IF(M26="",0,4)+IF(O26="",0,5))=0,"",(IF(G26="",0,G26*9)+IF(I26="",0,I26*5)+IF(K26="",0,K26*4)+IF(M26="",0,M26*4)+IF(O26="",0,O26*5))/(IF(G26="",0,9)+IF(I26="",0,5)+IF(K26="",0,4)+IF(M26="",0,4)+IF(O26="",0,5)))</f>
        <v/>
      </c>
      <c r="R26" s="14">
        <f>IF((IF(H26="",0,9)+IF(J26="",0,5)+IF(L26="",0,4)+IF(N26="",0,4)+IF(P26="",0,5))=0,"",(IF(H26="",0,H26*9)+IF(J26="",0,J26*5)+IF(L26="",0,L26*4)+IF(N26="",0,N26*4)+IF(P26="",0,P26*5))/27)</f>
        <v/>
      </c>
      <c r="S26" s="11">
        <f>IF(OR(City_Inputs!$S26="",Norm_Stats!$F$7="",Norm_Stats!$G$7="",Norm_Stats!$G$7=Norm_Stats!$F$7),"",MAX(0,MIN(100,100*(Norm_Stats!$G$7-MIN(MAX(City_Inputs!$S26,Norm_Stats!$F$7),Norm_Stats!$G$7))/(Norm_Stats!$G$7-Norm_Stats!$F$7))))</f>
        <v/>
      </c>
      <c r="T26" s="14">
        <f>IF(S26="","",1)</f>
        <v/>
      </c>
      <c r="U26" s="11">
        <f>IF(OR(City_Inputs!$T26="",Norm_Stats!$F$8="",Norm_Stats!$G$8="",Norm_Stats!$G$8=Norm_Stats!$F$8),"",MAX(0,MIN(100,100*(MIN(MAX(City_Inputs!$T26,Norm_Stats!$F$8),Norm_Stats!$G$8)-Norm_Stats!$F$8)/(Norm_Stats!$G$8-Norm_Stats!$F$8))))</f>
        <v/>
      </c>
      <c r="V26" s="14">
        <f>IF(U26="","",1)</f>
        <v/>
      </c>
      <c r="W26" s="11">
        <f>IF(OR(City_Inputs!$U26="",Norm_Stats!$F$9="",Norm_Stats!$G$9="",Norm_Stats!$G$9=Norm_Stats!$F$9),"",MAX(0,MIN(100,100*(Norm_Stats!$G$9-MIN(MAX(City_Inputs!$U26,Norm_Stats!$F$9),Norm_Stats!$G$9))/(Norm_Stats!$G$9-Norm_Stats!$F$9))))</f>
        <v/>
      </c>
      <c r="X26" s="14">
        <f>IF(W26="","",1)</f>
        <v/>
      </c>
      <c r="Y26" s="11">
        <f>IF(OR(City_Inputs!$V26="",Norm_Stats!$F$10="",Norm_Stats!$G$10="",Norm_Stats!$G$10=Norm_Stats!$F$10),"",MAX(0,MIN(100,100*(MIN(MAX(City_Inputs!$V26,Norm_Stats!$F$10),Norm_Stats!$G$10)-Norm_Stats!$F$10)/(Norm_Stats!$G$10-Norm_Stats!$F$10))))</f>
        <v/>
      </c>
      <c r="Z26" s="14">
        <f>IF(Y26="","",1)</f>
        <v/>
      </c>
      <c r="AA26" s="11">
        <f>IF(OR(City_Inputs!$W26="",Norm_Stats!$F$11="",Norm_Stats!$G$11="",Norm_Stats!$G$11=Norm_Stats!$F$11),"",MAX(0,MIN(100,100*(MIN(MAX(City_Inputs!$W26,Norm_Stats!$F$11),Norm_Stats!$G$11)-Norm_Stats!$F$11)/(Norm_Stats!$G$11-Norm_Stats!$F$11))))</f>
        <v/>
      </c>
      <c r="AB26" s="14">
        <f>IF(AA26="","",1)</f>
        <v/>
      </c>
      <c r="AC26" s="11">
        <f>IF(OR(City_Inputs!$X26="",Norm_Stats!$F$12="",Norm_Stats!$G$12="",Norm_Stats!$G$12=Norm_Stats!$F$12),"",MAX(0,MIN(100,100*(MIN(MAX(City_Inputs!$X26,Norm_Stats!$F$12),Norm_Stats!$G$12)-Norm_Stats!$F$12)/(Norm_Stats!$G$12-Norm_Stats!$F$12))))</f>
        <v/>
      </c>
      <c r="AD26" s="11">
        <f>IF(AC26="","",1)</f>
        <v/>
      </c>
      <c r="AE26" s="15">
        <f>IF((IF(S26="",0,5)+IF(U26="",0,5)+IF(W26="",0,4)+IF(Y26="",0,4)+IF(AA26="",0,4)+IF(AC26="",0,5))=0,"",(IF(S26="",0,S26*5)+IF(U26="",0,U26*5)+IF(W26="",0,W26*4)+IF(Y26="",0,Y26*4)+IF(AA26="",0,AA26*4)+IF(AC26="",0,AC26*5))/(IF(S26="",0,5)+IF(U26="",0,5)+IF(W26="",0,4)+IF(Y26="",0,4)+IF(AA26="",0,4)+IF(AC26="",0,5)))</f>
        <v/>
      </c>
      <c r="AF26" s="14">
        <f>IF((IF(T26="",0,5)+IF(V26="",0,5)+IF(X26="",0,4)+IF(Z26="",0,4)+IF(AB26="",0,4)+IF(AD26="",0,5))=0,"",(IF(T26="",0,T26*5)+IF(V26="",0,V26*5)+IF(X26="",0,X26*4)+IF(Z26="",0,Z26*4)+IF(AB26="",0,AB26*4)+IF(AD26="",0,AD26*5))/27)</f>
        <v/>
      </c>
      <c r="AG26" s="11">
        <f>IF(OR(City_Inputs!$Y26="",Norm_Stats!$F$13="",Norm_Stats!$G$13="",Norm_Stats!$G$13=Norm_Stats!$F$13),"",MAX(0,MIN(100,100*(MIN(MAX(City_Inputs!$Y26,Norm_Stats!$F$13),Norm_Stats!$G$13)-Norm_Stats!$F$13)/(Norm_Stats!$G$13-Norm_Stats!$F$13))))</f>
        <v/>
      </c>
      <c r="AH26" s="14">
        <f>IF(AG26="","",1)</f>
        <v/>
      </c>
      <c r="AI26" s="11">
        <f>IF(OR(City_Inputs!$Z26="",Norm_Stats!$F$14="",Norm_Stats!$G$14="",Norm_Stats!$G$14=Norm_Stats!$F$14),"",MAX(0,MIN(100,100*(MIN(MAX(City_Inputs!$Z26,Norm_Stats!$F$14),Norm_Stats!$G$14)-Norm_Stats!$F$14)/(Norm_Stats!$G$14-Norm_Stats!$F$14))))</f>
        <v/>
      </c>
      <c r="AJ26" s="14">
        <f>IF(AI26="","",1)</f>
        <v/>
      </c>
      <c r="AK26" s="11">
        <f>IF((IF((IF(OR(City_Inputs!$AA26="",Norm_Stats!$F$15="",Norm_Stats!$G$15="",Norm_Stats!$G$15=Norm_Stats!$F$15),"",MAX(0,MIN(100,100*(MIN(MAX(City_Inputs!$AA26,Norm_Stats!$F$15),Norm_Stats!$G$15)-Norm_Stats!$F$15)/(Norm_Stats!$G$15-Norm_Stats!$F$15)))))="",0,0.7)+IF((IF(OR(City_Inputs!$AL26="",Norm_Stats!$F$16="",Norm_Stats!$G$16="",Norm_Stats!$G$16=Norm_Stats!$F$16),"",MAX(0,MIN(100,100*(Norm_Stats!$G$16-MIN(MAX(City_Inputs!$AL26,Norm_Stats!$F$16),Norm_Stats!$G$16))/(Norm_Stats!$G$16-Norm_Stats!$F$16)))))="",0,0.3))=0,"",(IF((IF(OR(City_Inputs!$AA26="",Norm_Stats!$F$15="",Norm_Stats!$G$15="",Norm_Stats!$G$15=Norm_Stats!$F$15),"",MAX(0,MIN(100,100*(MIN(MAX(City_Inputs!$AA26,Norm_Stats!$F$15),Norm_Stats!$G$15)-Norm_Stats!$F$15)/(Norm_Stats!$G$15-Norm_Stats!$F$15)))))="",0,(IF(OR(City_Inputs!$AA26="",Norm_Stats!$F$15="",Norm_Stats!$G$15="",Norm_Stats!$G$15=Norm_Stats!$F$15),"",MAX(0,MIN(100,100*(MIN(MAX(City_Inputs!$AA26,Norm_Stats!$F$15),Norm_Stats!$G$15)-Norm_Stats!$F$15)/(Norm_Stats!$G$15-Norm_Stats!$F$15)))))*0.7)+IF((IF(OR(City_Inputs!$AL26="",Norm_Stats!$F$16="",Norm_Stats!$G$16="",Norm_Stats!$G$16=Norm_Stats!$F$16),"",MAX(0,MIN(100,100*(Norm_Stats!$G$16-MIN(MAX(City_Inputs!$AL26,Norm_Stats!$F$16),Norm_Stats!$G$16))/(Norm_Stats!$G$16-Norm_Stats!$F$16)))))="",0,(IF(OR(City_Inputs!$AL26="",Norm_Stats!$F$16="",Norm_Stats!$G$16="",Norm_Stats!$G$16=Norm_Stats!$F$16),"",MAX(0,MIN(100,100*(Norm_Stats!$G$16-MIN(MAX(City_Inputs!$AL26,Norm_Stats!$F$16),Norm_Stats!$G$16))/(Norm_Stats!$G$16-Norm_Stats!$F$16)))))*0.3))/(IF((IF(OR(City_Inputs!$AA26="",Norm_Stats!$F$15="",Norm_Stats!$G$15="",Norm_Stats!$G$15=Norm_Stats!$F$15),"",MAX(0,MIN(100,100*(MIN(MAX(City_Inputs!$AA26,Norm_Stats!$F$15),Norm_Stats!$G$15)-Norm_Stats!$F$15)/(Norm_Stats!$G$15-Norm_Stats!$F$15)))))="",0,0.7)+IF((IF(OR(City_Inputs!$AL26="",Norm_Stats!$F$16="",Norm_Stats!$G$16="",Norm_Stats!$G$16=Norm_Stats!$F$16),"",MAX(0,MIN(100,100*(Norm_Stats!$G$16-MIN(MAX(City_Inputs!$AL26,Norm_Stats!$F$16),Norm_Stats!$G$16))/(Norm_Stats!$G$16-Norm_Stats!$F$16)))))="",0,0.3)))</f>
        <v/>
      </c>
      <c r="AL26" s="14">
        <f>IF((IF((IF(OR(City_Inputs!$AA26="",Norm_Stats!$F$15="",Norm_Stats!$G$15="",Norm_Stats!$G$15=Norm_Stats!$F$15),"",MAX(0,MIN(100,100*(MIN(MAX(City_Inputs!$AA26,Norm_Stats!$F$15),Norm_Stats!$G$15)-Norm_Stats!$F$15)/(Norm_Stats!$G$15-Norm_Stats!$F$15)))))="",0,0.7)+IF((IF(OR(City_Inputs!$AL26="",Norm_Stats!$F$16="",Norm_Stats!$G$16="",Norm_Stats!$G$16=Norm_Stats!$F$16),"",MAX(0,MIN(100,100*(Norm_Stats!$G$16-MIN(MAX(City_Inputs!$AL26,Norm_Stats!$F$16),Norm_Stats!$G$16))/(Norm_Stats!$G$16-Norm_Stats!$F$16)))))="",0,0.3))=0,"",(IF((IF(OR(City_Inputs!$AA26="",Norm_Stats!$F$15="",Norm_Stats!$G$15="",Norm_Stats!$G$15=Norm_Stats!$F$15),"",MAX(0,MIN(100,100*(MIN(MAX(City_Inputs!$AA26,Norm_Stats!$F$15),Norm_Stats!$G$15)-Norm_Stats!$F$15)/(Norm_Stats!$G$15-Norm_Stats!$F$15)))))="",0,0.7)+IF((IF(OR(City_Inputs!$AL26="",Norm_Stats!$F$16="",Norm_Stats!$G$16="",Norm_Stats!$G$16=Norm_Stats!$F$16),"",MAX(0,MIN(100,100*(Norm_Stats!$G$16-MIN(MAX(City_Inputs!$AL26,Norm_Stats!$F$16),Norm_Stats!$G$16))/(Norm_Stats!$G$16-Norm_Stats!$F$16)))))="",0,0.3)))</f>
        <v/>
      </c>
      <c r="AM26" s="15">
        <f>IF((IF(AG26="",0,8)+IF(AI26="",0,6)+IF(AK26="",0,4))=0,"",(IF(AG26="",0,AG26*8)+IF(AI26="",0,AI26*6)+IF(AK26="",0,AK26*4))/(IF(AG26="",0,8)+IF(AI26="",0,6)+IF(AK26="",0,4)))</f>
        <v/>
      </c>
      <c r="AN26" s="14">
        <f>IF((IF(AH26="",0,8)+IF(AJ26="",0,6)+IF(AL26="",0,4))=0,"",(IF(AH26="",0,AH26*8)+IF(AJ26="",0,AJ26*6)+IF(AL26="",0,AL26*4))/18)</f>
        <v/>
      </c>
      <c r="AO26" s="11">
        <f>IF(OR(City_Inputs!$AB26="",Norm_Stats!$F$17="",Norm_Stats!$G$17="",Norm_Stats!$G$17=Norm_Stats!$F$17),"",MAX(0,MIN(100,100*(MIN(MAX(City_Inputs!$AB26,Norm_Stats!$F$17),Norm_Stats!$G$17)-Norm_Stats!$F$17)/(Norm_Stats!$G$17-Norm_Stats!$F$17))))</f>
        <v/>
      </c>
      <c r="AP26" s="14">
        <f>IF(AO26="","",1)</f>
        <v/>
      </c>
      <c r="AQ26" s="11">
        <f>IF(OR(City_Inputs!$AC26="",Norm_Stats!$F$18="",Norm_Stats!$G$18="",Norm_Stats!$G$18=Norm_Stats!$F$18),"",MAX(0,MIN(100,100*(MIN(MAX(City_Inputs!$AC26,Norm_Stats!$F$18),Norm_Stats!$G$18)-Norm_Stats!$F$18)/(Norm_Stats!$G$18-Norm_Stats!$F$18))))</f>
        <v/>
      </c>
      <c r="AR26" s="14">
        <f>IF(AQ26="","",1)</f>
        <v/>
      </c>
      <c r="AS26" s="11">
        <f>IF(OR(City_Inputs!$AD26="",Norm_Stats!$F$19="",Norm_Stats!$G$19="",Norm_Stats!$G$19=Norm_Stats!$F$19),"",MAX(0,MIN(100,100*(MIN(MAX(City_Inputs!$AD26,Norm_Stats!$F$19),Norm_Stats!$G$19)-Norm_Stats!$F$19)/(Norm_Stats!$G$19-Norm_Stats!$F$19))))</f>
        <v/>
      </c>
      <c r="AT26" s="14">
        <f>IF(AS26="","",1)</f>
        <v/>
      </c>
      <c r="AU26" s="11">
        <f>IF(OR(City_Inputs!$BJ26="",Norm_Stats!$F$26="",Norm_Stats!$G$26="",Norm_Stats!$G$26=Norm_Stats!$F$26),"",MAX(0,MIN(100,100*(MIN(MAX(City_Inputs!$BJ26,Norm_Stats!$F$26),Norm_Stats!$G$26)-Norm_Stats!$F$26)/(Norm_Stats!$G$26-Norm_Stats!$F$26))))</f>
        <v/>
      </c>
      <c r="AV26" s="11">
        <f>IF(AU26="","",1)</f>
        <v/>
      </c>
      <c r="AW26" s="15">
        <f>IF((IF(AO26="",0,5)+IF(AQ26="",0,5)+IF(AS26="",0,5)+IF(AU26="",0,4))=0,"",(IF(AO26="",0,AO26*5)+IF(AQ26="",0,AQ26*5)+IF(AS26="",0,AS26*5)+IF(AU26="",0,AU26*4))/(IF(AO26="",0,5)+IF(AQ26="",0,5)+IF(AS26="",0,5)+IF(AU26="",0,4)))</f>
        <v/>
      </c>
      <c r="AX26" s="14">
        <f>IF((IF(AP26="",0,5)+IF(AR26="",0,5)+IF(AT26="",0,5)+IF(AV26="",0,4))=0,"",(IF(AP26="",0,AP26*5)+IF(AR26="",0,AR26*5)+IF(AT26="",0,AT26*5)+IF(AV26="",0,AV26*4))/19)</f>
        <v/>
      </c>
      <c r="AY26" s="11">
        <f>IF(OR(City_Inputs!$AE26="",Norm_Stats!$F$20="",Norm_Stats!$G$20="",Norm_Stats!$G$20=Norm_Stats!$F$20),"",MAX(0,MIN(100,100*(MIN(MAX(City_Inputs!$AE26,Norm_Stats!$F$20),Norm_Stats!$G$20)-Norm_Stats!$F$20)/(Norm_Stats!$G$20-Norm_Stats!$F$20))))</f>
        <v/>
      </c>
      <c r="AZ26" s="14">
        <f>IF(AY26="","",1)</f>
        <v/>
      </c>
      <c r="BA26" s="11">
        <f>IF(OR(City_Inputs!$AF26="",Norm_Stats!$F$21="",Norm_Stats!$G$21="",Norm_Stats!$G$21=Norm_Stats!$F$21),"",MAX(0,MIN(100,100*(MIN(MAX(City_Inputs!$AF26,Norm_Stats!$F$21),Norm_Stats!$G$21)-Norm_Stats!$F$21)/(Norm_Stats!$G$21-Norm_Stats!$F$21))))</f>
        <v/>
      </c>
      <c r="BB26" s="14">
        <f>IF(BA26="","",1)</f>
        <v/>
      </c>
      <c r="BC26" s="11">
        <f>IF((IF((IF(OR(City_Inputs!$AG26="",Norm_Stats!$F$22="",Norm_Stats!$G$22="",Norm_Stats!$G$22=Norm_Stats!$F$22),"",MAX(0,MIN(100,100*(MIN(MAX(City_Inputs!$AG26,Norm_Stats!$F$22),Norm_Stats!$G$22)-Norm_Stats!$F$22)/(Norm_Stats!$G$22-Norm_Stats!$F$22)))))="",0,0.5)+IF((IF(OR(City_Inputs!$AJ26="",Norm_Stats!$F$23="",Norm_Stats!$G$23="",Norm_Stats!$G$23=Norm_Stats!$F$23),"",MAX(0,MIN(100,100*(MIN(MAX(City_Inputs!$AJ26,Norm_Stats!$F$23),Norm_Stats!$G$23)-Norm_Stats!$F$23)/(Norm_Stats!$G$23-Norm_Stats!$F$23)))))="",0,0.3)+IF((IF(OR(City_Inputs!$AK26="",Norm_Stats!$F$24="",Norm_Stats!$G$24="",Norm_Stats!$G$24=Norm_Stats!$F$24),"",MAX(0,MIN(100,100*(MIN(MAX(City_Inputs!$AK26,Norm_Stats!$F$24),Norm_Stats!$G$24)-Norm_Stats!$F$24)/(Norm_Stats!$G$24-Norm_Stats!$F$24)))))="",0,0.2))=0,"",(IF((IF(OR(City_Inputs!$AG26="",Norm_Stats!$F$22="",Norm_Stats!$G$22="",Norm_Stats!$G$22=Norm_Stats!$F$22),"",MAX(0,MIN(100,100*(MIN(MAX(City_Inputs!$AG26,Norm_Stats!$F$22),Norm_Stats!$G$22)-Norm_Stats!$F$22)/(Norm_Stats!$G$22-Norm_Stats!$F$22)))))="",0,(IF(OR(City_Inputs!$AG26="",Norm_Stats!$F$22="",Norm_Stats!$G$22="",Norm_Stats!$G$22=Norm_Stats!$F$22),"",MAX(0,MIN(100,100*(MIN(MAX(City_Inputs!$AG26,Norm_Stats!$F$22),Norm_Stats!$G$22)-Norm_Stats!$F$22)/(Norm_Stats!$G$22-Norm_Stats!$F$22)))))*0.5)+IF((IF(OR(City_Inputs!$AJ26="",Norm_Stats!$F$23="",Norm_Stats!$G$23="",Norm_Stats!$G$23=Norm_Stats!$F$23),"",MAX(0,MIN(100,100*(MIN(MAX(City_Inputs!$AJ26,Norm_Stats!$F$23),Norm_Stats!$G$23)-Norm_Stats!$F$23)/(Norm_Stats!$G$23-Norm_Stats!$F$23)))))="",0,(IF(OR(City_Inputs!$AJ26="",Norm_Stats!$F$23="",Norm_Stats!$G$23="",Norm_Stats!$G$23=Norm_Stats!$F$23),"",MAX(0,MIN(100,100*(MIN(MAX(City_Inputs!$AJ26,Norm_Stats!$F$23),Norm_Stats!$G$23)-Norm_Stats!$F$23)/(Norm_Stats!$G$23-Norm_Stats!$F$23)))))*0.3)+IF((IF(OR(City_Inputs!$AK26="",Norm_Stats!$F$24="",Norm_Stats!$G$24="",Norm_Stats!$G$24=Norm_Stats!$F$24),"",MAX(0,MIN(100,100*(MIN(MAX(City_Inputs!$AK26,Norm_Stats!$F$24),Norm_Stats!$G$24)-Norm_Stats!$F$24)/(Norm_Stats!$G$24-Norm_Stats!$F$24)))))="",0,(IF(OR(City_Inputs!$AK26="",Norm_Stats!$F$24="",Norm_Stats!$G$24="",Norm_Stats!$G$24=Norm_Stats!$F$24),"",MAX(0,MIN(100,100*(MIN(MAX(City_Inputs!$AK26,Norm_Stats!$F$24),Norm_Stats!$G$24)-Norm_Stats!$F$24)/(Norm_Stats!$G$24-Norm_Stats!$F$24)))))*0.2))/(IF((IF(OR(City_Inputs!$AG26="",Norm_Stats!$F$22="",Norm_Stats!$G$22="",Norm_Stats!$G$22=Norm_Stats!$F$22),"",MAX(0,MIN(100,100*(MIN(MAX(City_Inputs!$AG26,Norm_Stats!$F$22),Norm_Stats!$G$22)-Norm_Stats!$F$22)/(Norm_Stats!$G$22-Norm_Stats!$F$22)))))="",0,0.5)+IF((IF(OR(City_Inputs!$AJ26="",Norm_Stats!$F$23="",Norm_Stats!$G$23="",Norm_Stats!$G$23=Norm_Stats!$F$23),"",MAX(0,MIN(100,100*(MIN(MAX(City_Inputs!$AJ26,Norm_Stats!$F$23),Norm_Stats!$G$23)-Norm_Stats!$F$23)/(Norm_Stats!$G$23-Norm_Stats!$F$23)))))="",0,0.3)+IF((IF(OR(City_Inputs!$AK26="",Norm_Stats!$F$24="",Norm_Stats!$G$24="",Norm_Stats!$G$24=Norm_Stats!$F$24),"",MAX(0,MIN(100,100*(MIN(MAX(City_Inputs!$AK26,Norm_Stats!$F$24),Norm_Stats!$G$24)-Norm_Stats!$F$24)/(Norm_Stats!$G$24-Norm_Stats!$F$24)))))="",0,0.2)))</f>
        <v/>
      </c>
      <c r="BD26" s="14">
        <f>IF((IF((IF(OR(City_Inputs!$AG26="",Norm_Stats!$F$22="",Norm_Stats!$G$22="",Norm_Stats!$G$22=Norm_Stats!$F$22),"",MAX(0,MIN(100,100*(MIN(MAX(City_Inputs!$AG26,Norm_Stats!$F$22),Norm_Stats!$G$22)-Norm_Stats!$F$22)/(Norm_Stats!$G$22-Norm_Stats!$F$22)))))="",0,0.5)+IF((IF(OR(City_Inputs!$AJ26="",Norm_Stats!$F$23="",Norm_Stats!$G$23="",Norm_Stats!$G$23=Norm_Stats!$F$23),"",MAX(0,MIN(100,100*(MIN(MAX(City_Inputs!$AJ26,Norm_Stats!$F$23),Norm_Stats!$G$23)-Norm_Stats!$F$23)/(Norm_Stats!$G$23-Norm_Stats!$F$23)))))="",0,0.3)+IF((IF(OR(City_Inputs!$AK26="",Norm_Stats!$F$24="",Norm_Stats!$G$24="",Norm_Stats!$G$24=Norm_Stats!$F$24),"",MAX(0,MIN(100,100*(MIN(MAX(City_Inputs!$AK26,Norm_Stats!$F$24),Norm_Stats!$G$24)-Norm_Stats!$F$24)/(Norm_Stats!$G$24-Norm_Stats!$F$24)))))="",0,0.2))=0,"",(IF((IF(OR(City_Inputs!$AG26="",Norm_Stats!$F$22="",Norm_Stats!$G$22="",Norm_Stats!$G$22=Norm_Stats!$F$22),"",MAX(0,MIN(100,100*(MIN(MAX(City_Inputs!$AG26,Norm_Stats!$F$22),Norm_Stats!$G$22)-Norm_Stats!$F$22)/(Norm_Stats!$G$22-Norm_Stats!$F$22)))))="",0,0.5)+IF((IF(OR(City_Inputs!$AJ26="",Norm_Stats!$F$23="",Norm_Stats!$G$23="",Norm_Stats!$G$23=Norm_Stats!$F$23),"",MAX(0,MIN(100,100*(MIN(MAX(City_Inputs!$AJ26,Norm_Stats!$F$23),Norm_Stats!$G$23)-Norm_Stats!$F$23)/(Norm_Stats!$G$23-Norm_Stats!$F$23)))))="",0,0.3)+IF((IF(OR(City_Inputs!$AK26="",Norm_Stats!$F$24="",Norm_Stats!$G$24="",Norm_Stats!$G$24=Norm_Stats!$F$24),"",MAX(0,MIN(100,100*(MIN(MAX(City_Inputs!$AK26,Norm_Stats!$F$24),Norm_Stats!$G$24)-Norm_Stats!$F$24)/(Norm_Stats!$G$24-Norm_Stats!$F$24)))))="",0,0.2)))</f>
        <v/>
      </c>
      <c r="BE26" s="11">
        <f>IF(OR(City_Inputs!$AH26="",Norm_Stats!$F$25="",Norm_Stats!$G$25="",Norm_Stats!$G$25=Norm_Stats!$F$25),"",MAX(0,MIN(100,100*(Norm_Stats!$G$25-MIN(MAX(City_Inputs!$AH26,Norm_Stats!$F$25),Norm_Stats!$G$25))/(Norm_Stats!$G$25-Norm_Stats!$F$25))))</f>
        <v/>
      </c>
      <c r="BF26" s="14">
        <f>IF(BE26="","",1)</f>
        <v/>
      </c>
      <c r="BG26" s="15">
        <f>IF((IF(AY26="",0,6)+IF(BA26="",0,5)+IF(BC26="",0,5)+IF(BE26="",0,4))=0,"",(IF(AY26="",0,AY26*6)+IF(BA26="",0,BA26*5)+IF(BC26="",0,BC26*5)+IF(BE26="",0,BE26*4))/(IF(AY26="",0,6)+IF(BA26="",0,5)+IF(BC26="",0,5)+IF(BE26="",0,4)))</f>
        <v/>
      </c>
      <c r="BH26" s="14">
        <f>IF((IF(AZ26="",0,6)+IF(BB26="",0,5)+IF(BD26="",0,5)+IF(BF26="",0,4))=0,"",(IF(AZ26="",0,AZ26*6)+IF(BB26="",0,BB26*5)+IF(BD26="",0,BD26*5)+IF(BF26="",0,BF26*4))/20)</f>
        <v/>
      </c>
      <c r="BI26" s="14">
        <f>IF(AND(R26="",AF26="",AN26="",AX26="",BH26=""),"",((R26*25)+(AF26*22)+(AN26*18)+(AX26*15)+(BH26*20))/100)</f>
        <v/>
      </c>
      <c r="BJ26" s="11">
        <f>IF(BI26="","",IF(BI26&gt;=0.75,"A",IF(BI26&gt;=0.5,"B",IF(BI26&gt;=0.35,"C","Watchlist"))))</f>
        <v/>
      </c>
      <c r="BK26" s="11">
        <f>IF(OR(BI26="",BI26&lt;0.5,R26="",R26&lt;0.35,AF26="",AF26&lt;0.35,AN26="",AN26&lt;0.35,AX26="",AX26&lt;0.35,BH26="",BH26&lt;0.35),"Watchlist","Ranked")</f>
        <v/>
      </c>
      <c r="BL26" s="15">
        <f>IF(AND(Q26="",AE26="",AM26="",AW26="",BG26=""),"",(IF(Q26="",0,Q26*25)+IF(AE26="",0,AE26*22)+IF(AM26="",0,AM26*18)+IF(AW26="",0,AW26*15)+IF(BG26="",0,BG26*20))/(IF(Q26="",0,25)+IF(AE26="",0,22)+IF(AM26="",0,18)+IF(AW26="",0,15)+IF(BG26="",0,20)))</f>
        <v/>
      </c>
      <c r="BM26" s="11">
        <f>IF(BK26="Ranked",1+COUNTIFS($BK$2:$BK$158,"Ranked",$BL$2:$BL$158,"&gt;"&amp;BL26),"")</f>
        <v/>
      </c>
      <c r="BN26" s="11">
        <f>City_Inputs!$AI26</f>
        <v/>
      </c>
    </row>
    <row r="27">
      <c r="A27" t="inlineStr">
        <is>
          <t>cn-tianjin</t>
        </is>
      </c>
      <c r="B27" t="inlineStr">
        <is>
          <t>Tianjin</t>
        </is>
      </c>
      <c r="C27" t="inlineStr">
        <is>
          <t>China</t>
        </is>
      </c>
      <c r="D27" t="inlineStr">
        <is>
          <t>East Asia</t>
        </is>
      </c>
      <c r="E27" t="inlineStr">
        <is>
          <t>provisional</t>
        </is>
      </c>
      <c r="F27" t="inlineStr">
        <is>
          <t>secondary</t>
        </is>
      </c>
      <c r="G27" s="11">
        <f>IF(OR(City_Inputs!$M27="",Norm_Stats!$F$2="",Norm_Stats!$G$2="",Norm_Stats!$G$2=Norm_Stats!$F$2),"",MAX(0,MIN(100,100*(MIN(MAX(City_Inputs!$M27,Norm_Stats!$F$2),Norm_Stats!$G$2)-Norm_Stats!$F$2)/(Norm_Stats!$G$2-Norm_Stats!$F$2))))</f>
        <v/>
      </c>
      <c r="H27" s="14">
        <f>IF(G27="","",1)</f>
        <v/>
      </c>
      <c r="I27" s="11">
        <f>IF(OR(City_Inputs!$N27="",Norm_Stats!$F$3="",Norm_Stats!$G$3="",Norm_Stats!$G$3=Norm_Stats!$F$3),"",MAX(0,MIN(100,100*(Norm_Stats!$G$3-MIN(MAX(City_Inputs!$N27,Norm_Stats!$F$3),Norm_Stats!$G$3))/(Norm_Stats!$G$3-Norm_Stats!$F$3))))</f>
        <v/>
      </c>
      <c r="J27" s="14">
        <f>IF(I27="","",1)</f>
        <v/>
      </c>
      <c r="K27" s="11">
        <f>IF(OR(City_Inputs!$P27="",Norm_Stats!$F$4="",Norm_Stats!$G$4="",Norm_Stats!$G$4=Norm_Stats!$F$4),"",MAX(0,MIN(100,100*(Norm_Stats!$G$4-MIN(MAX(City_Inputs!$P27,Norm_Stats!$F$4),Norm_Stats!$G$4))/(Norm_Stats!$G$4-Norm_Stats!$F$4))))</f>
        <v/>
      </c>
      <c r="L27" s="14">
        <f>IF(K27="","",1)</f>
        <v/>
      </c>
      <c r="M27" s="11">
        <f>IF(OR(City_Inputs!$Q27="",Norm_Stats!$F$5="",Norm_Stats!$G$5="",Norm_Stats!$G$5=Norm_Stats!$F$5),"",MAX(0,MIN(100,100*(Norm_Stats!$G$5-MIN(MAX(City_Inputs!$Q27,Norm_Stats!$F$5),Norm_Stats!$G$5))/(Norm_Stats!$G$5-Norm_Stats!$F$5))))</f>
        <v/>
      </c>
      <c r="N27" s="14">
        <f>IF(M27="","",1)</f>
        <v/>
      </c>
      <c r="O27" s="11">
        <f>IF(OR(City_Inputs!$R27="",Norm_Stats!$F$6="",Norm_Stats!$G$6="",Norm_Stats!$G$6=Norm_Stats!$F$6),"",MAX(0,MIN(100,100*(Norm_Stats!$G$6-MIN(MAX(City_Inputs!$R27,Norm_Stats!$F$6),Norm_Stats!$G$6))/(Norm_Stats!$G$6-Norm_Stats!$F$6))))</f>
        <v/>
      </c>
      <c r="P27" s="14">
        <f>IF(O27="","",1)</f>
        <v/>
      </c>
      <c r="Q27" s="15">
        <f>IF((IF(G27="",0,9)+IF(I27="",0,5)+IF(K27="",0,4)+IF(M27="",0,4)+IF(O27="",0,5))=0,"",(IF(G27="",0,G27*9)+IF(I27="",0,I27*5)+IF(K27="",0,K27*4)+IF(M27="",0,M27*4)+IF(O27="",0,O27*5))/(IF(G27="",0,9)+IF(I27="",0,5)+IF(K27="",0,4)+IF(M27="",0,4)+IF(O27="",0,5)))</f>
        <v/>
      </c>
      <c r="R27" s="14">
        <f>IF((IF(H27="",0,9)+IF(J27="",0,5)+IF(L27="",0,4)+IF(N27="",0,4)+IF(P27="",0,5))=0,"",(IF(H27="",0,H27*9)+IF(J27="",0,J27*5)+IF(L27="",0,L27*4)+IF(N27="",0,N27*4)+IF(P27="",0,P27*5))/27)</f>
        <v/>
      </c>
      <c r="S27" s="11">
        <f>IF(OR(City_Inputs!$S27="",Norm_Stats!$F$7="",Norm_Stats!$G$7="",Norm_Stats!$G$7=Norm_Stats!$F$7),"",MAX(0,MIN(100,100*(Norm_Stats!$G$7-MIN(MAX(City_Inputs!$S27,Norm_Stats!$F$7),Norm_Stats!$G$7))/(Norm_Stats!$G$7-Norm_Stats!$F$7))))</f>
        <v/>
      </c>
      <c r="T27" s="14">
        <f>IF(S27="","",1)</f>
        <v/>
      </c>
      <c r="U27" s="11">
        <f>IF(OR(City_Inputs!$T27="",Norm_Stats!$F$8="",Norm_Stats!$G$8="",Norm_Stats!$G$8=Norm_Stats!$F$8),"",MAX(0,MIN(100,100*(MIN(MAX(City_Inputs!$T27,Norm_Stats!$F$8),Norm_Stats!$G$8)-Norm_Stats!$F$8)/(Norm_Stats!$G$8-Norm_Stats!$F$8))))</f>
        <v/>
      </c>
      <c r="V27" s="14">
        <f>IF(U27="","",1)</f>
        <v/>
      </c>
      <c r="W27" s="11">
        <f>IF(OR(City_Inputs!$U27="",Norm_Stats!$F$9="",Norm_Stats!$G$9="",Norm_Stats!$G$9=Norm_Stats!$F$9),"",MAX(0,MIN(100,100*(Norm_Stats!$G$9-MIN(MAX(City_Inputs!$U27,Norm_Stats!$F$9),Norm_Stats!$G$9))/(Norm_Stats!$G$9-Norm_Stats!$F$9))))</f>
        <v/>
      </c>
      <c r="X27" s="14">
        <f>IF(W27="","",1)</f>
        <v/>
      </c>
      <c r="Y27" s="11">
        <f>IF(OR(City_Inputs!$V27="",Norm_Stats!$F$10="",Norm_Stats!$G$10="",Norm_Stats!$G$10=Norm_Stats!$F$10),"",MAX(0,MIN(100,100*(MIN(MAX(City_Inputs!$V27,Norm_Stats!$F$10),Norm_Stats!$G$10)-Norm_Stats!$F$10)/(Norm_Stats!$G$10-Norm_Stats!$F$10))))</f>
        <v/>
      </c>
      <c r="Z27" s="14">
        <f>IF(Y27="","",1)</f>
        <v/>
      </c>
      <c r="AA27" s="11">
        <f>IF(OR(City_Inputs!$W27="",Norm_Stats!$F$11="",Norm_Stats!$G$11="",Norm_Stats!$G$11=Norm_Stats!$F$11),"",MAX(0,MIN(100,100*(MIN(MAX(City_Inputs!$W27,Norm_Stats!$F$11),Norm_Stats!$G$11)-Norm_Stats!$F$11)/(Norm_Stats!$G$11-Norm_Stats!$F$11))))</f>
        <v/>
      </c>
      <c r="AB27" s="14">
        <f>IF(AA27="","",1)</f>
        <v/>
      </c>
      <c r="AC27" s="11">
        <f>IF(OR(City_Inputs!$X27="",Norm_Stats!$F$12="",Norm_Stats!$G$12="",Norm_Stats!$G$12=Norm_Stats!$F$12),"",MAX(0,MIN(100,100*(MIN(MAX(City_Inputs!$X27,Norm_Stats!$F$12),Norm_Stats!$G$12)-Norm_Stats!$F$12)/(Norm_Stats!$G$12-Norm_Stats!$F$12))))</f>
        <v/>
      </c>
      <c r="AD27" s="11">
        <f>IF(AC27="","",1)</f>
        <v/>
      </c>
      <c r="AE27" s="15">
        <f>IF((IF(S27="",0,5)+IF(U27="",0,5)+IF(W27="",0,4)+IF(Y27="",0,4)+IF(AA27="",0,4)+IF(AC27="",0,5))=0,"",(IF(S27="",0,S27*5)+IF(U27="",0,U27*5)+IF(W27="",0,W27*4)+IF(Y27="",0,Y27*4)+IF(AA27="",0,AA27*4)+IF(AC27="",0,AC27*5))/(IF(S27="",0,5)+IF(U27="",0,5)+IF(W27="",0,4)+IF(Y27="",0,4)+IF(AA27="",0,4)+IF(AC27="",0,5)))</f>
        <v/>
      </c>
      <c r="AF27" s="14">
        <f>IF((IF(T27="",0,5)+IF(V27="",0,5)+IF(X27="",0,4)+IF(Z27="",0,4)+IF(AB27="",0,4)+IF(AD27="",0,5))=0,"",(IF(T27="",0,T27*5)+IF(V27="",0,V27*5)+IF(X27="",0,X27*4)+IF(Z27="",0,Z27*4)+IF(AB27="",0,AB27*4)+IF(AD27="",0,AD27*5))/27)</f>
        <v/>
      </c>
      <c r="AG27" s="11">
        <f>IF(OR(City_Inputs!$Y27="",Norm_Stats!$F$13="",Norm_Stats!$G$13="",Norm_Stats!$G$13=Norm_Stats!$F$13),"",MAX(0,MIN(100,100*(MIN(MAX(City_Inputs!$Y27,Norm_Stats!$F$13),Norm_Stats!$G$13)-Norm_Stats!$F$13)/(Norm_Stats!$G$13-Norm_Stats!$F$13))))</f>
        <v/>
      </c>
      <c r="AH27" s="14">
        <f>IF(AG27="","",1)</f>
        <v/>
      </c>
      <c r="AI27" s="11">
        <f>IF(OR(City_Inputs!$Z27="",Norm_Stats!$F$14="",Norm_Stats!$G$14="",Norm_Stats!$G$14=Norm_Stats!$F$14),"",MAX(0,MIN(100,100*(MIN(MAX(City_Inputs!$Z27,Norm_Stats!$F$14),Norm_Stats!$G$14)-Norm_Stats!$F$14)/(Norm_Stats!$G$14-Norm_Stats!$F$14))))</f>
        <v/>
      </c>
      <c r="AJ27" s="14">
        <f>IF(AI27="","",1)</f>
        <v/>
      </c>
      <c r="AK27" s="11">
        <f>IF((IF((IF(OR(City_Inputs!$AA27="",Norm_Stats!$F$15="",Norm_Stats!$G$15="",Norm_Stats!$G$15=Norm_Stats!$F$15),"",MAX(0,MIN(100,100*(MIN(MAX(City_Inputs!$AA27,Norm_Stats!$F$15),Norm_Stats!$G$15)-Norm_Stats!$F$15)/(Norm_Stats!$G$15-Norm_Stats!$F$15)))))="",0,0.7)+IF((IF(OR(City_Inputs!$AL27="",Norm_Stats!$F$16="",Norm_Stats!$G$16="",Norm_Stats!$G$16=Norm_Stats!$F$16),"",MAX(0,MIN(100,100*(Norm_Stats!$G$16-MIN(MAX(City_Inputs!$AL27,Norm_Stats!$F$16),Norm_Stats!$G$16))/(Norm_Stats!$G$16-Norm_Stats!$F$16)))))="",0,0.3))=0,"",(IF((IF(OR(City_Inputs!$AA27="",Norm_Stats!$F$15="",Norm_Stats!$G$15="",Norm_Stats!$G$15=Norm_Stats!$F$15),"",MAX(0,MIN(100,100*(MIN(MAX(City_Inputs!$AA27,Norm_Stats!$F$15),Norm_Stats!$G$15)-Norm_Stats!$F$15)/(Norm_Stats!$G$15-Norm_Stats!$F$15)))))="",0,(IF(OR(City_Inputs!$AA27="",Norm_Stats!$F$15="",Norm_Stats!$G$15="",Norm_Stats!$G$15=Norm_Stats!$F$15),"",MAX(0,MIN(100,100*(MIN(MAX(City_Inputs!$AA27,Norm_Stats!$F$15),Norm_Stats!$G$15)-Norm_Stats!$F$15)/(Norm_Stats!$G$15-Norm_Stats!$F$15)))))*0.7)+IF((IF(OR(City_Inputs!$AL27="",Norm_Stats!$F$16="",Norm_Stats!$G$16="",Norm_Stats!$G$16=Norm_Stats!$F$16),"",MAX(0,MIN(100,100*(Norm_Stats!$G$16-MIN(MAX(City_Inputs!$AL27,Norm_Stats!$F$16),Norm_Stats!$G$16))/(Norm_Stats!$G$16-Norm_Stats!$F$16)))))="",0,(IF(OR(City_Inputs!$AL27="",Norm_Stats!$F$16="",Norm_Stats!$G$16="",Norm_Stats!$G$16=Norm_Stats!$F$16),"",MAX(0,MIN(100,100*(Norm_Stats!$G$16-MIN(MAX(City_Inputs!$AL27,Norm_Stats!$F$16),Norm_Stats!$G$16))/(Norm_Stats!$G$16-Norm_Stats!$F$16)))))*0.3))/(IF((IF(OR(City_Inputs!$AA27="",Norm_Stats!$F$15="",Norm_Stats!$G$15="",Norm_Stats!$G$15=Norm_Stats!$F$15),"",MAX(0,MIN(100,100*(MIN(MAX(City_Inputs!$AA27,Norm_Stats!$F$15),Norm_Stats!$G$15)-Norm_Stats!$F$15)/(Norm_Stats!$G$15-Norm_Stats!$F$15)))))="",0,0.7)+IF((IF(OR(City_Inputs!$AL27="",Norm_Stats!$F$16="",Norm_Stats!$G$16="",Norm_Stats!$G$16=Norm_Stats!$F$16),"",MAX(0,MIN(100,100*(Norm_Stats!$G$16-MIN(MAX(City_Inputs!$AL27,Norm_Stats!$F$16),Norm_Stats!$G$16))/(Norm_Stats!$G$16-Norm_Stats!$F$16)))))="",0,0.3)))</f>
        <v/>
      </c>
      <c r="AL27" s="14">
        <f>IF((IF((IF(OR(City_Inputs!$AA27="",Norm_Stats!$F$15="",Norm_Stats!$G$15="",Norm_Stats!$G$15=Norm_Stats!$F$15),"",MAX(0,MIN(100,100*(MIN(MAX(City_Inputs!$AA27,Norm_Stats!$F$15),Norm_Stats!$G$15)-Norm_Stats!$F$15)/(Norm_Stats!$G$15-Norm_Stats!$F$15)))))="",0,0.7)+IF((IF(OR(City_Inputs!$AL27="",Norm_Stats!$F$16="",Norm_Stats!$G$16="",Norm_Stats!$G$16=Norm_Stats!$F$16),"",MAX(0,MIN(100,100*(Norm_Stats!$G$16-MIN(MAX(City_Inputs!$AL27,Norm_Stats!$F$16),Norm_Stats!$G$16))/(Norm_Stats!$G$16-Norm_Stats!$F$16)))))="",0,0.3))=0,"",(IF((IF(OR(City_Inputs!$AA27="",Norm_Stats!$F$15="",Norm_Stats!$G$15="",Norm_Stats!$G$15=Norm_Stats!$F$15),"",MAX(0,MIN(100,100*(MIN(MAX(City_Inputs!$AA27,Norm_Stats!$F$15),Norm_Stats!$G$15)-Norm_Stats!$F$15)/(Norm_Stats!$G$15-Norm_Stats!$F$15)))))="",0,0.7)+IF((IF(OR(City_Inputs!$AL27="",Norm_Stats!$F$16="",Norm_Stats!$G$16="",Norm_Stats!$G$16=Norm_Stats!$F$16),"",MAX(0,MIN(100,100*(Norm_Stats!$G$16-MIN(MAX(City_Inputs!$AL27,Norm_Stats!$F$16),Norm_Stats!$G$16))/(Norm_Stats!$G$16-Norm_Stats!$F$16)))))="",0,0.3)))</f>
        <v/>
      </c>
      <c r="AM27" s="15">
        <f>IF((IF(AG27="",0,8)+IF(AI27="",0,6)+IF(AK27="",0,4))=0,"",(IF(AG27="",0,AG27*8)+IF(AI27="",0,AI27*6)+IF(AK27="",0,AK27*4))/(IF(AG27="",0,8)+IF(AI27="",0,6)+IF(AK27="",0,4)))</f>
        <v/>
      </c>
      <c r="AN27" s="14">
        <f>IF((IF(AH27="",0,8)+IF(AJ27="",0,6)+IF(AL27="",0,4))=0,"",(IF(AH27="",0,AH27*8)+IF(AJ27="",0,AJ27*6)+IF(AL27="",0,AL27*4))/18)</f>
        <v/>
      </c>
      <c r="AO27" s="11">
        <f>IF(OR(City_Inputs!$AB27="",Norm_Stats!$F$17="",Norm_Stats!$G$17="",Norm_Stats!$G$17=Norm_Stats!$F$17),"",MAX(0,MIN(100,100*(MIN(MAX(City_Inputs!$AB27,Norm_Stats!$F$17),Norm_Stats!$G$17)-Norm_Stats!$F$17)/(Norm_Stats!$G$17-Norm_Stats!$F$17))))</f>
        <v/>
      </c>
      <c r="AP27" s="14">
        <f>IF(AO27="","",1)</f>
        <v/>
      </c>
      <c r="AQ27" s="11">
        <f>IF(OR(City_Inputs!$AC27="",Norm_Stats!$F$18="",Norm_Stats!$G$18="",Norm_Stats!$G$18=Norm_Stats!$F$18),"",MAX(0,MIN(100,100*(MIN(MAX(City_Inputs!$AC27,Norm_Stats!$F$18),Norm_Stats!$G$18)-Norm_Stats!$F$18)/(Norm_Stats!$G$18-Norm_Stats!$F$18))))</f>
        <v/>
      </c>
      <c r="AR27" s="14">
        <f>IF(AQ27="","",1)</f>
        <v/>
      </c>
      <c r="AS27" s="11">
        <f>IF(OR(City_Inputs!$AD27="",Norm_Stats!$F$19="",Norm_Stats!$G$19="",Norm_Stats!$G$19=Norm_Stats!$F$19),"",MAX(0,MIN(100,100*(MIN(MAX(City_Inputs!$AD27,Norm_Stats!$F$19),Norm_Stats!$G$19)-Norm_Stats!$F$19)/(Norm_Stats!$G$19-Norm_Stats!$F$19))))</f>
        <v/>
      </c>
      <c r="AT27" s="14">
        <f>IF(AS27="","",1)</f>
        <v/>
      </c>
      <c r="AU27" s="11">
        <f>IF(OR(City_Inputs!$BJ27="",Norm_Stats!$F$26="",Norm_Stats!$G$26="",Norm_Stats!$G$26=Norm_Stats!$F$26),"",MAX(0,MIN(100,100*(MIN(MAX(City_Inputs!$BJ27,Norm_Stats!$F$26),Norm_Stats!$G$26)-Norm_Stats!$F$26)/(Norm_Stats!$G$26-Norm_Stats!$F$26))))</f>
        <v/>
      </c>
      <c r="AV27" s="11">
        <f>IF(AU27="","",1)</f>
        <v/>
      </c>
      <c r="AW27" s="15">
        <f>IF((IF(AO27="",0,5)+IF(AQ27="",0,5)+IF(AS27="",0,5)+IF(AU27="",0,4))=0,"",(IF(AO27="",0,AO27*5)+IF(AQ27="",0,AQ27*5)+IF(AS27="",0,AS27*5)+IF(AU27="",0,AU27*4))/(IF(AO27="",0,5)+IF(AQ27="",0,5)+IF(AS27="",0,5)+IF(AU27="",0,4)))</f>
        <v/>
      </c>
      <c r="AX27" s="14">
        <f>IF((IF(AP27="",0,5)+IF(AR27="",0,5)+IF(AT27="",0,5)+IF(AV27="",0,4))=0,"",(IF(AP27="",0,AP27*5)+IF(AR27="",0,AR27*5)+IF(AT27="",0,AT27*5)+IF(AV27="",0,AV27*4))/19)</f>
        <v/>
      </c>
      <c r="AY27" s="11">
        <f>IF(OR(City_Inputs!$AE27="",Norm_Stats!$F$20="",Norm_Stats!$G$20="",Norm_Stats!$G$20=Norm_Stats!$F$20),"",MAX(0,MIN(100,100*(MIN(MAX(City_Inputs!$AE27,Norm_Stats!$F$20),Norm_Stats!$G$20)-Norm_Stats!$F$20)/(Norm_Stats!$G$20-Norm_Stats!$F$20))))</f>
        <v/>
      </c>
      <c r="AZ27" s="14">
        <f>IF(AY27="","",1)</f>
        <v/>
      </c>
      <c r="BA27" s="11">
        <f>IF(OR(City_Inputs!$AF27="",Norm_Stats!$F$21="",Norm_Stats!$G$21="",Norm_Stats!$G$21=Norm_Stats!$F$21),"",MAX(0,MIN(100,100*(MIN(MAX(City_Inputs!$AF27,Norm_Stats!$F$21),Norm_Stats!$G$21)-Norm_Stats!$F$21)/(Norm_Stats!$G$21-Norm_Stats!$F$21))))</f>
        <v/>
      </c>
      <c r="BB27" s="14">
        <f>IF(BA27="","",1)</f>
        <v/>
      </c>
      <c r="BC27" s="11">
        <f>IF((IF((IF(OR(City_Inputs!$AG27="",Norm_Stats!$F$22="",Norm_Stats!$G$22="",Norm_Stats!$G$22=Norm_Stats!$F$22),"",MAX(0,MIN(100,100*(MIN(MAX(City_Inputs!$AG27,Norm_Stats!$F$22),Norm_Stats!$G$22)-Norm_Stats!$F$22)/(Norm_Stats!$G$22-Norm_Stats!$F$22)))))="",0,0.5)+IF((IF(OR(City_Inputs!$AJ27="",Norm_Stats!$F$23="",Norm_Stats!$G$23="",Norm_Stats!$G$23=Norm_Stats!$F$23),"",MAX(0,MIN(100,100*(MIN(MAX(City_Inputs!$AJ27,Norm_Stats!$F$23),Norm_Stats!$G$23)-Norm_Stats!$F$23)/(Norm_Stats!$G$23-Norm_Stats!$F$23)))))="",0,0.3)+IF((IF(OR(City_Inputs!$AK27="",Norm_Stats!$F$24="",Norm_Stats!$G$24="",Norm_Stats!$G$24=Norm_Stats!$F$24),"",MAX(0,MIN(100,100*(MIN(MAX(City_Inputs!$AK27,Norm_Stats!$F$24),Norm_Stats!$G$24)-Norm_Stats!$F$24)/(Norm_Stats!$G$24-Norm_Stats!$F$24)))))="",0,0.2))=0,"",(IF((IF(OR(City_Inputs!$AG27="",Norm_Stats!$F$22="",Norm_Stats!$G$22="",Norm_Stats!$G$22=Norm_Stats!$F$22),"",MAX(0,MIN(100,100*(MIN(MAX(City_Inputs!$AG27,Norm_Stats!$F$22),Norm_Stats!$G$22)-Norm_Stats!$F$22)/(Norm_Stats!$G$22-Norm_Stats!$F$22)))))="",0,(IF(OR(City_Inputs!$AG27="",Norm_Stats!$F$22="",Norm_Stats!$G$22="",Norm_Stats!$G$22=Norm_Stats!$F$22),"",MAX(0,MIN(100,100*(MIN(MAX(City_Inputs!$AG27,Norm_Stats!$F$22),Norm_Stats!$G$22)-Norm_Stats!$F$22)/(Norm_Stats!$G$22-Norm_Stats!$F$22)))))*0.5)+IF((IF(OR(City_Inputs!$AJ27="",Norm_Stats!$F$23="",Norm_Stats!$G$23="",Norm_Stats!$G$23=Norm_Stats!$F$23),"",MAX(0,MIN(100,100*(MIN(MAX(City_Inputs!$AJ27,Norm_Stats!$F$23),Norm_Stats!$G$23)-Norm_Stats!$F$23)/(Norm_Stats!$G$23-Norm_Stats!$F$23)))))="",0,(IF(OR(City_Inputs!$AJ27="",Norm_Stats!$F$23="",Norm_Stats!$G$23="",Norm_Stats!$G$23=Norm_Stats!$F$23),"",MAX(0,MIN(100,100*(MIN(MAX(City_Inputs!$AJ27,Norm_Stats!$F$23),Norm_Stats!$G$23)-Norm_Stats!$F$23)/(Norm_Stats!$G$23-Norm_Stats!$F$23)))))*0.3)+IF((IF(OR(City_Inputs!$AK27="",Norm_Stats!$F$24="",Norm_Stats!$G$24="",Norm_Stats!$G$24=Norm_Stats!$F$24),"",MAX(0,MIN(100,100*(MIN(MAX(City_Inputs!$AK27,Norm_Stats!$F$24),Norm_Stats!$G$24)-Norm_Stats!$F$24)/(Norm_Stats!$G$24-Norm_Stats!$F$24)))))="",0,(IF(OR(City_Inputs!$AK27="",Norm_Stats!$F$24="",Norm_Stats!$G$24="",Norm_Stats!$G$24=Norm_Stats!$F$24),"",MAX(0,MIN(100,100*(MIN(MAX(City_Inputs!$AK27,Norm_Stats!$F$24),Norm_Stats!$G$24)-Norm_Stats!$F$24)/(Norm_Stats!$G$24-Norm_Stats!$F$24)))))*0.2))/(IF((IF(OR(City_Inputs!$AG27="",Norm_Stats!$F$22="",Norm_Stats!$G$22="",Norm_Stats!$G$22=Norm_Stats!$F$22),"",MAX(0,MIN(100,100*(MIN(MAX(City_Inputs!$AG27,Norm_Stats!$F$22),Norm_Stats!$G$22)-Norm_Stats!$F$22)/(Norm_Stats!$G$22-Norm_Stats!$F$22)))))="",0,0.5)+IF((IF(OR(City_Inputs!$AJ27="",Norm_Stats!$F$23="",Norm_Stats!$G$23="",Norm_Stats!$G$23=Norm_Stats!$F$23),"",MAX(0,MIN(100,100*(MIN(MAX(City_Inputs!$AJ27,Norm_Stats!$F$23),Norm_Stats!$G$23)-Norm_Stats!$F$23)/(Norm_Stats!$G$23-Norm_Stats!$F$23)))))="",0,0.3)+IF((IF(OR(City_Inputs!$AK27="",Norm_Stats!$F$24="",Norm_Stats!$G$24="",Norm_Stats!$G$24=Norm_Stats!$F$24),"",MAX(0,MIN(100,100*(MIN(MAX(City_Inputs!$AK27,Norm_Stats!$F$24),Norm_Stats!$G$24)-Norm_Stats!$F$24)/(Norm_Stats!$G$24-Norm_Stats!$F$24)))))="",0,0.2)))</f>
        <v/>
      </c>
      <c r="BD27" s="14">
        <f>IF((IF((IF(OR(City_Inputs!$AG27="",Norm_Stats!$F$22="",Norm_Stats!$G$22="",Norm_Stats!$G$22=Norm_Stats!$F$22),"",MAX(0,MIN(100,100*(MIN(MAX(City_Inputs!$AG27,Norm_Stats!$F$22),Norm_Stats!$G$22)-Norm_Stats!$F$22)/(Norm_Stats!$G$22-Norm_Stats!$F$22)))))="",0,0.5)+IF((IF(OR(City_Inputs!$AJ27="",Norm_Stats!$F$23="",Norm_Stats!$G$23="",Norm_Stats!$G$23=Norm_Stats!$F$23),"",MAX(0,MIN(100,100*(MIN(MAX(City_Inputs!$AJ27,Norm_Stats!$F$23),Norm_Stats!$G$23)-Norm_Stats!$F$23)/(Norm_Stats!$G$23-Norm_Stats!$F$23)))))="",0,0.3)+IF((IF(OR(City_Inputs!$AK27="",Norm_Stats!$F$24="",Norm_Stats!$G$24="",Norm_Stats!$G$24=Norm_Stats!$F$24),"",MAX(0,MIN(100,100*(MIN(MAX(City_Inputs!$AK27,Norm_Stats!$F$24),Norm_Stats!$G$24)-Norm_Stats!$F$24)/(Norm_Stats!$G$24-Norm_Stats!$F$24)))))="",0,0.2))=0,"",(IF((IF(OR(City_Inputs!$AG27="",Norm_Stats!$F$22="",Norm_Stats!$G$22="",Norm_Stats!$G$22=Norm_Stats!$F$22),"",MAX(0,MIN(100,100*(MIN(MAX(City_Inputs!$AG27,Norm_Stats!$F$22),Norm_Stats!$G$22)-Norm_Stats!$F$22)/(Norm_Stats!$G$22-Norm_Stats!$F$22)))))="",0,0.5)+IF((IF(OR(City_Inputs!$AJ27="",Norm_Stats!$F$23="",Norm_Stats!$G$23="",Norm_Stats!$G$23=Norm_Stats!$F$23),"",MAX(0,MIN(100,100*(MIN(MAX(City_Inputs!$AJ27,Norm_Stats!$F$23),Norm_Stats!$G$23)-Norm_Stats!$F$23)/(Norm_Stats!$G$23-Norm_Stats!$F$23)))))="",0,0.3)+IF((IF(OR(City_Inputs!$AK27="",Norm_Stats!$F$24="",Norm_Stats!$G$24="",Norm_Stats!$G$24=Norm_Stats!$F$24),"",MAX(0,MIN(100,100*(MIN(MAX(City_Inputs!$AK27,Norm_Stats!$F$24),Norm_Stats!$G$24)-Norm_Stats!$F$24)/(Norm_Stats!$G$24-Norm_Stats!$F$24)))))="",0,0.2)))</f>
        <v/>
      </c>
      <c r="BE27" s="11">
        <f>IF(OR(City_Inputs!$AH27="",Norm_Stats!$F$25="",Norm_Stats!$G$25="",Norm_Stats!$G$25=Norm_Stats!$F$25),"",MAX(0,MIN(100,100*(Norm_Stats!$G$25-MIN(MAX(City_Inputs!$AH27,Norm_Stats!$F$25),Norm_Stats!$G$25))/(Norm_Stats!$G$25-Norm_Stats!$F$25))))</f>
        <v/>
      </c>
      <c r="BF27" s="14">
        <f>IF(BE27="","",1)</f>
        <v/>
      </c>
      <c r="BG27" s="15">
        <f>IF((IF(AY27="",0,6)+IF(BA27="",0,5)+IF(BC27="",0,5)+IF(BE27="",0,4))=0,"",(IF(AY27="",0,AY27*6)+IF(BA27="",0,BA27*5)+IF(BC27="",0,BC27*5)+IF(BE27="",0,BE27*4))/(IF(AY27="",0,6)+IF(BA27="",0,5)+IF(BC27="",0,5)+IF(BE27="",0,4)))</f>
        <v/>
      </c>
      <c r="BH27" s="14">
        <f>IF((IF(AZ27="",0,6)+IF(BB27="",0,5)+IF(BD27="",0,5)+IF(BF27="",0,4))=0,"",(IF(AZ27="",0,AZ27*6)+IF(BB27="",0,BB27*5)+IF(BD27="",0,BD27*5)+IF(BF27="",0,BF27*4))/20)</f>
        <v/>
      </c>
      <c r="BI27" s="14">
        <f>IF(AND(R27="",AF27="",AN27="",AX27="",BH27=""),"",((R27*25)+(AF27*22)+(AN27*18)+(AX27*15)+(BH27*20))/100)</f>
        <v/>
      </c>
      <c r="BJ27" s="11">
        <f>IF(BI27="","",IF(BI27&gt;=0.75,"A",IF(BI27&gt;=0.5,"B",IF(BI27&gt;=0.35,"C","Watchlist"))))</f>
        <v/>
      </c>
      <c r="BK27" s="11">
        <f>IF(OR(BI27="",BI27&lt;0.5,R27="",R27&lt;0.35,AF27="",AF27&lt;0.35,AN27="",AN27&lt;0.35,AX27="",AX27&lt;0.35,BH27="",BH27&lt;0.35),"Watchlist","Ranked")</f>
        <v/>
      </c>
      <c r="BL27" s="15">
        <f>IF(AND(Q27="",AE27="",AM27="",AW27="",BG27=""),"",(IF(Q27="",0,Q27*25)+IF(AE27="",0,AE27*22)+IF(AM27="",0,AM27*18)+IF(AW27="",0,AW27*15)+IF(BG27="",0,BG27*20))/(IF(Q27="",0,25)+IF(AE27="",0,22)+IF(AM27="",0,18)+IF(AW27="",0,15)+IF(BG27="",0,20)))</f>
        <v/>
      </c>
      <c r="BM27" s="11">
        <f>IF(BK27="Ranked",1+COUNTIFS($BK$2:$BK$158,"Ranked",$BL$2:$BL$158,"&gt;"&amp;BL27),"")</f>
        <v/>
      </c>
      <c r="BN27" s="11">
        <f>City_Inputs!$AI27</f>
        <v/>
      </c>
    </row>
    <row r="28">
      <c r="A28" t="inlineStr">
        <is>
          <t>in-bengaluru</t>
        </is>
      </c>
      <c r="B28" t="inlineStr">
        <is>
          <t>Bengaluru</t>
        </is>
      </c>
      <c r="C28" t="inlineStr">
        <is>
          <t>India</t>
        </is>
      </c>
      <c r="D28" t="inlineStr">
        <is>
          <t>South Asia</t>
        </is>
      </c>
      <c r="E28" t="inlineStr">
        <is>
          <t>locked</t>
        </is>
      </c>
      <c r="F28" t="inlineStr">
        <is>
          <t>primary</t>
        </is>
      </c>
      <c r="G28" s="11">
        <f>IF(OR(City_Inputs!$M28="",Norm_Stats!$F$2="",Norm_Stats!$G$2="",Norm_Stats!$G$2=Norm_Stats!$F$2),"",MAX(0,MIN(100,100*(MIN(MAX(City_Inputs!$M28,Norm_Stats!$F$2),Norm_Stats!$G$2)-Norm_Stats!$F$2)/(Norm_Stats!$G$2-Norm_Stats!$F$2))))</f>
        <v/>
      </c>
      <c r="H28" s="14">
        <f>IF(G28="","",1)</f>
        <v/>
      </c>
      <c r="I28" s="11">
        <f>IF(OR(City_Inputs!$N28="",Norm_Stats!$F$3="",Norm_Stats!$G$3="",Norm_Stats!$G$3=Norm_Stats!$F$3),"",MAX(0,MIN(100,100*(Norm_Stats!$G$3-MIN(MAX(City_Inputs!$N28,Norm_Stats!$F$3),Norm_Stats!$G$3))/(Norm_Stats!$G$3-Norm_Stats!$F$3))))</f>
        <v/>
      </c>
      <c r="J28" s="14">
        <f>IF(I28="","",1)</f>
        <v/>
      </c>
      <c r="K28" s="11">
        <f>IF(OR(City_Inputs!$P28="",Norm_Stats!$F$4="",Norm_Stats!$G$4="",Norm_Stats!$G$4=Norm_Stats!$F$4),"",MAX(0,MIN(100,100*(Norm_Stats!$G$4-MIN(MAX(City_Inputs!$P28,Norm_Stats!$F$4),Norm_Stats!$G$4))/(Norm_Stats!$G$4-Norm_Stats!$F$4))))</f>
        <v/>
      </c>
      <c r="L28" s="14">
        <f>IF(K28="","",1)</f>
        <v/>
      </c>
      <c r="M28" s="11">
        <f>IF(OR(City_Inputs!$Q28="",Norm_Stats!$F$5="",Norm_Stats!$G$5="",Norm_Stats!$G$5=Norm_Stats!$F$5),"",MAX(0,MIN(100,100*(Norm_Stats!$G$5-MIN(MAX(City_Inputs!$Q28,Norm_Stats!$F$5),Norm_Stats!$G$5))/(Norm_Stats!$G$5-Norm_Stats!$F$5))))</f>
        <v/>
      </c>
      <c r="N28" s="14">
        <f>IF(M28="","",1)</f>
        <v/>
      </c>
      <c r="O28" s="11">
        <f>IF(OR(City_Inputs!$R28="",Norm_Stats!$F$6="",Norm_Stats!$G$6="",Norm_Stats!$G$6=Norm_Stats!$F$6),"",MAX(0,MIN(100,100*(Norm_Stats!$G$6-MIN(MAX(City_Inputs!$R28,Norm_Stats!$F$6),Norm_Stats!$G$6))/(Norm_Stats!$G$6-Norm_Stats!$F$6))))</f>
        <v/>
      </c>
      <c r="P28" s="14">
        <f>IF(O28="","",1)</f>
        <v/>
      </c>
      <c r="Q28" s="15">
        <f>IF((IF(G28="",0,9)+IF(I28="",0,5)+IF(K28="",0,4)+IF(M28="",0,4)+IF(O28="",0,5))=0,"",(IF(G28="",0,G28*9)+IF(I28="",0,I28*5)+IF(K28="",0,K28*4)+IF(M28="",0,M28*4)+IF(O28="",0,O28*5))/(IF(G28="",0,9)+IF(I28="",0,5)+IF(K28="",0,4)+IF(M28="",0,4)+IF(O28="",0,5)))</f>
        <v/>
      </c>
      <c r="R28" s="14">
        <f>IF((IF(H28="",0,9)+IF(J28="",0,5)+IF(L28="",0,4)+IF(N28="",0,4)+IF(P28="",0,5))=0,"",(IF(H28="",0,H28*9)+IF(J28="",0,J28*5)+IF(L28="",0,L28*4)+IF(N28="",0,N28*4)+IF(P28="",0,P28*5))/27)</f>
        <v/>
      </c>
      <c r="S28" s="11">
        <f>IF(OR(City_Inputs!$S28="",Norm_Stats!$F$7="",Norm_Stats!$G$7="",Norm_Stats!$G$7=Norm_Stats!$F$7),"",MAX(0,MIN(100,100*(Norm_Stats!$G$7-MIN(MAX(City_Inputs!$S28,Norm_Stats!$F$7),Norm_Stats!$G$7))/(Norm_Stats!$G$7-Norm_Stats!$F$7))))</f>
        <v/>
      </c>
      <c r="T28" s="14">
        <f>IF(S28="","",1)</f>
        <v/>
      </c>
      <c r="U28" s="11">
        <f>IF(OR(City_Inputs!$T28="",Norm_Stats!$F$8="",Norm_Stats!$G$8="",Norm_Stats!$G$8=Norm_Stats!$F$8),"",MAX(0,MIN(100,100*(MIN(MAX(City_Inputs!$T28,Norm_Stats!$F$8),Norm_Stats!$G$8)-Norm_Stats!$F$8)/(Norm_Stats!$G$8-Norm_Stats!$F$8))))</f>
        <v/>
      </c>
      <c r="V28" s="14">
        <f>IF(U28="","",1)</f>
        <v/>
      </c>
      <c r="W28" s="11">
        <f>IF(OR(City_Inputs!$U28="",Norm_Stats!$F$9="",Norm_Stats!$G$9="",Norm_Stats!$G$9=Norm_Stats!$F$9),"",MAX(0,MIN(100,100*(Norm_Stats!$G$9-MIN(MAX(City_Inputs!$U28,Norm_Stats!$F$9),Norm_Stats!$G$9))/(Norm_Stats!$G$9-Norm_Stats!$F$9))))</f>
        <v/>
      </c>
      <c r="X28" s="14">
        <f>IF(W28="","",1)</f>
        <v/>
      </c>
      <c r="Y28" s="11">
        <f>IF(OR(City_Inputs!$V28="",Norm_Stats!$F$10="",Norm_Stats!$G$10="",Norm_Stats!$G$10=Norm_Stats!$F$10),"",MAX(0,MIN(100,100*(MIN(MAX(City_Inputs!$V28,Norm_Stats!$F$10),Norm_Stats!$G$10)-Norm_Stats!$F$10)/(Norm_Stats!$G$10-Norm_Stats!$F$10))))</f>
        <v/>
      </c>
      <c r="Z28" s="14">
        <f>IF(Y28="","",1)</f>
        <v/>
      </c>
      <c r="AA28" s="11">
        <f>IF(OR(City_Inputs!$W28="",Norm_Stats!$F$11="",Norm_Stats!$G$11="",Norm_Stats!$G$11=Norm_Stats!$F$11),"",MAX(0,MIN(100,100*(MIN(MAX(City_Inputs!$W28,Norm_Stats!$F$11),Norm_Stats!$G$11)-Norm_Stats!$F$11)/(Norm_Stats!$G$11-Norm_Stats!$F$11))))</f>
        <v/>
      </c>
      <c r="AB28" s="14">
        <f>IF(AA28="","",1)</f>
        <v/>
      </c>
      <c r="AC28" s="11">
        <f>IF(OR(City_Inputs!$X28="",Norm_Stats!$F$12="",Norm_Stats!$G$12="",Norm_Stats!$G$12=Norm_Stats!$F$12),"",MAX(0,MIN(100,100*(MIN(MAX(City_Inputs!$X28,Norm_Stats!$F$12),Norm_Stats!$G$12)-Norm_Stats!$F$12)/(Norm_Stats!$G$12-Norm_Stats!$F$12))))</f>
        <v/>
      </c>
      <c r="AD28" s="11">
        <f>IF(AC28="","",1)</f>
        <v/>
      </c>
      <c r="AE28" s="15">
        <f>IF((IF(S28="",0,5)+IF(U28="",0,5)+IF(W28="",0,4)+IF(Y28="",0,4)+IF(AA28="",0,4)+IF(AC28="",0,5))=0,"",(IF(S28="",0,S28*5)+IF(U28="",0,U28*5)+IF(W28="",0,W28*4)+IF(Y28="",0,Y28*4)+IF(AA28="",0,AA28*4)+IF(AC28="",0,AC28*5))/(IF(S28="",0,5)+IF(U28="",0,5)+IF(W28="",0,4)+IF(Y28="",0,4)+IF(AA28="",0,4)+IF(AC28="",0,5)))</f>
        <v/>
      </c>
      <c r="AF28" s="14">
        <f>IF((IF(T28="",0,5)+IF(V28="",0,5)+IF(X28="",0,4)+IF(Z28="",0,4)+IF(AB28="",0,4)+IF(AD28="",0,5))=0,"",(IF(T28="",0,T28*5)+IF(V28="",0,V28*5)+IF(X28="",0,X28*4)+IF(Z28="",0,Z28*4)+IF(AB28="",0,AB28*4)+IF(AD28="",0,AD28*5))/27)</f>
        <v/>
      </c>
      <c r="AG28" s="11">
        <f>IF(OR(City_Inputs!$Y28="",Norm_Stats!$F$13="",Norm_Stats!$G$13="",Norm_Stats!$G$13=Norm_Stats!$F$13),"",MAX(0,MIN(100,100*(MIN(MAX(City_Inputs!$Y28,Norm_Stats!$F$13),Norm_Stats!$G$13)-Norm_Stats!$F$13)/(Norm_Stats!$G$13-Norm_Stats!$F$13))))</f>
        <v/>
      </c>
      <c r="AH28" s="14">
        <f>IF(AG28="","",1)</f>
        <v/>
      </c>
      <c r="AI28" s="11">
        <f>IF(OR(City_Inputs!$Z28="",Norm_Stats!$F$14="",Norm_Stats!$G$14="",Norm_Stats!$G$14=Norm_Stats!$F$14),"",MAX(0,MIN(100,100*(MIN(MAX(City_Inputs!$Z28,Norm_Stats!$F$14),Norm_Stats!$G$14)-Norm_Stats!$F$14)/(Norm_Stats!$G$14-Norm_Stats!$F$14))))</f>
        <v/>
      </c>
      <c r="AJ28" s="14">
        <f>IF(AI28="","",1)</f>
        <v/>
      </c>
      <c r="AK28" s="11">
        <f>IF((IF((IF(OR(City_Inputs!$AA28="",Norm_Stats!$F$15="",Norm_Stats!$G$15="",Norm_Stats!$G$15=Norm_Stats!$F$15),"",MAX(0,MIN(100,100*(MIN(MAX(City_Inputs!$AA28,Norm_Stats!$F$15),Norm_Stats!$G$15)-Norm_Stats!$F$15)/(Norm_Stats!$G$15-Norm_Stats!$F$15)))))="",0,0.7)+IF((IF(OR(City_Inputs!$AL28="",Norm_Stats!$F$16="",Norm_Stats!$G$16="",Norm_Stats!$G$16=Norm_Stats!$F$16),"",MAX(0,MIN(100,100*(Norm_Stats!$G$16-MIN(MAX(City_Inputs!$AL28,Norm_Stats!$F$16),Norm_Stats!$G$16))/(Norm_Stats!$G$16-Norm_Stats!$F$16)))))="",0,0.3))=0,"",(IF((IF(OR(City_Inputs!$AA28="",Norm_Stats!$F$15="",Norm_Stats!$G$15="",Norm_Stats!$G$15=Norm_Stats!$F$15),"",MAX(0,MIN(100,100*(MIN(MAX(City_Inputs!$AA28,Norm_Stats!$F$15),Norm_Stats!$G$15)-Norm_Stats!$F$15)/(Norm_Stats!$G$15-Norm_Stats!$F$15)))))="",0,(IF(OR(City_Inputs!$AA28="",Norm_Stats!$F$15="",Norm_Stats!$G$15="",Norm_Stats!$G$15=Norm_Stats!$F$15),"",MAX(0,MIN(100,100*(MIN(MAX(City_Inputs!$AA28,Norm_Stats!$F$15),Norm_Stats!$G$15)-Norm_Stats!$F$15)/(Norm_Stats!$G$15-Norm_Stats!$F$15)))))*0.7)+IF((IF(OR(City_Inputs!$AL28="",Norm_Stats!$F$16="",Norm_Stats!$G$16="",Norm_Stats!$G$16=Norm_Stats!$F$16),"",MAX(0,MIN(100,100*(Norm_Stats!$G$16-MIN(MAX(City_Inputs!$AL28,Norm_Stats!$F$16),Norm_Stats!$G$16))/(Norm_Stats!$G$16-Norm_Stats!$F$16)))))="",0,(IF(OR(City_Inputs!$AL28="",Norm_Stats!$F$16="",Norm_Stats!$G$16="",Norm_Stats!$G$16=Norm_Stats!$F$16),"",MAX(0,MIN(100,100*(Norm_Stats!$G$16-MIN(MAX(City_Inputs!$AL28,Norm_Stats!$F$16),Norm_Stats!$G$16))/(Norm_Stats!$G$16-Norm_Stats!$F$16)))))*0.3))/(IF((IF(OR(City_Inputs!$AA28="",Norm_Stats!$F$15="",Norm_Stats!$G$15="",Norm_Stats!$G$15=Norm_Stats!$F$15),"",MAX(0,MIN(100,100*(MIN(MAX(City_Inputs!$AA28,Norm_Stats!$F$15),Norm_Stats!$G$15)-Norm_Stats!$F$15)/(Norm_Stats!$G$15-Norm_Stats!$F$15)))))="",0,0.7)+IF((IF(OR(City_Inputs!$AL28="",Norm_Stats!$F$16="",Norm_Stats!$G$16="",Norm_Stats!$G$16=Norm_Stats!$F$16),"",MAX(0,MIN(100,100*(Norm_Stats!$G$16-MIN(MAX(City_Inputs!$AL28,Norm_Stats!$F$16),Norm_Stats!$G$16))/(Norm_Stats!$G$16-Norm_Stats!$F$16)))))="",0,0.3)))</f>
        <v/>
      </c>
      <c r="AL28" s="14">
        <f>IF((IF((IF(OR(City_Inputs!$AA28="",Norm_Stats!$F$15="",Norm_Stats!$G$15="",Norm_Stats!$G$15=Norm_Stats!$F$15),"",MAX(0,MIN(100,100*(MIN(MAX(City_Inputs!$AA28,Norm_Stats!$F$15),Norm_Stats!$G$15)-Norm_Stats!$F$15)/(Norm_Stats!$G$15-Norm_Stats!$F$15)))))="",0,0.7)+IF((IF(OR(City_Inputs!$AL28="",Norm_Stats!$F$16="",Norm_Stats!$G$16="",Norm_Stats!$G$16=Norm_Stats!$F$16),"",MAX(0,MIN(100,100*(Norm_Stats!$G$16-MIN(MAX(City_Inputs!$AL28,Norm_Stats!$F$16),Norm_Stats!$G$16))/(Norm_Stats!$G$16-Norm_Stats!$F$16)))))="",0,0.3))=0,"",(IF((IF(OR(City_Inputs!$AA28="",Norm_Stats!$F$15="",Norm_Stats!$G$15="",Norm_Stats!$G$15=Norm_Stats!$F$15),"",MAX(0,MIN(100,100*(MIN(MAX(City_Inputs!$AA28,Norm_Stats!$F$15),Norm_Stats!$G$15)-Norm_Stats!$F$15)/(Norm_Stats!$G$15-Norm_Stats!$F$15)))))="",0,0.7)+IF((IF(OR(City_Inputs!$AL28="",Norm_Stats!$F$16="",Norm_Stats!$G$16="",Norm_Stats!$G$16=Norm_Stats!$F$16),"",MAX(0,MIN(100,100*(Norm_Stats!$G$16-MIN(MAX(City_Inputs!$AL28,Norm_Stats!$F$16),Norm_Stats!$G$16))/(Norm_Stats!$G$16-Norm_Stats!$F$16)))))="",0,0.3)))</f>
        <v/>
      </c>
      <c r="AM28" s="15">
        <f>IF((IF(AG28="",0,8)+IF(AI28="",0,6)+IF(AK28="",0,4))=0,"",(IF(AG28="",0,AG28*8)+IF(AI28="",0,AI28*6)+IF(AK28="",0,AK28*4))/(IF(AG28="",0,8)+IF(AI28="",0,6)+IF(AK28="",0,4)))</f>
        <v/>
      </c>
      <c r="AN28" s="14">
        <f>IF((IF(AH28="",0,8)+IF(AJ28="",0,6)+IF(AL28="",0,4))=0,"",(IF(AH28="",0,AH28*8)+IF(AJ28="",0,AJ28*6)+IF(AL28="",0,AL28*4))/18)</f>
        <v/>
      </c>
      <c r="AO28" s="11">
        <f>IF(OR(City_Inputs!$AB28="",Norm_Stats!$F$17="",Norm_Stats!$G$17="",Norm_Stats!$G$17=Norm_Stats!$F$17),"",MAX(0,MIN(100,100*(MIN(MAX(City_Inputs!$AB28,Norm_Stats!$F$17),Norm_Stats!$G$17)-Norm_Stats!$F$17)/(Norm_Stats!$G$17-Norm_Stats!$F$17))))</f>
        <v/>
      </c>
      <c r="AP28" s="14">
        <f>IF(AO28="","",1)</f>
        <v/>
      </c>
      <c r="AQ28" s="11">
        <f>IF(OR(City_Inputs!$AC28="",Norm_Stats!$F$18="",Norm_Stats!$G$18="",Norm_Stats!$G$18=Norm_Stats!$F$18),"",MAX(0,MIN(100,100*(MIN(MAX(City_Inputs!$AC28,Norm_Stats!$F$18),Norm_Stats!$G$18)-Norm_Stats!$F$18)/(Norm_Stats!$G$18-Norm_Stats!$F$18))))</f>
        <v/>
      </c>
      <c r="AR28" s="14">
        <f>IF(AQ28="","",1)</f>
        <v/>
      </c>
      <c r="AS28" s="11">
        <f>IF(OR(City_Inputs!$AD28="",Norm_Stats!$F$19="",Norm_Stats!$G$19="",Norm_Stats!$G$19=Norm_Stats!$F$19),"",MAX(0,MIN(100,100*(MIN(MAX(City_Inputs!$AD28,Norm_Stats!$F$19),Norm_Stats!$G$19)-Norm_Stats!$F$19)/(Norm_Stats!$G$19-Norm_Stats!$F$19))))</f>
        <v/>
      </c>
      <c r="AT28" s="14">
        <f>IF(AS28="","",1)</f>
        <v/>
      </c>
      <c r="AU28" s="11">
        <f>IF(OR(City_Inputs!$BJ28="",Norm_Stats!$F$26="",Norm_Stats!$G$26="",Norm_Stats!$G$26=Norm_Stats!$F$26),"",MAX(0,MIN(100,100*(MIN(MAX(City_Inputs!$BJ28,Norm_Stats!$F$26),Norm_Stats!$G$26)-Norm_Stats!$F$26)/(Norm_Stats!$G$26-Norm_Stats!$F$26))))</f>
        <v/>
      </c>
      <c r="AV28" s="11">
        <f>IF(AU28="","",1)</f>
        <v/>
      </c>
      <c r="AW28" s="15">
        <f>IF((IF(AO28="",0,5)+IF(AQ28="",0,5)+IF(AS28="",0,5)+IF(AU28="",0,4))=0,"",(IF(AO28="",0,AO28*5)+IF(AQ28="",0,AQ28*5)+IF(AS28="",0,AS28*5)+IF(AU28="",0,AU28*4))/(IF(AO28="",0,5)+IF(AQ28="",0,5)+IF(AS28="",0,5)+IF(AU28="",0,4)))</f>
        <v/>
      </c>
      <c r="AX28" s="14">
        <f>IF((IF(AP28="",0,5)+IF(AR28="",0,5)+IF(AT28="",0,5)+IF(AV28="",0,4))=0,"",(IF(AP28="",0,AP28*5)+IF(AR28="",0,AR28*5)+IF(AT28="",0,AT28*5)+IF(AV28="",0,AV28*4))/19)</f>
        <v/>
      </c>
      <c r="AY28" s="11">
        <f>IF(OR(City_Inputs!$AE28="",Norm_Stats!$F$20="",Norm_Stats!$G$20="",Norm_Stats!$G$20=Norm_Stats!$F$20),"",MAX(0,MIN(100,100*(MIN(MAX(City_Inputs!$AE28,Norm_Stats!$F$20),Norm_Stats!$G$20)-Norm_Stats!$F$20)/(Norm_Stats!$G$20-Norm_Stats!$F$20))))</f>
        <v/>
      </c>
      <c r="AZ28" s="14">
        <f>IF(AY28="","",1)</f>
        <v/>
      </c>
      <c r="BA28" s="11">
        <f>IF(OR(City_Inputs!$AF28="",Norm_Stats!$F$21="",Norm_Stats!$G$21="",Norm_Stats!$G$21=Norm_Stats!$F$21),"",MAX(0,MIN(100,100*(MIN(MAX(City_Inputs!$AF28,Norm_Stats!$F$21),Norm_Stats!$G$21)-Norm_Stats!$F$21)/(Norm_Stats!$G$21-Norm_Stats!$F$21))))</f>
        <v/>
      </c>
      <c r="BB28" s="14">
        <f>IF(BA28="","",1)</f>
        <v/>
      </c>
      <c r="BC28" s="11">
        <f>IF((IF((IF(OR(City_Inputs!$AG28="",Norm_Stats!$F$22="",Norm_Stats!$G$22="",Norm_Stats!$G$22=Norm_Stats!$F$22),"",MAX(0,MIN(100,100*(MIN(MAX(City_Inputs!$AG28,Norm_Stats!$F$22),Norm_Stats!$G$22)-Norm_Stats!$F$22)/(Norm_Stats!$G$22-Norm_Stats!$F$22)))))="",0,0.5)+IF((IF(OR(City_Inputs!$AJ28="",Norm_Stats!$F$23="",Norm_Stats!$G$23="",Norm_Stats!$G$23=Norm_Stats!$F$23),"",MAX(0,MIN(100,100*(MIN(MAX(City_Inputs!$AJ28,Norm_Stats!$F$23),Norm_Stats!$G$23)-Norm_Stats!$F$23)/(Norm_Stats!$G$23-Norm_Stats!$F$23)))))="",0,0.3)+IF((IF(OR(City_Inputs!$AK28="",Norm_Stats!$F$24="",Norm_Stats!$G$24="",Norm_Stats!$G$24=Norm_Stats!$F$24),"",MAX(0,MIN(100,100*(MIN(MAX(City_Inputs!$AK28,Norm_Stats!$F$24),Norm_Stats!$G$24)-Norm_Stats!$F$24)/(Norm_Stats!$G$24-Norm_Stats!$F$24)))))="",0,0.2))=0,"",(IF((IF(OR(City_Inputs!$AG28="",Norm_Stats!$F$22="",Norm_Stats!$G$22="",Norm_Stats!$G$22=Norm_Stats!$F$22),"",MAX(0,MIN(100,100*(MIN(MAX(City_Inputs!$AG28,Norm_Stats!$F$22),Norm_Stats!$G$22)-Norm_Stats!$F$22)/(Norm_Stats!$G$22-Norm_Stats!$F$22)))))="",0,(IF(OR(City_Inputs!$AG28="",Norm_Stats!$F$22="",Norm_Stats!$G$22="",Norm_Stats!$G$22=Norm_Stats!$F$22),"",MAX(0,MIN(100,100*(MIN(MAX(City_Inputs!$AG28,Norm_Stats!$F$22),Norm_Stats!$G$22)-Norm_Stats!$F$22)/(Norm_Stats!$G$22-Norm_Stats!$F$22)))))*0.5)+IF((IF(OR(City_Inputs!$AJ28="",Norm_Stats!$F$23="",Norm_Stats!$G$23="",Norm_Stats!$G$23=Norm_Stats!$F$23),"",MAX(0,MIN(100,100*(MIN(MAX(City_Inputs!$AJ28,Norm_Stats!$F$23),Norm_Stats!$G$23)-Norm_Stats!$F$23)/(Norm_Stats!$G$23-Norm_Stats!$F$23)))))="",0,(IF(OR(City_Inputs!$AJ28="",Norm_Stats!$F$23="",Norm_Stats!$G$23="",Norm_Stats!$G$23=Norm_Stats!$F$23),"",MAX(0,MIN(100,100*(MIN(MAX(City_Inputs!$AJ28,Norm_Stats!$F$23),Norm_Stats!$G$23)-Norm_Stats!$F$23)/(Norm_Stats!$G$23-Norm_Stats!$F$23)))))*0.3)+IF((IF(OR(City_Inputs!$AK28="",Norm_Stats!$F$24="",Norm_Stats!$G$24="",Norm_Stats!$G$24=Norm_Stats!$F$24),"",MAX(0,MIN(100,100*(MIN(MAX(City_Inputs!$AK28,Norm_Stats!$F$24),Norm_Stats!$G$24)-Norm_Stats!$F$24)/(Norm_Stats!$G$24-Norm_Stats!$F$24)))))="",0,(IF(OR(City_Inputs!$AK28="",Norm_Stats!$F$24="",Norm_Stats!$G$24="",Norm_Stats!$G$24=Norm_Stats!$F$24),"",MAX(0,MIN(100,100*(MIN(MAX(City_Inputs!$AK28,Norm_Stats!$F$24),Norm_Stats!$G$24)-Norm_Stats!$F$24)/(Norm_Stats!$G$24-Norm_Stats!$F$24)))))*0.2))/(IF((IF(OR(City_Inputs!$AG28="",Norm_Stats!$F$22="",Norm_Stats!$G$22="",Norm_Stats!$G$22=Norm_Stats!$F$22),"",MAX(0,MIN(100,100*(MIN(MAX(City_Inputs!$AG28,Norm_Stats!$F$22),Norm_Stats!$G$22)-Norm_Stats!$F$22)/(Norm_Stats!$G$22-Norm_Stats!$F$22)))))="",0,0.5)+IF((IF(OR(City_Inputs!$AJ28="",Norm_Stats!$F$23="",Norm_Stats!$G$23="",Norm_Stats!$G$23=Norm_Stats!$F$23),"",MAX(0,MIN(100,100*(MIN(MAX(City_Inputs!$AJ28,Norm_Stats!$F$23),Norm_Stats!$G$23)-Norm_Stats!$F$23)/(Norm_Stats!$G$23-Norm_Stats!$F$23)))))="",0,0.3)+IF((IF(OR(City_Inputs!$AK28="",Norm_Stats!$F$24="",Norm_Stats!$G$24="",Norm_Stats!$G$24=Norm_Stats!$F$24),"",MAX(0,MIN(100,100*(MIN(MAX(City_Inputs!$AK28,Norm_Stats!$F$24),Norm_Stats!$G$24)-Norm_Stats!$F$24)/(Norm_Stats!$G$24-Norm_Stats!$F$24)))))="",0,0.2)))</f>
        <v/>
      </c>
      <c r="BD28" s="14">
        <f>IF((IF((IF(OR(City_Inputs!$AG28="",Norm_Stats!$F$22="",Norm_Stats!$G$22="",Norm_Stats!$G$22=Norm_Stats!$F$22),"",MAX(0,MIN(100,100*(MIN(MAX(City_Inputs!$AG28,Norm_Stats!$F$22),Norm_Stats!$G$22)-Norm_Stats!$F$22)/(Norm_Stats!$G$22-Norm_Stats!$F$22)))))="",0,0.5)+IF((IF(OR(City_Inputs!$AJ28="",Norm_Stats!$F$23="",Norm_Stats!$G$23="",Norm_Stats!$G$23=Norm_Stats!$F$23),"",MAX(0,MIN(100,100*(MIN(MAX(City_Inputs!$AJ28,Norm_Stats!$F$23),Norm_Stats!$G$23)-Norm_Stats!$F$23)/(Norm_Stats!$G$23-Norm_Stats!$F$23)))))="",0,0.3)+IF((IF(OR(City_Inputs!$AK28="",Norm_Stats!$F$24="",Norm_Stats!$G$24="",Norm_Stats!$G$24=Norm_Stats!$F$24),"",MAX(0,MIN(100,100*(MIN(MAX(City_Inputs!$AK28,Norm_Stats!$F$24),Norm_Stats!$G$24)-Norm_Stats!$F$24)/(Norm_Stats!$G$24-Norm_Stats!$F$24)))))="",0,0.2))=0,"",(IF((IF(OR(City_Inputs!$AG28="",Norm_Stats!$F$22="",Norm_Stats!$G$22="",Norm_Stats!$G$22=Norm_Stats!$F$22),"",MAX(0,MIN(100,100*(MIN(MAX(City_Inputs!$AG28,Norm_Stats!$F$22),Norm_Stats!$G$22)-Norm_Stats!$F$22)/(Norm_Stats!$G$22-Norm_Stats!$F$22)))))="",0,0.5)+IF((IF(OR(City_Inputs!$AJ28="",Norm_Stats!$F$23="",Norm_Stats!$G$23="",Norm_Stats!$G$23=Norm_Stats!$F$23),"",MAX(0,MIN(100,100*(MIN(MAX(City_Inputs!$AJ28,Norm_Stats!$F$23),Norm_Stats!$G$23)-Norm_Stats!$F$23)/(Norm_Stats!$G$23-Norm_Stats!$F$23)))))="",0,0.3)+IF((IF(OR(City_Inputs!$AK28="",Norm_Stats!$F$24="",Norm_Stats!$G$24="",Norm_Stats!$G$24=Norm_Stats!$F$24),"",MAX(0,MIN(100,100*(MIN(MAX(City_Inputs!$AK28,Norm_Stats!$F$24),Norm_Stats!$G$24)-Norm_Stats!$F$24)/(Norm_Stats!$G$24-Norm_Stats!$F$24)))))="",0,0.2)))</f>
        <v/>
      </c>
      <c r="BE28" s="11">
        <f>IF(OR(City_Inputs!$AH28="",Norm_Stats!$F$25="",Norm_Stats!$G$25="",Norm_Stats!$G$25=Norm_Stats!$F$25),"",MAX(0,MIN(100,100*(Norm_Stats!$G$25-MIN(MAX(City_Inputs!$AH28,Norm_Stats!$F$25),Norm_Stats!$G$25))/(Norm_Stats!$G$25-Norm_Stats!$F$25))))</f>
        <v/>
      </c>
      <c r="BF28" s="14">
        <f>IF(BE28="","",1)</f>
        <v/>
      </c>
      <c r="BG28" s="15">
        <f>IF((IF(AY28="",0,6)+IF(BA28="",0,5)+IF(BC28="",0,5)+IF(BE28="",0,4))=0,"",(IF(AY28="",0,AY28*6)+IF(BA28="",0,BA28*5)+IF(BC28="",0,BC28*5)+IF(BE28="",0,BE28*4))/(IF(AY28="",0,6)+IF(BA28="",0,5)+IF(BC28="",0,5)+IF(BE28="",0,4)))</f>
        <v/>
      </c>
      <c r="BH28" s="14">
        <f>IF((IF(AZ28="",0,6)+IF(BB28="",0,5)+IF(BD28="",0,5)+IF(BF28="",0,4))=0,"",(IF(AZ28="",0,AZ28*6)+IF(BB28="",0,BB28*5)+IF(BD28="",0,BD28*5)+IF(BF28="",0,BF28*4))/20)</f>
        <v/>
      </c>
      <c r="BI28" s="14">
        <f>IF(AND(R28="",AF28="",AN28="",AX28="",BH28=""),"",((R28*25)+(AF28*22)+(AN28*18)+(AX28*15)+(BH28*20))/100)</f>
        <v/>
      </c>
      <c r="BJ28" s="11">
        <f>IF(BI28="","",IF(BI28&gt;=0.75,"A",IF(BI28&gt;=0.5,"B",IF(BI28&gt;=0.35,"C","Watchlist"))))</f>
        <v/>
      </c>
      <c r="BK28" s="11">
        <f>IF(OR(BI28="",BI28&lt;0.5,R28="",R28&lt;0.35,AF28="",AF28&lt;0.35,AN28="",AN28&lt;0.35,AX28="",AX28&lt;0.35,BH28="",BH28&lt;0.35),"Watchlist","Ranked")</f>
        <v/>
      </c>
      <c r="BL28" s="15">
        <f>IF(AND(Q28="",AE28="",AM28="",AW28="",BG28=""),"",(IF(Q28="",0,Q28*25)+IF(AE28="",0,AE28*22)+IF(AM28="",0,AM28*18)+IF(AW28="",0,AW28*15)+IF(BG28="",0,BG28*20))/(IF(Q28="",0,25)+IF(AE28="",0,22)+IF(AM28="",0,18)+IF(AW28="",0,15)+IF(BG28="",0,20)))</f>
        <v/>
      </c>
      <c r="BM28" s="11">
        <f>IF(BK28="Ranked",1+COUNTIFS($BK$2:$BK$158,"Ranked",$BL$2:$BL$158,"&gt;"&amp;BL28),"")</f>
        <v/>
      </c>
      <c r="BN28" s="11">
        <f>City_Inputs!$AI28</f>
        <v/>
      </c>
    </row>
    <row r="29">
      <c r="A29" t="inlineStr">
        <is>
          <t>in-hyderabad</t>
        </is>
      </c>
      <c r="B29" t="inlineStr">
        <is>
          <t>Hyderabad</t>
        </is>
      </c>
      <c r="C29" t="inlineStr">
        <is>
          <t>India</t>
        </is>
      </c>
      <c r="D29" t="inlineStr">
        <is>
          <t>South Asia</t>
        </is>
      </c>
      <c r="E29" t="inlineStr">
        <is>
          <t>locked</t>
        </is>
      </c>
      <c r="F29" t="inlineStr">
        <is>
          <t>primary</t>
        </is>
      </c>
      <c r="G29" s="11">
        <f>IF(OR(City_Inputs!$M29="",Norm_Stats!$F$2="",Norm_Stats!$G$2="",Norm_Stats!$G$2=Norm_Stats!$F$2),"",MAX(0,MIN(100,100*(MIN(MAX(City_Inputs!$M29,Norm_Stats!$F$2),Norm_Stats!$G$2)-Norm_Stats!$F$2)/(Norm_Stats!$G$2-Norm_Stats!$F$2))))</f>
        <v/>
      </c>
      <c r="H29" s="14">
        <f>IF(G29="","",1)</f>
        <v/>
      </c>
      <c r="I29" s="11">
        <f>IF(OR(City_Inputs!$N29="",Norm_Stats!$F$3="",Norm_Stats!$G$3="",Norm_Stats!$G$3=Norm_Stats!$F$3),"",MAX(0,MIN(100,100*(Norm_Stats!$G$3-MIN(MAX(City_Inputs!$N29,Norm_Stats!$F$3),Norm_Stats!$G$3))/(Norm_Stats!$G$3-Norm_Stats!$F$3))))</f>
        <v/>
      </c>
      <c r="J29" s="14">
        <f>IF(I29="","",1)</f>
        <v/>
      </c>
      <c r="K29" s="11">
        <f>IF(OR(City_Inputs!$P29="",Norm_Stats!$F$4="",Norm_Stats!$G$4="",Norm_Stats!$G$4=Norm_Stats!$F$4),"",MAX(0,MIN(100,100*(Norm_Stats!$G$4-MIN(MAX(City_Inputs!$P29,Norm_Stats!$F$4),Norm_Stats!$G$4))/(Norm_Stats!$G$4-Norm_Stats!$F$4))))</f>
        <v/>
      </c>
      <c r="L29" s="14">
        <f>IF(K29="","",1)</f>
        <v/>
      </c>
      <c r="M29" s="11">
        <f>IF(OR(City_Inputs!$Q29="",Norm_Stats!$F$5="",Norm_Stats!$G$5="",Norm_Stats!$G$5=Norm_Stats!$F$5),"",MAX(0,MIN(100,100*(Norm_Stats!$G$5-MIN(MAX(City_Inputs!$Q29,Norm_Stats!$F$5),Norm_Stats!$G$5))/(Norm_Stats!$G$5-Norm_Stats!$F$5))))</f>
        <v/>
      </c>
      <c r="N29" s="14">
        <f>IF(M29="","",1)</f>
        <v/>
      </c>
      <c r="O29" s="11">
        <f>IF(OR(City_Inputs!$R29="",Norm_Stats!$F$6="",Norm_Stats!$G$6="",Norm_Stats!$G$6=Norm_Stats!$F$6),"",MAX(0,MIN(100,100*(Norm_Stats!$G$6-MIN(MAX(City_Inputs!$R29,Norm_Stats!$F$6),Norm_Stats!$G$6))/(Norm_Stats!$G$6-Norm_Stats!$F$6))))</f>
        <v/>
      </c>
      <c r="P29" s="14">
        <f>IF(O29="","",1)</f>
        <v/>
      </c>
      <c r="Q29" s="15">
        <f>IF((IF(G29="",0,9)+IF(I29="",0,5)+IF(K29="",0,4)+IF(M29="",0,4)+IF(O29="",0,5))=0,"",(IF(G29="",0,G29*9)+IF(I29="",0,I29*5)+IF(K29="",0,K29*4)+IF(M29="",0,M29*4)+IF(O29="",0,O29*5))/(IF(G29="",0,9)+IF(I29="",0,5)+IF(K29="",0,4)+IF(M29="",0,4)+IF(O29="",0,5)))</f>
        <v/>
      </c>
      <c r="R29" s="14">
        <f>IF((IF(H29="",0,9)+IF(J29="",0,5)+IF(L29="",0,4)+IF(N29="",0,4)+IF(P29="",0,5))=0,"",(IF(H29="",0,H29*9)+IF(J29="",0,J29*5)+IF(L29="",0,L29*4)+IF(N29="",0,N29*4)+IF(P29="",0,P29*5))/27)</f>
        <v/>
      </c>
      <c r="S29" s="11">
        <f>IF(OR(City_Inputs!$S29="",Norm_Stats!$F$7="",Norm_Stats!$G$7="",Norm_Stats!$G$7=Norm_Stats!$F$7),"",MAX(0,MIN(100,100*(Norm_Stats!$G$7-MIN(MAX(City_Inputs!$S29,Norm_Stats!$F$7),Norm_Stats!$G$7))/(Norm_Stats!$G$7-Norm_Stats!$F$7))))</f>
        <v/>
      </c>
      <c r="T29" s="14">
        <f>IF(S29="","",1)</f>
        <v/>
      </c>
      <c r="U29" s="11">
        <f>IF(OR(City_Inputs!$T29="",Norm_Stats!$F$8="",Norm_Stats!$G$8="",Norm_Stats!$G$8=Norm_Stats!$F$8),"",MAX(0,MIN(100,100*(MIN(MAX(City_Inputs!$T29,Norm_Stats!$F$8),Norm_Stats!$G$8)-Norm_Stats!$F$8)/(Norm_Stats!$G$8-Norm_Stats!$F$8))))</f>
        <v/>
      </c>
      <c r="V29" s="14">
        <f>IF(U29="","",1)</f>
        <v/>
      </c>
      <c r="W29" s="11">
        <f>IF(OR(City_Inputs!$U29="",Norm_Stats!$F$9="",Norm_Stats!$G$9="",Norm_Stats!$G$9=Norm_Stats!$F$9),"",MAX(0,MIN(100,100*(Norm_Stats!$G$9-MIN(MAX(City_Inputs!$U29,Norm_Stats!$F$9),Norm_Stats!$G$9))/(Norm_Stats!$G$9-Norm_Stats!$F$9))))</f>
        <v/>
      </c>
      <c r="X29" s="14">
        <f>IF(W29="","",1)</f>
        <v/>
      </c>
      <c r="Y29" s="11">
        <f>IF(OR(City_Inputs!$V29="",Norm_Stats!$F$10="",Norm_Stats!$G$10="",Norm_Stats!$G$10=Norm_Stats!$F$10),"",MAX(0,MIN(100,100*(MIN(MAX(City_Inputs!$V29,Norm_Stats!$F$10),Norm_Stats!$G$10)-Norm_Stats!$F$10)/(Norm_Stats!$G$10-Norm_Stats!$F$10))))</f>
        <v/>
      </c>
      <c r="Z29" s="14">
        <f>IF(Y29="","",1)</f>
        <v/>
      </c>
      <c r="AA29" s="11">
        <f>IF(OR(City_Inputs!$W29="",Norm_Stats!$F$11="",Norm_Stats!$G$11="",Norm_Stats!$G$11=Norm_Stats!$F$11),"",MAX(0,MIN(100,100*(MIN(MAX(City_Inputs!$W29,Norm_Stats!$F$11),Norm_Stats!$G$11)-Norm_Stats!$F$11)/(Norm_Stats!$G$11-Norm_Stats!$F$11))))</f>
        <v/>
      </c>
      <c r="AB29" s="14">
        <f>IF(AA29="","",1)</f>
        <v/>
      </c>
      <c r="AC29" s="11">
        <f>IF(OR(City_Inputs!$X29="",Norm_Stats!$F$12="",Norm_Stats!$G$12="",Norm_Stats!$G$12=Norm_Stats!$F$12),"",MAX(0,MIN(100,100*(MIN(MAX(City_Inputs!$X29,Norm_Stats!$F$12),Norm_Stats!$G$12)-Norm_Stats!$F$12)/(Norm_Stats!$G$12-Norm_Stats!$F$12))))</f>
        <v/>
      </c>
      <c r="AD29" s="11">
        <f>IF(AC29="","",1)</f>
        <v/>
      </c>
      <c r="AE29" s="15">
        <f>IF((IF(S29="",0,5)+IF(U29="",0,5)+IF(W29="",0,4)+IF(Y29="",0,4)+IF(AA29="",0,4)+IF(AC29="",0,5))=0,"",(IF(S29="",0,S29*5)+IF(U29="",0,U29*5)+IF(W29="",0,W29*4)+IF(Y29="",0,Y29*4)+IF(AA29="",0,AA29*4)+IF(AC29="",0,AC29*5))/(IF(S29="",0,5)+IF(U29="",0,5)+IF(W29="",0,4)+IF(Y29="",0,4)+IF(AA29="",0,4)+IF(AC29="",0,5)))</f>
        <v/>
      </c>
      <c r="AF29" s="14">
        <f>IF((IF(T29="",0,5)+IF(V29="",0,5)+IF(X29="",0,4)+IF(Z29="",0,4)+IF(AB29="",0,4)+IF(AD29="",0,5))=0,"",(IF(T29="",0,T29*5)+IF(V29="",0,V29*5)+IF(X29="",0,X29*4)+IF(Z29="",0,Z29*4)+IF(AB29="",0,AB29*4)+IF(AD29="",0,AD29*5))/27)</f>
        <v/>
      </c>
      <c r="AG29" s="11">
        <f>IF(OR(City_Inputs!$Y29="",Norm_Stats!$F$13="",Norm_Stats!$G$13="",Norm_Stats!$G$13=Norm_Stats!$F$13),"",MAX(0,MIN(100,100*(MIN(MAX(City_Inputs!$Y29,Norm_Stats!$F$13),Norm_Stats!$G$13)-Norm_Stats!$F$13)/(Norm_Stats!$G$13-Norm_Stats!$F$13))))</f>
        <v/>
      </c>
      <c r="AH29" s="14">
        <f>IF(AG29="","",1)</f>
        <v/>
      </c>
      <c r="AI29" s="11">
        <f>IF(OR(City_Inputs!$Z29="",Norm_Stats!$F$14="",Norm_Stats!$G$14="",Norm_Stats!$G$14=Norm_Stats!$F$14),"",MAX(0,MIN(100,100*(MIN(MAX(City_Inputs!$Z29,Norm_Stats!$F$14),Norm_Stats!$G$14)-Norm_Stats!$F$14)/(Norm_Stats!$G$14-Norm_Stats!$F$14))))</f>
        <v/>
      </c>
      <c r="AJ29" s="14">
        <f>IF(AI29="","",1)</f>
        <v/>
      </c>
      <c r="AK29" s="11">
        <f>IF((IF((IF(OR(City_Inputs!$AA29="",Norm_Stats!$F$15="",Norm_Stats!$G$15="",Norm_Stats!$G$15=Norm_Stats!$F$15),"",MAX(0,MIN(100,100*(MIN(MAX(City_Inputs!$AA29,Norm_Stats!$F$15),Norm_Stats!$G$15)-Norm_Stats!$F$15)/(Norm_Stats!$G$15-Norm_Stats!$F$15)))))="",0,0.7)+IF((IF(OR(City_Inputs!$AL29="",Norm_Stats!$F$16="",Norm_Stats!$G$16="",Norm_Stats!$G$16=Norm_Stats!$F$16),"",MAX(0,MIN(100,100*(Norm_Stats!$G$16-MIN(MAX(City_Inputs!$AL29,Norm_Stats!$F$16),Norm_Stats!$G$16))/(Norm_Stats!$G$16-Norm_Stats!$F$16)))))="",0,0.3))=0,"",(IF((IF(OR(City_Inputs!$AA29="",Norm_Stats!$F$15="",Norm_Stats!$G$15="",Norm_Stats!$G$15=Norm_Stats!$F$15),"",MAX(0,MIN(100,100*(MIN(MAX(City_Inputs!$AA29,Norm_Stats!$F$15),Norm_Stats!$G$15)-Norm_Stats!$F$15)/(Norm_Stats!$G$15-Norm_Stats!$F$15)))))="",0,(IF(OR(City_Inputs!$AA29="",Norm_Stats!$F$15="",Norm_Stats!$G$15="",Norm_Stats!$G$15=Norm_Stats!$F$15),"",MAX(0,MIN(100,100*(MIN(MAX(City_Inputs!$AA29,Norm_Stats!$F$15),Norm_Stats!$G$15)-Norm_Stats!$F$15)/(Norm_Stats!$G$15-Norm_Stats!$F$15)))))*0.7)+IF((IF(OR(City_Inputs!$AL29="",Norm_Stats!$F$16="",Norm_Stats!$G$16="",Norm_Stats!$G$16=Norm_Stats!$F$16),"",MAX(0,MIN(100,100*(Norm_Stats!$G$16-MIN(MAX(City_Inputs!$AL29,Norm_Stats!$F$16),Norm_Stats!$G$16))/(Norm_Stats!$G$16-Norm_Stats!$F$16)))))="",0,(IF(OR(City_Inputs!$AL29="",Norm_Stats!$F$16="",Norm_Stats!$G$16="",Norm_Stats!$G$16=Norm_Stats!$F$16),"",MAX(0,MIN(100,100*(Norm_Stats!$G$16-MIN(MAX(City_Inputs!$AL29,Norm_Stats!$F$16),Norm_Stats!$G$16))/(Norm_Stats!$G$16-Norm_Stats!$F$16)))))*0.3))/(IF((IF(OR(City_Inputs!$AA29="",Norm_Stats!$F$15="",Norm_Stats!$G$15="",Norm_Stats!$G$15=Norm_Stats!$F$15),"",MAX(0,MIN(100,100*(MIN(MAX(City_Inputs!$AA29,Norm_Stats!$F$15),Norm_Stats!$G$15)-Norm_Stats!$F$15)/(Norm_Stats!$G$15-Norm_Stats!$F$15)))))="",0,0.7)+IF((IF(OR(City_Inputs!$AL29="",Norm_Stats!$F$16="",Norm_Stats!$G$16="",Norm_Stats!$G$16=Norm_Stats!$F$16),"",MAX(0,MIN(100,100*(Norm_Stats!$G$16-MIN(MAX(City_Inputs!$AL29,Norm_Stats!$F$16),Norm_Stats!$G$16))/(Norm_Stats!$G$16-Norm_Stats!$F$16)))))="",0,0.3)))</f>
        <v/>
      </c>
      <c r="AL29" s="14">
        <f>IF((IF((IF(OR(City_Inputs!$AA29="",Norm_Stats!$F$15="",Norm_Stats!$G$15="",Norm_Stats!$G$15=Norm_Stats!$F$15),"",MAX(0,MIN(100,100*(MIN(MAX(City_Inputs!$AA29,Norm_Stats!$F$15),Norm_Stats!$G$15)-Norm_Stats!$F$15)/(Norm_Stats!$G$15-Norm_Stats!$F$15)))))="",0,0.7)+IF((IF(OR(City_Inputs!$AL29="",Norm_Stats!$F$16="",Norm_Stats!$G$16="",Norm_Stats!$G$16=Norm_Stats!$F$16),"",MAX(0,MIN(100,100*(Norm_Stats!$G$16-MIN(MAX(City_Inputs!$AL29,Norm_Stats!$F$16),Norm_Stats!$G$16))/(Norm_Stats!$G$16-Norm_Stats!$F$16)))))="",0,0.3))=0,"",(IF((IF(OR(City_Inputs!$AA29="",Norm_Stats!$F$15="",Norm_Stats!$G$15="",Norm_Stats!$G$15=Norm_Stats!$F$15),"",MAX(0,MIN(100,100*(MIN(MAX(City_Inputs!$AA29,Norm_Stats!$F$15),Norm_Stats!$G$15)-Norm_Stats!$F$15)/(Norm_Stats!$G$15-Norm_Stats!$F$15)))))="",0,0.7)+IF((IF(OR(City_Inputs!$AL29="",Norm_Stats!$F$16="",Norm_Stats!$G$16="",Norm_Stats!$G$16=Norm_Stats!$F$16),"",MAX(0,MIN(100,100*(Norm_Stats!$G$16-MIN(MAX(City_Inputs!$AL29,Norm_Stats!$F$16),Norm_Stats!$G$16))/(Norm_Stats!$G$16-Norm_Stats!$F$16)))))="",0,0.3)))</f>
        <v/>
      </c>
      <c r="AM29" s="15">
        <f>IF((IF(AG29="",0,8)+IF(AI29="",0,6)+IF(AK29="",0,4))=0,"",(IF(AG29="",0,AG29*8)+IF(AI29="",0,AI29*6)+IF(AK29="",0,AK29*4))/(IF(AG29="",0,8)+IF(AI29="",0,6)+IF(AK29="",0,4)))</f>
        <v/>
      </c>
      <c r="AN29" s="14">
        <f>IF((IF(AH29="",0,8)+IF(AJ29="",0,6)+IF(AL29="",0,4))=0,"",(IF(AH29="",0,AH29*8)+IF(AJ29="",0,AJ29*6)+IF(AL29="",0,AL29*4))/18)</f>
        <v/>
      </c>
      <c r="AO29" s="11">
        <f>IF(OR(City_Inputs!$AB29="",Norm_Stats!$F$17="",Norm_Stats!$G$17="",Norm_Stats!$G$17=Norm_Stats!$F$17),"",MAX(0,MIN(100,100*(MIN(MAX(City_Inputs!$AB29,Norm_Stats!$F$17),Norm_Stats!$G$17)-Norm_Stats!$F$17)/(Norm_Stats!$G$17-Norm_Stats!$F$17))))</f>
        <v/>
      </c>
      <c r="AP29" s="14">
        <f>IF(AO29="","",1)</f>
        <v/>
      </c>
      <c r="AQ29" s="11">
        <f>IF(OR(City_Inputs!$AC29="",Norm_Stats!$F$18="",Norm_Stats!$G$18="",Norm_Stats!$G$18=Norm_Stats!$F$18),"",MAX(0,MIN(100,100*(MIN(MAX(City_Inputs!$AC29,Norm_Stats!$F$18),Norm_Stats!$G$18)-Norm_Stats!$F$18)/(Norm_Stats!$G$18-Norm_Stats!$F$18))))</f>
        <v/>
      </c>
      <c r="AR29" s="14">
        <f>IF(AQ29="","",1)</f>
        <v/>
      </c>
      <c r="AS29" s="11">
        <f>IF(OR(City_Inputs!$AD29="",Norm_Stats!$F$19="",Norm_Stats!$G$19="",Norm_Stats!$G$19=Norm_Stats!$F$19),"",MAX(0,MIN(100,100*(MIN(MAX(City_Inputs!$AD29,Norm_Stats!$F$19),Norm_Stats!$G$19)-Norm_Stats!$F$19)/(Norm_Stats!$G$19-Norm_Stats!$F$19))))</f>
        <v/>
      </c>
      <c r="AT29" s="14">
        <f>IF(AS29="","",1)</f>
        <v/>
      </c>
      <c r="AU29" s="11">
        <f>IF(OR(City_Inputs!$BJ29="",Norm_Stats!$F$26="",Norm_Stats!$G$26="",Norm_Stats!$G$26=Norm_Stats!$F$26),"",MAX(0,MIN(100,100*(MIN(MAX(City_Inputs!$BJ29,Norm_Stats!$F$26),Norm_Stats!$G$26)-Norm_Stats!$F$26)/(Norm_Stats!$G$26-Norm_Stats!$F$26))))</f>
        <v/>
      </c>
      <c r="AV29" s="11">
        <f>IF(AU29="","",1)</f>
        <v/>
      </c>
      <c r="AW29" s="15">
        <f>IF((IF(AO29="",0,5)+IF(AQ29="",0,5)+IF(AS29="",0,5)+IF(AU29="",0,4))=0,"",(IF(AO29="",0,AO29*5)+IF(AQ29="",0,AQ29*5)+IF(AS29="",0,AS29*5)+IF(AU29="",0,AU29*4))/(IF(AO29="",0,5)+IF(AQ29="",0,5)+IF(AS29="",0,5)+IF(AU29="",0,4)))</f>
        <v/>
      </c>
      <c r="AX29" s="14">
        <f>IF((IF(AP29="",0,5)+IF(AR29="",0,5)+IF(AT29="",0,5)+IF(AV29="",0,4))=0,"",(IF(AP29="",0,AP29*5)+IF(AR29="",0,AR29*5)+IF(AT29="",0,AT29*5)+IF(AV29="",0,AV29*4))/19)</f>
        <v/>
      </c>
      <c r="AY29" s="11">
        <f>IF(OR(City_Inputs!$AE29="",Norm_Stats!$F$20="",Norm_Stats!$G$20="",Norm_Stats!$G$20=Norm_Stats!$F$20),"",MAX(0,MIN(100,100*(MIN(MAX(City_Inputs!$AE29,Norm_Stats!$F$20),Norm_Stats!$G$20)-Norm_Stats!$F$20)/(Norm_Stats!$G$20-Norm_Stats!$F$20))))</f>
        <v/>
      </c>
      <c r="AZ29" s="14">
        <f>IF(AY29="","",1)</f>
        <v/>
      </c>
      <c r="BA29" s="11">
        <f>IF(OR(City_Inputs!$AF29="",Norm_Stats!$F$21="",Norm_Stats!$G$21="",Norm_Stats!$G$21=Norm_Stats!$F$21),"",MAX(0,MIN(100,100*(MIN(MAX(City_Inputs!$AF29,Norm_Stats!$F$21),Norm_Stats!$G$21)-Norm_Stats!$F$21)/(Norm_Stats!$G$21-Norm_Stats!$F$21))))</f>
        <v/>
      </c>
      <c r="BB29" s="14">
        <f>IF(BA29="","",1)</f>
        <v/>
      </c>
      <c r="BC29" s="11">
        <f>IF((IF((IF(OR(City_Inputs!$AG29="",Norm_Stats!$F$22="",Norm_Stats!$G$22="",Norm_Stats!$G$22=Norm_Stats!$F$22),"",MAX(0,MIN(100,100*(MIN(MAX(City_Inputs!$AG29,Norm_Stats!$F$22),Norm_Stats!$G$22)-Norm_Stats!$F$22)/(Norm_Stats!$G$22-Norm_Stats!$F$22)))))="",0,0.5)+IF((IF(OR(City_Inputs!$AJ29="",Norm_Stats!$F$23="",Norm_Stats!$G$23="",Norm_Stats!$G$23=Norm_Stats!$F$23),"",MAX(0,MIN(100,100*(MIN(MAX(City_Inputs!$AJ29,Norm_Stats!$F$23),Norm_Stats!$G$23)-Norm_Stats!$F$23)/(Norm_Stats!$G$23-Norm_Stats!$F$23)))))="",0,0.3)+IF((IF(OR(City_Inputs!$AK29="",Norm_Stats!$F$24="",Norm_Stats!$G$24="",Norm_Stats!$G$24=Norm_Stats!$F$24),"",MAX(0,MIN(100,100*(MIN(MAX(City_Inputs!$AK29,Norm_Stats!$F$24),Norm_Stats!$G$24)-Norm_Stats!$F$24)/(Norm_Stats!$G$24-Norm_Stats!$F$24)))))="",0,0.2))=0,"",(IF((IF(OR(City_Inputs!$AG29="",Norm_Stats!$F$22="",Norm_Stats!$G$22="",Norm_Stats!$G$22=Norm_Stats!$F$22),"",MAX(0,MIN(100,100*(MIN(MAX(City_Inputs!$AG29,Norm_Stats!$F$22),Norm_Stats!$G$22)-Norm_Stats!$F$22)/(Norm_Stats!$G$22-Norm_Stats!$F$22)))))="",0,(IF(OR(City_Inputs!$AG29="",Norm_Stats!$F$22="",Norm_Stats!$G$22="",Norm_Stats!$G$22=Norm_Stats!$F$22),"",MAX(0,MIN(100,100*(MIN(MAX(City_Inputs!$AG29,Norm_Stats!$F$22),Norm_Stats!$G$22)-Norm_Stats!$F$22)/(Norm_Stats!$G$22-Norm_Stats!$F$22)))))*0.5)+IF((IF(OR(City_Inputs!$AJ29="",Norm_Stats!$F$23="",Norm_Stats!$G$23="",Norm_Stats!$G$23=Norm_Stats!$F$23),"",MAX(0,MIN(100,100*(MIN(MAX(City_Inputs!$AJ29,Norm_Stats!$F$23),Norm_Stats!$G$23)-Norm_Stats!$F$23)/(Norm_Stats!$G$23-Norm_Stats!$F$23)))))="",0,(IF(OR(City_Inputs!$AJ29="",Norm_Stats!$F$23="",Norm_Stats!$G$23="",Norm_Stats!$G$23=Norm_Stats!$F$23),"",MAX(0,MIN(100,100*(MIN(MAX(City_Inputs!$AJ29,Norm_Stats!$F$23),Norm_Stats!$G$23)-Norm_Stats!$F$23)/(Norm_Stats!$G$23-Norm_Stats!$F$23)))))*0.3)+IF((IF(OR(City_Inputs!$AK29="",Norm_Stats!$F$24="",Norm_Stats!$G$24="",Norm_Stats!$G$24=Norm_Stats!$F$24),"",MAX(0,MIN(100,100*(MIN(MAX(City_Inputs!$AK29,Norm_Stats!$F$24),Norm_Stats!$G$24)-Norm_Stats!$F$24)/(Norm_Stats!$G$24-Norm_Stats!$F$24)))))="",0,(IF(OR(City_Inputs!$AK29="",Norm_Stats!$F$24="",Norm_Stats!$G$24="",Norm_Stats!$G$24=Norm_Stats!$F$24),"",MAX(0,MIN(100,100*(MIN(MAX(City_Inputs!$AK29,Norm_Stats!$F$24),Norm_Stats!$G$24)-Norm_Stats!$F$24)/(Norm_Stats!$G$24-Norm_Stats!$F$24)))))*0.2))/(IF((IF(OR(City_Inputs!$AG29="",Norm_Stats!$F$22="",Norm_Stats!$G$22="",Norm_Stats!$G$22=Norm_Stats!$F$22),"",MAX(0,MIN(100,100*(MIN(MAX(City_Inputs!$AG29,Norm_Stats!$F$22),Norm_Stats!$G$22)-Norm_Stats!$F$22)/(Norm_Stats!$G$22-Norm_Stats!$F$22)))))="",0,0.5)+IF((IF(OR(City_Inputs!$AJ29="",Norm_Stats!$F$23="",Norm_Stats!$G$23="",Norm_Stats!$G$23=Norm_Stats!$F$23),"",MAX(0,MIN(100,100*(MIN(MAX(City_Inputs!$AJ29,Norm_Stats!$F$23),Norm_Stats!$G$23)-Norm_Stats!$F$23)/(Norm_Stats!$G$23-Norm_Stats!$F$23)))))="",0,0.3)+IF((IF(OR(City_Inputs!$AK29="",Norm_Stats!$F$24="",Norm_Stats!$G$24="",Norm_Stats!$G$24=Norm_Stats!$F$24),"",MAX(0,MIN(100,100*(MIN(MAX(City_Inputs!$AK29,Norm_Stats!$F$24),Norm_Stats!$G$24)-Norm_Stats!$F$24)/(Norm_Stats!$G$24-Norm_Stats!$F$24)))))="",0,0.2)))</f>
        <v/>
      </c>
      <c r="BD29" s="14">
        <f>IF((IF((IF(OR(City_Inputs!$AG29="",Norm_Stats!$F$22="",Norm_Stats!$G$22="",Norm_Stats!$G$22=Norm_Stats!$F$22),"",MAX(0,MIN(100,100*(MIN(MAX(City_Inputs!$AG29,Norm_Stats!$F$22),Norm_Stats!$G$22)-Norm_Stats!$F$22)/(Norm_Stats!$G$22-Norm_Stats!$F$22)))))="",0,0.5)+IF((IF(OR(City_Inputs!$AJ29="",Norm_Stats!$F$23="",Norm_Stats!$G$23="",Norm_Stats!$G$23=Norm_Stats!$F$23),"",MAX(0,MIN(100,100*(MIN(MAX(City_Inputs!$AJ29,Norm_Stats!$F$23),Norm_Stats!$G$23)-Norm_Stats!$F$23)/(Norm_Stats!$G$23-Norm_Stats!$F$23)))))="",0,0.3)+IF((IF(OR(City_Inputs!$AK29="",Norm_Stats!$F$24="",Norm_Stats!$G$24="",Norm_Stats!$G$24=Norm_Stats!$F$24),"",MAX(0,MIN(100,100*(MIN(MAX(City_Inputs!$AK29,Norm_Stats!$F$24),Norm_Stats!$G$24)-Norm_Stats!$F$24)/(Norm_Stats!$G$24-Norm_Stats!$F$24)))))="",0,0.2))=0,"",(IF((IF(OR(City_Inputs!$AG29="",Norm_Stats!$F$22="",Norm_Stats!$G$22="",Norm_Stats!$G$22=Norm_Stats!$F$22),"",MAX(0,MIN(100,100*(MIN(MAX(City_Inputs!$AG29,Norm_Stats!$F$22),Norm_Stats!$G$22)-Norm_Stats!$F$22)/(Norm_Stats!$G$22-Norm_Stats!$F$22)))))="",0,0.5)+IF((IF(OR(City_Inputs!$AJ29="",Norm_Stats!$F$23="",Norm_Stats!$G$23="",Norm_Stats!$G$23=Norm_Stats!$F$23),"",MAX(0,MIN(100,100*(MIN(MAX(City_Inputs!$AJ29,Norm_Stats!$F$23),Norm_Stats!$G$23)-Norm_Stats!$F$23)/(Norm_Stats!$G$23-Norm_Stats!$F$23)))))="",0,0.3)+IF((IF(OR(City_Inputs!$AK29="",Norm_Stats!$F$24="",Norm_Stats!$G$24="",Norm_Stats!$G$24=Norm_Stats!$F$24),"",MAX(0,MIN(100,100*(MIN(MAX(City_Inputs!$AK29,Norm_Stats!$F$24),Norm_Stats!$G$24)-Norm_Stats!$F$24)/(Norm_Stats!$G$24-Norm_Stats!$F$24)))))="",0,0.2)))</f>
        <v/>
      </c>
      <c r="BE29" s="11">
        <f>IF(OR(City_Inputs!$AH29="",Norm_Stats!$F$25="",Norm_Stats!$G$25="",Norm_Stats!$G$25=Norm_Stats!$F$25),"",MAX(0,MIN(100,100*(Norm_Stats!$G$25-MIN(MAX(City_Inputs!$AH29,Norm_Stats!$F$25),Norm_Stats!$G$25))/(Norm_Stats!$G$25-Norm_Stats!$F$25))))</f>
        <v/>
      </c>
      <c r="BF29" s="14">
        <f>IF(BE29="","",1)</f>
        <v/>
      </c>
      <c r="BG29" s="15">
        <f>IF((IF(AY29="",0,6)+IF(BA29="",0,5)+IF(BC29="",0,5)+IF(BE29="",0,4))=0,"",(IF(AY29="",0,AY29*6)+IF(BA29="",0,BA29*5)+IF(BC29="",0,BC29*5)+IF(BE29="",0,BE29*4))/(IF(AY29="",0,6)+IF(BA29="",0,5)+IF(BC29="",0,5)+IF(BE29="",0,4)))</f>
        <v/>
      </c>
      <c r="BH29" s="14">
        <f>IF((IF(AZ29="",0,6)+IF(BB29="",0,5)+IF(BD29="",0,5)+IF(BF29="",0,4))=0,"",(IF(AZ29="",0,AZ29*6)+IF(BB29="",0,BB29*5)+IF(BD29="",0,BD29*5)+IF(BF29="",0,BF29*4))/20)</f>
        <v/>
      </c>
      <c r="BI29" s="14">
        <f>IF(AND(R29="",AF29="",AN29="",AX29="",BH29=""),"",((R29*25)+(AF29*22)+(AN29*18)+(AX29*15)+(BH29*20))/100)</f>
        <v/>
      </c>
      <c r="BJ29" s="11">
        <f>IF(BI29="","",IF(BI29&gt;=0.75,"A",IF(BI29&gt;=0.5,"B",IF(BI29&gt;=0.35,"C","Watchlist"))))</f>
        <v/>
      </c>
      <c r="BK29" s="11">
        <f>IF(OR(BI29="",BI29&lt;0.5,R29="",R29&lt;0.35,AF29="",AF29&lt;0.35,AN29="",AN29&lt;0.35,AX29="",AX29&lt;0.35,BH29="",BH29&lt;0.35),"Watchlist","Ranked")</f>
        <v/>
      </c>
      <c r="BL29" s="15">
        <f>IF(AND(Q29="",AE29="",AM29="",AW29="",BG29=""),"",(IF(Q29="",0,Q29*25)+IF(AE29="",0,AE29*22)+IF(AM29="",0,AM29*18)+IF(AW29="",0,AW29*15)+IF(BG29="",0,BG29*20))/(IF(Q29="",0,25)+IF(AE29="",0,22)+IF(AM29="",0,18)+IF(AW29="",0,15)+IF(BG29="",0,20)))</f>
        <v/>
      </c>
      <c r="BM29" s="11">
        <f>IF(BK29="Ranked",1+COUNTIFS($BK$2:$BK$158,"Ranked",$BL$2:$BL$158,"&gt;"&amp;BL29),"")</f>
        <v/>
      </c>
      <c r="BN29" s="11">
        <f>City_Inputs!$AI29</f>
        <v/>
      </c>
    </row>
    <row r="30">
      <c r="A30" t="inlineStr">
        <is>
          <t>in-chandigarh</t>
        </is>
      </c>
      <c r="B30" t="inlineStr">
        <is>
          <t>Chandigarh</t>
        </is>
      </c>
      <c r="C30" t="inlineStr">
        <is>
          <t>India</t>
        </is>
      </c>
      <c r="D30" t="inlineStr">
        <is>
          <t>South Asia</t>
        </is>
      </c>
      <c r="E30" t="inlineStr">
        <is>
          <t>provisional</t>
        </is>
      </c>
      <c r="F30" t="inlineStr">
        <is>
          <t>primary</t>
        </is>
      </c>
      <c r="G30" s="11">
        <f>IF(OR(City_Inputs!$M30="",Norm_Stats!$F$2="",Norm_Stats!$G$2="",Norm_Stats!$G$2=Norm_Stats!$F$2),"",MAX(0,MIN(100,100*(MIN(MAX(City_Inputs!$M30,Norm_Stats!$F$2),Norm_Stats!$G$2)-Norm_Stats!$F$2)/(Norm_Stats!$G$2-Norm_Stats!$F$2))))</f>
        <v/>
      </c>
      <c r="H30" s="14">
        <f>IF(G30="","",1)</f>
        <v/>
      </c>
      <c r="I30" s="11">
        <f>IF(OR(City_Inputs!$N30="",Norm_Stats!$F$3="",Norm_Stats!$G$3="",Norm_Stats!$G$3=Norm_Stats!$F$3),"",MAX(0,MIN(100,100*(Norm_Stats!$G$3-MIN(MAX(City_Inputs!$N30,Norm_Stats!$F$3),Norm_Stats!$G$3))/(Norm_Stats!$G$3-Norm_Stats!$F$3))))</f>
        <v/>
      </c>
      <c r="J30" s="14">
        <f>IF(I30="","",1)</f>
        <v/>
      </c>
      <c r="K30" s="11">
        <f>IF(OR(City_Inputs!$P30="",Norm_Stats!$F$4="",Norm_Stats!$G$4="",Norm_Stats!$G$4=Norm_Stats!$F$4),"",MAX(0,MIN(100,100*(Norm_Stats!$G$4-MIN(MAX(City_Inputs!$P30,Norm_Stats!$F$4),Norm_Stats!$G$4))/(Norm_Stats!$G$4-Norm_Stats!$F$4))))</f>
        <v/>
      </c>
      <c r="L30" s="14">
        <f>IF(K30="","",1)</f>
        <v/>
      </c>
      <c r="M30" s="11">
        <f>IF(OR(City_Inputs!$Q30="",Norm_Stats!$F$5="",Norm_Stats!$G$5="",Norm_Stats!$G$5=Norm_Stats!$F$5),"",MAX(0,MIN(100,100*(Norm_Stats!$G$5-MIN(MAX(City_Inputs!$Q30,Norm_Stats!$F$5),Norm_Stats!$G$5))/(Norm_Stats!$G$5-Norm_Stats!$F$5))))</f>
        <v/>
      </c>
      <c r="N30" s="14">
        <f>IF(M30="","",1)</f>
        <v/>
      </c>
      <c r="O30" s="11">
        <f>IF(OR(City_Inputs!$R30="",Norm_Stats!$F$6="",Norm_Stats!$G$6="",Norm_Stats!$G$6=Norm_Stats!$F$6),"",MAX(0,MIN(100,100*(Norm_Stats!$G$6-MIN(MAX(City_Inputs!$R30,Norm_Stats!$F$6),Norm_Stats!$G$6))/(Norm_Stats!$G$6-Norm_Stats!$F$6))))</f>
        <v/>
      </c>
      <c r="P30" s="14">
        <f>IF(O30="","",1)</f>
        <v/>
      </c>
      <c r="Q30" s="15">
        <f>IF((IF(G30="",0,9)+IF(I30="",0,5)+IF(K30="",0,4)+IF(M30="",0,4)+IF(O30="",0,5))=0,"",(IF(G30="",0,G30*9)+IF(I30="",0,I30*5)+IF(K30="",0,K30*4)+IF(M30="",0,M30*4)+IF(O30="",0,O30*5))/(IF(G30="",0,9)+IF(I30="",0,5)+IF(K30="",0,4)+IF(M30="",0,4)+IF(O30="",0,5)))</f>
        <v/>
      </c>
      <c r="R30" s="14">
        <f>IF((IF(H30="",0,9)+IF(J30="",0,5)+IF(L30="",0,4)+IF(N30="",0,4)+IF(P30="",0,5))=0,"",(IF(H30="",0,H30*9)+IF(J30="",0,J30*5)+IF(L30="",0,L30*4)+IF(N30="",0,N30*4)+IF(P30="",0,P30*5))/27)</f>
        <v/>
      </c>
      <c r="S30" s="11">
        <f>IF(OR(City_Inputs!$S30="",Norm_Stats!$F$7="",Norm_Stats!$G$7="",Norm_Stats!$G$7=Norm_Stats!$F$7),"",MAX(0,MIN(100,100*(Norm_Stats!$G$7-MIN(MAX(City_Inputs!$S30,Norm_Stats!$F$7),Norm_Stats!$G$7))/(Norm_Stats!$G$7-Norm_Stats!$F$7))))</f>
        <v/>
      </c>
      <c r="T30" s="14">
        <f>IF(S30="","",1)</f>
        <v/>
      </c>
      <c r="U30" s="11">
        <f>IF(OR(City_Inputs!$T30="",Norm_Stats!$F$8="",Norm_Stats!$G$8="",Norm_Stats!$G$8=Norm_Stats!$F$8),"",MAX(0,MIN(100,100*(MIN(MAX(City_Inputs!$T30,Norm_Stats!$F$8),Norm_Stats!$G$8)-Norm_Stats!$F$8)/(Norm_Stats!$G$8-Norm_Stats!$F$8))))</f>
        <v/>
      </c>
      <c r="V30" s="14">
        <f>IF(U30="","",1)</f>
        <v/>
      </c>
      <c r="W30" s="11">
        <f>IF(OR(City_Inputs!$U30="",Norm_Stats!$F$9="",Norm_Stats!$G$9="",Norm_Stats!$G$9=Norm_Stats!$F$9),"",MAX(0,MIN(100,100*(Norm_Stats!$G$9-MIN(MAX(City_Inputs!$U30,Norm_Stats!$F$9),Norm_Stats!$G$9))/(Norm_Stats!$G$9-Norm_Stats!$F$9))))</f>
        <v/>
      </c>
      <c r="X30" s="14">
        <f>IF(W30="","",1)</f>
        <v/>
      </c>
      <c r="Y30" s="11">
        <f>IF(OR(City_Inputs!$V30="",Norm_Stats!$F$10="",Norm_Stats!$G$10="",Norm_Stats!$G$10=Norm_Stats!$F$10),"",MAX(0,MIN(100,100*(MIN(MAX(City_Inputs!$V30,Norm_Stats!$F$10),Norm_Stats!$G$10)-Norm_Stats!$F$10)/(Norm_Stats!$G$10-Norm_Stats!$F$10))))</f>
        <v/>
      </c>
      <c r="Z30" s="14">
        <f>IF(Y30="","",1)</f>
        <v/>
      </c>
      <c r="AA30" s="11">
        <f>IF(OR(City_Inputs!$W30="",Norm_Stats!$F$11="",Norm_Stats!$G$11="",Norm_Stats!$G$11=Norm_Stats!$F$11),"",MAX(0,MIN(100,100*(MIN(MAX(City_Inputs!$W30,Norm_Stats!$F$11),Norm_Stats!$G$11)-Norm_Stats!$F$11)/(Norm_Stats!$G$11-Norm_Stats!$F$11))))</f>
        <v/>
      </c>
      <c r="AB30" s="14">
        <f>IF(AA30="","",1)</f>
        <v/>
      </c>
      <c r="AC30" s="11">
        <f>IF(OR(City_Inputs!$X30="",Norm_Stats!$F$12="",Norm_Stats!$G$12="",Norm_Stats!$G$12=Norm_Stats!$F$12),"",MAX(0,MIN(100,100*(MIN(MAX(City_Inputs!$X30,Norm_Stats!$F$12),Norm_Stats!$G$12)-Norm_Stats!$F$12)/(Norm_Stats!$G$12-Norm_Stats!$F$12))))</f>
        <v/>
      </c>
      <c r="AD30" s="11">
        <f>IF(AC30="","",1)</f>
        <v/>
      </c>
      <c r="AE30" s="15">
        <f>IF((IF(S30="",0,5)+IF(U30="",0,5)+IF(W30="",0,4)+IF(Y30="",0,4)+IF(AA30="",0,4)+IF(AC30="",0,5))=0,"",(IF(S30="",0,S30*5)+IF(U30="",0,U30*5)+IF(W30="",0,W30*4)+IF(Y30="",0,Y30*4)+IF(AA30="",0,AA30*4)+IF(AC30="",0,AC30*5))/(IF(S30="",0,5)+IF(U30="",0,5)+IF(W30="",0,4)+IF(Y30="",0,4)+IF(AA30="",0,4)+IF(AC30="",0,5)))</f>
        <v/>
      </c>
      <c r="AF30" s="14">
        <f>IF((IF(T30="",0,5)+IF(V30="",0,5)+IF(X30="",0,4)+IF(Z30="",0,4)+IF(AB30="",0,4)+IF(AD30="",0,5))=0,"",(IF(T30="",0,T30*5)+IF(V30="",0,V30*5)+IF(X30="",0,X30*4)+IF(Z30="",0,Z30*4)+IF(AB30="",0,AB30*4)+IF(AD30="",0,AD30*5))/27)</f>
        <v/>
      </c>
      <c r="AG30" s="11">
        <f>IF(OR(City_Inputs!$Y30="",Norm_Stats!$F$13="",Norm_Stats!$G$13="",Norm_Stats!$G$13=Norm_Stats!$F$13),"",MAX(0,MIN(100,100*(MIN(MAX(City_Inputs!$Y30,Norm_Stats!$F$13),Norm_Stats!$G$13)-Norm_Stats!$F$13)/(Norm_Stats!$G$13-Norm_Stats!$F$13))))</f>
        <v/>
      </c>
      <c r="AH30" s="14">
        <f>IF(AG30="","",1)</f>
        <v/>
      </c>
      <c r="AI30" s="11">
        <f>IF(OR(City_Inputs!$Z30="",Norm_Stats!$F$14="",Norm_Stats!$G$14="",Norm_Stats!$G$14=Norm_Stats!$F$14),"",MAX(0,MIN(100,100*(MIN(MAX(City_Inputs!$Z30,Norm_Stats!$F$14),Norm_Stats!$G$14)-Norm_Stats!$F$14)/(Norm_Stats!$G$14-Norm_Stats!$F$14))))</f>
        <v/>
      </c>
      <c r="AJ30" s="14">
        <f>IF(AI30="","",1)</f>
        <v/>
      </c>
      <c r="AK30" s="11">
        <f>IF((IF((IF(OR(City_Inputs!$AA30="",Norm_Stats!$F$15="",Norm_Stats!$G$15="",Norm_Stats!$G$15=Norm_Stats!$F$15),"",MAX(0,MIN(100,100*(MIN(MAX(City_Inputs!$AA30,Norm_Stats!$F$15),Norm_Stats!$G$15)-Norm_Stats!$F$15)/(Norm_Stats!$G$15-Norm_Stats!$F$15)))))="",0,0.7)+IF((IF(OR(City_Inputs!$AL30="",Norm_Stats!$F$16="",Norm_Stats!$G$16="",Norm_Stats!$G$16=Norm_Stats!$F$16),"",MAX(0,MIN(100,100*(Norm_Stats!$G$16-MIN(MAX(City_Inputs!$AL30,Norm_Stats!$F$16),Norm_Stats!$G$16))/(Norm_Stats!$G$16-Norm_Stats!$F$16)))))="",0,0.3))=0,"",(IF((IF(OR(City_Inputs!$AA30="",Norm_Stats!$F$15="",Norm_Stats!$G$15="",Norm_Stats!$G$15=Norm_Stats!$F$15),"",MAX(0,MIN(100,100*(MIN(MAX(City_Inputs!$AA30,Norm_Stats!$F$15),Norm_Stats!$G$15)-Norm_Stats!$F$15)/(Norm_Stats!$G$15-Norm_Stats!$F$15)))))="",0,(IF(OR(City_Inputs!$AA30="",Norm_Stats!$F$15="",Norm_Stats!$G$15="",Norm_Stats!$G$15=Norm_Stats!$F$15),"",MAX(0,MIN(100,100*(MIN(MAX(City_Inputs!$AA30,Norm_Stats!$F$15),Norm_Stats!$G$15)-Norm_Stats!$F$15)/(Norm_Stats!$G$15-Norm_Stats!$F$15)))))*0.7)+IF((IF(OR(City_Inputs!$AL30="",Norm_Stats!$F$16="",Norm_Stats!$G$16="",Norm_Stats!$G$16=Norm_Stats!$F$16),"",MAX(0,MIN(100,100*(Norm_Stats!$G$16-MIN(MAX(City_Inputs!$AL30,Norm_Stats!$F$16),Norm_Stats!$G$16))/(Norm_Stats!$G$16-Norm_Stats!$F$16)))))="",0,(IF(OR(City_Inputs!$AL30="",Norm_Stats!$F$16="",Norm_Stats!$G$16="",Norm_Stats!$G$16=Norm_Stats!$F$16),"",MAX(0,MIN(100,100*(Norm_Stats!$G$16-MIN(MAX(City_Inputs!$AL30,Norm_Stats!$F$16),Norm_Stats!$G$16))/(Norm_Stats!$G$16-Norm_Stats!$F$16)))))*0.3))/(IF((IF(OR(City_Inputs!$AA30="",Norm_Stats!$F$15="",Norm_Stats!$G$15="",Norm_Stats!$G$15=Norm_Stats!$F$15),"",MAX(0,MIN(100,100*(MIN(MAX(City_Inputs!$AA30,Norm_Stats!$F$15),Norm_Stats!$G$15)-Norm_Stats!$F$15)/(Norm_Stats!$G$15-Norm_Stats!$F$15)))))="",0,0.7)+IF((IF(OR(City_Inputs!$AL30="",Norm_Stats!$F$16="",Norm_Stats!$G$16="",Norm_Stats!$G$16=Norm_Stats!$F$16),"",MAX(0,MIN(100,100*(Norm_Stats!$G$16-MIN(MAX(City_Inputs!$AL30,Norm_Stats!$F$16),Norm_Stats!$G$16))/(Norm_Stats!$G$16-Norm_Stats!$F$16)))))="",0,0.3)))</f>
        <v/>
      </c>
      <c r="AL30" s="14">
        <f>IF((IF((IF(OR(City_Inputs!$AA30="",Norm_Stats!$F$15="",Norm_Stats!$G$15="",Norm_Stats!$G$15=Norm_Stats!$F$15),"",MAX(0,MIN(100,100*(MIN(MAX(City_Inputs!$AA30,Norm_Stats!$F$15),Norm_Stats!$G$15)-Norm_Stats!$F$15)/(Norm_Stats!$G$15-Norm_Stats!$F$15)))))="",0,0.7)+IF((IF(OR(City_Inputs!$AL30="",Norm_Stats!$F$16="",Norm_Stats!$G$16="",Norm_Stats!$G$16=Norm_Stats!$F$16),"",MAX(0,MIN(100,100*(Norm_Stats!$G$16-MIN(MAX(City_Inputs!$AL30,Norm_Stats!$F$16),Norm_Stats!$G$16))/(Norm_Stats!$G$16-Norm_Stats!$F$16)))))="",0,0.3))=0,"",(IF((IF(OR(City_Inputs!$AA30="",Norm_Stats!$F$15="",Norm_Stats!$G$15="",Norm_Stats!$G$15=Norm_Stats!$F$15),"",MAX(0,MIN(100,100*(MIN(MAX(City_Inputs!$AA30,Norm_Stats!$F$15),Norm_Stats!$G$15)-Norm_Stats!$F$15)/(Norm_Stats!$G$15-Norm_Stats!$F$15)))))="",0,0.7)+IF((IF(OR(City_Inputs!$AL30="",Norm_Stats!$F$16="",Norm_Stats!$G$16="",Norm_Stats!$G$16=Norm_Stats!$F$16),"",MAX(0,MIN(100,100*(Norm_Stats!$G$16-MIN(MAX(City_Inputs!$AL30,Norm_Stats!$F$16),Norm_Stats!$G$16))/(Norm_Stats!$G$16-Norm_Stats!$F$16)))))="",0,0.3)))</f>
        <v/>
      </c>
      <c r="AM30" s="15">
        <f>IF((IF(AG30="",0,8)+IF(AI30="",0,6)+IF(AK30="",0,4))=0,"",(IF(AG30="",0,AG30*8)+IF(AI30="",0,AI30*6)+IF(AK30="",0,AK30*4))/(IF(AG30="",0,8)+IF(AI30="",0,6)+IF(AK30="",0,4)))</f>
        <v/>
      </c>
      <c r="AN30" s="14">
        <f>IF((IF(AH30="",0,8)+IF(AJ30="",0,6)+IF(AL30="",0,4))=0,"",(IF(AH30="",0,AH30*8)+IF(AJ30="",0,AJ30*6)+IF(AL30="",0,AL30*4))/18)</f>
        <v/>
      </c>
      <c r="AO30" s="11">
        <f>IF(OR(City_Inputs!$AB30="",Norm_Stats!$F$17="",Norm_Stats!$G$17="",Norm_Stats!$G$17=Norm_Stats!$F$17),"",MAX(0,MIN(100,100*(MIN(MAX(City_Inputs!$AB30,Norm_Stats!$F$17),Norm_Stats!$G$17)-Norm_Stats!$F$17)/(Norm_Stats!$G$17-Norm_Stats!$F$17))))</f>
        <v/>
      </c>
      <c r="AP30" s="14">
        <f>IF(AO30="","",1)</f>
        <v/>
      </c>
      <c r="AQ30" s="11">
        <f>IF(OR(City_Inputs!$AC30="",Norm_Stats!$F$18="",Norm_Stats!$G$18="",Norm_Stats!$G$18=Norm_Stats!$F$18),"",MAX(0,MIN(100,100*(MIN(MAX(City_Inputs!$AC30,Norm_Stats!$F$18),Norm_Stats!$G$18)-Norm_Stats!$F$18)/(Norm_Stats!$G$18-Norm_Stats!$F$18))))</f>
        <v/>
      </c>
      <c r="AR30" s="14">
        <f>IF(AQ30="","",1)</f>
        <v/>
      </c>
      <c r="AS30" s="11">
        <f>IF(OR(City_Inputs!$AD30="",Norm_Stats!$F$19="",Norm_Stats!$G$19="",Norm_Stats!$G$19=Norm_Stats!$F$19),"",MAX(0,MIN(100,100*(MIN(MAX(City_Inputs!$AD30,Norm_Stats!$F$19),Norm_Stats!$G$19)-Norm_Stats!$F$19)/(Norm_Stats!$G$19-Norm_Stats!$F$19))))</f>
        <v/>
      </c>
      <c r="AT30" s="14">
        <f>IF(AS30="","",1)</f>
        <v/>
      </c>
      <c r="AU30" s="11">
        <f>IF(OR(City_Inputs!$BJ30="",Norm_Stats!$F$26="",Norm_Stats!$G$26="",Norm_Stats!$G$26=Norm_Stats!$F$26),"",MAX(0,MIN(100,100*(MIN(MAX(City_Inputs!$BJ30,Norm_Stats!$F$26),Norm_Stats!$G$26)-Norm_Stats!$F$26)/(Norm_Stats!$G$26-Norm_Stats!$F$26))))</f>
        <v/>
      </c>
      <c r="AV30" s="11">
        <f>IF(AU30="","",1)</f>
        <v/>
      </c>
      <c r="AW30" s="15">
        <f>IF((IF(AO30="",0,5)+IF(AQ30="",0,5)+IF(AS30="",0,5)+IF(AU30="",0,4))=0,"",(IF(AO30="",0,AO30*5)+IF(AQ30="",0,AQ30*5)+IF(AS30="",0,AS30*5)+IF(AU30="",0,AU30*4))/(IF(AO30="",0,5)+IF(AQ30="",0,5)+IF(AS30="",0,5)+IF(AU30="",0,4)))</f>
        <v/>
      </c>
      <c r="AX30" s="14">
        <f>IF((IF(AP30="",0,5)+IF(AR30="",0,5)+IF(AT30="",0,5)+IF(AV30="",0,4))=0,"",(IF(AP30="",0,AP30*5)+IF(AR30="",0,AR30*5)+IF(AT30="",0,AT30*5)+IF(AV30="",0,AV30*4))/19)</f>
        <v/>
      </c>
      <c r="AY30" s="11">
        <f>IF(OR(City_Inputs!$AE30="",Norm_Stats!$F$20="",Norm_Stats!$G$20="",Norm_Stats!$G$20=Norm_Stats!$F$20),"",MAX(0,MIN(100,100*(MIN(MAX(City_Inputs!$AE30,Norm_Stats!$F$20),Norm_Stats!$G$20)-Norm_Stats!$F$20)/(Norm_Stats!$G$20-Norm_Stats!$F$20))))</f>
        <v/>
      </c>
      <c r="AZ30" s="14">
        <f>IF(AY30="","",1)</f>
        <v/>
      </c>
      <c r="BA30" s="11">
        <f>IF(OR(City_Inputs!$AF30="",Norm_Stats!$F$21="",Norm_Stats!$G$21="",Norm_Stats!$G$21=Norm_Stats!$F$21),"",MAX(0,MIN(100,100*(MIN(MAX(City_Inputs!$AF30,Norm_Stats!$F$21),Norm_Stats!$G$21)-Norm_Stats!$F$21)/(Norm_Stats!$G$21-Norm_Stats!$F$21))))</f>
        <v/>
      </c>
      <c r="BB30" s="14">
        <f>IF(BA30="","",1)</f>
        <v/>
      </c>
      <c r="BC30" s="11">
        <f>IF((IF((IF(OR(City_Inputs!$AG30="",Norm_Stats!$F$22="",Norm_Stats!$G$22="",Norm_Stats!$G$22=Norm_Stats!$F$22),"",MAX(0,MIN(100,100*(MIN(MAX(City_Inputs!$AG30,Norm_Stats!$F$22),Norm_Stats!$G$22)-Norm_Stats!$F$22)/(Norm_Stats!$G$22-Norm_Stats!$F$22)))))="",0,0.5)+IF((IF(OR(City_Inputs!$AJ30="",Norm_Stats!$F$23="",Norm_Stats!$G$23="",Norm_Stats!$G$23=Norm_Stats!$F$23),"",MAX(0,MIN(100,100*(MIN(MAX(City_Inputs!$AJ30,Norm_Stats!$F$23),Norm_Stats!$G$23)-Norm_Stats!$F$23)/(Norm_Stats!$G$23-Norm_Stats!$F$23)))))="",0,0.3)+IF((IF(OR(City_Inputs!$AK30="",Norm_Stats!$F$24="",Norm_Stats!$G$24="",Norm_Stats!$G$24=Norm_Stats!$F$24),"",MAX(0,MIN(100,100*(MIN(MAX(City_Inputs!$AK30,Norm_Stats!$F$24),Norm_Stats!$G$24)-Norm_Stats!$F$24)/(Norm_Stats!$G$24-Norm_Stats!$F$24)))))="",0,0.2))=0,"",(IF((IF(OR(City_Inputs!$AG30="",Norm_Stats!$F$22="",Norm_Stats!$G$22="",Norm_Stats!$G$22=Norm_Stats!$F$22),"",MAX(0,MIN(100,100*(MIN(MAX(City_Inputs!$AG30,Norm_Stats!$F$22),Norm_Stats!$G$22)-Norm_Stats!$F$22)/(Norm_Stats!$G$22-Norm_Stats!$F$22)))))="",0,(IF(OR(City_Inputs!$AG30="",Norm_Stats!$F$22="",Norm_Stats!$G$22="",Norm_Stats!$G$22=Norm_Stats!$F$22),"",MAX(0,MIN(100,100*(MIN(MAX(City_Inputs!$AG30,Norm_Stats!$F$22),Norm_Stats!$G$22)-Norm_Stats!$F$22)/(Norm_Stats!$G$22-Norm_Stats!$F$22)))))*0.5)+IF((IF(OR(City_Inputs!$AJ30="",Norm_Stats!$F$23="",Norm_Stats!$G$23="",Norm_Stats!$G$23=Norm_Stats!$F$23),"",MAX(0,MIN(100,100*(MIN(MAX(City_Inputs!$AJ30,Norm_Stats!$F$23),Norm_Stats!$G$23)-Norm_Stats!$F$23)/(Norm_Stats!$G$23-Norm_Stats!$F$23)))))="",0,(IF(OR(City_Inputs!$AJ30="",Norm_Stats!$F$23="",Norm_Stats!$G$23="",Norm_Stats!$G$23=Norm_Stats!$F$23),"",MAX(0,MIN(100,100*(MIN(MAX(City_Inputs!$AJ30,Norm_Stats!$F$23),Norm_Stats!$G$23)-Norm_Stats!$F$23)/(Norm_Stats!$G$23-Norm_Stats!$F$23)))))*0.3)+IF((IF(OR(City_Inputs!$AK30="",Norm_Stats!$F$24="",Norm_Stats!$G$24="",Norm_Stats!$G$24=Norm_Stats!$F$24),"",MAX(0,MIN(100,100*(MIN(MAX(City_Inputs!$AK30,Norm_Stats!$F$24),Norm_Stats!$G$24)-Norm_Stats!$F$24)/(Norm_Stats!$G$24-Norm_Stats!$F$24)))))="",0,(IF(OR(City_Inputs!$AK30="",Norm_Stats!$F$24="",Norm_Stats!$G$24="",Norm_Stats!$G$24=Norm_Stats!$F$24),"",MAX(0,MIN(100,100*(MIN(MAX(City_Inputs!$AK30,Norm_Stats!$F$24),Norm_Stats!$G$24)-Norm_Stats!$F$24)/(Norm_Stats!$G$24-Norm_Stats!$F$24)))))*0.2))/(IF((IF(OR(City_Inputs!$AG30="",Norm_Stats!$F$22="",Norm_Stats!$G$22="",Norm_Stats!$G$22=Norm_Stats!$F$22),"",MAX(0,MIN(100,100*(MIN(MAX(City_Inputs!$AG30,Norm_Stats!$F$22),Norm_Stats!$G$22)-Norm_Stats!$F$22)/(Norm_Stats!$G$22-Norm_Stats!$F$22)))))="",0,0.5)+IF((IF(OR(City_Inputs!$AJ30="",Norm_Stats!$F$23="",Norm_Stats!$G$23="",Norm_Stats!$G$23=Norm_Stats!$F$23),"",MAX(0,MIN(100,100*(MIN(MAX(City_Inputs!$AJ30,Norm_Stats!$F$23),Norm_Stats!$G$23)-Norm_Stats!$F$23)/(Norm_Stats!$G$23-Norm_Stats!$F$23)))))="",0,0.3)+IF((IF(OR(City_Inputs!$AK30="",Norm_Stats!$F$24="",Norm_Stats!$G$24="",Norm_Stats!$G$24=Norm_Stats!$F$24),"",MAX(0,MIN(100,100*(MIN(MAX(City_Inputs!$AK30,Norm_Stats!$F$24),Norm_Stats!$G$24)-Norm_Stats!$F$24)/(Norm_Stats!$G$24-Norm_Stats!$F$24)))))="",0,0.2)))</f>
        <v/>
      </c>
      <c r="BD30" s="14">
        <f>IF((IF((IF(OR(City_Inputs!$AG30="",Norm_Stats!$F$22="",Norm_Stats!$G$22="",Norm_Stats!$G$22=Norm_Stats!$F$22),"",MAX(0,MIN(100,100*(MIN(MAX(City_Inputs!$AG30,Norm_Stats!$F$22),Norm_Stats!$G$22)-Norm_Stats!$F$22)/(Norm_Stats!$G$22-Norm_Stats!$F$22)))))="",0,0.5)+IF((IF(OR(City_Inputs!$AJ30="",Norm_Stats!$F$23="",Norm_Stats!$G$23="",Norm_Stats!$G$23=Norm_Stats!$F$23),"",MAX(0,MIN(100,100*(MIN(MAX(City_Inputs!$AJ30,Norm_Stats!$F$23),Norm_Stats!$G$23)-Norm_Stats!$F$23)/(Norm_Stats!$G$23-Norm_Stats!$F$23)))))="",0,0.3)+IF((IF(OR(City_Inputs!$AK30="",Norm_Stats!$F$24="",Norm_Stats!$G$24="",Norm_Stats!$G$24=Norm_Stats!$F$24),"",MAX(0,MIN(100,100*(MIN(MAX(City_Inputs!$AK30,Norm_Stats!$F$24),Norm_Stats!$G$24)-Norm_Stats!$F$24)/(Norm_Stats!$G$24-Norm_Stats!$F$24)))))="",0,0.2))=0,"",(IF((IF(OR(City_Inputs!$AG30="",Norm_Stats!$F$22="",Norm_Stats!$G$22="",Norm_Stats!$G$22=Norm_Stats!$F$22),"",MAX(0,MIN(100,100*(MIN(MAX(City_Inputs!$AG30,Norm_Stats!$F$22),Norm_Stats!$G$22)-Norm_Stats!$F$22)/(Norm_Stats!$G$22-Norm_Stats!$F$22)))))="",0,0.5)+IF((IF(OR(City_Inputs!$AJ30="",Norm_Stats!$F$23="",Norm_Stats!$G$23="",Norm_Stats!$G$23=Norm_Stats!$F$23),"",MAX(0,MIN(100,100*(MIN(MAX(City_Inputs!$AJ30,Norm_Stats!$F$23),Norm_Stats!$G$23)-Norm_Stats!$F$23)/(Norm_Stats!$G$23-Norm_Stats!$F$23)))))="",0,0.3)+IF((IF(OR(City_Inputs!$AK30="",Norm_Stats!$F$24="",Norm_Stats!$G$24="",Norm_Stats!$G$24=Norm_Stats!$F$24),"",MAX(0,MIN(100,100*(MIN(MAX(City_Inputs!$AK30,Norm_Stats!$F$24),Norm_Stats!$G$24)-Norm_Stats!$F$24)/(Norm_Stats!$G$24-Norm_Stats!$F$24)))))="",0,0.2)))</f>
        <v/>
      </c>
      <c r="BE30" s="11">
        <f>IF(OR(City_Inputs!$AH30="",Norm_Stats!$F$25="",Norm_Stats!$G$25="",Norm_Stats!$G$25=Norm_Stats!$F$25),"",MAX(0,MIN(100,100*(Norm_Stats!$G$25-MIN(MAX(City_Inputs!$AH30,Norm_Stats!$F$25),Norm_Stats!$G$25))/(Norm_Stats!$G$25-Norm_Stats!$F$25))))</f>
        <v/>
      </c>
      <c r="BF30" s="14">
        <f>IF(BE30="","",1)</f>
        <v/>
      </c>
      <c r="BG30" s="15">
        <f>IF((IF(AY30="",0,6)+IF(BA30="",0,5)+IF(BC30="",0,5)+IF(BE30="",0,4))=0,"",(IF(AY30="",0,AY30*6)+IF(BA30="",0,BA30*5)+IF(BC30="",0,BC30*5)+IF(BE30="",0,BE30*4))/(IF(AY30="",0,6)+IF(BA30="",0,5)+IF(BC30="",0,5)+IF(BE30="",0,4)))</f>
        <v/>
      </c>
      <c r="BH30" s="14">
        <f>IF((IF(AZ30="",0,6)+IF(BB30="",0,5)+IF(BD30="",0,5)+IF(BF30="",0,4))=0,"",(IF(AZ30="",0,AZ30*6)+IF(BB30="",0,BB30*5)+IF(BD30="",0,BD30*5)+IF(BF30="",0,BF30*4))/20)</f>
        <v/>
      </c>
      <c r="BI30" s="14">
        <f>IF(AND(R30="",AF30="",AN30="",AX30="",BH30=""),"",((R30*25)+(AF30*22)+(AN30*18)+(AX30*15)+(BH30*20))/100)</f>
        <v/>
      </c>
      <c r="BJ30" s="11">
        <f>IF(BI30="","",IF(BI30&gt;=0.75,"A",IF(BI30&gt;=0.5,"B",IF(BI30&gt;=0.35,"C","Watchlist"))))</f>
        <v/>
      </c>
      <c r="BK30" s="11">
        <f>IF(OR(BI30="",BI30&lt;0.5,R30="",R30&lt;0.35,AF30="",AF30&lt;0.35,AN30="",AN30&lt;0.35,AX30="",AX30&lt;0.35,BH30="",BH30&lt;0.35),"Watchlist","Ranked")</f>
        <v/>
      </c>
      <c r="BL30" s="15">
        <f>IF(AND(Q30="",AE30="",AM30="",AW30="",BG30=""),"",(IF(Q30="",0,Q30*25)+IF(AE30="",0,AE30*22)+IF(AM30="",0,AM30*18)+IF(AW30="",0,AW30*15)+IF(BG30="",0,BG30*20))/(IF(Q30="",0,25)+IF(AE30="",0,22)+IF(AM30="",0,18)+IF(AW30="",0,15)+IF(BG30="",0,20)))</f>
        <v/>
      </c>
      <c r="BM30" s="11">
        <f>IF(BK30="Ranked",1+COUNTIFS($BK$2:$BK$158,"Ranked",$BL$2:$BL$158,"&gt;"&amp;BL30),"")</f>
        <v/>
      </c>
      <c r="BN30" s="11">
        <f>City_Inputs!$AI30</f>
        <v/>
      </c>
    </row>
    <row r="31">
      <c r="A31" t="inlineStr">
        <is>
          <t>lk-colombo</t>
        </is>
      </c>
      <c r="B31" t="inlineStr">
        <is>
          <t>Colombo</t>
        </is>
      </c>
      <c r="C31" t="inlineStr">
        <is>
          <t>Sri Lanka</t>
        </is>
      </c>
      <c r="D31" t="inlineStr">
        <is>
          <t>South Asia</t>
        </is>
      </c>
      <c r="E31" t="inlineStr">
        <is>
          <t>locked</t>
        </is>
      </c>
      <c r="F31" t="inlineStr">
        <is>
          <t>primary</t>
        </is>
      </c>
      <c r="G31" s="11">
        <f>IF(OR(City_Inputs!$M31="",Norm_Stats!$F$2="",Norm_Stats!$G$2="",Norm_Stats!$G$2=Norm_Stats!$F$2),"",MAX(0,MIN(100,100*(MIN(MAX(City_Inputs!$M31,Norm_Stats!$F$2),Norm_Stats!$G$2)-Norm_Stats!$F$2)/(Norm_Stats!$G$2-Norm_Stats!$F$2))))</f>
        <v/>
      </c>
      <c r="H31" s="14">
        <f>IF(G31="","",1)</f>
        <v/>
      </c>
      <c r="I31" s="11">
        <f>IF(OR(City_Inputs!$N31="",Norm_Stats!$F$3="",Norm_Stats!$G$3="",Norm_Stats!$G$3=Norm_Stats!$F$3),"",MAX(0,MIN(100,100*(Norm_Stats!$G$3-MIN(MAX(City_Inputs!$N31,Norm_Stats!$F$3),Norm_Stats!$G$3))/(Norm_Stats!$G$3-Norm_Stats!$F$3))))</f>
        <v/>
      </c>
      <c r="J31" s="14">
        <f>IF(I31="","",1)</f>
        <v/>
      </c>
      <c r="K31" s="11">
        <f>IF(OR(City_Inputs!$P31="",Norm_Stats!$F$4="",Norm_Stats!$G$4="",Norm_Stats!$G$4=Norm_Stats!$F$4),"",MAX(0,MIN(100,100*(Norm_Stats!$G$4-MIN(MAX(City_Inputs!$P31,Norm_Stats!$F$4),Norm_Stats!$G$4))/(Norm_Stats!$G$4-Norm_Stats!$F$4))))</f>
        <v/>
      </c>
      <c r="L31" s="14">
        <f>IF(K31="","",1)</f>
        <v/>
      </c>
      <c r="M31" s="11">
        <f>IF(OR(City_Inputs!$Q31="",Norm_Stats!$F$5="",Norm_Stats!$G$5="",Norm_Stats!$G$5=Norm_Stats!$F$5),"",MAX(0,MIN(100,100*(Norm_Stats!$G$5-MIN(MAX(City_Inputs!$Q31,Norm_Stats!$F$5),Norm_Stats!$G$5))/(Norm_Stats!$G$5-Norm_Stats!$F$5))))</f>
        <v/>
      </c>
      <c r="N31" s="14">
        <f>IF(M31="","",1)</f>
        <v/>
      </c>
      <c r="O31" s="11">
        <f>IF(OR(City_Inputs!$R31="",Norm_Stats!$F$6="",Norm_Stats!$G$6="",Norm_Stats!$G$6=Norm_Stats!$F$6),"",MAX(0,MIN(100,100*(Norm_Stats!$G$6-MIN(MAX(City_Inputs!$R31,Norm_Stats!$F$6),Norm_Stats!$G$6))/(Norm_Stats!$G$6-Norm_Stats!$F$6))))</f>
        <v/>
      </c>
      <c r="P31" s="14">
        <f>IF(O31="","",1)</f>
        <v/>
      </c>
      <c r="Q31" s="15">
        <f>IF((IF(G31="",0,9)+IF(I31="",0,5)+IF(K31="",0,4)+IF(M31="",0,4)+IF(O31="",0,5))=0,"",(IF(G31="",0,G31*9)+IF(I31="",0,I31*5)+IF(K31="",0,K31*4)+IF(M31="",0,M31*4)+IF(O31="",0,O31*5))/(IF(G31="",0,9)+IF(I31="",0,5)+IF(K31="",0,4)+IF(M31="",0,4)+IF(O31="",0,5)))</f>
        <v/>
      </c>
      <c r="R31" s="14">
        <f>IF((IF(H31="",0,9)+IF(J31="",0,5)+IF(L31="",0,4)+IF(N31="",0,4)+IF(P31="",0,5))=0,"",(IF(H31="",0,H31*9)+IF(J31="",0,J31*5)+IF(L31="",0,L31*4)+IF(N31="",0,N31*4)+IF(P31="",0,P31*5))/27)</f>
        <v/>
      </c>
      <c r="S31" s="11">
        <f>IF(OR(City_Inputs!$S31="",Norm_Stats!$F$7="",Norm_Stats!$G$7="",Norm_Stats!$G$7=Norm_Stats!$F$7),"",MAX(0,MIN(100,100*(Norm_Stats!$G$7-MIN(MAX(City_Inputs!$S31,Norm_Stats!$F$7),Norm_Stats!$G$7))/(Norm_Stats!$G$7-Norm_Stats!$F$7))))</f>
        <v/>
      </c>
      <c r="T31" s="14">
        <f>IF(S31="","",1)</f>
        <v/>
      </c>
      <c r="U31" s="11">
        <f>IF(OR(City_Inputs!$T31="",Norm_Stats!$F$8="",Norm_Stats!$G$8="",Norm_Stats!$G$8=Norm_Stats!$F$8),"",MAX(0,MIN(100,100*(MIN(MAX(City_Inputs!$T31,Norm_Stats!$F$8),Norm_Stats!$G$8)-Norm_Stats!$F$8)/(Norm_Stats!$G$8-Norm_Stats!$F$8))))</f>
        <v/>
      </c>
      <c r="V31" s="14">
        <f>IF(U31="","",1)</f>
        <v/>
      </c>
      <c r="W31" s="11">
        <f>IF(OR(City_Inputs!$U31="",Norm_Stats!$F$9="",Norm_Stats!$G$9="",Norm_Stats!$G$9=Norm_Stats!$F$9),"",MAX(0,MIN(100,100*(Norm_Stats!$G$9-MIN(MAX(City_Inputs!$U31,Norm_Stats!$F$9),Norm_Stats!$G$9))/(Norm_Stats!$G$9-Norm_Stats!$F$9))))</f>
        <v/>
      </c>
      <c r="X31" s="14">
        <f>IF(W31="","",1)</f>
        <v/>
      </c>
      <c r="Y31" s="11">
        <f>IF(OR(City_Inputs!$V31="",Norm_Stats!$F$10="",Norm_Stats!$G$10="",Norm_Stats!$G$10=Norm_Stats!$F$10),"",MAX(0,MIN(100,100*(MIN(MAX(City_Inputs!$V31,Norm_Stats!$F$10),Norm_Stats!$G$10)-Norm_Stats!$F$10)/(Norm_Stats!$G$10-Norm_Stats!$F$10))))</f>
        <v/>
      </c>
      <c r="Z31" s="14">
        <f>IF(Y31="","",1)</f>
        <v/>
      </c>
      <c r="AA31" s="11">
        <f>IF(OR(City_Inputs!$W31="",Norm_Stats!$F$11="",Norm_Stats!$G$11="",Norm_Stats!$G$11=Norm_Stats!$F$11),"",MAX(0,MIN(100,100*(MIN(MAX(City_Inputs!$W31,Norm_Stats!$F$11),Norm_Stats!$G$11)-Norm_Stats!$F$11)/(Norm_Stats!$G$11-Norm_Stats!$F$11))))</f>
        <v/>
      </c>
      <c r="AB31" s="14">
        <f>IF(AA31="","",1)</f>
        <v/>
      </c>
      <c r="AC31" s="11">
        <f>IF(OR(City_Inputs!$X31="",Norm_Stats!$F$12="",Norm_Stats!$G$12="",Norm_Stats!$G$12=Norm_Stats!$F$12),"",MAX(0,MIN(100,100*(MIN(MAX(City_Inputs!$X31,Norm_Stats!$F$12),Norm_Stats!$G$12)-Norm_Stats!$F$12)/(Norm_Stats!$G$12-Norm_Stats!$F$12))))</f>
        <v/>
      </c>
      <c r="AD31" s="11">
        <f>IF(AC31="","",1)</f>
        <v/>
      </c>
      <c r="AE31" s="15">
        <f>IF((IF(S31="",0,5)+IF(U31="",0,5)+IF(W31="",0,4)+IF(Y31="",0,4)+IF(AA31="",0,4)+IF(AC31="",0,5))=0,"",(IF(S31="",0,S31*5)+IF(U31="",0,U31*5)+IF(W31="",0,W31*4)+IF(Y31="",0,Y31*4)+IF(AA31="",0,AA31*4)+IF(AC31="",0,AC31*5))/(IF(S31="",0,5)+IF(U31="",0,5)+IF(W31="",0,4)+IF(Y31="",0,4)+IF(AA31="",0,4)+IF(AC31="",0,5)))</f>
        <v/>
      </c>
      <c r="AF31" s="14">
        <f>IF((IF(T31="",0,5)+IF(V31="",0,5)+IF(X31="",0,4)+IF(Z31="",0,4)+IF(AB31="",0,4)+IF(AD31="",0,5))=0,"",(IF(T31="",0,T31*5)+IF(V31="",0,V31*5)+IF(X31="",0,X31*4)+IF(Z31="",0,Z31*4)+IF(AB31="",0,AB31*4)+IF(AD31="",0,AD31*5))/27)</f>
        <v/>
      </c>
      <c r="AG31" s="11">
        <f>IF(OR(City_Inputs!$Y31="",Norm_Stats!$F$13="",Norm_Stats!$G$13="",Norm_Stats!$G$13=Norm_Stats!$F$13),"",MAX(0,MIN(100,100*(MIN(MAX(City_Inputs!$Y31,Norm_Stats!$F$13),Norm_Stats!$G$13)-Norm_Stats!$F$13)/(Norm_Stats!$G$13-Norm_Stats!$F$13))))</f>
        <v/>
      </c>
      <c r="AH31" s="14">
        <f>IF(AG31="","",1)</f>
        <v/>
      </c>
      <c r="AI31" s="11">
        <f>IF(OR(City_Inputs!$Z31="",Norm_Stats!$F$14="",Norm_Stats!$G$14="",Norm_Stats!$G$14=Norm_Stats!$F$14),"",MAX(0,MIN(100,100*(MIN(MAX(City_Inputs!$Z31,Norm_Stats!$F$14),Norm_Stats!$G$14)-Norm_Stats!$F$14)/(Norm_Stats!$G$14-Norm_Stats!$F$14))))</f>
        <v/>
      </c>
      <c r="AJ31" s="14">
        <f>IF(AI31="","",1)</f>
        <v/>
      </c>
      <c r="AK31" s="11">
        <f>IF((IF((IF(OR(City_Inputs!$AA31="",Norm_Stats!$F$15="",Norm_Stats!$G$15="",Norm_Stats!$G$15=Norm_Stats!$F$15),"",MAX(0,MIN(100,100*(MIN(MAX(City_Inputs!$AA31,Norm_Stats!$F$15),Norm_Stats!$G$15)-Norm_Stats!$F$15)/(Norm_Stats!$G$15-Norm_Stats!$F$15)))))="",0,0.7)+IF((IF(OR(City_Inputs!$AL31="",Norm_Stats!$F$16="",Norm_Stats!$G$16="",Norm_Stats!$G$16=Norm_Stats!$F$16),"",MAX(0,MIN(100,100*(Norm_Stats!$G$16-MIN(MAX(City_Inputs!$AL31,Norm_Stats!$F$16),Norm_Stats!$G$16))/(Norm_Stats!$G$16-Norm_Stats!$F$16)))))="",0,0.3))=0,"",(IF((IF(OR(City_Inputs!$AA31="",Norm_Stats!$F$15="",Norm_Stats!$G$15="",Norm_Stats!$G$15=Norm_Stats!$F$15),"",MAX(0,MIN(100,100*(MIN(MAX(City_Inputs!$AA31,Norm_Stats!$F$15),Norm_Stats!$G$15)-Norm_Stats!$F$15)/(Norm_Stats!$G$15-Norm_Stats!$F$15)))))="",0,(IF(OR(City_Inputs!$AA31="",Norm_Stats!$F$15="",Norm_Stats!$G$15="",Norm_Stats!$G$15=Norm_Stats!$F$15),"",MAX(0,MIN(100,100*(MIN(MAX(City_Inputs!$AA31,Norm_Stats!$F$15),Norm_Stats!$G$15)-Norm_Stats!$F$15)/(Norm_Stats!$G$15-Norm_Stats!$F$15)))))*0.7)+IF((IF(OR(City_Inputs!$AL31="",Norm_Stats!$F$16="",Norm_Stats!$G$16="",Norm_Stats!$G$16=Norm_Stats!$F$16),"",MAX(0,MIN(100,100*(Norm_Stats!$G$16-MIN(MAX(City_Inputs!$AL31,Norm_Stats!$F$16),Norm_Stats!$G$16))/(Norm_Stats!$G$16-Norm_Stats!$F$16)))))="",0,(IF(OR(City_Inputs!$AL31="",Norm_Stats!$F$16="",Norm_Stats!$G$16="",Norm_Stats!$G$16=Norm_Stats!$F$16),"",MAX(0,MIN(100,100*(Norm_Stats!$G$16-MIN(MAX(City_Inputs!$AL31,Norm_Stats!$F$16),Norm_Stats!$G$16))/(Norm_Stats!$G$16-Norm_Stats!$F$16)))))*0.3))/(IF((IF(OR(City_Inputs!$AA31="",Norm_Stats!$F$15="",Norm_Stats!$G$15="",Norm_Stats!$G$15=Norm_Stats!$F$15),"",MAX(0,MIN(100,100*(MIN(MAX(City_Inputs!$AA31,Norm_Stats!$F$15),Norm_Stats!$G$15)-Norm_Stats!$F$15)/(Norm_Stats!$G$15-Norm_Stats!$F$15)))))="",0,0.7)+IF((IF(OR(City_Inputs!$AL31="",Norm_Stats!$F$16="",Norm_Stats!$G$16="",Norm_Stats!$G$16=Norm_Stats!$F$16),"",MAX(0,MIN(100,100*(Norm_Stats!$G$16-MIN(MAX(City_Inputs!$AL31,Norm_Stats!$F$16),Norm_Stats!$G$16))/(Norm_Stats!$G$16-Norm_Stats!$F$16)))))="",0,0.3)))</f>
        <v/>
      </c>
      <c r="AL31" s="14">
        <f>IF((IF((IF(OR(City_Inputs!$AA31="",Norm_Stats!$F$15="",Norm_Stats!$G$15="",Norm_Stats!$G$15=Norm_Stats!$F$15),"",MAX(0,MIN(100,100*(MIN(MAX(City_Inputs!$AA31,Norm_Stats!$F$15),Norm_Stats!$G$15)-Norm_Stats!$F$15)/(Norm_Stats!$G$15-Norm_Stats!$F$15)))))="",0,0.7)+IF((IF(OR(City_Inputs!$AL31="",Norm_Stats!$F$16="",Norm_Stats!$G$16="",Norm_Stats!$G$16=Norm_Stats!$F$16),"",MAX(0,MIN(100,100*(Norm_Stats!$G$16-MIN(MAX(City_Inputs!$AL31,Norm_Stats!$F$16),Norm_Stats!$G$16))/(Norm_Stats!$G$16-Norm_Stats!$F$16)))))="",0,0.3))=0,"",(IF((IF(OR(City_Inputs!$AA31="",Norm_Stats!$F$15="",Norm_Stats!$G$15="",Norm_Stats!$G$15=Norm_Stats!$F$15),"",MAX(0,MIN(100,100*(MIN(MAX(City_Inputs!$AA31,Norm_Stats!$F$15),Norm_Stats!$G$15)-Norm_Stats!$F$15)/(Norm_Stats!$G$15-Norm_Stats!$F$15)))))="",0,0.7)+IF((IF(OR(City_Inputs!$AL31="",Norm_Stats!$F$16="",Norm_Stats!$G$16="",Norm_Stats!$G$16=Norm_Stats!$F$16),"",MAX(0,MIN(100,100*(Norm_Stats!$G$16-MIN(MAX(City_Inputs!$AL31,Norm_Stats!$F$16),Norm_Stats!$G$16))/(Norm_Stats!$G$16-Norm_Stats!$F$16)))))="",0,0.3)))</f>
        <v/>
      </c>
      <c r="AM31" s="15">
        <f>IF((IF(AG31="",0,8)+IF(AI31="",0,6)+IF(AK31="",0,4))=0,"",(IF(AG31="",0,AG31*8)+IF(AI31="",0,AI31*6)+IF(AK31="",0,AK31*4))/(IF(AG31="",0,8)+IF(AI31="",0,6)+IF(AK31="",0,4)))</f>
        <v/>
      </c>
      <c r="AN31" s="14">
        <f>IF((IF(AH31="",0,8)+IF(AJ31="",0,6)+IF(AL31="",0,4))=0,"",(IF(AH31="",0,AH31*8)+IF(AJ31="",0,AJ31*6)+IF(AL31="",0,AL31*4))/18)</f>
        <v/>
      </c>
      <c r="AO31" s="11">
        <f>IF(OR(City_Inputs!$AB31="",Norm_Stats!$F$17="",Norm_Stats!$G$17="",Norm_Stats!$G$17=Norm_Stats!$F$17),"",MAX(0,MIN(100,100*(MIN(MAX(City_Inputs!$AB31,Norm_Stats!$F$17),Norm_Stats!$G$17)-Norm_Stats!$F$17)/(Norm_Stats!$G$17-Norm_Stats!$F$17))))</f>
        <v/>
      </c>
      <c r="AP31" s="14">
        <f>IF(AO31="","",1)</f>
        <v/>
      </c>
      <c r="AQ31" s="11">
        <f>IF(OR(City_Inputs!$AC31="",Norm_Stats!$F$18="",Norm_Stats!$G$18="",Norm_Stats!$G$18=Norm_Stats!$F$18),"",MAX(0,MIN(100,100*(MIN(MAX(City_Inputs!$AC31,Norm_Stats!$F$18),Norm_Stats!$G$18)-Norm_Stats!$F$18)/(Norm_Stats!$G$18-Norm_Stats!$F$18))))</f>
        <v/>
      </c>
      <c r="AR31" s="14">
        <f>IF(AQ31="","",1)</f>
        <v/>
      </c>
      <c r="AS31" s="11">
        <f>IF(OR(City_Inputs!$AD31="",Norm_Stats!$F$19="",Norm_Stats!$G$19="",Norm_Stats!$G$19=Norm_Stats!$F$19),"",MAX(0,MIN(100,100*(MIN(MAX(City_Inputs!$AD31,Norm_Stats!$F$19),Norm_Stats!$G$19)-Norm_Stats!$F$19)/(Norm_Stats!$G$19-Norm_Stats!$F$19))))</f>
        <v/>
      </c>
      <c r="AT31" s="14">
        <f>IF(AS31="","",1)</f>
        <v/>
      </c>
      <c r="AU31" s="11">
        <f>IF(OR(City_Inputs!$BJ31="",Norm_Stats!$F$26="",Norm_Stats!$G$26="",Norm_Stats!$G$26=Norm_Stats!$F$26),"",MAX(0,MIN(100,100*(MIN(MAX(City_Inputs!$BJ31,Norm_Stats!$F$26),Norm_Stats!$G$26)-Norm_Stats!$F$26)/(Norm_Stats!$G$26-Norm_Stats!$F$26))))</f>
        <v/>
      </c>
      <c r="AV31" s="11">
        <f>IF(AU31="","",1)</f>
        <v/>
      </c>
      <c r="AW31" s="15">
        <f>IF((IF(AO31="",0,5)+IF(AQ31="",0,5)+IF(AS31="",0,5)+IF(AU31="",0,4))=0,"",(IF(AO31="",0,AO31*5)+IF(AQ31="",0,AQ31*5)+IF(AS31="",0,AS31*5)+IF(AU31="",0,AU31*4))/(IF(AO31="",0,5)+IF(AQ31="",0,5)+IF(AS31="",0,5)+IF(AU31="",0,4)))</f>
        <v/>
      </c>
      <c r="AX31" s="14">
        <f>IF((IF(AP31="",0,5)+IF(AR31="",0,5)+IF(AT31="",0,5)+IF(AV31="",0,4))=0,"",(IF(AP31="",0,AP31*5)+IF(AR31="",0,AR31*5)+IF(AT31="",0,AT31*5)+IF(AV31="",0,AV31*4))/19)</f>
        <v/>
      </c>
      <c r="AY31" s="11">
        <f>IF(OR(City_Inputs!$AE31="",Norm_Stats!$F$20="",Norm_Stats!$G$20="",Norm_Stats!$G$20=Norm_Stats!$F$20),"",MAX(0,MIN(100,100*(MIN(MAX(City_Inputs!$AE31,Norm_Stats!$F$20),Norm_Stats!$G$20)-Norm_Stats!$F$20)/(Norm_Stats!$G$20-Norm_Stats!$F$20))))</f>
        <v/>
      </c>
      <c r="AZ31" s="14">
        <f>IF(AY31="","",1)</f>
        <v/>
      </c>
      <c r="BA31" s="11">
        <f>IF(OR(City_Inputs!$AF31="",Norm_Stats!$F$21="",Norm_Stats!$G$21="",Norm_Stats!$G$21=Norm_Stats!$F$21),"",MAX(0,MIN(100,100*(MIN(MAX(City_Inputs!$AF31,Norm_Stats!$F$21),Norm_Stats!$G$21)-Norm_Stats!$F$21)/(Norm_Stats!$G$21-Norm_Stats!$F$21))))</f>
        <v/>
      </c>
      <c r="BB31" s="14">
        <f>IF(BA31="","",1)</f>
        <v/>
      </c>
      <c r="BC31" s="11">
        <f>IF((IF((IF(OR(City_Inputs!$AG31="",Norm_Stats!$F$22="",Norm_Stats!$G$22="",Norm_Stats!$G$22=Norm_Stats!$F$22),"",MAX(0,MIN(100,100*(MIN(MAX(City_Inputs!$AG31,Norm_Stats!$F$22),Norm_Stats!$G$22)-Norm_Stats!$F$22)/(Norm_Stats!$G$22-Norm_Stats!$F$22)))))="",0,0.5)+IF((IF(OR(City_Inputs!$AJ31="",Norm_Stats!$F$23="",Norm_Stats!$G$23="",Norm_Stats!$G$23=Norm_Stats!$F$23),"",MAX(0,MIN(100,100*(MIN(MAX(City_Inputs!$AJ31,Norm_Stats!$F$23),Norm_Stats!$G$23)-Norm_Stats!$F$23)/(Norm_Stats!$G$23-Norm_Stats!$F$23)))))="",0,0.3)+IF((IF(OR(City_Inputs!$AK31="",Norm_Stats!$F$24="",Norm_Stats!$G$24="",Norm_Stats!$G$24=Norm_Stats!$F$24),"",MAX(0,MIN(100,100*(MIN(MAX(City_Inputs!$AK31,Norm_Stats!$F$24),Norm_Stats!$G$24)-Norm_Stats!$F$24)/(Norm_Stats!$G$24-Norm_Stats!$F$24)))))="",0,0.2))=0,"",(IF((IF(OR(City_Inputs!$AG31="",Norm_Stats!$F$22="",Norm_Stats!$G$22="",Norm_Stats!$G$22=Norm_Stats!$F$22),"",MAX(0,MIN(100,100*(MIN(MAX(City_Inputs!$AG31,Norm_Stats!$F$22),Norm_Stats!$G$22)-Norm_Stats!$F$22)/(Norm_Stats!$G$22-Norm_Stats!$F$22)))))="",0,(IF(OR(City_Inputs!$AG31="",Norm_Stats!$F$22="",Norm_Stats!$G$22="",Norm_Stats!$G$22=Norm_Stats!$F$22),"",MAX(0,MIN(100,100*(MIN(MAX(City_Inputs!$AG31,Norm_Stats!$F$22),Norm_Stats!$G$22)-Norm_Stats!$F$22)/(Norm_Stats!$G$22-Norm_Stats!$F$22)))))*0.5)+IF((IF(OR(City_Inputs!$AJ31="",Norm_Stats!$F$23="",Norm_Stats!$G$23="",Norm_Stats!$G$23=Norm_Stats!$F$23),"",MAX(0,MIN(100,100*(MIN(MAX(City_Inputs!$AJ31,Norm_Stats!$F$23),Norm_Stats!$G$23)-Norm_Stats!$F$23)/(Norm_Stats!$G$23-Norm_Stats!$F$23)))))="",0,(IF(OR(City_Inputs!$AJ31="",Norm_Stats!$F$23="",Norm_Stats!$G$23="",Norm_Stats!$G$23=Norm_Stats!$F$23),"",MAX(0,MIN(100,100*(MIN(MAX(City_Inputs!$AJ31,Norm_Stats!$F$23),Norm_Stats!$G$23)-Norm_Stats!$F$23)/(Norm_Stats!$G$23-Norm_Stats!$F$23)))))*0.3)+IF((IF(OR(City_Inputs!$AK31="",Norm_Stats!$F$24="",Norm_Stats!$G$24="",Norm_Stats!$G$24=Norm_Stats!$F$24),"",MAX(0,MIN(100,100*(MIN(MAX(City_Inputs!$AK31,Norm_Stats!$F$24),Norm_Stats!$G$24)-Norm_Stats!$F$24)/(Norm_Stats!$G$24-Norm_Stats!$F$24)))))="",0,(IF(OR(City_Inputs!$AK31="",Norm_Stats!$F$24="",Norm_Stats!$G$24="",Norm_Stats!$G$24=Norm_Stats!$F$24),"",MAX(0,MIN(100,100*(MIN(MAX(City_Inputs!$AK31,Norm_Stats!$F$24),Norm_Stats!$G$24)-Norm_Stats!$F$24)/(Norm_Stats!$G$24-Norm_Stats!$F$24)))))*0.2))/(IF((IF(OR(City_Inputs!$AG31="",Norm_Stats!$F$22="",Norm_Stats!$G$22="",Norm_Stats!$G$22=Norm_Stats!$F$22),"",MAX(0,MIN(100,100*(MIN(MAX(City_Inputs!$AG31,Norm_Stats!$F$22),Norm_Stats!$G$22)-Norm_Stats!$F$22)/(Norm_Stats!$G$22-Norm_Stats!$F$22)))))="",0,0.5)+IF((IF(OR(City_Inputs!$AJ31="",Norm_Stats!$F$23="",Norm_Stats!$G$23="",Norm_Stats!$G$23=Norm_Stats!$F$23),"",MAX(0,MIN(100,100*(MIN(MAX(City_Inputs!$AJ31,Norm_Stats!$F$23),Norm_Stats!$G$23)-Norm_Stats!$F$23)/(Norm_Stats!$G$23-Norm_Stats!$F$23)))))="",0,0.3)+IF((IF(OR(City_Inputs!$AK31="",Norm_Stats!$F$24="",Norm_Stats!$G$24="",Norm_Stats!$G$24=Norm_Stats!$F$24),"",MAX(0,MIN(100,100*(MIN(MAX(City_Inputs!$AK31,Norm_Stats!$F$24),Norm_Stats!$G$24)-Norm_Stats!$F$24)/(Norm_Stats!$G$24-Norm_Stats!$F$24)))))="",0,0.2)))</f>
        <v/>
      </c>
      <c r="BD31" s="14">
        <f>IF((IF((IF(OR(City_Inputs!$AG31="",Norm_Stats!$F$22="",Norm_Stats!$G$22="",Norm_Stats!$G$22=Norm_Stats!$F$22),"",MAX(0,MIN(100,100*(MIN(MAX(City_Inputs!$AG31,Norm_Stats!$F$22),Norm_Stats!$G$22)-Norm_Stats!$F$22)/(Norm_Stats!$G$22-Norm_Stats!$F$22)))))="",0,0.5)+IF((IF(OR(City_Inputs!$AJ31="",Norm_Stats!$F$23="",Norm_Stats!$G$23="",Norm_Stats!$G$23=Norm_Stats!$F$23),"",MAX(0,MIN(100,100*(MIN(MAX(City_Inputs!$AJ31,Norm_Stats!$F$23),Norm_Stats!$G$23)-Norm_Stats!$F$23)/(Norm_Stats!$G$23-Norm_Stats!$F$23)))))="",0,0.3)+IF((IF(OR(City_Inputs!$AK31="",Norm_Stats!$F$24="",Norm_Stats!$G$24="",Norm_Stats!$G$24=Norm_Stats!$F$24),"",MAX(0,MIN(100,100*(MIN(MAX(City_Inputs!$AK31,Norm_Stats!$F$24),Norm_Stats!$G$24)-Norm_Stats!$F$24)/(Norm_Stats!$G$24-Norm_Stats!$F$24)))))="",0,0.2))=0,"",(IF((IF(OR(City_Inputs!$AG31="",Norm_Stats!$F$22="",Norm_Stats!$G$22="",Norm_Stats!$G$22=Norm_Stats!$F$22),"",MAX(0,MIN(100,100*(MIN(MAX(City_Inputs!$AG31,Norm_Stats!$F$22),Norm_Stats!$G$22)-Norm_Stats!$F$22)/(Norm_Stats!$G$22-Norm_Stats!$F$22)))))="",0,0.5)+IF((IF(OR(City_Inputs!$AJ31="",Norm_Stats!$F$23="",Norm_Stats!$G$23="",Norm_Stats!$G$23=Norm_Stats!$F$23),"",MAX(0,MIN(100,100*(MIN(MAX(City_Inputs!$AJ31,Norm_Stats!$F$23),Norm_Stats!$G$23)-Norm_Stats!$F$23)/(Norm_Stats!$G$23-Norm_Stats!$F$23)))))="",0,0.3)+IF((IF(OR(City_Inputs!$AK31="",Norm_Stats!$F$24="",Norm_Stats!$G$24="",Norm_Stats!$G$24=Norm_Stats!$F$24),"",MAX(0,MIN(100,100*(MIN(MAX(City_Inputs!$AK31,Norm_Stats!$F$24),Norm_Stats!$G$24)-Norm_Stats!$F$24)/(Norm_Stats!$G$24-Norm_Stats!$F$24)))))="",0,0.2)))</f>
        <v/>
      </c>
      <c r="BE31" s="11">
        <f>IF(OR(City_Inputs!$AH31="",Norm_Stats!$F$25="",Norm_Stats!$G$25="",Norm_Stats!$G$25=Norm_Stats!$F$25),"",MAX(0,MIN(100,100*(Norm_Stats!$G$25-MIN(MAX(City_Inputs!$AH31,Norm_Stats!$F$25),Norm_Stats!$G$25))/(Norm_Stats!$G$25-Norm_Stats!$F$25))))</f>
        <v/>
      </c>
      <c r="BF31" s="14">
        <f>IF(BE31="","",1)</f>
        <v/>
      </c>
      <c r="BG31" s="15">
        <f>IF((IF(AY31="",0,6)+IF(BA31="",0,5)+IF(BC31="",0,5)+IF(BE31="",0,4))=0,"",(IF(AY31="",0,AY31*6)+IF(BA31="",0,BA31*5)+IF(BC31="",0,BC31*5)+IF(BE31="",0,BE31*4))/(IF(AY31="",0,6)+IF(BA31="",0,5)+IF(BC31="",0,5)+IF(BE31="",0,4)))</f>
        <v/>
      </c>
      <c r="BH31" s="14">
        <f>IF((IF(AZ31="",0,6)+IF(BB31="",0,5)+IF(BD31="",0,5)+IF(BF31="",0,4))=0,"",(IF(AZ31="",0,AZ31*6)+IF(BB31="",0,BB31*5)+IF(BD31="",0,BD31*5)+IF(BF31="",0,BF31*4))/20)</f>
        <v/>
      </c>
      <c r="BI31" s="14">
        <f>IF(AND(R31="",AF31="",AN31="",AX31="",BH31=""),"",((R31*25)+(AF31*22)+(AN31*18)+(AX31*15)+(BH31*20))/100)</f>
        <v/>
      </c>
      <c r="BJ31" s="11">
        <f>IF(BI31="","",IF(BI31&gt;=0.75,"A",IF(BI31&gt;=0.5,"B",IF(BI31&gt;=0.35,"C","Watchlist"))))</f>
        <v/>
      </c>
      <c r="BK31" s="11">
        <f>IF(OR(BI31="",BI31&lt;0.5,R31="",R31&lt;0.35,AF31="",AF31&lt;0.35,AN31="",AN31&lt;0.35,AX31="",AX31&lt;0.35,BH31="",BH31&lt;0.35),"Watchlist","Ranked")</f>
        <v/>
      </c>
      <c r="BL31" s="15">
        <f>IF(AND(Q31="",AE31="",AM31="",AW31="",BG31=""),"",(IF(Q31="",0,Q31*25)+IF(AE31="",0,AE31*22)+IF(AM31="",0,AM31*18)+IF(AW31="",0,AW31*15)+IF(BG31="",0,BG31*20))/(IF(Q31="",0,25)+IF(AE31="",0,22)+IF(AM31="",0,18)+IF(AW31="",0,15)+IF(BG31="",0,20)))</f>
        <v/>
      </c>
      <c r="BM31" s="11">
        <f>IF(BK31="Ranked",1+COUNTIFS($BK$2:$BK$158,"Ranked",$BL$2:$BL$158,"&gt;"&amp;BL31),"")</f>
        <v/>
      </c>
      <c r="BN31" s="11">
        <f>City_Inputs!$AI31</f>
        <v/>
      </c>
    </row>
    <row r="32">
      <c r="A32" t="inlineStr">
        <is>
          <t>bd-dhaka</t>
        </is>
      </c>
      <c r="B32" t="inlineStr">
        <is>
          <t>Dhaka</t>
        </is>
      </c>
      <c r="C32" t="inlineStr">
        <is>
          <t>Bangladesh</t>
        </is>
      </c>
      <c r="D32" t="inlineStr">
        <is>
          <t>South Asia</t>
        </is>
      </c>
      <c r="E32" t="inlineStr">
        <is>
          <t>provisional</t>
        </is>
      </c>
      <c r="F32" t="inlineStr">
        <is>
          <t>primary</t>
        </is>
      </c>
      <c r="G32" s="11">
        <f>IF(OR(City_Inputs!$M32="",Norm_Stats!$F$2="",Norm_Stats!$G$2="",Norm_Stats!$G$2=Norm_Stats!$F$2),"",MAX(0,MIN(100,100*(MIN(MAX(City_Inputs!$M32,Norm_Stats!$F$2),Norm_Stats!$G$2)-Norm_Stats!$F$2)/(Norm_Stats!$G$2-Norm_Stats!$F$2))))</f>
        <v/>
      </c>
      <c r="H32" s="14">
        <f>IF(G32="","",1)</f>
        <v/>
      </c>
      <c r="I32" s="11">
        <f>IF(OR(City_Inputs!$N32="",Norm_Stats!$F$3="",Norm_Stats!$G$3="",Norm_Stats!$G$3=Norm_Stats!$F$3),"",MAX(0,MIN(100,100*(Norm_Stats!$G$3-MIN(MAX(City_Inputs!$N32,Norm_Stats!$F$3),Norm_Stats!$G$3))/(Norm_Stats!$G$3-Norm_Stats!$F$3))))</f>
        <v/>
      </c>
      <c r="J32" s="14">
        <f>IF(I32="","",1)</f>
        <v/>
      </c>
      <c r="K32" s="11">
        <f>IF(OR(City_Inputs!$P32="",Norm_Stats!$F$4="",Norm_Stats!$G$4="",Norm_Stats!$G$4=Norm_Stats!$F$4),"",MAX(0,MIN(100,100*(Norm_Stats!$G$4-MIN(MAX(City_Inputs!$P32,Norm_Stats!$F$4),Norm_Stats!$G$4))/(Norm_Stats!$G$4-Norm_Stats!$F$4))))</f>
        <v/>
      </c>
      <c r="L32" s="14">
        <f>IF(K32="","",1)</f>
        <v/>
      </c>
      <c r="M32" s="11">
        <f>IF(OR(City_Inputs!$Q32="",Norm_Stats!$F$5="",Norm_Stats!$G$5="",Norm_Stats!$G$5=Norm_Stats!$F$5),"",MAX(0,MIN(100,100*(Norm_Stats!$G$5-MIN(MAX(City_Inputs!$Q32,Norm_Stats!$F$5),Norm_Stats!$G$5))/(Norm_Stats!$G$5-Norm_Stats!$F$5))))</f>
        <v/>
      </c>
      <c r="N32" s="14">
        <f>IF(M32="","",1)</f>
        <v/>
      </c>
      <c r="O32" s="11">
        <f>IF(OR(City_Inputs!$R32="",Norm_Stats!$F$6="",Norm_Stats!$G$6="",Norm_Stats!$G$6=Norm_Stats!$F$6),"",MAX(0,MIN(100,100*(Norm_Stats!$G$6-MIN(MAX(City_Inputs!$R32,Norm_Stats!$F$6),Norm_Stats!$G$6))/(Norm_Stats!$G$6-Norm_Stats!$F$6))))</f>
        <v/>
      </c>
      <c r="P32" s="14">
        <f>IF(O32="","",1)</f>
        <v/>
      </c>
      <c r="Q32" s="15">
        <f>IF((IF(G32="",0,9)+IF(I32="",0,5)+IF(K32="",0,4)+IF(M32="",0,4)+IF(O32="",0,5))=0,"",(IF(G32="",0,G32*9)+IF(I32="",0,I32*5)+IF(K32="",0,K32*4)+IF(M32="",0,M32*4)+IF(O32="",0,O32*5))/(IF(G32="",0,9)+IF(I32="",0,5)+IF(K32="",0,4)+IF(M32="",0,4)+IF(O32="",0,5)))</f>
        <v/>
      </c>
      <c r="R32" s="14">
        <f>IF((IF(H32="",0,9)+IF(J32="",0,5)+IF(L32="",0,4)+IF(N32="",0,4)+IF(P32="",0,5))=0,"",(IF(H32="",0,H32*9)+IF(J32="",0,J32*5)+IF(L32="",0,L32*4)+IF(N32="",0,N32*4)+IF(P32="",0,P32*5))/27)</f>
        <v/>
      </c>
      <c r="S32" s="11">
        <f>IF(OR(City_Inputs!$S32="",Norm_Stats!$F$7="",Norm_Stats!$G$7="",Norm_Stats!$G$7=Norm_Stats!$F$7),"",MAX(0,MIN(100,100*(Norm_Stats!$G$7-MIN(MAX(City_Inputs!$S32,Norm_Stats!$F$7),Norm_Stats!$G$7))/(Norm_Stats!$G$7-Norm_Stats!$F$7))))</f>
        <v/>
      </c>
      <c r="T32" s="14">
        <f>IF(S32="","",1)</f>
        <v/>
      </c>
      <c r="U32" s="11">
        <f>IF(OR(City_Inputs!$T32="",Norm_Stats!$F$8="",Norm_Stats!$G$8="",Norm_Stats!$G$8=Norm_Stats!$F$8),"",MAX(0,MIN(100,100*(MIN(MAX(City_Inputs!$T32,Norm_Stats!$F$8),Norm_Stats!$G$8)-Norm_Stats!$F$8)/(Norm_Stats!$G$8-Norm_Stats!$F$8))))</f>
        <v/>
      </c>
      <c r="V32" s="14">
        <f>IF(U32="","",1)</f>
        <v/>
      </c>
      <c r="W32" s="11">
        <f>IF(OR(City_Inputs!$U32="",Norm_Stats!$F$9="",Norm_Stats!$G$9="",Norm_Stats!$G$9=Norm_Stats!$F$9),"",MAX(0,MIN(100,100*(Norm_Stats!$G$9-MIN(MAX(City_Inputs!$U32,Norm_Stats!$F$9),Norm_Stats!$G$9))/(Norm_Stats!$G$9-Norm_Stats!$F$9))))</f>
        <v/>
      </c>
      <c r="X32" s="14">
        <f>IF(W32="","",1)</f>
        <v/>
      </c>
      <c r="Y32" s="11">
        <f>IF(OR(City_Inputs!$V32="",Norm_Stats!$F$10="",Norm_Stats!$G$10="",Norm_Stats!$G$10=Norm_Stats!$F$10),"",MAX(0,MIN(100,100*(MIN(MAX(City_Inputs!$V32,Norm_Stats!$F$10),Norm_Stats!$G$10)-Norm_Stats!$F$10)/(Norm_Stats!$G$10-Norm_Stats!$F$10))))</f>
        <v/>
      </c>
      <c r="Z32" s="14">
        <f>IF(Y32="","",1)</f>
        <v/>
      </c>
      <c r="AA32" s="11">
        <f>IF(OR(City_Inputs!$W32="",Norm_Stats!$F$11="",Norm_Stats!$G$11="",Norm_Stats!$G$11=Norm_Stats!$F$11),"",MAX(0,MIN(100,100*(MIN(MAX(City_Inputs!$W32,Norm_Stats!$F$11),Norm_Stats!$G$11)-Norm_Stats!$F$11)/(Norm_Stats!$G$11-Norm_Stats!$F$11))))</f>
        <v/>
      </c>
      <c r="AB32" s="14">
        <f>IF(AA32="","",1)</f>
        <v/>
      </c>
      <c r="AC32" s="11">
        <f>IF(OR(City_Inputs!$X32="",Norm_Stats!$F$12="",Norm_Stats!$G$12="",Norm_Stats!$G$12=Norm_Stats!$F$12),"",MAX(0,MIN(100,100*(MIN(MAX(City_Inputs!$X32,Norm_Stats!$F$12),Norm_Stats!$G$12)-Norm_Stats!$F$12)/(Norm_Stats!$G$12-Norm_Stats!$F$12))))</f>
        <v/>
      </c>
      <c r="AD32" s="11">
        <f>IF(AC32="","",1)</f>
        <v/>
      </c>
      <c r="AE32" s="15">
        <f>IF((IF(S32="",0,5)+IF(U32="",0,5)+IF(W32="",0,4)+IF(Y32="",0,4)+IF(AA32="",0,4)+IF(AC32="",0,5))=0,"",(IF(S32="",0,S32*5)+IF(U32="",0,U32*5)+IF(W32="",0,W32*4)+IF(Y32="",0,Y32*4)+IF(AA32="",0,AA32*4)+IF(AC32="",0,AC32*5))/(IF(S32="",0,5)+IF(U32="",0,5)+IF(W32="",0,4)+IF(Y32="",0,4)+IF(AA32="",0,4)+IF(AC32="",0,5)))</f>
        <v/>
      </c>
      <c r="AF32" s="14">
        <f>IF((IF(T32="",0,5)+IF(V32="",0,5)+IF(X32="",0,4)+IF(Z32="",0,4)+IF(AB32="",0,4)+IF(AD32="",0,5))=0,"",(IF(T32="",0,T32*5)+IF(V32="",0,V32*5)+IF(X32="",0,X32*4)+IF(Z32="",0,Z32*4)+IF(AB32="",0,AB32*4)+IF(AD32="",0,AD32*5))/27)</f>
        <v/>
      </c>
      <c r="AG32" s="11">
        <f>IF(OR(City_Inputs!$Y32="",Norm_Stats!$F$13="",Norm_Stats!$G$13="",Norm_Stats!$G$13=Norm_Stats!$F$13),"",MAX(0,MIN(100,100*(MIN(MAX(City_Inputs!$Y32,Norm_Stats!$F$13),Norm_Stats!$G$13)-Norm_Stats!$F$13)/(Norm_Stats!$G$13-Norm_Stats!$F$13))))</f>
        <v/>
      </c>
      <c r="AH32" s="14">
        <f>IF(AG32="","",1)</f>
        <v/>
      </c>
      <c r="AI32" s="11">
        <f>IF(OR(City_Inputs!$Z32="",Norm_Stats!$F$14="",Norm_Stats!$G$14="",Norm_Stats!$G$14=Norm_Stats!$F$14),"",MAX(0,MIN(100,100*(MIN(MAX(City_Inputs!$Z32,Norm_Stats!$F$14),Norm_Stats!$G$14)-Norm_Stats!$F$14)/(Norm_Stats!$G$14-Norm_Stats!$F$14))))</f>
        <v/>
      </c>
      <c r="AJ32" s="14">
        <f>IF(AI32="","",1)</f>
        <v/>
      </c>
      <c r="AK32" s="11">
        <f>IF((IF((IF(OR(City_Inputs!$AA32="",Norm_Stats!$F$15="",Norm_Stats!$G$15="",Norm_Stats!$G$15=Norm_Stats!$F$15),"",MAX(0,MIN(100,100*(MIN(MAX(City_Inputs!$AA32,Norm_Stats!$F$15),Norm_Stats!$G$15)-Norm_Stats!$F$15)/(Norm_Stats!$G$15-Norm_Stats!$F$15)))))="",0,0.7)+IF((IF(OR(City_Inputs!$AL32="",Norm_Stats!$F$16="",Norm_Stats!$G$16="",Norm_Stats!$G$16=Norm_Stats!$F$16),"",MAX(0,MIN(100,100*(Norm_Stats!$G$16-MIN(MAX(City_Inputs!$AL32,Norm_Stats!$F$16),Norm_Stats!$G$16))/(Norm_Stats!$G$16-Norm_Stats!$F$16)))))="",0,0.3))=0,"",(IF((IF(OR(City_Inputs!$AA32="",Norm_Stats!$F$15="",Norm_Stats!$G$15="",Norm_Stats!$G$15=Norm_Stats!$F$15),"",MAX(0,MIN(100,100*(MIN(MAX(City_Inputs!$AA32,Norm_Stats!$F$15),Norm_Stats!$G$15)-Norm_Stats!$F$15)/(Norm_Stats!$G$15-Norm_Stats!$F$15)))))="",0,(IF(OR(City_Inputs!$AA32="",Norm_Stats!$F$15="",Norm_Stats!$G$15="",Norm_Stats!$G$15=Norm_Stats!$F$15),"",MAX(0,MIN(100,100*(MIN(MAX(City_Inputs!$AA32,Norm_Stats!$F$15),Norm_Stats!$G$15)-Norm_Stats!$F$15)/(Norm_Stats!$G$15-Norm_Stats!$F$15)))))*0.7)+IF((IF(OR(City_Inputs!$AL32="",Norm_Stats!$F$16="",Norm_Stats!$G$16="",Norm_Stats!$G$16=Norm_Stats!$F$16),"",MAX(0,MIN(100,100*(Norm_Stats!$G$16-MIN(MAX(City_Inputs!$AL32,Norm_Stats!$F$16),Norm_Stats!$G$16))/(Norm_Stats!$G$16-Norm_Stats!$F$16)))))="",0,(IF(OR(City_Inputs!$AL32="",Norm_Stats!$F$16="",Norm_Stats!$G$16="",Norm_Stats!$G$16=Norm_Stats!$F$16),"",MAX(0,MIN(100,100*(Norm_Stats!$G$16-MIN(MAX(City_Inputs!$AL32,Norm_Stats!$F$16),Norm_Stats!$G$16))/(Norm_Stats!$G$16-Norm_Stats!$F$16)))))*0.3))/(IF((IF(OR(City_Inputs!$AA32="",Norm_Stats!$F$15="",Norm_Stats!$G$15="",Norm_Stats!$G$15=Norm_Stats!$F$15),"",MAX(0,MIN(100,100*(MIN(MAX(City_Inputs!$AA32,Norm_Stats!$F$15),Norm_Stats!$G$15)-Norm_Stats!$F$15)/(Norm_Stats!$G$15-Norm_Stats!$F$15)))))="",0,0.7)+IF((IF(OR(City_Inputs!$AL32="",Norm_Stats!$F$16="",Norm_Stats!$G$16="",Norm_Stats!$G$16=Norm_Stats!$F$16),"",MAX(0,MIN(100,100*(Norm_Stats!$G$16-MIN(MAX(City_Inputs!$AL32,Norm_Stats!$F$16),Norm_Stats!$G$16))/(Norm_Stats!$G$16-Norm_Stats!$F$16)))))="",0,0.3)))</f>
        <v/>
      </c>
      <c r="AL32" s="14">
        <f>IF((IF((IF(OR(City_Inputs!$AA32="",Norm_Stats!$F$15="",Norm_Stats!$G$15="",Norm_Stats!$G$15=Norm_Stats!$F$15),"",MAX(0,MIN(100,100*(MIN(MAX(City_Inputs!$AA32,Norm_Stats!$F$15),Norm_Stats!$G$15)-Norm_Stats!$F$15)/(Norm_Stats!$G$15-Norm_Stats!$F$15)))))="",0,0.7)+IF((IF(OR(City_Inputs!$AL32="",Norm_Stats!$F$16="",Norm_Stats!$G$16="",Norm_Stats!$G$16=Norm_Stats!$F$16),"",MAX(0,MIN(100,100*(Norm_Stats!$G$16-MIN(MAX(City_Inputs!$AL32,Norm_Stats!$F$16),Norm_Stats!$G$16))/(Norm_Stats!$G$16-Norm_Stats!$F$16)))))="",0,0.3))=0,"",(IF((IF(OR(City_Inputs!$AA32="",Norm_Stats!$F$15="",Norm_Stats!$G$15="",Norm_Stats!$G$15=Norm_Stats!$F$15),"",MAX(0,MIN(100,100*(MIN(MAX(City_Inputs!$AA32,Norm_Stats!$F$15),Norm_Stats!$G$15)-Norm_Stats!$F$15)/(Norm_Stats!$G$15-Norm_Stats!$F$15)))))="",0,0.7)+IF((IF(OR(City_Inputs!$AL32="",Norm_Stats!$F$16="",Norm_Stats!$G$16="",Norm_Stats!$G$16=Norm_Stats!$F$16),"",MAX(0,MIN(100,100*(Norm_Stats!$G$16-MIN(MAX(City_Inputs!$AL32,Norm_Stats!$F$16),Norm_Stats!$G$16))/(Norm_Stats!$G$16-Norm_Stats!$F$16)))))="",0,0.3)))</f>
        <v/>
      </c>
      <c r="AM32" s="15">
        <f>IF((IF(AG32="",0,8)+IF(AI32="",0,6)+IF(AK32="",0,4))=0,"",(IF(AG32="",0,AG32*8)+IF(AI32="",0,AI32*6)+IF(AK32="",0,AK32*4))/(IF(AG32="",0,8)+IF(AI32="",0,6)+IF(AK32="",0,4)))</f>
        <v/>
      </c>
      <c r="AN32" s="14">
        <f>IF((IF(AH32="",0,8)+IF(AJ32="",0,6)+IF(AL32="",0,4))=0,"",(IF(AH32="",0,AH32*8)+IF(AJ32="",0,AJ32*6)+IF(AL32="",0,AL32*4))/18)</f>
        <v/>
      </c>
      <c r="AO32" s="11">
        <f>IF(OR(City_Inputs!$AB32="",Norm_Stats!$F$17="",Norm_Stats!$G$17="",Norm_Stats!$G$17=Norm_Stats!$F$17),"",MAX(0,MIN(100,100*(MIN(MAX(City_Inputs!$AB32,Norm_Stats!$F$17),Norm_Stats!$G$17)-Norm_Stats!$F$17)/(Norm_Stats!$G$17-Norm_Stats!$F$17))))</f>
        <v/>
      </c>
      <c r="AP32" s="14">
        <f>IF(AO32="","",1)</f>
        <v/>
      </c>
      <c r="AQ32" s="11">
        <f>IF(OR(City_Inputs!$AC32="",Norm_Stats!$F$18="",Norm_Stats!$G$18="",Norm_Stats!$G$18=Norm_Stats!$F$18),"",MAX(0,MIN(100,100*(MIN(MAX(City_Inputs!$AC32,Norm_Stats!$F$18),Norm_Stats!$G$18)-Norm_Stats!$F$18)/(Norm_Stats!$G$18-Norm_Stats!$F$18))))</f>
        <v/>
      </c>
      <c r="AR32" s="14">
        <f>IF(AQ32="","",1)</f>
        <v/>
      </c>
      <c r="AS32" s="11">
        <f>IF(OR(City_Inputs!$AD32="",Norm_Stats!$F$19="",Norm_Stats!$G$19="",Norm_Stats!$G$19=Norm_Stats!$F$19),"",MAX(0,MIN(100,100*(MIN(MAX(City_Inputs!$AD32,Norm_Stats!$F$19),Norm_Stats!$G$19)-Norm_Stats!$F$19)/(Norm_Stats!$G$19-Norm_Stats!$F$19))))</f>
        <v/>
      </c>
      <c r="AT32" s="14">
        <f>IF(AS32="","",1)</f>
        <v/>
      </c>
      <c r="AU32" s="11">
        <f>IF(OR(City_Inputs!$BJ32="",Norm_Stats!$F$26="",Norm_Stats!$G$26="",Norm_Stats!$G$26=Norm_Stats!$F$26),"",MAX(0,MIN(100,100*(MIN(MAX(City_Inputs!$BJ32,Norm_Stats!$F$26),Norm_Stats!$G$26)-Norm_Stats!$F$26)/(Norm_Stats!$G$26-Norm_Stats!$F$26))))</f>
        <v/>
      </c>
      <c r="AV32" s="11">
        <f>IF(AU32="","",1)</f>
        <v/>
      </c>
      <c r="AW32" s="15">
        <f>IF((IF(AO32="",0,5)+IF(AQ32="",0,5)+IF(AS32="",0,5)+IF(AU32="",0,4))=0,"",(IF(AO32="",0,AO32*5)+IF(AQ32="",0,AQ32*5)+IF(AS32="",0,AS32*5)+IF(AU32="",0,AU32*4))/(IF(AO32="",0,5)+IF(AQ32="",0,5)+IF(AS32="",0,5)+IF(AU32="",0,4)))</f>
        <v/>
      </c>
      <c r="AX32" s="14">
        <f>IF((IF(AP32="",0,5)+IF(AR32="",0,5)+IF(AT32="",0,5)+IF(AV32="",0,4))=0,"",(IF(AP32="",0,AP32*5)+IF(AR32="",0,AR32*5)+IF(AT32="",0,AT32*5)+IF(AV32="",0,AV32*4))/19)</f>
        <v/>
      </c>
      <c r="AY32" s="11">
        <f>IF(OR(City_Inputs!$AE32="",Norm_Stats!$F$20="",Norm_Stats!$G$20="",Norm_Stats!$G$20=Norm_Stats!$F$20),"",MAX(0,MIN(100,100*(MIN(MAX(City_Inputs!$AE32,Norm_Stats!$F$20),Norm_Stats!$G$20)-Norm_Stats!$F$20)/(Norm_Stats!$G$20-Norm_Stats!$F$20))))</f>
        <v/>
      </c>
      <c r="AZ32" s="14">
        <f>IF(AY32="","",1)</f>
        <v/>
      </c>
      <c r="BA32" s="11">
        <f>IF(OR(City_Inputs!$AF32="",Norm_Stats!$F$21="",Norm_Stats!$G$21="",Norm_Stats!$G$21=Norm_Stats!$F$21),"",MAX(0,MIN(100,100*(MIN(MAX(City_Inputs!$AF32,Norm_Stats!$F$21),Norm_Stats!$G$21)-Norm_Stats!$F$21)/(Norm_Stats!$G$21-Norm_Stats!$F$21))))</f>
        <v/>
      </c>
      <c r="BB32" s="14">
        <f>IF(BA32="","",1)</f>
        <v/>
      </c>
      <c r="BC32" s="11">
        <f>IF((IF((IF(OR(City_Inputs!$AG32="",Norm_Stats!$F$22="",Norm_Stats!$G$22="",Norm_Stats!$G$22=Norm_Stats!$F$22),"",MAX(0,MIN(100,100*(MIN(MAX(City_Inputs!$AG32,Norm_Stats!$F$22),Norm_Stats!$G$22)-Norm_Stats!$F$22)/(Norm_Stats!$G$22-Norm_Stats!$F$22)))))="",0,0.5)+IF((IF(OR(City_Inputs!$AJ32="",Norm_Stats!$F$23="",Norm_Stats!$G$23="",Norm_Stats!$G$23=Norm_Stats!$F$23),"",MAX(0,MIN(100,100*(MIN(MAX(City_Inputs!$AJ32,Norm_Stats!$F$23),Norm_Stats!$G$23)-Norm_Stats!$F$23)/(Norm_Stats!$G$23-Norm_Stats!$F$23)))))="",0,0.3)+IF((IF(OR(City_Inputs!$AK32="",Norm_Stats!$F$24="",Norm_Stats!$G$24="",Norm_Stats!$G$24=Norm_Stats!$F$24),"",MAX(0,MIN(100,100*(MIN(MAX(City_Inputs!$AK32,Norm_Stats!$F$24),Norm_Stats!$G$24)-Norm_Stats!$F$24)/(Norm_Stats!$G$24-Norm_Stats!$F$24)))))="",0,0.2))=0,"",(IF((IF(OR(City_Inputs!$AG32="",Norm_Stats!$F$22="",Norm_Stats!$G$22="",Norm_Stats!$G$22=Norm_Stats!$F$22),"",MAX(0,MIN(100,100*(MIN(MAX(City_Inputs!$AG32,Norm_Stats!$F$22),Norm_Stats!$G$22)-Norm_Stats!$F$22)/(Norm_Stats!$G$22-Norm_Stats!$F$22)))))="",0,(IF(OR(City_Inputs!$AG32="",Norm_Stats!$F$22="",Norm_Stats!$G$22="",Norm_Stats!$G$22=Norm_Stats!$F$22),"",MAX(0,MIN(100,100*(MIN(MAX(City_Inputs!$AG32,Norm_Stats!$F$22),Norm_Stats!$G$22)-Norm_Stats!$F$22)/(Norm_Stats!$G$22-Norm_Stats!$F$22)))))*0.5)+IF((IF(OR(City_Inputs!$AJ32="",Norm_Stats!$F$23="",Norm_Stats!$G$23="",Norm_Stats!$G$23=Norm_Stats!$F$23),"",MAX(0,MIN(100,100*(MIN(MAX(City_Inputs!$AJ32,Norm_Stats!$F$23),Norm_Stats!$G$23)-Norm_Stats!$F$23)/(Norm_Stats!$G$23-Norm_Stats!$F$23)))))="",0,(IF(OR(City_Inputs!$AJ32="",Norm_Stats!$F$23="",Norm_Stats!$G$23="",Norm_Stats!$G$23=Norm_Stats!$F$23),"",MAX(0,MIN(100,100*(MIN(MAX(City_Inputs!$AJ32,Norm_Stats!$F$23),Norm_Stats!$G$23)-Norm_Stats!$F$23)/(Norm_Stats!$G$23-Norm_Stats!$F$23)))))*0.3)+IF((IF(OR(City_Inputs!$AK32="",Norm_Stats!$F$24="",Norm_Stats!$G$24="",Norm_Stats!$G$24=Norm_Stats!$F$24),"",MAX(0,MIN(100,100*(MIN(MAX(City_Inputs!$AK32,Norm_Stats!$F$24),Norm_Stats!$G$24)-Norm_Stats!$F$24)/(Norm_Stats!$G$24-Norm_Stats!$F$24)))))="",0,(IF(OR(City_Inputs!$AK32="",Norm_Stats!$F$24="",Norm_Stats!$G$24="",Norm_Stats!$G$24=Norm_Stats!$F$24),"",MAX(0,MIN(100,100*(MIN(MAX(City_Inputs!$AK32,Norm_Stats!$F$24),Norm_Stats!$G$24)-Norm_Stats!$F$24)/(Norm_Stats!$G$24-Norm_Stats!$F$24)))))*0.2))/(IF((IF(OR(City_Inputs!$AG32="",Norm_Stats!$F$22="",Norm_Stats!$G$22="",Norm_Stats!$G$22=Norm_Stats!$F$22),"",MAX(0,MIN(100,100*(MIN(MAX(City_Inputs!$AG32,Norm_Stats!$F$22),Norm_Stats!$G$22)-Norm_Stats!$F$22)/(Norm_Stats!$G$22-Norm_Stats!$F$22)))))="",0,0.5)+IF((IF(OR(City_Inputs!$AJ32="",Norm_Stats!$F$23="",Norm_Stats!$G$23="",Norm_Stats!$G$23=Norm_Stats!$F$23),"",MAX(0,MIN(100,100*(MIN(MAX(City_Inputs!$AJ32,Norm_Stats!$F$23),Norm_Stats!$G$23)-Norm_Stats!$F$23)/(Norm_Stats!$G$23-Norm_Stats!$F$23)))))="",0,0.3)+IF((IF(OR(City_Inputs!$AK32="",Norm_Stats!$F$24="",Norm_Stats!$G$24="",Norm_Stats!$G$24=Norm_Stats!$F$24),"",MAX(0,MIN(100,100*(MIN(MAX(City_Inputs!$AK32,Norm_Stats!$F$24),Norm_Stats!$G$24)-Norm_Stats!$F$24)/(Norm_Stats!$G$24-Norm_Stats!$F$24)))))="",0,0.2)))</f>
        <v/>
      </c>
      <c r="BD32" s="14">
        <f>IF((IF((IF(OR(City_Inputs!$AG32="",Norm_Stats!$F$22="",Norm_Stats!$G$22="",Norm_Stats!$G$22=Norm_Stats!$F$22),"",MAX(0,MIN(100,100*(MIN(MAX(City_Inputs!$AG32,Norm_Stats!$F$22),Norm_Stats!$G$22)-Norm_Stats!$F$22)/(Norm_Stats!$G$22-Norm_Stats!$F$22)))))="",0,0.5)+IF((IF(OR(City_Inputs!$AJ32="",Norm_Stats!$F$23="",Norm_Stats!$G$23="",Norm_Stats!$G$23=Norm_Stats!$F$23),"",MAX(0,MIN(100,100*(MIN(MAX(City_Inputs!$AJ32,Norm_Stats!$F$23),Norm_Stats!$G$23)-Norm_Stats!$F$23)/(Norm_Stats!$G$23-Norm_Stats!$F$23)))))="",0,0.3)+IF((IF(OR(City_Inputs!$AK32="",Norm_Stats!$F$24="",Norm_Stats!$G$24="",Norm_Stats!$G$24=Norm_Stats!$F$24),"",MAX(0,MIN(100,100*(MIN(MAX(City_Inputs!$AK32,Norm_Stats!$F$24),Norm_Stats!$G$24)-Norm_Stats!$F$24)/(Norm_Stats!$G$24-Norm_Stats!$F$24)))))="",0,0.2))=0,"",(IF((IF(OR(City_Inputs!$AG32="",Norm_Stats!$F$22="",Norm_Stats!$G$22="",Norm_Stats!$G$22=Norm_Stats!$F$22),"",MAX(0,MIN(100,100*(MIN(MAX(City_Inputs!$AG32,Norm_Stats!$F$22),Norm_Stats!$G$22)-Norm_Stats!$F$22)/(Norm_Stats!$G$22-Norm_Stats!$F$22)))))="",0,0.5)+IF((IF(OR(City_Inputs!$AJ32="",Norm_Stats!$F$23="",Norm_Stats!$G$23="",Norm_Stats!$G$23=Norm_Stats!$F$23),"",MAX(0,MIN(100,100*(MIN(MAX(City_Inputs!$AJ32,Norm_Stats!$F$23),Norm_Stats!$G$23)-Norm_Stats!$F$23)/(Norm_Stats!$G$23-Norm_Stats!$F$23)))))="",0,0.3)+IF((IF(OR(City_Inputs!$AK32="",Norm_Stats!$F$24="",Norm_Stats!$G$24="",Norm_Stats!$G$24=Norm_Stats!$F$24),"",MAX(0,MIN(100,100*(MIN(MAX(City_Inputs!$AK32,Norm_Stats!$F$24),Norm_Stats!$G$24)-Norm_Stats!$F$24)/(Norm_Stats!$G$24-Norm_Stats!$F$24)))))="",0,0.2)))</f>
        <v/>
      </c>
      <c r="BE32" s="11">
        <f>IF(OR(City_Inputs!$AH32="",Norm_Stats!$F$25="",Norm_Stats!$G$25="",Norm_Stats!$G$25=Norm_Stats!$F$25),"",MAX(0,MIN(100,100*(Norm_Stats!$G$25-MIN(MAX(City_Inputs!$AH32,Norm_Stats!$F$25),Norm_Stats!$G$25))/(Norm_Stats!$G$25-Norm_Stats!$F$25))))</f>
        <v/>
      </c>
      <c r="BF32" s="14">
        <f>IF(BE32="","",1)</f>
        <v/>
      </c>
      <c r="BG32" s="15">
        <f>IF((IF(AY32="",0,6)+IF(BA32="",0,5)+IF(BC32="",0,5)+IF(BE32="",0,4))=0,"",(IF(AY32="",0,AY32*6)+IF(BA32="",0,BA32*5)+IF(BC32="",0,BC32*5)+IF(BE32="",0,BE32*4))/(IF(AY32="",0,6)+IF(BA32="",0,5)+IF(BC32="",0,5)+IF(BE32="",0,4)))</f>
        <v/>
      </c>
      <c r="BH32" s="14">
        <f>IF((IF(AZ32="",0,6)+IF(BB32="",0,5)+IF(BD32="",0,5)+IF(BF32="",0,4))=0,"",(IF(AZ32="",0,AZ32*6)+IF(BB32="",0,BB32*5)+IF(BD32="",0,BD32*5)+IF(BF32="",0,BF32*4))/20)</f>
        <v/>
      </c>
      <c r="BI32" s="14">
        <f>IF(AND(R32="",AF32="",AN32="",AX32="",BH32=""),"",((R32*25)+(AF32*22)+(AN32*18)+(AX32*15)+(BH32*20))/100)</f>
        <v/>
      </c>
      <c r="BJ32" s="11">
        <f>IF(BI32="","",IF(BI32&gt;=0.75,"A",IF(BI32&gt;=0.5,"B",IF(BI32&gt;=0.35,"C","Watchlist"))))</f>
        <v/>
      </c>
      <c r="BK32" s="11">
        <f>IF(OR(BI32="",BI32&lt;0.5,R32="",R32&lt;0.35,AF32="",AF32&lt;0.35,AN32="",AN32&lt;0.35,AX32="",AX32&lt;0.35,BH32="",BH32&lt;0.35),"Watchlist","Ranked")</f>
        <v/>
      </c>
      <c r="BL32" s="15">
        <f>IF(AND(Q32="",AE32="",AM32="",AW32="",BG32=""),"",(IF(Q32="",0,Q32*25)+IF(AE32="",0,AE32*22)+IF(AM32="",0,AM32*18)+IF(AW32="",0,AW32*15)+IF(BG32="",0,BG32*20))/(IF(Q32="",0,25)+IF(AE32="",0,22)+IF(AM32="",0,18)+IF(AW32="",0,15)+IF(BG32="",0,20)))</f>
        <v/>
      </c>
      <c r="BM32" s="11">
        <f>IF(BK32="Ranked",1+COUNTIFS($BK$2:$BK$158,"Ranked",$BL$2:$BL$158,"&gt;"&amp;BL32),"")</f>
        <v/>
      </c>
      <c r="BN32" s="11">
        <f>City_Inputs!$AI32</f>
        <v/>
      </c>
    </row>
    <row r="33">
      <c r="A33" t="inlineStr">
        <is>
          <t>pk-karachi</t>
        </is>
      </c>
      <c r="B33" t="inlineStr">
        <is>
          <t>Karachi</t>
        </is>
      </c>
      <c r="C33" t="inlineStr">
        <is>
          <t>Pakistan</t>
        </is>
      </c>
      <c r="D33" t="inlineStr">
        <is>
          <t>South Asia</t>
        </is>
      </c>
      <c r="E33" t="inlineStr">
        <is>
          <t>provisional</t>
        </is>
      </c>
      <c r="F33" t="inlineStr">
        <is>
          <t>primary</t>
        </is>
      </c>
      <c r="G33" s="11">
        <f>IF(OR(City_Inputs!$M33="",Norm_Stats!$F$2="",Norm_Stats!$G$2="",Norm_Stats!$G$2=Norm_Stats!$F$2),"",MAX(0,MIN(100,100*(MIN(MAX(City_Inputs!$M33,Norm_Stats!$F$2),Norm_Stats!$G$2)-Norm_Stats!$F$2)/(Norm_Stats!$G$2-Norm_Stats!$F$2))))</f>
        <v/>
      </c>
      <c r="H33" s="14">
        <f>IF(G33="","",1)</f>
        <v/>
      </c>
      <c r="I33" s="11">
        <f>IF(OR(City_Inputs!$N33="",Norm_Stats!$F$3="",Norm_Stats!$G$3="",Norm_Stats!$G$3=Norm_Stats!$F$3),"",MAX(0,MIN(100,100*(Norm_Stats!$G$3-MIN(MAX(City_Inputs!$N33,Norm_Stats!$F$3),Norm_Stats!$G$3))/(Norm_Stats!$G$3-Norm_Stats!$F$3))))</f>
        <v/>
      </c>
      <c r="J33" s="14">
        <f>IF(I33="","",1)</f>
        <v/>
      </c>
      <c r="K33" s="11">
        <f>IF(OR(City_Inputs!$P33="",Norm_Stats!$F$4="",Norm_Stats!$G$4="",Norm_Stats!$G$4=Norm_Stats!$F$4),"",MAX(0,MIN(100,100*(Norm_Stats!$G$4-MIN(MAX(City_Inputs!$P33,Norm_Stats!$F$4),Norm_Stats!$G$4))/(Norm_Stats!$G$4-Norm_Stats!$F$4))))</f>
        <v/>
      </c>
      <c r="L33" s="14">
        <f>IF(K33="","",1)</f>
        <v/>
      </c>
      <c r="M33" s="11">
        <f>IF(OR(City_Inputs!$Q33="",Norm_Stats!$F$5="",Norm_Stats!$G$5="",Norm_Stats!$G$5=Norm_Stats!$F$5),"",MAX(0,MIN(100,100*(Norm_Stats!$G$5-MIN(MAX(City_Inputs!$Q33,Norm_Stats!$F$5),Norm_Stats!$G$5))/(Norm_Stats!$G$5-Norm_Stats!$F$5))))</f>
        <v/>
      </c>
      <c r="N33" s="14">
        <f>IF(M33="","",1)</f>
        <v/>
      </c>
      <c r="O33" s="11">
        <f>IF(OR(City_Inputs!$R33="",Norm_Stats!$F$6="",Norm_Stats!$G$6="",Norm_Stats!$G$6=Norm_Stats!$F$6),"",MAX(0,MIN(100,100*(Norm_Stats!$G$6-MIN(MAX(City_Inputs!$R33,Norm_Stats!$F$6),Norm_Stats!$G$6))/(Norm_Stats!$G$6-Norm_Stats!$F$6))))</f>
        <v/>
      </c>
      <c r="P33" s="14">
        <f>IF(O33="","",1)</f>
        <v/>
      </c>
      <c r="Q33" s="15">
        <f>IF((IF(G33="",0,9)+IF(I33="",0,5)+IF(K33="",0,4)+IF(M33="",0,4)+IF(O33="",0,5))=0,"",(IF(G33="",0,G33*9)+IF(I33="",0,I33*5)+IF(K33="",0,K33*4)+IF(M33="",0,M33*4)+IF(O33="",0,O33*5))/(IF(G33="",0,9)+IF(I33="",0,5)+IF(K33="",0,4)+IF(M33="",0,4)+IF(O33="",0,5)))</f>
        <v/>
      </c>
      <c r="R33" s="14">
        <f>IF((IF(H33="",0,9)+IF(J33="",0,5)+IF(L33="",0,4)+IF(N33="",0,4)+IF(P33="",0,5))=0,"",(IF(H33="",0,H33*9)+IF(J33="",0,J33*5)+IF(L33="",0,L33*4)+IF(N33="",0,N33*4)+IF(P33="",0,P33*5))/27)</f>
        <v/>
      </c>
      <c r="S33" s="11">
        <f>IF(OR(City_Inputs!$S33="",Norm_Stats!$F$7="",Norm_Stats!$G$7="",Norm_Stats!$G$7=Norm_Stats!$F$7),"",MAX(0,MIN(100,100*(Norm_Stats!$G$7-MIN(MAX(City_Inputs!$S33,Norm_Stats!$F$7),Norm_Stats!$G$7))/(Norm_Stats!$G$7-Norm_Stats!$F$7))))</f>
        <v/>
      </c>
      <c r="T33" s="14">
        <f>IF(S33="","",1)</f>
        <v/>
      </c>
      <c r="U33" s="11">
        <f>IF(OR(City_Inputs!$T33="",Norm_Stats!$F$8="",Norm_Stats!$G$8="",Norm_Stats!$G$8=Norm_Stats!$F$8),"",MAX(0,MIN(100,100*(MIN(MAX(City_Inputs!$T33,Norm_Stats!$F$8),Norm_Stats!$G$8)-Norm_Stats!$F$8)/(Norm_Stats!$G$8-Norm_Stats!$F$8))))</f>
        <v/>
      </c>
      <c r="V33" s="14">
        <f>IF(U33="","",1)</f>
        <v/>
      </c>
      <c r="W33" s="11">
        <f>IF(OR(City_Inputs!$U33="",Norm_Stats!$F$9="",Norm_Stats!$G$9="",Norm_Stats!$G$9=Norm_Stats!$F$9),"",MAX(0,MIN(100,100*(Norm_Stats!$G$9-MIN(MAX(City_Inputs!$U33,Norm_Stats!$F$9),Norm_Stats!$G$9))/(Norm_Stats!$G$9-Norm_Stats!$F$9))))</f>
        <v/>
      </c>
      <c r="X33" s="14">
        <f>IF(W33="","",1)</f>
        <v/>
      </c>
      <c r="Y33" s="11">
        <f>IF(OR(City_Inputs!$V33="",Norm_Stats!$F$10="",Norm_Stats!$G$10="",Norm_Stats!$G$10=Norm_Stats!$F$10),"",MAX(0,MIN(100,100*(MIN(MAX(City_Inputs!$V33,Norm_Stats!$F$10),Norm_Stats!$G$10)-Norm_Stats!$F$10)/(Norm_Stats!$G$10-Norm_Stats!$F$10))))</f>
        <v/>
      </c>
      <c r="Z33" s="14">
        <f>IF(Y33="","",1)</f>
        <v/>
      </c>
      <c r="AA33" s="11">
        <f>IF(OR(City_Inputs!$W33="",Norm_Stats!$F$11="",Norm_Stats!$G$11="",Norm_Stats!$G$11=Norm_Stats!$F$11),"",MAX(0,MIN(100,100*(MIN(MAX(City_Inputs!$W33,Norm_Stats!$F$11),Norm_Stats!$G$11)-Norm_Stats!$F$11)/(Norm_Stats!$G$11-Norm_Stats!$F$11))))</f>
        <v/>
      </c>
      <c r="AB33" s="14">
        <f>IF(AA33="","",1)</f>
        <v/>
      </c>
      <c r="AC33" s="11">
        <f>IF(OR(City_Inputs!$X33="",Norm_Stats!$F$12="",Norm_Stats!$G$12="",Norm_Stats!$G$12=Norm_Stats!$F$12),"",MAX(0,MIN(100,100*(MIN(MAX(City_Inputs!$X33,Norm_Stats!$F$12),Norm_Stats!$G$12)-Norm_Stats!$F$12)/(Norm_Stats!$G$12-Norm_Stats!$F$12))))</f>
        <v/>
      </c>
      <c r="AD33" s="11">
        <f>IF(AC33="","",1)</f>
        <v/>
      </c>
      <c r="AE33" s="15">
        <f>IF((IF(S33="",0,5)+IF(U33="",0,5)+IF(W33="",0,4)+IF(Y33="",0,4)+IF(AA33="",0,4)+IF(AC33="",0,5))=0,"",(IF(S33="",0,S33*5)+IF(U33="",0,U33*5)+IF(W33="",0,W33*4)+IF(Y33="",0,Y33*4)+IF(AA33="",0,AA33*4)+IF(AC33="",0,AC33*5))/(IF(S33="",0,5)+IF(U33="",0,5)+IF(W33="",0,4)+IF(Y33="",0,4)+IF(AA33="",0,4)+IF(AC33="",0,5)))</f>
        <v/>
      </c>
      <c r="AF33" s="14">
        <f>IF((IF(T33="",0,5)+IF(V33="",0,5)+IF(X33="",0,4)+IF(Z33="",0,4)+IF(AB33="",0,4)+IF(AD33="",0,5))=0,"",(IF(T33="",0,T33*5)+IF(V33="",0,V33*5)+IF(X33="",0,X33*4)+IF(Z33="",0,Z33*4)+IF(AB33="",0,AB33*4)+IF(AD33="",0,AD33*5))/27)</f>
        <v/>
      </c>
      <c r="AG33" s="11">
        <f>IF(OR(City_Inputs!$Y33="",Norm_Stats!$F$13="",Norm_Stats!$G$13="",Norm_Stats!$G$13=Norm_Stats!$F$13),"",MAX(0,MIN(100,100*(MIN(MAX(City_Inputs!$Y33,Norm_Stats!$F$13),Norm_Stats!$G$13)-Norm_Stats!$F$13)/(Norm_Stats!$G$13-Norm_Stats!$F$13))))</f>
        <v/>
      </c>
      <c r="AH33" s="14">
        <f>IF(AG33="","",1)</f>
        <v/>
      </c>
      <c r="AI33" s="11">
        <f>IF(OR(City_Inputs!$Z33="",Norm_Stats!$F$14="",Norm_Stats!$G$14="",Norm_Stats!$G$14=Norm_Stats!$F$14),"",MAX(0,MIN(100,100*(MIN(MAX(City_Inputs!$Z33,Norm_Stats!$F$14),Norm_Stats!$G$14)-Norm_Stats!$F$14)/(Norm_Stats!$G$14-Norm_Stats!$F$14))))</f>
        <v/>
      </c>
      <c r="AJ33" s="14">
        <f>IF(AI33="","",1)</f>
        <v/>
      </c>
      <c r="AK33" s="11">
        <f>IF((IF((IF(OR(City_Inputs!$AA33="",Norm_Stats!$F$15="",Norm_Stats!$G$15="",Norm_Stats!$G$15=Norm_Stats!$F$15),"",MAX(0,MIN(100,100*(MIN(MAX(City_Inputs!$AA33,Norm_Stats!$F$15),Norm_Stats!$G$15)-Norm_Stats!$F$15)/(Norm_Stats!$G$15-Norm_Stats!$F$15)))))="",0,0.7)+IF((IF(OR(City_Inputs!$AL33="",Norm_Stats!$F$16="",Norm_Stats!$G$16="",Norm_Stats!$G$16=Norm_Stats!$F$16),"",MAX(0,MIN(100,100*(Norm_Stats!$G$16-MIN(MAX(City_Inputs!$AL33,Norm_Stats!$F$16),Norm_Stats!$G$16))/(Norm_Stats!$G$16-Norm_Stats!$F$16)))))="",0,0.3))=0,"",(IF((IF(OR(City_Inputs!$AA33="",Norm_Stats!$F$15="",Norm_Stats!$G$15="",Norm_Stats!$G$15=Norm_Stats!$F$15),"",MAX(0,MIN(100,100*(MIN(MAX(City_Inputs!$AA33,Norm_Stats!$F$15),Norm_Stats!$G$15)-Norm_Stats!$F$15)/(Norm_Stats!$G$15-Norm_Stats!$F$15)))))="",0,(IF(OR(City_Inputs!$AA33="",Norm_Stats!$F$15="",Norm_Stats!$G$15="",Norm_Stats!$G$15=Norm_Stats!$F$15),"",MAX(0,MIN(100,100*(MIN(MAX(City_Inputs!$AA33,Norm_Stats!$F$15),Norm_Stats!$G$15)-Norm_Stats!$F$15)/(Norm_Stats!$G$15-Norm_Stats!$F$15)))))*0.7)+IF((IF(OR(City_Inputs!$AL33="",Norm_Stats!$F$16="",Norm_Stats!$G$16="",Norm_Stats!$G$16=Norm_Stats!$F$16),"",MAX(0,MIN(100,100*(Norm_Stats!$G$16-MIN(MAX(City_Inputs!$AL33,Norm_Stats!$F$16),Norm_Stats!$G$16))/(Norm_Stats!$G$16-Norm_Stats!$F$16)))))="",0,(IF(OR(City_Inputs!$AL33="",Norm_Stats!$F$16="",Norm_Stats!$G$16="",Norm_Stats!$G$16=Norm_Stats!$F$16),"",MAX(0,MIN(100,100*(Norm_Stats!$G$16-MIN(MAX(City_Inputs!$AL33,Norm_Stats!$F$16),Norm_Stats!$G$16))/(Norm_Stats!$G$16-Norm_Stats!$F$16)))))*0.3))/(IF((IF(OR(City_Inputs!$AA33="",Norm_Stats!$F$15="",Norm_Stats!$G$15="",Norm_Stats!$G$15=Norm_Stats!$F$15),"",MAX(0,MIN(100,100*(MIN(MAX(City_Inputs!$AA33,Norm_Stats!$F$15),Norm_Stats!$G$15)-Norm_Stats!$F$15)/(Norm_Stats!$G$15-Norm_Stats!$F$15)))))="",0,0.7)+IF((IF(OR(City_Inputs!$AL33="",Norm_Stats!$F$16="",Norm_Stats!$G$16="",Norm_Stats!$G$16=Norm_Stats!$F$16),"",MAX(0,MIN(100,100*(Norm_Stats!$G$16-MIN(MAX(City_Inputs!$AL33,Norm_Stats!$F$16),Norm_Stats!$G$16))/(Norm_Stats!$G$16-Norm_Stats!$F$16)))))="",0,0.3)))</f>
        <v/>
      </c>
      <c r="AL33" s="14">
        <f>IF((IF((IF(OR(City_Inputs!$AA33="",Norm_Stats!$F$15="",Norm_Stats!$G$15="",Norm_Stats!$G$15=Norm_Stats!$F$15),"",MAX(0,MIN(100,100*(MIN(MAX(City_Inputs!$AA33,Norm_Stats!$F$15),Norm_Stats!$G$15)-Norm_Stats!$F$15)/(Norm_Stats!$G$15-Norm_Stats!$F$15)))))="",0,0.7)+IF((IF(OR(City_Inputs!$AL33="",Norm_Stats!$F$16="",Norm_Stats!$G$16="",Norm_Stats!$G$16=Norm_Stats!$F$16),"",MAX(0,MIN(100,100*(Norm_Stats!$G$16-MIN(MAX(City_Inputs!$AL33,Norm_Stats!$F$16),Norm_Stats!$G$16))/(Norm_Stats!$G$16-Norm_Stats!$F$16)))))="",0,0.3))=0,"",(IF((IF(OR(City_Inputs!$AA33="",Norm_Stats!$F$15="",Norm_Stats!$G$15="",Norm_Stats!$G$15=Norm_Stats!$F$15),"",MAX(0,MIN(100,100*(MIN(MAX(City_Inputs!$AA33,Norm_Stats!$F$15),Norm_Stats!$G$15)-Norm_Stats!$F$15)/(Norm_Stats!$G$15-Norm_Stats!$F$15)))))="",0,0.7)+IF((IF(OR(City_Inputs!$AL33="",Norm_Stats!$F$16="",Norm_Stats!$G$16="",Norm_Stats!$G$16=Norm_Stats!$F$16),"",MAX(0,MIN(100,100*(Norm_Stats!$G$16-MIN(MAX(City_Inputs!$AL33,Norm_Stats!$F$16),Norm_Stats!$G$16))/(Norm_Stats!$G$16-Norm_Stats!$F$16)))))="",0,0.3)))</f>
        <v/>
      </c>
      <c r="AM33" s="15">
        <f>IF((IF(AG33="",0,8)+IF(AI33="",0,6)+IF(AK33="",0,4))=0,"",(IF(AG33="",0,AG33*8)+IF(AI33="",0,AI33*6)+IF(AK33="",0,AK33*4))/(IF(AG33="",0,8)+IF(AI33="",0,6)+IF(AK33="",0,4)))</f>
        <v/>
      </c>
      <c r="AN33" s="14">
        <f>IF((IF(AH33="",0,8)+IF(AJ33="",0,6)+IF(AL33="",0,4))=0,"",(IF(AH33="",0,AH33*8)+IF(AJ33="",0,AJ33*6)+IF(AL33="",0,AL33*4))/18)</f>
        <v/>
      </c>
      <c r="AO33" s="11">
        <f>IF(OR(City_Inputs!$AB33="",Norm_Stats!$F$17="",Norm_Stats!$G$17="",Norm_Stats!$G$17=Norm_Stats!$F$17),"",MAX(0,MIN(100,100*(MIN(MAX(City_Inputs!$AB33,Norm_Stats!$F$17),Norm_Stats!$G$17)-Norm_Stats!$F$17)/(Norm_Stats!$G$17-Norm_Stats!$F$17))))</f>
        <v/>
      </c>
      <c r="AP33" s="14">
        <f>IF(AO33="","",1)</f>
        <v/>
      </c>
      <c r="AQ33" s="11">
        <f>IF(OR(City_Inputs!$AC33="",Norm_Stats!$F$18="",Norm_Stats!$G$18="",Norm_Stats!$G$18=Norm_Stats!$F$18),"",MAX(0,MIN(100,100*(MIN(MAX(City_Inputs!$AC33,Norm_Stats!$F$18),Norm_Stats!$G$18)-Norm_Stats!$F$18)/(Norm_Stats!$G$18-Norm_Stats!$F$18))))</f>
        <v/>
      </c>
      <c r="AR33" s="14">
        <f>IF(AQ33="","",1)</f>
        <v/>
      </c>
      <c r="AS33" s="11">
        <f>IF(OR(City_Inputs!$AD33="",Norm_Stats!$F$19="",Norm_Stats!$G$19="",Norm_Stats!$G$19=Norm_Stats!$F$19),"",MAX(0,MIN(100,100*(MIN(MAX(City_Inputs!$AD33,Norm_Stats!$F$19),Norm_Stats!$G$19)-Norm_Stats!$F$19)/(Norm_Stats!$G$19-Norm_Stats!$F$19))))</f>
        <v/>
      </c>
      <c r="AT33" s="14">
        <f>IF(AS33="","",1)</f>
        <v/>
      </c>
      <c r="AU33" s="11">
        <f>IF(OR(City_Inputs!$BJ33="",Norm_Stats!$F$26="",Norm_Stats!$G$26="",Norm_Stats!$G$26=Norm_Stats!$F$26),"",MAX(0,MIN(100,100*(MIN(MAX(City_Inputs!$BJ33,Norm_Stats!$F$26),Norm_Stats!$G$26)-Norm_Stats!$F$26)/(Norm_Stats!$G$26-Norm_Stats!$F$26))))</f>
        <v/>
      </c>
      <c r="AV33" s="11">
        <f>IF(AU33="","",1)</f>
        <v/>
      </c>
      <c r="AW33" s="15">
        <f>IF((IF(AO33="",0,5)+IF(AQ33="",0,5)+IF(AS33="",0,5)+IF(AU33="",0,4))=0,"",(IF(AO33="",0,AO33*5)+IF(AQ33="",0,AQ33*5)+IF(AS33="",0,AS33*5)+IF(AU33="",0,AU33*4))/(IF(AO33="",0,5)+IF(AQ33="",0,5)+IF(AS33="",0,5)+IF(AU33="",0,4)))</f>
        <v/>
      </c>
      <c r="AX33" s="14">
        <f>IF((IF(AP33="",0,5)+IF(AR33="",0,5)+IF(AT33="",0,5)+IF(AV33="",0,4))=0,"",(IF(AP33="",0,AP33*5)+IF(AR33="",0,AR33*5)+IF(AT33="",0,AT33*5)+IF(AV33="",0,AV33*4))/19)</f>
        <v/>
      </c>
      <c r="AY33" s="11">
        <f>IF(OR(City_Inputs!$AE33="",Norm_Stats!$F$20="",Norm_Stats!$G$20="",Norm_Stats!$G$20=Norm_Stats!$F$20),"",MAX(0,MIN(100,100*(MIN(MAX(City_Inputs!$AE33,Norm_Stats!$F$20),Norm_Stats!$G$20)-Norm_Stats!$F$20)/(Norm_Stats!$G$20-Norm_Stats!$F$20))))</f>
        <v/>
      </c>
      <c r="AZ33" s="14">
        <f>IF(AY33="","",1)</f>
        <v/>
      </c>
      <c r="BA33" s="11">
        <f>IF(OR(City_Inputs!$AF33="",Norm_Stats!$F$21="",Norm_Stats!$G$21="",Norm_Stats!$G$21=Norm_Stats!$F$21),"",MAX(0,MIN(100,100*(MIN(MAX(City_Inputs!$AF33,Norm_Stats!$F$21),Norm_Stats!$G$21)-Norm_Stats!$F$21)/(Norm_Stats!$G$21-Norm_Stats!$F$21))))</f>
        <v/>
      </c>
      <c r="BB33" s="14">
        <f>IF(BA33="","",1)</f>
        <v/>
      </c>
      <c r="BC33" s="11">
        <f>IF((IF((IF(OR(City_Inputs!$AG33="",Norm_Stats!$F$22="",Norm_Stats!$G$22="",Norm_Stats!$G$22=Norm_Stats!$F$22),"",MAX(0,MIN(100,100*(MIN(MAX(City_Inputs!$AG33,Norm_Stats!$F$22),Norm_Stats!$G$22)-Norm_Stats!$F$22)/(Norm_Stats!$G$22-Norm_Stats!$F$22)))))="",0,0.5)+IF((IF(OR(City_Inputs!$AJ33="",Norm_Stats!$F$23="",Norm_Stats!$G$23="",Norm_Stats!$G$23=Norm_Stats!$F$23),"",MAX(0,MIN(100,100*(MIN(MAX(City_Inputs!$AJ33,Norm_Stats!$F$23),Norm_Stats!$G$23)-Norm_Stats!$F$23)/(Norm_Stats!$G$23-Norm_Stats!$F$23)))))="",0,0.3)+IF((IF(OR(City_Inputs!$AK33="",Norm_Stats!$F$24="",Norm_Stats!$G$24="",Norm_Stats!$G$24=Norm_Stats!$F$24),"",MAX(0,MIN(100,100*(MIN(MAX(City_Inputs!$AK33,Norm_Stats!$F$24),Norm_Stats!$G$24)-Norm_Stats!$F$24)/(Norm_Stats!$G$24-Norm_Stats!$F$24)))))="",0,0.2))=0,"",(IF((IF(OR(City_Inputs!$AG33="",Norm_Stats!$F$22="",Norm_Stats!$G$22="",Norm_Stats!$G$22=Norm_Stats!$F$22),"",MAX(0,MIN(100,100*(MIN(MAX(City_Inputs!$AG33,Norm_Stats!$F$22),Norm_Stats!$G$22)-Norm_Stats!$F$22)/(Norm_Stats!$G$22-Norm_Stats!$F$22)))))="",0,(IF(OR(City_Inputs!$AG33="",Norm_Stats!$F$22="",Norm_Stats!$G$22="",Norm_Stats!$G$22=Norm_Stats!$F$22),"",MAX(0,MIN(100,100*(MIN(MAX(City_Inputs!$AG33,Norm_Stats!$F$22),Norm_Stats!$G$22)-Norm_Stats!$F$22)/(Norm_Stats!$G$22-Norm_Stats!$F$22)))))*0.5)+IF((IF(OR(City_Inputs!$AJ33="",Norm_Stats!$F$23="",Norm_Stats!$G$23="",Norm_Stats!$G$23=Norm_Stats!$F$23),"",MAX(0,MIN(100,100*(MIN(MAX(City_Inputs!$AJ33,Norm_Stats!$F$23),Norm_Stats!$G$23)-Norm_Stats!$F$23)/(Norm_Stats!$G$23-Norm_Stats!$F$23)))))="",0,(IF(OR(City_Inputs!$AJ33="",Norm_Stats!$F$23="",Norm_Stats!$G$23="",Norm_Stats!$G$23=Norm_Stats!$F$23),"",MAX(0,MIN(100,100*(MIN(MAX(City_Inputs!$AJ33,Norm_Stats!$F$23),Norm_Stats!$G$23)-Norm_Stats!$F$23)/(Norm_Stats!$G$23-Norm_Stats!$F$23)))))*0.3)+IF((IF(OR(City_Inputs!$AK33="",Norm_Stats!$F$24="",Norm_Stats!$G$24="",Norm_Stats!$G$24=Norm_Stats!$F$24),"",MAX(0,MIN(100,100*(MIN(MAX(City_Inputs!$AK33,Norm_Stats!$F$24),Norm_Stats!$G$24)-Norm_Stats!$F$24)/(Norm_Stats!$G$24-Norm_Stats!$F$24)))))="",0,(IF(OR(City_Inputs!$AK33="",Norm_Stats!$F$24="",Norm_Stats!$G$24="",Norm_Stats!$G$24=Norm_Stats!$F$24),"",MAX(0,MIN(100,100*(MIN(MAX(City_Inputs!$AK33,Norm_Stats!$F$24),Norm_Stats!$G$24)-Norm_Stats!$F$24)/(Norm_Stats!$G$24-Norm_Stats!$F$24)))))*0.2))/(IF((IF(OR(City_Inputs!$AG33="",Norm_Stats!$F$22="",Norm_Stats!$G$22="",Norm_Stats!$G$22=Norm_Stats!$F$22),"",MAX(0,MIN(100,100*(MIN(MAX(City_Inputs!$AG33,Norm_Stats!$F$22),Norm_Stats!$G$22)-Norm_Stats!$F$22)/(Norm_Stats!$G$22-Norm_Stats!$F$22)))))="",0,0.5)+IF((IF(OR(City_Inputs!$AJ33="",Norm_Stats!$F$23="",Norm_Stats!$G$23="",Norm_Stats!$G$23=Norm_Stats!$F$23),"",MAX(0,MIN(100,100*(MIN(MAX(City_Inputs!$AJ33,Norm_Stats!$F$23),Norm_Stats!$G$23)-Norm_Stats!$F$23)/(Norm_Stats!$G$23-Norm_Stats!$F$23)))))="",0,0.3)+IF((IF(OR(City_Inputs!$AK33="",Norm_Stats!$F$24="",Norm_Stats!$G$24="",Norm_Stats!$G$24=Norm_Stats!$F$24),"",MAX(0,MIN(100,100*(MIN(MAX(City_Inputs!$AK33,Norm_Stats!$F$24),Norm_Stats!$G$24)-Norm_Stats!$F$24)/(Norm_Stats!$G$24-Norm_Stats!$F$24)))))="",0,0.2)))</f>
        <v/>
      </c>
      <c r="BD33" s="14">
        <f>IF((IF((IF(OR(City_Inputs!$AG33="",Norm_Stats!$F$22="",Norm_Stats!$G$22="",Norm_Stats!$G$22=Norm_Stats!$F$22),"",MAX(0,MIN(100,100*(MIN(MAX(City_Inputs!$AG33,Norm_Stats!$F$22),Norm_Stats!$G$22)-Norm_Stats!$F$22)/(Norm_Stats!$G$22-Norm_Stats!$F$22)))))="",0,0.5)+IF((IF(OR(City_Inputs!$AJ33="",Norm_Stats!$F$23="",Norm_Stats!$G$23="",Norm_Stats!$G$23=Norm_Stats!$F$23),"",MAX(0,MIN(100,100*(MIN(MAX(City_Inputs!$AJ33,Norm_Stats!$F$23),Norm_Stats!$G$23)-Norm_Stats!$F$23)/(Norm_Stats!$G$23-Norm_Stats!$F$23)))))="",0,0.3)+IF((IF(OR(City_Inputs!$AK33="",Norm_Stats!$F$24="",Norm_Stats!$G$24="",Norm_Stats!$G$24=Norm_Stats!$F$24),"",MAX(0,MIN(100,100*(MIN(MAX(City_Inputs!$AK33,Norm_Stats!$F$24),Norm_Stats!$G$24)-Norm_Stats!$F$24)/(Norm_Stats!$G$24-Norm_Stats!$F$24)))))="",0,0.2))=0,"",(IF((IF(OR(City_Inputs!$AG33="",Norm_Stats!$F$22="",Norm_Stats!$G$22="",Norm_Stats!$G$22=Norm_Stats!$F$22),"",MAX(0,MIN(100,100*(MIN(MAX(City_Inputs!$AG33,Norm_Stats!$F$22),Norm_Stats!$G$22)-Norm_Stats!$F$22)/(Norm_Stats!$G$22-Norm_Stats!$F$22)))))="",0,0.5)+IF((IF(OR(City_Inputs!$AJ33="",Norm_Stats!$F$23="",Norm_Stats!$G$23="",Norm_Stats!$G$23=Norm_Stats!$F$23),"",MAX(0,MIN(100,100*(MIN(MAX(City_Inputs!$AJ33,Norm_Stats!$F$23),Norm_Stats!$G$23)-Norm_Stats!$F$23)/(Norm_Stats!$G$23-Norm_Stats!$F$23)))))="",0,0.3)+IF((IF(OR(City_Inputs!$AK33="",Norm_Stats!$F$24="",Norm_Stats!$G$24="",Norm_Stats!$G$24=Norm_Stats!$F$24),"",MAX(0,MIN(100,100*(MIN(MAX(City_Inputs!$AK33,Norm_Stats!$F$24),Norm_Stats!$G$24)-Norm_Stats!$F$24)/(Norm_Stats!$G$24-Norm_Stats!$F$24)))))="",0,0.2)))</f>
        <v/>
      </c>
      <c r="BE33" s="11">
        <f>IF(OR(City_Inputs!$AH33="",Norm_Stats!$F$25="",Norm_Stats!$G$25="",Norm_Stats!$G$25=Norm_Stats!$F$25),"",MAX(0,MIN(100,100*(Norm_Stats!$G$25-MIN(MAX(City_Inputs!$AH33,Norm_Stats!$F$25),Norm_Stats!$G$25))/(Norm_Stats!$G$25-Norm_Stats!$F$25))))</f>
        <v/>
      </c>
      <c r="BF33" s="14">
        <f>IF(BE33="","",1)</f>
        <v/>
      </c>
      <c r="BG33" s="15">
        <f>IF((IF(AY33="",0,6)+IF(BA33="",0,5)+IF(BC33="",0,5)+IF(BE33="",0,4))=0,"",(IF(AY33="",0,AY33*6)+IF(BA33="",0,BA33*5)+IF(BC33="",0,BC33*5)+IF(BE33="",0,BE33*4))/(IF(AY33="",0,6)+IF(BA33="",0,5)+IF(BC33="",0,5)+IF(BE33="",0,4)))</f>
        <v/>
      </c>
      <c r="BH33" s="14">
        <f>IF((IF(AZ33="",0,6)+IF(BB33="",0,5)+IF(BD33="",0,5)+IF(BF33="",0,4))=0,"",(IF(AZ33="",0,AZ33*6)+IF(BB33="",0,BB33*5)+IF(BD33="",0,BD33*5)+IF(BF33="",0,BF33*4))/20)</f>
        <v/>
      </c>
      <c r="BI33" s="14">
        <f>IF(AND(R33="",AF33="",AN33="",AX33="",BH33=""),"",((R33*25)+(AF33*22)+(AN33*18)+(AX33*15)+(BH33*20))/100)</f>
        <v/>
      </c>
      <c r="BJ33" s="11">
        <f>IF(BI33="","",IF(BI33&gt;=0.75,"A",IF(BI33&gt;=0.5,"B",IF(BI33&gt;=0.35,"C","Watchlist"))))</f>
        <v/>
      </c>
      <c r="BK33" s="11">
        <f>IF(OR(BI33="",BI33&lt;0.5,R33="",R33&lt;0.35,AF33="",AF33&lt;0.35,AN33="",AN33&lt;0.35,AX33="",AX33&lt;0.35,BH33="",BH33&lt;0.35),"Watchlist","Ranked")</f>
        <v/>
      </c>
      <c r="BL33" s="15">
        <f>IF(AND(Q33="",AE33="",AM33="",AW33="",BG33=""),"",(IF(Q33="",0,Q33*25)+IF(AE33="",0,AE33*22)+IF(AM33="",0,AM33*18)+IF(AW33="",0,AW33*15)+IF(BG33="",0,BG33*20))/(IF(Q33="",0,25)+IF(AE33="",0,22)+IF(AM33="",0,18)+IF(AW33="",0,15)+IF(BG33="",0,20)))</f>
        <v/>
      </c>
      <c r="BM33" s="11">
        <f>IF(BK33="Ranked",1+COUNTIFS($BK$2:$BK$158,"Ranked",$BL$2:$BL$158,"&gt;"&amp;BL33),"")</f>
        <v/>
      </c>
      <c r="BN33" s="11">
        <f>City_Inputs!$AI33</f>
        <v/>
      </c>
    </row>
    <row r="34">
      <c r="A34" t="inlineStr">
        <is>
          <t>pk-lahore</t>
        </is>
      </c>
      <c r="B34" t="inlineStr">
        <is>
          <t>Lahore</t>
        </is>
      </c>
      <c r="C34" t="inlineStr">
        <is>
          <t>Pakistan</t>
        </is>
      </c>
      <c r="D34" t="inlineStr">
        <is>
          <t>South Asia</t>
        </is>
      </c>
      <c r="E34" t="inlineStr">
        <is>
          <t>locked</t>
        </is>
      </c>
      <c r="F34" t="inlineStr">
        <is>
          <t>secondary</t>
        </is>
      </c>
      <c r="G34" s="11">
        <f>IF(OR(City_Inputs!$M34="",Norm_Stats!$F$2="",Norm_Stats!$G$2="",Norm_Stats!$G$2=Norm_Stats!$F$2),"",MAX(0,MIN(100,100*(MIN(MAX(City_Inputs!$M34,Norm_Stats!$F$2),Norm_Stats!$G$2)-Norm_Stats!$F$2)/(Norm_Stats!$G$2-Norm_Stats!$F$2))))</f>
        <v/>
      </c>
      <c r="H34" s="14">
        <f>IF(G34="","",1)</f>
        <v/>
      </c>
      <c r="I34" s="11">
        <f>IF(OR(City_Inputs!$N34="",Norm_Stats!$F$3="",Norm_Stats!$G$3="",Norm_Stats!$G$3=Norm_Stats!$F$3),"",MAX(0,MIN(100,100*(Norm_Stats!$G$3-MIN(MAX(City_Inputs!$N34,Norm_Stats!$F$3),Norm_Stats!$G$3))/(Norm_Stats!$G$3-Norm_Stats!$F$3))))</f>
        <v/>
      </c>
      <c r="J34" s="14">
        <f>IF(I34="","",1)</f>
        <v/>
      </c>
      <c r="K34" s="11">
        <f>IF(OR(City_Inputs!$P34="",Norm_Stats!$F$4="",Norm_Stats!$G$4="",Norm_Stats!$G$4=Norm_Stats!$F$4),"",MAX(0,MIN(100,100*(Norm_Stats!$G$4-MIN(MAX(City_Inputs!$P34,Norm_Stats!$F$4),Norm_Stats!$G$4))/(Norm_Stats!$G$4-Norm_Stats!$F$4))))</f>
        <v/>
      </c>
      <c r="L34" s="14">
        <f>IF(K34="","",1)</f>
        <v/>
      </c>
      <c r="M34" s="11">
        <f>IF(OR(City_Inputs!$Q34="",Norm_Stats!$F$5="",Norm_Stats!$G$5="",Norm_Stats!$G$5=Norm_Stats!$F$5),"",MAX(0,MIN(100,100*(Norm_Stats!$G$5-MIN(MAX(City_Inputs!$Q34,Norm_Stats!$F$5),Norm_Stats!$G$5))/(Norm_Stats!$G$5-Norm_Stats!$F$5))))</f>
        <v/>
      </c>
      <c r="N34" s="14">
        <f>IF(M34="","",1)</f>
        <v/>
      </c>
      <c r="O34" s="11">
        <f>IF(OR(City_Inputs!$R34="",Norm_Stats!$F$6="",Norm_Stats!$G$6="",Norm_Stats!$G$6=Norm_Stats!$F$6),"",MAX(0,MIN(100,100*(Norm_Stats!$G$6-MIN(MAX(City_Inputs!$R34,Norm_Stats!$F$6),Norm_Stats!$G$6))/(Norm_Stats!$G$6-Norm_Stats!$F$6))))</f>
        <v/>
      </c>
      <c r="P34" s="14">
        <f>IF(O34="","",1)</f>
        <v/>
      </c>
      <c r="Q34" s="15">
        <f>IF((IF(G34="",0,9)+IF(I34="",0,5)+IF(K34="",0,4)+IF(M34="",0,4)+IF(O34="",0,5))=0,"",(IF(G34="",0,G34*9)+IF(I34="",0,I34*5)+IF(K34="",0,K34*4)+IF(M34="",0,M34*4)+IF(O34="",0,O34*5))/(IF(G34="",0,9)+IF(I34="",0,5)+IF(K34="",0,4)+IF(M34="",0,4)+IF(O34="",0,5)))</f>
        <v/>
      </c>
      <c r="R34" s="14">
        <f>IF((IF(H34="",0,9)+IF(J34="",0,5)+IF(L34="",0,4)+IF(N34="",0,4)+IF(P34="",0,5))=0,"",(IF(H34="",0,H34*9)+IF(J34="",0,J34*5)+IF(L34="",0,L34*4)+IF(N34="",0,N34*4)+IF(P34="",0,P34*5))/27)</f>
        <v/>
      </c>
      <c r="S34" s="11">
        <f>IF(OR(City_Inputs!$S34="",Norm_Stats!$F$7="",Norm_Stats!$G$7="",Norm_Stats!$G$7=Norm_Stats!$F$7),"",MAX(0,MIN(100,100*(Norm_Stats!$G$7-MIN(MAX(City_Inputs!$S34,Norm_Stats!$F$7),Norm_Stats!$G$7))/(Norm_Stats!$G$7-Norm_Stats!$F$7))))</f>
        <v/>
      </c>
      <c r="T34" s="14">
        <f>IF(S34="","",1)</f>
        <v/>
      </c>
      <c r="U34" s="11">
        <f>IF(OR(City_Inputs!$T34="",Norm_Stats!$F$8="",Norm_Stats!$G$8="",Norm_Stats!$G$8=Norm_Stats!$F$8),"",MAX(0,MIN(100,100*(MIN(MAX(City_Inputs!$T34,Norm_Stats!$F$8),Norm_Stats!$G$8)-Norm_Stats!$F$8)/(Norm_Stats!$G$8-Norm_Stats!$F$8))))</f>
        <v/>
      </c>
      <c r="V34" s="14">
        <f>IF(U34="","",1)</f>
        <v/>
      </c>
      <c r="W34" s="11">
        <f>IF(OR(City_Inputs!$U34="",Norm_Stats!$F$9="",Norm_Stats!$G$9="",Norm_Stats!$G$9=Norm_Stats!$F$9),"",MAX(0,MIN(100,100*(Norm_Stats!$G$9-MIN(MAX(City_Inputs!$U34,Norm_Stats!$F$9),Norm_Stats!$G$9))/(Norm_Stats!$G$9-Norm_Stats!$F$9))))</f>
        <v/>
      </c>
      <c r="X34" s="14">
        <f>IF(W34="","",1)</f>
        <v/>
      </c>
      <c r="Y34" s="11">
        <f>IF(OR(City_Inputs!$V34="",Norm_Stats!$F$10="",Norm_Stats!$G$10="",Norm_Stats!$G$10=Norm_Stats!$F$10),"",MAX(0,MIN(100,100*(MIN(MAX(City_Inputs!$V34,Norm_Stats!$F$10),Norm_Stats!$G$10)-Norm_Stats!$F$10)/(Norm_Stats!$G$10-Norm_Stats!$F$10))))</f>
        <v/>
      </c>
      <c r="Z34" s="14">
        <f>IF(Y34="","",1)</f>
        <v/>
      </c>
      <c r="AA34" s="11">
        <f>IF(OR(City_Inputs!$W34="",Norm_Stats!$F$11="",Norm_Stats!$G$11="",Norm_Stats!$G$11=Norm_Stats!$F$11),"",MAX(0,MIN(100,100*(MIN(MAX(City_Inputs!$W34,Norm_Stats!$F$11),Norm_Stats!$G$11)-Norm_Stats!$F$11)/(Norm_Stats!$G$11-Norm_Stats!$F$11))))</f>
        <v/>
      </c>
      <c r="AB34" s="14">
        <f>IF(AA34="","",1)</f>
        <v/>
      </c>
      <c r="AC34" s="11">
        <f>IF(OR(City_Inputs!$X34="",Norm_Stats!$F$12="",Norm_Stats!$G$12="",Norm_Stats!$G$12=Norm_Stats!$F$12),"",MAX(0,MIN(100,100*(MIN(MAX(City_Inputs!$X34,Norm_Stats!$F$12),Norm_Stats!$G$12)-Norm_Stats!$F$12)/(Norm_Stats!$G$12-Norm_Stats!$F$12))))</f>
        <v/>
      </c>
      <c r="AD34" s="11">
        <f>IF(AC34="","",1)</f>
        <v/>
      </c>
      <c r="AE34" s="15">
        <f>IF((IF(S34="",0,5)+IF(U34="",0,5)+IF(W34="",0,4)+IF(Y34="",0,4)+IF(AA34="",0,4)+IF(AC34="",0,5))=0,"",(IF(S34="",0,S34*5)+IF(U34="",0,U34*5)+IF(W34="",0,W34*4)+IF(Y34="",0,Y34*4)+IF(AA34="",0,AA34*4)+IF(AC34="",0,AC34*5))/(IF(S34="",0,5)+IF(U34="",0,5)+IF(W34="",0,4)+IF(Y34="",0,4)+IF(AA34="",0,4)+IF(AC34="",0,5)))</f>
        <v/>
      </c>
      <c r="AF34" s="14">
        <f>IF((IF(T34="",0,5)+IF(V34="",0,5)+IF(X34="",0,4)+IF(Z34="",0,4)+IF(AB34="",0,4)+IF(AD34="",0,5))=0,"",(IF(T34="",0,T34*5)+IF(V34="",0,V34*5)+IF(X34="",0,X34*4)+IF(Z34="",0,Z34*4)+IF(AB34="",0,AB34*4)+IF(AD34="",0,AD34*5))/27)</f>
        <v/>
      </c>
      <c r="AG34" s="11">
        <f>IF(OR(City_Inputs!$Y34="",Norm_Stats!$F$13="",Norm_Stats!$G$13="",Norm_Stats!$G$13=Norm_Stats!$F$13),"",MAX(0,MIN(100,100*(MIN(MAX(City_Inputs!$Y34,Norm_Stats!$F$13),Norm_Stats!$G$13)-Norm_Stats!$F$13)/(Norm_Stats!$G$13-Norm_Stats!$F$13))))</f>
        <v/>
      </c>
      <c r="AH34" s="14">
        <f>IF(AG34="","",1)</f>
        <v/>
      </c>
      <c r="AI34" s="11">
        <f>IF(OR(City_Inputs!$Z34="",Norm_Stats!$F$14="",Norm_Stats!$G$14="",Norm_Stats!$G$14=Norm_Stats!$F$14),"",MAX(0,MIN(100,100*(MIN(MAX(City_Inputs!$Z34,Norm_Stats!$F$14),Norm_Stats!$G$14)-Norm_Stats!$F$14)/(Norm_Stats!$G$14-Norm_Stats!$F$14))))</f>
        <v/>
      </c>
      <c r="AJ34" s="14">
        <f>IF(AI34="","",1)</f>
        <v/>
      </c>
      <c r="AK34" s="11">
        <f>IF((IF((IF(OR(City_Inputs!$AA34="",Norm_Stats!$F$15="",Norm_Stats!$G$15="",Norm_Stats!$G$15=Norm_Stats!$F$15),"",MAX(0,MIN(100,100*(MIN(MAX(City_Inputs!$AA34,Norm_Stats!$F$15),Norm_Stats!$G$15)-Norm_Stats!$F$15)/(Norm_Stats!$G$15-Norm_Stats!$F$15)))))="",0,0.7)+IF((IF(OR(City_Inputs!$AL34="",Norm_Stats!$F$16="",Norm_Stats!$G$16="",Norm_Stats!$G$16=Norm_Stats!$F$16),"",MAX(0,MIN(100,100*(Norm_Stats!$G$16-MIN(MAX(City_Inputs!$AL34,Norm_Stats!$F$16),Norm_Stats!$G$16))/(Norm_Stats!$G$16-Norm_Stats!$F$16)))))="",0,0.3))=0,"",(IF((IF(OR(City_Inputs!$AA34="",Norm_Stats!$F$15="",Norm_Stats!$G$15="",Norm_Stats!$G$15=Norm_Stats!$F$15),"",MAX(0,MIN(100,100*(MIN(MAX(City_Inputs!$AA34,Norm_Stats!$F$15),Norm_Stats!$G$15)-Norm_Stats!$F$15)/(Norm_Stats!$G$15-Norm_Stats!$F$15)))))="",0,(IF(OR(City_Inputs!$AA34="",Norm_Stats!$F$15="",Norm_Stats!$G$15="",Norm_Stats!$G$15=Norm_Stats!$F$15),"",MAX(0,MIN(100,100*(MIN(MAX(City_Inputs!$AA34,Norm_Stats!$F$15),Norm_Stats!$G$15)-Norm_Stats!$F$15)/(Norm_Stats!$G$15-Norm_Stats!$F$15)))))*0.7)+IF((IF(OR(City_Inputs!$AL34="",Norm_Stats!$F$16="",Norm_Stats!$G$16="",Norm_Stats!$G$16=Norm_Stats!$F$16),"",MAX(0,MIN(100,100*(Norm_Stats!$G$16-MIN(MAX(City_Inputs!$AL34,Norm_Stats!$F$16),Norm_Stats!$G$16))/(Norm_Stats!$G$16-Norm_Stats!$F$16)))))="",0,(IF(OR(City_Inputs!$AL34="",Norm_Stats!$F$16="",Norm_Stats!$G$16="",Norm_Stats!$G$16=Norm_Stats!$F$16),"",MAX(0,MIN(100,100*(Norm_Stats!$G$16-MIN(MAX(City_Inputs!$AL34,Norm_Stats!$F$16),Norm_Stats!$G$16))/(Norm_Stats!$G$16-Norm_Stats!$F$16)))))*0.3))/(IF((IF(OR(City_Inputs!$AA34="",Norm_Stats!$F$15="",Norm_Stats!$G$15="",Norm_Stats!$G$15=Norm_Stats!$F$15),"",MAX(0,MIN(100,100*(MIN(MAX(City_Inputs!$AA34,Norm_Stats!$F$15),Norm_Stats!$G$15)-Norm_Stats!$F$15)/(Norm_Stats!$G$15-Norm_Stats!$F$15)))))="",0,0.7)+IF((IF(OR(City_Inputs!$AL34="",Norm_Stats!$F$16="",Norm_Stats!$G$16="",Norm_Stats!$G$16=Norm_Stats!$F$16),"",MAX(0,MIN(100,100*(Norm_Stats!$G$16-MIN(MAX(City_Inputs!$AL34,Norm_Stats!$F$16),Norm_Stats!$G$16))/(Norm_Stats!$G$16-Norm_Stats!$F$16)))))="",0,0.3)))</f>
        <v/>
      </c>
      <c r="AL34" s="14">
        <f>IF((IF((IF(OR(City_Inputs!$AA34="",Norm_Stats!$F$15="",Norm_Stats!$G$15="",Norm_Stats!$G$15=Norm_Stats!$F$15),"",MAX(0,MIN(100,100*(MIN(MAX(City_Inputs!$AA34,Norm_Stats!$F$15),Norm_Stats!$G$15)-Norm_Stats!$F$15)/(Norm_Stats!$G$15-Norm_Stats!$F$15)))))="",0,0.7)+IF((IF(OR(City_Inputs!$AL34="",Norm_Stats!$F$16="",Norm_Stats!$G$16="",Norm_Stats!$G$16=Norm_Stats!$F$16),"",MAX(0,MIN(100,100*(Norm_Stats!$G$16-MIN(MAX(City_Inputs!$AL34,Norm_Stats!$F$16),Norm_Stats!$G$16))/(Norm_Stats!$G$16-Norm_Stats!$F$16)))))="",0,0.3))=0,"",(IF((IF(OR(City_Inputs!$AA34="",Norm_Stats!$F$15="",Norm_Stats!$G$15="",Norm_Stats!$G$15=Norm_Stats!$F$15),"",MAX(0,MIN(100,100*(MIN(MAX(City_Inputs!$AA34,Norm_Stats!$F$15),Norm_Stats!$G$15)-Norm_Stats!$F$15)/(Norm_Stats!$G$15-Norm_Stats!$F$15)))))="",0,0.7)+IF((IF(OR(City_Inputs!$AL34="",Norm_Stats!$F$16="",Norm_Stats!$G$16="",Norm_Stats!$G$16=Norm_Stats!$F$16),"",MAX(0,MIN(100,100*(Norm_Stats!$G$16-MIN(MAX(City_Inputs!$AL34,Norm_Stats!$F$16),Norm_Stats!$G$16))/(Norm_Stats!$G$16-Norm_Stats!$F$16)))))="",0,0.3)))</f>
        <v/>
      </c>
      <c r="AM34" s="15">
        <f>IF((IF(AG34="",0,8)+IF(AI34="",0,6)+IF(AK34="",0,4))=0,"",(IF(AG34="",0,AG34*8)+IF(AI34="",0,AI34*6)+IF(AK34="",0,AK34*4))/(IF(AG34="",0,8)+IF(AI34="",0,6)+IF(AK34="",0,4)))</f>
        <v/>
      </c>
      <c r="AN34" s="14">
        <f>IF((IF(AH34="",0,8)+IF(AJ34="",0,6)+IF(AL34="",0,4))=0,"",(IF(AH34="",0,AH34*8)+IF(AJ34="",0,AJ34*6)+IF(AL34="",0,AL34*4))/18)</f>
        <v/>
      </c>
      <c r="AO34" s="11">
        <f>IF(OR(City_Inputs!$AB34="",Norm_Stats!$F$17="",Norm_Stats!$G$17="",Norm_Stats!$G$17=Norm_Stats!$F$17),"",MAX(0,MIN(100,100*(MIN(MAX(City_Inputs!$AB34,Norm_Stats!$F$17),Norm_Stats!$G$17)-Norm_Stats!$F$17)/(Norm_Stats!$G$17-Norm_Stats!$F$17))))</f>
        <v/>
      </c>
      <c r="AP34" s="14">
        <f>IF(AO34="","",1)</f>
        <v/>
      </c>
      <c r="AQ34" s="11">
        <f>IF(OR(City_Inputs!$AC34="",Norm_Stats!$F$18="",Norm_Stats!$G$18="",Norm_Stats!$G$18=Norm_Stats!$F$18),"",MAX(0,MIN(100,100*(MIN(MAX(City_Inputs!$AC34,Norm_Stats!$F$18),Norm_Stats!$G$18)-Norm_Stats!$F$18)/(Norm_Stats!$G$18-Norm_Stats!$F$18))))</f>
        <v/>
      </c>
      <c r="AR34" s="14">
        <f>IF(AQ34="","",1)</f>
        <v/>
      </c>
      <c r="AS34" s="11">
        <f>IF(OR(City_Inputs!$AD34="",Norm_Stats!$F$19="",Norm_Stats!$G$19="",Norm_Stats!$G$19=Norm_Stats!$F$19),"",MAX(0,MIN(100,100*(MIN(MAX(City_Inputs!$AD34,Norm_Stats!$F$19),Norm_Stats!$G$19)-Norm_Stats!$F$19)/(Norm_Stats!$G$19-Norm_Stats!$F$19))))</f>
        <v/>
      </c>
      <c r="AT34" s="14">
        <f>IF(AS34="","",1)</f>
        <v/>
      </c>
      <c r="AU34" s="11">
        <f>IF(OR(City_Inputs!$BJ34="",Norm_Stats!$F$26="",Norm_Stats!$G$26="",Norm_Stats!$G$26=Norm_Stats!$F$26),"",MAX(0,MIN(100,100*(MIN(MAX(City_Inputs!$BJ34,Norm_Stats!$F$26),Norm_Stats!$G$26)-Norm_Stats!$F$26)/(Norm_Stats!$G$26-Norm_Stats!$F$26))))</f>
        <v/>
      </c>
      <c r="AV34" s="11">
        <f>IF(AU34="","",1)</f>
        <v/>
      </c>
      <c r="AW34" s="15">
        <f>IF((IF(AO34="",0,5)+IF(AQ34="",0,5)+IF(AS34="",0,5)+IF(AU34="",0,4))=0,"",(IF(AO34="",0,AO34*5)+IF(AQ34="",0,AQ34*5)+IF(AS34="",0,AS34*5)+IF(AU34="",0,AU34*4))/(IF(AO34="",0,5)+IF(AQ34="",0,5)+IF(AS34="",0,5)+IF(AU34="",0,4)))</f>
        <v/>
      </c>
      <c r="AX34" s="14">
        <f>IF((IF(AP34="",0,5)+IF(AR34="",0,5)+IF(AT34="",0,5)+IF(AV34="",0,4))=0,"",(IF(AP34="",0,AP34*5)+IF(AR34="",0,AR34*5)+IF(AT34="",0,AT34*5)+IF(AV34="",0,AV34*4))/19)</f>
        <v/>
      </c>
      <c r="AY34" s="11">
        <f>IF(OR(City_Inputs!$AE34="",Norm_Stats!$F$20="",Norm_Stats!$G$20="",Norm_Stats!$G$20=Norm_Stats!$F$20),"",MAX(0,MIN(100,100*(MIN(MAX(City_Inputs!$AE34,Norm_Stats!$F$20),Norm_Stats!$G$20)-Norm_Stats!$F$20)/(Norm_Stats!$G$20-Norm_Stats!$F$20))))</f>
        <v/>
      </c>
      <c r="AZ34" s="14">
        <f>IF(AY34="","",1)</f>
        <v/>
      </c>
      <c r="BA34" s="11">
        <f>IF(OR(City_Inputs!$AF34="",Norm_Stats!$F$21="",Norm_Stats!$G$21="",Norm_Stats!$G$21=Norm_Stats!$F$21),"",MAX(0,MIN(100,100*(MIN(MAX(City_Inputs!$AF34,Norm_Stats!$F$21),Norm_Stats!$G$21)-Norm_Stats!$F$21)/(Norm_Stats!$G$21-Norm_Stats!$F$21))))</f>
        <v/>
      </c>
      <c r="BB34" s="14">
        <f>IF(BA34="","",1)</f>
        <v/>
      </c>
      <c r="BC34" s="11">
        <f>IF((IF((IF(OR(City_Inputs!$AG34="",Norm_Stats!$F$22="",Norm_Stats!$G$22="",Norm_Stats!$G$22=Norm_Stats!$F$22),"",MAX(0,MIN(100,100*(MIN(MAX(City_Inputs!$AG34,Norm_Stats!$F$22),Norm_Stats!$G$22)-Norm_Stats!$F$22)/(Norm_Stats!$G$22-Norm_Stats!$F$22)))))="",0,0.5)+IF((IF(OR(City_Inputs!$AJ34="",Norm_Stats!$F$23="",Norm_Stats!$G$23="",Norm_Stats!$G$23=Norm_Stats!$F$23),"",MAX(0,MIN(100,100*(MIN(MAX(City_Inputs!$AJ34,Norm_Stats!$F$23),Norm_Stats!$G$23)-Norm_Stats!$F$23)/(Norm_Stats!$G$23-Norm_Stats!$F$23)))))="",0,0.3)+IF((IF(OR(City_Inputs!$AK34="",Norm_Stats!$F$24="",Norm_Stats!$G$24="",Norm_Stats!$G$24=Norm_Stats!$F$24),"",MAX(0,MIN(100,100*(MIN(MAX(City_Inputs!$AK34,Norm_Stats!$F$24),Norm_Stats!$G$24)-Norm_Stats!$F$24)/(Norm_Stats!$G$24-Norm_Stats!$F$24)))))="",0,0.2))=0,"",(IF((IF(OR(City_Inputs!$AG34="",Norm_Stats!$F$22="",Norm_Stats!$G$22="",Norm_Stats!$G$22=Norm_Stats!$F$22),"",MAX(0,MIN(100,100*(MIN(MAX(City_Inputs!$AG34,Norm_Stats!$F$22),Norm_Stats!$G$22)-Norm_Stats!$F$22)/(Norm_Stats!$G$22-Norm_Stats!$F$22)))))="",0,(IF(OR(City_Inputs!$AG34="",Norm_Stats!$F$22="",Norm_Stats!$G$22="",Norm_Stats!$G$22=Norm_Stats!$F$22),"",MAX(0,MIN(100,100*(MIN(MAX(City_Inputs!$AG34,Norm_Stats!$F$22),Norm_Stats!$G$22)-Norm_Stats!$F$22)/(Norm_Stats!$G$22-Norm_Stats!$F$22)))))*0.5)+IF((IF(OR(City_Inputs!$AJ34="",Norm_Stats!$F$23="",Norm_Stats!$G$23="",Norm_Stats!$G$23=Norm_Stats!$F$23),"",MAX(0,MIN(100,100*(MIN(MAX(City_Inputs!$AJ34,Norm_Stats!$F$23),Norm_Stats!$G$23)-Norm_Stats!$F$23)/(Norm_Stats!$G$23-Norm_Stats!$F$23)))))="",0,(IF(OR(City_Inputs!$AJ34="",Norm_Stats!$F$23="",Norm_Stats!$G$23="",Norm_Stats!$G$23=Norm_Stats!$F$23),"",MAX(0,MIN(100,100*(MIN(MAX(City_Inputs!$AJ34,Norm_Stats!$F$23),Norm_Stats!$G$23)-Norm_Stats!$F$23)/(Norm_Stats!$G$23-Norm_Stats!$F$23)))))*0.3)+IF((IF(OR(City_Inputs!$AK34="",Norm_Stats!$F$24="",Norm_Stats!$G$24="",Norm_Stats!$G$24=Norm_Stats!$F$24),"",MAX(0,MIN(100,100*(MIN(MAX(City_Inputs!$AK34,Norm_Stats!$F$24),Norm_Stats!$G$24)-Norm_Stats!$F$24)/(Norm_Stats!$G$24-Norm_Stats!$F$24)))))="",0,(IF(OR(City_Inputs!$AK34="",Norm_Stats!$F$24="",Norm_Stats!$G$24="",Norm_Stats!$G$24=Norm_Stats!$F$24),"",MAX(0,MIN(100,100*(MIN(MAX(City_Inputs!$AK34,Norm_Stats!$F$24),Norm_Stats!$G$24)-Norm_Stats!$F$24)/(Norm_Stats!$G$24-Norm_Stats!$F$24)))))*0.2))/(IF((IF(OR(City_Inputs!$AG34="",Norm_Stats!$F$22="",Norm_Stats!$G$22="",Norm_Stats!$G$22=Norm_Stats!$F$22),"",MAX(0,MIN(100,100*(MIN(MAX(City_Inputs!$AG34,Norm_Stats!$F$22),Norm_Stats!$G$22)-Norm_Stats!$F$22)/(Norm_Stats!$G$22-Norm_Stats!$F$22)))))="",0,0.5)+IF((IF(OR(City_Inputs!$AJ34="",Norm_Stats!$F$23="",Norm_Stats!$G$23="",Norm_Stats!$G$23=Norm_Stats!$F$23),"",MAX(0,MIN(100,100*(MIN(MAX(City_Inputs!$AJ34,Norm_Stats!$F$23),Norm_Stats!$G$23)-Norm_Stats!$F$23)/(Norm_Stats!$G$23-Norm_Stats!$F$23)))))="",0,0.3)+IF((IF(OR(City_Inputs!$AK34="",Norm_Stats!$F$24="",Norm_Stats!$G$24="",Norm_Stats!$G$24=Norm_Stats!$F$24),"",MAX(0,MIN(100,100*(MIN(MAX(City_Inputs!$AK34,Norm_Stats!$F$24),Norm_Stats!$G$24)-Norm_Stats!$F$24)/(Norm_Stats!$G$24-Norm_Stats!$F$24)))))="",0,0.2)))</f>
        <v/>
      </c>
      <c r="BD34" s="14">
        <f>IF((IF((IF(OR(City_Inputs!$AG34="",Norm_Stats!$F$22="",Norm_Stats!$G$22="",Norm_Stats!$G$22=Norm_Stats!$F$22),"",MAX(0,MIN(100,100*(MIN(MAX(City_Inputs!$AG34,Norm_Stats!$F$22),Norm_Stats!$G$22)-Norm_Stats!$F$22)/(Norm_Stats!$G$22-Norm_Stats!$F$22)))))="",0,0.5)+IF((IF(OR(City_Inputs!$AJ34="",Norm_Stats!$F$23="",Norm_Stats!$G$23="",Norm_Stats!$G$23=Norm_Stats!$F$23),"",MAX(0,MIN(100,100*(MIN(MAX(City_Inputs!$AJ34,Norm_Stats!$F$23),Norm_Stats!$G$23)-Norm_Stats!$F$23)/(Norm_Stats!$G$23-Norm_Stats!$F$23)))))="",0,0.3)+IF((IF(OR(City_Inputs!$AK34="",Norm_Stats!$F$24="",Norm_Stats!$G$24="",Norm_Stats!$G$24=Norm_Stats!$F$24),"",MAX(0,MIN(100,100*(MIN(MAX(City_Inputs!$AK34,Norm_Stats!$F$24),Norm_Stats!$G$24)-Norm_Stats!$F$24)/(Norm_Stats!$G$24-Norm_Stats!$F$24)))))="",0,0.2))=0,"",(IF((IF(OR(City_Inputs!$AG34="",Norm_Stats!$F$22="",Norm_Stats!$G$22="",Norm_Stats!$G$22=Norm_Stats!$F$22),"",MAX(0,MIN(100,100*(MIN(MAX(City_Inputs!$AG34,Norm_Stats!$F$22),Norm_Stats!$G$22)-Norm_Stats!$F$22)/(Norm_Stats!$G$22-Norm_Stats!$F$22)))))="",0,0.5)+IF((IF(OR(City_Inputs!$AJ34="",Norm_Stats!$F$23="",Norm_Stats!$G$23="",Norm_Stats!$G$23=Norm_Stats!$F$23),"",MAX(0,MIN(100,100*(MIN(MAX(City_Inputs!$AJ34,Norm_Stats!$F$23),Norm_Stats!$G$23)-Norm_Stats!$F$23)/(Norm_Stats!$G$23-Norm_Stats!$F$23)))))="",0,0.3)+IF((IF(OR(City_Inputs!$AK34="",Norm_Stats!$F$24="",Norm_Stats!$G$24="",Norm_Stats!$G$24=Norm_Stats!$F$24),"",MAX(0,MIN(100,100*(MIN(MAX(City_Inputs!$AK34,Norm_Stats!$F$24),Norm_Stats!$G$24)-Norm_Stats!$F$24)/(Norm_Stats!$G$24-Norm_Stats!$F$24)))))="",0,0.2)))</f>
        <v/>
      </c>
      <c r="BE34" s="11">
        <f>IF(OR(City_Inputs!$AH34="",Norm_Stats!$F$25="",Norm_Stats!$G$25="",Norm_Stats!$G$25=Norm_Stats!$F$25),"",MAX(0,MIN(100,100*(Norm_Stats!$G$25-MIN(MAX(City_Inputs!$AH34,Norm_Stats!$F$25),Norm_Stats!$G$25))/(Norm_Stats!$G$25-Norm_Stats!$F$25))))</f>
        <v/>
      </c>
      <c r="BF34" s="14">
        <f>IF(BE34="","",1)</f>
        <v/>
      </c>
      <c r="BG34" s="15">
        <f>IF((IF(AY34="",0,6)+IF(BA34="",0,5)+IF(BC34="",0,5)+IF(BE34="",0,4))=0,"",(IF(AY34="",0,AY34*6)+IF(BA34="",0,BA34*5)+IF(BC34="",0,BC34*5)+IF(BE34="",0,BE34*4))/(IF(AY34="",0,6)+IF(BA34="",0,5)+IF(BC34="",0,5)+IF(BE34="",0,4)))</f>
        <v/>
      </c>
      <c r="BH34" s="14">
        <f>IF((IF(AZ34="",0,6)+IF(BB34="",0,5)+IF(BD34="",0,5)+IF(BF34="",0,4))=0,"",(IF(AZ34="",0,AZ34*6)+IF(BB34="",0,BB34*5)+IF(BD34="",0,BD34*5)+IF(BF34="",0,BF34*4))/20)</f>
        <v/>
      </c>
      <c r="BI34" s="14">
        <f>IF(AND(R34="",AF34="",AN34="",AX34="",BH34=""),"",((R34*25)+(AF34*22)+(AN34*18)+(AX34*15)+(BH34*20))/100)</f>
        <v/>
      </c>
      <c r="BJ34" s="11">
        <f>IF(BI34="","",IF(BI34&gt;=0.75,"A",IF(BI34&gt;=0.5,"B",IF(BI34&gt;=0.35,"C","Watchlist"))))</f>
        <v/>
      </c>
      <c r="BK34" s="11">
        <f>IF(OR(BI34="",BI34&lt;0.5,R34="",R34&lt;0.35,AF34="",AF34&lt;0.35,AN34="",AN34&lt;0.35,AX34="",AX34&lt;0.35,BH34="",BH34&lt;0.35),"Watchlist","Ranked")</f>
        <v/>
      </c>
      <c r="BL34" s="15">
        <f>IF(AND(Q34="",AE34="",AM34="",AW34="",BG34=""),"",(IF(Q34="",0,Q34*25)+IF(AE34="",0,AE34*22)+IF(AM34="",0,AM34*18)+IF(AW34="",0,AW34*15)+IF(BG34="",0,BG34*20))/(IF(Q34="",0,25)+IF(AE34="",0,22)+IF(AM34="",0,18)+IF(AW34="",0,15)+IF(BG34="",0,20)))</f>
        <v/>
      </c>
      <c r="BM34" s="11">
        <f>IF(BK34="Ranked",1+COUNTIFS($BK$2:$BK$158,"Ranked",$BL$2:$BL$158,"&gt;"&amp;BL34),"")</f>
        <v/>
      </c>
      <c r="BN34" s="11">
        <f>City_Inputs!$AI34</f>
        <v/>
      </c>
    </row>
    <row r="35">
      <c r="A35" t="inlineStr">
        <is>
          <t>bd-chattogram</t>
        </is>
      </c>
      <c r="B35" t="inlineStr">
        <is>
          <t>Chattogram</t>
        </is>
      </c>
      <c r="C35" t="inlineStr">
        <is>
          <t>Bangladesh</t>
        </is>
      </c>
      <c r="D35" t="inlineStr">
        <is>
          <t>South Asia</t>
        </is>
      </c>
      <c r="E35" t="inlineStr">
        <is>
          <t>locked</t>
        </is>
      </c>
      <c r="F35" t="inlineStr">
        <is>
          <t>secondary</t>
        </is>
      </c>
      <c r="G35" s="11">
        <f>IF(OR(City_Inputs!$M35="",Norm_Stats!$F$2="",Norm_Stats!$G$2="",Norm_Stats!$G$2=Norm_Stats!$F$2),"",MAX(0,MIN(100,100*(MIN(MAX(City_Inputs!$M35,Norm_Stats!$F$2),Norm_Stats!$G$2)-Norm_Stats!$F$2)/(Norm_Stats!$G$2-Norm_Stats!$F$2))))</f>
        <v/>
      </c>
      <c r="H35" s="14">
        <f>IF(G35="","",1)</f>
        <v/>
      </c>
      <c r="I35" s="11">
        <f>IF(OR(City_Inputs!$N35="",Norm_Stats!$F$3="",Norm_Stats!$G$3="",Norm_Stats!$G$3=Norm_Stats!$F$3),"",MAX(0,MIN(100,100*(Norm_Stats!$G$3-MIN(MAX(City_Inputs!$N35,Norm_Stats!$F$3),Norm_Stats!$G$3))/(Norm_Stats!$G$3-Norm_Stats!$F$3))))</f>
        <v/>
      </c>
      <c r="J35" s="14">
        <f>IF(I35="","",1)</f>
        <v/>
      </c>
      <c r="K35" s="11">
        <f>IF(OR(City_Inputs!$P35="",Norm_Stats!$F$4="",Norm_Stats!$G$4="",Norm_Stats!$G$4=Norm_Stats!$F$4),"",MAX(0,MIN(100,100*(Norm_Stats!$G$4-MIN(MAX(City_Inputs!$P35,Norm_Stats!$F$4),Norm_Stats!$G$4))/(Norm_Stats!$G$4-Norm_Stats!$F$4))))</f>
        <v/>
      </c>
      <c r="L35" s="14">
        <f>IF(K35="","",1)</f>
        <v/>
      </c>
      <c r="M35" s="11">
        <f>IF(OR(City_Inputs!$Q35="",Norm_Stats!$F$5="",Norm_Stats!$G$5="",Norm_Stats!$G$5=Norm_Stats!$F$5),"",MAX(0,MIN(100,100*(Norm_Stats!$G$5-MIN(MAX(City_Inputs!$Q35,Norm_Stats!$F$5),Norm_Stats!$G$5))/(Norm_Stats!$G$5-Norm_Stats!$F$5))))</f>
        <v/>
      </c>
      <c r="N35" s="14">
        <f>IF(M35="","",1)</f>
        <v/>
      </c>
      <c r="O35" s="11">
        <f>IF(OR(City_Inputs!$R35="",Norm_Stats!$F$6="",Norm_Stats!$G$6="",Norm_Stats!$G$6=Norm_Stats!$F$6),"",MAX(0,MIN(100,100*(Norm_Stats!$G$6-MIN(MAX(City_Inputs!$R35,Norm_Stats!$F$6),Norm_Stats!$G$6))/(Norm_Stats!$G$6-Norm_Stats!$F$6))))</f>
        <v/>
      </c>
      <c r="P35" s="14">
        <f>IF(O35="","",1)</f>
        <v/>
      </c>
      <c r="Q35" s="15">
        <f>IF((IF(G35="",0,9)+IF(I35="",0,5)+IF(K35="",0,4)+IF(M35="",0,4)+IF(O35="",0,5))=0,"",(IF(G35="",0,G35*9)+IF(I35="",0,I35*5)+IF(K35="",0,K35*4)+IF(M35="",0,M35*4)+IF(O35="",0,O35*5))/(IF(G35="",0,9)+IF(I35="",0,5)+IF(K35="",0,4)+IF(M35="",0,4)+IF(O35="",0,5)))</f>
        <v/>
      </c>
      <c r="R35" s="14">
        <f>IF((IF(H35="",0,9)+IF(J35="",0,5)+IF(L35="",0,4)+IF(N35="",0,4)+IF(P35="",0,5))=0,"",(IF(H35="",0,H35*9)+IF(J35="",0,J35*5)+IF(L35="",0,L35*4)+IF(N35="",0,N35*4)+IF(P35="",0,P35*5))/27)</f>
        <v/>
      </c>
      <c r="S35" s="11">
        <f>IF(OR(City_Inputs!$S35="",Norm_Stats!$F$7="",Norm_Stats!$G$7="",Norm_Stats!$G$7=Norm_Stats!$F$7),"",MAX(0,MIN(100,100*(Norm_Stats!$G$7-MIN(MAX(City_Inputs!$S35,Norm_Stats!$F$7),Norm_Stats!$G$7))/(Norm_Stats!$G$7-Norm_Stats!$F$7))))</f>
        <v/>
      </c>
      <c r="T35" s="14">
        <f>IF(S35="","",1)</f>
        <v/>
      </c>
      <c r="U35" s="11">
        <f>IF(OR(City_Inputs!$T35="",Norm_Stats!$F$8="",Norm_Stats!$G$8="",Norm_Stats!$G$8=Norm_Stats!$F$8),"",MAX(0,MIN(100,100*(MIN(MAX(City_Inputs!$T35,Norm_Stats!$F$8),Norm_Stats!$G$8)-Norm_Stats!$F$8)/(Norm_Stats!$G$8-Norm_Stats!$F$8))))</f>
        <v/>
      </c>
      <c r="V35" s="14">
        <f>IF(U35="","",1)</f>
        <v/>
      </c>
      <c r="W35" s="11">
        <f>IF(OR(City_Inputs!$U35="",Norm_Stats!$F$9="",Norm_Stats!$G$9="",Norm_Stats!$G$9=Norm_Stats!$F$9),"",MAX(0,MIN(100,100*(Norm_Stats!$G$9-MIN(MAX(City_Inputs!$U35,Norm_Stats!$F$9),Norm_Stats!$G$9))/(Norm_Stats!$G$9-Norm_Stats!$F$9))))</f>
        <v/>
      </c>
      <c r="X35" s="14">
        <f>IF(W35="","",1)</f>
        <v/>
      </c>
      <c r="Y35" s="11">
        <f>IF(OR(City_Inputs!$V35="",Norm_Stats!$F$10="",Norm_Stats!$G$10="",Norm_Stats!$G$10=Norm_Stats!$F$10),"",MAX(0,MIN(100,100*(MIN(MAX(City_Inputs!$V35,Norm_Stats!$F$10),Norm_Stats!$G$10)-Norm_Stats!$F$10)/(Norm_Stats!$G$10-Norm_Stats!$F$10))))</f>
        <v/>
      </c>
      <c r="Z35" s="14">
        <f>IF(Y35="","",1)</f>
        <v/>
      </c>
      <c r="AA35" s="11">
        <f>IF(OR(City_Inputs!$W35="",Norm_Stats!$F$11="",Norm_Stats!$G$11="",Norm_Stats!$G$11=Norm_Stats!$F$11),"",MAX(0,MIN(100,100*(MIN(MAX(City_Inputs!$W35,Norm_Stats!$F$11),Norm_Stats!$G$11)-Norm_Stats!$F$11)/(Norm_Stats!$G$11-Norm_Stats!$F$11))))</f>
        <v/>
      </c>
      <c r="AB35" s="14">
        <f>IF(AA35="","",1)</f>
        <v/>
      </c>
      <c r="AC35" s="11">
        <f>IF(OR(City_Inputs!$X35="",Norm_Stats!$F$12="",Norm_Stats!$G$12="",Norm_Stats!$G$12=Norm_Stats!$F$12),"",MAX(0,MIN(100,100*(MIN(MAX(City_Inputs!$X35,Norm_Stats!$F$12),Norm_Stats!$G$12)-Norm_Stats!$F$12)/(Norm_Stats!$G$12-Norm_Stats!$F$12))))</f>
        <v/>
      </c>
      <c r="AD35" s="11">
        <f>IF(AC35="","",1)</f>
        <v/>
      </c>
      <c r="AE35" s="15">
        <f>IF((IF(S35="",0,5)+IF(U35="",0,5)+IF(W35="",0,4)+IF(Y35="",0,4)+IF(AA35="",0,4)+IF(AC35="",0,5))=0,"",(IF(S35="",0,S35*5)+IF(U35="",0,U35*5)+IF(W35="",0,W35*4)+IF(Y35="",0,Y35*4)+IF(AA35="",0,AA35*4)+IF(AC35="",0,AC35*5))/(IF(S35="",0,5)+IF(U35="",0,5)+IF(W35="",0,4)+IF(Y35="",0,4)+IF(AA35="",0,4)+IF(AC35="",0,5)))</f>
        <v/>
      </c>
      <c r="AF35" s="14">
        <f>IF((IF(T35="",0,5)+IF(V35="",0,5)+IF(X35="",0,4)+IF(Z35="",0,4)+IF(AB35="",0,4)+IF(AD35="",0,5))=0,"",(IF(T35="",0,T35*5)+IF(V35="",0,V35*5)+IF(X35="",0,X35*4)+IF(Z35="",0,Z35*4)+IF(AB35="",0,AB35*4)+IF(AD35="",0,AD35*5))/27)</f>
        <v/>
      </c>
      <c r="AG35" s="11">
        <f>IF(OR(City_Inputs!$Y35="",Norm_Stats!$F$13="",Norm_Stats!$G$13="",Norm_Stats!$G$13=Norm_Stats!$F$13),"",MAX(0,MIN(100,100*(MIN(MAX(City_Inputs!$Y35,Norm_Stats!$F$13),Norm_Stats!$G$13)-Norm_Stats!$F$13)/(Norm_Stats!$G$13-Norm_Stats!$F$13))))</f>
        <v/>
      </c>
      <c r="AH35" s="14">
        <f>IF(AG35="","",1)</f>
        <v/>
      </c>
      <c r="AI35" s="11">
        <f>IF(OR(City_Inputs!$Z35="",Norm_Stats!$F$14="",Norm_Stats!$G$14="",Norm_Stats!$G$14=Norm_Stats!$F$14),"",MAX(0,MIN(100,100*(MIN(MAX(City_Inputs!$Z35,Norm_Stats!$F$14),Norm_Stats!$G$14)-Norm_Stats!$F$14)/(Norm_Stats!$G$14-Norm_Stats!$F$14))))</f>
        <v/>
      </c>
      <c r="AJ35" s="14">
        <f>IF(AI35="","",1)</f>
        <v/>
      </c>
      <c r="AK35" s="11">
        <f>IF((IF((IF(OR(City_Inputs!$AA35="",Norm_Stats!$F$15="",Norm_Stats!$G$15="",Norm_Stats!$G$15=Norm_Stats!$F$15),"",MAX(0,MIN(100,100*(MIN(MAX(City_Inputs!$AA35,Norm_Stats!$F$15),Norm_Stats!$G$15)-Norm_Stats!$F$15)/(Norm_Stats!$G$15-Norm_Stats!$F$15)))))="",0,0.7)+IF((IF(OR(City_Inputs!$AL35="",Norm_Stats!$F$16="",Norm_Stats!$G$16="",Norm_Stats!$G$16=Norm_Stats!$F$16),"",MAX(0,MIN(100,100*(Norm_Stats!$G$16-MIN(MAX(City_Inputs!$AL35,Norm_Stats!$F$16),Norm_Stats!$G$16))/(Norm_Stats!$G$16-Norm_Stats!$F$16)))))="",0,0.3))=0,"",(IF((IF(OR(City_Inputs!$AA35="",Norm_Stats!$F$15="",Norm_Stats!$G$15="",Norm_Stats!$G$15=Norm_Stats!$F$15),"",MAX(0,MIN(100,100*(MIN(MAX(City_Inputs!$AA35,Norm_Stats!$F$15),Norm_Stats!$G$15)-Norm_Stats!$F$15)/(Norm_Stats!$G$15-Norm_Stats!$F$15)))))="",0,(IF(OR(City_Inputs!$AA35="",Norm_Stats!$F$15="",Norm_Stats!$G$15="",Norm_Stats!$G$15=Norm_Stats!$F$15),"",MAX(0,MIN(100,100*(MIN(MAX(City_Inputs!$AA35,Norm_Stats!$F$15),Norm_Stats!$G$15)-Norm_Stats!$F$15)/(Norm_Stats!$G$15-Norm_Stats!$F$15)))))*0.7)+IF((IF(OR(City_Inputs!$AL35="",Norm_Stats!$F$16="",Norm_Stats!$G$16="",Norm_Stats!$G$16=Norm_Stats!$F$16),"",MAX(0,MIN(100,100*(Norm_Stats!$G$16-MIN(MAX(City_Inputs!$AL35,Norm_Stats!$F$16),Norm_Stats!$G$16))/(Norm_Stats!$G$16-Norm_Stats!$F$16)))))="",0,(IF(OR(City_Inputs!$AL35="",Norm_Stats!$F$16="",Norm_Stats!$G$16="",Norm_Stats!$G$16=Norm_Stats!$F$16),"",MAX(0,MIN(100,100*(Norm_Stats!$G$16-MIN(MAX(City_Inputs!$AL35,Norm_Stats!$F$16),Norm_Stats!$G$16))/(Norm_Stats!$G$16-Norm_Stats!$F$16)))))*0.3))/(IF((IF(OR(City_Inputs!$AA35="",Norm_Stats!$F$15="",Norm_Stats!$G$15="",Norm_Stats!$G$15=Norm_Stats!$F$15),"",MAX(0,MIN(100,100*(MIN(MAX(City_Inputs!$AA35,Norm_Stats!$F$15),Norm_Stats!$G$15)-Norm_Stats!$F$15)/(Norm_Stats!$G$15-Norm_Stats!$F$15)))))="",0,0.7)+IF((IF(OR(City_Inputs!$AL35="",Norm_Stats!$F$16="",Norm_Stats!$G$16="",Norm_Stats!$G$16=Norm_Stats!$F$16),"",MAX(0,MIN(100,100*(Norm_Stats!$G$16-MIN(MAX(City_Inputs!$AL35,Norm_Stats!$F$16),Norm_Stats!$G$16))/(Norm_Stats!$G$16-Norm_Stats!$F$16)))))="",0,0.3)))</f>
        <v/>
      </c>
      <c r="AL35" s="14">
        <f>IF((IF((IF(OR(City_Inputs!$AA35="",Norm_Stats!$F$15="",Norm_Stats!$G$15="",Norm_Stats!$G$15=Norm_Stats!$F$15),"",MAX(0,MIN(100,100*(MIN(MAX(City_Inputs!$AA35,Norm_Stats!$F$15),Norm_Stats!$G$15)-Norm_Stats!$F$15)/(Norm_Stats!$G$15-Norm_Stats!$F$15)))))="",0,0.7)+IF((IF(OR(City_Inputs!$AL35="",Norm_Stats!$F$16="",Norm_Stats!$G$16="",Norm_Stats!$G$16=Norm_Stats!$F$16),"",MAX(0,MIN(100,100*(Norm_Stats!$G$16-MIN(MAX(City_Inputs!$AL35,Norm_Stats!$F$16),Norm_Stats!$G$16))/(Norm_Stats!$G$16-Norm_Stats!$F$16)))))="",0,0.3))=0,"",(IF((IF(OR(City_Inputs!$AA35="",Norm_Stats!$F$15="",Norm_Stats!$G$15="",Norm_Stats!$G$15=Norm_Stats!$F$15),"",MAX(0,MIN(100,100*(MIN(MAX(City_Inputs!$AA35,Norm_Stats!$F$15),Norm_Stats!$G$15)-Norm_Stats!$F$15)/(Norm_Stats!$G$15-Norm_Stats!$F$15)))))="",0,0.7)+IF((IF(OR(City_Inputs!$AL35="",Norm_Stats!$F$16="",Norm_Stats!$G$16="",Norm_Stats!$G$16=Norm_Stats!$F$16),"",MAX(0,MIN(100,100*(Norm_Stats!$G$16-MIN(MAX(City_Inputs!$AL35,Norm_Stats!$F$16),Norm_Stats!$G$16))/(Norm_Stats!$G$16-Norm_Stats!$F$16)))))="",0,0.3)))</f>
        <v/>
      </c>
      <c r="AM35" s="15">
        <f>IF((IF(AG35="",0,8)+IF(AI35="",0,6)+IF(AK35="",0,4))=0,"",(IF(AG35="",0,AG35*8)+IF(AI35="",0,AI35*6)+IF(AK35="",0,AK35*4))/(IF(AG35="",0,8)+IF(AI35="",0,6)+IF(AK35="",0,4)))</f>
        <v/>
      </c>
      <c r="AN35" s="14">
        <f>IF((IF(AH35="",0,8)+IF(AJ35="",0,6)+IF(AL35="",0,4))=0,"",(IF(AH35="",0,AH35*8)+IF(AJ35="",0,AJ35*6)+IF(AL35="",0,AL35*4))/18)</f>
        <v/>
      </c>
      <c r="AO35" s="11">
        <f>IF(OR(City_Inputs!$AB35="",Norm_Stats!$F$17="",Norm_Stats!$G$17="",Norm_Stats!$G$17=Norm_Stats!$F$17),"",MAX(0,MIN(100,100*(MIN(MAX(City_Inputs!$AB35,Norm_Stats!$F$17),Norm_Stats!$G$17)-Norm_Stats!$F$17)/(Norm_Stats!$G$17-Norm_Stats!$F$17))))</f>
        <v/>
      </c>
      <c r="AP35" s="14">
        <f>IF(AO35="","",1)</f>
        <v/>
      </c>
      <c r="AQ35" s="11">
        <f>IF(OR(City_Inputs!$AC35="",Norm_Stats!$F$18="",Norm_Stats!$G$18="",Norm_Stats!$G$18=Norm_Stats!$F$18),"",MAX(0,MIN(100,100*(MIN(MAX(City_Inputs!$AC35,Norm_Stats!$F$18),Norm_Stats!$G$18)-Norm_Stats!$F$18)/(Norm_Stats!$G$18-Norm_Stats!$F$18))))</f>
        <v/>
      </c>
      <c r="AR35" s="14">
        <f>IF(AQ35="","",1)</f>
        <v/>
      </c>
      <c r="AS35" s="11">
        <f>IF(OR(City_Inputs!$AD35="",Norm_Stats!$F$19="",Norm_Stats!$G$19="",Norm_Stats!$G$19=Norm_Stats!$F$19),"",MAX(0,MIN(100,100*(MIN(MAX(City_Inputs!$AD35,Norm_Stats!$F$19),Norm_Stats!$G$19)-Norm_Stats!$F$19)/(Norm_Stats!$G$19-Norm_Stats!$F$19))))</f>
        <v/>
      </c>
      <c r="AT35" s="14">
        <f>IF(AS35="","",1)</f>
        <v/>
      </c>
      <c r="AU35" s="11">
        <f>IF(OR(City_Inputs!$BJ35="",Norm_Stats!$F$26="",Norm_Stats!$G$26="",Norm_Stats!$G$26=Norm_Stats!$F$26),"",MAX(0,MIN(100,100*(MIN(MAX(City_Inputs!$BJ35,Norm_Stats!$F$26),Norm_Stats!$G$26)-Norm_Stats!$F$26)/(Norm_Stats!$G$26-Norm_Stats!$F$26))))</f>
        <v/>
      </c>
      <c r="AV35" s="11">
        <f>IF(AU35="","",1)</f>
        <v/>
      </c>
      <c r="AW35" s="15">
        <f>IF((IF(AO35="",0,5)+IF(AQ35="",0,5)+IF(AS35="",0,5)+IF(AU35="",0,4))=0,"",(IF(AO35="",0,AO35*5)+IF(AQ35="",0,AQ35*5)+IF(AS35="",0,AS35*5)+IF(AU35="",0,AU35*4))/(IF(AO35="",0,5)+IF(AQ35="",0,5)+IF(AS35="",0,5)+IF(AU35="",0,4)))</f>
        <v/>
      </c>
      <c r="AX35" s="14">
        <f>IF((IF(AP35="",0,5)+IF(AR35="",0,5)+IF(AT35="",0,5)+IF(AV35="",0,4))=0,"",(IF(AP35="",0,AP35*5)+IF(AR35="",0,AR35*5)+IF(AT35="",0,AT35*5)+IF(AV35="",0,AV35*4))/19)</f>
        <v/>
      </c>
      <c r="AY35" s="11">
        <f>IF(OR(City_Inputs!$AE35="",Norm_Stats!$F$20="",Norm_Stats!$G$20="",Norm_Stats!$G$20=Norm_Stats!$F$20),"",MAX(0,MIN(100,100*(MIN(MAX(City_Inputs!$AE35,Norm_Stats!$F$20),Norm_Stats!$G$20)-Norm_Stats!$F$20)/(Norm_Stats!$G$20-Norm_Stats!$F$20))))</f>
        <v/>
      </c>
      <c r="AZ35" s="14">
        <f>IF(AY35="","",1)</f>
        <v/>
      </c>
      <c r="BA35" s="11">
        <f>IF(OR(City_Inputs!$AF35="",Norm_Stats!$F$21="",Norm_Stats!$G$21="",Norm_Stats!$G$21=Norm_Stats!$F$21),"",MAX(0,MIN(100,100*(MIN(MAX(City_Inputs!$AF35,Norm_Stats!$F$21),Norm_Stats!$G$21)-Norm_Stats!$F$21)/(Norm_Stats!$G$21-Norm_Stats!$F$21))))</f>
        <v/>
      </c>
      <c r="BB35" s="14">
        <f>IF(BA35="","",1)</f>
        <v/>
      </c>
      <c r="BC35" s="11">
        <f>IF((IF((IF(OR(City_Inputs!$AG35="",Norm_Stats!$F$22="",Norm_Stats!$G$22="",Norm_Stats!$G$22=Norm_Stats!$F$22),"",MAX(0,MIN(100,100*(MIN(MAX(City_Inputs!$AG35,Norm_Stats!$F$22),Norm_Stats!$G$22)-Norm_Stats!$F$22)/(Norm_Stats!$G$22-Norm_Stats!$F$22)))))="",0,0.5)+IF((IF(OR(City_Inputs!$AJ35="",Norm_Stats!$F$23="",Norm_Stats!$G$23="",Norm_Stats!$G$23=Norm_Stats!$F$23),"",MAX(0,MIN(100,100*(MIN(MAX(City_Inputs!$AJ35,Norm_Stats!$F$23),Norm_Stats!$G$23)-Norm_Stats!$F$23)/(Norm_Stats!$G$23-Norm_Stats!$F$23)))))="",0,0.3)+IF((IF(OR(City_Inputs!$AK35="",Norm_Stats!$F$24="",Norm_Stats!$G$24="",Norm_Stats!$G$24=Norm_Stats!$F$24),"",MAX(0,MIN(100,100*(MIN(MAX(City_Inputs!$AK35,Norm_Stats!$F$24),Norm_Stats!$G$24)-Norm_Stats!$F$24)/(Norm_Stats!$G$24-Norm_Stats!$F$24)))))="",0,0.2))=0,"",(IF((IF(OR(City_Inputs!$AG35="",Norm_Stats!$F$22="",Norm_Stats!$G$22="",Norm_Stats!$G$22=Norm_Stats!$F$22),"",MAX(0,MIN(100,100*(MIN(MAX(City_Inputs!$AG35,Norm_Stats!$F$22),Norm_Stats!$G$22)-Norm_Stats!$F$22)/(Norm_Stats!$G$22-Norm_Stats!$F$22)))))="",0,(IF(OR(City_Inputs!$AG35="",Norm_Stats!$F$22="",Norm_Stats!$G$22="",Norm_Stats!$G$22=Norm_Stats!$F$22),"",MAX(0,MIN(100,100*(MIN(MAX(City_Inputs!$AG35,Norm_Stats!$F$22),Norm_Stats!$G$22)-Norm_Stats!$F$22)/(Norm_Stats!$G$22-Norm_Stats!$F$22)))))*0.5)+IF((IF(OR(City_Inputs!$AJ35="",Norm_Stats!$F$23="",Norm_Stats!$G$23="",Norm_Stats!$G$23=Norm_Stats!$F$23),"",MAX(0,MIN(100,100*(MIN(MAX(City_Inputs!$AJ35,Norm_Stats!$F$23),Norm_Stats!$G$23)-Norm_Stats!$F$23)/(Norm_Stats!$G$23-Norm_Stats!$F$23)))))="",0,(IF(OR(City_Inputs!$AJ35="",Norm_Stats!$F$23="",Norm_Stats!$G$23="",Norm_Stats!$G$23=Norm_Stats!$F$23),"",MAX(0,MIN(100,100*(MIN(MAX(City_Inputs!$AJ35,Norm_Stats!$F$23),Norm_Stats!$G$23)-Norm_Stats!$F$23)/(Norm_Stats!$G$23-Norm_Stats!$F$23)))))*0.3)+IF((IF(OR(City_Inputs!$AK35="",Norm_Stats!$F$24="",Norm_Stats!$G$24="",Norm_Stats!$G$24=Norm_Stats!$F$24),"",MAX(0,MIN(100,100*(MIN(MAX(City_Inputs!$AK35,Norm_Stats!$F$24),Norm_Stats!$G$24)-Norm_Stats!$F$24)/(Norm_Stats!$G$24-Norm_Stats!$F$24)))))="",0,(IF(OR(City_Inputs!$AK35="",Norm_Stats!$F$24="",Norm_Stats!$G$24="",Norm_Stats!$G$24=Norm_Stats!$F$24),"",MAX(0,MIN(100,100*(MIN(MAX(City_Inputs!$AK35,Norm_Stats!$F$24),Norm_Stats!$G$24)-Norm_Stats!$F$24)/(Norm_Stats!$G$24-Norm_Stats!$F$24)))))*0.2))/(IF((IF(OR(City_Inputs!$AG35="",Norm_Stats!$F$22="",Norm_Stats!$G$22="",Norm_Stats!$G$22=Norm_Stats!$F$22),"",MAX(0,MIN(100,100*(MIN(MAX(City_Inputs!$AG35,Norm_Stats!$F$22),Norm_Stats!$G$22)-Norm_Stats!$F$22)/(Norm_Stats!$G$22-Norm_Stats!$F$22)))))="",0,0.5)+IF((IF(OR(City_Inputs!$AJ35="",Norm_Stats!$F$23="",Norm_Stats!$G$23="",Norm_Stats!$G$23=Norm_Stats!$F$23),"",MAX(0,MIN(100,100*(MIN(MAX(City_Inputs!$AJ35,Norm_Stats!$F$23),Norm_Stats!$G$23)-Norm_Stats!$F$23)/(Norm_Stats!$G$23-Norm_Stats!$F$23)))))="",0,0.3)+IF((IF(OR(City_Inputs!$AK35="",Norm_Stats!$F$24="",Norm_Stats!$G$24="",Norm_Stats!$G$24=Norm_Stats!$F$24),"",MAX(0,MIN(100,100*(MIN(MAX(City_Inputs!$AK35,Norm_Stats!$F$24),Norm_Stats!$G$24)-Norm_Stats!$F$24)/(Norm_Stats!$G$24-Norm_Stats!$F$24)))))="",0,0.2)))</f>
        <v/>
      </c>
      <c r="BD35" s="14">
        <f>IF((IF((IF(OR(City_Inputs!$AG35="",Norm_Stats!$F$22="",Norm_Stats!$G$22="",Norm_Stats!$G$22=Norm_Stats!$F$22),"",MAX(0,MIN(100,100*(MIN(MAX(City_Inputs!$AG35,Norm_Stats!$F$22),Norm_Stats!$G$22)-Norm_Stats!$F$22)/(Norm_Stats!$G$22-Norm_Stats!$F$22)))))="",0,0.5)+IF((IF(OR(City_Inputs!$AJ35="",Norm_Stats!$F$23="",Norm_Stats!$G$23="",Norm_Stats!$G$23=Norm_Stats!$F$23),"",MAX(0,MIN(100,100*(MIN(MAX(City_Inputs!$AJ35,Norm_Stats!$F$23),Norm_Stats!$G$23)-Norm_Stats!$F$23)/(Norm_Stats!$G$23-Norm_Stats!$F$23)))))="",0,0.3)+IF((IF(OR(City_Inputs!$AK35="",Norm_Stats!$F$24="",Norm_Stats!$G$24="",Norm_Stats!$G$24=Norm_Stats!$F$24),"",MAX(0,MIN(100,100*(MIN(MAX(City_Inputs!$AK35,Norm_Stats!$F$24),Norm_Stats!$G$24)-Norm_Stats!$F$24)/(Norm_Stats!$G$24-Norm_Stats!$F$24)))))="",0,0.2))=0,"",(IF((IF(OR(City_Inputs!$AG35="",Norm_Stats!$F$22="",Norm_Stats!$G$22="",Norm_Stats!$G$22=Norm_Stats!$F$22),"",MAX(0,MIN(100,100*(MIN(MAX(City_Inputs!$AG35,Norm_Stats!$F$22),Norm_Stats!$G$22)-Norm_Stats!$F$22)/(Norm_Stats!$G$22-Norm_Stats!$F$22)))))="",0,0.5)+IF((IF(OR(City_Inputs!$AJ35="",Norm_Stats!$F$23="",Norm_Stats!$G$23="",Norm_Stats!$G$23=Norm_Stats!$F$23),"",MAX(0,MIN(100,100*(MIN(MAX(City_Inputs!$AJ35,Norm_Stats!$F$23),Norm_Stats!$G$23)-Norm_Stats!$F$23)/(Norm_Stats!$G$23-Norm_Stats!$F$23)))))="",0,0.3)+IF((IF(OR(City_Inputs!$AK35="",Norm_Stats!$F$24="",Norm_Stats!$G$24="",Norm_Stats!$G$24=Norm_Stats!$F$24),"",MAX(0,MIN(100,100*(MIN(MAX(City_Inputs!$AK35,Norm_Stats!$F$24),Norm_Stats!$G$24)-Norm_Stats!$F$24)/(Norm_Stats!$G$24-Norm_Stats!$F$24)))))="",0,0.2)))</f>
        <v/>
      </c>
      <c r="BE35" s="11">
        <f>IF(OR(City_Inputs!$AH35="",Norm_Stats!$F$25="",Norm_Stats!$G$25="",Norm_Stats!$G$25=Norm_Stats!$F$25),"",MAX(0,MIN(100,100*(Norm_Stats!$G$25-MIN(MAX(City_Inputs!$AH35,Norm_Stats!$F$25),Norm_Stats!$G$25))/(Norm_Stats!$G$25-Norm_Stats!$F$25))))</f>
        <v/>
      </c>
      <c r="BF35" s="14">
        <f>IF(BE35="","",1)</f>
        <v/>
      </c>
      <c r="BG35" s="15">
        <f>IF((IF(AY35="",0,6)+IF(BA35="",0,5)+IF(BC35="",0,5)+IF(BE35="",0,4))=0,"",(IF(AY35="",0,AY35*6)+IF(BA35="",0,BA35*5)+IF(BC35="",0,BC35*5)+IF(BE35="",0,BE35*4))/(IF(AY35="",0,6)+IF(BA35="",0,5)+IF(BC35="",0,5)+IF(BE35="",0,4)))</f>
        <v/>
      </c>
      <c r="BH35" s="14">
        <f>IF((IF(AZ35="",0,6)+IF(BB35="",0,5)+IF(BD35="",0,5)+IF(BF35="",0,4))=0,"",(IF(AZ35="",0,AZ35*6)+IF(BB35="",0,BB35*5)+IF(BD35="",0,BD35*5)+IF(BF35="",0,BF35*4))/20)</f>
        <v/>
      </c>
      <c r="BI35" s="14">
        <f>IF(AND(R35="",AF35="",AN35="",AX35="",BH35=""),"",((R35*25)+(AF35*22)+(AN35*18)+(AX35*15)+(BH35*20))/100)</f>
        <v/>
      </c>
      <c r="BJ35" s="11">
        <f>IF(BI35="","",IF(BI35&gt;=0.75,"A",IF(BI35&gt;=0.5,"B",IF(BI35&gt;=0.35,"C","Watchlist"))))</f>
        <v/>
      </c>
      <c r="BK35" s="11">
        <f>IF(OR(BI35="",BI35&lt;0.5,R35="",R35&lt;0.35,AF35="",AF35&lt;0.35,AN35="",AN35&lt;0.35,AX35="",AX35&lt;0.35,BH35="",BH35&lt;0.35),"Watchlist","Ranked")</f>
        <v/>
      </c>
      <c r="BL35" s="15">
        <f>IF(AND(Q35="",AE35="",AM35="",AW35="",BG35=""),"",(IF(Q35="",0,Q35*25)+IF(AE35="",0,AE35*22)+IF(AM35="",0,AM35*18)+IF(AW35="",0,AW35*15)+IF(BG35="",0,BG35*20))/(IF(Q35="",0,25)+IF(AE35="",0,22)+IF(AM35="",0,18)+IF(AW35="",0,15)+IF(BG35="",0,20)))</f>
        <v/>
      </c>
      <c r="BM35" s="11">
        <f>IF(BK35="Ranked",1+COUNTIFS($BK$2:$BK$158,"Ranked",$BL$2:$BL$158,"&gt;"&amp;BL35),"")</f>
        <v/>
      </c>
      <c r="BN35" s="11">
        <f>City_Inputs!$AI35</f>
        <v/>
      </c>
    </row>
    <row r="36">
      <c r="A36" t="inlineStr">
        <is>
          <t>np-kathmandu</t>
        </is>
      </c>
      <c r="B36" t="inlineStr">
        <is>
          <t>Kathmandu</t>
        </is>
      </c>
      <c r="C36" t="inlineStr">
        <is>
          <t>Nepal</t>
        </is>
      </c>
      <c r="D36" t="inlineStr">
        <is>
          <t>South Asia</t>
        </is>
      </c>
      <c r="E36" t="inlineStr">
        <is>
          <t>provisional</t>
        </is>
      </c>
      <c r="F36" t="inlineStr">
        <is>
          <t>secondary</t>
        </is>
      </c>
      <c r="G36" s="11">
        <f>IF(OR(City_Inputs!$M36="",Norm_Stats!$F$2="",Norm_Stats!$G$2="",Norm_Stats!$G$2=Norm_Stats!$F$2),"",MAX(0,MIN(100,100*(MIN(MAX(City_Inputs!$M36,Norm_Stats!$F$2),Norm_Stats!$G$2)-Norm_Stats!$F$2)/(Norm_Stats!$G$2-Norm_Stats!$F$2))))</f>
        <v/>
      </c>
      <c r="H36" s="14">
        <f>IF(G36="","",1)</f>
        <v/>
      </c>
      <c r="I36" s="11">
        <f>IF(OR(City_Inputs!$N36="",Norm_Stats!$F$3="",Norm_Stats!$G$3="",Norm_Stats!$G$3=Norm_Stats!$F$3),"",MAX(0,MIN(100,100*(Norm_Stats!$G$3-MIN(MAX(City_Inputs!$N36,Norm_Stats!$F$3),Norm_Stats!$G$3))/(Norm_Stats!$G$3-Norm_Stats!$F$3))))</f>
        <v/>
      </c>
      <c r="J36" s="14">
        <f>IF(I36="","",1)</f>
        <v/>
      </c>
      <c r="K36" s="11">
        <f>IF(OR(City_Inputs!$P36="",Norm_Stats!$F$4="",Norm_Stats!$G$4="",Norm_Stats!$G$4=Norm_Stats!$F$4),"",MAX(0,MIN(100,100*(Norm_Stats!$G$4-MIN(MAX(City_Inputs!$P36,Norm_Stats!$F$4),Norm_Stats!$G$4))/(Norm_Stats!$G$4-Norm_Stats!$F$4))))</f>
        <v/>
      </c>
      <c r="L36" s="14">
        <f>IF(K36="","",1)</f>
        <v/>
      </c>
      <c r="M36" s="11">
        <f>IF(OR(City_Inputs!$Q36="",Norm_Stats!$F$5="",Norm_Stats!$G$5="",Norm_Stats!$G$5=Norm_Stats!$F$5),"",MAX(0,MIN(100,100*(Norm_Stats!$G$5-MIN(MAX(City_Inputs!$Q36,Norm_Stats!$F$5),Norm_Stats!$G$5))/(Norm_Stats!$G$5-Norm_Stats!$F$5))))</f>
        <v/>
      </c>
      <c r="N36" s="14">
        <f>IF(M36="","",1)</f>
        <v/>
      </c>
      <c r="O36" s="11">
        <f>IF(OR(City_Inputs!$R36="",Norm_Stats!$F$6="",Norm_Stats!$G$6="",Norm_Stats!$G$6=Norm_Stats!$F$6),"",MAX(0,MIN(100,100*(Norm_Stats!$G$6-MIN(MAX(City_Inputs!$R36,Norm_Stats!$F$6),Norm_Stats!$G$6))/(Norm_Stats!$G$6-Norm_Stats!$F$6))))</f>
        <v/>
      </c>
      <c r="P36" s="14">
        <f>IF(O36="","",1)</f>
        <v/>
      </c>
      <c r="Q36" s="15">
        <f>IF((IF(G36="",0,9)+IF(I36="",0,5)+IF(K36="",0,4)+IF(M36="",0,4)+IF(O36="",0,5))=0,"",(IF(G36="",0,G36*9)+IF(I36="",0,I36*5)+IF(K36="",0,K36*4)+IF(M36="",0,M36*4)+IF(O36="",0,O36*5))/(IF(G36="",0,9)+IF(I36="",0,5)+IF(K36="",0,4)+IF(M36="",0,4)+IF(O36="",0,5)))</f>
        <v/>
      </c>
      <c r="R36" s="14">
        <f>IF((IF(H36="",0,9)+IF(J36="",0,5)+IF(L36="",0,4)+IF(N36="",0,4)+IF(P36="",0,5))=0,"",(IF(H36="",0,H36*9)+IF(J36="",0,J36*5)+IF(L36="",0,L36*4)+IF(N36="",0,N36*4)+IF(P36="",0,P36*5))/27)</f>
        <v/>
      </c>
      <c r="S36" s="11">
        <f>IF(OR(City_Inputs!$S36="",Norm_Stats!$F$7="",Norm_Stats!$G$7="",Norm_Stats!$G$7=Norm_Stats!$F$7),"",MAX(0,MIN(100,100*(Norm_Stats!$G$7-MIN(MAX(City_Inputs!$S36,Norm_Stats!$F$7),Norm_Stats!$G$7))/(Norm_Stats!$G$7-Norm_Stats!$F$7))))</f>
        <v/>
      </c>
      <c r="T36" s="14">
        <f>IF(S36="","",1)</f>
        <v/>
      </c>
      <c r="U36" s="11">
        <f>IF(OR(City_Inputs!$T36="",Norm_Stats!$F$8="",Norm_Stats!$G$8="",Norm_Stats!$G$8=Norm_Stats!$F$8),"",MAX(0,MIN(100,100*(MIN(MAX(City_Inputs!$T36,Norm_Stats!$F$8),Norm_Stats!$G$8)-Norm_Stats!$F$8)/(Norm_Stats!$G$8-Norm_Stats!$F$8))))</f>
        <v/>
      </c>
      <c r="V36" s="14">
        <f>IF(U36="","",1)</f>
        <v/>
      </c>
      <c r="W36" s="11">
        <f>IF(OR(City_Inputs!$U36="",Norm_Stats!$F$9="",Norm_Stats!$G$9="",Norm_Stats!$G$9=Norm_Stats!$F$9),"",MAX(0,MIN(100,100*(Norm_Stats!$G$9-MIN(MAX(City_Inputs!$U36,Norm_Stats!$F$9),Norm_Stats!$G$9))/(Norm_Stats!$G$9-Norm_Stats!$F$9))))</f>
        <v/>
      </c>
      <c r="X36" s="14">
        <f>IF(W36="","",1)</f>
        <v/>
      </c>
      <c r="Y36" s="11">
        <f>IF(OR(City_Inputs!$V36="",Norm_Stats!$F$10="",Norm_Stats!$G$10="",Norm_Stats!$G$10=Norm_Stats!$F$10),"",MAX(0,MIN(100,100*(MIN(MAX(City_Inputs!$V36,Norm_Stats!$F$10),Norm_Stats!$G$10)-Norm_Stats!$F$10)/(Norm_Stats!$G$10-Norm_Stats!$F$10))))</f>
        <v/>
      </c>
      <c r="Z36" s="14">
        <f>IF(Y36="","",1)</f>
        <v/>
      </c>
      <c r="AA36" s="11">
        <f>IF(OR(City_Inputs!$W36="",Norm_Stats!$F$11="",Norm_Stats!$G$11="",Norm_Stats!$G$11=Norm_Stats!$F$11),"",MAX(0,MIN(100,100*(MIN(MAX(City_Inputs!$W36,Norm_Stats!$F$11),Norm_Stats!$G$11)-Norm_Stats!$F$11)/(Norm_Stats!$G$11-Norm_Stats!$F$11))))</f>
        <v/>
      </c>
      <c r="AB36" s="14">
        <f>IF(AA36="","",1)</f>
        <v/>
      </c>
      <c r="AC36" s="11">
        <f>IF(OR(City_Inputs!$X36="",Norm_Stats!$F$12="",Norm_Stats!$G$12="",Norm_Stats!$G$12=Norm_Stats!$F$12),"",MAX(0,MIN(100,100*(MIN(MAX(City_Inputs!$X36,Norm_Stats!$F$12),Norm_Stats!$G$12)-Norm_Stats!$F$12)/(Norm_Stats!$G$12-Norm_Stats!$F$12))))</f>
        <v/>
      </c>
      <c r="AD36" s="11">
        <f>IF(AC36="","",1)</f>
        <v/>
      </c>
      <c r="AE36" s="15">
        <f>IF((IF(S36="",0,5)+IF(U36="",0,5)+IF(W36="",0,4)+IF(Y36="",0,4)+IF(AA36="",0,4)+IF(AC36="",0,5))=0,"",(IF(S36="",0,S36*5)+IF(U36="",0,U36*5)+IF(W36="",0,W36*4)+IF(Y36="",0,Y36*4)+IF(AA36="",0,AA36*4)+IF(AC36="",0,AC36*5))/(IF(S36="",0,5)+IF(U36="",0,5)+IF(W36="",0,4)+IF(Y36="",0,4)+IF(AA36="",0,4)+IF(AC36="",0,5)))</f>
        <v/>
      </c>
      <c r="AF36" s="14">
        <f>IF((IF(T36="",0,5)+IF(V36="",0,5)+IF(X36="",0,4)+IF(Z36="",0,4)+IF(AB36="",0,4)+IF(AD36="",0,5))=0,"",(IF(T36="",0,T36*5)+IF(V36="",0,V36*5)+IF(X36="",0,X36*4)+IF(Z36="",0,Z36*4)+IF(AB36="",0,AB36*4)+IF(AD36="",0,AD36*5))/27)</f>
        <v/>
      </c>
      <c r="AG36" s="11">
        <f>IF(OR(City_Inputs!$Y36="",Norm_Stats!$F$13="",Norm_Stats!$G$13="",Norm_Stats!$G$13=Norm_Stats!$F$13),"",MAX(0,MIN(100,100*(MIN(MAX(City_Inputs!$Y36,Norm_Stats!$F$13),Norm_Stats!$G$13)-Norm_Stats!$F$13)/(Norm_Stats!$G$13-Norm_Stats!$F$13))))</f>
        <v/>
      </c>
      <c r="AH36" s="14">
        <f>IF(AG36="","",1)</f>
        <v/>
      </c>
      <c r="AI36" s="11">
        <f>IF(OR(City_Inputs!$Z36="",Norm_Stats!$F$14="",Norm_Stats!$G$14="",Norm_Stats!$G$14=Norm_Stats!$F$14),"",MAX(0,MIN(100,100*(MIN(MAX(City_Inputs!$Z36,Norm_Stats!$F$14),Norm_Stats!$G$14)-Norm_Stats!$F$14)/(Norm_Stats!$G$14-Norm_Stats!$F$14))))</f>
        <v/>
      </c>
      <c r="AJ36" s="14">
        <f>IF(AI36="","",1)</f>
        <v/>
      </c>
      <c r="AK36" s="11">
        <f>IF((IF((IF(OR(City_Inputs!$AA36="",Norm_Stats!$F$15="",Norm_Stats!$G$15="",Norm_Stats!$G$15=Norm_Stats!$F$15),"",MAX(0,MIN(100,100*(MIN(MAX(City_Inputs!$AA36,Norm_Stats!$F$15),Norm_Stats!$G$15)-Norm_Stats!$F$15)/(Norm_Stats!$G$15-Norm_Stats!$F$15)))))="",0,0.7)+IF((IF(OR(City_Inputs!$AL36="",Norm_Stats!$F$16="",Norm_Stats!$G$16="",Norm_Stats!$G$16=Norm_Stats!$F$16),"",MAX(0,MIN(100,100*(Norm_Stats!$G$16-MIN(MAX(City_Inputs!$AL36,Norm_Stats!$F$16),Norm_Stats!$G$16))/(Norm_Stats!$G$16-Norm_Stats!$F$16)))))="",0,0.3))=0,"",(IF((IF(OR(City_Inputs!$AA36="",Norm_Stats!$F$15="",Norm_Stats!$G$15="",Norm_Stats!$G$15=Norm_Stats!$F$15),"",MAX(0,MIN(100,100*(MIN(MAX(City_Inputs!$AA36,Norm_Stats!$F$15),Norm_Stats!$G$15)-Norm_Stats!$F$15)/(Norm_Stats!$G$15-Norm_Stats!$F$15)))))="",0,(IF(OR(City_Inputs!$AA36="",Norm_Stats!$F$15="",Norm_Stats!$G$15="",Norm_Stats!$G$15=Norm_Stats!$F$15),"",MAX(0,MIN(100,100*(MIN(MAX(City_Inputs!$AA36,Norm_Stats!$F$15),Norm_Stats!$G$15)-Norm_Stats!$F$15)/(Norm_Stats!$G$15-Norm_Stats!$F$15)))))*0.7)+IF((IF(OR(City_Inputs!$AL36="",Norm_Stats!$F$16="",Norm_Stats!$G$16="",Norm_Stats!$G$16=Norm_Stats!$F$16),"",MAX(0,MIN(100,100*(Norm_Stats!$G$16-MIN(MAX(City_Inputs!$AL36,Norm_Stats!$F$16),Norm_Stats!$G$16))/(Norm_Stats!$G$16-Norm_Stats!$F$16)))))="",0,(IF(OR(City_Inputs!$AL36="",Norm_Stats!$F$16="",Norm_Stats!$G$16="",Norm_Stats!$G$16=Norm_Stats!$F$16),"",MAX(0,MIN(100,100*(Norm_Stats!$G$16-MIN(MAX(City_Inputs!$AL36,Norm_Stats!$F$16),Norm_Stats!$G$16))/(Norm_Stats!$G$16-Norm_Stats!$F$16)))))*0.3))/(IF((IF(OR(City_Inputs!$AA36="",Norm_Stats!$F$15="",Norm_Stats!$G$15="",Norm_Stats!$G$15=Norm_Stats!$F$15),"",MAX(0,MIN(100,100*(MIN(MAX(City_Inputs!$AA36,Norm_Stats!$F$15),Norm_Stats!$G$15)-Norm_Stats!$F$15)/(Norm_Stats!$G$15-Norm_Stats!$F$15)))))="",0,0.7)+IF((IF(OR(City_Inputs!$AL36="",Norm_Stats!$F$16="",Norm_Stats!$G$16="",Norm_Stats!$G$16=Norm_Stats!$F$16),"",MAX(0,MIN(100,100*(Norm_Stats!$G$16-MIN(MAX(City_Inputs!$AL36,Norm_Stats!$F$16),Norm_Stats!$G$16))/(Norm_Stats!$G$16-Norm_Stats!$F$16)))))="",0,0.3)))</f>
        <v/>
      </c>
      <c r="AL36" s="14">
        <f>IF((IF((IF(OR(City_Inputs!$AA36="",Norm_Stats!$F$15="",Norm_Stats!$G$15="",Norm_Stats!$G$15=Norm_Stats!$F$15),"",MAX(0,MIN(100,100*(MIN(MAX(City_Inputs!$AA36,Norm_Stats!$F$15),Norm_Stats!$G$15)-Norm_Stats!$F$15)/(Norm_Stats!$G$15-Norm_Stats!$F$15)))))="",0,0.7)+IF((IF(OR(City_Inputs!$AL36="",Norm_Stats!$F$16="",Norm_Stats!$G$16="",Norm_Stats!$G$16=Norm_Stats!$F$16),"",MAX(0,MIN(100,100*(Norm_Stats!$G$16-MIN(MAX(City_Inputs!$AL36,Norm_Stats!$F$16),Norm_Stats!$G$16))/(Norm_Stats!$G$16-Norm_Stats!$F$16)))))="",0,0.3))=0,"",(IF((IF(OR(City_Inputs!$AA36="",Norm_Stats!$F$15="",Norm_Stats!$G$15="",Norm_Stats!$G$15=Norm_Stats!$F$15),"",MAX(0,MIN(100,100*(MIN(MAX(City_Inputs!$AA36,Norm_Stats!$F$15),Norm_Stats!$G$15)-Norm_Stats!$F$15)/(Norm_Stats!$G$15-Norm_Stats!$F$15)))))="",0,0.7)+IF((IF(OR(City_Inputs!$AL36="",Norm_Stats!$F$16="",Norm_Stats!$G$16="",Norm_Stats!$G$16=Norm_Stats!$F$16),"",MAX(0,MIN(100,100*(Norm_Stats!$G$16-MIN(MAX(City_Inputs!$AL36,Norm_Stats!$F$16),Norm_Stats!$G$16))/(Norm_Stats!$G$16-Norm_Stats!$F$16)))))="",0,0.3)))</f>
        <v/>
      </c>
      <c r="AM36" s="15">
        <f>IF((IF(AG36="",0,8)+IF(AI36="",0,6)+IF(AK36="",0,4))=0,"",(IF(AG36="",0,AG36*8)+IF(AI36="",0,AI36*6)+IF(AK36="",0,AK36*4))/(IF(AG36="",0,8)+IF(AI36="",0,6)+IF(AK36="",0,4)))</f>
        <v/>
      </c>
      <c r="AN36" s="14">
        <f>IF((IF(AH36="",0,8)+IF(AJ36="",0,6)+IF(AL36="",0,4))=0,"",(IF(AH36="",0,AH36*8)+IF(AJ36="",0,AJ36*6)+IF(AL36="",0,AL36*4))/18)</f>
        <v/>
      </c>
      <c r="AO36" s="11">
        <f>IF(OR(City_Inputs!$AB36="",Norm_Stats!$F$17="",Norm_Stats!$G$17="",Norm_Stats!$G$17=Norm_Stats!$F$17),"",MAX(0,MIN(100,100*(MIN(MAX(City_Inputs!$AB36,Norm_Stats!$F$17),Norm_Stats!$G$17)-Norm_Stats!$F$17)/(Norm_Stats!$G$17-Norm_Stats!$F$17))))</f>
        <v/>
      </c>
      <c r="AP36" s="14">
        <f>IF(AO36="","",1)</f>
        <v/>
      </c>
      <c r="AQ36" s="11">
        <f>IF(OR(City_Inputs!$AC36="",Norm_Stats!$F$18="",Norm_Stats!$G$18="",Norm_Stats!$G$18=Norm_Stats!$F$18),"",MAX(0,MIN(100,100*(MIN(MAX(City_Inputs!$AC36,Norm_Stats!$F$18),Norm_Stats!$G$18)-Norm_Stats!$F$18)/(Norm_Stats!$G$18-Norm_Stats!$F$18))))</f>
        <v/>
      </c>
      <c r="AR36" s="14">
        <f>IF(AQ36="","",1)</f>
        <v/>
      </c>
      <c r="AS36" s="11">
        <f>IF(OR(City_Inputs!$AD36="",Norm_Stats!$F$19="",Norm_Stats!$G$19="",Norm_Stats!$G$19=Norm_Stats!$F$19),"",MAX(0,MIN(100,100*(MIN(MAX(City_Inputs!$AD36,Norm_Stats!$F$19),Norm_Stats!$G$19)-Norm_Stats!$F$19)/(Norm_Stats!$G$19-Norm_Stats!$F$19))))</f>
        <v/>
      </c>
      <c r="AT36" s="14">
        <f>IF(AS36="","",1)</f>
        <v/>
      </c>
      <c r="AU36" s="11">
        <f>IF(OR(City_Inputs!$BJ36="",Norm_Stats!$F$26="",Norm_Stats!$G$26="",Norm_Stats!$G$26=Norm_Stats!$F$26),"",MAX(0,MIN(100,100*(MIN(MAX(City_Inputs!$BJ36,Norm_Stats!$F$26),Norm_Stats!$G$26)-Norm_Stats!$F$26)/(Norm_Stats!$G$26-Norm_Stats!$F$26))))</f>
        <v/>
      </c>
      <c r="AV36" s="11">
        <f>IF(AU36="","",1)</f>
        <v/>
      </c>
      <c r="AW36" s="15">
        <f>IF((IF(AO36="",0,5)+IF(AQ36="",0,5)+IF(AS36="",0,5)+IF(AU36="",0,4))=0,"",(IF(AO36="",0,AO36*5)+IF(AQ36="",0,AQ36*5)+IF(AS36="",0,AS36*5)+IF(AU36="",0,AU36*4))/(IF(AO36="",0,5)+IF(AQ36="",0,5)+IF(AS36="",0,5)+IF(AU36="",0,4)))</f>
        <v/>
      </c>
      <c r="AX36" s="14">
        <f>IF((IF(AP36="",0,5)+IF(AR36="",0,5)+IF(AT36="",0,5)+IF(AV36="",0,4))=0,"",(IF(AP36="",0,AP36*5)+IF(AR36="",0,AR36*5)+IF(AT36="",0,AT36*5)+IF(AV36="",0,AV36*4))/19)</f>
        <v/>
      </c>
      <c r="AY36" s="11">
        <f>IF(OR(City_Inputs!$AE36="",Norm_Stats!$F$20="",Norm_Stats!$G$20="",Norm_Stats!$G$20=Norm_Stats!$F$20),"",MAX(0,MIN(100,100*(MIN(MAX(City_Inputs!$AE36,Norm_Stats!$F$20),Norm_Stats!$G$20)-Norm_Stats!$F$20)/(Norm_Stats!$G$20-Norm_Stats!$F$20))))</f>
        <v/>
      </c>
      <c r="AZ36" s="14">
        <f>IF(AY36="","",1)</f>
        <v/>
      </c>
      <c r="BA36" s="11">
        <f>IF(OR(City_Inputs!$AF36="",Norm_Stats!$F$21="",Norm_Stats!$G$21="",Norm_Stats!$G$21=Norm_Stats!$F$21),"",MAX(0,MIN(100,100*(MIN(MAX(City_Inputs!$AF36,Norm_Stats!$F$21),Norm_Stats!$G$21)-Norm_Stats!$F$21)/(Norm_Stats!$G$21-Norm_Stats!$F$21))))</f>
        <v/>
      </c>
      <c r="BB36" s="14">
        <f>IF(BA36="","",1)</f>
        <v/>
      </c>
      <c r="BC36" s="11">
        <f>IF((IF((IF(OR(City_Inputs!$AG36="",Norm_Stats!$F$22="",Norm_Stats!$G$22="",Norm_Stats!$G$22=Norm_Stats!$F$22),"",MAX(0,MIN(100,100*(MIN(MAX(City_Inputs!$AG36,Norm_Stats!$F$22),Norm_Stats!$G$22)-Norm_Stats!$F$22)/(Norm_Stats!$G$22-Norm_Stats!$F$22)))))="",0,0.5)+IF((IF(OR(City_Inputs!$AJ36="",Norm_Stats!$F$23="",Norm_Stats!$G$23="",Norm_Stats!$G$23=Norm_Stats!$F$23),"",MAX(0,MIN(100,100*(MIN(MAX(City_Inputs!$AJ36,Norm_Stats!$F$23),Norm_Stats!$G$23)-Norm_Stats!$F$23)/(Norm_Stats!$G$23-Norm_Stats!$F$23)))))="",0,0.3)+IF((IF(OR(City_Inputs!$AK36="",Norm_Stats!$F$24="",Norm_Stats!$G$24="",Norm_Stats!$G$24=Norm_Stats!$F$24),"",MAX(0,MIN(100,100*(MIN(MAX(City_Inputs!$AK36,Norm_Stats!$F$24),Norm_Stats!$G$24)-Norm_Stats!$F$24)/(Norm_Stats!$G$24-Norm_Stats!$F$24)))))="",0,0.2))=0,"",(IF((IF(OR(City_Inputs!$AG36="",Norm_Stats!$F$22="",Norm_Stats!$G$22="",Norm_Stats!$G$22=Norm_Stats!$F$22),"",MAX(0,MIN(100,100*(MIN(MAX(City_Inputs!$AG36,Norm_Stats!$F$22),Norm_Stats!$G$22)-Norm_Stats!$F$22)/(Norm_Stats!$G$22-Norm_Stats!$F$22)))))="",0,(IF(OR(City_Inputs!$AG36="",Norm_Stats!$F$22="",Norm_Stats!$G$22="",Norm_Stats!$G$22=Norm_Stats!$F$22),"",MAX(0,MIN(100,100*(MIN(MAX(City_Inputs!$AG36,Norm_Stats!$F$22),Norm_Stats!$G$22)-Norm_Stats!$F$22)/(Norm_Stats!$G$22-Norm_Stats!$F$22)))))*0.5)+IF((IF(OR(City_Inputs!$AJ36="",Norm_Stats!$F$23="",Norm_Stats!$G$23="",Norm_Stats!$G$23=Norm_Stats!$F$23),"",MAX(0,MIN(100,100*(MIN(MAX(City_Inputs!$AJ36,Norm_Stats!$F$23),Norm_Stats!$G$23)-Norm_Stats!$F$23)/(Norm_Stats!$G$23-Norm_Stats!$F$23)))))="",0,(IF(OR(City_Inputs!$AJ36="",Norm_Stats!$F$23="",Norm_Stats!$G$23="",Norm_Stats!$G$23=Norm_Stats!$F$23),"",MAX(0,MIN(100,100*(MIN(MAX(City_Inputs!$AJ36,Norm_Stats!$F$23),Norm_Stats!$G$23)-Norm_Stats!$F$23)/(Norm_Stats!$G$23-Norm_Stats!$F$23)))))*0.3)+IF((IF(OR(City_Inputs!$AK36="",Norm_Stats!$F$24="",Norm_Stats!$G$24="",Norm_Stats!$G$24=Norm_Stats!$F$24),"",MAX(0,MIN(100,100*(MIN(MAX(City_Inputs!$AK36,Norm_Stats!$F$24),Norm_Stats!$G$24)-Norm_Stats!$F$24)/(Norm_Stats!$G$24-Norm_Stats!$F$24)))))="",0,(IF(OR(City_Inputs!$AK36="",Norm_Stats!$F$24="",Norm_Stats!$G$24="",Norm_Stats!$G$24=Norm_Stats!$F$24),"",MAX(0,MIN(100,100*(MIN(MAX(City_Inputs!$AK36,Norm_Stats!$F$24),Norm_Stats!$G$24)-Norm_Stats!$F$24)/(Norm_Stats!$G$24-Norm_Stats!$F$24)))))*0.2))/(IF((IF(OR(City_Inputs!$AG36="",Norm_Stats!$F$22="",Norm_Stats!$G$22="",Norm_Stats!$G$22=Norm_Stats!$F$22),"",MAX(0,MIN(100,100*(MIN(MAX(City_Inputs!$AG36,Norm_Stats!$F$22),Norm_Stats!$G$22)-Norm_Stats!$F$22)/(Norm_Stats!$G$22-Norm_Stats!$F$22)))))="",0,0.5)+IF((IF(OR(City_Inputs!$AJ36="",Norm_Stats!$F$23="",Norm_Stats!$G$23="",Norm_Stats!$G$23=Norm_Stats!$F$23),"",MAX(0,MIN(100,100*(MIN(MAX(City_Inputs!$AJ36,Norm_Stats!$F$23),Norm_Stats!$G$23)-Norm_Stats!$F$23)/(Norm_Stats!$G$23-Norm_Stats!$F$23)))))="",0,0.3)+IF((IF(OR(City_Inputs!$AK36="",Norm_Stats!$F$24="",Norm_Stats!$G$24="",Norm_Stats!$G$24=Norm_Stats!$F$24),"",MAX(0,MIN(100,100*(MIN(MAX(City_Inputs!$AK36,Norm_Stats!$F$24),Norm_Stats!$G$24)-Norm_Stats!$F$24)/(Norm_Stats!$G$24-Norm_Stats!$F$24)))))="",0,0.2)))</f>
        <v/>
      </c>
      <c r="BD36" s="14">
        <f>IF((IF((IF(OR(City_Inputs!$AG36="",Norm_Stats!$F$22="",Norm_Stats!$G$22="",Norm_Stats!$G$22=Norm_Stats!$F$22),"",MAX(0,MIN(100,100*(MIN(MAX(City_Inputs!$AG36,Norm_Stats!$F$22),Norm_Stats!$G$22)-Norm_Stats!$F$22)/(Norm_Stats!$G$22-Norm_Stats!$F$22)))))="",0,0.5)+IF((IF(OR(City_Inputs!$AJ36="",Norm_Stats!$F$23="",Norm_Stats!$G$23="",Norm_Stats!$G$23=Norm_Stats!$F$23),"",MAX(0,MIN(100,100*(MIN(MAX(City_Inputs!$AJ36,Norm_Stats!$F$23),Norm_Stats!$G$23)-Norm_Stats!$F$23)/(Norm_Stats!$G$23-Norm_Stats!$F$23)))))="",0,0.3)+IF((IF(OR(City_Inputs!$AK36="",Norm_Stats!$F$24="",Norm_Stats!$G$24="",Norm_Stats!$G$24=Norm_Stats!$F$24),"",MAX(0,MIN(100,100*(MIN(MAX(City_Inputs!$AK36,Norm_Stats!$F$24),Norm_Stats!$G$24)-Norm_Stats!$F$24)/(Norm_Stats!$G$24-Norm_Stats!$F$24)))))="",0,0.2))=0,"",(IF((IF(OR(City_Inputs!$AG36="",Norm_Stats!$F$22="",Norm_Stats!$G$22="",Norm_Stats!$G$22=Norm_Stats!$F$22),"",MAX(0,MIN(100,100*(MIN(MAX(City_Inputs!$AG36,Norm_Stats!$F$22),Norm_Stats!$G$22)-Norm_Stats!$F$22)/(Norm_Stats!$G$22-Norm_Stats!$F$22)))))="",0,0.5)+IF((IF(OR(City_Inputs!$AJ36="",Norm_Stats!$F$23="",Norm_Stats!$G$23="",Norm_Stats!$G$23=Norm_Stats!$F$23),"",MAX(0,MIN(100,100*(MIN(MAX(City_Inputs!$AJ36,Norm_Stats!$F$23),Norm_Stats!$G$23)-Norm_Stats!$F$23)/(Norm_Stats!$G$23-Norm_Stats!$F$23)))))="",0,0.3)+IF((IF(OR(City_Inputs!$AK36="",Norm_Stats!$F$24="",Norm_Stats!$G$24="",Norm_Stats!$G$24=Norm_Stats!$F$24),"",MAX(0,MIN(100,100*(MIN(MAX(City_Inputs!$AK36,Norm_Stats!$F$24),Norm_Stats!$G$24)-Norm_Stats!$F$24)/(Norm_Stats!$G$24-Norm_Stats!$F$24)))))="",0,0.2)))</f>
        <v/>
      </c>
      <c r="BE36" s="11">
        <f>IF(OR(City_Inputs!$AH36="",Norm_Stats!$F$25="",Norm_Stats!$G$25="",Norm_Stats!$G$25=Norm_Stats!$F$25),"",MAX(0,MIN(100,100*(Norm_Stats!$G$25-MIN(MAX(City_Inputs!$AH36,Norm_Stats!$F$25),Norm_Stats!$G$25))/(Norm_Stats!$G$25-Norm_Stats!$F$25))))</f>
        <v/>
      </c>
      <c r="BF36" s="14">
        <f>IF(BE36="","",1)</f>
        <v/>
      </c>
      <c r="BG36" s="15">
        <f>IF((IF(AY36="",0,6)+IF(BA36="",0,5)+IF(BC36="",0,5)+IF(BE36="",0,4))=0,"",(IF(AY36="",0,AY36*6)+IF(BA36="",0,BA36*5)+IF(BC36="",0,BC36*5)+IF(BE36="",0,BE36*4))/(IF(AY36="",0,6)+IF(BA36="",0,5)+IF(BC36="",0,5)+IF(BE36="",0,4)))</f>
        <v/>
      </c>
      <c r="BH36" s="14">
        <f>IF((IF(AZ36="",0,6)+IF(BB36="",0,5)+IF(BD36="",0,5)+IF(BF36="",0,4))=0,"",(IF(AZ36="",0,AZ36*6)+IF(BB36="",0,BB36*5)+IF(BD36="",0,BD36*5)+IF(BF36="",0,BF36*4))/20)</f>
        <v/>
      </c>
      <c r="BI36" s="14">
        <f>IF(AND(R36="",AF36="",AN36="",AX36="",BH36=""),"",((R36*25)+(AF36*22)+(AN36*18)+(AX36*15)+(BH36*20))/100)</f>
        <v/>
      </c>
      <c r="BJ36" s="11">
        <f>IF(BI36="","",IF(BI36&gt;=0.75,"A",IF(BI36&gt;=0.5,"B",IF(BI36&gt;=0.35,"C","Watchlist"))))</f>
        <v/>
      </c>
      <c r="BK36" s="11">
        <f>IF(OR(BI36="",BI36&lt;0.5,R36="",R36&lt;0.35,AF36="",AF36&lt;0.35,AN36="",AN36&lt;0.35,AX36="",AX36&lt;0.35,BH36="",BH36&lt;0.35),"Watchlist","Ranked")</f>
        <v/>
      </c>
      <c r="BL36" s="15">
        <f>IF(AND(Q36="",AE36="",AM36="",AW36="",BG36=""),"",(IF(Q36="",0,Q36*25)+IF(AE36="",0,AE36*22)+IF(AM36="",0,AM36*18)+IF(AW36="",0,AW36*15)+IF(BG36="",0,BG36*20))/(IF(Q36="",0,25)+IF(AE36="",0,22)+IF(AM36="",0,18)+IF(AW36="",0,15)+IF(BG36="",0,20)))</f>
        <v/>
      </c>
      <c r="BM36" s="11">
        <f>IF(BK36="Ranked",1+COUNTIFS($BK$2:$BK$158,"Ranked",$BL$2:$BL$158,"&gt;"&amp;BL36),"")</f>
        <v/>
      </c>
      <c r="BN36" s="11">
        <f>City_Inputs!$AI36</f>
        <v/>
      </c>
    </row>
    <row r="37">
      <c r="A37" t="inlineStr">
        <is>
          <t>bt-thimphu</t>
        </is>
      </c>
      <c r="B37" t="inlineStr">
        <is>
          <t>Thimphu</t>
        </is>
      </c>
      <c r="C37" t="inlineStr">
        <is>
          <t>Bhutan</t>
        </is>
      </c>
      <c r="D37" t="inlineStr">
        <is>
          <t>South Asia</t>
        </is>
      </c>
      <c r="E37" t="inlineStr">
        <is>
          <t>locked</t>
        </is>
      </c>
      <c r="F37" t="inlineStr">
        <is>
          <t>secondary</t>
        </is>
      </c>
      <c r="G37" s="11">
        <f>IF(OR(City_Inputs!$M37="",Norm_Stats!$F$2="",Norm_Stats!$G$2="",Norm_Stats!$G$2=Norm_Stats!$F$2),"",MAX(0,MIN(100,100*(MIN(MAX(City_Inputs!$M37,Norm_Stats!$F$2),Norm_Stats!$G$2)-Norm_Stats!$F$2)/(Norm_Stats!$G$2-Norm_Stats!$F$2))))</f>
        <v/>
      </c>
      <c r="H37" s="14">
        <f>IF(G37="","",1)</f>
        <v/>
      </c>
      <c r="I37" s="11">
        <f>IF(OR(City_Inputs!$N37="",Norm_Stats!$F$3="",Norm_Stats!$G$3="",Norm_Stats!$G$3=Norm_Stats!$F$3),"",MAX(0,MIN(100,100*(Norm_Stats!$G$3-MIN(MAX(City_Inputs!$N37,Norm_Stats!$F$3),Norm_Stats!$G$3))/(Norm_Stats!$G$3-Norm_Stats!$F$3))))</f>
        <v/>
      </c>
      <c r="J37" s="14">
        <f>IF(I37="","",1)</f>
        <v/>
      </c>
      <c r="K37" s="11">
        <f>IF(OR(City_Inputs!$P37="",Norm_Stats!$F$4="",Norm_Stats!$G$4="",Norm_Stats!$G$4=Norm_Stats!$F$4),"",MAX(0,MIN(100,100*(Norm_Stats!$G$4-MIN(MAX(City_Inputs!$P37,Norm_Stats!$F$4),Norm_Stats!$G$4))/(Norm_Stats!$G$4-Norm_Stats!$F$4))))</f>
        <v/>
      </c>
      <c r="L37" s="14">
        <f>IF(K37="","",1)</f>
        <v/>
      </c>
      <c r="M37" s="11">
        <f>IF(OR(City_Inputs!$Q37="",Norm_Stats!$F$5="",Norm_Stats!$G$5="",Norm_Stats!$G$5=Norm_Stats!$F$5),"",MAX(0,MIN(100,100*(Norm_Stats!$G$5-MIN(MAX(City_Inputs!$Q37,Norm_Stats!$F$5),Norm_Stats!$G$5))/(Norm_Stats!$G$5-Norm_Stats!$F$5))))</f>
        <v/>
      </c>
      <c r="N37" s="14">
        <f>IF(M37="","",1)</f>
        <v/>
      </c>
      <c r="O37" s="11">
        <f>IF(OR(City_Inputs!$R37="",Norm_Stats!$F$6="",Norm_Stats!$G$6="",Norm_Stats!$G$6=Norm_Stats!$F$6),"",MAX(0,MIN(100,100*(Norm_Stats!$G$6-MIN(MAX(City_Inputs!$R37,Norm_Stats!$F$6),Norm_Stats!$G$6))/(Norm_Stats!$G$6-Norm_Stats!$F$6))))</f>
        <v/>
      </c>
      <c r="P37" s="14">
        <f>IF(O37="","",1)</f>
        <v/>
      </c>
      <c r="Q37" s="15">
        <f>IF((IF(G37="",0,9)+IF(I37="",0,5)+IF(K37="",0,4)+IF(M37="",0,4)+IF(O37="",0,5))=0,"",(IF(G37="",0,G37*9)+IF(I37="",0,I37*5)+IF(K37="",0,K37*4)+IF(M37="",0,M37*4)+IF(O37="",0,O37*5))/(IF(G37="",0,9)+IF(I37="",0,5)+IF(K37="",0,4)+IF(M37="",0,4)+IF(O37="",0,5)))</f>
        <v/>
      </c>
      <c r="R37" s="14">
        <f>IF((IF(H37="",0,9)+IF(J37="",0,5)+IF(L37="",0,4)+IF(N37="",0,4)+IF(P37="",0,5))=0,"",(IF(H37="",0,H37*9)+IF(J37="",0,J37*5)+IF(L37="",0,L37*4)+IF(N37="",0,N37*4)+IF(P37="",0,P37*5))/27)</f>
        <v/>
      </c>
      <c r="S37" s="11">
        <f>IF(OR(City_Inputs!$S37="",Norm_Stats!$F$7="",Norm_Stats!$G$7="",Norm_Stats!$G$7=Norm_Stats!$F$7),"",MAX(0,MIN(100,100*(Norm_Stats!$G$7-MIN(MAX(City_Inputs!$S37,Norm_Stats!$F$7),Norm_Stats!$G$7))/(Norm_Stats!$G$7-Norm_Stats!$F$7))))</f>
        <v/>
      </c>
      <c r="T37" s="14">
        <f>IF(S37="","",1)</f>
        <v/>
      </c>
      <c r="U37" s="11">
        <f>IF(OR(City_Inputs!$T37="",Norm_Stats!$F$8="",Norm_Stats!$G$8="",Norm_Stats!$G$8=Norm_Stats!$F$8),"",MAX(0,MIN(100,100*(MIN(MAX(City_Inputs!$T37,Norm_Stats!$F$8),Norm_Stats!$G$8)-Norm_Stats!$F$8)/(Norm_Stats!$G$8-Norm_Stats!$F$8))))</f>
        <v/>
      </c>
      <c r="V37" s="14">
        <f>IF(U37="","",1)</f>
        <v/>
      </c>
      <c r="W37" s="11">
        <f>IF(OR(City_Inputs!$U37="",Norm_Stats!$F$9="",Norm_Stats!$G$9="",Norm_Stats!$G$9=Norm_Stats!$F$9),"",MAX(0,MIN(100,100*(Norm_Stats!$G$9-MIN(MAX(City_Inputs!$U37,Norm_Stats!$F$9),Norm_Stats!$G$9))/(Norm_Stats!$G$9-Norm_Stats!$F$9))))</f>
        <v/>
      </c>
      <c r="X37" s="14">
        <f>IF(W37="","",1)</f>
        <v/>
      </c>
      <c r="Y37" s="11">
        <f>IF(OR(City_Inputs!$V37="",Norm_Stats!$F$10="",Norm_Stats!$G$10="",Norm_Stats!$G$10=Norm_Stats!$F$10),"",MAX(0,MIN(100,100*(MIN(MAX(City_Inputs!$V37,Norm_Stats!$F$10),Norm_Stats!$G$10)-Norm_Stats!$F$10)/(Norm_Stats!$G$10-Norm_Stats!$F$10))))</f>
        <v/>
      </c>
      <c r="Z37" s="14">
        <f>IF(Y37="","",1)</f>
        <v/>
      </c>
      <c r="AA37" s="11">
        <f>IF(OR(City_Inputs!$W37="",Norm_Stats!$F$11="",Norm_Stats!$G$11="",Norm_Stats!$G$11=Norm_Stats!$F$11),"",MAX(0,MIN(100,100*(MIN(MAX(City_Inputs!$W37,Norm_Stats!$F$11),Norm_Stats!$G$11)-Norm_Stats!$F$11)/(Norm_Stats!$G$11-Norm_Stats!$F$11))))</f>
        <v/>
      </c>
      <c r="AB37" s="14">
        <f>IF(AA37="","",1)</f>
        <v/>
      </c>
      <c r="AC37" s="11">
        <f>IF(OR(City_Inputs!$X37="",Norm_Stats!$F$12="",Norm_Stats!$G$12="",Norm_Stats!$G$12=Norm_Stats!$F$12),"",MAX(0,MIN(100,100*(MIN(MAX(City_Inputs!$X37,Norm_Stats!$F$12),Norm_Stats!$G$12)-Norm_Stats!$F$12)/(Norm_Stats!$G$12-Norm_Stats!$F$12))))</f>
        <v/>
      </c>
      <c r="AD37" s="11">
        <f>IF(AC37="","",1)</f>
        <v/>
      </c>
      <c r="AE37" s="15">
        <f>IF((IF(S37="",0,5)+IF(U37="",0,5)+IF(W37="",0,4)+IF(Y37="",0,4)+IF(AA37="",0,4)+IF(AC37="",0,5))=0,"",(IF(S37="",0,S37*5)+IF(U37="",0,U37*5)+IF(W37="",0,W37*4)+IF(Y37="",0,Y37*4)+IF(AA37="",0,AA37*4)+IF(AC37="",0,AC37*5))/(IF(S37="",0,5)+IF(U37="",0,5)+IF(W37="",0,4)+IF(Y37="",0,4)+IF(AA37="",0,4)+IF(AC37="",0,5)))</f>
        <v/>
      </c>
      <c r="AF37" s="14">
        <f>IF((IF(T37="",0,5)+IF(V37="",0,5)+IF(X37="",0,4)+IF(Z37="",0,4)+IF(AB37="",0,4)+IF(AD37="",0,5))=0,"",(IF(T37="",0,T37*5)+IF(V37="",0,V37*5)+IF(X37="",0,X37*4)+IF(Z37="",0,Z37*4)+IF(AB37="",0,AB37*4)+IF(AD37="",0,AD37*5))/27)</f>
        <v/>
      </c>
      <c r="AG37" s="11">
        <f>IF(OR(City_Inputs!$Y37="",Norm_Stats!$F$13="",Norm_Stats!$G$13="",Norm_Stats!$G$13=Norm_Stats!$F$13),"",MAX(0,MIN(100,100*(MIN(MAX(City_Inputs!$Y37,Norm_Stats!$F$13),Norm_Stats!$G$13)-Norm_Stats!$F$13)/(Norm_Stats!$G$13-Norm_Stats!$F$13))))</f>
        <v/>
      </c>
      <c r="AH37" s="14">
        <f>IF(AG37="","",1)</f>
        <v/>
      </c>
      <c r="AI37" s="11">
        <f>IF(OR(City_Inputs!$Z37="",Norm_Stats!$F$14="",Norm_Stats!$G$14="",Norm_Stats!$G$14=Norm_Stats!$F$14),"",MAX(0,MIN(100,100*(MIN(MAX(City_Inputs!$Z37,Norm_Stats!$F$14),Norm_Stats!$G$14)-Norm_Stats!$F$14)/(Norm_Stats!$G$14-Norm_Stats!$F$14))))</f>
        <v/>
      </c>
      <c r="AJ37" s="14">
        <f>IF(AI37="","",1)</f>
        <v/>
      </c>
      <c r="AK37" s="11">
        <f>IF((IF((IF(OR(City_Inputs!$AA37="",Norm_Stats!$F$15="",Norm_Stats!$G$15="",Norm_Stats!$G$15=Norm_Stats!$F$15),"",MAX(0,MIN(100,100*(MIN(MAX(City_Inputs!$AA37,Norm_Stats!$F$15),Norm_Stats!$G$15)-Norm_Stats!$F$15)/(Norm_Stats!$G$15-Norm_Stats!$F$15)))))="",0,0.7)+IF((IF(OR(City_Inputs!$AL37="",Norm_Stats!$F$16="",Norm_Stats!$G$16="",Norm_Stats!$G$16=Norm_Stats!$F$16),"",MAX(0,MIN(100,100*(Norm_Stats!$G$16-MIN(MAX(City_Inputs!$AL37,Norm_Stats!$F$16),Norm_Stats!$G$16))/(Norm_Stats!$G$16-Norm_Stats!$F$16)))))="",0,0.3))=0,"",(IF((IF(OR(City_Inputs!$AA37="",Norm_Stats!$F$15="",Norm_Stats!$G$15="",Norm_Stats!$G$15=Norm_Stats!$F$15),"",MAX(0,MIN(100,100*(MIN(MAX(City_Inputs!$AA37,Norm_Stats!$F$15),Norm_Stats!$G$15)-Norm_Stats!$F$15)/(Norm_Stats!$G$15-Norm_Stats!$F$15)))))="",0,(IF(OR(City_Inputs!$AA37="",Norm_Stats!$F$15="",Norm_Stats!$G$15="",Norm_Stats!$G$15=Norm_Stats!$F$15),"",MAX(0,MIN(100,100*(MIN(MAX(City_Inputs!$AA37,Norm_Stats!$F$15),Norm_Stats!$G$15)-Norm_Stats!$F$15)/(Norm_Stats!$G$15-Norm_Stats!$F$15)))))*0.7)+IF((IF(OR(City_Inputs!$AL37="",Norm_Stats!$F$16="",Norm_Stats!$G$16="",Norm_Stats!$G$16=Norm_Stats!$F$16),"",MAX(0,MIN(100,100*(Norm_Stats!$G$16-MIN(MAX(City_Inputs!$AL37,Norm_Stats!$F$16),Norm_Stats!$G$16))/(Norm_Stats!$G$16-Norm_Stats!$F$16)))))="",0,(IF(OR(City_Inputs!$AL37="",Norm_Stats!$F$16="",Norm_Stats!$G$16="",Norm_Stats!$G$16=Norm_Stats!$F$16),"",MAX(0,MIN(100,100*(Norm_Stats!$G$16-MIN(MAX(City_Inputs!$AL37,Norm_Stats!$F$16),Norm_Stats!$G$16))/(Norm_Stats!$G$16-Norm_Stats!$F$16)))))*0.3))/(IF((IF(OR(City_Inputs!$AA37="",Norm_Stats!$F$15="",Norm_Stats!$G$15="",Norm_Stats!$G$15=Norm_Stats!$F$15),"",MAX(0,MIN(100,100*(MIN(MAX(City_Inputs!$AA37,Norm_Stats!$F$15),Norm_Stats!$G$15)-Norm_Stats!$F$15)/(Norm_Stats!$G$15-Norm_Stats!$F$15)))))="",0,0.7)+IF((IF(OR(City_Inputs!$AL37="",Norm_Stats!$F$16="",Norm_Stats!$G$16="",Norm_Stats!$G$16=Norm_Stats!$F$16),"",MAX(0,MIN(100,100*(Norm_Stats!$G$16-MIN(MAX(City_Inputs!$AL37,Norm_Stats!$F$16),Norm_Stats!$G$16))/(Norm_Stats!$G$16-Norm_Stats!$F$16)))))="",0,0.3)))</f>
        <v/>
      </c>
      <c r="AL37" s="14">
        <f>IF((IF((IF(OR(City_Inputs!$AA37="",Norm_Stats!$F$15="",Norm_Stats!$G$15="",Norm_Stats!$G$15=Norm_Stats!$F$15),"",MAX(0,MIN(100,100*(MIN(MAX(City_Inputs!$AA37,Norm_Stats!$F$15),Norm_Stats!$G$15)-Norm_Stats!$F$15)/(Norm_Stats!$G$15-Norm_Stats!$F$15)))))="",0,0.7)+IF((IF(OR(City_Inputs!$AL37="",Norm_Stats!$F$16="",Norm_Stats!$G$16="",Norm_Stats!$G$16=Norm_Stats!$F$16),"",MAX(0,MIN(100,100*(Norm_Stats!$G$16-MIN(MAX(City_Inputs!$AL37,Norm_Stats!$F$16),Norm_Stats!$G$16))/(Norm_Stats!$G$16-Norm_Stats!$F$16)))))="",0,0.3))=0,"",(IF((IF(OR(City_Inputs!$AA37="",Norm_Stats!$F$15="",Norm_Stats!$G$15="",Norm_Stats!$G$15=Norm_Stats!$F$15),"",MAX(0,MIN(100,100*(MIN(MAX(City_Inputs!$AA37,Norm_Stats!$F$15),Norm_Stats!$G$15)-Norm_Stats!$F$15)/(Norm_Stats!$G$15-Norm_Stats!$F$15)))))="",0,0.7)+IF((IF(OR(City_Inputs!$AL37="",Norm_Stats!$F$16="",Norm_Stats!$G$16="",Norm_Stats!$G$16=Norm_Stats!$F$16),"",MAX(0,MIN(100,100*(Norm_Stats!$G$16-MIN(MAX(City_Inputs!$AL37,Norm_Stats!$F$16),Norm_Stats!$G$16))/(Norm_Stats!$G$16-Norm_Stats!$F$16)))))="",0,0.3)))</f>
        <v/>
      </c>
      <c r="AM37" s="15">
        <f>IF((IF(AG37="",0,8)+IF(AI37="",0,6)+IF(AK37="",0,4))=0,"",(IF(AG37="",0,AG37*8)+IF(AI37="",0,AI37*6)+IF(AK37="",0,AK37*4))/(IF(AG37="",0,8)+IF(AI37="",0,6)+IF(AK37="",0,4)))</f>
        <v/>
      </c>
      <c r="AN37" s="14">
        <f>IF((IF(AH37="",0,8)+IF(AJ37="",0,6)+IF(AL37="",0,4))=0,"",(IF(AH37="",0,AH37*8)+IF(AJ37="",0,AJ37*6)+IF(AL37="",0,AL37*4))/18)</f>
        <v/>
      </c>
      <c r="AO37" s="11">
        <f>IF(OR(City_Inputs!$AB37="",Norm_Stats!$F$17="",Norm_Stats!$G$17="",Norm_Stats!$G$17=Norm_Stats!$F$17),"",MAX(0,MIN(100,100*(MIN(MAX(City_Inputs!$AB37,Norm_Stats!$F$17),Norm_Stats!$G$17)-Norm_Stats!$F$17)/(Norm_Stats!$G$17-Norm_Stats!$F$17))))</f>
        <v/>
      </c>
      <c r="AP37" s="14">
        <f>IF(AO37="","",1)</f>
        <v/>
      </c>
      <c r="AQ37" s="11">
        <f>IF(OR(City_Inputs!$AC37="",Norm_Stats!$F$18="",Norm_Stats!$G$18="",Norm_Stats!$G$18=Norm_Stats!$F$18),"",MAX(0,MIN(100,100*(MIN(MAX(City_Inputs!$AC37,Norm_Stats!$F$18),Norm_Stats!$G$18)-Norm_Stats!$F$18)/(Norm_Stats!$G$18-Norm_Stats!$F$18))))</f>
        <v/>
      </c>
      <c r="AR37" s="14">
        <f>IF(AQ37="","",1)</f>
        <v/>
      </c>
      <c r="AS37" s="11">
        <f>IF(OR(City_Inputs!$AD37="",Norm_Stats!$F$19="",Norm_Stats!$G$19="",Norm_Stats!$G$19=Norm_Stats!$F$19),"",MAX(0,MIN(100,100*(MIN(MAX(City_Inputs!$AD37,Norm_Stats!$F$19),Norm_Stats!$G$19)-Norm_Stats!$F$19)/(Norm_Stats!$G$19-Norm_Stats!$F$19))))</f>
        <v/>
      </c>
      <c r="AT37" s="14">
        <f>IF(AS37="","",1)</f>
        <v/>
      </c>
      <c r="AU37" s="11">
        <f>IF(OR(City_Inputs!$BJ37="",Norm_Stats!$F$26="",Norm_Stats!$G$26="",Norm_Stats!$G$26=Norm_Stats!$F$26),"",MAX(0,MIN(100,100*(MIN(MAX(City_Inputs!$BJ37,Norm_Stats!$F$26),Norm_Stats!$G$26)-Norm_Stats!$F$26)/(Norm_Stats!$G$26-Norm_Stats!$F$26))))</f>
        <v/>
      </c>
      <c r="AV37" s="11">
        <f>IF(AU37="","",1)</f>
        <v/>
      </c>
      <c r="AW37" s="15">
        <f>IF((IF(AO37="",0,5)+IF(AQ37="",0,5)+IF(AS37="",0,5)+IF(AU37="",0,4))=0,"",(IF(AO37="",0,AO37*5)+IF(AQ37="",0,AQ37*5)+IF(AS37="",0,AS37*5)+IF(AU37="",0,AU37*4))/(IF(AO37="",0,5)+IF(AQ37="",0,5)+IF(AS37="",0,5)+IF(AU37="",0,4)))</f>
        <v/>
      </c>
      <c r="AX37" s="14">
        <f>IF((IF(AP37="",0,5)+IF(AR37="",0,5)+IF(AT37="",0,5)+IF(AV37="",0,4))=0,"",(IF(AP37="",0,AP37*5)+IF(AR37="",0,AR37*5)+IF(AT37="",0,AT37*5)+IF(AV37="",0,AV37*4))/19)</f>
        <v/>
      </c>
      <c r="AY37" s="11">
        <f>IF(OR(City_Inputs!$AE37="",Norm_Stats!$F$20="",Norm_Stats!$G$20="",Norm_Stats!$G$20=Norm_Stats!$F$20),"",MAX(0,MIN(100,100*(MIN(MAX(City_Inputs!$AE37,Norm_Stats!$F$20),Norm_Stats!$G$20)-Norm_Stats!$F$20)/(Norm_Stats!$G$20-Norm_Stats!$F$20))))</f>
        <v/>
      </c>
      <c r="AZ37" s="14">
        <f>IF(AY37="","",1)</f>
        <v/>
      </c>
      <c r="BA37" s="11">
        <f>IF(OR(City_Inputs!$AF37="",Norm_Stats!$F$21="",Norm_Stats!$G$21="",Norm_Stats!$G$21=Norm_Stats!$F$21),"",MAX(0,MIN(100,100*(MIN(MAX(City_Inputs!$AF37,Norm_Stats!$F$21),Norm_Stats!$G$21)-Norm_Stats!$F$21)/(Norm_Stats!$G$21-Norm_Stats!$F$21))))</f>
        <v/>
      </c>
      <c r="BB37" s="14">
        <f>IF(BA37="","",1)</f>
        <v/>
      </c>
      <c r="BC37" s="11">
        <f>IF((IF((IF(OR(City_Inputs!$AG37="",Norm_Stats!$F$22="",Norm_Stats!$G$22="",Norm_Stats!$G$22=Norm_Stats!$F$22),"",MAX(0,MIN(100,100*(MIN(MAX(City_Inputs!$AG37,Norm_Stats!$F$22),Norm_Stats!$G$22)-Norm_Stats!$F$22)/(Norm_Stats!$G$22-Norm_Stats!$F$22)))))="",0,0.5)+IF((IF(OR(City_Inputs!$AJ37="",Norm_Stats!$F$23="",Norm_Stats!$G$23="",Norm_Stats!$G$23=Norm_Stats!$F$23),"",MAX(0,MIN(100,100*(MIN(MAX(City_Inputs!$AJ37,Norm_Stats!$F$23),Norm_Stats!$G$23)-Norm_Stats!$F$23)/(Norm_Stats!$G$23-Norm_Stats!$F$23)))))="",0,0.3)+IF((IF(OR(City_Inputs!$AK37="",Norm_Stats!$F$24="",Norm_Stats!$G$24="",Norm_Stats!$G$24=Norm_Stats!$F$24),"",MAX(0,MIN(100,100*(MIN(MAX(City_Inputs!$AK37,Norm_Stats!$F$24),Norm_Stats!$G$24)-Norm_Stats!$F$24)/(Norm_Stats!$G$24-Norm_Stats!$F$24)))))="",0,0.2))=0,"",(IF((IF(OR(City_Inputs!$AG37="",Norm_Stats!$F$22="",Norm_Stats!$G$22="",Norm_Stats!$G$22=Norm_Stats!$F$22),"",MAX(0,MIN(100,100*(MIN(MAX(City_Inputs!$AG37,Norm_Stats!$F$22),Norm_Stats!$G$22)-Norm_Stats!$F$22)/(Norm_Stats!$G$22-Norm_Stats!$F$22)))))="",0,(IF(OR(City_Inputs!$AG37="",Norm_Stats!$F$22="",Norm_Stats!$G$22="",Norm_Stats!$G$22=Norm_Stats!$F$22),"",MAX(0,MIN(100,100*(MIN(MAX(City_Inputs!$AG37,Norm_Stats!$F$22),Norm_Stats!$G$22)-Norm_Stats!$F$22)/(Norm_Stats!$G$22-Norm_Stats!$F$22)))))*0.5)+IF((IF(OR(City_Inputs!$AJ37="",Norm_Stats!$F$23="",Norm_Stats!$G$23="",Norm_Stats!$G$23=Norm_Stats!$F$23),"",MAX(0,MIN(100,100*(MIN(MAX(City_Inputs!$AJ37,Norm_Stats!$F$23),Norm_Stats!$G$23)-Norm_Stats!$F$23)/(Norm_Stats!$G$23-Norm_Stats!$F$23)))))="",0,(IF(OR(City_Inputs!$AJ37="",Norm_Stats!$F$23="",Norm_Stats!$G$23="",Norm_Stats!$G$23=Norm_Stats!$F$23),"",MAX(0,MIN(100,100*(MIN(MAX(City_Inputs!$AJ37,Norm_Stats!$F$23),Norm_Stats!$G$23)-Norm_Stats!$F$23)/(Norm_Stats!$G$23-Norm_Stats!$F$23)))))*0.3)+IF((IF(OR(City_Inputs!$AK37="",Norm_Stats!$F$24="",Norm_Stats!$G$24="",Norm_Stats!$G$24=Norm_Stats!$F$24),"",MAX(0,MIN(100,100*(MIN(MAX(City_Inputs!$AK37,Norm_Stats!$F$24),Norm_Stats!$G$24)-Norm_Stats!$F$24)/(Norm_Stats!$G$24-Norm_Stats!$F$24)))))="",0,(IF(OR(City_Inputs!$AK37="",Norm_Stats!$F$24="",Norm_Stats!$G$24="",Norm_Stats!$G$24=Norm_Stats!$F$24),"",MAX(0,MIN(100,100*(MIN(MAX(City_Inputs!$AK37,Norm_Stats!$F$24),Norm_Stats!$G$24)-Norm_Stats!$F$24)/(Norm_Stats!$G$24-Norm_Stats!$F$24)))))*0.2))/(IF((IF(OR(City_Inputs!$AG37="",Norm_Stats!$F$22="",Norm_Stats!$G$22="",Norm_Stats!$G$22=Norm_Stats!$F$22),"",MAX(0,MIN(100,100*(MIN(MAX(City_Inputs!$AG37,Norm_Stats!$F$22),Norm_Stats!$G$22)-Norm_Stats!$F$22)/(Norm_Stats!$G$22-Norm_Stats!$F$22)))))="",0,0.5)+IF((IF(OR(City_Inputs!$AJ37="",Norm_Stats!$F$23="",Norm_Stats!$G$23="",Norm_Stats!$G$23=Norm_Stats!$F$23),"",MAX(0,MIN(100,100*(MIN(MAX(City_Inputs!$AJ37,Norm_Stats!$F$23),Norm_Stats!$G$23)-Norm_Stats!$F$23)/(Norm_Stats!$G$23-Norm_Stats!$F$23)))))="",0,0.3)+IF((IF(OR(City_Inputs!$AK37="",Norm_Stats!$F$24="",Norm_Stats!$G$24="",Norm_Stats!$G$24=Norm_Stats!$F$24),"",MAX(0,MIN(100,100*(MIN(MAX(City_Inputs!$AK37,Norm_Stats!$F$24),Norm_Stats!$G$24)-Norm_Stats!$F$24)/(Norm_Stats!$G$24-Norm_Stats!$F$24)))))="",0,0.2)))</f>
        <v/>
      </c>
      <c r="BD37" s="14">
        <f>IF((IF((IF(OR(City_Inputs!$AG37="",Norm_Stats!$F$22="",Norm_Stats!$G$22="",Norm_Stats!$G$22=Norm_Stats!$F$22),"",MAX(0,MIN(100,100*(MIN(MAX(City_Inputs!$AG37,Norm_Stats!$F$22),Norm_Stats!$G$22)-Norm_Stats!$F$22)/(Norm_Stats!$G$22-Norm_Stats!$F$22)))))="",0,0.5)+IF((IF(OR(City_Inputs!$AJ37="",Norm_Stats!$F$23="",Norm_Stats!$G$23="",Norm_Stats!$G$23=Norm_Stats!$F$23),"",MAX(0,MIN(100,100*(MIN(MAX(City_Inputs!$AJ37,Norm_Stats!$F$23),Norm_Stats!$G$23)-Norm_Stats!$F$23)/(Norm_Stats!$G$23-Norm_Stats!$F$23)))))="",0,0.3)+IF((IF(OR(City_Inputs!$AK37="",Norm_Stats!$F$24="",Norm_Stats!$G$24="",Norm_Stats!$G$24=Norm_Stats!$F$24),"",MAX(0,MIN(100,100*(MIN(MAX(City_Inputs!$AK37,Norm_Stats!$F$24),Norm_Stats!$G$24)-Norm_Stats!$F$24)/(Norm_Stats!$G$24-Norm_Stats!$F$24)))))="",0,0.2))=0,"",(IF((IF(OR(City_Inputs!$AG37="",Norm_Stats!$F$22="",Norm_Stats!$G$22="",Norm_Stats!$G$22=Norm_Stats!$F$22),"",MAX(0,MIN(100,100*(MIN(MAX(City_Inputs!$AG37,Norm_Stats!$F$22),Norm_Stats!$G$22)-Norm_Stats!$F$22)/(Norm_Stats!$G$22-Norm_Stats!$F$22)))))="",0,0.5)+IF((IF(OR(City_Inputs!$AJ37="",Norm_Stats!$F$23="",Norm_Stats!$G$23="",Norm_Stats!$G$23=Norm_Stats!$F$23),"",MAX(0,MIN(100,100*(MIN(MAX(City_Inputs!$AJ37,Norm_Stats!$F$23),Norm_Stats!$G$23)-Norm_Stats!$F$23)/(Norm_Stats!$G$23-Norm_Stats!$F$23)))))="",0,0.3)+IF((IF(OR(City_Inputs!$AK37="",Norm_Stats!$F$24="",Norm_Stats!$G$24="",Norm_Stats!$G$24=Norm_Stats!$F$24),"",MAX(0,MIN(100,100*(MIN(MAX(City_Inputs!$AK37,Norm_Stats!$F$24),Norm_Stats!$G$24)-Norm_Stats!$F$24)/(Norm_Stats!$G$24-Norm_Stats!$F$24)))))="",0,0.2)))</f>
        <v/>
      </c>
      <c r="BE37" s="11">
        <f>IF(OR(City_Inputs!$AH37="",Norm_Stats!$F$25="",Norm_Stats!$G$25="",Norm_Stats!$G$25=Norm_Stats!$F$25),"",MAX(0,MIN(100,100*(Norm_Stats!$G$25-MIN(MAX(City_Inputs!$AH37,Norm_Stats!$F$25),Norm_Stats!$G$25))/(Norm_Stats!$G$25-Norm_Stats!$F$25))))</f>
        <v/>
      </c>
      <c r="BF37" s="14">
        <f>IF(BE37="","",1)</f>
        <v/>
      </c>
      <c r="BG37" s="15">
        <f>IF((IF(AY37="",0,6)+IF(BA37="",0,5)+IF(BC37="",0,5)+IF(BE37="",0,4))=0,"",(IF(AY37="",0,AY37*6)+IF(BA37="",0,BA37*5)+IF(BC37="",0,BC37*5)+IF(BE37="",0,BE37*4))/(IF(AY37="",0,6)+IF(BA37="",0,5)+IF(BC37="",0,5)+IF(BE37="",0,4)))</f>
        <v/>
      </c>
      <c r="BH37" s="14">
        <f>IF((IF(AZ37="",0,6)+IF(BB37="",0,5)+IF(BD37="",0,5)+IF(BF37="",0,4))=0,"",(IF(AZ37="",0,AZ37*6)+IF(BB37="",0,BB37*5)+IF(BD37="",0,BD37*5)+IF(BF37="",0,BF37*4))/20)</f>
        <v/>
      </c>
      <c r="BI37" s="14">
        <f>IF(AND(R37="",AF37="",AN37="",AX37="",BH37=""),"",((R37*25)+(AF37*22)+(AN37*18)+(AX37*15)+(BH37*20))/100)</f>
        <v/>
      </c>
      <c r="BJ37" s="11">
        <f>IF(BI37="","",IF(BI37&gt;=0.75,"A",IF(BI37&gt;=0.5,"B",IF(BI37&gt;=0.35,"C","Watchlist"))))</f>
        <v/>
      </c>
      <c r="BK37" s="11">
        <f>IF(OR(BI37="",BI37&lt;0.5,R37="",R37&lt;0.35,AF37="",AF37&lt;0.35,AN37="",AN37&lt;0.35,AX37="",AX37&lt;0.35,BH37="",BH37&lt;0.35),"Watchlist","Ranked")</f>
        <v/>
      </c>
      <c r="BL37" s="15">
        <f>IF(AND(Q37="",AE37="",AM37="",AW37="",BG37=""),"",(IF(Q37="",0,Q37*25)+IF(AE37="",0,AE37*22)+IF(AM37="",0,AM37*18)+IF(AW37="",0,AW37*15)+IF(BG37="",0,BG37*20))/(IF(Q37="",0,25)+IF(AE37="",0,22)+IF(AM37="",0,18)+IF(AW37="",0,15)+IF(BG37="",0,20)))</f>
        <v/>
      </c>
      <c r="BM37" s="11">
        <f>IF(BK37="Ranked",1+COUNTIFS($BK$2:$BK$158,"Ranked",$BL$2:$BL$158,"&gt;"&amp;BL37),"")</f>
        <v/>
      </c>
      <c r="BN37" s="11">
        <f>City_Inputs!$AI37</f>
        <v/>
      </c>
    </row>
    <row r="38">
      <c r="A38" t="inlineStr">
        <is>
          <t>mv-male</t>
        </is>
      </c>
      <c r="B38" t="inlineStr">
        <is>
          <t>Male</t>
        </is>
      </c>
      <c r="C38" t="inlineStr">
        <is>
          <t>Maldives</t>
        </is>
      </c>
      <c r="D38" t="inlineStr">
        <is>
          <t>South Asia</t>
        </is>
      </c>
      <c r="E38" t="inlineStr">
        <is>
          <t>locked</t>
        </is>
      </c>
      <c r="F38" t="inlineStr">
        <is>
          <t>secondary</t>
        </is>
      </c>
      <c r="G38" s="11">
        <f>IF(OR(City_Inputs!$M38="",Norm_Stats!$F$2="",Norm_Stats!$G$2="",Norm_Stats!$G$2=Norm_Stats!$F$2),"",MAX(0,MIN(100,100*(MIN(MAX(City_Inputs!$M38,Norm_Stats!$F$2),Norm_Stats!$G$2)-Norm_Stats!$F$2)/(Norm_Stats!$G$2-Norm_Stats!$F$2))))</f>
        <v/>
      </c>
      <c r="H38" s="14">
        <f>IF(G38="","",1)</f>
        <v/>
      </c>
      <c r="I38" s="11">
        <f>IF(OR(City_Inputs!$N38="",Norm_Stats!$F$3="",Norm_Stats!$G$3="",Norm_Stats!$G$3=Norm_Stats!$F$3),"",MAX(0,MIN(100,100*(Norm_Stats!$G$3-MIN(MAX(City_Inputs!$N38,Norm_Stats!$F$3),Norm_Stats!$G$3))/(Norm_Stats!$G$3-Norm_Stats!$F$3))))</f>
        <v/>
      </c>
      <c r="J38" s="14">
        <f>IF(I38="","",1)</f>
        <v/>
      </c>
      <c r="K38" s="11">
        <f>IF(OR(City_Inputs!$P38="",Norm_Stats!$F$4="",Norm_Stats!$G$4="",Norm_Stats!$G$4=Norm_Stats!$F$4),"",MAX(0,MIN(100,100*(Norm_Stats!$G$4-MIN(MAX(City_Inputs!$P38,Norm_Stats!$F$4),Norm_Stats!$G$4))/(Norm_Stats!$G$4-Norm_Stats!$F$4))))</f>
        <v/>
      </c>
      <c r="L38" s="14">
        <f>IF(K38="","",1)</f>
        <v/>
      </c>
      <c r="M38" s="11">
        <f>IF(OR(City_Inputs!$Q38="",Norm_Stats!$F$5="",Norm_Stats!$G$5="",Norm_Stats!$G$5=Norm_Stats!$F$5),"",MAX(0,MIN(100,100*(Norm_Stats!$G$5-MIN(MAX(City_Inputs!$Q38,Norm_Stats!$F$5),Norm_Stats!$G$5))/(Norm_Stats!$G$5-Norm_Stats!$F$5))))</f>
        <v/>
      </c>
      <c r="N38" s="14">
        <f>IF(M38="","",1)</f>
        <v/>
      </c>
      <c r="O38" s="11">
        <f>IF(OR(City_Inputs!$R38="",Norm_Stats!$F$6="",Norm_Stats!$G$6="",Norm_Stats!$G$6=Norm_Stats!$F$6),"",MAX(0,MIN(100,100*(Norm_Stats!$G$6-MIN(MAX(City_Inputs!$R38,Norm_Stats!$F$6),Norm_Stats!$G$6))/(Norm_Stats!$G$6-Norm_Stats!$F$6))))</f>
        <v/>
      </c>
      <c r="P38" s="14">
        <f>IF(O38="","",1)</f>
        <v/>
      </c>
      <c r="Q38" s="15">
        <f>IF((IF(G38="",0,9)+IF(I38="",0,5)+IF(K38="",0,4)+IF(M38="",0,4)+IF(O38="",0,5))=0,"",(IF(G38="",0,G38*9)+IF(I38="",0,I38*5)+IF(K38="",0,K38*4)+IF(M38="",0,M38*4)+IF(O38="",0,O38*5))/(IF(G38="",0,9)+IF(I38="",0,5)+IF(K38="",0,4)+IF(M38="",0,4)+IF(O38="",0,5)))</f>
        <v/>
      </c>
      <c r="R38" s="14">
        <f>IF((IF(H38="",0,9)+IF(J38="",0,5)+IF(L38="",0,4)+IF(N38="",0,4)+IF(P38="",0,5))=0,"",(IF(H38="",0,H38*9)+IF(J38="",0,J38*5)+IF(L38="",0,L38*4)+IF(N38="",0,N38*4)+IF(P38="",0,P38*5))/27)</f>
        <v/>
      </c>
      <c r="S38" s="11">
        <f>IF(OR(City_Inputs!$S38="",Norm_Stats!$F$7="",Norm_Stats!$G$7="",Norm_Stats!$G$7=Norm_Stats!$F$7),"",MAX(0,MIN(100,100*(Norm_Stats!$G$7-MIN(MAX(City_Inputs!$S38,Norm_Stats!$F$7),Norm_Stats!$G$7))/(Norm_Stats!$G$7-Norm_Stats!$F$7))))</f>
        <v/>
      </c>
      <c r="T38" s="14">
        <f>IF(S38="","",1)</f>
        <v/>
      </c>
      <c r="U38" s="11">
        <f>IF(OR(City_Inputs!$T38="",Norm_Stats!$F$8="",Norm_Stats!$G$8="",Norm_Stats!$G$8=Norm_Stats!$F$8),"",MAX(0,MIN(100,100*(MIN(MAX(City_Inputs!$T38,Norm_Stats!$F$8),Norm_Stats!$G$8)-Norm_Stats!$F$8)/(Norm_Stats!$G$8-Norm_Stats!$F$8))))</f>
        <v/>
      </c>
      <c r="V38" s="14">
        <f>IF(U38="","",1)</f>
        <v/>
      </c>
      <c r="W38" s="11">
        <f>IF(OR(City_Inputs!$U38="",Norm_Stats!$F$9="",Norm_Stats!$G$9="",Norm_Stats!$G$9=Norm_Stats!$F$9),"",MAX(0,MIN(100,100*(Norm_Stats!$G$9-MIN(MAX(City_Inputs!$U38,Norm_Stats!$F$9),Norm_Stats!$G$9))/(Norm_Stats!$G$9-Norm_Stats!$F$9))))</f>
        <v/>
      </c>
      <c r="X38" s="14">
        <f>IF(W38="","",1)</f>
        <v/>
      </c>
      <c r="Y38" s="11">
        <f>IF(OR(City_Inputs!$V38="",Norm_Stats!$F$10="",Norm_Stats!$G$10="",Norm_Stats!$G$10=Norm_Stats!$F$10),"",MAX(0,MIN(100,100*(MIN(MAX(City_Inputs!$V38,Norm_Stats!$F$10),Norm_Stats!$G$10)-Norm_Stats!$F$10)/(Norm_Stats!$G$10-Norm_Stats!$F$10))))</f>
        <v/>
      </c>
      <c r="Z38" s="14">
        <f>IF(Y38="","",1)</f>
        <v/>
      </c>
      <c r="AA38" s="11">
        <f>IF(OR(City_Inputs!$W38="",Norm_Stats!$F$11="",Norm_Stats!$G$11="",Norm_Stats!$G$11=Norm_Stats!$F$11),"",MAX(0,MIN(100,100*(MIN(MAX(City_Inputs!$W38,Norm_Stats!$F$11),Norm_Stats!$G$11)-Norm_Stats!$F$11)/(Norm_Stats!$G$11-Norm_Stats!$F$11))))</f>
        <v/>
      </c>
      <c r="AB38" s="14">
        <f>IF(AA38="","",1)</f>
        <v/>
      </c>
      <c r="AC38" s="11">
        <f>IF(OR(City_Inputs!$X38="",Norm_Stats!$F$12="",Norm_Stats!$G$12="",Norm_Stats!$G$12=Norm_Stats!$F$12),"",MAX(0,MIN(100,100*(MIN(MAX(City_Inputs!$X38,Norm_Stats!$F$12),Norm_Stats!$G$12)-Norm_Stats!$F$12)/(Norm_Stats!$G$12-Norm_Stats!$F$12))))</f>
        <v/>
      </c>
      <c r="AD38" s="11">
        <f>IF(AC38="","",1)</f>
        <v/>
      </c>
      <c r="AE38" s="15">
        <f>IF((IF(S38="",0,5)+IF(U38="",0,5)+IF(W38="",0,4)+IF(Y38="",0,4)+IF(AA38="",0,4)+IF(AC38="",0,5))=0,"",(IF(S38="",0,S38*5)+IF(U38="",0,U38*5)+IF(W38="",0,W38*4)+IF(Y38="",0,Y38*4)+IF(AA38="",0,AA38*4)+IF(AC38="",0,AC38*5))/(IF(S38="",0,5)+IF(U38="",0,5)+IF(W38="",0,4)+IF(Y38="",0,4)+IF(AA38="",0,4)+IF(AC38="",0,5)))</f>
        <v/>
      </c>
      <c r="AF38" s="14">
        <f>IF((IF(T38="",0,5)+IF(V38="",0,5)+IF(X38="",0,4)+IF(Z38="",0,4)+IF(AB38="",0,4)+IF(AD38="",0,5))=0,"",(IF(T38="",0,T38*5)+IF(V38="",0,V38*5)+IF(X38="",0,X38*4)+IF(Z38="",0,Z38*4)+IF(AB38="",0,AB38*4)+IF(AD38="",0,AD38*5))/27)</f>
        <v/>
      </c>
      <c r="AG38" s="11">
        <f>IF(OR(City_Inputs!$Y38="",Norm_Stats!$F$13="",Norm_Stats!$G$13="",Norm_Stats!$G$13=Norm_Stats!$F$13),"",MAX(0,MIN(100,100*(MIN(MAX(City_Inputs!$Y38,Norm_Stats!$F$13),Norm_Stats!$G$13)-Norm_Stats!$F$13)/(Norm_Stats!$G$13-Norm_Stats!$F$13))))</f>
        <v/>
      </c>
      <c r="AH38" s="14">
        <f>IF(AG38="","",1)</f>
        <v/>
      </c>
      <c r="AI38" s="11">
        <f>IF(OR(City_Inputs!$Z38="",Norm_Stats!$F$14="",Norm_Stats!$G$14="",Norm_Stats!$G$14=Norm_Stats!$F$14),"",MAX(0,MIN(100,100*(MIN(MAX(City_Inputs!$Z38,Norm_Stats!$F$14),Norm_Stats!$G$14)-Norm_Stats!$F$14)/(Norm_Stats!$G$14-Norm_Stats!$F$14))))</f>
        <v/>
      </c>
      <c r="AJ38" s="14">
        <f>IF(AI38="","",1)</f>
        <v/>
      </c>
      <c r="AK38" s="11">
        <f>IF((IF((IF(OR(City_Inputs!$AA38="",Norm_Stats!$F$15="",Norm_Stats!$G$15="",Norm_Stats!$G$15=Norm_Stats!$F$15),"",MAX(0,MIN(100,100*(MIN(MAX(City_Inputs!$AA38,Norm_Stats!$F$15),Norm_Stats!$G$15)-Norm_Stats!$F$15)/(Norm_Stats!$G$15-Norm_Stats!$F$15)))))="",0,0.7)+IF((IF(OR(City_Inputs!$AL38="",Norm_Stats!$F$16="",Norm_Stats!$G$16="",Norm_Stats!$G$16=Norm_Stats!$F$16),"",MAX(0,MIN(100,100*(Norm_Stats!$G$16-MIN(MAX(City_Inputs!$AL38,Norm_Stats!$F$16),Norm_Stats!$G$16))/(Norm_Stats!$G$16-Norm_Stats!$F$16)))))="",0,0.3))=0,"",(IF((IF(OR(City_Inputs!$AA38="",Norm_Stats!$F$15="",Norm_Stats!$G$15="",Norm_Stats!$G$15=Norm_Stats!$F$15),"",MAX(0,MIN(100,100*(MIN(MAX(City_Inputs!$AA38,Norm_Stats!$F$15),Norm_Stats!$G$15)-Norm_Stats!$F$15)/(Norm_Stats!$G$15-Norm_Stats!$F$15)))))="",0,(IF(OR(City_Inputs!$AA38="",Norm_Stats!$F$15="",Norm_Stats!$G$15="",Norm_Stats!$G$15=Norm_Stats!$F$15),"",MAX(0,MIN(100,100*(MIN(MAX(City_Inputs!$AA38,Norm_Stats!$F$15),Norm_Stats!$G$15)-Norm_Stats!$F$15)/(Norm_Stats!$G$15-Norm_Stats!$F$15)))))*0.7)+IF((IF(OR(City_Inputs!$AL38="",Norm_Stats!$F$16="",Norm_Stats!$G$16="",Norm_Stats!$G$16=Norm_Stats!$F$16),"",MAX(0,MIN(100,100*(Norm_Stats!$G$16-MIN(MAX(City_Inputs!$AL38,Norm_Stats!$F$16),Norm_Stats!$G$16))/(Norm_Stats!$G$16-Norm_Stats!$F$16)))))="",0,(IF(OR(City_Inputs!$AL38="",Norm_Stats!$F$16="",Norm_Stats!$G$16="",Norm_Stats!$G$16=Norm_Stats!$F$16),"",MAX(0,MIN(100,100*(Norm_Stats!$G$16-MIN(MAX(City_Inputs!$AL38,Norm_Stats!$F$16),Norm_Stats!$G$16))/(Norm_Stats!$G$16-Norm_Stats!$F$16)))))*0.3))/(IF((IF(OR(City_Inputs!$AA38="",Norm_Stats!$F$15="",Norm_Stats!$G$15="",Norm_Stats!$G$15=Norm_Stats!$F$15),"",MAX(0,MIN(100,100*(MIN(MAX(City_Inputs!$AA38,Norm_Stats!$F$15),Norm_Stats!$G$15)-Norm_Stats!$F$15)/(Norm_Stats!$G$15-Norm_Stats!$F$15)))))="",0,0.7)+IF((IF(OR(City_Inputs!$AL38="",Norm_Stats!$F$16="",Norm_Stats!$G$16="",Norm_Stats!$G$16=Norm_Stats!$F$16),"",MAX(0,MIN(100,100*(Norm_Stats!$G$16-MIN(MAX(City_Inputs!$AL38,Norm_Stats!$F$16),Norm_Stats!$G$16))/(Norm_Stats!$G$16-Norm_Stats!$F$16)))))="",0,0.3)))</f>
        <v/>
      </c>
      <c r="AL38" s="14">
        <f>IF((IF((IF(OR(City_Inputs!$AA38="",Norm_Stats!$F$15="",Norm_Stats!$G$15="",Norm_Stats!$G$15=Norm_Stats!$F$15),"",MAX(0,MIN(100,100*(MIN(MAX(City_Inputs!$AA38,Norm_Stats!$F$15),Norm_Stats!$G$15)-Norm_Stats!$F$15)/(Norm_Stats!$G$15-Norm_Stats!$F$15)))))="",0,0.7)+IF((IF(OR(City_Inputs!$AL38="",Norm_Stats!$F$16="",Norm_Stats!$G$16="",Norm_Stats!$G$16=Norm_Stats!$F$16),"",MAX(0,MIN(100,100*(Norm_Stats!$G$16-MIN(MAX(City_Inputs!$AL38,Norm_Stats!$F$16),Norm_Stats!$G$16))/(Norm_Stats!$G$16-Norm_Stats!$F$16)))))="",0,0.3))=0,"",(IF((IF(OR(City_Inputs!$AA38="",Norm_Stats!$F$15="",Norm_Stats!$G$15="",Norm_Stats!$G$15=Norm_Stats!$F$15),"",MAX(0,MIN(100,100*(MIN(MAX(City_Inputs!$AA38,Norm_Stats!$F$15),Norm_Stats!$G$15)-Norm_Stats!$F$15)/(Norm_Stats!$G$15-Norm_Stats!$F$15)))))="",0,0.7)+IF((IF(OR(City_Inputs!$AL38="",Norm_Stats!$F$16="",Norm_Stats!$G$16="",Norm_Stats!$G$16=Norm_Stats!$F$16),"",MAX(0,MIN(100,100*(Norm_Stats!$G$16-MIN(MAX(City_Inputs!$AL38,Norm_Stats!$F$16),Norm_Stats!$G$16))/(Norm_Stats!$G$16-Norm_Stats!$F$16)))))="",0,0.3)))</f>
        <v/>
      </c>
      <c r="AM38" s="15">
        <f>IF((IF(AG38="",0,8)+IF(AI38="",0,6)+IF(AK38="",0,4))=0,"",(IF(AG38="",0,AG38*8)+IF(AI38="",0,AI38*6)+IF(AK38="",0,AK38*4))/(IF(AG38="",0,8)+IF(AI38="",0,6)+IF(AK38="",0,4)))</f>
        <v/>
      </c>
      <c r="AN38" s="14">
        <f>IF((IF(AH38="",0,8)+IF(AJ38="",0,6)+IF(AL38="",0,4))=0,"",(IF(AH38="",0,AH38*8)+IF(AJ38="",0,AJ38*6)+IF(AL38="",0,AL38*4))/18)</f>
        <v/>
      </c>
      <c r="AO38" s="11">
        <f>IF(OR(City_Inputs!$AB38="",Norm_Stats!$F$17="",Norm_Stats!$G$17="",Norm_Stats!$G$17=Norm_Stats!$F$17),"",MAX(0,MIN(100,100*(MIN(MAX(City_Inputs!$AB38,Norm_Stats!$F$17),Norm_Stats!$G$17)-Norm_Stats!$F$17)/(Norm_Stats!$G$17-Norm_Stats!$F$17))))</f>
        <v/>
      </c>
      <c r="AP38" s="14">
        <f>IF(AO38="","",1)</f>
        <v/>
      </c>
      <c r="AQ38" s="11">
        <f>IF(OR(City_Inputs!$AC38="",Norm_Stats!$F$18="",Norm_Stats!$G$18="",Norm_Stats!$G$18=Norm_Stats!$F$18),"",MAX(0,MIN(100,100*(MIN(MAX(City_Inputs!$AC38,Norm_Stats!$F$18),Norm_Stats!$G$18)-Norm_Stats!$F$18)/(Norm_Stats!$G$18-Norm_Stats!$F$18))))</f>
        <v/>
      </c>
      <c r="AR38" s="14">
        <f>IF(AQ38="","",1)</f>
        <v/>
      </c>
      <c r="AS38" s="11">
        <f>IF(OR(City_Inputs!$AD38="",Norm_Stats!$F$19="",Norm_Stats!$G$19="",Norm_Stats!$G$19=Norm_Stats!$F$19),"",MAX(0,MIN(100,100*(MIN(MAX(City_Inputs!$AD38,Norm_Stats!$F$19),Norm_Stats!$G$19)-Norm_Stats!$F$19)/(Norm_Stats!$G$19-Norm_Stats!$F$19))))</f>
        <v/>
      </c>
      <c r="AT38" s="14">
        <f>IF(AS38="","",1)</f>
        <v/>
      </c>
      <c r="AU38" s="11">
        <f>IF(OR(City_Inputs!$BJ38="",Norm_Stats!$F$26="",Norm_Stats!$G$26="",Norm_Stats!$G$26=Norm_Stats!$F$26),"",MAX(0,MIN(100,100*(MIN(MAX(City_Inputs!$BJ38,Norm_Stats!$F$26),Norm_Stats!$G$26)-Norm_Stats!$F$26)/(Norm_Stats!$G$26-Norm_Stats!$F$26))))</f>
        <v/>
      </c>
      <c r="AV38" s="11">
        <f>IF(AU38="","",1)</f>
        <v/>
      </c>
      <c r="AW38" s="15">
        <f>IF((IF(AO38="",0,5)+IF(AQ38="",0,5)+IF(AS38="",0,5)+IF(AU38="",0,4))=0,"",(IF(AO38="",0,AO38*5)+IF(AQ38="",0,AQ38*5)+IF(AS38="",0,AS38*5)+IF(AU38="",0,AU38*4))/(IF(AO38="",0,5)+IF(AQ38="",0,5)+IF(AS38="",0,5)+IF(AU38="",0,4)))</f>
        <v/>
      </c>
      <c r="AX38" s="14">
        <f>IF((IF(AP38="",0,5)+IF(AR38="",0,5)+IF(AT38="",0,5)+IF(AV38="",0,4))=0,"",(IF(AP38="",0,AP38*5)+IF(AR38="",0,AR38*5)+IF(AT38="",0,AT38*5)+IF(AV38="",0,AV38*4))/19)</f>
        <v/>
      </c>
      <c r="AY38" s="11">
        <f>IF(OR(City_Inputs!$AE38="",Norm_Stats!$F$20="",Norm_Stats!$G$20="",Norm_Stats!$G$20=Norm_Stats!$F$20),"",MAX(0,MIN(100,100*(MIN(MAX(City_Inputs!$AE38,Norm_Stats!$F$20),Norm_Stats!$G$20)-Norm_Stats!$F$20)/(Norm_Stats!$G$20-Norm_Stats!$F$20))))</f>
        <v/>
      </c>
      <c r="AZ38" s="14">
        <f>IF(AY38="","",1)</f>
        <v/>
      </c>
      <c r="BA38" s="11">
        <f>IF(OR(City_Inputs!$AF38="",Norm_Stats!$F$21="",Norm_Stats!$G$21="",Norm_Stats!$G$21=Norm_Stats!$F$21),"",MAX(0,MIN(100,100*(MIN(MAX(City_Inputs!$AF38,Norm_Stats!$F$21),Norm_Stats!$G$21)-Norm_Stats!$F$21)/(Norm_Stats!$G$21-Norm_Stats!$F$21))))</f>
        <v/>
      </c>
      <c r="BB38" s="14">
        <f>IF(BA38="","",1)</f>
        <v/>
      </c>
      <c r="BC38" s="11">
        <f>IF((IF((IF(OR(City_Inputs!$AG38="",Norm_Stats!$F$22="",Norm_Stats!$G$22="",Norm_Stats!$G$22=Norm_Stats!$F$22),"",MAX(0,MIN(100,100*(MIN(MAX(City_Inputs!$AG38,Norm_Stats!$F$22),Norm_Stats!$G$22)-Norm_Stats!$F$22)/(Norm_Stats!$G$22-Norm_Stats!$F$22)))))="",0,0.5)+IF((IF(OR(City_Inputs!$AJ38="",Norm_Stats!$F$23="",Norm_Stats!$G$23="",Norm_Stats!$G$23=Norm_Stats!$F$23),"",MAX(0,MIN(100,100*(MIN(MAX(City_Inputs!$AJ38,Norm_Stats!$F$23),Norm_Stats!$G$23)-Norm_Stats!$F$23)/(Norm_Stats!$G$23-Norm_Stats!$F$23)))))="",0,0.3)+IF((IF(OR(City_Inputs!$AK38="",Norm_Stats!$F$24="",Norm_Stats!$G$24="",Norm_Stats!$G$24=Norm_Stats!$F$24),"",MAX(0,MIN(100,100*(MIN(MAX(City_Inputs!$AK38,Norm_Stats!$F$24),Norm_Stats!$G$24)-Norm_Stats!$F$24)/(Norm_Stats!$G$24-Norm_Stats!$F$24)))))="",0,0.2))=0,"",(IF((IF(OR(City_Inputs!$AG38="",Norm_Stats!$F$22="",Norm_Stats!$G$22="",Norm_Stats!$G$22=Norm_Stats!$F$22),"",MAX(0,MIN(100,100*(MIN(MAX(City_Inputs!$AG38,Norm_Stats!$F$22),Norm_Stats!$G$22)-Norm_Stats!$F$22)/(Norm_Stats!$G$22-Norm_Stats!$F$22)))))="",0,(IF(OR(City_Inputs!$AG38="",Norm_Stats!$F$22="",Norm_Stats!$G$22="",Norm_Stats!$G$22=Norm_Stats!$F$22),"",MAX(0,MIN(100,100*(MIN(MAX(City_Inputs!$AG38,Norm_Stats!$F$22),Norm_Stats!$G$22)-Norm_Stats!$F$22)/(Norm_Stats!$G$22-Norm_Stats!$F$22)))))*0.5)+IF((IF(OR(City_Inputs!$AJ38="",Norm_Stats!$F$23="",Norm_Stats!$G$23="",Norm_Stats!$G$23=Norm_Stats!$F$23),"",MAX(0,MIN(100,100*(MIN(MAX(City_Inputs!$AJ38,Norm_Stats!$F$23),Norm_Stats!$G$23)-Norm_Stats!$F$23)/(Norm_Stats!$G$23-Norm_Stats!$F$23)))))="",0,(IF(OR(City_Inputs!$AJ38="",Norm_Stats!$F$23="",Norm_Stats!$G$23="",Norm_Stats!$G$23=Norm_Stats!$F$23),"",MAX(0,MIN(100,100*(MIN(MAX(City_Inputs!$AJ38,Norm_Stats!$F$23),Norm_Stats!$G$23)-Norm_Stats!$F$23)/(Norm_Stats!$G$23-Norm_Stats!$F$23)))))*0.3)+IF((IF(OR(City_Inputs!$AK38="",Norm_Stats!$F$24="",Norm_Stats!$G$24="",Norm_Stats!$G$24=Norm_Stats!$F$24),"",MAX(0,MIN(100,100*(MIN(MAX(City_Inputs!$AK38,Norm_Stats!$F$24),Norm_Stats!$G$24)-Norm_Stats!$F$24)/(Norm_Stats!$G$24-Norm_Stats!$F$24)))))="",0,(IF(OR(City_Inputs!$AK38="",Norm_Stats!$F$24="",Norm_Stats!$G$24="",Norm_Stats!$G$24=Norm_Stats!$F$24),"",MAX(0,MIN(100,100*(MIN(MAX(City_Inputs!$AK38,Norm_Stats!$F$24),Norm_Stats!$G$24)-Norm_Stats!$F$24)/(Norm_Stats!$G$24-Norm_Stats!$F$24)))))*0.2))/(IF((IF(OR(City_Inputs!$AG38="",Norm_Stats!$F$22="",Norm_Stats!$G$22="",Norm_Stats!$G$22=Norm_Stats!$F$22),"",MAX(0,MIN(100,100*(MIN(MAX(City_Inputs!$AG38,Norm_Stats!$F$22),Norm_Stats!$G$22)-Norm_Stats!$F$22)/(Norm_Stats!$G$22-Norm_Stats!$F$22)))))="",0,0.5)+IF((IF(OR(City_Inputs!$AJ38="",Norm_Stats!$F$23="",Norm_Stats!$G$23="",Norm_Stats!$G$23=Norm_Stats!$F$23),"",MAX(0,MIN(100,100*(MIN(MAX(City_Inputs!$AJ38,Norm_Stats!$F$23),Norm_Stats!$G$23)-Norm_Stats!$F$23)/(Norm_Stats!$G$23-Norm_Stats!$F$23)))))="",0,0.3)+IF((IF(OR(City_Inputs!$AK38="",Norm_Stats!$F$24="",Norm_Stats!$G$24="",Norm_Stats!$G$24=Norm_Stats!$F$24),"",MAX(0,MIN(100,100*(MIN(MAX(City_Inputs!$AK38,Norm_Stats!$F$24),Norm_Stats!$G$24)-Norm_Stats!$F$24)/(Norm_Stats!$G$24-Norm_Stats!$F$24)))))="",0,0.2)))</f>
        <v/>
      </c>
      <c r="BD38" s="14">
        <f>IF((IF((IF(OR(City_Inputs!$AG38="",Norm_Stats!$F$22="",Norm_Stats!$G$22="",Norm_Stats!$G$22=Norm_Stats!$F$22),"",MAX(0,MIN(100,100*(MIN(MAX(City_Inputs!$AG38,Norm_Stats!$F$22),Norm_Stats!$G$22)-Norm_Stats!$F$22)/(Norm_Stats!$G$22-Norm_Stats!$F$22)))))="",0,0.5)+IF((IF(OR(City_Inputs!$AJ38="",Norm_Stats!$F$23="",Norm_Stats!$G$23="",Norm_Stats!$G$23=Norm_Stats!$F$23),"",MAX(0,MIN(100,100*(MIN(MAX(City_Inputs!$AJ38,Norm_Stats!$F$23),Norm_Stats!$G$23)-Norm_Stats!$F$23)/(Norm_Stats!$G$23-Norm_Stats!$F$23)))))="",0,0.3)+IF((IF(OR(City_Inputs!$AK38="",Norm_Stats!$F$24="",Norm_Stats!$G$24="",Norm_Stats!$G$24=Norm_Stats!$F$24),"",MAX(0,MIN(100,100*(MIN(MAX(City_Inputs!$AK38,Norm_Stats!$F$24),Norm_Stats!$G$24)-Norm_Stats!$F$24)/(Norm_Stats!$G$24-Norm_Stats!$F$24)))))="",0,0.2))=0,"",(IF((IF(OR(City_Inputs!$AG38="",Norm_Stats!$F$22="",Norm_Stats!$G$22="",Norm_Stats!$G$22=Norm_Stats!$F$22),"",MAX(0,MIN(100,100*(MIN(MAX(City_Inputs!$AG38,Norm_Stats!$F$22),Norm_Stats!$G$22)-Norm_Stats!$F$22)/(Norm_Stats!$G$22-Norm_Stats!$F$22)))))="",0,0.5)+IF((IF(OR(City_Inputs!$AJ38="",Norm_Stats!$F$23="",Norm_Stats!$G$23="",Norm_Stats!$G$23=Norm_Stats!$F$23),"",MAX(0,MIN(100,100*(MIN(MAX(City_Inputs!$AJ38,Norm_Stats!$F$23),Norm_Stats!$G$23)-Norm_Stats!$F$23)/(Norm_Stats!$G$23-Norm_Stats!$F$23)))))="",0,0.3)+IF((IF(OR(City_Inputs!$AK38="",Norm_Stats!$F$24="",Norm_Stats!$G$24="",Norm_Stats!$G$24=Norm_Stats!$F$24),"",MAX(0,MIN(100,100*(MIN(MAX(City_Inputs!$AK38,Norm_Stats!$F$24),Norm_Stats!$G$24)-Norm_Stats!$F$24)/(Norm_Stats!$G$24-Norm_Stats!$F$24)))))="",0,0.2)))</f>
        <v/>
      </c>
      <c r="BE38" s="11">
        <f>IF(OR(City_Inputs!$AH38="",Norm_Stats!$F$25="",Norm_Stats!$G$25="",Norm_Stats!$G$25=Norm_Stats!$F$25),"",MAX(0,MIN(100,100*(Norm_Stats!$G$25-MIN(MAX(City_Inputs!$AH38,Norm_Stats!$F$25),Norm_Stats!$G$25))/(Norm_Stats!$G$25-Norm_Stats!$F$25))))</f>
        <v/>
      </c>
      <c r="BF38" s="14">
        <f>IF(BE38="","",1)</f>
        <v/>
      </c>
      <c r="BG38" s="15">
        <f>IF((IF(AY38="",0,6)+IF(BA38="",0,5)+IF(BC38="",0,5)+IF(BE38="",0,4))=0,"",(IF(AY38="",0,AY38*6)+IF(BA38="",0,BA38*5)+IF(BC38="",0,BC38*5)+IF(BE38="",0,BE38*4))/(IF(AY38="",0,6)+IF(BA38="",0,5)+IF(BC38="",0,5)+IF(BE38="",0,4)))</f>
        <v/>
      </c>
      <c r="BH38" s="14">
        <f>IF((IF(AZ38="",0,6)+IF(BB38="",0,5)+IF(BD38="",0,5)+IF(BF38="",0,4))=0,"",(IF(AZ38="",0,AZ38*6)+IF(BB38="",0,BB38*5)+IF(BD38="",0,BD38*5)+IF(BF38="",0,BF38*4))/20)</f>
        <v/>
      </c>
      <c r="BI38" s="14">
        <f>IF(AND(R38="",AF38="",AN38="",AX38="",BH38=""),"",((R38*25)+(AF38*22)+(AN38*18)+(AX38*15)+(BH38*20))/100)</f>
        <v/>
      </c>
      <c r="BJ38" s="11">
        <f>IF(BI38="","",IF(BI38&gt;=0.75,"A",IF(BI38&gt;=0.5,"B",IF(BI38&gt;=0.35,"C","Watchlist"))))</f>
        <v/>
      </c>
      <c r="BK38" s="11">
        <f>IF(OR(BI38="",BI38&lt;0.5,R38="",R38&lt;0.35,AF38="",AF38&lt;0.35,AN38="",AN38&lt;0.35,AX38="",AX38&lt;0.35,BH38="",BH38&lt;0.35),"Watchlist","Ranked")</f>
        <v/>
      </c>
      <c r="BL38" s="15">
        <f>IF(AND(Q38="",AE38="",AM38="",AW38="",BG38=""),"",(IF(Q38="",0,Q38*25)+IF(AE38="",0,AE38*22)+IF(AM38="",0,AM38*18)+IF(AW38="",0,AW38*15)+IF(BG38="",0,BG38*20))/(IF(Q38="",0,25)+IF(AE38="",0,22)+IF(AM38="",0,18)+IF(AW38="",0,15)+IF(BG38="",0,20)))</f>
        <v/>
      </c>
      <c r="BM38" s="11">
        <f>IF(BK38="Ranked",1+COUNTIFS($BK$2:$BK$158,"Ranked",$BL$2:$BL$158,"&gt;"&amp;BL38),"")</f>
        <v/>
      </c>
      <c r="BN38" s="11">
        <f>City_Inputs!$AI38</f>
        <v/>
      </c>
    </row>
    <row r="39">
      <c r="A39" t="inlineStr">
        <is>
          <t>fr-paris</t>
        </is>
      </c>
      <c r="B39" t="inlineStr">
        <is>
          <t>Paris</t>
        </is>
      </c>
      <c r="C39" t="inlineStr">
        <is>
          <t>France</t>
        </is>
      </c>
      <c r="D39" t="inlineStr">
        <is>
          <t>Western, Northern, and Southern Europe</t>
        </is>
      </c>
      <c r="E39" t="inlineStr">
        <is>
          <t>locked</t>
        </is>
      </c>
      <c r="F39" t="inlineStr">
        <is>
          <t>primary</t>
        </is>
      </c>
      <c r="G39" s="11">
        <f>IF(OR(City_Inputs!$M39="",Norm_Stats!$F$2="",Norm_Stats!$G$2="",Norm_Stats!$G$2=Norm_Stats!$F$2),"",MAX(0,MIN(100,100*(MIN(MAX(City_Inputs!$M39,Norm_Stats!$F$2),Norm_Stats!$G$2)-Norm_Stats!$F$2)/(Norm_Stats!$G$2-Norm_Stats!$F$2))))</f>
        <v/>
      </c>
      <c r="H39" s="14">
        <f>IF(G39="","",1)</f>
        <v/>
      </c>
      <c r="I39" s="11">
        <f>IF(OR(City_Inputs!$N39="",Norm_Stats!$F$3="",Norm_Stats!$G$3="",Norm_Stats!$G$3=Norm_Stats!$F$3),"",MAX(0,MIN(100,100*(Norm_Stats!$G$3-MIN(MAX(City_Inputs!$N39,Norm_Stats!$F$3),Norm_Stats!$G$3))/(Norm_Stats!$G$3-Norm_Stats!$F$3))))</f>
        <v/>
      </c>
      <c r="J39" s="14">
        <f>IF(I39="","",1)</f>
        <v/>
      </c>
      <c r="K39" s="11">
        <f>IF(OR(City_Inputs!$P39="",Norm_Stats!$F$4="",Norm_Stats!$G$4="",Norm_Stats!$G$4=Norm_Stats!$F$4),"",MAX(0,MIN(100,100*(Norm_Stats!$G$4-MIN(MAX(City_Inputs!$P39,Norm_Stats!$F$4),Norm_Stats!$G$4))/(Norm_Stats!$G$4-Norm_Stats!$F$4))))</f>
        <v/>
      </c>
      <c r="L39" s="14">
        <f>IF(K39="","",1)</f>
        <v/>
      </c>
      <c r="M39" s="11">
        <f>IF(OR(City_Inputs!$Q39="",Norm_Stats!$F$5="",Norm_Stats!$G$5="",Norm_Stats!$G$5=Norm_Stats!$F$5),"",MAX(0,MIN(100,100*(Norm_Stats!$G$5-MIN(MAX(City_Inputs!$Q39,Norm_Stats!$F$5),Norm_Stats!$G$5))/(Norm_Stats!$G$5-Norm_Stats!$F$5))))</f>
        <v/>
      </c>
      <c r="N39" s="14">
        <f>IF(M39="","",1)</f>
        <v/>
      </c>
      <c r="O39" s="11">
        <f>IF(OR(City_Inputs!$R39="",Norm_Stats!$F$6="",Norm_Stats!$G$6="",Norm_Stats!$G$6=Norm_Stats!$F$6),"",MAX(0,MIN(100,100*(Norm_Stats!$G$6-MIN(MAX(City_Inputs!$R39,Norm_Stats!$F$6),Norm_Stats!$G$6))/(Norm_Stats!$G$6-Norm_Stats!$F$6))))</f>
        <v/>
      </c>
      <c r="P39" s="14">
        <f>IF(O39="","",1)</f>
        <v/>
      </c>
      <c r="Q39" s="15">
        <f>IF((IF(G39="",0,9)+IF(I39="",0,5)+IF(K39="",0,4)+IF(M39="",0,4)+IF(O39="",0,5))=0,"",(IF(G39="",0,G39*9)+IF(I39="",0,I39*5)+IF(K39="",0,K39*4)+IF(M39="",0,M39*4)+IF(O39="",0,O39*5))/(IF(G39="",0,9)+IF(I39="",0,5)+IF(K39="",0,4)+IF(M39="",0,4)+IF(O39="",0,5)))</f>
        <v/>
      </c>
      <c r="R39" s="14">
        <f>IF((IF(H39="",0,9)+IF(J39="",0,5)+IF(L39="",0,4)+IF(N39="",0,4)+IF(P39="",0,5))=0,"",(IF(H39="",0,H39*9)+IF(J39="",0,J39*5)+IF(L39="",0,L39*4)+IF(N39="",0,N39*4)+IF(P39="",0,P39*5))/27)</f>
        <v/>
      </c>
      <c r="S39" s="11">
        <f>IF(OR(City_Inputs!$S39="",Norm_Stats!$F$7="",Norm_Stats!$G$7="",Norm_Stats!$G$7=Norm_Stats!$F$7),"",MAX(0,MIN(100,100*(Norm_Stats!$G$7-MIN(MAX(City_Inputs!$S39,Norm_Stats!$F$7),Norm_Stats!$G$7))/(Norm_Stats!$G$7-Norm_Stats!$F$7))))</f>
        <v/>
      </c>
      <c r="T39" s="14">
        <f>IF(S39="","",1)</f>
        <v/>
      </c>
      <c r="U39" s="11">
        <f>IF(OR(City_Inputs!$T39="",Norm_Stats!$F$8="",Norm_Stats!$G$8="",Norm_Stats!$G$8=Norm_Stats!$F$8),"",MAX(0,MIN(100,100*(MIN(MAX(City_Inputs!$T39,Norm_Stats!$F$8),Norm_Stats!$G$8)-Norm_Stats!$F$8)/(Norm_Stats!$G$8-Norm_Stats!$F$8))))</f>
        <v/>
      </c>
      <c r="V39" s="14">
        <f>IF(U39="","",1)</f>
        <v/>
      </c>
      <c r="W39" s="11">
        <f>IF(OR(City_Inputs!$U39="",Norm_Stats!$F$9="",Norm_Stats!$G$9="",Norm_Stats!$G$9=Norm_Stats!$F$9),"",MAX(0,MIN(100,100*(Norm_Stats!$G$9-MIN(MAX(City_Inputs!$U39,Norm_Stats!$F$9),Norm_Stats!$G$9))/(Norm_Stats!$G$9-Norm_Stats!$F$9))))</f>
        <v/>
      </c>
      <c r="X39" s="14">
        <f>IF(W39="","",1)</f>
        <v/>
      </c>
      <c r="Y39" s="11">
        <f>IF(OR(City_Inputs!$V39="",Norm_Stats!$F$10="",Norm_Stats!$G$10="",Norm_Stats!$G$10=Norm_Stats!$F$10),"",MAX(0,MIN(100,100*(MIN(MAX(City_Inputs!$V39,Norm_Stats!$F$10),Norm_Stats!$G$10)-Norm_Stats!$F$10)/(Norm_Stats!$G$10-Norm_Stats!$F$10))))</f>
        <v/>
      </c>
      <c r="Z39" s="14">
        <f>IF(Y39="","",1)</f>
        <v/>
      </c>
      <c r="AA39" s="11">
        <f>IF(OR(City_Inputs!$W39="",Norm_Stats!$F$11="",Norm_Stats!$G$11="",Norm_Stats!$G$11=Norm_Stats!$F$11),"",MAX(0,MIN(100,100*(MIN(MAX(City_Inputs!$W39,Norm_Stats!$F$11),Norm_Stats!$G$11)-Norm_Stats!$F$11)/(Norm_Stats!$G$11-Norm_Stats!$F$11))))</f>
        <v/>
      </c>
      <c r="AB39" s="14">
        <f>IF(AA39="","",1)</f>
        <v/>
      </c>
      <c r="AC39" s="11">
        <f>IF(OR(City_Inputs!$X39="",Norm_Stats!$F$12="",Norm_Stats!$G$12="",Norm_Stats!$G$12=Norm_Stats!$F$12),"",MAX(0,MIN(100,100*(MIN(MAX(City_Inputs!$X39,Norm_Stats!$F$12),Norm_Stats!$G$12)-Norm_Stats!$F$12)/(Norm_Stats!$G$12-Norm_Stats!$F$12))))</f>
        <v/>
      </c>
      <c r="AD39" s="11">
        <f>IF(AC39="","",1)</f>
        <v/>
      </c>
      <c r="AE39" s="15">
        <f>IF((IF(S39="",0,5)+IF(U39="",0,5)+IF(W39="",0,4)+IF(Y39="",0,4)+IF(AA39="",0,4)+IF(AC39="",0,5))=0,"",(IF(S39="",0,S39*5)+IF(U39="",0,U39*5)+IF(W39="",0,W39*4)+IF(Y39="",0,Y39*4)+IF(AA39="",0,AA39*4)+IF(AC39="",0,AC39*5))/(IF(S39="",0,5)+IF(U39="",0,5)+IF(W39="",0,4)+IF(Y39="",0,4)+IF(AA39="",0,4)+IF(AC39="",0,5)))</f>
        <v/>
      </c>
      <c r="AF39" s="14">
        <f>IF((IF(T39="",0,5)+IF(V39="",0,5)+IF(X39="",0,4)+IF(Z39="",0,4)+IF(AB39="",0,4)+IF(AD39="",0,5))=0,"",(IF(T39="",0,T39*5)+IF(V39="",0,V39*5)+IF(X39="",0,X39*4)+IF(Z39="",0,Z39*4)+IF(AB39="",0,AB39*4)+IF(AD39="",0,AD39*5))/27)</f>
        <v/>
      </c>
      <c r="AG39" s="11">
        <f>IF(OR(City_Inputs!$Y39="",Norm_Stats!$F$13="",Norm_Stats!$G$13="",Norm_Stats!$G$13=Norm_Stats!$F$13),"",MAX(0,MIN(100,100*(MIN(MAX(City_Inputs!$Y39,Norm_Stats!$F$13),Norm_Stats!$G$13)-Norm_Stats!$F$13)/(Norm_Stats!$G$13-Norm_Stats!$F$13))))</f>
        <v/>
      </c>
      <c r="AH39" s="14">
        <f>IF(AG39="","",1)</f>
        <v/>
      </c>
      <c r="AI39" s="11">
        <f>IF(OR(City_Inputs!$Z39="",Norm_Stats!$F$14="",Norm_Stats!$G$14="",Norm_Stats!$G$14=Norm_Stats!$F$14),"",MAX(0,MIN(100,100*(MIN(MAX(City_Inputs!$Z39,Norm_Stats!$F$14),Norm_Stats!$G$14)-Norm_Stats!$F$14)/(Norm_Stats!$G$14-Norm_Stats!$F$14))))</f>
        <v/>
      </c>
      <c r="AJ39" s="14">
        <f>IF(AI39="","",1)</f>
        <v/>
      </c>
      <c r="AK39" s="11">
        <f>IF((IF((IF(OR(City_Inputs!$AA39="",Norm_Stats!$F$15="",Norm_Stats!$G$15="",Norm_Stats!$G$15=Norm_Stats!$F$15),"",MAX(0,MIN(100,100*(MIN(MAX(City_Inputs!$AA39,Norm_Stats!$F$15),Norm_Stats!$G$15)-Norm_Stats!$F$15)/(Norm_Stats!$G$15-Norm_Stats!$F$15)))))="",0,0.7)+IF((IF(OR(City_Inputs!$AL39="",Norm_Stats!$F$16="",Norm_Stats!$G$16="",Norm_Stats!$G$16=Norm_Stats!$F$16),"",MAX(0,MIN(100,100*(Norm_Stats!$G$16-MIN(MAX(City_Inputs!$AL39,Norm_Stats!$F$16),Norm_Stats!$G$16))/(Norm_Stats!$G$16-Norm_Stats!$F$16)))))="",0,0.3))=0,"",(IF((IF(OR(City_Inputs!$AA39="",Norm_Stats!$F$15="",Norm_Stats!$G$15="",Norm_Stats!$G$15=Norm_Stats!$F$15),"",MAX(0,MIN(100,100*(MIN(MAX(City_Inputs!$AA39,Norm_Stats!$F$15),Norm_Stats!$G$15)-Norm_Stats!$F$15)/(Norm_Stats!$G$15-Norm_Stats!$F$15)))))="",0,(IF(OR(City_Inputs!$AA39="",Norm_Stats!$F$15="",Norm_Stats!$G$15="",Norm_Stats!$G$15=Norm_Stats!$F$15),"",MAX(0,MIN(100,100*(MIN(MAX(City_Inputs!$AA39,Norm_Stats!$F$15),Norm_Stats!$G$15)-Norm_Stats!$F$15)/(Norm_Stats!$G$15-Norm_Stats!$F$15)))))*0.7)+IF((IF(OR(City_Inputs!$AL39="",Norm_Stats!$F$16="",Norm_Stats!$G$16="",Norm_Stats!$G$16=Norm_Stats!$F$16),"",MAX(0,MIN(100,100*(Norm_Stats!$G$16-MIN(MAX(City_Inputs!$AL39,Norm_Stats!$F$16),Norm_Stats!$G$16))/(Norm_Stats!$G$16-Norm_Stats!$F$16)))))="",0,(IF(OR(City_Inputs!$AL39="",Norm_Stats!$F$16="",Norm_Stats!$G$16="",Norm_Stats!$G$16=Norm_Stats!$F$16),"",MAX(0,MIN(100,100*(Norm_Stats!$G$16-MIN(MAX(City_Inputs!$AL39,Norm_Stats!$F$16),Norm_Stats!$G$16))/(Norm_Stats!$G$16-Norm_Stats!$F$16)))))*0.3))/(IF((IF(OR(City_Inputs!$AA39="",Norm_Stats!$F$15="",Norm_Stats!$G$15="",Norm_Stats!$G$15=Norm_Stats!$F$15),"",MAX(0,MIN(100,100*(MIN(MAX(City_Inputs!$AA39,Norm_Stats!$F$15),Norm_Stats!$G$15)-Norm_Stats!$F$15)/(Norm_Stats!$G$15-Norm_Stats!$F$15)))))="",0,0.7)+IF((IF(OR(City_Inputs!$AL39="",Norm_Stats!$F$16="",Norm_Stats!$G$16="",Norm_Stats!$G$16=Norm_Stats!$F$16),"",MAX(0,MIN(100,100*(Norm_Stats!$G$16-MIN(MAX(City_Inputs!$AL39,Norm_Stats!$F$16),Norm_Stats!$G$16))/(Norm_Stats!$G$16-Norm_Stats!$F$16)))))="",0,0.3)))</f>
        <v/>
      </c>
      <c r="AL39" s="14">
        <f>IF((IF((IF(OR(City_Inputs!$AA39="",Norm_Stats!$F$15="",Norm_Stats!$G$15="",Norm_Stats!$G$15=Norm_Stats!$F$15),"",MAX(0,MIN(100,100*(MIN(MAX(City_Inputs!$AA39,Norm_Stats!$F$15),Norm_Stats!$G$15)-Norm_Stats!$F$15)/(Norm_Stats!$G$15-Norm_Stats!$F$15)))))="",0,0.7)+IF((IF(OR(City_Inputs!$AL39="",Norm_Stats!$F$16="",Norm_Stats!$G$16="",Norm_Stats!$G$16=Norm_Stats!$F$16),"",MAX(0,MIN(100,100*(Norm_Stats!$G$16-MIN(MAX(City_Inputs!$AL39,Norm_Stats!$F$16),Norm_Stats!$G$16))/(Norm_Stats!$G$16-Norm_Stats!$F$16)))))="",0,0.3))=0,"",(IF((IF(OR(City_Inputs!$AA39="",Norm_Stats!$F$15="",Norm_Stats!$G$15="",Norm_Stats!$G$15=Norm_Stats!$F$15),"",MAX(0,MIN(100,100*(MIN(MAX(City_Inputs!$AA39,Norm_Stats!$F$15),Norm_Stats!$G$15)-Norm_Stats!$F$15)/(Norm_Stats!$G$15-Norm_Stats!$F$15)))))="",0,0.7)+IF((IF(OR(City_Inputs!$AL39="",Norm_Stats!$F$16="",Norm_Stats!$G$16="",Norm_Stats!$G$16=Norm_Stats!$F$16),"",MAX(0,MIN(100,100*(Norm_Stats!$G$16-MIN(MAX(City_Inputs!$AL39,Norm_Stats!$F$16),Norm_Stats!$G$16))/(Norm_Stats!$G$16-Norm_Stats!$F$16)))))="",0,0.3)))</f>
        <v/>
      </c>
      <c r="AM39" s="15">
        <f>IF((IF(AG39="",0,8)+IF(AI39="",0,6)+IF(AK39="",0,4))=0,"",(IF(AG39="",0,AG39*8)+IF(AI39="",0,AI39*6)+IF(AK39="",0,AK39*4))/(IF(AG39="",0,8)+IF(AI39="",0,6)+IF(AK39="",0,4)))</f>
        <v/>
      </c>
      <c r="AN39" s="14">
        <f>IF((IF(AH39="",0,8)+IF(AJ39="",0,6)+IF(AL39="",0,4))=0,"",(IF(AH39="",0,AH39*8)+IF(AJ39="",0,AJ39*6)+IF(AL39="",0,AL39*4))/18)</f>
        <v/>
      </c>
      <c r="AO39" s="11">
        <f>IF(OR(City_Inputs!$AB39="",Norm_Stats!$F$17="",Norm_Stats!$G$17="",Norm_Stats!$G$17=Norm_Stats!$F$17),"",MAX(0,MIN(100,100*(MIN(MAX(City_Inputs!$AB39,Norm_Stats!$F$17),Norm_Stats!$G$17)-Norm_Stats!$F$17)/(Norm_Stats!$G$17-Norm_Stats!$F$17))))</f>
        <v/>
      </c>
      <c r="AP39" s="14">
        <f>IF(AO39="","",1)</f>
        <v/>
      </c>
      <c r="AQ39" s="11">
        <f>IF(OR(City_Inputs!$AC39="",Norm_Stats!$F$18="",Norm_Stats!$G$18="",Norm_Stats!$G$18=Norm_Stats!$F$18),"",MAX(0,MIN(100,100*(MIN(MAX(City_Inputs!$AC39,Norm_Stats!$F$18),Norm_Stats!$G$18)-Norm_Stats!$F$18)/(Norm_Stats!$G$18-Norm_Stats!$F$18))))</f>
        <v/>
      </c>
      <c r="AR39" s="14">
        <f>IF(AQ39="","",1)</f>
        <v/>
      </c>
      <c r="AS39" s="11">
        <f>IF(OR(City_Inputs!$AD39="",Norm_Stats!$F$19="",Norm_Stats!$G$19="",Norm_Stats!$G$19=Norm_Stats!$F$19),"",MAX(0,MIN(100,100*(MIN(MAX(City_Inputs!$AD39,Norm_Stats!$F$19),Norm_Stats!$G$19)-Norm_Stats!$F$19)/(Norm_Stats!$G$19-Norm_Stats!$F$19))))</f>
        <v/>
      </c>
      <c r="AT39" s="14">
        <f>IF(AS39="","",1)</f>
        <v/>
      </c>
      <c r="AU39" s="11">
        <f>IF(OR(City_Inputs!$BJ39="",Norm_Stats!$F$26="",Norm_Stats!$G$26="",Norm_Stats!$G$26=Norm_Stats!$F$26),"",MAX(0,MIN(100,100*(MIN(MAX(City_Inputs!$BJ39,Norm_Stats!$F$26),Norm_Stats!$G$26)-Norm_Stats!$F$26)/(Norm_Stats!$G$26-Norm_Stats!$F$26))))</f>
        <v/>
      </c>
      <c r="AV39" s="11">
        <f>IF(AU39="","",1)</f>
        <v/>
      </c>
      <c r="AW39" s="15">
        <f>IF((IF(AO39="",0,5)+IF(AQ39="",0,5)+IF(AS39="",0,5)+IF(AU39="",0,4))=0,"",(IF(AO39="",0,AO39*5)+IF(AQ39="",0,AQ39*5)+IF(AS39="",0,AS39*5)+IF(AU39="",0,AU39*4))/(IF(AO39="",0,5)+IF(AQ39="",0,5)+IF(AS39="",0,5)+IF(AU39="",0,4)))</f>
        <v/>
      </c>
      <c r="AX39" s="14">
        <f>IF((IF(AP39="",0,5)+IF(AR39="",0,5)+IF(AT39="",0,5)+IF(AV39="",0,4))=0,"",(IF(AP39="",0,AP39*5)+IF(AR39="",0,AR39*5)+IF(AT39="",0,AT39*5)+IF(AV39="",0,AV39*4))/19)</f>
        <v/>
      </c>
      <c r="AY39" s="11">
        <f>IF(OR(City_Inputs!$AE39="",Norm_Stats!$F$20="",Norm_Stats!$G$20="",Norm_Stats!$G$20=Norm_Stats!$F$20),"",MAX(0,MIN(100,100*(MIN(MAX(City_Inputs!$AE39,Norm_Stats!$F$20),Norm_Stats!$G$20)-Norm_Stats!$F$20)/(Norm_Stats!$G$20-Norm_Stats!$F$20))))</f>
        <v/>
      </c>
      <c r="AZ39" s="14">
        <f>IF(AY39="","",1)</f>
        <v/>
      </c>
      <c r="BA39" s="11">
        <f>IF(OR(City_Inputs!$AF39="",Norm_Stats!$F$21="",Norm_Stats!$G$21="",Norm_Stats!$G$21=Norm_Stats!$F$21),"",MAX(0,MIN(100,100*(MIN(MAX(City_Inputs!$AF39,Norm_Stats!$F$21),Norm_Stats!$G$21)-Norm_Stats!$F$21)/(Norm_Stats!$G$21-Norm_Stats!$F$21))))</f>
        <v/>
      </c>
      <c r="BB39" s="14">
        <f>IF(BA39="","",1)</f>
        <v/>
      </c>
      <c r="BC39" s="11">
        <f>IF((IF((IF(OR(City_Inputs!$AG39="",Norm_Stats!$F$22="",Norm_Stats!$G$22="",Norm_Stats!$G$22=Norm_Stats!$F$22),"",MAX(0,MIN(100,100*(MIN(MAX(City_Inputs!$AG39,Norm_Stats!$F$22),Norm_Stats!$G$22)-Norm_Stats!$F$22)/(Norm_Stats!$G$22-Norm_Stats!$F$22)))))="",0,0.5)+IF((IF(OR(City_Inputs!$AJ39="",Norm_Stats!$F$23="",Norm_Stats!$G$23="",Norm_Stats!$G$23=Norm_Stats!$F$23),"",MAX(0,MIN(100,100*(MIN(MAX(City_Inputs!$AJ39,Norm_Stats!$F$23),Norm_Stats!$G$23)-Norm_Stats!$F$23)/(Norm_Stats!$G$23-Norm_Stats!$F$23)))))="",0,0.3)+IF((IF(OR(City_Inputs!$AK39="",Norm_Stats!$F$24="",Norm_Stats!$G$24="",Norm_Stats!$G$24=Norm_Stats!$F$24),"",MAX(0,MIN(100,100*(MIN(MAX(City_Inputs!$AK39,Norm_Stats!$F$24),Norm_Stats!$G$24)-Norm_Stats!$F$24)/(Norm_Stats!$G$24-Norm_Stats!$F$24)))))="",0,0.2))=0,"",(IF((IF(OR(City_Inputs!$AG39="",Norm_Stats!$F$22="",Norm_Stats!$G$22="",Norm_Stats!$G$22=Norm_Stats!$F$22),"",MAX(0,MIN(100,100*(MIN(MAX(City_Inputs!$AG39,Norm_Stats!$F$22),Norm_Stats!$G$22)-Norm_Stats!$F$22)/(Norm_Stats!$G$22-Norm_Stats!$F$22)))))="",0,(IF(OR(City_Inputs!$AG39="",Norm_Stats!$F$22="",Norm_Stats!$G$22="",Norm_Stats!$G$22=Norm_Stats!$F$22),"",MAX(0,MIN(100,100*(MIN(MAX(City_Inputs!$AG39,Norm_Stats!$F$22),Norm_Stats!$G$22)-Norm_Stats!$F$22)/(Norm_Stats!$G$22-Norm_Stats!$F$22)))))*0.5)+IF((IF(OR(City_Inputs!$AJ39="",Norm_Stats!$F$23="",Norm_Stats!$G$23="",Norm_Stats!$G$23=Norm_Stats!$F$23),"",MAX(0,MIN(100,100*(MIN(MAX(City_Inputs!$AJ39,Norm_Stats!$F$23),Norm_Stats!$G$23)-Norm_Stats!$F$23)/(Norm_Stats!$G$23-Norm_Stats!$F$23)))))="",0,(IF(OR(City_Inputs!$AJ39="",Norm_Stats!$F$23="",Norm_Stats!$G$23="",Norm_Stats!$G$23=Norm_Stats!$F$23),"",MAX(0,MIN(100,100*(MIN(MAX(City_Inputs!$AJ39,Norm_Stats!$F$23),Norm_Stats!$G$23)-Norm_Stats!$F$23)/(Norm_Stats!$G$23-Norm_Stats!$F$23)))))*0.3)+IF((IF(OR(City_Inputs!$AK39="",Norm_Stats!$F$24="",Norm_Stats!$G$24="",Norm_Stats!$G$24=Norm_Stats!$F$24),"",MAX(0,MIN(100,100*(MIN(MAX(City_Inputs!$AK39,Norm_Stats!$F$24),Norm_Stats!$G$24)-Norm_Stats!$F$24)/(Norm_Stats!$G$24-Norm_Stats!$F$24)))))="",0,(IF(OR(City_Inputs!$AK39="",Norm_Stats!$F$24="",Norm_Stats!$G$24="",Norm_Stats!$G$24=Norm_Stats!$F$24),"",MAX(0,MIN(100,100*(MIN(MAX(City_Inputs!$AK39,Norm_Stats!$F$24),Norm_Stats!$G$24)-Norm_Stats!$F$24)/(Norm_Stats!$G$24-Norm_Stats!$F$24)))))*0.2))/(IF((IF(OR(City_Inputs!$AG39="",Norm_Stats!$F$22="",Norm_Stats!$G$22="",Norm_Stats!$G$22=Norm_Stats!$F$22),"",MAX(0,MIN(100,100*(MIN(MAX(City_Inputs!$AG39,Norm_Stats!$F$22),Norm_Stats!$G$22)-Norm_Stats!$F$22)/(Norm_Stats!$G$22-Norm_Stats!$F$22)))))="",0,0.5)+IF((IF(OR(City_Inputs!$AJ39="",Norm_Stats!$F$23="",Norm_Stats!$G$23="",Norm_Stats!$G$23=Norm_Stats!$F$23),"",MAX(0,MIN(100,100*(MIN(MAX(City_Inputs!$AJ39,Norm_Stats!$F$23),Norm_Stats!$G$23)-Norm_Stats!$F$23)/(Norm_Stats!$G$23-Norm_Stats!$F$23)))))="",0,0.3)+IF((IF(OR(City_Inputs!$AK39="",Norm_Stats!$F$24="",Norm_Stats!$G$24="",Norm_Stats!$G$24=Norm_Stats!$F$24),"",MAX(0,MIN(100,100*(MIN(MAX(City_Inputs!$AK39,Norm_Stats!$F$24),Norm_Stats!$G$24)-Norm_Stats!$F$24)/(Norm_Stats!$G$24-Norm_Stats!$F$24)))))="",0,0.2)))</f>
        <v/>
      </c>
      <c r="BD39" s="14">
        <f>IF((IF((IF(OR(City_Inputs!$AG39="",Norm_Stats!$F$22="",Norm_Stats!$G$22="",Norm_Stats!$G$22=Norm_Stats!$F$22),"",MAX(0,MIN(100,100*(MIN(MAX(City_Inputs!$AG39,Norm_Stats!$F$22),Norm_Stats!$G$22)-Norm_Stats!$F$22)/(Norm_Stats!$G$22-Norm_Stats!$F$22)))))="",0,0.5)+IF((IF(OR(City_Inputs!$AJ39="",Norm_Stats!$F$23="",Norm_Stats!$G$23="",Norm_Stats!$G$23=Norm_Stats!$F$23),"",MAX(0,MIN(100,100*(MIN(MAX(City_Inputs!$AJ39,Norm_Stats!$F$23),Norm_Stats!$G$23)-Norm_Stats!$F$23)/(Norm_Stats!$G$23-Norm_Stats!$F$23)))))="",0,0.3)+IF((IF(OR(City_Inputs!$AK39="",Norm_Stats!$F$24="",Norm_Stats!$G$24="",Norm_Stats!$G$24=Norm_Stats!$F$24),"",MAX(0,MIN(100,100*(MIN(MAX(City_Inputs!$AK39,Norm_Stats!$F$24),Norm_Stats!$G$24)-Norm_Stats!$F$24)/(Norm_Stats!$G$24-Norm_Stats!$F$24)))))="",0,0.2))=0,"",(IF((IF(OR(City_Inputs!$AG39="",Norm_Stats!$F$22="",Norm_Stats!$G$22="",Norm_Stats!$G$22=Norm_Stats!$F$22),"",MAX(0,MIN(100,100*(MIN(MAX(City_Inputs!$AG39,Norm_Stats!$F$22),Norm_Stats!$G$22)-Norm_Stats!$F$22)/(Norm_Stats!$G$22-Norm_Stats!$F$22)))))="",0,0.5)+IF((IF(OR(City_Inputs!$AJ39="",Norm_Stats!$F$23="",Norm_Stats!$G$23="",Norm_Stats!$G$23=Norm_Stats!$F$23),"",MAX(0,MIN(100,100*(MIN(MAX(City_Inputs!$AJ39,Norm_Stats!$F$23),Norm_Stats!$G$23)-Norm_Stats!$F$23)/(Norm_Stats!$G$23-Norm_Stats!$F$23)))))="",0,0.3)+IF((IF(OR(City_Inputs!$AK39="",Norm_Stats!$F$24="",Norm_Stats!$G$24="",Norm_Stats!$G$24=Norm_Stats!$F$24),"",MAX(0,MIN(100,100*(MIN(MAX(City_Inputs!$AK39,Norm_Stats!$F$24),Norm_Stats!$G$24)-Norm_Stats!$F$24)/(Norm_Stats!$G$24-Norm_Stats!$F$24)))))="",0,0.2)))</f>
        <v/>
      </c>
      <c r="BE39" s="11">
        <f>IF(OR(City_Inputs!$AH39="",Norm_Stats!$F$25="",Norm_Stats!$G$25="",Norm_Stats!$G$25=Norm_Stats!$F$25),"",MAX(0,MIN(100,100*(Norm_Stats!$G$25-MIN(MAX(City_Inputs!$AH39,Norm_Stats!$F$25),Norm_Stats!$G$25))/(Norm_Stats!$G$25-Norm_Stats!$F$25))))</f>
        <v/>
      </c>
      <c r="BF39" s="14">
        <f>IF(BE39="","",1)</f>
        <v/>
      </c>
      <c r="BG39" s="15">
        <f>IF((IF(AY39="",0,6)+IF(BA39="",0,5)+IF(BC39="",0,5)+IF(BE39="",0,4))=0,"",(IF(AY39="",0,AY39*6)+IF(BA39="",0,BA39*5)+IF(BC39="",0,BC39*5)+IF(BE39="",0,BE39*4))/(IF(AY39="",0,6)+IF(BA39="",0,5)+IF(BC39="",0,5)+IF(BE39="",0,4)))</f>
        <v/>
      </c>
      <c r="BH39" s="14">
        <f>IF((IF(AZ39="",0,6)+IF(BB39="",0,5)+IF(BD39="",0,5)+IF(BF39="",0,4))=0,"",(IF(AZ39="",0,AZ39*6)+IF(BB39="",0,BB39*5)+IF(BD39="",0,BD39*5)+IF(BF39="",0,BF39*4))/20)</f>
        <v/>
      </c>
      <c r="BI39" s="14">
        <f>IF(AND(R39="",AF39="",AN39="",AX39="",BH39=""),"",((R39*25)+(AF39*22)+(AN39*18)+(AX39*15)+(BH39*20))/100)</f>
        <v/>
      </c>
      <c r="BJ39" s="11">
        <f>IF(BI39="","",IF(BI39&gt;=0.75,"A",IF(BI39&gt;=0.5,"B",IF(BI39&gt;=0.35,"C","Watchlist"))))</f>
        <v/>
      </c>
      <c r="BK39" s="11">
        <f>IF(OR(BI39="",BI39&lt;0.5,R39="",R39&lt;0.35,AF39="",AF39&lt;0.35,AN39="",AN39&lt;0.35,AX39="",AX39&lt;0.35,BH39="",BH39&lt;0.35),"Watchlist","Ranked")</f>
        <v/>
      </c>
      <c r="BL39" s="15">
        <f>IF(AND(Q39="",AE39="",AM39="",AW39="",BG39=""),"",(IF(Q39="",0,Q39*25)+IF(AE39="",0,AE39*22)+IF(AM39="",0,AM39*18)+IF(AW39="",0,AW39*15)+IF(BG39="",0,BG39*20))/(IF(Q39="",0,25)+IF(AE39="",0,22)+IF(AM39="",0,18)+IF(AW39="",0,15)+IF(BG39="",0,20)))</f>
        <v/>
      </c>
      <c r="BM39" s="11">
        <f>IF(BK39="Ranked",1+COUNTIFS($BK$2:$BK$158,"Ranked",$BL$2:$BL$158,"&gt;"&amp;BL39),"")</f>
        <v/>
      </c>
      <c r="BN39" s="11">
        <f>City_Inputs!$AI39</f>
        <v/>
      </c>
    </row>
    <row r="40">
      <c r="A40" t="inlineStr">
        <is>
          <t>at-vienna</t>
        </is>
      </c>
      <c r="B40" t="inlineStr">
        <is>
          <t>Vienna</t>
        </is>
      </c>
      <c r="C40" t="inlineStr">
        <is>
          <t>Austria</t>
        </is>
      </c>
      <c r="D40" t="inlineStr">
        <is>
          <t>Western, Northern, and Southern Europe</t>
        </is>
      </c>
      <c r="E40" t="inlineStr">
        <is>
          <t>locked</t>
        </is>
      </c>
      <c r="F40" t="inlineStr">
        <is>
          <t>primary</t>
        </is>
      </c>
      <c r="G40" s="11">
        <f>IF(OR(City_Inputs!$M40="",Norm_Stats!$F$2="",Norm_Stats!$G$2="",Norm_Stats!$G$2=Norm_Stats!$F$2),"",MAX(0,MIN(100,100*(MIN(MAX(City_Inputs!$M40,Norm_Stats!$F$2),Norm_Stats!$G$2)-Norm_Stats!$F$2)/(Norm_Stats!$G$2-Norm_Stats!$F$2))))</f>
        <v/>
      </c>
      <c r="H40" s="14">
        <f>IF(G40="","",1)</f>
        <v/>
      </c>
      <c r="I40" s="11">
        <f>IF(OR(City_Inputs!$N40="",Norm_Stats!$F$3="",Norm_Stats!$G$3="",Norm_Stats!$G$3=Norm_Stats!$F$3),"",MAX(0,MIN(100,100*(Norm_Stats!$G$3-MIN(MAX(City_Inputs!$N40,Norm_Stats!$F$3),Norm_Stats!$G$3))/(Norm_Stats!$G$3-Norm_Stats!$F$3))))</f>
        <v/>
      </c>
      <c r="J40" s="14">
        <f>IF(I40="","",1)</f>
        <v/>
      </c>
      <c r="K40" s="11">
        <f>IF(OR(City_Inputs!$P40="",Norm_Stats!$F$4="",Norm_Stats!$G$4="",Norm_Stats!$G$4=Norm_Stats!$F$4),"",MAX(0,MIN(100,100*(Norm_Stats!$G$4-MIN(MAX(City_Inputs!$P40,Norm_Stats!$F$4),Norm_Stats!$G$4))/(Norm_Stats!$G$4-Norm_Stats!$F$4))))</f>
        <v/>
      </c>
      <c r="L40" s="14">
        <f>IF(K40="","",1)</f>
        <v/>
      </c>
      <c r="M40" s="11">
        <f>IF(OR(City_Inputs!$Q40="",Norm_Stats!$F$5="",Norm_Stats!$G$5="",Norm_Stats!$G$5=Norm_Stats!$F$5),"",MAX(0,MIN(100,100*(Norm_Stats!$G$5-MIN(MAX(City_Inputs!$Q40,Norm_Stats!$F$5),Norm_Stats!$G$5))/(Norm_Stats!$G$5-Norm_Stats!$F$5))))</f>
        <v/>
      </c>
      <c r="N40" s="14">
        <f>IF(M40="","",1)</f>
        <v/>
      </c>
      <c r="O40" s="11">
        <f>IF(OR(City_Inputs!$R40="",Norm_Stats!$F$6="",Norm_Stats!$G$6="",Norm_Stats!$G$6=Norm_Stats!$F$6),"",MAX(0,MIN(100,100*(Norm_Stats!$G$6-MIN(MAX(City_Inputs!$R40,Norm_Stats!$F$6),Norm_Stats!$G$6))/(Norm_Stats!$G$6-Norm_Stats!$F$6))))</f>
        <v/>
      </c>
      <c r="P40" s="14">
        <f>IF(O40="","",1)</f>
        <v/>
      </c>
      <c r="Q40" s="15">
        <f>IF((IF(G40="",0,9)+IF(I40="",0,5)+IF(K40="",0,4)+IF(M40="",0,4)+IF(O40="",0,5))=0,"",(IF(G40="",0,G40*9)+IF(I40="",0,I40*5)+IF(K40="",0,K40*4)+IF(M40="",0,M40*4)+IF(O40="",0,O40*5))/(IF(G40="",0,9)+IF(I40="",0,5)+IF(K40="",0,4)+IF(M40="",0,4)+IF(O40="",0,5)))</f>
        <v/>
      </c>
      <c r="R40" s="14">
        <f>IF((IF(H40="",0,9)+IF(J40="",0,5)+IF(L40="",0,4)+IF(N40="",0,4)+IF(P40="",0,5))=0,"",(IF(H40="",0,H40*9)+IF(J40="",0,J40*5)+IF(L40="",0,L40*4)+IF(N40="",0,N40*4)+IF(P40="",0,P40*5))/27)</f>
        <v/>
      </c>
      <c r="S40" s="11">
        <f>IF(OR(City_Inputs!$S40="",Norm_Stats!$F$7="",Norm_Stats!$G$7="",Norm_Stats!$G$7=Norm_Stats!$F$7),"",MAX(0,MIN(100,100*(Norm_Stats!$G$7-MIN(MAX(City_Inputs!$S40,Norm_Stats!$F$7),Norm_Stats!$G$7))/(Norm_Stats!$G$7-Norm_Stats!$F$7))))</f>
        <v/>
      </c>
      <c r="T40" s="14">
        <f>IF(S40="","",1)</f>
        <v/>
      </c>
      <c r="U40" s="11">
        <f>IF(OR(City_Inputs!$T40="",Norm_Stats!$F$8="",Norm_Stats!$G$8="",Norm_Stats!$G$8=Norm_Stats!$F$8),"",MAX(0,MIN(100,100*(MIN(MAX(City_Inputs!$T40,Norm_Stats!$F$8),Norm_Stats!$G$8)-Norm_Stats!$F$8)/(Norm_Stats!$G$8-Norm_Stats!$F$8))))</f>
        <v/>
      </c>
      <c r="V40" s="14">
        <f>IF(U40="","",1)</f>
        <v/>
      </c>
      <c r="W40" s="11">
        <f>IF(OR(City_Inputs!$U40="",Norm_Stats!$F$9="",Norm_Stats!$G$9="",Norm_Stats!$G$9=Norm_Stats!$F$9),"",MAX(0,MIN(100,100*(Norm_Stats!$G$9-MIN(MAX(City_Inputs!$U40,Norm_Stats!$F$9),Norm_Stats!$G$9))/(Norm_Stats!$G$9-Norm_Stats!$F$9))))</f>
        <v/>
      </c>
      <c r="X40" s="14">
        <f>IF(W40="","",1)</f>
        <v/>
      </c>
      <c r="Y40" s="11">
        <f>IF(OR(City_Inputs!$V40="",Norm_Stats!$F$10="",Norm_Stats!$G$10="",Norm_Stats!$G$10=Norm_Stats!$F$10),"",MAX(0,MIN(100,100*(MIN(MAX(City_Inputs!$V40,Norm_Stats!$F$10),Norm_Stats!$G$10)-Norm_Stats!$F$10)/(Norm_Stats!$G$10-Norm_Stats!$F$10))))</f>
        <v/>
      </c>
      <c r="Z40" s="14">
        <f>IF(Y40="","",1)</f>
        <v/>
      </c>
      <c r="AA40" s="11">
        <f>IF(OR(City_Inputs!$W40="",Norm_Stats!$F$11="",Norm_Stats!$G$11="",Norm_Stats!$G$11=Norm_Stats!$F$11),"",MAX(0,MIN(100,100*(MIN(MAX(City_Inputs!$W40,Norm_Stats!$F$11),Norm_Stats!$G$11)-Norm_Stats!$F$11)/(Norm_Stats!$G$11-Norm_Stats!$F$11))))</f>
        <v/>
      </c>
      <c r="AB40" s="14">
        <f>IF(AA40="","",1)</f>
        <v/>
      </c>
      <c r="AC40" s="11">
        <f>IF(OR(City_Inputs!$X40="",Norm_Stats!$F$12="",Norm_Stats!$G$12="",Norm_Stats!$G$12=Norm_Stats!$F$12),"",MAX(0,MIN(100,100*(MIN(MAX(City_Inputs!$X40,Norm_Stats!$F$12),Norm_Stats!$G$12)-Norm_Stats!$F$12)/(Norm_Stats!$G$12-Norm_Stats!$F$12))))</f>
        <v/>
      </c>
      <c r="AD40" s="11">
        <f>IF(AC40="","",1)</f>
        <v/>
      </c>
      <c r="AE40" s="15">
        <f>IF((IF(S40="",0,5)+IF(U40="",0,5)+IF(W40="",0,4)+IF(Y40="",0,4)+IF(AA40="",0,4)+IF(AC40="",0,5))=0,"",(IF(S40="",0,S40*5)+IF(U40="",0,U40*5)+IF(W40="",0,W40*4)+IF(Y40="",0,Y40*4)+IF(AA40="",0,AA40*4)+IF(AC40="",0,AC40*5))/(IF(S40="",0,5)+IF(U40="",0,5)+IF(W40="",0,4)+IF(Y40="",0,4)+IF(AA40="",0,4)+IF(AC40="",0,5)))</f>
        <v/>
      </c>
      <c r="AF40" s="14">
        <f>IF((IF(T40="",0,5)+IF(V40="",0,5)+IF(X40="",0,4)+IF(Z40="",0,4)+IF(AB40="",0,4)+IF(AD40="",0,5))=0,"",(IF(T40="",0,T40*5)+IF(V40="",0,V40*5)+IF(X40="",0,X40*4)+IF(Z40="",0,Z40*4)+IF(AB40="",0,AB40*4)+IF(AD40="",0,AD40*5))/27)</f>
        <v/>
      </c>
      <c r="AG40" s="11">
        <f>IF(OR(City_Inputs!$Y40="",Norm_Stats!$F$13="",Norm_Stats!$G$13="",Norm_Stats!$G$13=Norm_Stats!$F$13),"",MAX(0,MIN(100,100*(MIN(MAX(City_Inputs!$Y40,Norm_Stats!$F$13),Norm_Stats!$G$13)-Norm_Stats!$F$13)/(Norm_Stats!$G$13-Norm_Stats!$F$13))))</f>
        <v/>
      </c>
      <c r="AH40" s="14">
        <f>IF(AG40="","",1)</f>
        <v/>
      </c>
      <c r="AI40" s="11">
        <f>IF(OR(City_Inputs!$Z40="",Norm_Stats!$F$14="",Norm_Stats!$G$14="",Norm_Stats!$G$14=Norm_Stats!$F$14),"",MAX(0,MIN(100,100*(MIN(MAX(City_Inputs!$Z40,Norm_Stats!$F$14),Norm_Stats!$G$14)-Norm_Stats!$F$14)/(Norm_Stats!$G$14-Norm_Stats!$F$14))))</f>
        <v/>
      </c>
      <c r="AJ40" s="14">
        <f>IF(AI40="","",1)</f>
        <v/>
      </c>
      <c r="AK40" s="11">
        <f>IF((IF((IF(OR(City_Inputs!$AA40="",Norm_Stats!$F$15="",Norm_Stats!$G$15="",Norm_Stats!$G$15=Norm_Stats!$F$15),"",MAX(0,MIN(100,100*(MIN(MAX(City_Inputs!$AA40,Norm_Stats!$F$15),Norm_Stats!$G$15)-Norm_Stats!$F$15)/(Norm_Stats!$G$15-Norm_Stats!$F$15)))))="",0,0.7)+IF((IF(OR(City_Inputs!$AL40="",Norm_Stats!$F$16="",Norm_Stats!$G$16="",Norm_Stats!$G$16=Norm_Stats!$F$16),"",MAX(0,MIN(100,100*(Norm_Stats!$G$16-MIN(MAX(City_Inputs!$AL40,Norm_Stats!$F$16),Norm_Stats!$G$16))/(Norm_Stats!$G$16-Norm_Stats!$F$16)))))="",0,0.3))=0,"",(IF((IF(OR(City_Inputs!$AA40="",Norm_Stats!$F$15="",Norm_Stats!$G$15="",Norm_Stats!$G$15=Norm_Stats!$F$15),"",MAX(0,MIN(100,100*(MIN(MAX(City_Inputs!$AA40,Norm_Stats!$F$15),Norm_Stats!$G$15)-Norm_Stats!$F$15)/(Norm_Stats!$G$15-Norm_Stats!$F$15)))))="",0,(IF(OR(City_Inputs!$AA40="",Norm_Stats!$F$15="",Norm_Stats!$G$15="",Norm_Stats!$G$15=Norm_Stats!$F$15),"",MAX(0,MIN(100,100*(MIN(MAX(City_Inputs!$AA40,Norm_Stats!$F$15),Norm_Stats!$G$15)-Norm_Stats!$F$15)/(Norm_Stats!$G$15-Norm_Stats!$F$15)))))*0.7)+IF((IF(OR(City_Inputs!$AL40="",Norm_Stats!$F$16="",Norm_Stats!$G$16="",Norm_Stats!$G$16=Norm_Stats!$F$16),"",MAX(0,MIN(100,100*(Norm_Stats!$G$16-MIN(MAX(City_Inputs!$AL40,Norm_Stats!$F$16),Norm_Stats!$G$16))/(Norm_Stats!$G$16-Norm_Stats!$F$16)))))="",0,(IF(OR(City_Inputs!$AL40="",Norm_Stats!$F$16="",Norm_Stats!$G$16="",Norm_Stats!$G$16=Norm_Stats!$F$16),"",MAX(0,MIN(100,100*(Norm_Stats!$G$16-MIN(MAX(City_Inputs!$AL40,Norm_Stats!$F$16),Norm_Stats!$G$16))/(Norm_Stats!$G$16-Norm_Stats!$F$16)))))*0.3))/(IF((IF(OR(City_Inputs!$AA40="",Norm_Stats!$F$15="",Norm_Stats!$G$15="",Norm_Stats!$G$15=Norm_Stats!$F$15),"",MAX(0,MIN(100,100*(MIN(MAX(City_Inputs!$AA40,Norm_Stats!$F$15),Norm_Stats!$G$15)-Norm_Stats!$F$15)/(Norm_Stats!$G$15-Norm_Stats!$F$15)))))="",0,0.7)+IF((IF(OR(City_Inputs!$AL40="",Norm_Stats!$F$16="",Norm_Stats!$G$16="",Norm_Stats!$G$16=Norm_Stats!$F$16),"",MAX(0,MIN(100,100*(Norm_Stats!$G$16-MIN(MAX(City_Inputs!$AL40,Norm_Stats!$F$16),Norm_Stats!$G$16))/(Norm_Stats!$G$16-Norm_Stats!$F$16)))))="",0,0.3)))</f>
        <v/>
      </c>
      <c r="AL40" s="14">
        <f>IF((IF((IF(OR(City_Inputs!$AA40="",Norm_Stats!$F$15="",Norm_Stats!$G$15="",Norm_Stats!$G$15=Norm_Stats!$F$15),"",MAX(0,MIN(100,100*(MIN(MAX(City_Inputs!$AA40,Norm_Stats!$F$15),Norm_Stats!$G$15)-Norm_Stats!$F$15)/(Norm_Stats!$G$15-Norm_Stats!$F$15)))))="",0,0.7)+IF((IF(OR(City_Inputs!$AL40="",Norm_Stats!$F$16="",Norm_Stats!$G$16="",Norm_Stats!$G$16=Norm_Stats!$F$16),"",MAX(0,MIN(100,100*(Norm_Stats!$G$16-MIN(MAX(City_Inputs!$AL40,Norm_Stats!$F$16),Norm_Stats!$G$16))/(Norm_Stats!$G$16-Norm_Stats!$F$16)))))="",0,0.3))=0,"",(IF((IF(OR(City_Inputs!$AA40="",Norm_Stats!$F$15="",Norm_Stats!$G$15="",Norm_Stats!$G$15=Norm_Stats!$F$15),"",MAX(0,MIN(100,100*(MIN(MAX(City_Inputs!$AA40,Norm_Stats!$F$15),Norm_Stats!$G$15)-Norm_Stats!$F$15)/(Norm_Stats!$G$15-Norm_Stats!$F$15)))))="",0,0.7)+IF((IF(OR(City_Inputs!$AL40="",Norm_Stats!$F$16="",Norm_Stats!$G$16="",Norm_Stats!$G$16=Norm_Stats!$F$16),"",MAX(0,MIN(100,100*(Norm_Stats!$G$16-MIN(MAX(City_Inputs!$AL40,Norm_Stats!$F$16),Norm_Stats!$G$16))/(Norm_Stats!$G$16-Norm_Stats!$F$16)))))="",0,0.3)))</f>
        <v/>
      </c>
      <c r="AM40" s="15">
        <f>IF((IF(AG40="",0,8)+IF(AI40="",0,6)+IF(AK40="",0,4))=0,"",(IF(AG40="",0,AG40*8)+IF(AI40="",0,AI40*6)+IF(AK40="",0,AK40*4))/(IF(AG40="",0,8)+IF(AI40="",0,6)+IF(AK40="",0,4)))</f>
        <v/>
      </c>
      <c r="AN40" s="14">
        <f>IF((IF(AH40="",0,8)+IF(AJ40="",0,6)+IF(AL40="",0,4))=0,"",(IF(AH40="",0,AH40*8)+IF(AJ40="",0,AJ40*6)+IF(AL40="",0,AL40*4))/18)</f>
        <v/>
      </c>
      <c r="AO40" s="11">
        <f>IF(OR(City_Inputs!$AB40="",Norm_Stats!$F$17="",Norm_Stats!$G$17="",Norm_Stats!$G$17=Norm_Stats!$F$17),"",MAX(0,MIN(100,100*(MIN(MAX(City_Inputs!$AB40,Norm_Stats!$F$17),Norm_Stats!$G$17)-Norm_Stats!$F$17)/(Norm_Stats!$G$17-Norm_Stats!$F$17))))</f>
        <v/>
      </c>
      <c r="AP40" s="14">
        <f>IF(AO40="","",1)</f>
        <v/>
      </c>
      <c r="AQ40" s="11">
        <f>IF(OR(City_Inputs!$AC40="",Norm_Stats!$F$18="",Norm_Stats!$G$18="",Norm_Stats!$G$18=Norm_Stats!$F$18),"",MAX(0,MIN(100,100*(MIN(MAX(City_Inputs!$AC40,Norm_Stats!$F$18),Norm_Stats!$G$18)-Norm_Stats!$F$18)/(Norm_Stats!$G$18-Norm_Stats!$F$18))))</f>
        <v/>
      </c>
      <c r="AR40" s="14">
        <f>IF(AQ40="","",1)</f>
        <v/>
      </c>
      <c r="AS40" s="11">
        <f>IF(OR(City_Inputs!$AD40="",Norm_Stats!$F$19="",Norm_Stats!$G$19="",Norm_Stats!$G$19=Norm_Stats!$F$19),"",MAX(0,MIN(100,100*(MIN(MAX(City_Inputs!$AD40,Norm_Stats!$F$19),Norm_Stats!$G$19)-Norm_Stats!$F$19)/(Norm_Stats!$G$19-Norm_Stats!$F$19))))</f>
        <v/>
      </c>
      <c r="AT40" s="14">
        <f>IF(AS40="","",1)</f>
        <v/>
      </c>
      <c r="AU40" s="11">
        <f>IF(OR(City_Inputs!$BJ40="",Norm_Stats!$F$26="",Norm_Stats!$G$26="",Norm_Stats!$G$26=Norm_Stats!$F$26),"",MAX(0,MIN(100,100*(MIN(MAX(City_Inputs!$BJ40,Norm_Stats!$F$26),Norm_Stats!$G$26)-Norm_Stats!$F$26)/(Norm_Stats!$G$26-Norm_Stats!$F$26))))</f>
        <v/>
      </c>
      <c r="AV40" s="11">
        <f>IF(AU40="","",1)</f>
        <v/>
      </c>
      <c r="AW40" s="15">
        <f>IF((IF(AO40="",0,5)+IF(AQ40="",0,5)+IF(AS40="",0,5)+IF(AU40="",0,4))=0,"",(IF(AO40="",0,AO40*5)+IF(AQ40="",0,AQ40*5)+IF(AS40="",0,AS40*5)+IF(AU40="",0,AU40*4))/(IF(AO40="",0,5)+IF(AQ40="",0,5)+IF(AS40="",0,5)+IF(AU40="",0,4)))</f>
        <v/>
      </c>
      <c r="AX40" s="14">
        <f>IF((IF(AP40="",0,5)+IF(AR40="",0,5)+IF(AT40="",0,5)+IF(AV40="",0,4))=0,"",(IF(AP40="",0,AP40*5)+IF(AR40="",0,AR40*5)+IF(AT40="",0,AT40*5)+IF(AV40="",0,AV40*4))/19)</f>
        <v/>
      </c>
      <c r="AY40" s="11">
        <f>IF(OR(City_Inputs!$AE40="",Norm_Stats!$F$20="",Norm_Stats!$G$20="",Norm_Stats!$G$20=Norm_Stats!$F$20),"",MAX(0,MIN(100,100*(MIN(MAX(City_Inputs!$AE40,Norm_Stats!$F$20),Norm_Stats!$G$20)-Norm_Stats!$F$20)/(Norm_Stats!$G$20-Norm_Stats!$F$20))))</f>
        <v/>
      </c>
      <c r="AZ40" s="14">
        <f>IF(AY40="","",1)</f>
        <v/>
      </c>
      <c r="BA40" s="11">
        <f>IF(OR(City_Inputs!$AF40="",Norm_Stats!$F$21="",Norm_Stats!$G$21="",Norm_Stats!$G$21=Norm_Stats!$F$21),"",MAX(0,MIN(100,100*(MIN(MAX(City_Inputs!$AF40,Norm_Stats!$F$21),Norm_Stats!$G$21)-Norm_Stats!$F$21)/(Norm_Stats!$G$21-Norm_Stats!$F$21))))</f>
        <v/>
      </c>
      <c r="BB40" s="14">
        <f>IF(BA40="","",1)</f>
        <v/>
      </c>
      <c r="BC40" s="11">
        <f>IF((IF((IF(OR(City_Inputs!$AG40="",Norm_Stats!$F$22="",Norm_Stats!$G$22="",Norm_Stats!$G$22=Norm_Stats!$F$22),"",MAX(0,MIN(100,100*(MIN(MAX(City_Inputs!$AG40,Norm_Stats!$F$22),Norm_Stats!$G$22)-Norm_Stats!$F$22)/(Norm_Stats!$G$22-Norm_Stats!$F$22)))))="",0,0.5)+IF((IF(OR(City_Inputs!$AJ40="",Norm_Stats!$F$23="",Norm_Stats!$G$23="",Norm_Stats!$G$23=Norm_Stats!$F$23),"",MAX(0,MIN(100,100*(MIN(MAX(City_Inputs!$AJ40,Norm_Stats!$F$23),Norm_Stats!$G$23)-Norm_Stats!$F$23)/(Norm_Stats!$G$23-Norm_Stats!$F$23)))))="",0,0.3)+IF((IF(OR(City_Inputs!$AK40="",Norm_Stats!$F$24="",Norm_Stats!$G$24="",Norm_Stats!$G$24=Norm_Stats!$F$24),"",MAX(0,MIN(100,100*(MIN(MAX(City_Inputs!$AK40,Norm_Stats!$F$24),Norm_Stats!$G$24)-Norm_Stats!$F$24)/(Norm_Stats!$G$24-Norm_Stats!$F$24)))))="",0,0.2))=0,"",(IF((IF(OR(City_Inputs!$AG40="",Norm_Stats!$F$22="",Norm_Stats!$G$22="",Norm_Stats!$G$22=Norm_Stats!$F$22),"",MAX(0,MIN(100,100*(MIN(MAX(City_Inputs!$AG40,Norm_Stats!$F$22),Norm_Stats!$G$22)-Norm_Stats!$F$22)/(Norm_Stats!$G$22-Norm_Stats!$F$22)))))="",0,(IF(OR(City_Inputs!$AG40="",Norm_Stats!$F$22="",Norm_Stats!$G$22="",Norm_Stats!$G$22=Norm_Stats!$F$22),"",MAX(0,MIN(100,100*(MIN(MAX(City_Inputs!$AG40,Norm_Stats!$F$22),Norm_Stats!$G$22)-Norm_Stats!$F$22)/(Norm_Stats!$G$22-Norm_Stats!$F$22)))))*0.5)+IF((IF(OR(City_Inputs!$AJ40="",Norm_Stats!$F$23="",Norm_Stats!$G$23="",Norm_Stats!$G$23=Norm_Stats!$F$23),"",MAX(0,MIN(100,100*(MIN(MAX(City_Inputs!$AJ40,Norm_Stats!$F$23),Norm_Stats!$G$23)-Norm_Stats!$F$23)/(Norm_Stats!$G$23-Norm_Stats!$F$23)))))="",0,(IF(OR(City_Inputs!$AJ40="",Norm_Stats!$F$23="",Norm_Stats!$G$23="",Norm_Stats!$G$23=Norm_Stats!$F$23),"",MAX(0,MIN(100,100*(MIN(MAX(City_Inputs!$AJ40,Norm_Stats!$F$23),Norm_Stats!$G$23)-Norm_Stats!$F$23)/(Norm_Stats!$G$23-Norm_Stats!$F$23)))))*0.3)+IF((IF(OR(City_Inputs!$AK40="",Norm_Stats!$F$24="",Norm_Stats!$G$24="",Norm_Stats!$G$24=Norm_Stats!$F$24),"",MAX(0,MIN(100,100*(MIN(MAX(City_Inputs!$AK40,Norm_Stats!$F$24),Norm_Stats!$G$24)-Norm_Stats!$F$24)/(Norm_Stats!$G$24-Norm_Stats!$F$24)))))="",0,(IF(OR(City_Inputs!$AK40="",Norm_Stats!$F$24="",Norm_Stats!$G$24="",Norm_Stats!$G$24=Norm_Stats!$F$24),"",MAX(0,MIN(100,100*(MIN(MAX(City_Inputs!$AK40,Norm_Stats!$F$24),Norm_Stats!$G$24)-Norm_Stats!$F$24)/(Norm_Stats!$G$24-Norm_Stats!$F$24)))))*0.2))/(IF((IF(OR(City_Inputs!$AG40="",Norm_Stats!$F$22="",Norm_Stats!$G$22="",Norm_Stats!$G$22=Norm_Stats!$F$22),"",MAX(0,MIN(100,100*(MIN(MAX(City_Inputs!$AG40,Norm_Stats!$F$22),Norm_Stats!$G$22)-Norm_Stats!$F$22)/(Norm_Stats!$G$22-Norm_Stats!$F$22)))))="",0,0.5)+IF((IF(OR(City_Inputs!$AJ40="",Norm_Stats!$F$23="",Norm_Stats!$G$23="",Norm_Stats!$G$23=Norm_Stats!$F$23),"",MAX(0,MIN(100,100*(MIN(MAX(City_Inputs!$AJ40,Norm_Stats!$F$23),Norm_Stats!$G$23)-Norm_Stats!$F$23)/(Norm_Stats!$G$23-Norm_Stats!$F$23)))))="",0,0.3)+IF((IF(OR(City_Inputs!$AK40="",Norm_Stats!$F$24="",Norm_Stats!$G$24="",Norm_Stats!$G$24=Norm_Stats!$F$24),"",MAX(0,MIN(100,100*(MIN(MAX(City_Inputs!$AK40,Norm_Stats!$F$24),Norm_Stats!$G$24)-Norm_Stats!$F$24)/(Norm_Stats!$G$24-Norm_Stats!$F$24)))))="",0,0.2)))</f>
        <v/>
      </c>
      <c r="BD40" s="14">
        <f>IF((IF((IF(OR(City_Inputs!$AG40="",Norm_Stats!$F$22="",Norm_Stats!$G$22="",Norm_Stats!$G$22=Norm_Stats!$F$22),"",MAX(0,MIN(100,100*(MIN(MAX(City_Inputs!$AG40,Norm_Stats!$F$22),Norm_Stats!$G$22)-Norm_Stats!$F$22)/(Norm_Stats!$G$22-Norm_Stats!$F$22)))))="",0,0.5)+IF((IF(OR(City_Inputs!$AJ40="",Norm_Stats!$F$23="",Norm_Stats!$G$23="",Norm_Stats!$G$23=Norm_Stats!$F$23),"",MAX(0,MIN(100,100*(MIN(MAX(City_Inputs!$AJ40,Norm_Stats!$F$23),Norm_Stats!$G$23)-Norm_Stats!$F$23)/(Norm_Stats!$G$23-Norm_Stats!$F$23)))))="",0,0.3)+IF((IF(OR(City_Inputs!$AK40="",Norm_Stats!$F$24="",Norm_Stats!$G$24="",Norm_Stats!$G$24=Norm_Stats!$F$24),"",MAX(0,MIN(100,100*(MIN(MAX(City_Inputs!$AK40,Norm_Stats!$F$24),Norm_Stats!$G$24)-Norm_Stats!$F$24)/(Norm_Stats!$G$24-Norm_Stats!$F$24)))))="",0,0.2))=0,"",(IF((IF(OR(City_Inputs!$AG40="",Norm_Stats!$F$22="",Norm_Stats!$G$22="",Norm_Stats!$G$22=Norm_Stats!$F$22),"",MAX(0,MIN(100,100*(MIN(MAX(City_Inputs!$AG40,Norm_Stats!$F$22),Norm_Stats!$G$22)-Norm_Stats!$F$22)/(Norm_Stats!$G$22-Norm_Stats!$F$22)))))="",0,0.5)+IF((IF(OR(City_Inputs!$AJ40="",Norm_Stats!$F$23="",Norm_Stats!$G$23="",Norm_Stats!$G$23=Norm_Stats!$F$23),"",MAX(0,MIN(100,100*(MIN(MAX(City_Inputs!$AJ40,Norm_Stats!$F$23),Norm_Stats!$G$23)-Norm_Stats!$F$23)/(Norm_Stats!$G$23-Norm_Stats!$F$23)))))="",0,0.3)+IF((IF(OR(City_Inputs!$AK40="",Norm_Stats!$F$24="",Norm_Stats!$G$24="",Norm_Stats!$G$24=Norm_Stats!$F$24),"",MAX(0,MIN(100,100*(MIN(MAX(City_Inputs!$AK40,Norm_Stats!$F$24),Norm_Stats!$G$24)-Norm_Stats!$F$24)/(Norm_Stats!$G$24-Norm_Stats!$F$24)))))="",0,0.2)))</f>
        <v/>
      </c>
      <c r="BE40" s="11">
        <f>IF(OR(City_Inputs!$AH40="",Norm_Stats!$F$25="",Norm_Stats!$G$25="",Norm_Stats!$G$25=Norm_Stats!$F$25),"",MAX(0,MIN(100,100*(Norm_Stats!$G$25-MIN(MAX(City_Inputs!$AH40,Norm_Stats!$F$25),Norm_Stats!$G$25))/(Norm_Stats!$G$25-Norm_Stats!$F$25))))</f>
        <v/>
      </c>
      <c r="BF40" s="14">
        <f>IF(BE40="","",1)</f>
        <v/>
      </c>
      <c r="BG40" s="15">
        <f>IF((IF(AY40="",0,6)+IF(BA40="",0,5)+IF(BC40="",0,5)+IF(BE40="",0,4))=0,"",(IF(AY40="",0,AY40*6)+IF(BA40="",0,BA40*5)+IF(BC40="",0,BC40*5)+IF(BE40="",0,BE40*4))/(IF(AY40="",0,6)+IF(BA40="",0,5)+IF(BC40="",0,5)+IF(BE40="",0,4)))</f>
        <v/>
      </c>
      <c r="BH40" s="14">
        <f>IF((IF(AZ40="",0,6)+IF(BB40="",0,5)+IF(BD40="",0,5)+IF(BF40="",0,4))=0,"",(IF(AZ40="",0,AZ40*6)+IF(BB40="",0,BB40*5)+IF(BD40="",0,BD40*5)+IF(BF40="",0,BF40*4))/20)</f>
        <v/>
      </c>
      <c r="BI40" s="14">
        <f>IF(AND(R40="",AF40="",AN40="",AX40="",BH40=""),"",((R40*25)+(AF40*22)+(AN40*18)+(AX40*15)+(BH40*20))/100)</f>
        <v/>
      </c>
      <c r="BJ40" s="11">
        <f>IF(BI40="","",IF(BI40&gt;=0.75,"A",IF(BI40&gt;=0.5,"B",IF(BI40&gt;=0.35,"C","Watchlist"))))</f>
        <v/>
      </c>
      <c r="BK40" s="11">
        <f>IF(OR(BI40="",BI40&lt;0.5,R40="",R40&lt;0.35,AF40="",AF40&lt;0.35,AN40="",AN40&lt;0.35,AX40="",AX40&lt;0.35,BH40="",BH40&lt;0.35),"Watchlist","Ranked")</f>
        <v/>
      </c>
      <c r="BL40" s="15">
        <f>IF(AND(Q40="",AE40="",AM40="",AW40="",BG40=""),"",(IF(Q40="",0,Q40*25)+IF(AE40="",0,AE40*22)+IF(AM40="",0,AM40*18)+IF(AW40="",0,AW40*15)+IF(BG40="",0,BG40*20))/(IF(Q40="",0,25)+IF(AE40="",0,22)+IF(AM40="",0,18)+IF(AW40="",0,15)+IF(BG40="",0,20)))</f>
        <v/>
      </c>
      <c r="BM40" s="11">
        <f>IF(BK40="Ranked",1+COUNTIFS($BK$2:$BK$158,"Ranked",$BL$2:$BL$158,"&gt;"&amp;BL40),"")</f>
        <v/>
      </c>
      <c r="BN40" s="11">
        <f>City_Inputs!$AI40</f>
        <v/>
      </c>
    </row>
    <row r="41">
      <c r="A41" t="inlineStr">
        <is>
          <t>ch-zurich</t>
        </is>
      </c>
      <c r="B41" t="inlineStr">
        <is>
          <t>Zurich</t>
        </is>
      </c>
      <c r="C41" t="inlineStr">
        <is>
          <t>Switzerland</t>
        </is>
      </c>
      <c r="D41" t="inlineStr">
        <is>
          <t>Western, Northern, and Southern Europe</t>
        </is>
      </c>
      <c r="E41" t="inlineStr">
        <is>
          <t>locked</t>
        </is>
      </c>
      <c r="F41" t="inlineStr">
        <is>
          <t>primary</t>
        </is>
      </c>
      <c r="G41" s="11">
        <f>IF(OR(City_Inputs!$M41="",Norm_Stats!$F$2="",Norm_Stats!$G$2="",Norm_Stats!$G$2=Norm_Stats!$F$2),"",MAX(0,MIN(100,100*(MIN(MAX(City_Inputs!$M41,Norm_Stats!$F$2),Norm_Stats!$G$2)-Norm_Stats!$F$2)/(Norm_Stats!$G$2-Norm_Stats!$F$2))))</f>
        <v/>
      </c>
      <c r="H41" s="14">
        <f>IF(G41="","",1)</f>
        <v/>
      </c>
      <c r="I41" s="11">
        <f>IF(OR(City_Inputs!$N41="",Norm_Stats!$F$3="",Norm_Stats!$G$3="",Norm_Stats!$G$3=Norm_Stats!$F$3),"",MAX(0,MIN(100,100*(Norm_Stats!$G$3-MIN(MAX(City_Inputs!$N41,Norm_Stats!$F$3),Norm_Stats!$G$3))/(Norm_Stats!$G$3-Norm_Stats!$F$3))))</f>
        <v/>
      </c>
      <c r="J41" s="14">
        <f>IF(I41="","",1)</f>
        <v/>
      </c>
      <c r="K41" s="11">
        <f>IF(OR(City_Inputs!$P41="",Norm_Stats!$F$4="",Norm_Stats!$G$4="",Norm_Stats!$G$4=Norm_Stats!$F$4),"",MAX(0,MIN(100,100*(Norm_Stats!$G$4-MIN(MAX(City_Inputs!$P41,Norm_Stats!$F$4),Norm_Stats!$G$4))/(Norm_Stats!$G$4-Norm_Stats!$F$4))))</f>
        <v/>
      </c>
      <c r="L41" s="14">
        <f>IF(K41="","",1)</f>
        <v/>
      </c>
      <c r="M41" s="11">
        <f>IF(OR(City_Inputs!$Q41="",Norm_Stats!$F$5="",Norm_Stats!$G$5="",Norm_Stats!$G$5=Norm_Stats!$F$5),"",MAX(0,MIN(100,100*(Norm_Stats!$G$5-MIN(MAX(City_Inputs!$Q41,Norm_Stats!$F$5),Norm_Stats!$G$5))/(Norm_Stats!$G$5-Norm_Stats!$F$5))))</f>
        <v/>
      </c>
      <c r="N41" s="14">
        <f>IF(M41="","",1)</f>
        <v/>
      </c>
      <c r="O41" s="11">
        <f>IF(OR(City_Inputs!$R41="",Norm_Stats!$F$6="",Norm_Stats!$G$6="",Norm_Stats!$G$6=Norm_Stats!$F$6),"",MAX(0,MIN(100,100*(Norm_Stats!$G$6-MIN(MAX(City_Inputs!$R41,Norm_Stats!$F$6),Norm_Stats!$G$6))/(Norm_Stats!$G$6-Norm_Stats!$F$6))))</f>
        <v/>
      </c>
      <c r="P41" s="14">
        <f>IF(O41="","",1)</f>
        <v/>
      </c>
      <c r="Q41" s="15">
        <f>IF((IF(G41="",0,9)+IF(I41="",0,5)+IF(K41="",0,4)+IF(M41="",0,4)+IF(O41="",0,5))=0,"",(IF(G41="",0,G41*9)+IF(I41="",0,I41*5)+IF(K41="",0,K41*4)+IF(M41="",0,M41*4)+IF(O41="",0,O41*5))/(IF(G41="",0,9)+IF(I41="",0,5)+IF(K41="",0,4)+IF(M41="",0,4)+IF(O41="",0,5)))</f>
        <v/>
      </c>
      <c r="R41" s="14">
        <f>IF((IF(H41="",0,9)+IF(J41="",0,5)+IF(L41="",0,4)+IF(N41="",0,4)+IF(P41="",0,5))=0,"",(IF(H41="",0,H41*9)+IF(J41="",0,J41*5)+IF(L41="",0,L41*4)+IF(N41="",0,N41*4)+IF(P41="",0,P41*5))/27)</f>
        <v/>
      </c>
      <c r="S41" s="11">
        <f>IF(OR(City_Inputs!$S41="",Norm_Stats!$F$7="",Norm_Stats!$G$7="",Norm_Stats!$G$7=Norm_Stats!$F$7),"",MAX(0,MIN(100,100*(Norm_Stats!$G$7-MIN(MAX(City_Inputs!$S41,Norm_Stats!$F$7),Norm_Stats!$G$7))/(Norm_Stats!$G$7-Norm_Stats!$F$7))))</f>
        <v/>
      </c>
      <c r="T41" s="14">
        <f>IF(S41="","",1)</f>
        <v/>
      </c>
      <c r="U41" s="11">
        <f>IF(OR(City_Inputs!$T41="",Norm_Stats!$F$8="",Norm_Stats!$G$8="",Norm_Stats!$G$8=Norm_Stats!$F$8),"",MAX(0,MIN(100,100*(MIN(MAX(City_Inputs!$T41,Norm_Stats!$F$8),Norm_Stats!$G$8)-Norm_Stats!$F$8)/(Norm_Stats!$G$8-Norm_Stats!$F$8))))</f>
        <v/>
      </c>
      <c r="V41" s="14">
        <f>IF(U41="","",1)</f>
        <v/>
      </c>
      <c r="W41" s="11">
        <f>IF(OR(City_Inputs!$U41="",Norm_Stats!$F$9="",Norm_Stats!$G$9="",Norm_Stats!$G$9=Norm_Stats!$F$9),"",MAX(0,MIN(100,100*(Norm_Stats!$G$9-MIN(MAX(City_Inputs!$U41,Norm_Stats!$F$9),Norm_Stats!$G$9))/(Norm_Stats!$G$9-Norm_Stats!$F$9))))</f>
        <v/>
      </c>
      <c r="X41" s="14">
        <f>IF(W41="","",1)</f>
        <v/>
      </c>
      <c r="Y41" s="11">
        <f>IF(OR(City_Inputs!$V41="",Norm_Stats!$F$10="",Norm_Stats!$G$10="",Norm_Stats!$G$10=Norm_Stats!$F$10),"",MAX(0,MIN(100,100*(MIN(MAX(City_Inputs!$V41,Norm_Stats!$F$10),Norm_Stats!$G$10)-Norm_Stats!$F$10)/(Norm_Stats!$G$10-Norm_Stats!$F$10))))</f>
        <v/>
      </c>
      <c r="Z41" s="14">
        <f>IF(Y41="","",1)</f>
        <v/>
      </c>
      <c r="AA41" s="11">
        <f>IF(OR(City_Inputs!$W41="",Norm_Stats!$F$11="",Norm_Stats!$G$11="",Norm_Stats!$G$11=Norm_Stats!$F$11),"",MAX(0,MIN(100,100*(MIN(MAX(City_Inputs!$W41,Norm_Stats!$F$11),Norm_Stats!$G$11)-Norm_Stats!$F$11)/(Norm_Stats!$G$11-Norm_Stats!$F$11))))</f>
        <v/>
      </c>
      <c r="AB41" s="14">
        <f>IF(AA41="","",1)</f>
        <v/>
      </c>
      <c r="AC41" s="11">
        <f>IF(OR(City_Inputs!$X41="",Norm_Stats!$F$12="",Norm_Stats!$G$12="",Norm_Stats!$G$12=Norm_Stats!$F$12),"",MAX(0,MIN(100,100*(MIN(MAX(City_Inputs!$X41,Norm_Stats!$F$12),Norm_Stats!$G$12)-Norm_Stats!$F$12)/(Norm_Stats!$G$12-Norm_Stats!$F$12))))</f>
        <v/>
      </c>
      <c r="AD41" s="11">
        <f>IF(AC41="","",1)</f>
        <v/>
      </c>
      <c r="AE41" s="15">
        <f>IF((IF(S41="",0,5)+IF(U41="",0,5)+IF(W41="",0,4)+IF(Y41="",0,4)+IF(AA41="",0,4)+IF(AC41="",0,5))=0,"",(IF(S41="",0,S41*5)+IF(U41="",0,U41*5)+IF(W41="",0,W41*4)+IF(Y41="",0,Y41*4)+IF(AA41="",0,AA41*4)+IF(AC41="",0,AC41*5))/(IF(S41="",0,5)+IF(U41="",0,5)+IF(W41="",0,4)+IF(Y41="",0,4)+IF(AA41="",0,4)+IF(AC41="",0,5)))</f>
        <v/>
      </c>
      <c r="AF41" s="14">
        <f>IF((IF(T41="",0,5)+IF(V41="",0,5)+IF(X41="",0,4)+IF(Z41="",0,4)+IF(AB41="",0,4)+IF(AD41="",0,5))=0,"",(IF(T41="",0,T41*5)+IF(V41="",0,V41*5)+IF(X41="",0,X41*4)+IF(Z41="",0,Z41*4)+IF(AB41="",0,AB41*4)+IF(AD41="",0,AD41*5))/27)</f>
        <v/>
      </c>
      <c r="AG41" s="11">
        <f>IF(OR(City_Inputs!$Y41="",Norm_Stats!$F$13="",Norm_Stats!$G$13="",Norm_Stats!$G$13=Norm_Stats!$F$13),"",MAX(0,MIN(100,100*(MIN(MAX(City_Inputs!$Y41,Norm_Stats!$F$13),Norm_Stats!$G$13)-Norm_Stats!$F$13)/(Norm_Stats!$G$13-Norm_Stats!$F$13))))</f>
        <v/>
      </c>
      <c r="AH41" s="14">
        <f>IF(AG41="","",1)</f>
        <v/>
      </c>
      <c r="AI41" s="11">
        <f>IF(OR(City_Inputs!$Z41="",Norm_Stats!$F$14="",Norm_Stats!$G$14="",Norm_Stats!$G$14=Norm_Stats!$F$14),"",MAX(0,MIN(100,100*(MIN(MAX(City_Inputs!$Z41,Norm_Stats!$F$14),Norm_Stats!$G$14)-Norm_Stats!$F$14)/(Norm_Stats!$G$14-Norm_Stats!$F$14))))</f>
        <v/>
      </c>
      <c r="AJ41" s="14">
        <f>IF(AI41="","",1)</f>
        <v/>
      </c>
      <c r="AK41" s="11">
        <f>IF((IF((IF(OR(City_Inputs!$AA41="",Norm_Stats!$F$15="",Norm_Stats!$G$15="",Norm_Stats!$G$15=Norm_Stats!$F$15),"",MAX(0,MIN(100,100*(MIN(MAX(City_Inputs!$AA41,Norm_Stats!$F$15),Norm_Stats!$G$15)-Norm_Stats!$F$15)/(Norm_Stats!$G$15-Norm_Stats!$F$15)))))="",0,0.7)+IF((IF(OR(City_Inputs!$AL41="",Norm_Stats!$F$16="",Norm_Stats!$G$16="",Norm_Stats!$G$16=Norm_Stats!$F$16),"",MAX(0,MIN(100,100*(Norm_Stats!$G$16-MIN(MAX(City_Inputs!$AL41,Norm_Stats!$F$16),Norm_Stats!$G$16))/(Norm_Stats!$G$16-Norm_Stats!$F$16)))))="",0,0.3))=0,"",(IF((IF(OR(City_Inputs!$AA41="",Norm_Stats!$F$15="",Norm_Stats!$G$15="",Norm_Stats!$G$15=Norm_Stats!$F$15),"",MAX(0,MIN(100,100*(MIN(MAX(City_Inputs!$AA41,Norm_Stats!$F$15),Norm_Stats!$G$15)-Norm_Stats!$F$15)/(Norm_Stats!$G$15-Norm_Stats!$F$15)))))="",0,(IF(OR(City_Inputs!$AA41="",Norm_Stats!$F$15="",Norm_Stats!$G$15="",Norm_Stats!$G$15=Norm_Stats!$F$15),"",MAX(0,MIN(100,100*(MIN(MAX(City_Inputs!$AA41,Norm_Stats!$F$15),Norm_Stats!$G$15)-Norm_Stats!$F$15)/(Norm_Stats!$G$15-Norm_Stats!$F$15)))))*0.7)+IF((IF(OR(City_Inputs!$AL41="",Norm_Stats!$F$16="",Norm_Stats!$G$16="",Norm_Stats!$G$16=Norm_Stats!$F$16),"",MAX(0,MIN(100,100*(Norm_Stats!$G$16-MIN(MAX(City_Inputs!$AL41,Norm_Stats!$F$16),Norm_Stats!$G$16))/(Norm_Stats!$G$16-Norm_Stats!$F$16)))))="",0,(IF(OR(City_Inputs!$AL41="",Norm_Stats!$F$16="",Norm_Stats!$G$16="",Norm_Stats!$G$16=Norm_Stats!$F$16),"",MAX(0,MIN(100,100*(Norm_Stats!$G$16-MIN(MAX(City_Inputs!$AL41,Norm_Stats!$F$16),Norm_Stats!$G$16))/(Norm_Stats!$G$16-Norm_Stats!$F$16)))))*0.3))/(IF((IF(OR(City_Inputs!$AA41="",Norm_Stats!$F$15="",Norm_Stats!$G$15="",Norm_Stats!$G$15=Norm_Stats!$F$15),"",MAX(0,MIN(100,100*(MIN(MAX(City_Inputs!$AA41,Norm_Stats!$F$15),Norm_Stats!$G$15)-Norm_Stats!$F$15)/(Norm_Stats!$G$15-Norm_Stats!$F$15)))))="",0,0.7)+IF((IF(OR(City_Inputs!$AL41="",Norm_Stats!$F$16="",Norm_Stats!$G$16="",Norm_Stats!$G$16=Norm_Stats!$F$16),"",MAX(0,MIN(100,100*(Norm_Stats!$G$16-MIN(MAX(City_Inputs!$AL41,Norm_Stats!$F$16),Norm_Stats!$G$16))/(Norm_Stats!$G$16-Norm_Stats!$F$16)))))="",0,0.3)))</f>
        <v/>
      </c>
      <c r="AL41" s="14">
        <f>IF((IF((IF(OR(City_Inputs!$AA41="",Norm_Stats!$F$15="",Norm_Stats!$G$15="",Norm_Stats!$G$15=Norm_Stats!$F$15),"",MAX(0,MIN(100,100*(MIN(MAX(City_Inputs!$AA41,Norm_Stats!$F$15),Norm_Stats!$G$15)-Norm_Stats!$F$15)/(Norm_Stats!$G$15-Norm_Stats!$F$15)))))="",0,0.7)+IF((IF(OR(City_Inputs!$AL41="",Norm_Stats!$F$16="",Norm_Stats!$G$16="",Norm_Stats!$G$16=Norm_Stats!$F$16),"",MAX(0,MIN(100,100*(Norm_Stats!$G$16-MIN(MAX(City_Inputs!$AL41,Norm_Stats!$F$16),Norm_Stats!$G$16))/(Norm_Stats!$G$16-Norm_Stats!$F$16)))))="",0,0.3))=0,"",(IF((IF(OR(City_Inputs!$AA41="",Norm_Stats!$F$15="",Norm_Stats!$G$15="",Norm_Stats!$G$15=Norm_Stats!$F$15),"",MAX(0,MIN(100,100*(MIN(MAX(City_Inputs!$AA41,Norm_Stats!$F$15),Norm_Stats!$G$15)-Norm_Stats!$F$15)/(Norm_Stats!$G$15-Norm_Stats!$F$15)))))="",0,0.7)+IF((IF(OR(City_Inputs!$AL41="",Norm_Stats!$F$16="",Norm_Stats!$G$16="",Norm_Stats!$G$16=Norm_Stats!$F$16),"",MAX(0,MIN(100,100*(Norm_Stats!$G$16-MIN(MAX(City_Inputs!$AL41,Norm_Stats!$F$16),Norm_Stats!$G$16))/(Norm_Stats!$G$16-Norm_Stats!$F$16)))))="",0,0.3)))</f>
        <v/>
      </c>
      <c r="AM41" s="15">
        <f>IF((IF(AG41="",0,8)+IF(AI41="",0,6)+IF(AK41="",0,4))=0,"",(IF(AG41="",0,AG41*8)+IF(AI41="",0,AI41*6)+IF(AK41="",0,AK41*4))/(IF(AG41="",0,8)+IF(AI41="",0,6)+IF(AK41="",0,4)))</f>
        <v/>
      </c>
      <c r="AN41" s="14">
        <f>IF((IF(AH41="",0,8)+IF(AJ41="",0,6)+IF(AL41="",0,4))=0,"",(IF(AH41="",0,AH41*8)+IF(AJ41="",0,AJ41*6)+IF(AL41="",0,AL41*4))/18)</f>
        <v/>
      </c>
      <c r="AO41" s="11">
        <f>IF(OR(City_Inputs!$AB41="",Norm_Stats!$F$17="",Norm_Stats!$G$17="",Norm_Stats!$G$17=Norm_Stats!$F$17),"",MAX(0,MIN(100,100*(MIN(MAX(City_Inputs!$AB41,Norm_Stats!$F$17),Norm_Stats!$G$17)-Norm_Stats!$F$17)/(Norm_Stats!$G$17-Norm_Stats!$F$17))))</f>
        <v/>
      </c>
      <c r="AP41" s="14">
        <f>IF(AO41="","",1)</f>
        <v/>
      </c>
      <c r="AQ41" s="11">
        <f>IF(OR(City_Inputs!$AC41="",Norm_Stats!$F$18="",Norm_Stats!$G$18="",Norm_Stats!$G$18=Norm_Stats!$F$18),"",MAX(0,MIN(100,100*(MIN(MAX(City_Inputs!$AC41,Norm_Stats!$F$18),Norm_Stats!$G$18)-Norm_Stats!$F$18)/(Norm_Stats!$G$18-Norm_Stats!$F$18))))</f>
        <v/>
      </c>
      <c r="AR41" s="14">
        <f>IF(AQ41="","",1)</f>
        <v/>
      </c>
      <c r="AS41" s="11">
        <f>IF(OR(City_Inputs!$AD41="",Norm_Stats!$F$19="",Norm_Stats!$G$19="",Norm_Stats!$G$19=Norm_Stats!$F$19),"",MAX(0,MIN(100,100*(MIN(MAX(City_Inputs!$AD41,Norm_Stats!$F$19),Norm_Stats!$G$19)-Norm_Stats!$F$19)/(Norm_Stats!$G$19-Norm_Stats!$F$19))))</f>
        <v/>
      </c>
      <c r="AT41" s="14">
        <f>IF(AS41="","",1)</f>
        <v/>
      </c>
      <c r="AU41" s="11">
        <f>IF(OR(City_Inputs!$BJ41="",Norm_Stats!$F$26="",Norm_Stats!$G$26="",Norm_Stats!$G$26=Norm_Stats!$F$26),"",MAX(0,MIN(100,100*(MIN(MAX(City_Inputs!$BJ41,Norm_Stats!$F$26),Norm_Stats!$G$26)-Norm_Stats!$F$26)/(Norm_Stats!$G$26-Norm_Stats!$F$26))))</f>
        <v/>
      </c>
      <c r="AV41" s="11">
        <f>IF(AU41="","",1)</f>
        <v/>
      </c>
      <c r="AW41" s="15">
        <f>IF((IF(AO41="",0,5)+IF(AQ41="",0,5)+IF(AS41="",0,5)+IF(AU41="",0,4))=0,"",(IF(AO41="",0,AO41*5)+IF(AQ41="",0,AQ41*5)+IF(AS41="",0,AS41*5)+IF(AU41="",0,AU41*4))/(IF(AO41="",0,5)+IF(AQ41="",0,5)+IF(AS41="",0,5)+IF(AU41="",0,4)))</f>
        <v/>
      </c>
      <c r="AX41" s="14">
        <f>IF((IF(AP41="",0,5)+IF(AR41="",0,5)+IF(AT41="",0,5)+IF(AV41="",0,4))=0,"",(IF(AP41="",0,AP41*5)+IF(AR41="",0,AR41*5)+IF(AT41="",0,AT41*5)+IF(AV41="",0,AV41*4))/19)</f>
        <v/>
      </c>
      <c r="AY41" s="11">
        <f>IF(OR(City_Inputs!$AE41="",Norm_Stats!$F$20="",Norm_Stats!$G$20="",Norm_Stats!$G$20=Norm_Stats!$F$20),"",MAX(0,MIN(100,100*(MIN(MAX(City_Inputs!$AE41,Norm_Stats!$F$20),Norm_Stats!$G$20)-Norm_Stats!$F$20)/(Norm_Stats!$G$20-Norm_Stats!$F$20))))</f>
        <v/>
      </c>
      <c r="AZ41" s="14">
        <f>IF(AY41="","",1)</f>
        <v/>
      </c>
      <c r="BA41" s="11">
        <f>IF(OR(City_Inputs!$AF41="",Norm_Stats!$F$21="",Norm_Stats!$G$21="",Norm_Stats!$G$21=Norm_Stats!$F$21),"",MAX(0,MIN(100,100*(MIN(MAX(City_Inputs!$AF41,Norm_Stats!$F$21),Norm_Stats!$G$21)-Norm_Stats!$F$21)/(Norm_Stats!$G$21-Norm_Stats!$F$21))))</f>
        <v/>
      </c>
      <c r="BB41" s="14">
        <f>IF(BA41="","",1)</f>
        <v/>
      </c>
      <c r="BC41" s="11">
        <f>IF((IF((IF(OR(City_Inputs!$AG41="",Norm_Stats!$F$22="",Norm_Stats!$G$22="",Norm_Stats!$G$22=Norm_Stats!$F$22),"",MAX(0,MIN(100,100*(MIN(MAX(City_Inputs!$AG41,Norm_Stats!$F$22),Norm_Stats!$G$22)-Norm_Stats!$F$22)/(Norm_Stats!$G$22-Norm_Stats!$F$22)))))="",0,0.5)+IF((IF(OR(City_Inputs!$AJ41="",Norm_Stats!$F$23="",Norm_Stats!$G$23="",Norm_Stats!$G$23=Norm_Stats!$F$23),"",MAX(0,MIN(100,100*(MIN(MAX(City_Inputs!$AJ41,Norm_Stats!$F$23),Norm_Stats!$G$23)-Norm_Stats!$F$23)/(Norm_Stats!$G$23-Norm_Stats!$F$23)))))="",0,0.3)+IF((IF(OR(City_Inputs!$AK41="",Norm_Stats!$F$24="",Norm_Stats!$G$24="",Norm_Stats!$G$24=Norm_Stats!$F$24),"",MAX(0,MIN(100,100*(MIN(MAX(City_Inputs!$AK41,Norm_Stats!$F$24),Norm_Stats!$G$24)-Norm_Stats!$F$24)/(Norm_Stats!$G$24-Norm_Stats!$F$24)))))="",0,0.2))=0,"",(IF((IF(OR(City_Inputs!$AG41="",Norm_Stats!$F$22="",Norm_Stats!$G$22="",Norm_Stats!$G$22=Norm_Stats!$F$22),"",MAX(0,MIN(100,100*(MIN(MAX(City_Inputs!$AG41,Norm_Stats!$F$22),Norm_Stats!$G$22)-Norm_Stats!$F$22)/(Norm_Stats!$G$22-Norm_Stats!$F$22)))))="",0,(IF(OR(City_Inputs!$AG41="",Norm_Stats!$F$22="",Norm_Stats!$G$22="",Norm_Stats!$G$22=Norm_Stats!$F$22),"",MAX(0,MIN(100,100*(MIN(MAX(City_Inputs!$AG41,Norm_Stats!$F$22),Norm_Stats!$G$22)-Norm_Stats!$F$22)/(Norm_Stats!$G$22-Norm_Stats!$F$22)))))*0.5)+IF((IF(OR(City_Inputs!$AJ41="",Norm_Stats!$F$23="",Norm_Stats!$G$23="",Norm_Stats!$G$23=Norm_Stats!$F$23),"",MAX(0,MIN(100,100*(MIN(MAX(City_Inputs!$AJ41,Norm_Stats!$F$23),Norm_Stats!$G$23)-Norm_Stats!$F$23)/(Norm_Stats!$G$23-Norm_Stats!$F$23)))))="",0,(IF(OR(City_Inputs!$AJ41="",Norm_Stats!$F$23="",Norm_Stats!$G$23="",Norm_Stats!$G$23=Norm_Stats!$F$23),"",MAX(0,MIN(100,100*(MIN(MAX(City_Inputs!$AJ41,Norm_Stats!$F$23),Norm_Stats!$G$23)-Norm_Stats!$F$23)/(Norm_Stats!$G$23-Norm_Stats!$F$23)))))*0.3)+IF((IF(OR(City_Inputs!$AK41="",Norm_Stats!$F$24="",Norm_Stats!$G$24="",Norm_Stats!$G$24=Norm_Stats!$F$24),"",MAX(0,MIN(100,100*(MIN(MAX(City_Inputs!$AK41,Norm_Stats!$F$24),Norm_Stats!$G$24)-Norm_Stats!$F$24)/(Norm_Stats!$G$24-Norm_Stats!$F$24)))))="",0,(IF(OR(City_Inputs!$AK41="",Norm_Stats!$F$24="",Norm_Stats!$G$24="",Norm_Stats!$G$24=Norm_Stats!$F$24),"",MAX(0,MIN(100,100*(MIN(MAX(City_Inputs!$AK41,Norm_Stats!$F$24),Norm_Stats!$G$24)-Norm_Stats!$F$24)/(Norm_Stats!$G$24-Norm_Stats!$F$24)))))*0.2))/(IF((IF(OR(City_Inputs!$AG41="",Norm_Stats!$F$22="",Norm_Stats!$G$22="",Norm_Stats!$G$22=Norm_Stats!$F$22),"",MAX(0,MIN(100,100*(MIN(MAX(City_Inputs!$AG41,Norm_Stats!$F$22),Norm_Stats!$G$22)-Norm_Stats!$F$22)/(Norm_Stats!$G$22-Norm_Stats!$F$22)))))="",0,0.5)+IF((IF(OR(City_Inputs!$AJ41="",Norm_Stats!$F$23="",Norm_Stats!$G$23="",Norm_Stats!$G$23=Norm_Stats!$F$23),"",MAX(0,MIN(100,100*(MIN(MAX(City_Inputs!$AJ41,Norm_Stats!$F$23),Norm_Stats!$G$23)-Norm_Stats!$F$23)/(Norm_Stats!$G$23-Norm_Stats!$F$23)))))="",0,0.3)+IF((IF(OR(City_Inputs!$AK41="",Norm_Stats!$F$24="",Norm_Stats!$G$24="",Norm_Stats!$G$24=Norm_Stats!$F$24),"",MAX(0,MIN(100,100*(MIN(MAX(City_Inputs!$AK41,Norm_Stats!$F$24),Norm_Stats!$G$24)-Norm_Stats!$F$24)/(Norm_Stats!$G$24-Norm_Stats!$F$24)))))="",0,0.2)))</f>
        <v/>
      </c>
      <c r="BD41" s="14">
        <f>IF((IF((IF(OR(City_Inputs!$AG41="",Norm_Stats!$F$22="",Norm_Stats!$G$22="",Norm_Stats!$G$22=Norm_Stats!$F$22),"",MAX(0,MIN(100,100*(MIN(MAX(City_Inputs!$AG41,Norm_Stats!$F$22),Norm_Stats!$G$22)-Norm_Stats!$F$22)/(Norm_Stats!$G$22-Norm_Stats!$F$22)))))="",0,0.5)+IF((IF(OR(City_Inputs!$AJ41="",Norm_Stats!$F$23="",Norm_Stats!$G$23="",Norm_Stats!$G$23=Norm_Stats!$F$23),"",MAX(0,MIN(100,100*(MIN(MAX(City_Inputs!$AJ41,Norm_Stats!$F$23),Norm_Stats!$G$23)-Norm_Stats!$F$23)/(Norm_Stats!$G$23-Norm_Stats!$F$23)))))="",0,0.3)+IF((IF(OR(City_Inputs!$AK41="",Norm_Stats!$F$24="",Norm_Stats!$G$24="",Norm_Stats!$G$24=Norm_Stats!$F$24),"",MAX(0,MIN(100,100*(MIN(MAX(City_Inputs!$AK41,Norm_Stats!$F$24),Norm_Stats!$G$24)-Norm_Stats!$F$24)/(Norm_Stats!$G$24-Norm_Stats!$F$24)))))="",0,0.2))=0,"",(IF((IF(OR(City_Inputs!$AG41="",Norm_Stats!$F$22="",Norm_Stats!$G$22="",Norm_Stats!$G$22=Norm_Stats!$F$22),"",MAX(0,MIN(100,100*(MIN(MAX(City_Inputs!$AG41,Norm_Stats!$F$22),Norm_Stats!$G$22)-Norm_Stats!$F$22)/(Norm_Stats!$G$22-Norm_Stats!$F$22)))))="",0,0.5)+IF((IF(OR(City_Inputs!$AJ41="",Norm_Stats!$F$23="",Norm_Stats!$G$23="",Norm_Stats!$G$23=Norm_Stats!$F$23),"",MAX(0,MIN(100,100*(MIN(MAX(City_Inputs!$AJ41,Norm_Stats!$F$23),Norm_Stats!$G$23)-Norm_Stats!$F$23)/(Norm_Stats!$G$23-Norm_Stats!$F$23)))))="",0,0.3)+IF((IF(OR(City_Inputs!$AK41="",Norm_Stats!$F$24="",Norm_Stats!$G$24="",Norm_Stats!$G$24=Norm_Stats!$F$24),"",MAX(0,MIN(100,100*(MIN(MAX(City_Inputs!$AK41,Norm_Stats!$F$24),Norm_Stats!$G$24)-Norm_Stats!$F$24)/(Norm_Stats!$G$24-Norm_Stats!$F$24)))))="",0,0.2)))</f>
        <v/>
      </c>
      <c r="BE41" s="11">
        <f>IF(OR(City_Inputs!$AH41="",Norm_Stats!$F$25="",Norm_Stats!$G$25="",Norm_Stats!$G$25=Norm_Stats!$F$25),"",MAX(0,MIN(100,100*(Norm_Stats!$G$25-MIN(MAX(City_Inputs!$AH41,Norm_Stats!$F$25),Norm_Stats!$G$25))/(Norm_Stats!$G$25-Norm_Stats!$F$25))))</f>
        <v/>
      </c>
      <c r="BF41" s="14">
        <f>IF(BE41="","",1)</f>
        <v/>
      </c>
      <c r="BG41" s="15">
        <f>IF((IF(AY41="",0,6)+IF(BA41="",0,5)+IF(BC41="",0,5)+IF(BE41="",0,4))=0,"",(IF(AY41="",0,AY41*6)+IF(BA41="",0,BA41*5)+IF(BC41="",0,BC41*5)+IF(BE41="",0,BE41*4))/(IF(AY41="",0,6)+IF(BA41="",0,5)+IF(BC41="",0,5)+IF(BE41="",0,4)))</f>
        <v/>
      </c>
      <c r="BH41" s="14">
        <f>IF((IF(AZ41="",0,6)+IF(BB41="",0,5)+IF(BD41="",0,5)+IF(BF41="",0,4))=0,"",(IF(AZ41="",0,AZ41*6)+IF(BB41="",0,BB41*5)+IF(BD41="",0,BD41*5)+IF(BF41="",0,BF41*4))/20)</f>
        <v/>
      </c>
      <c r="BI41" s="14">
        <f>IF(AND(R41="",AF41="",AN41="",AX41="",BH41=""),"",((R41*25)+(AF41*22)+(AN41*18)+(AX41*15)+(BH41*20))/100)</f>
        <v/>
      </c>
      <c r="BJ41" s="11">
        <f>IF(BI41="","",IF(BI41&gt;=0.75,"A",IF(BI41&gt;=0.5,"B",IF(BI41&gt;=0.35,"C","Watchlist"))))</f>
        <v/>
      </c>
      <c r="BK41" s="11">
        <f>IF(OR(BI41="",BI41&lt;0.5,R41="",R41&lt;0.35,AF41="",AF41&lt;0.35,AN41="",AN41&lt;0.35,AX41="",AX41&lt;0.35,BH41="",BH41&lt;0.35),"Watchlist","Ranked")</f>
        <v/>
      </c>
      <c r="BL41" s="15">
        <f>IF(AND(Q41="",AE41="",AM41="",AW41="",BG41=""),"",(IF(Q41="",0,Q41*25)+IF(AE41="",0,AE41*22)+IF(AM41="",0,AM41*18)+IF(AW41="",0,AW41*15)+IF(BG41="",0,BG41*20))/(IF(Q41="",0,25)+IF(AE41="",0,22)+IF(AM41="",0,18)+IF(AW41="",0,15)+IF(BG41="",0,20)))</f>
        <v/>
      </c>
      <c r="BM41" s="11">
        <f>IF(BK41="Ranked",1+COUNTIFS($BK$2:$BK$158,"Ranked",$BL$2:$BL$158,"&gt;"&amp;BL41),"")</f>
        <v/>
      </c>
      <c r="BN41" s="11">
        <f>City_Inputs!$AI41</f>
        <v/>
      </c>
    </row>
    <row r="42">
      <c r="A42" t="inlineStr">
        <is>
          <t>nl-amsterdam</t>
        </is>
      </c>
      <c r="B42" t="inlineStr">
        <is>
          <t>Amsterdam</t>
        </is>
      </c>
      <c r="C42" t="inlineStr">
        <is>
          <t>Netherlands</t>
        </is>
      </c>
      <c r="D42" t="inlineStr">
        <is>
          <t>Western, Northern, and Southern Europe</t>
        </is>
      </c>
      <c r="E42" t="inlineStr">
        <is>
          <t>provisional</t>
        </is>
      </c>
      <c r="F42" t="inlineStr">
        <is>
          <t>primary</t>
        </is>
      </c>
      <c r="G42" s="11">
        <f>IF(OR(City_Inputs!$M42="",Norm_Stats!$F$2="",Norm_Stats!$G$2="",Norm_Stats!$G$2=Norm_Stats!$F$2),"",MAX(0,MIN(100,100*(MIN(MAX(City_Inputs!$M42,Norm_Stats!$F$2),Norm_Stats!$G$2)-Norm_Stats!$F$2)/(Norm_Stats!$G$2-Norm_Stats!$F$2))))</f>
        <v/>
      </c>
      <c r="H42" s="14">
        <f>IF(G42="","",1)</f>
        <v/>
      </c>
      <c r="I42" s="11">
        <f>IF(OR(City_Inputs!$N42="",Norm_Stats!$F$3="",Norm_Stats!$G$3="",Norm_Stats!$G$3=Norm_Stats!$F$3),"",MAX(0,MIN(100,100*(Norm_Stats!$G$3-MIN(MAX(City_Inputs!$N42,Norm_Stats!$F$3),Norm_Stats!$G$3))/(Norm_Stats!$G$3-Norm_Stats!$F$3))))</f>
        <v/>
      </c>
      <c r="J42" s="14">
        <f>IF(I42="","",1)</f>
        <v/>
      </c>
      <c r="K42" s="11">
        <f>IF(OR(City_Inputs!$P42="",Norm_Stats!$F$4="",Norm_Stats!$G$4="",Norm_Stats!$G$4=Norm_Stats!$F$4),"",MAX(0,MIN(100,100*(Norm_Stats!$G$4-MIN(MAX(City_Inputs!$P42,Norm_Stats!$F$4),Norm_Stats!$G$4))/(Norm_Stats!$G$4-Norm_Stats!$F$4))))</f>
        <v/>
      </c>
      <c r="L42" s="14">
        <f>IF(K42="","",1)</f>
        <v/>
      </c>
      <c r="M42" s="11">
        <f>IF(OR(City_Inputs!$Q42="",Norm_Stats!$F$5="",Norm_Stats!$G$5="",Norm_Stats!$G$5=Norm_Stats!$F$5),"",MAX(0,MIN(100,100*(Norm_Stats!$G$5-MIN(MAX(City_Inputs!$Q42,Norm_Stats!$F$5),Norm_Stats!$G$5))/(Norm_Stats!$G$5-Norm_Stats!$F$5))))</f>
        <v/>
      </c>
      <c r="N42" s="14">
        <f>IF(M42="","",1)</f>
        <v/>
      </c>
      <c r="O42" s="11">
        <f>IF(OR(City_Inputs!$R42="",Norm_Stats!$F$6="",Norm_Stats!$G$6="",Norm_Stats!$G$6=Norm_Stats!$F$6),"",MAX(0,MIN(100,100*(Norm_Stats!$G$6-MIN(MAX(City_Inputs!$R42,Norm_Stats!$F$6),Norm_Stats!$G$6))/(Norm_Stats!$G$6-Norm_Stats!$F$6))))</f>
        <v/>
      </c>
      <c r="P42" s="14">
        <f>IF(O42="","",1)</f>
        <v/>
      </c>
      <c r="Q42" s="15">
        <f>IF((IF(G42="",0,9)+IF(I42="",0,5)+IF(K42="",0,4)+IF(M42="",0,4)+IF(O42="",0,5))=0,"",(IF(G42="",0,G42*9)+IF(I42="",0,I42*5)+IF(K42="",0,K42*4)+IF(M42="",0,M42*4)+IF(O42="",0,O42*5))/(IF(G42="",0,9)+IF(I42="",0,5)+IF(K42="",0,4)+IF(M42="",0,4)+IF(O42="",0,5)))</f>
        <v/>
      </c>
      <c r="R42" s="14">
        <f>IF((IF(H42="",0,9)+IF(J42="",0,5)+IF(L42="",0,4)+IF(N42="",0,4)+IF(P42="",0,5))=0,"",(IF(H42="",0,H42*9)+IF(J42="",0,J42*5)+IF(L42="",0,L42*4)+IF(N42="",0,N42*4)+IF(P42="",0,P42*5))/27)</f>
        <v/>
      </c>
      <c r="S42" s="11">
        <f>IF(OR(City_Inputs!$S42="",Norm_Stats!$F$7="",Norm_Stats!$G$7="",Norm_Stats!$G$7=Norm_Stats!$F$7),"",MAX(0,MIN(100,100*(Norm_Stats!$G$7-MIN(MAX(City_Inputs!$S42,Norm_Stats!$F$7),Norm_Stats!$G$7))/(Norm_Stats!$G$7-Norm_Stats!$F$7))))</f>
        <v/>
      </c>
      <c r="T42" s="14">
        <f>IF(S42="","",1)</f>
        <v/>
      </c>
      <c r="U42" s="11">
        <f>IF(OR(City_Inputs!$T42="",Norm_Stats!$F$8="",Norm_Stats!$G$8="",Norm_Stats!$G$8=Norm_Stats!$F$8),"",MAX(0,MIN(100,100*(MIN(MAX(City_Inputs!$T42,Norm_Stats!$F$8),Norm_Stats!$G$8)-Norm_Stats!$F$8)/(Norm_Stats!$G$8-Norm_Stats!$F$8))))</f>
        <v/>
      </c>
      <c r="V42" s="14">
        <f>IF(U42="","",1)</f>
        <v/>
      </c>
      <c r="W42" s="11">
        <f>IF(OR(City_Inputs!$U42="",Norm_Stats!$F$9="",Norm_Stats!$G$9="",Norm_Stats!$G$9=Norm_Stats!$F$9),"",MAX(0,MIN(100,100*(Norm_Stats!$G$9-MIN(MAX(City_Inputs!$U42,Norm_Stats!$F$9),Norm_Stats!$G$9))/(Norm_Stats!$G$9-Norm_Stats!$F$9))))</f>
        <v/>
      </c>
      <c r="X42" s="14">
        <f>IF(W42="","",1)</f>
        <v/>
      </c>
      <c r="Y42" s="11">
        <f>IF(OR(City_Inputs!$V42="",Norm_Stats!$F$10="",Norm_Stats!$G$10="",Norm_Stats!$G$10=Norm_Stats!$F$10),"",MAX(0,MIN(100,100*(MIN(MAX(City_Inputs!$V42,Norm_Stats!$F$10),Norm_Stats!$G$10)-Norm_Stats!$F$10)/(Norm_Stats!$G$10-Norm_Stats!$F$10))))</f>
        <v/>
      </c>
      <c r="Z42" s="14">
        <f>IF(Y42="","",1)</f>
        <v/>
      </c>
      <c r="AA42" s="11">
        <f>IF(OR(City_Inputs!$W42="",Norm_Stats!$F$11="",Norm_Stats!$G$11="",Norm_Stats!$G$11=Norm_Stats!$F$11),"",MAX(0,MIN(100,100*(MIN(MAX(City_Inputs!$W42,Norm_Stats!$F$11),Norm_Stats!$G$11)-Norm_Stats!$F$11)/(Norm_Stats!$G$11-Norm_Stats!$F$11))))</f>
        <v/>
      </c>
      <c r="AB42" s="14">
        <f>IF(AA42="","",1)</f>
        <v/>
      </c>
      <c r="AC42" s="11">
        <f>IF(OR(City_Inputs!$X42="",Norm_Stats!$F$12="",Norm_Stats!$G$12="",Norm_Stats!$G$12=Norm_Stats!$F$12),"",MAX(0,MIN(100,100*(MIN(MAX(City_Inputs!$X42,Norm_Stats!$F$12),Norm_Stats!$G$12)-Norm_Stats!$F$12)/(Norm_Stats!$G$12-Norm_Stats!$F$12))))</f>
        <v/>
      </c>
      <c r="AD42" s="11">
        <f>IF(AC42="","",1)</f>
        <v/>
      </c>
      <c r="AE42" s="15">
        <f>IF((IF(S42="",0,5)+IF(U42="",0,5)+IF(W42="",0,4)+IF(Y42="",0,4)+IF(AA42="",0,4)+IF(AC42="",0,5))=0,"",(IF(S42="",0,S42*5)+IF(U42="",0,U42*5)+IF(W42="",0,W42*4)+IF(Y42="",0,Y42*4)+IF(AA42="",0,AA42*4)+IF(AC42="",0,AC42*5))/(IF(S42="",0,5)+IF(U42="",0,5)+IF(W42="",0,4)+IF(Y42="",0,4)+IF(AA42="",0,4)+IF(AC42="",0,5)))</f>
        <v/>
      </c>
      <c r="AF42" s="14">
        <f>IF((IF(T42="",0,5)+IF(V42="",0,5)+IF(X42="",0,4)+IF(Z42="",0,4)+IF(AB42="",0,4)+IF(AD42="",0,5))=0,"",(IF(T42="",0,T42*5)+IF(V42="",0,V42*5)+IF(X42="",0,X42*4)+IF(Z42="",0,Z42*4)+IF(AB42="",0,AB42*4)+IF(AD42="",0,AD42*5))/27)</f>
        <v/>
      </c>
      <c r="AG42" s="11">
        <f>IF(OR(City_Inputs!$Y42="",Norm_Stats!$F$13="",Norm_Stats!$G$13="",Norm_Stats!$G$13=Norm_Stats!$F$13),"",MAX(0,MIN(100,100*(MIN(MAX(City_Inputs!$Y42,Norm_Stats!$F$13),Norm_Stats!$G$13)-Norm_Stats!$F$13)/(Norm_Stats!$G$13-Norm_Stats!$F$13))))</f>
        <v/>
      </c>
      <c r="AH42" s="14">
        <f>IF(AG42="","",1)</f>
        <v/>
      </c>
      <c r="AI42" s="11">
        <f>IF(OR(City_Inputs!$Z42="",Norm_Stats!$F$14="",Norm_Stats!$G$14="",Norm_Stats!$G$14=Norm_Stats!$F$14),"",MAX(0,MIN(100,100*(MIN(MAX(City_Inputs!$Z42,Norm_Stats!$F$14),Norm_Stats!$G$14)-Norm_Stats!$F$14)/(Norm_Stats!$G$14-Norm_Stats!$F$14))))</f>
        <v/>
      </c>
      <c r="AJ42" s="14">
        <f>IF(AI42="","",1)</f>
        <v/>
      </c>
      <c r="AK42" s="11">
        <f>IF((IF((IF(OR(City_Inputs!$AA42="",Norm_Stats!$F$15="",Norm_Stats!$G$15="",Norm_Stats!$G$15=Norm_Stats!$F$15),"",MAX(0,MIN(100,100*(MIN(MAX(City_Inputs!$AA42,Norm_Stats!$F$15),Norm_Stats!$G$15)-Norm_Stats!$F$15)/(Norm_Stats!$G$15-Norm_Stats!$F$15)))))="",0,0.7)+IF((IF(OR(City_Inputs!$AL42="",Norm_Stats!$F$16="",Norm_Stats!$G$16="",Norm_Stats!$G$16=Norm_Stats!$F$16),"",MAX(0,MIN(100,100*(Norm_Stats!$G$16-MIN(MAX(City_Inputs!$AL42,Norm_Stats!$F$16),Norm_Stats!$G$16))/(Norm_Stats!$G$16-Norm_Stats!$F$16)))))="",0,0.3))=0,"",(IF((IF(OR(City_Inputs!$AA42="",Norm_Stats!$F$15="",Norm_Stats!$G$15="",Norm_Stats!$G$15=Norm_Stats!$F$15),"",MAX(0,MIN(100,100*(MIN(MAX(City_Inputs!$AA42,Norm_Stats!$F$15),Norm_Stats!$G$15)-Norm_Stats!$F$15)/(Norm_Stats!$G$15-Norm_Stats!$F$15)))))="",0,(IF(OR(City_Inputs!$AA42="",Norm_Stats!$F$15="",Norm_Stats!$G$15="",Norm_Stats!$G$15=Norm_Stats!$F$15),"",MAX(0,MIN(100,100*(MIN(MAX(City_Inputs!$AA42,Norm_Stats!$F$15),Norm_Stats!$G$15)-Norm_Stats!$F$15)/(Norm_Stats!$G$15-Norm_Stats!$F$15)))))*0.7)+IF((IF(OR(City_Inputs!$AL42="",Norm_Stats!$F$16="",Norm_Stats!$G$16="",Norm_Stats!$G$16=Norm_Stats!$F$16),"",MAX(0,MIN(100,100*(Norm_Stats!$G$16-MIN(MAX(City_Inputs!$AL42,Norm_Stats!$F$16),Norm_Stats!$G$16))/(Norm_Stats!$G$16-Norm_Stats!$F$16)))))="",0,(IF(OR(City_Inputs!$AL42="",Norm_Stats!$F$16="",Norm_Stats!$G$16="",Norm_Stats!$G$16=Norm_Stats!$F$16),"",MAX(0,MIN(100,100*(Norm_Stats!$G$16-MIN(MAX(City_Inputs!$AL42,Norm_Stats!$F$16),Norm_Stats!$G$16))/(Norm_Stats!$G$16-Norm_Stats!$F$16)))))*0.3))/(IF((IF(OR(City_Inputs!$AA42="",Norm_Stats!$F$15="",Norm_Stats!$G$15="",Norm_Stats!$G$15=Norm_Stats!$F$15),"",MAX(0,MIN(100,100*(MIN(MAX(City_Inputs!$AA42,Norm_Stats!$F$15),Norm_Stats!$G$15)-Norm_Stats!$F$15)/(Norm_Stats!$G$15-Norm_Stats!$F$15)))))="",0,0.7)+IF((IF(OR(City_Inputs!$AL42="",Norm_Stats!$F$16="",Norm_Stats!$G$16="",Norm_Stats!$G$16=Norm_Stats!$F$16),"",MAX(0,MIN(100,100*(Norm_Stats!$G$16-MIN(MAX(City_Inputs!$AL42,Norm_Stats!$F$16),Norm_Stats!$G$16))/(Norm_Stats!$G$16-Norm_Stats!$F$16)))))="",0,0.3)))</f>
        <v/>
      </c>
      <c r="AL42" s="14">
        <f>IF((IF((IF(OR(City_Inputs!$AA42="",Norm_Stats!$F$15="",Norm_Stats!$G$15="",Norm_Stats!$G$15=Norm_Stats!$F$15),"",MAX(0,MIN(100,100*(MIN(MAX(City_Inputs!$AA42,Norm_Stats!$F$15),Norm_Stats!$G$15)-Norm_Stats!$F$15)/(Norm_Stats!$G$15-Norm_Stats!$F$15)))))="",0,0.7)+IF((IF(OR(City_Inputs!$AL42="",Norm_Stats!$F$16="",Norm_Stats!$G$16="",Norm_Stats!$G$16=Norm_Stats!$F$16),"",MAX(0,MIN(100,100*(Norm_Stats!$G$16-MIN(MAX(City_Inputs!$AL42,Norm_Stats!$F$16),Norm_Stats!$G$16))/(Norm_Stats!$G$16-Norm_Stats!$F$16)))))="",0,0.3))=0,"",(IF((IF(OR(City_Inputs!$AA42="",Norm_Stats!$F$15="",Norm_Stats!$G$15="",Norm_Stats!$G$15=Norm_Stats!$F$15),"",MAX(0,MIN(100,100*(MIN(MAX(City_Inputs!$AA42,Norm_Stats!$F$15),Norm_Stats!$G$15)-Norm_Stats!$F$15)/(Norm_Stats!$G$15-Norm_Stats!$F$15)))))="",0,0.7)+IF((IF(OR(City_Inputs!$AL42="",Norm_Stats!$F$16="",Norm_Stats!$G$16="",Norm_Stats!$G$16=Norm_Stats!$F$16),"",MAX(0,MIN(100,100*(Norm_Stats!$G$16-MIN(MAX(City_Inputs!$AL42,Norm_Stats!$F$16),Norm_Stats!$G$16))/(Norm_Stats!$G$16-Norm_Stats!$F$16)))))="",0,0.3)))</f>
        <v/>
      </c>
      <c r="AM42" s="15">
        <f>IF((IF(AG42="",0,8)+IF(AI42="",0,6)+IF(AK42="",0,4))=0,"",(IF(AG42="",0,AG42*8)+IF(AI42="",0,AI42*6)+IF(AK42="",0,AK42*4))/(IF(AG42="",0,8)+IF(AI42="",0,6)+IF(AK42="",0,4)))</f>
        <v/>
      </c>
      <c r="AN42" s="14">
        <f>IF((IF(AH42="",0,8)+IF(AJ42="",0,6)+IF(AL42="",0,4))=0,"",(IF(AH42="",0,AH42*8)+IF(AJ42="",0,AJ42*6)+IF(AL42="",0,AL42*4))/18)</f>
        <v/>
      </c>
      <c r="AO42" s="11">
        <f>IF(OR(City_Inputs!$AB42="",Norm_Stats!$F$17="",Norm_Stats!$G$17="",Norm_Stats!$G$17=Norm_Stats!$F$17),"",MAX(0,MIN(100,100*(MIN(MAX(City_Inputs!$AB42,Norm_Stats!$F$17),Norm_Stats!$G$17)-Norm_Stats!$F$17)/(Norm_Stats!$G$17-Norm_Stats!$F$17))))</f>
        <v/>
      </c>
      <c r="AP42" s="14">
        <f>IF(AO42="","",1)</f>
        <v/>
      </c>
      <c r="AQ42" s="11">
        <f>IF(OR(City_Inputs!$AC42="",Norm_Stats!$F$18="",Norm_Stats!$G$18="",Norm_Stats!$G$18=Norm_Stats!$F$18),"",MAX(0,MIN(100,100*(MIN(MAX(City_Inputs!$AC42,Norm_Stats!$F$18),Norm_Stats!$G$18)-Norm_Stats!$F$18)/(Norm_Stats!$G$18-Norm_Stats!$F$18))))</f>
        <v/>
      </c>
      <c r="AR42" s="14">
        <f>IF(AQ42="","",1)</f>
        <v/>
      </c>
      <c r="AS42" s="11">
        <f>IF(OR(City_Inputs!$AD42="",Norm_Stats!$F$19="",Norm_Stats!$G$19="",Norm_Stats!$G$19=Norm_Stats!$F$19),"",MAX(0,MIN(100,100*(MIN(MAX(City_Inputs!$AD42,Norm_Stats!$F$19),Norm_Stats!$G$19)-Norm_Stats!$F$19)/(Norm_Stats!$G$19-Norm_Stats!$F$19))))</f>
        <v/>
      </c>
      <c r="AT42" s="14">
        <f>IF(AS42="","",1)</f>
        <v/>
      </c>
      <c r="AU42" s="11">
        <f>IF(OR(City_Inputs!$BJ42="",Norm_Stats!$F$26="",Norm_Stats!$G$26="",Norm_Stats!$G$26=Norm_Stats!$F$26),"",MAX(0,MIN(100,100*(MIN(MAX(City_Inputs!$BJ42,Norm_Stats!$F$26),Norm_Stats!$G$26)-Norm_Stats!$F$26)/(Norm_Stats!$G$26-Norm_Stats!$F$26))))</f>
        <v/>
      </c>
      <c r="AV42" s="11">
        <f>IF(AU42="","",1)</f>
        <v/>
      </c>
      <c r="AW42" s="15">
        <f>IF((IF(AO42="",0,5)+IF(AQ42="",0,5)+IF(AS42="",0,5)+IF(AU42="",0,4))=0,"",(IF(AO42="",0,AO42*5)+IF(AQ42="",0,AQ42*5)+IF(AS42="",0,AS42*5)+IF(AU42="",0,AU42*4))/(IF(AO42="",0,5)+IF(AQ42="",0,5)+IF(AS42="",0,5)+IF(AU42="",0,4)))</f>
        <v/>
      </c>
      <c r="AX42" s="14">
        <f>IF((IF(AP42="",0,5)+IF(AR42="",0,5)+IF(AT42="",0,5)+IF(AV42="",0,4))=0,"",(IF(AP42="",0,AP42*5)+IF(AR42="",0,AR42*5)+IF(AT42="",0,AT42*5)+IF(AV42="",0,AV42*4))/19)</f>
        <v/>
      </c>
      <c r="AY42" s="11">
        <f>IF(OR(City_Inputs!$AE42="",Norm_Stats!$F$20="",Norm_Stats!$G$20="",Norm_Stats!$G$20=Norm_Stats!$F$20),"",MAX(0,MIN(100,100*(MIN(MAX(City_Inputs!$AE42,Norm_Stats!$F$20),Norm_Stats!$G$20)-Norm_Stats!$F$20)/(Norm_Stats!$G$20-Norm_Stats!$F$20))))</f>
        <v/>
      </c>
      <c r="AZ42" s="14">
        <f>IF(AY42="","",1)</f>
        <v/>
      </c>
      <c r="BA42" s="11">
        <f>IF(OR(City_Inputs!$AF42="",Norm_Stats!$F$21="",Norm_Stats!$G$21="",Norm_Stats!$G$21=Norm_Stats!$F$21),"",MAX(0,MIN(100,100*(MIN(MAX(City_Inputs!$AF42,Norm_Stats!$F$21),Norm_Stats!$G$21)-Norm_Stats!$F$21)/(Norm_Stats!$G$21-Norm_Stats!$F$21))))</f>
        <v/>
      </c>
      <c r="BB42" s="14">
        <f>IF(BA42="","",1)</f>
        <v/>
      </c>
      <c r="BC42" s="11">
        <f>IF((IF((IF(OR(City_Inputs!$AG42="",Norm_Stats!$F$22="",Norm_Stats!$G$22="",Norm_Stats!$G$22=Norm_Stats!$F$22),"",MAX(0,MIN(100,100*(MIN(MAX(City_Inputs!$AG42,Norm_Stats!$F$22),Norm_Stats!$G$22)-Norm_Stats!$F$22)/(Norm_Stats!$G$22-Norm_Stats!$F$22)))))="",0,0.5)+IF((IF(OR(City_Inputs!$AJ42="",Norm_Stats!$F$23="",Norm_Stats!$G$23="",Norm_Stats!$G$23=Norm_Stats!$F$23),"",MAX(0,MIN(100,100*(MIN(MAX(City_Inputs!$AJ42,Norm_Stats!$F$23),Norm_Stats!$G$23)-Norm_Stats!$F$23)/(Norm_Stats!$G$23-Norm_Stats!$F$23)))))="",0,0.3)+IF((IF(OR(City_Inputs!$AK42="",Norm_Stats!$F$24="",Norm_Stats!$G$24="",Norm_Stats!$G$24=Norm_Stats!$F$24),"",MAX(0,MIN(100,100*(MIN(MAX(City_Inputs!$AK42,Norm_Stats!$F$24),Norm_Stats!$G$24)-Norm_Stats!$F$24)/(Norm_Stats!$G$24-Norm_Stats!$F$24)))))="",0,0.2))=0,"",(IF((IF(OR(City_Inputs!$AG42="",Norm_Stats!$F$22="",Norm_Stats!$G$22="",Norm_Stats!$G$22=Norm_Stats!$F$22),"",MAX(0,MIN(100,100*(MIN(MAX(City_Inputs!$AG42,Norm_Stats!$F$22),Norm_Stats!$G$22)-Norm_Stats!$F$22)/(Norm_Stats!$G$22-Norm_Stats!$F$22)))))="",0,(IF(OR(City_Inputs!$AG42="",Norm_Stats!$F$22="",Norm_Stats!$G$22="",Norm_Stats!$G$22=Norm_Stats!$F$22),"",MAX(0,MIN(100,100*(MIN(MAX(City_Inputs!$AG42,Norm_Stats!$F$22),Norm_Stats!$G$22)-Norm_Stats!$F$22)/(Norm_Stats!$G$22-Norm_Stats!$F$22)))))*0.5)+IF((IF(OR(City_Inputs!$AJ42="",Norm_Stats!$F$23="",Norm_Stats!$G$23="",Norm_Stats!$G$23=Norm_Stats!$F$23),"",MAX(0,MIN(100,100*(MIN(MAX(City_Inputs!$AJ42,Norm_Stats!$F$23),Norm_Stats!$G$23)-Norm_Stats!$F$23)/(Norm_Stats!$G$23-Norm_Stats!$F$23)))))="",0,(IF(OR(City_Inputs!$AJ42="",Norm_Stats!$F$23="",Norm_Stats!$G$23="",Norm_Stats!$G$23=Norm_Stats!$F$23),"",MAX(0,MIN(100,100*(MIN(MAX(City_Inputs!$AJ42,Norm_Stats!$F$23),Norm_Stats!$G$23)-Norm_Stats!$F$23)/(Norm_Stats!$G$23-Norm_Stats!$F$23)))))*0.3)+IF((IF(OR(City_Inputs!$AK42="",Norm_Stats!$F$24="",Norm_Stats!$G$24="",Norm_Stats!$G$24=Norm_Stats!$F$24),"",MAX(0,MIN(100,100*(MIN(MAX(City_Inputs!$AK42,Norm_Stats!$F$24),Norm_Stats!$G$24)-Norm_Stats!$F$24)/(Norm_Stats!$G$24-Norm_Stats!$F$24)))))="",0,(IF(OR(City_Inputs!$AK42="",Norm_Stats!$F$24="",Norm_Stats!$G$24="",Norm_Stats!$G$24=Norm_Stats!$F$24),"",MAX(0,MIN(100,100*(MIN(MAX(City_Inputs!$AK42,Norm_Stats!$F$24),Norm_Stats!$G$24)-Norm_Stats!$F$24)/(Norm_Stats!$G$24-Norm_Stats!$F$24)))))*0.2))/(IF((IF(OR(City_Inputs!$AG42="",Norm_Stats!$F$22="",Norm_Stats!$G$22="",Norm_Stats!$G$22=Norm_Stats!$F$22),"",MAX(0,MIN(100,100*(MIN(MAX(City_Inputs!$AG42,Norm_Stats!$F$22),Norm_Stats!$G$22)-Norm_Stats!$F$22)/(Norm_Stats!$G$22-Norm_Stats!$F$22)))))="",0,0.5)+IF((IF(OR(City_Inputs!$AJ42="",Norm_Stats!$F$23="",Norm_Stats!$G$23="",Norm_Stats!$G$23=Norm_Stats!$F$23),"",MAX(0,MIN(100,100*(MIN(MAX(City_Inputs!$AJ42,Norm_Stats!$F$23),Norm_Stats!$G$23)-Norm_Stats!$F$23)/(Norm_Stats!$G$23-Norm_Stats!$F$23)))))="",0,0.3)+IF((IF(OR(City_Inputs!$AK42="",Norm_Stats!$F$24="",Norm_Stats!$G$24="",Norm_Stats!$G$24=Norm_Stats!$F$24),"",MAX(0,MIN(100,100*(MIN(MAX(City_Inputs!$AK42,Norm_Stats!$F$24),Norm_Stats!$G$24)-Norm_Stats!$F$24)/(Norm_Stats!$G$24-Norm_Stats!$F$24)))))="",0,0.2)))</f>
        <v/>
      </c>
      <c r="BD42" s="14">
        <f>IF((IF((IF(OR(City_Inputs!$AG42="",Norm_Stats!$F$22="",Norm_Stats!$G$22="",Norm_Stats!$G$22=Norm_Stats!$F$22),"",MAX(0,MIN(100,100*(MIN(MAX(City_Inputs!$AG42,Norm_Stats!$F$22),Norm_Stats!$G$22)-Norm_Stats!$F$22)/(Norm_Stats!$G$22-Norm_Stats!$F$22)))))="",0,0.5)+IF((IF(OR(City_Inputs!$AJ42="",Norm_Stats!$F$23="",Norm_Stats!$G$23="",Norm_Stats!$G$23=Norm_Stats!$F$23),"",MAX(0,MIN(100,100*(MIN(MAX(City_Inputs!$AJ42,Norm_Stats!$F$23),Norm_Stats!$G$23)-Norm_Stats!$F$23)/(Norm_Stats!$G$23-Norm_Stats!$F$23)))))="",0,0.3)+IF((IF(OR(City_Inputs!$AK42="",Norm_Stats!$F$24="",Norm_Stats!$G$24="",Norm_Stats!$G$24=Norm_Stats!$F$24),"",MAX(0,MIN(100,100*(MIN(MAX(City_Inputs!$AK42,Norm_Stats!$F$24),Norm_Stats!$G$24)-Norm_Stats!$F$24)/(Norm_Stats!$G$24-Norm_Stats!$F$24)))))="",0,0.2))=0,"",(IF((IF(OR(City_Inputs!$AG42="",Norm_Stats!$F$22="",Norm_Stats!$G$22="",Norm_Stats!$G$22=Norm_Stats!$F$22),"",MAX(0,MIN(100,100*(MIN(MAX(City_Inputs!$AG42,Norm_Stats!$F$22),Norm_Stats!$G$22)-Norm_Stats!$F$22)/(Norm_Stats!$G$22-Norm_Stats!$F$22)))))="",0,0.5)+IF((IF(OR(City_Inputs!$AJ42="",Norm_Stats!$F$23="",Norm_Stats!$G$23="",Norm_Stats!$G$23=Norm_Stats!$F$23),"",MAX(0,MIN(100,100*(MIN(MAX(City_Inputs!$AJ42,Norm_Stats!$F$23),Norm_Stats!$G$23)-Norm_Stats!$F$23)/(Norm_Stats!$G$23-Norm_Stats!$F$23)))))="",0,0.3)+IF((IF(OR(City_Inputs!$AK42="",Norm_Stats!$F$24="",Norm_Stats!$G$24="",Norm_Stats!$G$24=Norm_Stats!$F$24),"",MAX(0,MIN(100,100*(MIN(MAX(City_Inputs!$AK42,Norm_Stats!$F$24),Norm_Stats!$G$24)-Norm_Stats!$F$24)/(Norm_Stats!$G$24-Norm_Stats!$F$24)))))="",0,0.2)))</f>
        <v/>
      </c>
      <c r="BE42" s="11">
        <f>IF(OR(City_Inputs!$AH42="",Norm_Stats!$F$25="",Norm_Stats!$G$25="",Norm_Stats!$G$25=Norm_Stats!$F$25),"",MAX(0,MIN(100,100*(Norm_Stats!$G$25-MIN(MAX(City_Inputs!$AH42,Norm_Stats!$F$25),Norm_Stats!$G$25))/(Norm_Stats!$G$25-Norm_Stats!$F$25))))</f>
        <v/>
      </c>
      <c r="BF42" s="14">
        <f>IF(BE42="","",1)</f>
        <v/>
      </c>
      <c r="BG42" s="15">
        <f>IF((IF(AY42="",0,6)+IF(BA42="",0,5)+IF(BC42="",0,5)+IF(BE42="",0,4))=0,"",(IF(AY42="",0,AY42*6)+IF(BA42="",0,BA42*5)+IF(BC42="",0,BC42*5)+IF(BE42="",0,BE42*4))/(IF(AY42="",0,6)+IF(BA42="",0,5)+IF(BC42="",0,5)+IF(BE42="",0,4)))</f>
        <v/>
      </c>
      <c r="BH42" s="14">
        <f>IF((IF(AZ42="",0,6)+IF(BB42="",0,5)+IF(BD42="",0,5)+IF(BF42="",0,4))=0,"",(IF(AZ42="",0,AZ42*6)+IF(BB42="",0,BB42*5)+IF(BD42="",0,BD42*5)+IF(BF42="",0,BF42*4))/20)</f>
        <v/>
      </c>
      <c r="BI42" s="14">
        <f>IF(AND(R42="",AF42="",AN42="",AX42="",BH42=""),"",((R42*25)+(AF42*22)+(AN42*18)+(AX42*15)+(BH42*20))/100)</f>
        <v/>
      </c>
      <c r="BJ42" s="11">
        <f>IF(BI42="","",IF(BI42&gt;=0.75,"A",IF(BI42&gt;=0.5,"B",IF(BI42&gt;=0.35,"C","Watchlist"))))</f>
        <v/>
      </c>
      <c r="BK42" s="11">
        <f>IF(OR(BI42="",BI42&lt;0.5,R42="",R42&lt;0.35,AF42="",AF42&lt;0.35,AN42="",AN42&lt;0.35,AX42="",AX42&lt;0.35,BH42="",BH42&lt;0.35),"Watchlist","Ranked")</f>
        <v/>
      </c>
      <c r="BL42" s="15">
        <f>IF(AND(Q42="",AE42="",AM42="",AW42="",BG42=""),"",(IF(Q42="",0,Q42*25)+IF(AE42="",0,AE42*22)+IF(AM42="",0,AM42*18)+IF(AW42="",0,AW42*15)+IF(BG42="",0,BG42*20))/(IF(Q42="",0,25)+IF(AE42="",0,22)+IF(AM42="",0,18)+IF(AW42="",0,15)+IF(BG42="",0,20)))</f>
        <v/>
      </c>
      <c r="BM42" s="11">
        <f>IF(BK42="Ranked",1+COUNTIFS($BK$2:$BK$158,"Ranked",$BL$2:$BL$158,"&gt;"&amp;BL42),"")</f>
        <v/>
      </c>
      <c r="BN42" s="11">
        <f>City_Inputs!$AI42</f>
        <v/>
      </c>
    </row>
    <row r="43">
      <c r="A43" t="inlineStr">
        <is>
          <t>dk-copenhagen</t>
        </is>
      </c>
      <c r="B43" t="inlineStr">
        <is>
          <t>Copenhagen</t>
        </is>
      </c>
      <c r="C43" t="inlineStr">
        <is>
          <t>Denmark</t>
        </is>
      </c>
      <c r="D43" t="inlineStr">
        <is>
          <t>Western, Northern, and Southern Europe</t>
        </is>
      </c>
      <c r="E43" t="inlineStr">
        <is>
          <t>provisional</t>
        </is>
      </c>
      <c r="F43" t="inlineStr">
        <is>
          <t>primary</t>
        </is>
      </c>
      <c r="G43" s="11">
        <f>IF(OR(City_Inputs!$M43="",Norm_Stats!$F$2="",Norm_Stats!$G$2="",Norm_Stats!$G$2=Norm_Stats!$F$2),"",MAX(0,MIN(100,100*(MIN(MAX(City_Inputs!$M43,Norm_Stats!$F$2),Norm_Stats!$G$2)-Norm_Stats!$F$2)/(Norm_Stats!$G$2-Norm_Stats!$F$2))))</f>
        <v/>
      </c>
      <c r="H43" s="14">
        <f>IF(G43="","",1)</f>
        <v/>
      </c>
      <c r="I43" s="11">
        <f>IF(OR(City_Inputs!$N43="",Norm_Stats!$F$3="",Norm_Stats!$G$3="",Norm_Stats!$G$3=Norm_Stats!$F$3),"",MAX(0,MIN(100,100*(Norm_Stats!$G$3-MIN(MAX(City_Inputs!$N43,Norm_Stats!$F$3),Norm_Stats!$G$3))/(Norm_Stats!$G$3-Norm_Stats!$F$3))))</f>
        <v/>
      </c>
      <c r="J43" s="14">
        <f>IF(I43="","",1)</f>
        <v/>
      </c>
      <c r="K43" s="11">
        <f>IF(OR(City_Inputs!$P43="",Norm_Stats!$F$4="",Norm_Stats!$G$4="",Norm_Stats!$G$4=Norm_Stats!$F$4),"",MAX(0,MIN(100,100*(Norm_Stats!$G$4-MIN(MAX(City_Inputs!$P43,Norm_Stats!$F$4),Norm_Stats!$G$4))/(Norm_Stats!$G$4-Norm_Stats!$F$4))))</f>
        <v/>
      </c>
      <c r="L43" s="14">
        <f>IF(K43="","",1)</f>
        <v/>
      </c>
      <c r="M43" s="11">
        <f>IF(OR(City_Inputs!$Q43="",Norm_Stats!$F$5="",Norm_Stats!$G$5="",Norm_Stats!$G$5=Norm_Stats!$F$5),"",MAX(0,MIN(100,100*(Norm_Stats!$G$5-MIN(MAX(City_Inputs!$Q43,Norm_Stats!$F$5),Norm_Stats!$G$5))/(Norm_Stats!$G$5-Norm_Stats!$F$5))))</f>
        <v/>
      </c>
      <c r="N43" s="14">
        <f>IF(M43="","",1)</f>
        <v/>
      </c>
      <c r="O43" s="11">
        <f>IF(OR(City_Inputs!$R43="",Norm_Stats!$F$6="",Norm_Stats!$G$6="",Norm_Stats!$G$6=Norm_Stats!$F$6),"",MAX(0,MIN(100,100*(Norm_Stats!$G$6-MIN(MAX(City_Inputs!$R43,Norm_Stats!$F$6),Norm_Stats!$G$6))/(Norm_Stats!$G$6-Norm_Stats!$F$6))))</f>
        <v/>
      </c>
      <c r="P43" s="14">
        <f>IF(O43="","",1)</f>
        <v/>
      </c>
      <c r="Q43" s="15">
        <f>IF((IF(G43="",0,9)+IF(I43="",0,5)+IF(K43="",0,4)+IF(M43="",0,4)+IF(O43="",0,5))=0,"",(IF(G43="",0,G43*9)+IF(I43="",0,I43*5)+IF(K43="",0,K43*4)+IF(M43="",0,M43*4)+IF(O43="",0,O43*5))/(IF(G43="",0,9)+IF(I43="",0,5)+IF(K43="",0,4)+IF(M43="",0,4)+IF(O43="",0,5)))</f>
        <v/>
      </c>
      <c r="R43" s="14">
        <f>IF((IF(H43="",0,9)+IF(J43="",0,5)+IF(L43="",0,4)+IF(N43="",0,4)+IF(P43="",0,5))=0,"",(IF(H43="",0,H43*9)+IF(J43="",0,J43*5)+IF(L43="",0,L43*4)+IF(N43="",0,N43*4)+IF(P43="",0,P43*5))/27)</f>
        <v/>
      </c>
      <c r="S43" s="11">
        <f>IF(OR(City_Inputs!$S43="",Norm_Stats!$F$7="",Norm_Stats!$G$7="",Norm_Stats!$G$7=Norm_Stats!$F$7),"",MAX(0,MIN(100,100*(Norm_Stats!$G$7-MIN(MAX(City_Inputs!$S43,Norm_Stats!$F$7),Norm_Stats!$G$7))/(Norm_Stats!$G$7-Norm_Stats!$F$7))))</f>
        <v/>
      </c>
      <c r="T43" s="14">
        <f>IF(S43="","",1)</f>
        <v/>
      </c>
      <c r="U43" s="11">
        <f>IF(OR(City_Inputs!$T43="",Norm_Stats!$F$8="",Norm_Stats!$G$8="",Norm_Stats!$G$8=Norm_Stats!$F$8),"",MAX(0,MIN(100,100*(MIN(MAX(City_Inputs!$T43,Norm_Stats!$F$8),Norm_Stats!$G$8)-Norm_Stats!$F$8)/(Norm_Stats!$G$8-Norm_Stats!$F$8))))</f>
        <v/>
      </c>
      <c r="V43" s="14">
        <f>IF(U43="","",1)</f>
        <v/>
      </c>
      <c r="W43" s="11">
        <f>IF(OR(City_Inputs!$U43="",Norm_Stats!$F$9="",Norm_Stats!$G$9="",Norm_Stats!$G$9=Norm_Stats!$F$9),"",MAX(0,MIN(100,100*(Norm_Stats!$G$9-MIN(MAX(City_Inputs!$U43,Norm_Stats!$F$9),Norm_Stats!$G$9))/(Norm_Stats!$G$9-Norm_Stats!$F$9))))</f>
        <v/>
      </c>
      <c r="X43" s="14">
        <f>IF(W43="","",1)</f>
        <v/>
      </c>
      <c r="Y43" s="11">
        <f>IF(OR(City_Inputs!$V43="",Norm_Stats!$F$10="",Norm_Stats!$G$10="",Norm_Stats!$G$10=Norm_Stats!$F$10),"",MAX(0,MIN(100,100*(MIN(MAX(City_Inputs!$V43,Norm_Stats!$F$10),Norm_Stats!$G$10)-Norm_Stats!$F$10)/(Norm_Stats!$G$10-Norm_Stats!$F$10))))</f>
        <v/>
      </c>
      <c r="Z43" s="14">
        <f>IF(Y43="","",1)</f>
        <v/>
      </c>
      <c r="AA43" s="11">
        <f>IF(OR(City_Inputs!$W43="",Norm_Stats!$F$11="",Norm_Stats!$G$11="",Norm_Stats!$G$11=Norm_Stats!$F$11),"",MAX(0,MIN(100,100*(MIN(MAX(City_Inputs!$W43,Norm_Stats!$F$11),Norm_Stats!$G$11)-Norm_Stats!$F$11)/(Norm_Stats!$G$11-Norm_Stats!$F$11))))</f>
        <v/>
      </c>
      <c r="AB43" s="14">
        <f>IF(AA43="","",1)</f>
        <v/>
      </c>
      <c r="AC43" s="11">
        <f>IF(OR(City_Inputs!$X43="",Norm_Stats!$F$12="",Norm_Stats!$G$12="",Norm_Stats!$G$12=Norm_Stats!$F$12),"",MAX(0,MIN(100,100*(MIN(MAX(City_Inputs!$X43,Norm_Stats!$F$12),Norm_Stats!$G$12)-Norm_Stats!$F$12)/(Norm_Stats!$G$12-Norm_Stats!$F$12))))</f>
        <v/>
      </c>
      <c r="AD43" s="11">
        <f>IF(AC43="","",1)</f>
        <v/>
      </c>
      <c r="AE43" s="15">
        <f>IF((IF(S43="",0,5)+IF(U43="",0,5)+IF(W43="",0,4)+IF(Y43="",0,4)+IF(AA43="",0,4)+IF(AC43="",0,5))=0,"",(IF(S43="",0,S43*5)+IF(U43="",0,U43*5)+IF(W43="",0,W43*4)+IF(Y43="",0,Y43*4)+IF(AA43="",0,AA43*4)+IF(AC43="",0,AC43*5))/(IF(S43="",0,5)+IF(U43="",0,5)+IF(W43="",0,4)+IF(Y43="",0,4)+IF(AA43="",0,4)+IF(AC43="",0,5)))</f>
        <v/>
      </c>
      <c r="AF43" s="14">
        <f>IF((IF(T43="",0,5)+IF(V43="",0,5)+IF(X43="",0,4)+IF(Z43="",0,4)+IF(AB43="",0,4)+IF(AD43="",0,5))=0,"",(IF(T43="",0,T43*5)+IF(V43="",0,V43*5)+IF(X43="",0,X43*4)+IF(Z43="",0,Z43*4)+IF(AB43="",0,AB43*4)+IF(AD43="",0,AD43*5))/27)</f>
        <v/>
      </c>
      <c r="AG43" s="11">
        <f>IF(OR(City_Inputs!$Y43="",Norm_Stats!$F$13="",Norm_Stats!$G$13="",Norm_Stats!$G$13=Norm_Stats!$F$13),"",MAX(0,MIN(100,100*(MIN(MAX(City_Inputs!$Y43,Norm_Stats!$F$13),Norm_Stats!$G$13)-Norm_Stats!$F$13)/(Norm_Stats!$G$13-Norm_Stats!$F$13))))</f>
        <v/>
      </c>
      <c r="AH43" s="14">
        <f>IF(AG43="","",1)</f>
        <v/>
      </c>
      <c r="AI43" s="11">
        <f>IF(OR(City_Inputs!$Z43="",Norm_Stats!$F$14="",Norm_Stats!$G$14="",Norm_Stats!$G$14=Norm_Stats!$F$14),"",MAX(0,MIN(100,100*(MIN(MAX(City_Inputs!$Z43,Norm_Stats!$F$14),Norm_Stats!$G$14)-Norm_Stats!$F$14)/(Norm_Stats!$G$14-Norm_Stats!$F$14))))</f>
        <v/>
      </c>
      <c r="AJ43" s="14">
        <f>IF(AI43="","",1)</f>
        <v/>
      </c>
      <c r="AK43" s="11">
        <f>IF((IF((IF(OR(City_Inputs!$AA43="",Norm_Stats!$F$15="",Norm_Stats!$G$15="",Norm_Stats!$G$15=Norm_Stats!$F$15),"",MAX(0,MIN(100,100*(MIN(MAX(City_Inputs!$AA43,Norm_Stats!$F$15),Norm_Stats!$G$15)-Norm_Stats!$F$15)/(Norm_Stats!$G$15-Norm_Stats!$F$15)))))="",0,0.7)+IF((IF(OR(City_Inputs!$AL43="",Norm_Stats!$F$16="",Norm_Stats!$G$16="",Norm_Stats!$G$16=Norm_Stats!$F$16),"",MAX(0,MIN(100,100*(Norm_Stats!$G$16-MIN(MAX(City_Inputs!$AL43,Norm_Stats!$F$16),Norm_Stats!$G$16))/(Norm_Stats!$G$16-Norm_Stats!$F$16)))))="",0,0.3))=0,"",(IF((IF(OR(City_Inputs!$AA43="",Norm_Stats!$F$15="",Norm_Stats!$G$15="",Norm_Stats!$G$15=Norm_Stats!$F$15),"",MAX(0,MIN(100,100*(MIN(MAX(City_Inputs!$AA43,Norm_Stats!$F$15),Norm_Stats!$G$15)-Norm_Stats!$F$15)/(Norm_Stats!$G$15-Norm_Stats!$F$15)))))="",0,(IF(OR(City_Inputs!$AA43="",Norm_Stats!$F$15="",Norm_Stats!$G$15="",Norm_Stats!$G$15=Norm_Stats!$F$15),"",MAX(0,MIN(100,100*(MIN(MAX(City_Inputs!$AA43,Norm_Stats!$F$15),Norm_Stats!$G$15)-Norm_Stats!$F$15)/(Norm_Stats!$G$15-Norm_Stats!$F$15)))))*0.7)+IF((IF(OR(City_Inputs!$AL43="",Norm_Stats!$F$16="",Norm_Stats!$G$16="",Norm_Stats!$G$16=Norm_Stats!$F$16),"",MAX(0,MIN(100,100*(Norm_Stats!$G$16-MIN(MAX(City_Inputs!$AL43,Norm_Stats!$F$16),Norm_Stats!$G$16))/(Norm_Stats!$G$16-Norm_Stats!$F$16)))))="",0,(IF(OR(City_Inputs!$AL43="",Norm_Stats!$F$16="",Norm_Stats!$G$16="",Norm_Stats!$G$16=Norm_Stats!$F$16),"",MAX(0,MIN(100,100*(Norm_Stats!$G$16-MIN(MAX(City_Inputs!$AL43,Norm_Stats!$F$16),Norm_Stats!$G$16))/(Norm_Stats!$G$16-Norm_Stats!$F$16)))))*0.3))/(IF((IF(OR(City_Inputs!$AA43="",Norm_Stats!$F$15="",Norm_Stats!$G$15="",Norm_Stats!$G$15=Norm_Stats!$F$15),"",MAX(0,MIN(100,100*(MIN(MAX(City_Inputs!$AA43,Norm_Stats!$F$15),Norm_Stats!$G$15)-Norm_Stats!$F$15)/(Norm_Stats!$G$15-Norm_Stats!$F$15)))))="",0,0.7)+IF((IF(OR(City_Inputs!$AL43="",Norm_Stats!$F$16="",Norm_Stats!$G$16="",Norm_Stats!$G$16=Norm_Stats!$F$16),"",MAX(0,MIN(100,100*(Norm_Stats!$G$16-MIN(MAX(City_Inputs!$AL43,Norm_Stats!$F$16),Norm_Stats!$G$16))/(Norm_Stats!$G$16-Norm_Stats!$F$16)))))="",0,0.3)))</f>
        <v/>
      </c>
      <c r="AL43" s="14">
        <f>IF((IF((IF(OR(City_Inputs!$AA43="",Norm_Stats!$F$15="",Norm_Stats!$G$15="",Norm_Stats!$G$15=Norm_Stats!$F$15),"",MAX(0,MIN(100,100*(MIN(MAX(City_Inputs!$AA43,Norm_Stats!$F$15),Norm_Stats!$G$15)-Norm_Stats!$F$15)/(Norm_Stats!$G$15-Norm_Stats!$F$15)))))="",0,0.7)+IF((IF(OR(City_Inputs!$AL43="",Norm_Stats!$F$16="",Norm_Stats!$G$16="",Norm_Stats!$G$16=Norm_Stats!$F$16),"",MAX(0,MIN(100,100*(Norm_Stats!$G$16-MIN(MAX(City_Inputs!$AL43,Norm_Stats!$F$16),Norm_Stats!$G$16))/(Norm_Stats!$G$16-Norm_Stats!$F$16)))))="",0,0.3))=0,"",(IF((IF(OR(City_Inputs!$AA43="",Norm_Stats!$F$15="",Norm_Stats!$G$15="",Norm_Stats!$G$15=Norm_Stats!$F$15),"",MAX(0,MIN(100,100*(MIN(MAX(City_Inputs!$AA43,Norm_Stats!$F$15),Norm_Stats!$G$15)-Norm_Stats!$F$15)/(Norm_Stats!$G$15-Norm_Stats!$F$15)))))="",0,0.7)+IF((IF(OR(City_Inputs!$AL43="",Norm_Stats!$F$16="",Norm_Stats!$G$16="",Norm_Stats!$G$16=Norm_Stats!$F$16),"",MAX(0,MIN(100,100*(Norm_Stats!$G$16-MIN(MAX(City_Inputs!$AL43,Norm_Stats!$F$16),Norm_Stats!$G$16))/(Norm_Stats!$G$16-Norm_Stats!$F$16)))))="",0,0.3)))</f>
        <v/>
      </c>
      <c r="AM43" s="15">
        <f>IF((IF(AG43="",0,8)+IF(AI43="",0,6)+IF(AK43="",0,4))=0,"",(IF(AG43="",0,AG43*8)+IF(AI43="",0,AI43*6)+IF(AK43="",0,AK43*4))/(IF(AG43="",0,8)+IF(AI43="",0,6)+IF(AK43="",0,4)))</f>
        <v/>
      </c>
      <c r="AN43" s="14">
        <f>IF((IF(AH43="",0,8)+IF(AJ43="",0,6)+IF(AL43="",0,4))=0,"",(IF(AH43="",0,AH43*8)+IF(AJ43="",0,AJ43*6)+IF(AL43="",0,AL43*4))/18)</f>
        <v/>
      </c>
      <c r="AO43" s="11">
        <f>IF(OR(City_Inputs!$AB43="",Norm_Stats!$F$17="",Norm_Stats!$G$17="",Norm_Stats!$G$17=Norm_Stats!$F$17),"",MAX(0,MIN(100,100*(MIN(MAX(City_Inputs!$AB43,Norm_Stats!$F$17),Norm_Stats!$G$17)-Norm_Stats!$F$17)/(Norm_Stats!$G$17-Norm_Stats!$F$17))))</f>
        <v/>
      </c>
      <c r="AP43" s="14">
        <f>IF(AO43="","",1)</f>
        <v/>
      </c>
      <c r="AQ43" s="11">
        <f>IF(OR(City_Inputs!$AC43="",Norm_Stats!$F$18="",Norm_Stats!$G$18="",Norm_Stats!$G$18=Norm_Stats!$F$18),"",MAX(0,MIN(100,100*(MIN(MAX(City_Inputs!$AC43,Norm_Stats!$F$18),Norm_Stats!$G$18)-Norm_Stats!$F$18)/(Norm_Stats!$G$18-Norm_Stats!$F$18))))</f>
        <v/>
      </c>
      <c r="AR43" s="14">
        <f>IF(AQ43="","",1)</f>
        <v/>
      </c>
      <c r="AS43" s="11">
        <f>IF(OR(City_Inputs!$AD43="",Norm_Stats!$F$19="",Norm_Stats!$G$19="",Norm_Stats!$G$19=Norm_Stats!$F$19),"",MAX(0,MIN(100,100*(MIN(MAX(City_Inputs!$AD43,Norm_Stats!$F$19),Norm_Stats!$G$19)-Norm_Stats!$F$19)/(Norm_Stats!$G$19-Norm_Stats!$F$19))))</f>
        <v/>
      </c>
      <c r="AT43" s="14">
        <f>IF(AS43="","",1)</f>
        <v/>
      </c>
      <c r="AU43" s="11">
        <f>IF(OR(City_Inputs!$BJ43="",Norm_Stats!$F$26="",Norm_Stats!$G$26="",Norm_Stats!$G$26=Norm_Stats!$F$26),"",MAX(0,MIN(100,100*(MIN(MAX(City_Inputs!$BJ43,Norm_Stats!$F$26),Norm_Stats!$G$26)-Norm_Stats!$F$26)/(Norm_Stats!$G$26-Norm_Stats!$F$26))))</f>
        <v/>
      </c>
      <c r="AV43" s="11">
        <f>IF(AU43="","",1)</f>
        <v/>
      </c>
      <c r="AW43" s="15">
        <f>IF((IF(AO43="",0,5)+IF(AQ43="",0,5)+IF(AS43="",0,5)+IF(AU43="",0,4))=0,"",(IF(AO43="",0,AO43*5)+IF(AQ43="",0,AQ43*5)+IF(AS43="",0,AS43*5)+IF(AU43="",0,AU43*4))/(IF(AO43="",0,5)+IF(AQ43="",0,5)+IF(AS43="",0,5)+IF(AU43="",0,4)))</f>
        <v/>
      </c>
      <c r="AX43" s="14">
        <f>IF((IF(AP43="",0,5)+IF(AR43="",0,5)+IF(AT43="",0,5)+IF(AV43="",0,4))=0,"",(IF(AP43="",0,AP43*5)+IF(AR43="",0,AR43*5)+IF(AT43="",0,AT43*5)+IF(AV43="",0,AV43*4))/19)</f>
        <v/>
      </c>
      <c r="AY43" s="11">
        <f>IF(OR(City_Inputs!$AE43="",Norm_Stats!$F$20="",Norm_Stats!$G$20="",Norm_Stats!$G$20=Norm_Stats!$F$20),"",MAX(0,MIN(100,100*(MIN(MAX(City_Inputs!$AE43,Norm_Stats!$F$20),Norm_Stats!$G$20)-Norm_Stats!$F$20)/(Norm_Stats!$G$20-Norm_Stats!$F$20))))</f>
        <v/>
      </c>
      <c r="AZ43" s="14">
        <f>IF(AY43="","",1)</f>
        <v/>
      </c>
      <c r="BA43" s="11">
        <f>IF(OR(City_Inputs!$AF43="",Norm_Stats!$F$21="",Norm_Stats!$G$21="",Norm_Stats!$G$21=Norm_Stats!$F$21),"",MAX(0,MIN(100,100*(MIN(MAX(City_Inputs!$AF43,Norm_Stats!$F$21),Norm_Stats!$G$21)-Norm_Stats!$F$21)/(Norm_Stats!$G$21-Norm_Stats!$F$21))))</f>
        <v/>
      </c>
      <c r="BB43" s="14">
        <f>IF(BA43="","",1)</f>
        <v/>
      </c>
      <c r="BC43" s="11">
        <f>IF((IF((IF(OR(City_Inputs!$AG43="",Norm_Stats!$F$22="",Norm_Stats!$G$22="",Norm_Stats!$G$22=Norm_Stats!$F$22),"",MAX(0,MIN(100,100*(MIN(MAX(City_Inputs!$AG43,Norm_Stats!$F$22),Norm_Stats!$G$22)-Norm_Stats!$F$22)/(Norm_Stats!$G$22-Norm_Stats!$F$22)))))="",0,0.5)+IF((IF(OR(City_Inputs!$AJ43="",Norm_Stats!$F$23="",Norm_Stats!$G$23="",Norm_Stats!$G$23=Norm_Stats!$F$23),"",MAX(0,MIN(100,100*(MIN(MAX(City_Inputs!$AJ43,Norm_Stats!$F$23),Norm_Stats!$G$23)-Norm_Stats!$F$23)/(Norm_Stats!$G$23-Norm_Stats!$F$23)))))="",0,0.3)+IF((IF(OR(City_Inputs!$AK43="",Norm_Stats!$F$24="",Norm_Stats!$G$24="",Norm_Stats!$G$24=Norm_Stats!$F$24),"",MAX(0,MIN(100,100*(MIN(MAX(City_Inputs!$AK43,Norm_Stats!$F$24),Norm_Stats!$G$24)-Norm_Stats!$F$24)/(Norm_Stats!$G$24-Norm_Stats!$F$24)))))="",0,0.2))=0,"",(IF((IF(OR(City_Inputs!$AG43="",Norm_Stats!$F$22="",Norm_Stats!$G$22="",Norm_Stats!$G$22=Norm_Stats!$F$22),"",MAX(0,MIN(100,100*(MIN(MAX(City_Inputs!$AG43,Norm_Stats!$F$22),Norm_Stats!$G$22)-Norm_Stats!$F$22)/(Norm_Stats!$G$22-Norm_Stats!$F$22)))))="",0,(IF(OR(City_Inputs!$AG43="",Norm_Stats!$F$22="",Norm_Stats!$G$22="",Norm_Stats!$G$22=Norm_Stats!$F$22),"",MAX(0,MIN(100,100*(MIN(MAX(City_Inputs!$AG43,Norm_Stats!$F$22),Norm_Stats!$G$22)-Norm_Stats!$F$22)/(Norm_Stats!$G$22-Norm_Stats!$F$22)))))*0.5)+IF((IF(OR(City_Inputs!$AJ43="",Norm_Stats!$F$23="",Norm_Stats!$G$23="",Norm_Stats!$G$23=Norm_Stats!$F$23),"",MAX(0,MIN(100,100*(MIN(MAX(City_Inputs!$AJ43,Norm_Stats!$F$23),Norm_Stats!$G$23)-Norm_Stats!$F$23)/(Norm_Stats!$G$23-Norm_Stats!$F$23)))))="",0,(IF(OR(City_Inputs!$AJ43="",Norm_Stats!$F$23="",Norm_Stats!$G$23="",Norm_Stats!$G$23=Norm_Stats!$F$23),"",MAX(0,MIN(100,100*(MIN(MAX(City_Inputs!$AJ43,Norm_Stats!$F$23),Norm_Stats!$G$23)-Norm_Stats!$F$23)/(Norm_Stats!$G$23-Norm_Stats!$F$23)))))*0.3)+IF((IF(OR(City_Inputs!$AK43="",Norm_Stats!$F$24="",Norm_Stats!$G$24="",Norm_Stats!$G$24=Norm_Stats!$F$24),"",MAX(0,MIN(100,100*(MIN(MAX(City_Inputs!$AK43,Norm_Stats!$F$24),Norm_Stats!$G$24)-Norm_Stats!$F$24)/(Norm_Stats!$G$24-Norm_Stats!$F$24)))))="",0,(IF(OR(City_Inputs!$AK43="",Norm_Stats!$F$24="",Norm_Stats!$G$24="",Norm_Stats!$G$24=Norm_Stats!$F$24),"",MAX(0,MIN(100,100*(MIN(MAX(City_Inputs!$AK43,Norm_Stats!$F$24),Norm_Stats!$G$24)-Norm_Stats!$F$24)/(Norm_Stats!$G$24-Norm_Stats!$F$24)))))*0.2))/(IF((IF(OR(City_Inputs!$AG43="",Norm_Stats!$F$22="",Norm_Stats!$G$22="",Norm_Stats!$G$22=Norm_Stats!$F$22),"",MAX(0,MIN(100,100*(MIN(MAX(City_Inputs!$AG43,Norm_Stats!$F$22),Norm_Stats!$G$22)-Norm_Stats!$F$22)/(Norm_Stats!$G$22-Norm_Stats!$F$22)))))="",0,0.5)+IF((IF(OR(City_Inputs!$AJ43="",Norm_Stats!$F$23="",Norm_Stats!$G$23="",Norm_Stats!$G$23=Norm_Stats!$F$23),"",MAX(0,MIN(100,100*(MIN(MAX(City_Inputs!$AJ43,Norm_Stats!$F$23),Norm_Stats!$G$23)-Norm_Stats!$F$23)/(Norm_Stats!$G$23-Norm_Stats!$F$23)))))="",0,0.3)+IF((IF(OR(City_Inputs!$AK43="",Norm_Stats!$F$24="",Norm_Stats!$G$24="",Norm_Stats!$G$24=Norm_Stats!$F$24),"",MAX(0,MIN(100,100*(MIN(MAX(City_Inputs!$AK43,Norm_Stats!$F$24),Norm_Stats!$G$24)-Norm_Stats!$F$24)/(Norm_Stats!$G$24-Norm_Stats!$F$24)))))="",0,0.2)))</f>
        <v/>
      </c>
      <c r="BD43" s="14">
        <f>IF((IF((IF(OR(City_Inputs!$AG43="",Norm_Stats!$F$22="",Norm_Stats!$G$22="",Norm_Stats!$G$22=Norm_Stats!$F$22),"",MAX(0,MIN(100,100*(MIN(MAX(City_Inputs!$AG43,Norm_Stats!$F$22),Norm_Stats!$G$22)-Norm_Stats!$F$22)/(Norm_Stats!$G$22-Norm_Stats!$F$22)))))="",0,0.5)+IF((IF(OR(City_Inputs!$AJ43="",Norm_Stats!$F$23="",Norm_Stats!$G$23="",Norm_Stats!$G$23=Norm_Stats!$F$23),"",MAX(0,MIN(100,100*(MIN(MAX(City_Inputs!$AJ43,Norm_Stats!$F$23),Norm_Stats!$G$23)-Norm_Stats!$F$23)/(Norm_Stats!$G$23-Norm_Stats!$F$23)))))="",0,0.3)+IF((IF(OR(City_Inputs!$AK43="",Norm_Stats!$F$24="",Norm_Stats!$G$24="",Norm_Stats!$G$24=Norm_Stats!$F$24),"",MAX(0,MIN(100,100*(MIN(MAX(City_Inputs!$AK43,Norm_Stats!$F$24),Norm_Stats!$G$24)-Norm_Stats!$F$24)/(Norm_Stats!$G$24-Norm_Stats!$F$24)))))="",0,0.2))=0,"",(IF((IF(OR(City_Inputs!$AG43="",Norm_Stats!$F$22="",Norm_Stats!$G$22="",Norm_Stats!$G$22=Norm_Stats!$F$22),"",MAX(0,MIN(100,100*(MIN(MAX(City_Inputs!$AG43,Norm_Stats!$F$22),Norm_Stats!$G$22)-Norm_Stats!$F$22)/(Norm_Stats!$G$22-Norm_Stats!$F$22)))))="",0,0.5)+IF((IF(OR(City_Inputs!$AJ43="",Norm_Stats!$F$23="",Norm_Stats!$G$23="",Norm_Stats!$G$23=Norm_Stats!$F$23),"",MAX(0,MIN(100,100*(MIN(MAX(City_Inputs!$AJ43,Norm_Stats!$F$23),Norm_Stats!$G$23)-Norm_Stats!$F$23)/(Norm_Stats!$G$23-Norm_Stats!$F$23)))))="",0,0.3)+IF((IF(OR(City_Inputs!$AK43="",Norm_Stats!$F$24="",Norm_Stats!$G$24="",Norm_Stats!$G$24=Norm_Stats!$F$24),"",MAX(0,MIN(100,100*(MIN(MAX(City_Inputs!$AK43,Norm_Stats!$F$24),Norm_Stats!$G$24)-Norm_Stats!$F$24)/(Norm_Stats!$G$24-Norm_Stats!$F$24)))))="",0,0.2)))</f>
        <v/>
      </c>
      <c r="BE43" s="11">
        <f>IF(OR(City_Inputs!$AH43="",Norm_Stats!$F$25="",Norm_Stats!$G$25="",Norm_Stats!$G$25=Norm_Stats!$F$25),"",MAX(0,MIN(100,100*(Norm_Stats!$G$25-MIN(MAX(City_Inputs!$AH43,Norm_Stats!$F$25),Norm_Stats!$G$25))/(Norm_Stats!$G$25-Norm_Stats!$F$25))))</f>
        <v/>
      </c>
      <c r="BF43" s="14">
        <f>IF(BE43="","",1)</f>
        <v/>
      </c>
      <c r="BG43" s="15">
        <f>IF((IF(AY43="",0,6)+IF(BA43="",0,5)+IF(BC43="",0,5)+IF(BE43="",0,4))=0,"",(IF(AY43="",0,AY43*6)+IF(BA43="",0,BA43*5)+IF(BC43="",0,BC43*5)+IF(BE43="",0,BE43*4))/(IF(AY43="",0,6)+IF(BA43="",0,5)+IF(BC43="",0,5)+IF(BE43="",0,4)))</f>
        <v/>
      </c>
      <c r="BH43" s="14">
        <f>IF((IF(AZ43="",0,6)+IF(BB43="",0,5)+IF(BD43="",0,5)+IF(BF43="",0,4))=0,"",(IF(AZ43="",0,AZ43*6)+IF(BB43="",0,BB43*5)+IF(BD43="",0,BD43*5)+IF(BF43="",0,BF43*4))/20)</f>
        <v/>
      </c>
      <c r="BI43" s="14">
        <f>IF(AND(R43="",AF43="",AN43="",AX43="",BH43=""),"",((R43*25)+(AF43*22)+(AN43*18)+(AX43*15)+(BH43*20))/100)</f>
        <v/>
      </c>
      <c r="BJ43" s="11">
        <f>IF(BI43="","",IF(BI43&gt;=0.75,"A",IF(BI43&gt;=0.5,"B",IF(BI43&gt;=0.35,"C","Watchlist"))))</f>
        <v/>
      </c>
      <c r="BK43" s="11">
        <f>IF(OR(BI43="",BI43&lt;0.5,R43="",R43&lt;0.35,AF43="",AF43&lt;0.35,AN43="",AN43&lt;0.35,AX43="",AX43&lt;0.35,BH43="",BH43&lt;0.35),"Watchlist","Ranked")</f>
        <v/>
      </c>
      <c r="BL43" s="15">
        <f>IF(AND(Q43="",AE43="",AM43="",AW43="",BG43=""),"",(IF(Q43="",0,Q43*25)+IF(AE43="",0,AE43*22)+IF(AM43="",0,AM43*18)+IF(AW43="",0,AW43*15)+IF(BG43="",0,BG43*20))/(IF(Q43="",0,25)+IF(AE43="",0,22)+IF(AM43="",0,18)+IF(AW43="",0,15)+IF(BG43="",0,20)))</f>
        <v/>
      </c>
      <c r="BM43" s="11">
        <f>IF(BK43="Ranked",1+COUNTIFS($BK$2:$BK$158,"Ranked",$BL$2:$BL$158,"&gt;"&amp;BL43),"")</f>
        <v/>
      </c>
      <c r="BN43" s="11">
        <f>City_Inputs!$AI43</f>
        <v/>
      </c>
    </row>
    <row r="44">
      <c r="A44" t="inlineStr">
        <is>
          <t>it-milan</t>
        </is>
      </c>
      <c r="B44" t="inlineStr">
        <is>
          <t>Milan</t>
        </is>
      </c>
      <c r="C44" t="inlineStr">
        <is>
          <t>Italy</t>
        </is>
      </c>
      <c r="D44" t="inlineStr">
        <is>
          <t>Western, Northern, and Southern Europe</t>
        </is>
      </c>
      <c r="E44" t="inlineStr">
        <is>
          <t>provisional</t>
        </is>
      </c>
      <c r="F44" t="inlineStr">
        <is>
          <t>primary</t>
        </is>
      </c>
      <c r="G44" s="11">
        <f>IF(OR(City_Inputs!$M44="",Norm_Stats!$F$2="",Norm_Stats!$G$2="",Norm_Stats!$G$2=Norm_Stats!$F$2),"",MAX(0,MIN(100,100*(MIN(MAX(City_Inputs!$M44,Norm_Stats!$F$2),Norm_Stats!$G$2)-Norm_Stats!$F$2)/(Norm_Stats!$G$2-Norm_Stats!$F$2))))</f>
        <v/>
      </c>
      <c r="H44" s="14">
        <f>IF(G44="","",1)</f>
        <v/>
      </c>
      <c r="I44" s="11">
        <f>IF(OR(City_Inputs!$N44="",Norm_Stats!$F$3="",Norm_Stats!$G$3="",Norm_Stats!$G$3=Norm_Stats!$F$3),"",MAX(0,MIN(100,100*(Norm_Stats!$G$3-MIN(MAX(City_Inputs!$N44,Norm_Stats!$F$3),Norm_Stats!$G$3))/(Norm_Stats!$G$3-Norm_Stats!$F$3))))</f>
        <v/>
      </c>
      <c r="J44" s="14">
        <f>IF(I44="","",1)</f>
        <v/>
      </c>
      <c r="K44" s="11">
        <f>IF(OR(City_Inputs!$P44="",Norm_Stats!$F$4="",Norm_Stats!$G$4="",Norm_Stats!$G$4=Norm_Stats!$F$4),"",MAX(0,MIN(100,100*(Norm_Stats!$G$4-MIN(MAX(City_Inputs!$P44,Norm_Stats!$F$4),Norm_Stats!$G$4))/(Norm_Stats!$G$4-Norm_Stats!$F$4))))</f>
        <v/>
      </c>
      <c r="L44" s="14">
        <f>IF(K44="","",1)</f>
        <v/>
      </c>
      <c r="M44" s="11">
        <f>IF(OR(City_Inputs!$Q44="",Norm_Stats!$F$5="",Norm_Stats!$G$5="",Norm_Stats!$G$5=Norm_Stats!$F$5),"",MAX(0,MIN(100,100*(Norm_Stats!$G$5-MIN(MAX(City_Inputs!$Q44,Norm_Stats!$F$5),Norm_Stats!$G$5))/(Norm_Stats!$G$5-Norm_Stats!$F$5))))</f>
        <v/>
      </c>
      <c r="N44" s="14">
        <f>IF(M44="","",1)</f>
        <v/>
      </c>
      <c r="O44" s="11">
        <f>IF(OR(City_Inputs!$R44="",Norm_Stats!$F$6="",Norm_Stats!$G$6="",Norm_Stats!$G$6=Norm_Stats!$F$6),"",MAX(0,MIN(100,100*(Norm_Stats!$G$6-MIN(MAX(City_Inputs!$R44,Norm_Stats!$F$6),Norm_Stats!$G$6))/(Norm_Stats!$G$6-Norm_Stats!$F$6))))</f>
        <v/>
      </c>
      <c r="P44" s="14">
        <f>IF(O44="","",1)</f>
        <v/>
      </c>
      <c r="Q44" s="15">
        <f>IF((IF(G44="",0,9)+IF(I44="",0,5)+IF(K44="",0,4)+IF(M44="",0,4)+IF(O44="",0,5))=0,"",(IF(G44="",0,G44*9)+IF(I44="",0,I44*5)+IF(K44="",0,K44*4)+IF(M44="",0,M44*4)+IF(O44="",0,O44*5))/(IF(G44="",0,9)+IF(I44="",0,5)+IF(K44="",0,4)+IF(M44="",0,4)+IF(O44="",0,5)))</f>
        <v/>
      </c>
      <c r="R44" s="14">
        <f>IF((IF(H44="",0,9)+IF(J44="",0,5)+IF(L44="",0,4)+IF(N44="",0,4)+IF(P44="",0,5))=0,"",(IF(H44="",0,H44*9)+IF(J44="",0,J44*5)+IF(L44="",0,L44*4)+IF(N44="",0,N44*4)+IF(P44="",0,P44*5))/27)</f>
        <v/>
      </c>
      <c r="S44" s="11">
        <f>IF(OR(City_Inputs!$S44="",Norm_Stats!$F$7="",Norm_Stats!$G$7="",Norm_Stats!$G$7=Norm_Stats!$F$7),"",MAX(0,MIN(100,100*(Norm_Stats!$G$7-MIN(MAX(City_Inputs!$S44,Norm_Stats!$F$7),Norm_Stats!$G$7))/(Norm_Stats!$G$7-Norm_Stats!$F$7))))</f>
        <v/>
      </c>
      <c r="T44" s="14">
        <f>IF(S44="","",1)</f>
        <v/>
      </c>
      <c r="U44" s="11">
        <f>IF(OR(City_Inputs!$T44="",Norm_Stats!$F$8="",Norm_Stats!$G$8="",Norm_Stats!$G$8=Norm_Stats!$F$8),"",MAX(0,MIN(100,100*(MIN(MAX(City_Inputs!$T44,Norm_Stats!$F$8),Norm_Stats!$G$8)-Norm_Stats!$F$8)/(Norm_Stats!$G$8-Norm_Stats!$F$8))))</f>
        <v/>
      </c>
      <c r="V44" s="14">
        <f>IF(U44="","",1)</f>
        <v/>
      </c>
      <c r="W44" s="11">
        <f>IF(OR(City_Inputs!$U44="",Norm_Stats!$F$9="",Norm_Stats!$G$9="",Norm_Stats!$G$9=Norm_Stats!$F$9),"",MAX(0,MIN(100,100*(Norm_Stats!$G$9-MIN(MAX(City_Inputs!$U44,Norm_Stats!$F$9),Norm_Stats!$G$9))/(Norm_Stats!$G$9-Norm_Stats!$F$9))))</f>
        <v/>
      </c>
      <c r="X44" s="14">
        <f>IF(W44="","",1)</f>
        <v/>
      </c>
      <c r="Y44" s="11">
        <f>IF(OR(City_Inputs!$V44="",Norm_Stats!$F$10="",Norm_Stats!$G$10="",Norm_Stats!$G$10=Norm_Stats!$F$10),"",MAX(0,MIN(100,100*(MIN(MAX(City_Inputs!$V44,Norm_Stats!$F$10),Norm_Stats!$G$10)-Norm_Stats!$F$10)/(Norm_Stats!$G$10-Norm_Stats!$F$10))))</f>
        <v/>
      </c>
      <c r="Z44" s="14">
        <f>IF(Y44="","",1)</f>
        <v/>
      </c>
      <c r="AA44" s="11">
        <f>IF(OR(City_Inputs!$W44="",Norm_Stats!$F$11="",Norm_Stats!$G$11="",Norm_Stats!$G$11=Norm_Stats!$F$11),"",MAX(0,MIN(100,100*(MIN(MAX(City_Inputs!$W44,Norm_Stats!$F$11),Norm_Stats!$G$11)-Norm_Stats!$F$11)/(Norm_Stats!$G$11-Norm_Stats!$F$11))))</f>
        <v/>
      </c>
      <c r="AB44" s="14">
        <f>IF(AA44="","",1)</f>
        <v/>
      </c>
      <c r="AC44" s="11">
        <f>IF(OR(City_Inputs!$X44="",Norm_Stats!$F$12="",Norm_Stats!$G$12="",Norm_Stats!$G$12=Norm_Stats!$F$12),"",MAX(0,MIN(100,100*(MIN(MAX(City_Inputs!$X44,Norm_Stats!$F$12),Norm_Stats!$G$12)-Norm_Stats!$F$12)/(Norm_Stats!$G$12-Norm_Stats!$F$12))))</f>
        <v/>
      </c>
      <c r="AD44" s="11">
        <f>IF(AC44="","",1)</f>
        <v/>
      </c>
      <c r="AE44" s="15">
        <f>IF((IF(S44="",0,5)+IF(U44="",0,5)+IF(W44="",0,4)+IF(Y44="",0,4)+IF(AA44="",0,4)+IF(AC44="",0,5))=0,"",(IF(S44="",0,S44*5)+IF(U44="",0,U44*5)+IF(W44="",0,W44*4)+IF(Y44="",0,Y44*4)+IF(AA44="",0,AA44*4)+IF(AC44="",0,AC44*5))/(IF(S44="",0,5)+IF(U44="",0,5)+IF(W44="",0,4)+IF(Y44="",0,4)+IF(AA44="",0,4)+IF(AC44="",0,5)))</f>
        <v/>
      </c>
      <c r="AF44" s="14">
        <f>IF((IF(T44="",0,5)+IF(V44="",0,5)+IF(X44="",0,4)+IF(Z44="",0,4)+IF(AB44="",0,4)+IF(AD44="",0,5))=0,"",(IF(T44="",0,T44*5)+IF(V44="",0,V44*5)+IF(X44="",0,X44*4)+IF(Z44="",0,Z44*4)+IF(AB44="",0,AB44*4)+IF(AD44="",0,AD44*5))/27)</f>
        <v/>
      </c>
      <c r="AG44" s="11">
        <f>IF(OR(City_Inputs!$Y44="",Norm_Stats!$F$13="",Norm_Stats!$G$13="",Norm_Stats!$G$13=Norm_Stats!$F$13),"",MAX(0,MIN(100,100*(MIN(MAX(City_Inputs!$Y44,Norm_Stats!$F$13),Norm_Stats!$G$13)-Norm_Stats!$F$13)/(Norm_Stats!$G$13-Norm_Stats!$F$13))))</f>
        <v/>
      </c>
      <c r="AH44" s="14">
        <f>IF(AG44="","",1)</f>
        <v/>
      </c>
      <c r="AI44" s="11">
        <f>IF(OR(City_Inputs!$Z44="",Norm_Stats!$F$14="",Norm_Stats!$G$14="",Norm_Stats!$G$14=Norm_Stats!$F$14),"",MAX(0,MIN(100,100*(MIN(MAX(City_Inputs!$Z44,Norm_Stats!$F$14),Norm_Stats!$G$14)-Norm_Stats!$F$14)/(Norm_Stats!$G$14-Norm_Stats!$F$14))))</f>
        <v/>
      </c>
      <c r="AJ44" s="14">
        <f>IF(AI44="","",1)</f>
        <v/>
      </c>
      <c r="AK44" s="11">
        <f>IF((IF((IF(OR(City_Inputs!$AA44="",Norm_Stats!$F$15="",Norm_Stats!$G$15="",Norm_Stats!$G$15=Norm_Stats!$F$15),"",MAX(0,MIN(100,100*(MIN(MAX(City_Inputs!$AA44,Norm_Stats!$F$15),Norm_Stats!$G$15)-Norm_Stats!$F$15)/(Norm_Stats!$G$15-Norm_Stats!$F$15)))))="",0,0.7)+IF((IF(OR(City_Inputs!$AL44="",Norm_Stats!$F$16="",Norm_Stats!$G$16="",Norm_Stats!$G$16=Norm_Stats!$F$16),"",MAX(0,MIN(100,100*(Norm_Stats!$G$16-MIN(MAX(City_Inputs!$AL44,Norm_Stats!$F$16),Norm_Stats!$G$16))/(Norm_Stats!$G$16-Norm_Stats!$F$16)))))="",0,0.3))=0,"",(IF((IF(OR(City_Inputs!$AA44="",Norm_Stats!$F$15="",Norm_Stats!$G$15="",Norm_Stats!$G$15=Norm_Stats!$F$15),"",MAX(0,MIN(100,100*(MIN(MAX(City_Inputs!$AA44,Norm_Stats!$F$15),Norm_Stats!$G$15)-Norm_Stats!$F$15)/(Norm_Stats!$G$15-Norm_Stats!$F$15)))))="",0,(IF(OR(City_Inputs!$AA44="",Norm_Stats!$F$15="",Norm_Stats!$G$15="",Norm_Stats!$G$15=Norm_Stats!$F$15),"",MAX(0,MIN(100,100*(MIN(MAX(City_Inputs!$AA44,Norm_Stats!$F$15),Norm_Stats!$G$15)-Norm_Stats!$F$15)/(Norm_Stats!$G$15-Norm_Stats!$F$15)))))*0.7)+IF((IF(OR(City_Inputs!$AL44="",Norm_Stats!$F$16="",Norm_Stats!$G$16="",Norm_Stats!$G$16=Norm_Stats!$F$16),"",MAX(0,MIN(100,100*(Norm_Stats!$G$16-MIN(MAX(City_Inputs!$AL44,Norm_Stats!$F$16),Norm_Stats!$G$16))/(Norm_Stats!$G$16-Norm_Stats!$F$16)))))="",0,(IF(OR(City_Inputs!$AL44="",Norm_Stats!$F$16="",Norm_Stats!$G$16="",Norm_Stats!$G$16=Norm_Stats!$F$16),"",MAX(0,MIN(100,100*(Norm_Stats!$G$16-MIN(MAX(City_Inputs!$AL44,Norm_Stats!$F$16),Norm_Stats!$G$16))/(Norm_Stats!$G$16-Norm_Stats!$F$16)))))*0.3))/(IF((IF(OR(City_Inputs!$AA44="",Norm_Stats!$F$15="",Norm_Stats!$G$15="",Norm_Stats!$G$15=Norm_Stats!$F$15),"",MAX(0,MIN(100,100*(MIN(MAX(City_Inputs!$AA44,Norm_Stats!$F$15),Norm_Stats!$G$15)-Norm_Stats!$F$15)/(Norm_Stats!$G$15-Norm_Stats!$F$15)))))="",0,0.7)+IF((IF(OR(City_Inputs!$AL44="",Norm_Stats!$F$16="",Norm_Stats!$G$16="",Norm_Stats!$G$16=Norm_Stats!$F$16),"",MAX(0,MIN(100,100*(Norm_Stats!$G$16-MIN(MAX(City_Inputs!$AL44,Norm_Stats!$F$16),Norm_Stats!$G$16))/(Norm_Stats!$G$16-Norm_Stats!$F$16)))))="",0,0.3)))</f>
        <v/>
      </c>
      <c r="AL44" s="14">
        <f>IF((IF((IF(OR(City_Inputs!$AA44="",Norm_Stats!$F$15="",Norm_Stats!$G$15="",Norm_Stats!$G$15=Norm_Stats!$F$15),"",MAX(0,MIN(100,100*(MIN(MAX(City_Inputs!$AA44,Norm_Stats!$F$15),Norm_Stats!$G$15)-Norm_Stats!$F$15)/(Norm_Stats!$G$15-Norm_Stats!$F$15)))))="",0,0.7)+IF((IF(OR(City_Inputs!$AL44="",Norm_Stats!$F$16="",Norm_Stats!$G$16="",Norm_Stats!$G$16=Norm_Stats!$F$16),"",MAX(0,MIN(100,100*(Norm_Stats!$G$16-MIN(MAX(City_Inputs!$AL44,Norm_Stats!$F$16),Norm_Stats!$G$16))/(Norm_Stats!$G$16-Norm_Stats!$F$16)))))="",0,0.3))=0,"",(IF((IF(OR(City_Inputs!$AA44="",Norm_Stats!$F$15="",Norm_Stats!$G$15="",Norm_Stats!$G$15=Norm_Stats!$F$15),"",MAX(0,MIN(100,100*(MIN(MAX(City_Inputs!$AA44,Norm_Stats!$F$15),Norm_Stats!$G$15)-Norm_Stats!$F$15)/(Norm_Stats!$G$15-Norm_Stats!$F$15)))))="",0,0.7)+IF((IF(OR(City_Inputs!$AL44="",Norm_Stats!$F$16="",Norm_Stats!$G$16="",Norm_Stats!$G$16=Norm_Stats!$F$16),"",MAX(0,MIN(100,100*(Norm_Stats!$G$16-MIN(MAX(City_Inputs!$AL44,Norm_Stats!$F$16),Norm_Stats!$G$16))/(Norm_Stats!$G$16-Norm_Stats!$F$16)))))="",0,0.3)))</f>
        <v/>
      </c>
      <c r="AM44" s="15">
        <f>IF((IF(AG44="",0,8)+IF(AI44="",0,6)+IF(AK44="",0,4))=0,"",(IF(AG44="",0,AG44*8)+IF(AI44="",0,AI44*6)+IF(AK44="",0,AK44*4))/(IF(AG44="",0,8)+IF(AI44="",0,6)+IF(AK44="",0,4)))</f>
        <v/>
      </c>
      <c r="AN44" s="14">
        <f>IF((IF(AH44="",0,8)+IF(AJ44="",0,6)+IF(AL44="",0,4))=0,"",(IF(AH44="",0,AH44*8)+IF(AJ44="",0,AJ44*6)+IF(AL44="",0,AL44*4))/18)</f>
        <v/>
      </c>
      <c r="AO44" s="11">
        <f>IF(OR(City_Inputs!$AB44="",Norm_Stats!$F$17="",Norm_Stats!$G$17="",Norm_Stats!$G$17=Norm_Stats!$F$17),"",MAX(0,MIN(100,100*(MIN(MAX(City_Inputs!$AB44,Norm_Stats!$F$17),Norm_Stats!$G$17)-Norm_Stats!$F$17)/(Norm_Stats!$G$17-Norm_Stats!$F$17))))</f>
        <v/>
      </c>
      <c r="AP44" s="14">
        <f>IF(AO44="","",1)</f>
        <v/>
      </c>
      <c r="AQ44" s="11">
        <f>IF(OR(City_Inputs!$AC44="",Norm_Stats!$F$18="",Norm_Stats!$G$18="",Norm_Stats!$G$18=Norm_Stats!$F$18),"",MAX(0,MIN(100,100*(MIN(MAX(City_Inputs!$AC44,Norm_Stats!$F$18),Norm_Stats!$G$18)-Norm_Stats!$F$18)/(Norm_Stats!$G$18-Norm_Stats!$F$18))))</f>
        <v/>
      </c>
      <c r="AR44" s="14">
        <f>IF(AQ44="","",1)</f>
        <v/>
      </c>
      <c r="AS44" s="11">
        <f>IF(OR(City_Inputs!$AD44="",Norm_Stats!$F$19="",Norm_Stats!$G$19="",Norm_Stats!$G$19=Norm_Stats!$F$19),"",MAX(0,MIN(100,100*(MIN(MAX(City_Inputs!$AD44,Norm_Stats!$F$19),Norm_Stats!$G$19)-Norm_Stats!$F$19)/(Norm_Stats!$G$19-Norm_Stats!$F$19))))</f>
        <v/>
      </c>
      <c r="AT44" s="14">
        <f>IF(AS44="","",1)</f>
        <v/>
      </c>
      <c r="AU44" s="11">
        <f>IF(OR(City_Inputs!$BJ44="",Norm_Stats!$F$26="",Norm_Stats!$G$26="",Norm_Stats!$G$26=Norm_Stats!$F$26),"",MAX(0,MIN(100,100*(MIN(MAX(City_Inputs!$BJ44,Norm_Stats!$F$26),Norm_Stats!$G$26)-Norm_Stats!$F$26)/(Norm_Stats!$G$26-Norm_Stats!$F$26))))</f>
        <v/>
      </c>
      <c r="AV44" s="11">
        <f>IF(AU44="","",1)</f>
        <v/>
      </c>
      <c r="AW44" s="15">
        <f>IF((IF(AO44="",0,5)+IF(AQ44="",0,5)+IF(AS44="",0,5)+IF(AU44="",0,4))=0,"",(IF(AO44="",0,AO44*5)+IF(AQ44="",0,AQ44*5)+IF(AS44="",0,AS44*5)+IF(AU44="",0,AU44*4))/(IF(AO44="",0,5)+IF(AQ44="",0,5)+IF(AS44="",0,5)+IF(AU44="",0,4)))</f>
        <v/>
      </c>
      <c r="AX44" s="14">
        <f>IF((IF(AP44="",0,5)+IF(AR44="",0,5)+IF(AT44="",0,5)+IF(AV44="",0,4))=0,"",(IF(AP44="",0,AP44*5)+IF(AR44="",0,AR44*5)+IF(AT44="",0,AT44*5)+IF(AV44="",0,AV44*4))/19)</f>
        <v/>
      </c>
      <c r="AY44" s="11">
        <f>IF(OR(City_Inputs!$AE44="",Norm_Stats!$F$20="",Norm_Stats!$G$20="",Norm_Stats!$G$20=Norm_Stats!$F$20),"",MAX(0,MIN(100,100*(MIN(MAX(City_Inputs!$AE44,Norm_Stats!$F$20),Norm_Stats!$G$20)-Norm_Stats!$F$20)/(Norm_Stats!$G$20-Norm_Stats!$F$20))))</f>
        <v/>
      </c>
      <c r="AZ44" s="14">
        <f>IF(AY44="","",1)</f>
        <v/>
      </c>
      <c r="BA44" s="11">
        <f>IF(OR(City_Inputs!$AF44="",Norm_Stats!$F$21="",Norm_Stats!$G$21="",Norm_Stats!$G$21=Norm_Stats!$F$21),"",MAX(0,MIN(100,100*(MIN(MAX(City_Inputs!$AF44,Norm_Stats!$F$21),Norm_Stats!$G$21)-Norm_Stats!$F$21)/(Norm_Stats!$G$21-Norm_Stats!$F$21))))</f>
        <v/>
      </c>
      <c r="BB44" s="14">
        <f>IF(BA44="","",1)</f>
        <v/>
      </c>
      <c r="BC44" s="11">
        <f>IF((IF((IF(OR(City_Inputs!$AG44="",Norm_Stats!$F$22="",Norm_Stats!$G$22="",Norm_Stats!$G$22=Norm_Stats!$F$22),"",MAX(0,MIN(100,100*(MIN(MAX(City_Inputs!$AG44,Norm_Stats!$F$22),Norm_Stats!$G$22)-Norm_Stats!$F$22)/(Norm_Stats!$G$22-Norm_Stats!$F$22)))))="",0,0.5)+IF((IF(OR(City_Inputs!$AJ44="",Norm_Stats!$F$23="",Norm_Stats!$G$23="",Norm_Stats!$G$23=Norm_Stats!$F$23),"",MAX(0,MIN(100,100*(MIN(MAX(City_Inputs!$AJ44,Norm_Stats!$F$23),Norm_Stats!$G$23)-Norm_Stats!$F$23)/(Norm_Stats!$G$23-Norm_Stats!$F$23)))))="",0,0.3)+IF((IF(OR(City_Inputs!$AK44="",Norm_Stats!$F$24="",Norm_Stats!$G$24="",Norm_Stats!$G$24=Norm_Stats!$F$24),"",MAX(0,MIN(100,100*(MIN(MAX(City_Inputs!$AK44,Norm_Stats!$F$24),Norm_Stats!$G$24)-Norm_Stats!$F$24)/(Norm_Stats!$G$24-Norm_Stats!$F$24)))))="",0,0.2))=0,"",(IF((IF(OR(City_Inputs!$AG44="",Norm_Stats!$F$22="",Norm_Stats!$G$22="",Norm_Stats!$G$22=Norm_Stats!$F$22),"",MAX(0,MIN(100,100*(MIN(MAX(City_Inputs!$AG44,Norm_Stats!$F$22),Norm_Stats!$G$22)-Norm_Stats!$F$22)/(Norm_Stats!$G$22-Norm_Stats!$F$22)))))="",0,(IF(OR(City_Inputs!$AG44="",Norm_Stats!$F$22="",Norm_Stats!$G$22="",Norm_Stats!$G$22=Norm_Stats!$F$22),"",MAX(0,MIN(100,100*(MIN(MAX(City_Inputs!$AG44,Norm_Stats!$F$22),Norm_Stats!$G$22)-Norm_Stats!$F$22)/(Norm_Stats!$G$22-Norm_Stats!$F$22)))))*0.5)+IF((IF(OR(City_Inputs!$AJ44="",Norm_Stats!$F$23="",Norm_Stats!$G$23="",Norm_Stats!$G$23=Norm_Stats!$F$23),"",MAX(0,MIN(100,100*(MIN(MAX(City_Inputs!$AJ44,Norm_Stats!$F$23),Norm_Stats!$G$23)-Norm_Stats!$F$23)/(Norm_Stats!$G$23-Norm_Stats!$F$23)))))="",0,(IF(OR(City_Inputs!$AJ44="",Norm_Stats!$F$23="",Norm_Stats!$G$23="",Norm_Stats!$G$23=Norm_Stats!$F$23),"",MAX(0,MIN(100,100*(MIN(MAX(City_Inputs!$AJ44,Norm_Stats!$F$23),Norm_Stats!$G$23)-Norm_Stats!$F$23)/(Norm_Stats!$G$23-Norm_Stats!$F$23)))))*0.3)+IF((IF(OR(City_Inputs!$AK44="",Norm_Stats!$F$24="",Norm_Stats!$G$24="",Norm_Stats!$G$24=Norm_Stats!$F$24),"",MAX(0,MIN(100,100*(MIN(MAX(City_Inputs!$AK44,Norm_Stats!$F$24),Norm_Stats!$G$24)-Norm_Stats!$F$24)/(Norm_Stats!$G$24-Norm_Stats!$F$24)))))="",0,(IF(OR(City_Inputs!$AK44="",Norm_Stats!$F$24="",Norm_Stats!$G$24="",Norm_Stats!$G$24=Norm_Stats!$F$24),"",MAX(0,MIN(100,100*(MIN(MAX(City_Inputs!$AK44,Norm_Stats!$F$24),Norm_Stats!$G$24)-Norm_Stats!$F$24)/(Norm_Stats!$G$24-Norm_Stats!$F$24)))))*0.2))/(IF((IF(OR(City_Inputs!$AG44="",Norm_Stats!$F$22="",Norm_Stats!$G$22="",Norm_Stats!$G$22=Norm_Stats!$F$22),"",MAX(0,MIN(100,100*(MIN(MAX(City_Inputs!$AG44,Norm_Stats!$F$22),Norm_Stats!$G$22)-Norm_Stats!$F$22)/(Norm_Stats!$G$22-Norm_Stats!$F$22)))))="",0,0.5)+IF((IF(OR(City_Inputs!$AJ44="",Norm_Stats!$F$23="",Norm_Stats!$G$23="",Norm_Stats!$G$23=Norm_Stats!$F$23),"",MAX(0,MIN(100,100*(MIN(MAX(City_Inputs!$AJ44,Norm_Stats!$F$23),Norm_Stats!$G$23)-Norm_Stats!$F$23)/(Norm_Stats!$G$23-Norm_Stats!$F$23)))))="",0,0.3)+IF((IF(OR(City_Inputs!$AK44="",Norm_Stats!$F$24="",Norm_Stats!$G$24="",Norm_Stats!$G$24=Norm_Stats!$F$24),"",MAX(0,MIN(100,100*(MIN(MAX(City_Inputs!$AK44,Norm_Stats!$F$24),Norm_Stats!$G$24)-Norm_Stats!$F$24)/(Norm_Stats!$G$24-Norm_Stats!$F$24)))))="",0,0.2)))</f>
        <v/>
      </c>
      <c r="BD44" s="14">
        <f>IF((IF((IF(OR(City_Inputs!$AG44="",Norm_Stats!$F$22="",Norm_Stats!$G$22="",Norm_Stats!$G$22=Norm_Stats!$F$22),"",MAX(0,MIN(100,100*(MIN(MAX(City_Inputs!$AG44,Norm_Stats!$F$22),Norm_Stats!$G$22)-Norm_Stats!$F$22)/(Norm_Stats!$G$22-Norm_Stats!$F$22)))))="",0,0.5)+IF((IF(OR(City_Inputs!$AJ44="",Norm_Stats!$F$23="",Norm_Stats!$G$23="",Norm_Stats!$G$23=Norm_Stats!$F$23),"",MAX(0,MIN(100,100*(MIN(MAX(City_Inputs!$AJ44,Norm_Stats!$F$23),Norm_Stats!$G$23)-Norm_Stats!$F$23)/(Norm_Stats!$G$23-Norm_Stats!$F$23)))))="",0,0.3)+IF((IF(OR(City_Inputs!$AK44="",Norm_Stats!$F$24="",Norm_Stats!$G$24="",Norm_Stats!$G$24=Norm_Stats!$F$24),"",MAX(0,MIN(100,100*(MIN(MAX(City_Inputs!$AK44,Norm_Stats!$F$24),Norm_Stats!$G$24)-Norm_Stats!$F$24)/(Norm_Stats!$G$24-Norm_Stats!$F$24)))))="",0,0.2))=0,"",(IF((IF(OR(City_Inputs!$AG44="",Norm_Stats!$F$22="",Norm_Stats!$G$22="",Norm_Stats!$G$22=Norm_Stats!$F$22),"",MAX(0,MIN(100,100*(MIN(MAX(City_Inputs!$AG44,Norm_Stats!$F$22),Norm_Stats!$G$22)-Norm_Stats!$F$22)/(Norm_Stats!$G$22-Norm_Stats!$F$22)))))="",0,0.5)+IF((IF(OR(City_Inputs!$AJ44="",Norm_Stats!$F$23="",Norm_Stats!$G$23="",Norm_Stats!$G$23=Norm_Stats!$F$23),"",MAX(0,MIN(100,100*(MIN(MAX(City_Inputs!$AJ44,Norm_Stats!$F$23),Norm_Stats!$G$23)-Norm_Stats!$F$23)/(Norm_Stats!$G$23-Norm_Stats!$F$23)))))="",0,0.3)+IF((IF(OR(City_Inputs!$AK44="",Norm_Stats!$F$24="",Norm_Stats!$G$24="",Norm_Stats!$G$24=Norm_Stats!$F$24),"",MAX(0,MIN(100,100*(MIN(MAX(City_Inputs!$AK44,Norm_Stats!$F$24),Norm_Stats!$G$24)-Norm_Stats!$F$24)/(Norm_Stats!$G$24-Norm_Stats!$F$24)))))="",0,0.2)))</f>
        <v/>
      </c>
      <c r="BE44" s="11">
        <f>IF(OR(City_Inputs!$AH44="",Norm_Stats!$F$25="",Norm_Stats!$G$25="",Norm_Stats!$G$25=Norm_Stats!$F$25),"",MAX(0,MIN(100,100*(Norm_Stats!$G$25-MIN(MAX(City_Inputs!$AH44,Norm_Stats!$F$25),Norm_Stats!$G$25))/(Norm_Stats!$G$25-Norm_Stats!$F$25))))</f>
        <v/>
      </c>
      <c r="BF44" s="14">
        <f>IF(BE44="","",1)</f>
        <v/>
      </c>
      <c r="BG44" s="15">
        <f>IF((IF(AY44="",0,6)+IF(BA44="",0,5)+IF(BC44="",0,5)+IF(BE44="",0,4))=0,"",(IF(AY44="",0,AY44*6)+IF(BA44="",0,BA44*5)+IF(BC44="",0,BC44*5)+IF(BE44="",0,BE44*4))/(IF(AY44="",0,6)+IF(BA44="",0,5)+IF(BC44="",0,5)+IF(BE44="",0,4)))</f>
        <v/>
      </c>
      <c r="BH44" s="14">
        <f>IF((IF(AZ44="",0,6)+IF(BB44="",0,5)+IF(BD44="",0,5)+IF(BF44="",0,4))=0,"",(IF(AZ44="",0,AZ44*6)+IF(BB44="",0,BB44*5)+IF(BD44="",0,BD44*5)+IF(BF44="",0,BF44*4))/20)</f>
        <v/>
      </c>
      <c r="BI44" s="14">
        <f>IF(AND(R44="",AF44="",AN44="",AX44="",BH44=""),"",((R44*25)+(AF44*22)+(AN44*18)+(AX44*15)+(BH44*20))/100)</f>
        <v/>
      </c>
      <c r="BJ44" s="11">
        <f>IF(BI44="","",IF(BI44&gt;=0.75,"A",IF(BI44&gt;=0.5,"B",IF(BI44&gt;=0.35,"C","Watchlist"))))</f>
        <v/>
      </c>
      <c r="BK44" s="11">
        <f>IF(OR(BI44="",BI44&lt;0.5,R44="",R44&lt;0.35,AF44="",AF44&lt;0.35,AN44="",AN44&lt;0.35,AX44="",AX44&lt;0.35,BH44="",BH44&lt;0.35),"Watchlist","Ranked")</f>
        <v/>
      </c>
      <c r="BL44" s="15">
        <f>IF(AND(Q44="",AE44="",AM44="",AW44="",BG44=""),"",(IF(Q44="",0,Q44*25)+IF(AE44="",0,AE44*22)+IF(AM44="",0,AM44*18)+IF(AW44="",0,AW44*15)+IF(BG44="",0,BG44*20))/(IF(Q44="",0,25)+IF(AE44="",0,22)+IF(AM44="",0,18)+IF(AW44="",0,15)+IF(BG44="",0,20)))</f>
        <v/>
      </c>
      <c r="BM44" s="11">
        <f>IF(BK44="Ranked",1+COUNTIFS($BK$2:$BK$158,"Ranked",$BL$2:$BL$158,"&gt;"&amp;BL44),"")</f>
        <v/>
      </c>
      <c r="BN44" s="11">
        <f>City_Inputs!$AI44</f>
        <v/>
      </c>
    </row>
    <row r="45">
      <c r="A45" t="inlineStr">
        <is>
          <t>at-graz</t>
        </is>
      </c>
      <c r="B45" t="inlineStr">
        <is>
          <t>Graz</t>
        </is>
      </c>
      <c r="C45" t="inlineStr">
        <is>
          <t>Austria</t>
        </is>
      </c>
      <c r="D45" t="inlineStr">
        <is>
          <t>Western, Northern, and Southern Europe</t>
        </is>
      </c>
      <c r="E45" t="inlineStr">
        <is>
          <t>locked</t>
        </is>
      </c>
      <c r="F45" t="inlineStr">
        <is>
          <t>secondary</t>
        </is>
      </c>
      <c r="G45" s="11">
        <f>IF(OR(City_Inputs!$M45="",Norm_Stats!$F$2="",Norm_Stats!$G$2="",Norm_Stats!$G$2=Norm_Stats!$F$2),"",MAX(0,MIN(100,100*(MIN(MAX(City_Inputs!$M45,Norm_Stats!$F$2),Norm_Stats!$G$2)-Norm_Stats!$F$2)/(Norm_Stats!$G$2-Norm_Stats!$F$2))))</f>
        <v/>
      </c>
      <c r="H45" s="14">
        <f>IF(G45="","",1)</f>
        <v/>
      </c>
      <c r="I45" s="11">
        <f>IF(OR(City_Inputs!$N45="",Norm_Stats!$F$3="",Norm_Stats!$G$3="",Norm_Stats!$G$3=Norm_Stats!$F$3),"",MAX(0,MIN(100,100*(Norm_Stats!$G$3-MIN(MAX(City_Inputs!$N45,Norm_Stats!$F$3),Norm_Stats!$G$3))/(Norm_Stats!$G$3-Norm_Stats!$F$3))))</f>
        <v/>
      </c>
      <c r="J45" s="14">
        <f>IF(I45="","",1)</f>
        <v/>
      </c>
      <c r="K45" s="11">
        <f>IF(OR(City_Inputs!$P45="",Norm_Stats!$F$4="",Norm_Stats!$G$4="",Norm_Stats!$G$4=Norm_Stats!$F$4),"",MAX(0,MIN(100,100*(Norm_Stats!$G$4-MIN(MAX(City_Inputs!$P45,Norm_Stats!$F$4),Norm_Stats!$G$4))/(Norm_Stats!$G$4-Norm_Stats!$F$4))))</f>
        <v/>
      </c>
      <c r="L45" s="14">
        <f>IF(K45="","",1)</f>
        <v/>
      </c>
      <c r="M45" s="11">
        <f>IF(OR(City_Inputs!$Q45="",Norm_Stats!$F$5="",Norm_Stats!$G$5="",Norm_Stats!$G$5=Norm_Stats!$F$5),"",MAX(0,MIN(100,100*(Norm_Stats!$G$5-MIN(MAX(City_Inputs!$Q45,Norm_Stats!$F$5),Norm_Stats!$G$5))/(Norm_Stats!$G$5-Norm_Stats!$F$5))))</f>
        <v/>
      </c>
      <c r="N45" s="14">
        <f>IF(M45="","",1)</f>
        <v/>
      </c>
      <c r="O45" s="11">
        <f>IF(OR(City_Inputs!$R45="",Norm_Stats!$F$6="",Norm_Stats!$G$6="",Norm_Stats!$G$6=Norm_Stats!$F$6),"",MAX(0,MIN(100,100*(Norm_Stats!$G$6-MIN(MAX(City_Inputs!$R45,Norm_Stats!$F$6),Norm_Stats!$G$6))/(Norm_Stats!$G$6-Norm_Stats!$F$6))))</f>
        <v/>
      </c>
      <c r="P45" s="14">
        <f>IF(O45="","",1)</f>
        <v/>
      </c>
      <c r="Q45" s="15">
        <f>IF((IF(G45="",0,9)+IF(I45="",0,5)+IF(K45="",0,4)+IF(M45="",0,4)+IF(O45="",0,5))=0,"",(IF(G45="",0,G45*9)+IF(I45="",0,I45*5)+IF(K45="",0,K45*4)+IF(M45="",0,M45*4)+IF(O45="",0,O45*5))/(IF(G45="",0,9)+IF(I45="",0,5)+IF(K45="",0,4)+IF(M45="",0,4)+IF(O45="",0,5)))</f>
        <v/>
      </c>
      <c r="R45" s="14">
        <f>IF((IF(H45="",0,9)+IF(J45="",0,5)+IF(L45="",0,4)+IF(N45="",0,4)+IF(P45="",0,5))=0,"",(IF(H45="",0,H45*9)+IF(J45="",0,J45*5)+IF(L45="",0,L45*4)+IF(N45="",0,N45*4)+IF(P45="",0,P45*5))/27)</f>
        <v/>
      </c>
      <c r="S45" s="11">
        <f>IF(OR(City_Inputs!$S45="",Norm_Stats!$F$7="",Norm_Stats!$G$7="",Norm_Stats!$G$7=Norm_Stats!$F$7),"",MAX(0,MIN(100,100*(Norm_Stats!$G$7-MIN(MAX(City_Inputs!$S45,Norm_Stats!$F$7),Norm_Stats!$G$7))/(Norm_Stats!$G$7-Norm_Stats!$F$7))))</f>
        <v/>
      </c>
      <c r="T45" s="14">
        <f>IF(S45="","",1)</f>
        <v/>
      </c>
      <c r="U45" s="11">
        <f>IF(OR(City_Inputs!$T45="",Norm_Stats!$F$8="",Norm_Stats!$G$8="",Norm_Stats!$G$8=Norm_Stats!$F$8),"",MAX(0,MIN(100,100*(MIN(MAX(City_Inputs!$T45,Norm_Stats!$F$8),Norm_Stats!$G$8)-Norm_Stats!$F$8)/(Norm_Stats!$G$8-Norm_Stats!$F$8))))</f>
        <v/>
      </c>
      <c r="V45" s="14">
        <f>IF(U45="","",1)</f>
        <v/>
      </c>
      <c r="W45" s="11">
        <f>IF(OR(City_Inputs!$U45="",Norm_Stats!$F$9="",Norm_Stats!$G$9="",Norm_Stats!$G$9=Norm_Stats!$F$9),"",MAX(0,MIN(100,100*(Norm_Stats!$G$9-MIN(MAX(City_Inputs!$U45,Norm_Stats!$F$9),Norm_Stats!$G$9))/(Norm_Stats!$G$9-Norm_Stats!$F$9))))</f>
        <v/>
      </c>
      <c r="X45" s="14">
        <f>IF(W45="","",1)</f>
        <v/>
      </c>
      <c r="Y45" s="11">
        <f>IF(OR(City_Inputs!$V45="",Norm_Stats!$F$10="",Norm_Stats!$G$10="",Norm_Stats!$G$10=Norm_Stats!$F$10),"",MAX(0,MIN(100,100*(MIN(MAX(City_Inputs!$V45,Norm_Stats!$F$10),Norm_Stats!$G$10)-Norm_Stats!$F$10)/(Norm_Stats!$G$10-Norm_Stats!$F$10))))</f>
        <v/>
      </c>
      <c r="Z45" s="14">
        <f>IF(Y45="","",1)</f>
        <v/>
      </c>
      <c r="AA45" s="11">
        <f>IF(OR(City_Inputs!$W45="",Norm_Stats!$F$11="",Norm_Stats!$G$11="",Norm_Stats!$G$11=Norm_Stats!$F$11),"",MAX(0,MIN(100,100*(MIN(MAX(City_Inputs!$W45,Norm_Stats!$F$11),Norm_Stats!$G$11)-Norm_Stats!$F$11)/(Norm_Stats!$G$11-Norm_Stats!$F$11))))</f>
        <v/>
      </c>
      <c r="AB45" s="14">
        <f>IF(AA45="","",1)</f>
        <v/>
      </c>
      <c r="AC45" s="11">
        <f>IF(OR(City_Inputs!$X45="",Norm_Stats!$F$12="",Norm_Stats!$G$12="",Norm_Stats!$G$12=Norm_Stats!$F$12),"",MAX(0,MIN(100,100*(MIN(MAX(City_Inputs!$X45,Norm_Stats!$F$12),Norm_Stats!$G$12)-Norm_Stats!$F$12)/(Norm_Stats!$G$12-Norm_Stats!$F$12))))</f>
        <v/>
      </c>
      <c r="AD45" s="11">
        <f>IF(AC45="","",1)</f>
        <v/>
      </c>
      <c r="AE45" s="15">
        <f>IF((IF(S45="",0,5)+IF(U45="",0,5)+IF(W45="",0,4)+IF(Y45="",0,4)+IF(AA45="",0,4)+IF(AC45="",0,5))=0,"",(IF(S45="",0,S45*5)+IF(U45="",0,U45*5)+IF(W45="",0,W45*4)+IF(Y45="",0,Y45*4)+IF(AA45="",0,AA45*4)+IF(AC45="",0,AC45*5))/(IF(S45="",0,5)+IF(U45="",0,5)+IF(W45="",0,4)+IF(Y45="",0,4)+IF(AA45="",0,4)+IF(AC45="",0,5)))</f>
        <v/>
      </c>
      <c r="AF45" s="14">
        <f>IF((IF(T45="",0,5)+IF(V45="",0,5)+IF(X45="",0,4)+IF(Z45="",0,4)+IF(AB45="",0,4)+IF(AD45="",0,5))=0,"",(IF(T45="",0,T45*5)+IF(V45="",0,V45*5)+IF(X45="",0,X45*4)+IF(Z45="",0,Z45*4)+IF(AB45="",0,AB45*4)+IF(AD45="",0,AD45*5))/27)</f>
        <v/>
      </c>
      <c r="AG45" s="11">
        <f>IF(OR(City_Inputs!$Y45="",Norm_Stats!$F$13="",Norm_Stats!$G$13="",Norm_Stats!$G$13=Norm_Stats!$F$13),"",MAX(0,MIN(100,100*(MIN(MAX(City_Inputs!$Y45,Norm_Stats!$F$13),Norm_Stats!$G$13)-Norm_Stats!$F$13)/(Norm_Stats!$G$13-Norm_Stats!$F$13))))</f>
        <v/>
      </c>
      <c r="AH45" s="14">
        <f>IF(AG45="","",1)</f>
        <v/>
      </c>
      <c r="AI45" s="11">
        <f>IF(OR(City_Inputs!$Z45="",Norm_Stats!$F$14="",Norm_Stats!$G$14="",Norm_Stats!$G$14=Norm_Stats!$F$14),"",MAX(0,MIN(100,100*(MIN(MAX(City_Inputs!$Z45,Norm_Stats!$F$14),Norm_Stats!$G$14)-Norm_Stats!$F$14)/(Norm_Stats!$G$14-Norm_Stats!$F$14))))</f>
        <v/>
      </c>
      <c r="AJ45" s="14">
        <f>IF(AI45="","",1)</f>
        <v/>
      </c>
      <c r="AK45" s="11">
        <f>IF((IF((IF(OR(City_Inputs!$AA45="",Norm_Stats!$F$15="",Norm_Stats!$G$15="",Norm_Stats!$G$15=Norm_Stats!$F$15),"",MAX(0,MIN(100,100*(MIN(MAX(City_Inputs!$AA45,Norm_Stats!$F$15),Norm_Stats!$G$15)-Norm_Stats!$F$15)/(Norm_Stats!$G$15-Norm_Stats!$F$15)))))="",0,0.7)+IF((IF(OR(City_Inputs!$AL45="",Norm_Stats!$F$16="",Norm_Stats!$G$16="",Norm_Stats!$G$16=Norm_Stats!$F$16),"",MAX(0,MIN(100,100*(Norm_Stats!$G$16-MIN(MAX(City_Inputs!$AL45,Norm_Stats!$F$16),Norm_Stats!$G$16))/(Norm_Stats!$G$16-Norm_Stats!$F$16)))))="",0,0.3))=0,"",(IF((IF(OR(City_Inputs!$AA45="",Norm_Stats!$F$15="",Norm_Stats!$G$15="",Norm_Stats!$G$15=Norm_Stats!$F$15),"",MAX(0,MIN(100,100*(MIN(MAX(City_Inputs!$AA45,Norm_Stats!$F$15),Norm_Stats!$G$15)-Norm_Stats!$F$15)/(Norm_Stats!$G$15-Norm_Stats!$F$15)))))="",0,(IF(OR(City_Inputs!$AA45="",Norm_Stats!$F$15="",Norm_Stats!$G$15="",Norm_Stats!$G$15=Norm_Stats!$F$15),"",MAX(0,MIN(100,100*(MIN(MAX(City_Inputs!$AA45,Norm_Stats!$F$15),Norm_Stats!$G$15)-Norm_Stats!$F$15)/(Norm_Stats!$G$15-Norm_Stats!$F$15)))))*0.7)+IF((IF(OR(City_Inputs!$AL45="",Norm_Stats!$F$16="",Norm_Stats!$G$16="",Norm_Stats!$G$16=Norm_Stats!$F$16),"",MAX(0,MIN(100,100*(Norm_Stats!$G$16-MIN(MAX(City_Inputs!$AL45,Norm_Stats!$F$16),Norm_Stats!$G$16))/(Norm_Stats!$G$16-Norm_Stats!$F$16)))))="",0,(IF(OR(City_Inputs!$AL45="",Norm_Stats!$F$16="",Norm_Stats!$G$16="",Norm_Stats!$G$16=Norm_Stats!$F$16),"",MAX(0,MIN(100,100*(Norm_Stats!$G$16-MIN(MAX(City_Inputs!$AL45,Norm_Stats!$F$16),Norm_Stats!$G$16))/(Norm_Stats!$G$16-Norm_Stats!$F$16)))))*0.3))/(IF((IF(OR(City_Inputs!$AA45="",Norm_Stats!$F$15="",Norm_Stats!$G$15="",Norm_Stats!$G$15=Norm_Stats!$F$15),"",MAX(0,MIN(100,100*(MIN(MAX(City_Inputs!$AA45,Norm_Stats!$F$15),Norm_Stats!$G$15)-Norm_Stats!$F$15)/(Norm_Stats!$G$15-Norm_Stats!$F$15)))))="",0,0.7)+IF((IF(OR(City_Inputs!$AL45="",Norm_Stats!$F$16="",Norm_Stats!$G$16="",Norm_Stats!$G$16=Norm_Stats!$F$16),"",MAX(0,MIN(100,100*(Norm_Stats!$G$16-MIN(MAX(City_Inputs!$AL45,Norm_Stats!$F$16),Norm_Stats!$G$16))/(Norm_Stats!$G$16-Norm_Stats!$F$16)))))="",0,0.3)))</f>
        <v/>
      </c>
      <c r="AL45" s="14">
        <f>IF((IF((IF(OR(City_Inputs!$AA45="",Norm_Stats!$F$15="",Norm_Stats!$G$15="",Norm_Stats!$G$15=Norm_Stats!$F$15),"",MAX(0,MIN(100,100*(MIN(MAX(City_Inputs!$AA45,Norm_Stats!$F$15),Norm_Stats!$G$15)-Norm_Stats!$F$15)/(Norm_Stats!$G$15-Norm_Stats!$F$15)))))="",0,0.7)+IF((IF(OR(City_Inputs!$AL45="",Norm_Stats!$F$16="",Norm_Stats!$G$16="",Norm_Stats!$G$16=Norm_Stats!$F$16),"",MAX(0,MIN(100,100*(Norm_Stats!$G$16-MIN(MAX(City_Inputs!$AL45,Norm_Stats!$F$16),Norm_Stats!$G$16))/(Norm_Stats!$G$16-Norm_Stats!$F$16)))))="",0,0.3))=0,"",(IF((IF(OR(City_Inputs!$AA45="",Norm_Stats!$F$15="",Norm_Stats!$G$15="",Norm_Stats!$G$15=Norm_Stats!$F$15),"",MAX(0,MIN(100,100*(MIN(MAX(City_Inputs!$AA45,Norm_Stats!$F$15),Norm_Stats!$G$15)-Norm_Stats!$F$15)/(Norm_Stats!$G$15-Norm_Stats!$F$15)))))="",0,0.7)+IF((IF(OR(City_Inputs!$AL45="",Norm_Stats!$F$16="",Norm_Stats!$G$16="",Norm_Stats!$G$16=Norm_Stats!$F$16),"",MAX(0,MIN(100,100*(Norm_Stats!$G$16-MIN(MAX(City_Inputs!$AL45,Norm_Stats!$F$16),Norm_Stats!$G$16))/(Norm_Stats!$G$16-Norm_Stats!$F$16)))))="",0,0.3)))</f>
        <v/>
      </c>
      <c r="AM45" s="15">
        <f>IF((IF(AG45="",0,8)+IF(AI45="",0,6)+IF(AK45="",0,4))=0,"",(IF(AG45="",0,AG45*8)+IF(AI45="",0,AI45*6)+IF(AK45="",0,AK45*4))/(IF(AG45="",0,8)+IF(AI45="",0,6)+IF(AK45="",0,4)))</f>
        <v/>
      </c>
      <c r="AN45" s="14">
        <f>IF((IF(AH45="",0,8)+IF(AJ45="",0,6)+IF(AL45="",0,4))=0,"",(IF(AH45="",0,AH45*8)+IF(AJ45="",0,AJ45*6)+IF(AL45="",0,AL45*4))/18)</f>
        <v/>
      </c>
      <c r="AO45" s="11">
        <f>IF(OR(City_Inputs!$AB45="",Norm_Stats!$F$17="",Norm_Stats!$G$17="",Norm_Stats!$G$17=Norm_Stats!$F$17),"",MAX(0,MIN(100,100*(MIN(MAX(City_Inputs!$AB45,Norm_Stats!$F$17),Norm_Stats!$G$17)-Norm_Stats!$F$17)/(Norm_Stats!$G$17-Norm_Stats!$F$17))))</f>
        <v/>
      </c>
      <c r="AP45" s="14">
        <f>IF(AO45="","",1)</f>
        <v/>
      </c>
      <c r="AQ45" s="11">
        <f>IF(OR(City_Inputs!$AC45="",Norm_Stats!$F$18="",Norm_Stats!$G$18="",Norm_Stats!$G$18=Norm_Stats!$F$18),"",MAX(0,MIN(100,100*(MIN(MAX(City_Inputs!$AC45,Norm_Stats!$F$18),Norm_Stats!$G$18)-Norm_Stats!$F$18)/(Norm_Stats!$G$18-Norm_Stats!$F$18))))</f>
        <v/>
      </c>
      <c r="AR45" s="14">
        <f>IF(AQ45="","",1)</f>
        <v/>
      </c>
      <c r="AS45" s="11">
        <f>IF(OR(City_Inputs!$AD45="",Norm_Stats!$F$19="",Norm_Stats!$G$19="",Norm_Stats!$G$19=Norm_Stats!$F$19),"",MAX(0,MIN(100,100*(MIN(MAX(City_Inputs!$AD45,Norm_Stats!$F$19),Norm_Stats!$G$19)-Norm_Stats!$F$19)/(Norm_Stats!$G$19-Norm_Stats!$F$19))))</f>
        <v/>
      </c>
      <c r="AT45" s="14">
        <f>IF(AS45="","",1)</f>
        <v/>
      </c>
      <c r="AU45" s="11">
        <f>IF(OR(City_Inputs!$BJ45="",Norm_Stats!$F$26="",Norm_Stats!$G$26="",Norm_Stats!$G$26=Norm_Stats!$F$26),"",MAX(0,MIN(100,100*(MIN(MAX(City_Inputs!$BJ45,Norm_Stats!$F$26),Norm_Stats!$G$26)-Norm_Stats!$F$26)/(Norm_Stats!$G$26-Norm_Stats!$F$26))))</f>
        <v/>
      </c>
      <c r="AV45" s="11">
        <f>IF(AU45="","",1)</f>
        <v/>
      </c>
      <c r="AW45" s="15">
        <f>IF((IF(AO45="",0,5)+IF(AQ45="",0,5)+IF(AS45="",0,5)+IF(AU45="",0,4))=0,"",(IF(AO45="",0,AO45*5)+IF(AQ45="",0,AQ45*5)+IF(AS45="",0,AS45*5)+IF(AU45="",0,AU45*4))/(IF(AO45="",0,5)+IF(AQ45="",0,5)+IF(AS45="",0,5)+IF(AU45="",0,4)))</f>
        <v/>
      </c>
      <c r="AX45" s="14">
        <f>IF((IF(AP45="",0,5)+IF(AR45="",0,5)+IF(AT45="",0,5)+IF(AV45="",0,4))=0,"",(IF(AP45="",0,AP45*5)+IF(AR45="",0,AR45*5)+IF(AT45="",0,AT45*5)+IF(AV45="",0,AV45*4))/19)</f>
        <v/>
      </c>
      <c r="AY45" s="11">
        <f>IF(OR(City_Inputs!$AE45="",Norm_Stats!$F$20="",Norm_Stats!$G$20="",Norm_Stats!$G$20=Norm_Stats!$F$20),"",MAX(0,MIN(100,100*(MIN(MAX(City_Inputs!$AE45,Norm_Stats!$F$20),Norm_Stats!$G$20)-Norm_Stats!$F$20)/(Norm_Stats!$G$20-Norm_Stats!$F$20))))</f>
        <v/>
      </c>
      <c r="AZ45" s="14">
        <f>IF(AY45="","",1)</f>
        <v/>
      </c>
      <c r="BA45" s="11">
        <f>IF(OR(City_Inputs!$AF45="",Norm_Stats!$F$21="",Norm_Stats!$G$21="",Norm_Stats!$G$21=Norm_Stats!$F$21),"",MAX(0,MIN(100,100*(MIN(MAX(City_Inputs!$AF45,Norm_Stats!$F$21),Norm_Stats!$G$21)-Norm_Stats!$F$21)/(Norm_Stats!$G$21-Norm_Stats!$F$21))))</f>
        <v/>
      </c>
      <c r="BB45" s="14">
        <f>IF(BA45="","",1)</f>
        <v/>
      </c>
      <c r="BC45" s="11">
        <f>IF((IF((IF(OR(City_Inputs!$AG45="",Norm_Stats!$F$22="",Norm_Stats!$G$22="",Norm_Stats!$G$22=Norm_Stats!$F$22),"",MAX(0,MIN(100,100*(MIN(MAX(City_Inputs!$AG45,Norm_Stats!$F$22),Norm_Stats!$G$22)-Norm_Stats!$F$22)/(Norm_Stats!$G$22-Norm_Stats!$F$22)))))="",0,0.5)+IF((IF(OR(City_Inputs!$AJ45="",Norm_Stats!$F$23="",Norm_Stats!$G$23="",Norm_Stats!$G$23=Norm_Stats!$F$23),"",MAX(0,MIN(100,100*(MIN(MAX(City_Inputs!$AJ45,Norm_Stats!$F$23),Norm_Stats!$G$23)-Norm_Stats!$F$23)/(Norm_Stats!$G$23-Norm_Stats!$F$23)))))="",0,0.3)+IF((IF(OR(City_Inputs!$AK45="",Norm_Stats!$F$24="",Norm_Stats!$G$24="",Norm_Stats!$G$24=Norm_Stats!$F$24),"",MAX(0,MIN(100,100*(MIN(MAX(City_Inputs!$AK45,Norm_Stats!$F$24),Norm_Stats!$G$24)-Norm_Stats!$F$24)/(Norm_Stats!$G$24-Norm_Stats!$F$24)))))="",0,0.2))=0,"",(IF((IF(OR(City_Inputs!$AG45="",Norm_Stats!$F$22="",Norm_Stats!$G$22="",Norm_Stats!$G$22=Norm_Stats!$F$22),"",MAX(0,MIN(100,100*(MIN(MAX(City_Inputs!$AG45,Norm_Stats!$F$22),Norm_Stats!$G$22)-Norm_Stats!$F$22)/(Norm_Stats!$G$22-Norm_Stats!$F$22)))))="",0,(IF(OR(City_Inputs!$AG45="",Norm_Stats!$F$22="",Norm_Stats!$G$22="",Norm_Stats!$G$22=Norm_Stats!$F$22),"",MAX(0,MIN(100,100*(MIN(MAX(City_Inputs!$AG45,Norm_Stats!$F$22),Norm_Stats!$G$22)-Norm_Stats!$F$22)/(Norm_Stats!$G$22-Norm_Stats!$F$22)))))*0.5)+IF((IF(OR(City_Inputs!$AJ45="",Norm_Stats!$F$23="",Norm_Stats!$G$23="",Norm_Stats!$G$23=Norm_Stats!$F$23),"",MAX(0,MIN(100,100*(MIN(MAX(City_Inputs!$AJ45,Norm_Stats!$F$23),Norm_Stats!$G$23)-Norm_Stats!$F$23)/(Norm_Stats!$G$23-Norm_Stats!$F$23)))))="",0,(IF(OR(City_Inputs!$AJ45="",Norm_Stats!$F$23="",Norm_Stats!$G$23="",Norm_Stats!$G$23=Norm_Stats!$F$23),"",MAX(0,MIN(100,100*(MIN(MAX(City_Inputs!$AJ45,Norm_Stats!$F$23),Norm_Stats!$G$23)-Norm_Stats!$F$23)/(Norm_Stats!$G$23-Norm_Stats!$F$23)))))*0.3)+IF((IF(OR(City_Inputs!$AK45="",Norm_Stats!$F$24="",Norm_Stats!$G$24="",Norm_Stats!$G$24=Norm_Stats!$F$24),"",MAX(0,MIN(100,100*(MIN(MAX(City_Inputs!$AK45,Norm_Stats!$F$24),Norm_Stats!$G$24)-Norm_Stats!$F$24)/(Norm_Stats!$G$24-Norm_Stats!$F$24)))))="",0,(IF(OR(City_Inputs!$AK45="",Norm_Stats!$F$24="",Norm_Stats!$G$24="",Norm_Stats!$G$24=Norm_Stats!$F$24),"",MAX(0,MIN(100,100*(MIN(MAX(City_Inputs!$AK45,Norm_Stats!$F$24),Norm_Stats!$G$24)-Norm_Stats!$F$24)/(Norm_Stats!$G$24-Norm_Stats!$F$24)))))*0.2))/(IF((IF(OR(City_Inputs!$AG45="",Norm_Stats!$F$22="",Norm_Stats!$G$22="",Norm_Stats!$G$22=Norm_Stats!$F$22),"",MAX(0,MIN(100,100*(MIN(MAX(City_Inputs!$AG45,Norm_Stats!$F$22),Norm_Stats!$G$22)-Norm_Stats!$F$22)/(Norm_Stats!$G$22-Norm_Stats!$F$22)))))="",0,0.5)+IF((IF(OR(City_Inputs!$AJ45="",Norm_Stats!$F$23="",Norm_Stats!$G$23="",Norm_Stats!$G$23=Norm_Stats!$F$23),"",MAX(0,MIN(100,100*(MIN(MAX(City_Inputs!$AJ45,Norm_Stats!$F$23),Norm_Stats!$G$23)-Norm_Stats!$F$23)/(Norm_Stats!$G$23-Norm_Stats!$F$23)))))="",0,0.3)+IF((IF(OR(City_Inputs!$AK45="",Norm_Stats!$F$24="",Norm_Stats!$G$24="",Norm_Stats!$G$24=Norm_Stats!$F$24),"",MAX(0,MIN(100,100*(MIN(MAX(City_Inputs!$AK45,Norm_Stats!$F$24),Norm_Stats!$G$24)-Norm_Stats!$F$24)/(Norm_Stats!$G$24-Norm_Stats!$F$24)))))="",0,0.2)))</f>
        <v/>
      </c>
      <c r="BD45" s="14">
        <f>IF((IF((IF(OR(City_Inputs!$AG45="",Norm_Stats!$F$22="",Norm_Stats!$G$22="",Norm_Stats!$G$22=Norm_Stats!$F$22),"",MAX(0,MIN(100,100*(MIN(MAX(City_Inputs!$AG45,Norm_Stats!$F$22),Norm_Stats!$G$22)-Norm_Stats!$F$22)/(Norm_Stats!$G$22-Norm_Stats!$F$22)))))="",0,0.5)+IF((IF(OR(City_Inputs!$AJ45="",Norm_Stats!$F$23="",Norm_Stats!$G$23="",Norm_Stats!$G$23=Norm_Stats!$F$23),"",MAX(0,MIN(100,100*(MIN(MAX(City_Inputs!$AJ45,Norm_Stats!$F$23),Norm_Stats!$G$23)-Norm_Stats!$F$23)/(Norm_Stats!$G$23-Norm_Stats!$F$23)))))="",0,0.3)+IF((IF(OR(City_Inputs!$AK45="",Norm_Stats!$F$24="",Norm_Stats!$G$24="",Norm_Stats!$G$24=Norm_Stats!$F$24),"",MAX(0,MIN(100,100*(MIN(MAX(City_Inputs!$AK45,Norm_Stats!$F$24),Norm_Stats!$G$24)-Norm_Stats!$F$24)/(Norm_Stats!$G$24-Norm_Stats!$F$24)))))="",0,0.2))=0,"",(IF((IF(OR(City_Inputs!$AG45="",Norm_Stats!$F$22="",Norm_Stats!$G$22="",Norm_Stats!$G$22=Norm_Stats!$F$22),"",MAX(0,MIN(100,100*(MIN(MAX(City_Inputs!$AG45,Norm_Stats!$F$22),Norm_Stats!$G$22)-Norm_Stats!$F$22)/(Norm_Stats!$G$22-Norm_Stats!$F$22)))))="",0,0.5)+IF((IF(OR(City_Inputs!$AJ45="",Norm_Stats!$F$23="",Norm_Stats!$G$23="",Norm_Stats!$G$23=Norm_Stats!$F$23),"",MAX(0,MIN(100,100*(MIN(MAX(City_Inputs!$AJ45,Norm_Stats!$F$23),Norm_Stats!$G$23)-Norm_Stats!$F$23)/(Norm_Stats!$G$23-Norm_Stats!$F$23)))))="",0,0.3)+IF((IF(OR(City_Inputs!$AK45="",Norm_Stats!$F$24="",Norm_Stats!$G$24="",Norm_Stats!$G$24=Norm_Stats!$F$24),"",MAX(0,MIN(100,100*(MIN(MAX(City_Inputs!$AK45,Norm_Stats!$F$24),Norm_Stats!$G$24)-Norm_Stats!$F$24)/(Norm_Stats!$G$24-Norm_Stats!$F$24)))))="",0,0.2)))</f>
        <v/>
      </c>
      <c r="BE45" s="11">
        <f>IF(OR(City_Inputs!$AH45="",Norm_Stats!$F$25="",Norm_Stats!$G$25="",Norm_Stats!$G$25=Norm_Stats!$F$25),"",MAX(0,MIN(100,100*(Norm_Stats!$G$25-MIN(MAX(City_Inputs!$AH45,Norm_Stats!$F$25),Norm_Stats!$G$25))/(Norm_Stats!$G$25-Norm_Stats!$F$25))))</f>
        <v/>
      </c>
      <c r="BF45" s="14">
        <f>IF(BE45="","",1)</f>
        <v/>
      </c>
      <c r="BG45" s="15">
        <f>IF((IF(AY45="",0,6)+IF(BA45="",0,5)+IF(BC45="",0,5)+IF(BE45="",0,4))=0,"",(IF(AY45="",0,AY45*6)+IF(BA45="",0,BA45*5)+IF(BC45="",0,BC45*5)+IF(BE45="",0,BE45*4))/(IF(AY45="",0,6)+IF(BA45="",0,5)+IF(BC45="",0,5)+IF(BE45="",0,4)))</f>
        <v/>
      </c>
      <c r="BH45" s="14">
        <f>IF((IF(AZ45="",0,6)+IF(BB45="",0,5)+IF(BD45="",0,5)+IF(BF45="",0,4))=0,"",(IF(AZ45="",0,AZ45*6)+IF(BB45="",0,BB45*5)+IF(BD45="",0,BD45*5)+IF(BF45="",0,BF45*4))/20)</f>
        <v/>
      </c>
      <c r="BI45" s="14">
        <f>IF(AND(R45="",AF45="",AN45="",AX45="",BH45=""),"",((R45*25)+(AF45*22)+(AN45*18)+(AX45*15)+(BH45*20))/100)</f>
        <v/>
      </c>
      <c r="BJ45" s="11">
        <f>IF(BI45="","",IF(BI45&gt;=0.75,"A",IF(BI45&gt;=0.5,"B",IF(BI45&gt;=0.35,"C","Watchlist"))))</f>
        <v/>
      </c>
      <c r="BK45" s="11">
        <f>IF(OR(BI45="",BI45&lt;0.5,R45="",R45&lt;0.35,AF45="",AF45&lt;0.35,AN45="",AN45&lt;0.35,AX45="",AX45&lt;0.35,BH45="",BH45&lt;0.35),"Watchlist","Ranked")</f>
        <v/>
      </c>
      <c r="BL45" s="15">
        <f>IF(AND(Q45="",AE45="",AM45="",AW45="",BG45=""),"",(IF(Q45="",0,Q45*25)+IF(AE45="",0,AE45*22)+IF(AM45="",0,AM45*18)+IF(AW45="",0,AW45*15)+IF(BG45="",0,BG45*20))/(IF(Q45="",0,25)+IF(AE45="",0,22)+IF(AM45="",0,18)+IF(AW45="",0,15)+IF(BG45="",0,20)))</f>
        <v/>
      </c>
      <c r="BM45" s="11">
        <f>IF(BK45="Ranked",1+COUNTIFS($BK$2:$BK$158,"Ranked",$BL$2:$BL$158,"&gt;"&amp;BL45),"")</f>
        <v/>
      </c>
      <c r="BN45" s="11">
        <f>City_Inputs!$AI45</f>
        <v/>
      </c>
    </row>
    <row r="46">
      <c r="A46" t="inlineStr">
        <is>
          <t>pt-porto</t>
        </is>
      </c>
      <c r="B46" t="inlineStr">
        <is>
          <t>Porto</t>
        </is>
      </c>
      <c r="C46" t="inlineStr">
        <is>
          <t>Portugal</t>
        </is>
      </c>
      <c r="D46" t="inlineStr">
        <is>
          <t>Western, Northern, and Southern Europe</t>
        </is>
      </c>
      <c r="E46" t="inlineStr">
        <is>
          <t>locked</t>
        </is>
      </c>
      <c r="F46" t="inlineStr">
        <is>
          <t>secondary</t>
        </is>
      </c>
      <c r="G46" s="11">
        <f>IF(OR(City_Inputs!$M46="",Norm_Stats!$F$2="",Norm_Stats!$G$2="",Norm_Stats!$G$2=Norm_Stats!$F$2),"",MAX(0,MIN(100,100*(MIN(MAX(City_Inputs!$M46,Norm_Stats!$F$2),Norm_Stats!$G$2)-Norm_Stats!$F$2)/(Norm_Stats!$G$2-Norm_Stats!$F$2))))</f>
        <v/>
      </c>
      <c r="H46" s="14">
        <f>IF(G46="","",1)</f>
        <v/>
      </c>
      <c r="I46" s="11">
        <f>IF(OR(City_Inputs!$N46="",Norm_Stats!$F$3="",Norm_Stats!$G$3="",Norm_Stats!$G$3=Norm_Stats!$F$3),"",MAX(0,MIN(100,100*(Norm_Stats!$G$3-MIN(MAX(City_Inputs!$N46,Norm_Stats!$F$3),Norm_Stats!$G$3))/(Norm_Stats!$G$3-Norm_Stats!$F$3))))</f>
        <v/>
      </c>
      <c r="J46" s="14">
        <f>IF(I46="","",1)</f>
        <v/>
      </c>
      <c r="K46" s="11">
        <f>IF(OR(City_Inputs!$P46="",Norm_Stats!$F$4="",Norm_Stats!$G$4="",Norm_Stats!$G$4=Norm_Stats!$F$4),"",MAX(0,MIN(100,100*(Norm_Stats!$G$4-MIN(MAX(City_Inputs!$P46,Norm_Stats!$F$4),Norm_Stats!$G$4))/(Norm_Stats!$G$4-Norm_Stats!$F$4))))</f>
        <v/>
      </c>
      <c r="L46" s="14">
        <f>IF(K46="","",1)</f>
        <v/>
      </c>
      <c r="M46" s="11">
        <f>IF(OR(City_Inputs!$Q46="",Norm_Stats!$F$5="",Norm_Stats!$G$5="",Norm_Stats!$G$5=Norm_Stats!$F$5),"",MAX(0,MIN(100,100*(Norm_Stats!$G$5-MIN(MAX(City_Inputs!$Q46,Norm_Stats!$F$5),Norm_Stats!$G$5))/(Norm_Stats!$G$5-Norm_Stats!$F$5))))</f>
        <v/>
      </c>
      <c r="N46" s="14">
        <f>IF(M46="","",1)</f>
        <v/>
      </c>
      <c r="O46" s="11">
        <f>IF(OR(City_Inputs!$R46="",Norm_Stats!$F$6="",Norm_Stats!$G$6="",Norm_Stats!$G$6=Norm_Stats!$F$6),"",MAX(0,MIN(100,100*(Norm_Stats!$G$6-MIN(MAX(City_Inputs!$R46,Norm_Stats!$F$6),Norm_Stats!$G$6))/(Norm_Stats!$G$6-Norm_Stats!$F$6))))</f>
        <v/>
      </c>
      <c r="P46" s="14">
        <f>IF(O46="","",1)</f>
        <v/>
      </c>
      <c r="Q46" s="15">
        <f>IF((IF(G46="",0,9)+IF(I46="",0,5)+IF(K46="",0,4)+IF(M46="",0,4)+IF(O46="",0,5))=0,"",(IF(G46="",0,G46*9)+IF(I46="",0,I46*5)+IF(K46="",0,K46*4)+IF(M46="",0,M46*4)+IF(O46="",0,O46*5))/(IF(G46="",0,9)+IF(I46="",0,5)+IF(K46="",0,4)+IF(M46="",0,4)+IF(O46="",0,5)))</f>
        <v/>
      </c>
      <c r="R46" s="14">
        <f>IF((IF(H46="",0,9)+IF(J46="",0,5)+IF(L46="",0,4)+IF(N46="",0,4)+IF(P46="",0,5))=0,"",(IF(H46="",0,H46*9)+IF(J46="",0,J46*5)+IF(L46="",0,L46*4)+IF(N46="",0,N46*4)+IF(P46="",0,P46*5))/27)</f>
        <v/>
      </c>
      <c r="S46" s="11">
        <f>IF(OR(City_Inputs!$S46="",Norm_Stats!$F$7="",Norm_Stats!$G$7="",Norm_Stats!$G$7=Norm_Stats!$F$7),"",MAX(0,MIN(100,100*(Norm_Stats!$G$7-MIN(MAX(City_Inputs!$S46,Norm_Stats!$F$7),Norm_Stats!$G$7))/(Norm_Stats!$G$7-Norm_Stats!$F$7))))</f>
        <v/>
      </c>
      <c r="T46" s="14">
        <f>IF(S46="","",1)</f>
        <v/>
      </c>
      <c r="U46" s="11">
        <f>IF(OR(City_Inputs!$T46="",Norm_Stats!$F$8="",Norm_Stats!$G$8="",Norm_Stats!$G$8=Norm_Stats!$F$8),"",MAX(0,MIN(100,100*(MIN(MAX(City_Inputs!$T46,Norm_Stats!$F$8),Norm_Stats!$G$8)-Norm_Stats!$F$8)/(Norm_Stats!$G$8-Norm_Stats!$F$8))))</f>
        <v/>
      </c>
      <c r="V46" s="14">
        <f>IF(U46="","",1)</f>
        <v/>
      </c>
      <c r="W46" s="11">
        <f>IF(OR(City_Inputs!$U46="",Norm_Stats!$F$9="",Norm_Stats!$G$9="",Norm_Stats!$G$9=Norm_Stats!$F$9),"",MAX(0,MIN(100,100*(Norm_Stats!$G$9-MIN(MAX(City_Inputs!$U46,Norm_Stats!$F$9),Norm_Stats!$G$9))/(Norm_Stats!$G$9-Norm_Stats!$F$9))))</f>
        <v/>
      </c>
      <c r="X46" s="14">
        <f>IF(W46="","",1)</f>
        <v/>
      </c>
      <c r="Y46" s="11">
        <f>IF(OR(City_Inputs!$V46="",Norm_Stats!$F$10="",Norm_Stats!$G$10="",Norm_Stats!$G$10=Norm_Stats!$F$10),"",MAX(0,MIN(100,100*(MIN(MAX(City_Inputs!$V46,Norm_Stats!$F$10),Norm_Stats!$G$10)-Norm_Stats!$F$10)/(Norm_Stats!$G$10-Norm_Stats!$F$10))))</f>
        <v/>
      </c>
      <c r="Z46" s="14">
        <f>IF(Y46="","",1)</f>
        <v/>
      </c>
      <c r="AA46" s="11">
        <f>IF(OR(City_Inputs!$W46="",Norm_Stats!$F$11="",Norm_Stats!$G$11="",Norm_Stats!$G$11=Norm_Stats!$F$11),"",MAX(0,MIN(100,100*(MIN(MAX(City_Inputs!$W46,Norm_Stats!$F$11),Norm_Stats!$G$11)-Norm_Stats!$F$11)/(Norm_Stats!$G$11-Norm_Stats!$F$11))))</f>
        <v/>
      </c>
      <c r="AB46" s="14">
        <f>IF(AA46="","",1)</f>
        <v/>
      </c>
      <c r="AC46" s="11">
        <f>IF(OR(City_Inputs!$X46="",Norm_Stats!$F$12="",Norm_Stats!$G$12="",Norm_Stats!$G$12=Norm_Stats!$F$12),"",MAX(0,MIN(100,100*(MIN(MAX(City_Inputs!$X46,Norm_Stats!$F$12),Norm_Stats!$G$12)-Norm_Stats!$F$12)/(Norm_Stats!$G$12-Norm_Stats!$F$12))))</f>
        <v/>
      </c>
      <c r="AD46" s="11">
        <f>IF(AC46="","",1)</f>
        <v/>
      </c>
      <c r="AE46" s="15">
        <f>IF((IF(S46="",0,5)+IF(U46="",0,5)+IF(W46="",0,4)+IF(Y46="",0,4)+IF(AA46="",0,4)+IF(AC46="",0,5))=0,"",(IF(S46="",0,S46*5)+IF(U46="",0,U46*5)+IF(W46="",0,W46*4)+IF(Y46="",0,Y46*4)+IF(AA46="",0,AA46*4)+IF(AC46="",0,AC46*5))/(IF(S46="",0,5)+IF(U46="",0,5)+IF(W46="",0,4)+IF(Y46="",0,4)+IF(AA46="",0,4)+IF(AC46="",0,5)))</f>
        <v/>
      </c>
      <c r="AF46" s="14">
        <f>IF((IF(T46="",0,5)+IF(V46="",0,5)+IF(X46="",0,4)+IF(Z46="",0,4)+IF(AB46="",0,4)+IF(AD46="",0,5))=0,"",(IF(T46="",0,T46*5)+IF(V46="",0,V46*5)+IF(X46="",0,X46*4)+IF(Z46="",0,Z46*4)+IF(AB46="",0,AB46*4)+IF(AD46="",0,AD46*5))/27)</f>
        <v/>
      </c>
      <c r="AG46" s="11">
        <f>IF(OR(City_Inputs!$Y46="",Norm_Stats!$F$13="",Norm_Stats!$G$13="",Norm_Stats!$G$13=Norm_Stats!$F$13),"",MAX(0,MIN(100,100*(MIN(MAX(City_Inputs!$Y46,Norm_Stats!$F$13),Norm_Stats!$G$13)-Norm_Stats!$F$13)/(Norm_Stats!$G$13-Norm_Stats!$F$13))))</f>
        <v/>
      </c>
      <c r="AH46" s="14">
        <f>IF(AG46="","",1)</f>
        <v/>
      </c>
      <c r="AI46" s="11">
        <f>IF(OR(City_Inputs!$Z46="",Norm_Stats!$F$14="",Norm_Stats!$G$14="",Norm_Stats!$G$14=Norm_Stats!$F$14),"",MAX(0,MIN(100,100*(MIN(MAX(City_Inputs!$Z46,Norm_Stats!$F$14),Norm_Stats!$G$14)-Norm_Stats!$F$14)/(Norm_Stats!$G$14-Norm_Stats!$F$14))))</f>
        <v/>
      </c>
      <c r="AJ46" s="14">
        <f>IF(AI46="","",1)</f>
        <v/>
      </c>
      <c r="AK46" s="11">
        <f>IF((IF((IF(OR(City_Inputs!$AA46="",Norm_Stats!$F$15="",Norm_Stats!$G$15="",Norm_Stats!$G$15=Norm_Stats!$F$15),"",MAX(0,MIN(100,100*(MIN(MAX(City_Inputs!$AA46,Norm_Stats!$F$15),Norm_Stats!$G$15)-Norm_Stats!$F$15)/(Norm_Stats!$G$15-Norm_Stats!$F$15)))))="",0,0.7)+IF((IF(OR(City_Inputs!$AL46="",Norm_Stats!$F$16="",Norm_Stats!$G$16="",Norm_Stats!$G$16=Norm_Stats!$F$16),"",MAX(0,MIN(100,100*(Norm_Stats!$G$16-MIN(MAX(City_Inputs!$AL46,Norm_Stats!$F$16),Norm_Stats!$G$16))/(Norm_Stats!$G$16-Norm_Stats!$F$16)))))="",0,0.3))=0,"",(IF((IF(OR(City_Inputs!$AA46="",Norm_Stats!$F$15="",Norm_Stats!$G$15="",Norm_Stats!$G$15=Norm_Stats!$F$15),"",MAX(0,MIN(100,100*(MIN(MAX(City_Inputs!$AA46,Norm_Stats!$F$15),Norm_Stats!$G$15)-Norm_Stats!$F$15)/(Norm_Stats!$G$15-Norm_Stats!$F$15)))))="",0,(IF(OR(City_Inputs!$AA46="",Norm_Stats!$F$15="",Norm_Stats!$G$15="",Norm_Stats!$G$15=Norm_Stats!$F$15),"",MAX(0,MIN(100,100*(MIN(MAX(City_Inputs!$AA46,Norm_Stats!$F$15),Norm_Stats!$G$15)-Norm_Stats!$F$15)/(Norm_Stats!$G$15-Norm_Stats!$F$15)))))*0.7)+IF((IF(OR(City_Inputs!$AL46="",Norm_Stats!$F$16="",Norm_Stats!$G$16="",Norm_Stats!$G$16=Norm_Stats!$F$16),"",MAX(0,MIN(100,100*(Norm_Stats!$G$16-MIN(MAX(City_Inputs!$AL46,Norm_Stats!$F$16),Norm_Stats!$G$16))/(Norm_Stats!$G$16-Norm_Stats!$F$16)))))="",0,(IF(OR(City_Inputs!$AL46="",Norm_Stats!$F$16="",Norm_Stats!$G$16="",Norm_Stats!$G$16=Norm_Stats!$F$16),"",MAX(0,MIN(100,100*(Norm_Stats!$G$16-MIN(MAX(City_Inputs!$AL46,Norm_Stats!$F$16),Norm_Stats!$G$16))/(Norm_Stats!$G$16-Norm_Stats!$F$16)))))*0.3))/(IF((IF(OR(City_Inputs!$AA46="",Norm_Stats!$F$15="",Norm_Stats!$G$15="",Norm_Stats!$G$15=Norm_Stats!$F$15),"",MAX(0,MIN(100,100*(MIN(MAX(City_Inputs!$AA46,Norm_Stats!$F$15),Norm_Stats!$G$15)-Norm_Stats!$F$15)/(Norm_Stats!$G$15-Norm_Stats!$F$15)))))="",0,0.7)+IF((IF(OR(City_Inputs!$AL46="",Norm_Stats!$F$16="",Norm_Stats!$G$16="",Norm_Stats!$G$16=Norm_Stats!$F$16),"",MAX(0,MIN(100,100*(Norm_Stats!$G$16-MIN(MAX(City_Inputs!$AL46,Norm_Stats!$F$16),Norm_Stats!$G$16))/(Norm_Stats!$G$16-Norm_Stats!$F$16)))))="",0,0.3)))</f>
        <v/>
      </c>
      <c r="AL46" s="14">
        <f>IF((IF((IF(OR(City_Inputs!$AA46="",Norm_Stats!$F$15="",Norm_Stats!$G$15="",Norm_Stats!$G$15=Norm_Stats!$F$15),"",MAX(0,MIN(100,100*(MIN(MAX(City_Inputs!$AA46,Norm_Stats!$F$15),Norm_Stats!$G$15)-Norm_Stats!$F$15)/(Norm_Stats!$G$15-Norm_Stats!$F$15)))))="",0,0.7)+IF((IF(OR(City_Inputs!$AL46="",Norm_Stats!$F$16="",Norm_Stats!$G$16="",Norm_Stats!$G$16=Norm_Stats!$F$16),"",MAX(0,MIN(100,100*(Norm_Stats!$G$16-MIN(MAX(City_Inputs!$AL46,Norm_Stats!$F$16),Norm_Stats!$G$16))/(Norm_Stats!$G$16-Norm_Stats!$F$16)))))="",0,0.3))=0,"",(IF((IF(OR(City_Inputs!$AA46="",Norm_Stats!$F$15="",Norm_Stats!$G$15="",Norm_Stats!$G$15=Norm_Stats!$F$15),"",MAX(0,MIN(100,100*(MIN(MAX(City_Inputs!$AA46,Norm_Stats!$F$15),Norm_Stats!$G$15)-Norm_Stats!$F$15)/(Norm_Stats!$G$15-Norm_Stats!$F$15)))))="",0,0.7)+IF((IF(OR(City_Inputs!$AL46="",Norm_Stats!$F$16="",Norm_Stats!$G$16="",Norm_Stats!$G$16=Norm_Stats!$F$16),"",MAX(0,MIN(100,100*(Norm_Stats!$G$16-MIN(MAX(City_Inputs!$AL46,Norm_Stats!$F$16),Norm_Stats!$G$16))/(Norm_Stats!$G$16-Norm_Stats!$F$16)))))="",0,0.3)))</f>
        <v/>
      </c>
      <c r="AM46" s="15">
        <f>IF((IF(AG46="",0,8)+IF(AI46="",0,6)+IF(AK46="",0,4))=0,"",(IF(AG46="",0,AG46*8)+IF(AI46="",0,AI46*6)+IF(AK46="",0,AK46*4))/(IF(AG46="",0,8)+IF(AI46="",0,6)+IF(AK46="",0,4)))</f>
        <v/>
      </c>
      <c r="AN46" s="14">
        <f>IF((IF(AH46="",0,8)+IF(AJ46="",0,6)+IF(AL46="",0,4))=0,"",(IF(AH46="",0,AH46*8)+IF(AJ46="",0,AJ46*6)+IF(AL46="",0,AL46*4))/18)</f>
        <v/>
      </c>
      <c r="AO46" s="11">
        <f>IF(OR(City_Inputs!$AB46="",Norm_Stats!$F$17="",Norm_Stats!$G$17="",Norm_Stats!$G$17=Norm_Stats!$F$17),"",MAX(0,MIN(100,100*(MIN(MAX(City_Inputs!$AB46,Norm_Stats!$F$17),Norm_Stats!$G$17)-Norm_Stats!$F$17)/(Norm_Stats!$G$17-Norm_Stats!$F$17))))</f>
        <v/>
      </c>
      <c r="AP46" s="14">
        <f>IF(AO46="","",1)</f>
        <v/>
      </c>
      <c r="AQ46" s="11">
        <f>IF(OR(City_Inputs!$AC46="",Norm_Stats!$F$18="",Norm_Stats!$G$18="",Norm_Stats!$G$18=Norm_Stats!$F$18),"",MAX(0,MIN(100,100*(MIN(MAX(City_Inputs!$AC46,Norm_Stats!$F$18),Norm_Stats!$G$18)-Norm_Stats!$F$18)/(Norm_Stats!$G$18-Norm_Stats!$F$18))))</f>
        <v/>
      </c>
      <c r="AR46" s="14">
        <f>IF(AQ46="","",1)</f>
        <v/>
      </c>
      <c r="AS46" s="11">
        <f>IF(OR(City_Inputs!$AD46="",Norm_Stats!$F$19="",Norm_Stats!$G$19="",Norm_Stats!$G$19=Norm_Stats!$F$19),"",MAX(0,MIN(100,100*(MIN(MAX(City_Inputs!$AD46,Norm_Stats!$F$19),Norm_Stats!$G$19)-Norm_Stats!$F$19)/(Norm_Stats!$G$19-Norm_Stats!$F$19))))</f>
        <v/>
      </c>
      <c r="AT46" s="14">
        <f>IF(AS46="","",1)</f>
        <v/>
      </c>
      <c r="AU46" s="11">
        <f>IF(OR(City_Inputs!$BJ46="",Norm_Stats!$F$26="",Norm_Stats!$G$26="",Norm_Stats!$G$26=Norm_Stats!$F$26),"",MAX(0,MIN(100,100*(MIN(MAX(City_Inputs!$BJ46,Norm_Stats!$F$26),Norm_Stats!$G$26)-Norm_Stats!$F$26)/(Norm_Stats!$G$26-Norm_Stats!$F$26))))</f>
        <v/>
      </c>
      <c r="AV46" s="11">
        <f>IF(AU46="","",1)</f>
        <v/>
      </c>
      <c r="AW46" s="15">
        <f>IF((IF(AO46="",0,5)+IF(AQ46="",0,5)+IF(AS46="",0,5)+IF(AU46="",0,4))=0,"",(IF(AO46="",0,AO46*5)+IF(AQ46="",0,AQ46*5)+IF(AS46="",0,AS46*5)+IF(AU46="",0,AU46*4))/(IF(AO46="",0,5)+IF(AQ46="",0,5)+IF(AS46="",0,5)+IF(AU46="",0,4)))</f>
        <v/>
      </c>
      <c r="AX46" s="14">
        <f>IF((IF(AP46="",0,5)+IF(AR46="",0,5)+IF(AT46="",0,5)+IF(AV46="",0,4))=0,"",(IF(AP46="",0,AP46*5)+IF(AR46="",0,AR46*5)+IF(AT46="",0,AT46*5)+IF(AV46="",0,AV46*4))/19)</f>
        <v/>
      </c>
      <c r="AY46" s="11">
        <f>IF(OR(City_Inputs!$AE46="",Norm_Stats!$F$20="",Norm_Stats!$G$20="",Norm_Stats!$G$20=Norm_Stats!$F$20),"",MAX(0,MIN(100,100*(MIN(MAX(City_Inputs!$AE46,Norm_Stats!$F$20),Norm_Stats!$G$20)-Norm_Stats!$F$20)/(Norm_Stats!$G$20-Norm_Stats!$F$20))))</f>
        <v/>
      </c>
      <c r="AZ46" s="14">
        <f>IF(AY46="","",1)</f>
        <v/>
      </c>
      <c r="BA46" s="11">
        <f>IF(OR(City_Inputs!$AF46="",Norm_Stats!$F$21="",Norm_Stats!$G$21="",Norm_Stats!$G$21=Norm_Stats!$F$21),"",MAX(0,MIN(100,100*(MIN(MAX(City_Inputs!$AF46,Norm_Stats!$F$21),Norm_Stats!$G$21)-Norm_Stats!$F$21)/(Norm_Stats!$G$21-Norm_Stats!$F$21))))</f>
        <v/>
      </c>
      <c r="BB46" s="14">
        <f>IF(BA46="","",1)</f>
        <v/>
      </c>
      <c r="BC46" s="11">
        <f>IF((IF((IF(OR(City_Inputs!$AG46="",Norm_Stats!$F$22="",Norm_Stats!$G$22="",Norm_Stats!$G$22=Norm_Stats!$F$22),"",MAX(0,MIN(100,100*(MIN(MAX(City_Inputs!$AG46,Norm_Stats!$F$22),Norm_Stats!$G$22)-Norm_Stats!$F$22)/(Norm_Stats!$G$22-Norm_Stats!$F$22)))))="",0,0.5)+IF((IF(OR(City_Inputs!$AJ46="",Norm_Stats!$F$23="",Norm_Stats!$G$23="",Norm_Stats!$G$23=Norm_Stats!$F$23),"",MAX(0,MIN(100,100*(MIN(MAX(City_Inputs!$AJ46,Norm_Stats!$F$23),Norm_Stats!$G$23)-Norm_Stats!$F$23)/(Norm_Stats!$G$23-Norm_Stats!$F$23)))))="",0,0.3)+IF((IF(OR(City_Inputs!$AK46="",Norm_Stats!$F$24="",Norm_Stats!$G$24="",Norm_Stats!$G$24=Norm_Stats!$F$24),"",MAX(0,MIN(100,100*(MIN(MAX(City_Inputs!$AK46,Norm_Stats!$F$24),Norm_Stats!$G$24)-Norm_Stats!$F$24)/(Norm_Stats!$G$24-Norm_Stats!$F$24)))))="",0,0.2))=0,"",(IF((IF(OR(City_Inputs!$AG46="",Norm_Stats!$F$22="",Norm_Stats!$G$22="",Norm_Stats!$G$22=Norm_Stats!$F$22),"",MAX(0,MIN(100,100*(MIN(MAX(City_Inputs!$AG46,Norm_Stats!$F$22),Norm_Stats!$G$22)-Norm_Stats!$F$22)/(Norm_Stats!$G$22-Norm_Stats!$F$22)))))="",0,(IF(OR(City_Inputs!$AG46="",Norm_Stats!$F$22="",Norm_Stats!$G$22="",Norm_Stats!$G$22=Norm_Stats!$F$22),"",MAX(0,MIN(100,100*(MIN(MAX(City_Inputs!$AG46,Norm_Stats!$F$22),Norm_Stats!$G$22)-Norm_Stats!$F$22)/(Norm_Stats!$G$22-Norm_Stats!$F$22)))))*0.5)+IF((IF(OR(City_Inputs!$AJ46="",Norm_Stats!$F$23="",Norm_Stats!$G$23="",Norm_Stats!$G$23=Norm_Stats!$F$23),"",MAX(0,MIN(100,100*(MIN(MAX(City_Inputs!$AJ46,Norm_Stats!$F$23),Norm_Stats!$G$23)-Norm_Stats!$F$23)/(Norm_Stats!$G$23-Norm_Stats!$F$23)))))="",0,(IF(OR(City_Inputs!$AJ46="",Norm_Stats!$F$23="",Norm_Stats!$G$23="",Norm_Stats!$G$23=Norm_Stats!$F$23),"",MAX(0,MIN(100,100*(MIN(MAX(City_Inputs!$AJ46,Norm_Stats!$F$23),Norm_Stats!$G$23)-Norm_Stats!$F$23)/(Norm_Stats!$G$23-Norm_Stats!$F$23)))))*0.3)+IF((IF(OR(City_Inputs!$AK46="",Norm_Stats!$F$24="",Norm_Stats!$G$24="",Norm_Stats!$G$24=Norm_Stats!$F$24),"",MAX(0,MIN(100,100*(MIN(MAX(City_Inputs!$AK46,Norm_Stats!$F$24),Norm_Stats!$G$24)-Norm_Stats!$F$24)/(Norm_Stats!$G$24-Norm_Stats!$F$24)))))="",0,(IF(OR(City_Inputs!$AK46="",Norm_Stats!$F$24="",Norm_Stats!$G$24="",Norm_Stats!$G$24=Norm_Stats!$F$24),"",MAX(0,MIN(100,100*(MIN(MAX(City_Inputs!$AK46,Norm_Stats!$F$24),Norm_Stats!$G$24)-Norm_Stats!$F$24)/(Norm_Stats!$G$24-Norm_Stats!$F$24)))))*0.2))/(IF((IF(OR(City_Inputs!$AG46="",Norm_Stats!$F$22="",Norm_Stats!$G$22="",Norm_Stats!$G$22=Norm_Stats!$F$22),"",MAX(0,MIN(100,100*(MIN(MAX(City_Inputs!$AG46,Norm_Stats!$F$22),Norm_Stats!$G$22)-Norm_Stats!$F$22)/(Norm_Stats!$G$22-Norm_Stats!$F$22)))))="",0,0.5)+IF((IF(OR(City_Inputs!$AJ46="",Norm_Stats!$F$23="",Norm_Stats!$G$23="",Norm_Stats!$G$23=Norm_Stats!$F$23),"",MAX(0,MIN(100,100*(MIN(MAX(City_Inputs!$AJ46,Norm_Stats!$F$23),Norm_Stats!$G$23)-Norm_Stats!$F$23)/(Norm_Stats!$G$23-Norm_Stats!$F$23)))))="",0,0.3)+IF((IF(OR(City_Inputs!$AK46="",Norm_Stats!$F$24="",Norm_Stats!$G$24="",Norm_Stats!$G$24=Norm_Stats!$F$24),"",MAX(0,MIN(100,100*(MIN(MAX(City_Inputs!$AK46,Norm_Stats!$F$24),Norm_Stats!$G$24)-Norm_Stats!$F$24)/(Norm_Stats!$G$24-Norm_Stats!$F$24)))))="",0,0.2)))</f>
        <v/>
      </c>
      <c r="BD46" s="14">
        <f>IF((IF((IF(OR(City_Inputs!$AG46="",Norm_Stats!$F$22="",Norm_Stats!$G$22="",Norm_Stats!$G$22=Norm_Stats!$F$22),"",MAX(0,MIN(100,100*(MIN(MAX(City_Inputs!$AG46,Norm_Stats!$F$22),Norm_Stats!$G$22)-Norm_Stats!$F$22)/(Norm_Stats!$G$22-Norm_Stats!$F$22)))))="",0,0.5)+IF((IF(OR(City_Inputs!$AJ46="",Norm_Stats!$F$23="",Norm_Stats!$G$23="",Norm_Stats!$G$23=Norm_Stats!$F$23),"",MAX(0,MIN(100,100*(MIN(MAX(City_Inputs!$AJ46,Norm_Stats!$F$23),Norm_Stats!$G$23)-Norm_Stats!$F$23)/(Norm_Stats!$G$23-Norm_Stats!$F$23)))))="",0,0.3)+IF((IF(OR(City_Inputs!$AK46="",Norm_Stats!$F$24="",Norm_Stats!$G$24="",Norm_Stats!$G$24=Norm_Stats!$F$24),"",MAX(0,MIN(100,100*(MIN(MAX(City_Inputs!$AK46,Norm_Stats!$F$24),Norm_Stats!$G$24)-Norm_Stats!$F$24)/(Norm_Stats!$G$24-Norm_Stats!$F$24)))))="",0,0.2))=0,"",(IF((IF(OR(City_Inputs!$AG46="",Norm_Stats!$F$22="",Norm_Stats!$G$22="",Norm_Stats!$G$22=Norm_Stats!$F$22),"",MAX(0,MIN(100,100*(MIN(MAX(City_Inputs!$AG46,Norm_Stats!$F$22),Norm_Stats!$G$22)-Norm_Stats!$F$22)/(Norm_Stats!$G$22-Norm_Stats!$F$22)))))="",0,0.5)+IF((IF(OR(City_Inputs!$AJ46="",Norm_Stats!$F$23="",Norm_Stats!$G$23="",Norm_Stats!$G$23=Norm_Stats!$F$23),"",MAX(0,MIN(100,100*(MIN(MAX(City_Inputs!$AJ46,Norm_Stats!$F$23),Norm_Stats!$G$23)-Norm_Stats!$F$23)/(Norm_Stats!$G$23-Norm_Stats!$F$23)))))="",0,0.3)+IF((IF(OR(City_Inputs!$AK46="",Norm_Stats!$F$24="",Norm_Stats!$G$24="",Norm_Stats!$G$24=Norm_Stats!$F$24),"",MAX(0,MIN(100,100*(MIN(MAX(City_Inputs!$AK46,Norm_Stats!$F$24),Norm_Stats!$G$24)-Norm_Stats!$F$24)/(Norm_Stats!$G$24-Norm_Stats!$F$24)))))="",0,0.2)))</f>
        <v/>
      </c>
      <c r="BE46" s="11">
        <f>IF(OR(City_Inputs!$AH46="",Norm_Stats!$F$25="",Norm_Stats!$G$25="",Norm_Stats!$G$25=Norm_Stats!$F$25),"",MAX(0,MIN(100,100*(Norm_Stats!$G$25-MIN(MAX(City_Inputs!$AH46,Norm_Stats!$F$25),Norm_Stats!$G$25))/(Norm_Stats!$G$25-Norm_Stats!$F$25))))</f>
        <v/>
      </c>
      <c r="BF46" s="14">
        <f>IF(BE46="","",1)</f>
        <v/>
      </c>
      <c r="BG46" s="15">
        <f>IF((IF(AY46="",0,6)+IF(BA46="",0,5)+IF(BC46="",0,5)+IF(BE46="",0,4))=0,"",(IF(AY46="",0,AY46*6)+IF(BA46="",0,BA46*5)+IF(BC46="",0,BC46*5)+IF(BE46="",0,BE46*4))/(IF(AY46="",0,6)+IF(BA46="",0,5)+IF(BC46="",0,5)+IF(BE46="",0,4)))</f>
        <v/>
      </c>
      <c r="BH46" s="14">
        <f>IF((IF(AZ46="",0,6)+IF(BB46="",0,5)+IF(BD46="",0,5)+IF(BF46="",0,4))=0,"",(IF(AZ46="",0,AZ46*6)+IF(BB46="",0,BB46*5)+IF(BD46="",0,BD46*5)+IF(BF46="",0,BF46*4))/20)</f>
        <v/>
      </c>
      <c r="BI46" s="14">
        <f>IF(AND(R46="",AF46="",AN46="",AX46="",BH46=""),"",((R46*25)+(AF46*22)+(AN46*18)+(AX46*15)+(BH46*20))/100)</f>
        <v/>
      </c>
      <c r="BJ46" s="11">
        <f>IF(BI46="","",IF(BI46&gt;=0.75,"A",IF(BI46&gt;=0.5,"B",IF(BI46&gt;=0.35,"C","Watchlist"))))</f>
        <v/>
      </c>
      <c r="BK46" s="11">
        <f>IF(OR(BI46="",BI46&lt;0.5,R46="",R46&lt;0.35,AF46="",AF46&lt;0.35,AN46="",AN46&lt;0.35,AX46="",AX46&lt;0.35,BH46="",BH46&lt;0.35),"Watchlist","Ranked")</f>
        <v/>
      </c>
      <c r="BL46" s="15">
        <f>IF(AND(Q46="",AE46="",AM46="",AW46="",BG46=""),"",(IF(Q46="",0,Q46*25)+IF(AE46="",0,AE46*22)+IF(AM46="",0,AM46*18)+IF(AW46="",0,AW46*15)+IF(BG46="",0,BG46*20))/(IF(Q46="",0,25)+IF(AE46="",0,22)+IF(AM46="",0,18)+IF(AW46="",0,15)+IF(BG46="",0,20)))</f>
        <v/>
      </c>
      <c r="BM46" s="11">
        <f>IF(BK46="Ranked",1+COUNTIFS($BK$2:$BK$158,"Ranked",$BL$2:$BL$158,"&gt;"&amp;BL46),"")</f>
        <v/>
      </c>
      <c r="BN46" s="11">
        <f>City_Inputs!$AI46</f>
        <v/>
      </c>
    </row>
    <row r="47">
      <c r="A47" t="inlineStr">
        <is>
          <t>pt-braga</t>
        </is>
      </c>
      <c r="B47" t="inlineStr">
        <is>
          <t>Braga</t>
        </is>
      </c>
      <c r="C47" t="inlineStr">
        <is>
          <t>Portugal</t>
        </is>
      </c>
      <c r="D47" t="inlineStr">
        <is>
          <t>Western, Northern, and Southern Europe</t>
        </is>
      </c>
      <c r="E47" t="inlineStr">
        <is>
          <t>locked</t>
        </is>
      </c>
      <c r="F47" t="inlineStr">
        <is>
          <t>secondary</t>
        </is>
      </c>
      <c r="G47" s="11">
        <f>IF(OR(City_Inputs!$M47="",Norm_Stats!$F$2="",Norm_Stats!$G$2="",Norm_Stats!$G$2=Norm_Stats!$F$2),"",MAX(0,MIN(100,100*(MIN(MAX(City_Inputs!$M47,Norm_Stats!$F$2),Norm_Stats!$G$2)-Norm_Stats!$F$2)/(Norm_Stats!$G$2-Norm_Stats!$F$2))))</f>
        <v/>
      </c>
      <c r="H47" s="14">
        <f>IF(G47="","",1)</f>
        <v/>
      </c>
      <c r="I47" s="11">
        <f>IF(OR(City_Inputs!$N47="",Norm_Stats!$F$3="",Norm_Stats!$G$3="",Norm_Stats!$G$3=Norm_Stats!$F$3),"",MAX(0,MIN(100,100*(Norm_Stats!$G$3-MIN(MAX(City_Inputs!$N47,Norm_Stats!$F$3),Norm_Stats!$G$3))/(Norm_Stats!$G$3-Norm_Stats!$F$3))))</f>
        <v/>
      </c>
      <c r="J47" s="14">
        <f>IF(I47="","",1)</f>
        <v/>
      </c>
      <c r="K47" s="11">
        <f>IF(OR(City_Inputs!$P47="",Norm_Stats!$F$4="",Norm_Stats!$G$4="",Norm_Stats!$G$4=Norm_Stats!$F$4),"",MAX(0,MIN(100,100*(Norm_Stats!$G$4-MIN(MAX(City_Inputs!$P47,Norm_Stats!$F$4),Norm_Stats!$G$4))/(Norm_Stats!$G$4-Norm_Stats!$F$4))))</f>
        <v/>
      </c>
      <c r="L47" s="14">
        <f>IF(K47="","",1)</f>
        <v/>
      </c>
      <c r="M47" s="11">
        <f>IF(OR(City_Inputs!$Q47="",Norm_Stats!$F$5="",Norm_Stats!$G$5="",Norm_Stats!$G$5=Norm_Stats!$F$5),"",MAX(0,MIN(100,100*(Norm_Stats!$G$5-MIN(MAX(City_Inputs!$Q47,Norm_Stats!$F$5),Norm_Stats!$G$5))/(Norm_Stats!$G$5-Norm_Stats!$F$5))))</f>
        <v/>
      </c>
      <c r="N47" s="14">
        <f>IF(M47="","",1)</f>
        <v/>
      </c>
      <c r="O47" s="11">
        <f>IF(OR(City_Inputs!$R47="",Norm_Stats!$F$6="",Norm_Stats!$G$6="",Norm_Stats!$G$6=Norm_Stats!$F$6),"",MAX(0,MIN(100,100*(Norm_Stats!$G$6-MIN(MAX(City_Inputs!$R47,Norm_Stats!$F$6),Norm_Stats!$G$6))/(Norm_Stats!$G$6-Norm_Stats!$F$6))))</f>
        <v/>
      </c>
      <c r="P47" s="14">
        <f>IF(O47="","",1)</f>
        <v/>
      </c>
      <c r="Q47" s="15">
        <f>IF((IF(G47="",0,9)+IF(I47="",0,5)+IF(K47="",0,4)+IF(M47="",0,4)+IF(O47="",0,5))=0,"",(IF(G47="",0,G47*9)+IF(I47="",0,I47*5)+IF(K47="",0,K47*4)+IF(M47="",0,M47*4)+IF(O47="",0,O47*5))/(IF(G47="",0,9)+IF(I47="",0,5)+IF(K47="",0,4)+IF(M47="",0,4)+IF(O47="",0,5)))</f>
        <v/>
      </c>
      <c r="R47" s="14">
        <f>IF((IF(H47="",0,9)+IF(J47="",0,5)+IF(L47="",0,4)+IF(N47="",0,4)+IF(P47="",0,5))=0,"",(IF(H47="",0,H47*9)+IF(J47="",0,J47*5)+IF(L47="",0,L47*4)+IF(N47="",0,N47*4)+IF(P47="",0,P47*5))/27)</f>
        <v/>
      </c>
      <c r="S47" s="11">
        <f>IF(OR(City_Inputs!$S47="",Norm_Stats!$F$7="",Norm_Stats!$G$7="",Norm_Stats!$G$7=Norm_Stats!$F$7),"",MAX(0,MIN(100,100*(Norm_Stats!$G$7-MIN(MAX(City_Inputs!$S47,Norm_Stats!$F$7),Norm_Stats!$G$7))/(Norm_Stats!$G$7-Norm_Stats!$F$7))))</f>
        <v/>
      </c>
      <c r="T47" s="14">
        <f>IF(S47="","",1)</f>
        <v/>
      </c>
      <c r="U47" s="11">
        <f>IF(OR(City_Inputs!$T47="",Norm_Stats!$F$8="",Norm_Stats!$G$8="",Norm_Stats!$G$8=Norm_Stats!$F$8),"",MAX(0,MIN(100,100*(MIN(MAX(City_Inputs!$T47,Norm_Stats!$F$8),Norm_Stats!$G$8)-Norm_Stats!$F$8)/(Norm_Stats!$G$8-Norm_Stats!$F$8))))</f>
        <v/>
      </c>
      <c r="V47" s="14">
        <f>IF(U47="","",1)</f>
        <v/>
      </c>
      <c r="W47" s="11">
        <f>IF(OR(City_Inputs!$U47="",Norm_Stats!$F$9="",Norm_Stats!$G$9="",Norm_Stats!$G$9=Norm_Stats!$F$9),"",MAX(0,MIN(100,100*(Norm_Stats!$G$9-MIN(MAX(City_Inputs!$U47,Norm_Stats!$F$9),Norm_Stats!$G$9))/(Norm_Stats!$G$9-Norm_Stats!$F$9))))</f>
        <v/>
      </c>
      <c r="X47" s="14">
        <f>IF(W47="","",1)</f>
        <v/>
      </c>
      <c r="Y47" s="11">
        <f>IF(OR(City_Inputs!$V47="",Norm_Stats!$F$10="",Norm_Stats!$G$10="",Norm_Stats!$G$10=Norm_Stats!$F$10),"",MAX(0,MIN(100,100*(MIN(MAX(City_Inputs!$V47,Norm_Stats!$F$10),Norm_Stats!$G$10)-Norm_Stats!$F$10)/(Norm_Stats!$G$10-Norm_Stats!$F$10))))</f>
        <v/>
      </c>
      <c r="Z47" s="14">
        <f>IF(Y47="","",1)</f>
        <v/>
      </c>
      <c r="AA47" s="11">
        <f>IF(OR(City_Inputs!$W47="",Norm_Stats!$F$11="",Norm_Stats!$G$11="",Norm_Stats!$G$11=Norm_Stats!$F$11),"",MAX(0,MIN(100,100*(MIN(MAX(City_Inputs!$W47,Norm_Stats!$F$11),Norm_Stats!$G$11)-Norm_Stats!$F$11)/(Norm_Stats!$G$11-Norm_Stats!$F$11))))</f>
        <v/>
      </c>
      <c r="AB47" s="14">
        <f>IF(AA47="","",1)</f>
        <v/>
      </c>
      <c r="AC47" s="11">
        <f>IF(OR(City_Inputs!$X47="",Norm_Stats!$F$12="",Norm_Stats!$G$12="",Norm_Stats!$G$12=Norm_Stats!$F$12),"",MAX(0,MIN(100,100*(MIN(MAX(City_Inputs!$X47,Norm_Stats!$F$12),Norm_Stats!$G$12)-Norm_Stats!$F$12)/(Norm_Stats!$G$12-Norm_Stats!$F$12))))</f>
        <v/>
      </c>
      <c r="AD47" s="11">
        <f>IF(AC47="","",1)</f>
        <v/>
      </c>
      <c r="AE47" s="15">
        <f>IF((IF(S47="",0,5)+IF(U47="",0,5)+IF(W47="",0,4)+IF(Y47="",0,4)+IF(AA47="",0,4)+IF(AC47="",0,5))=0,"",(IF(S47="",0,S47*5)+IF(U47="",0,U47*5)+IF(W47="",0,W47*4)+IF(Y47="",0,Y47*4)+IF(AA47="",0,AA47*4)+IF(AC47="",0,AC47*5))/(IF(S47="",0,5)+IF(U47="",0,5)+IF(W47="",0,4)+IF(Y47="",0,4)+IF(AA47="",0,4)+IF(AC47="",0,5)))</f>
        <v/>
      </c>
      <c r="AF47" s="14">
        <f>IF((IF(T47="",0,5)+IF(V47="",0,5)+IF(X47="",0,4)+IF(Z47="",0,4)+IF(AB47="",0,4)+IF(AD47="",0,5))=0,"",(IF(T47="",0,T47*5)+IF(V47="",0,V47*5)+IF(X47="",0,X47*4)+IF(Z47="",0,Z47*4)+IF(AB47="",0,AB47*4)+IF(AD47="",0,AD47*5))/27)</f>
        <v/>
      </c>
      <c r="AG47" s="11">
        <f>IF(OR(City_Inputs!$Y47="",Norm_Stats!$F$13="",Norm_Stats!$G$13="",Norm_Stats!$G$13=Norm_Stats!$F$13),"",MAX(0,MIN(100,100*(MIN(MAX(City_Inputs!$Y47,Norm_Stats!$F$13),Norm_Stats!$G$13)-Norm_Stats!$F$13)/(Norm_Stats!$G$13-Norm_Stats!$F$13))))</f>
        <v/>
      </c>
      <c r="AH47" s="14">
        <f>IF(AG47="","",1)</f>
        <v/>
      </c>
      <c r="AI47" s="11">
        <f>IF(OR(City_Inputs!$Z47="",Norm_Stats!$F$14="",Norm_Stats!$G$14="",Norm_Stats!$G$14=Norm_Stats!$F$14),"",MAX(0,MIN(100,100*(MIN(MAX(City_Inputs!$Z47,Norm_Stats!$F$14),Norm_Stats!$G$14)-Norm_Stats!$F$14)/(Norm_Stats!$G$14-Norm_Stats!$F$14))))</f>
        <v/>
      </c>
      <c r="AJ47" s="14">
        <f>IF(AI47="","",1)</f>
        <v/>
      </c>
      <c r="AK47" s="11">
        <f>IF((IF((IF(OR(City_Inputs!$AA47="",Norm_Stats!$F$15="",Norm_Stats!$G$15="",Norm_Stats!$G$15=Norm_Stats!$F$15),"",MAX(0,MIN(100,100*(MIN(MAX(City_Inputs!$AA47,Norm_Stats!$F$15),Norm_Stats!$G$15)-Norm_Stats!$F$15)/(Norm_Stats!$G$15-Norm_Stats!$F$15)))))="",0,0.7)+IF((IF(OR(City_Inputs!$AL47="",Norm_Stats!$F$16="",Norm_Stats!$G$16="",Norm_Stats!$G$16=Norm_Stats!$F$16),"",MAX(0,MIN(100,100*(Norm_Stats!$G$16-MIN(MAX(City_Inputs!$AL47,Norm_Stats!$F$16),Norm_Stats!$G$16))/(Norm_Stats!$G$16-Norm_Stats!$F$16)))))="",0,0.3))=0,"",(IF((IF(OR(City_Inputs!$AA47="",Norm_Stats!$F$15="",Norm_Stats!$G$15="",Norm_Stats!$G$15=Norm_Stats!$F$15),"",MAX(0,MIN(100,100*(MIN(MAX(City_Inputs!$AA47,Norm_Stats!$F$15),Norm_Stats!$G$15)-Norm_Stats!$F$15)/(Norm_Stats!$G$15-Norm_Stats!$F$15)))))="",0,(IF(OR(City_Inputs!$AA47="",Norm_Stats!$F$15="",Norm_Stats!$G$15="",Norm_Stats!$G$15=Norm_Stats!$F$15),"",MAX(0,MIN(100,100*(MIN(MAX(City_Inputs!$AA47,Norm_Stats!$F$15),Norm_Stats!$G$15)-Norm_Stats!$F$15)/(Norm_Stats!$G$15-Norm_Stats!$F$15)))))*0.7)+IF((IF(OR(City_Inputs!$AL47="",Norm_Stats!$F$16="",Norm_Stats!$G$16="",Norm_Stats!$G$16=Norm_Stats!$F$16),"",MAX(0,MIN(100,100*(Norm_Stats!$G$16-MIN(MAX(City_Inputs!$AL47,Norm_Stats!$F$16),Norm_Stats!$G$16))/(Norm_Stats!$G$16-Norm_Stats!$F$16)))))="",0,(IF(OR(City_Inputs!$AL47="",Norm_Stats!$F$16="",Norm_Stats!$G$16="",Norm_Stats!$G$16=Norm_Stats!$F$16),"",MAX(0,MIN(100,100*(Norm_Stats!$G$16-MIN(MAX(City_Inputs!$AL47,Norm_Stats!$F$16),Norm_Stats!$G$16))/(Norm_Stats!$G$16-Norm_Stats!$F$16)))))*0.3))/(IF((IF(OR(City_Inputs!$AA47="",Norm_Stats!$F$15="",Norm_Stats!$G$15="",Norm_Stats!$G$15=Norm_Stats!$F$15),"",MAX(0,MIN(100,100*(MIN(MAX(City_Inputs!$AA47,Norm_Stats!$F$15),Norm_Stats!$G$15)-Norm_Stats!$F$15)/(Norm_Stats!$G$15-Norm_Stats!$F$15)))))="",0,0.7)+IF((IF(OR(City_Inputs!$AL47="",Norm_Stats!$F$16="",Norm_Stats!$G$16="",Norm_Stats!$G$16=Norm_Stats!$F$16),"",MAX(0,MIN(100,100*(Norm_Stats!$G$16-MIN(MAX(City_Inputs!$AL47,Norm_Stats!$F$16),Norm_Stats!$G$16))/(Norm_Stats!$G$16-Norm_Stats!$F$16)))))="",0,0.3)))</f>
        <v/>
      </c>
      <c r="AL47" s="14">
        <f>IF((IF((IF(OR(City_Inputs!$AA47="",Norm_Stats!$F$15="",Norm_Stats!$G$15="",Norm_Stats!$G$15=Norm_Stats!$F$15),"",MAX(0,MIN(100,100*(MIN(MAX(City_Inputs!$AA47,Norm_Stats!$F$15),Norm_Stats!$G$15)-Norm_Stats!$F$15)/(Norm_Stats!$G$15-Norm_Stats!$F$15)))))="",0,0.7)+IF((IF(OR(City_Inputs!$AL47="",Norm_Stats!$F$16="",Norm_Stats!$G$16="",Norm_Stats!$G$16=Norm_Stats!$F$16),"",MAX(0,MIN(100,100*(Norm_Stats!$G$16-MIN(MAX(City_Inputs!$AL47,Norm_Stats!$F$16),Norm_Stats!$G$16))/(Norm_Stats!$G$16-Norm_Stats!$F$16)))))="",0,0.3))=0,"",(IF((IF(OR(City_Inputs!$AA47="",Norm_Stats!$F$15="",Norm_Stats!$G$15="",Norm_Stats!$G$15=Norm_Stats!$F$15),"",MAX(0,MIN(100,100*(MIN(MAX(City_Inputs!$AA47,Norm_Stats!$F$15),Norm_Stats!$G$15)-Norm_Stats!$F$15)/(Norm_Stats!$G$15-Norm_Stats!$F$15)))))="",0,0.7)+IF((IF(OR(City_Inputs!$AL47="",Norm_Stats!$F$16="",Norm_Stats!$G$16="",Norm_Stats!$G$16=Norm_Stats!$F$16),"",MAX(0,MIN(100,100*(Norm_Stats!$G$16-MIN(MAX(City_Inputs!$AL47,Norm_Stats!$F$16),Norm_Stats!$G$16))/(Norm_Stats!$G$16-Norm_Stats!$F$16)))))="",0,0.3)))</f>
        <v/>
      </c>
      <c r="AM47" s="15">
        <f>IF((IF(AG47="",0,8)+IF(AI47="",0,6)+IF(AK47="",0,4))=0,"",(IF(AG47="",0,AG47*8)+IF(AI47="",0,AI47*6)+IF(AK47="",0,AK47*4))/(IF(AG47="",0,8)+IF(AI47="",0,6)+IF(AK47="",0,4)))</f>
        <v/>
      </c>
      <c r="AN47" s="14">
        <f>IF((IF(AH47="",0,8)+IF(AJ47="",0,6)+IF(AL47="",0,4))=0,"",(IF(AH47="",0,AH47*8)+IF(AJ47="",0,AJ47*6)+IF(AL47="",0,AL47*4))/18)</f>
        <v/>
      </c>
      <c r="AO47" s="11">
        <f>IF(OR(City_Inputs!$AB47="",Norm_Stats!$F$17="",Norm_Stats!$G$17="",Norm_Stats!$G$17=Norm_Stats!$F$17),"",MAX(0,MIN(100,100*(MIN(MAX(City_Inputs!$AB47,Norm_Stats!$F$17),Norm_Stats!$G$17)-Norm_Stats!$F$17)/(Norm_Stats!$G$17-Norm_Stats!$F$17))))</f>
        <v/>
      </c>
      <c r="AP47" s="14">
        <f>IF(AO47="","",1)</f>
        <v/>
      </c>
      <c r="AQ47" s="11">
        <f>IF(OR(City_Inputs!$AC47="",Norm_Stats!$F$18="",Norm_Stats!$G$18="",Norm_Stats!$G$18=Norm_Stats!$F$18),"",MAX(0,MIN(100,100*(MIN(MAX(City_Inputs!$AC47,Norm_Stats!$F$18),Norm_Stats!$G$18)-Norm_Stats!$F$18)/(Norm_Stats!$G$18-Norm_Stats!$F$18))))</f>
        <v/>
      </c>
      <c r="AR47" s="14">
        <f>IF(AQ47="","",1)</f>
        <v/>
      </c>
      <c r="AS47" s="11">
        <f>IF(OR(City_Inputs!$AD47="",Norm_Stats!$F$19="",Norm_Stats!$G$19="",Norm_Stats!$G$19=Norm_Stats!$F$19),"",MAX(0,MIN(100,100*(MIN(MAX(City_Inputs!$AD47,Norm_Stats!$F$19),Norm_Stats!$G$19)-Norm_Stats!$F$19)/(Norm_Stats!$G$19-Norm_Stats!$F$19))))</f>
        <v/>
      </c>
      <c r="AT47" s="14">
        <f>IF(AS47="","",1)</f>
        <v/>
      </c>
      <c r="AU47" s="11">
        <f>IF(OR(City_Inputs!$BJ47="",Norm_Stats!$F$26="",Norm_Stats!$G$26="",Norm_Stats!$G$26=Norm_Stats!$F$26),"",MAX(0,MIN(100,100*(MIN(MAX(City_Inputs!$BJ47,Norm_Stats!$F$26),Norm_Stats!$G$26)-Norm_Stats!$F$26)/(Norm_Stats!$G$26-Norm_Stats!$F$26))))</f>
        <v/>
      </c>
      <c r="AV47" s="11">
        <f>IF(AU47="","",1)</f>
        <v/>
      </c>
      <c r="AW47" s="15">
        <f>IF((IF(AO47="",0,5)+IF(AQ47="",0,5)+IF(AS47="",0,5)+IF(AU47="",0,4))=0,"",(IF(AO47="",0,AO47*5)+IF(AQ47="",0,AQ47*5)+IF(AS47="",0,AS47*5)+IF(AU47="",0,AU47*4))/(IF(AO47="",0,5)+IF(AQ47="",0,5)+IF(AS47="",0,5)+IF(AU47="",0,4)))</f>
        <v/>
      </c>
      <c r="AX47" s="14">
        <f>IF((IF(AP47="",0,5)+IF(AR47="",0,5)+IF(AT47="",0,5)+IF(AV47="",0,4))=0,"",(IF(AP47="",0,AP47*5)+IF(AR47="",0,AR47*5)+IF(AT47="",0,AT47*5)+IF(AV47="",0,AV47*4))/19)</f>
        <v/>
      </c>
      <c r="AY47" s="11">
        <f>IF(OR(City_Inputs!$AE47="",Norm_Stats!$F$20="",Norm_Stats!$G$20="",Norm_Stats!$G$20=Norm_Stats!$F$20),"",MAX(0,MIN(100,100*(MIN(MAX(City_Inputs!$AE47,Norm_Stats!$F$20),Norm_Stats!$G$20)-Norm_Stats!$F$20)/(Norm_Stats!$G$20-Norm_Stats!$F$20))))</f>
        <v/>
      </c>
      <c r="AZ47" s="14">
        <f>IF(AY47="","",1)</f>
        <v/>
      </c>
      <c r="BA47" s="11">
        <f>IF(OR(City_Inputs!$AF47="",Norm_Stats!$F$21="",Norm_Stats!$G$21="",Norm_Stats!$G$21=Norm_Stats!$F$21),"",MAX(0,MIN(100,100*(MIN(MAX(City_Inputs!$AF47,Norm_Stats!$F$21),Norm_Stats!$G$21)-Norm_Stats!$F$21)/(Norm_Stats!$G$21-Norm_Stats!$F$21))))</f>
        <v/>
      </c>
      <c r="BB47" s="14">
        <f>IF(BA47="","",1)</f>
        <v/>
      </c>
      <c r="BC47" s="11">
        <f>IF((IF((IF(OR(City_Inputs!$AG47="",Norm_Stats!$F$22="",Norm_Stats!$G$22="",Norm_Stats!$G$22=Norm_Stats!$F$22),"",MAX(0,MIN(100,100*(MIN(MAX(City_Inputs!$AG47,Norm_Stats!$F$22),Norm_Stats!$G$22)-Norm_Stats!$F$22)/(Norm_Stats!$G$22-Norm_Stats!$F$22)))))="",0,0.5)+IF((IF(OR(City_Inputs!$AJ47="",Norm_Stats!$F$23="",Norm_Stats!$G$23="",Norm_Stats!$G$23=Norm_Stats!$F$23),"",MAX(0,MIN(100,100*(MIN(MAX(City_Inputs!$AJ47,Norm_Stats!$F$23),Norm_Stats!$G$23)-Norm_Stats!$F$23)/(Norm_Stats!$G$23-Norm_Stats!$F$23)))))="",0,0.3)+IF((IF(OR(City_Inputs!$AK47="",Norm_Stats!$F$24="",Norm_Stats!$G$24="",Norm_Stats!$G$24=Norm_Stats!$F$24),"",MAX(0,MIN(100,100*(MIN(MAX(City_Inputs!$AK47,Norm_Stats!$F$24),Norm_Stats!$G$24)-Norm_Stats!$F$24)/(Norm_Stats!$G$24-Norm_Stats!$F$24)))))="",0,0.2))=0,"",(IF((IF(OR(City_Inputs!$AG47="",Norm_Stats!$F$22="",Norm_Stats!$G$22="",Norm_Stats!$G$22=Norm_Stats!$F$22),"",MAX(0,MIN(100,100*(MIN(MAX(City_Inputs!$AG47,Norm_Stats!$F$22),Norm_Stats!$G$22)-Norm_Stats!$F$22)/(Norm_Stats!$G$22-Norm_Stats!$F$22)))))="",0,(IF(OR(City_Inputs!$AG47="",Norm_Stats!$F$22="",Norm_Stats!$G$22="",Norm_Stats!$G$22=Norm_Stats!$F$22),"",MAX(0,MIN(100,100*(MIN(MAX(City_Inputs!$AG47,Norm_Stats!$F$22),Norm_Stats!$G$22)-Norm_Stats!$F$22)/(Norm_Stats!$G$22-Norm_Stats!$F$22)))))*0.5)+IF((IF(OR(City_Inputs!$AJ47="",Norm_Stats!$F$23="",Norm_Stats!$G$23="",Norm_Stats!$G$23=Norm_Stats!$F$23),"",MAX(0,MIN(100,100*(MIN(MAX(City_Inputs!$AJ47,Norm_Stats!$F$23),Norm_Stats!$G$23)-Norm_Stats!$F$23)/(Norm_Stats!$G$23-Norm_Stats!$F$23)))))="",0,(IF(OR(City_Inputs!$AJ47="",Norm_Stats!$F$23="",Norm_Stats!$G$23="",Norm_Stats!$G$23=Norm_Stats!$F$23),"",MAX(0,MIN(100,100*(MIN(MAX(City_Inputs!$AJ47,Norm_Stats!$F$23),Norm_Stats!$G$23)-Norm_Stats!$F$23)/(Norm_Stats!$G$23-Norm_Stats!$F$23)))))*0.3)+IF((IF(OR(City_Inputs!$AK47="",Norm_Stats!$F$24="",Norm_Stats!$G$24="",Norm_Stats!$G$24=Norm_Stats!$F$24),"",MAX(0,MIN(100,100*(MIN(MAX(City_Inputs!$AK47,Norm_Stats!$F$24),Norm_Stats!$G$24)-Norm_Stats!$F$24)/(Norm_Stats!$G$24-Norm_Stats!$F$24)))))="",0,(IF(OR(City_Inputs!$AK47="",Norm_Stats!$F$24="",Norm_Stats!$G$24="",Norm_Stats!$G$24=Norm_Stats!$F$24),"",MAX(0,MIN(100,100*(MIN(MAX(City_Inputs!$AK47,Norm_Stats!$F$24),Norm_Stats!$G$24)-Norm_Stats!$F$24)/(Norm_Stats!$G$24-Norm_Stats!$F$24)))))*0.2))/(IF((IF(OR(City_Inputs!$AG47="",Norm_Stats!$F$22="",Norm_Stats!$G$22="",Norm_Stats!$G$22=Norm_Stats!$F$22),"",MAX(0,MIN(100,100*(MIN(MAX(City_Inputs!$AG47,Norm_Stats!$F$22),Norm_Stats!$G$22)-Norm_Stats!$F$22)/(Norm_Stats!$G$22-Norm_Stats!$F$22)))))="",0,0.5)+IF((IF(OR(City_Inputs!$AJ47="",Norm_Stats!$F$23="",Norm_Stats!$G$23="",Norm_Stats!$G$23=Norm_Stats!$F$23),"",MAX(0,MIN(100,100*(MIN(MAX(City_Inputs!$AJ47,Norm_Stats!$F$23),Norm_Stats!$G$23)-Norm_Stats!$F$23)/(Norm_Stats!$G$23-Norm_Stats!$F$23)))))="",0,0.3)+IF((IF(OR(City_Inputs!$AK47="",Norm_Stats!$F$24="",Norm_Stats!$G$24="",Norm_Stats!$G$24=Norm_Stats!$F$24),"",MAX(0,MIN(100,100*(MIN(MAX(City_Inputs!$AK47,Norm_Stats!$F$24),Norm_Stats!$G$24)-Norm_Stats!$F$24)/(Norm_Stats!$G$24-Norm_Stats!$F$24)))))="",0,0.2)))</f>
        <v/>
      </c>
      <c r="BD47" s="14">
        <f>IF((IF((IF(OR(City_Inputs!$AG47="",Norm_Stats!$F$22="",Norm_Stats!$G$22="",Norm_Stats!$G$22=Norm_Stats!$F$22),"",MAX(0,MIN(100,100*(MIN(MAX(City_Inputs!$AG47,Norm_Stats!$F$22),Norm_Stats!$G$22)-Norm_Stats!$F$22)/(Norm_Stats!$G$22-Norm_Stats!$F$22)))))="",0,0.5)+IF((IF(OR(City_Inputs!$AJ47="",Norm_Stats!$F$23="",Norm_Stats!$G$23="",Norm_Stats!$G$23=Norm_Stats!$F$23),"",MAX(0,MIN(100,100*(MIN(MAX(City_Inputs!$AJ47,Norm_Stats!$F$23),Norm_Stats!$G$23)-Norm_Stats!$F$23)/(Norm_Stats!$G$23-Norm_Stats!$F$23)))))="",0,0.3)+IF((IF(OR(City_Inputs!$AK47="",Norm_Stats!$F$24="",Norm_Stats!$G$24="",Norm_Stats!$G$24=Norm_Stats!$F$24),"",MAX(0,MIN(100,100*(MIN(MAX(City_Inputs!$AK47,Norm_Stats!$F$24),Norm_Stats!$G$24)-Norm_Stats!$F$24)/(Norm_Stats!$G$24-Norm_Stats!$F$24)))))="",0,0.2))=0,"",(IF((IF(OR(City_Inputs!$AG47="",Norm_Stats!$F$22="",Norm_Stats!$G$22="",Norm_Stats!$G$22=Norm_Stats!$F$22),"",MAX(0,MIN(100,100*(MIN(MAX(City_Inputs!$AG47,Norm_Stats!$F$22),Norm_Stats!$G$22)-Norm_Stats!$F$22)/(Norm_Stats!$G$22-Norm_Stats!$F$22)))))="",0,0.5)+IF((IF(OR(City_Inputs!$AJ47="",Norm_Stats!$F$23="",Norm_Stats!$G$23="",Norm_Stats!$G$23=Norm_Stats!$F$23),"",MAX(0,MIN(100,100*(MIN(MAX(City_Inputs!$AJ47,Norm_Stats!$F$23),Norm_Stats!$G$23)-Norm_Stats!$F$23)/(Norm_Stats!$G$23-Norm_Stats!$F$23)))))="",0,0.3)+IF((IF(OR(City_Inputs!$AK47="",Norm_Stats!$F$24="",Norm_Stats!$G$24="",Norm_Stats!$G$24=Norm_Stats!$F$24),"",MAX(0,MIN(100,100*(MIN(MAX(City_Inputs!$AK47,Norm_Stats!$F$24),Norm_Stats!$G$24)-Norm_Stats!$F$24)/(Norm_Stats!$G$24-Norm_Stats!$F$24)))))="",0,0.2)))</f>
        <v/>
      </c>
      <c r="BE47" s="11">
        <f>IF(OR(City_Inputs!$AH47="",Norm_Stats!$F$25="",Norm_Stats!$G$25="",Norm_Stats!$G$25=Norm_Stats!$F$25),"",MAX(0,MIN(100,100*(Norm_Stats!$G$25-MIN(MAX(City_Inputs!$AH47,Norm_Stats!$F$25),Norm_Stats!$G$25))/(Norm_Stats!$G$25-Norm_Stats!$F$25))))</f>
        <v/>
      </c>
      <c r="BF47" s="14">
        <f>IF(BE47="","",1)</f>
        <v/>
      </c>
      <c r="BG47" s="15">
        <f>IF((IF(AY47="",0,6)+IF(BA47="",0,5)+IF(BC47="",0,5)+IF(BE47="",0,4))=0,"",(IF(AY47="",0,AY47*6)+IF(BA47="",0,BA47*5)+IF(BC47="",0,BC47*5)+IF(BE47="",0,BE47*4))/(IF(AY47="",0,6)+IF(BA47="",0,5)+IF(BC47="",0,5)+IF(BE47="",0,4)))</f>
        <v/>
      </c>
      <c r="BH47" s="14">
        <f>IF((IF(AZ47="",0,6)+IF(BB47="",0,5)+IF(BD47="",0,5)+IF(BF47="",0,4))=0,"",(IF(AZ47="",0,AZ47*6)+IF(BB47="",0,BB47*5)+IF(BD47="",0,BD47*5)+IF(BF47="",0,BF47*4))/20)</f>
        <v/>
      </c>
      <c r="BI47" s="14">
        <f>IF(AND(R47="",AF47="",AN47="",AX47="",BH47=""),"",((R47*25)+(AF47*22)+(AN47*18)+(AX47*15)+(BH47*20))/100)</f>
        <v/>
      </c>
      <c r="BJ47" s="11">
        <f>IF(BI47="","",IF(BI47&gt;=0.75,"A",IF(BI47&gt;=0.5,"B",IF(BI47&gt;=0.35,"C","Watchlist"))))</f>
        <v/>
      </c>
      <c r="BK47" s="11">
        <f>IF(OR(BI47="",BI47&lt;0.5,R47="",R47&lt;0.35,AF47="",AF47&lt;0.35,AN47="",AN47&lt;0.35,AX47="",AX47&lt;0.35,BH47="",BH47&lt;0.35),"Watchlist","Ranked")</f>
        <v/>
      </c>
      <c r="BL47" s="15">
        <f>IF(AND(Q47="",AE47="",AM47="",AW47="",BG47=""),"",(IF(Q47="",0,Q47*25)+IF(AE47="",0,AE47*22)+IF(AM47="",0,AM47*18)+IF(AW47="",0,AW47*15)+IF(BG47="",0,BG47*20))/(IF(Q47="",0,25)+IF(AE47="",0,22)+IF(AM47="",0,18)+IF(AW47="",0,15)+IF(BG47="",0,20)))</f>
        <v/>
      </c>
      <c r="BM47" s="11">
        <f>IF(BK47="Ranked",1+COUNTIFS($BK$2:$BK$158,"Ranked",$BL$2:$BL$158,"&gt;"&amp;BL47),"")</f>
        <v/>
      </c>
      <c r="BN47" s="11">
        <f>City_Inputs!$AI47</f>
        <v/>
      </c>
    </row>
    <row r="48">
      <c r="A48" t="inlineStr">
        <is>
          <t>ee-tallinn</t>
        </is>
      </c>
      <c r="B48" t="inlineStr">
        <is>
          <t>Tallinn</t>
        </is>
      </c>
      <c r="C48" t="inlineStr">
        <is>
          <t>Estonia</t>
        </is>
      </c>
      <c r="D48" t="inlineStr">
        <is>
          <t>Western, Northern, and Southern Europe</t>
        </is>
      </c>
      <c r="E48" t="inlineStr">
        <is>
          <t>locked</t>
        </is>
      </c>
      <c r="F48" t="inlineStr">
        <is>
          <t>secondary</t>
        </is>
      </c>
      <c r="G48" s="11">
        <f>IF(OR(City_Inputs!$M48="",Norm_Stats!$F$2="",Norm_Stats!$G$2="",Norm_Stats!$G$2=Norm_Stats!$F$2),"",MAX(0,MIN(100,100*(MIN(MAX(City_Inputs!$M48,Norm_Stats!$F$2),Norm_Stats!$G$2)-Norm_Stats!$F$2)/(Norm_Stats!$G$2-Norm_Stats!$F$2))))</f>
        <v/>
      </c>
      <c r="H48" s="14">
        <f>IF(G48="","",1)</f>
        <v/>
      </c>
      <c r="I48" s="11">
        <f>IF(OR(City_Inputs!$N48="",Norm_Stats!$F$3="",Norm_Stats!$G$3="",Norm_Stats!$G$3=Norm_Stats!$F$3),"",MAX(0,MIN(100,100*(Norm_Stats!$G$3-MIN(MAX(City_Inputs!$N48,Norm_Stats!$F$3),Norm_Stats!$G$3))/(Norm_Stats!$G$3-Norm_Stats!$F$3))))</f>
        <v/>
      </c>
      <c r="J48" s="14">
        <f>IF(I48="","",1)</f>
        <v/>
      </c>
      <c r="K48" s="11">
        <f>IF(OR(City_Inputs!$P48="",Norm_Stats!$F$4="",Norm_Stats!$G$4="",Norm_Stats!$G$4=Norm_Stats!$F$4),"",MAX(0,MIN(100,100*(Norm_Stats!$G$4-MIN(MAX(City_Inputs!$P48,Norm_Stats!$F$4),Norm_Stats!$G$4))/(Norm_Stats!$G$4-Norm_Stats!$F$4))))</f>
        <v/>
      </c>
      <c r="L48" s="14">
        <f>IF(K48="","",1)</f>
        <v/>
      </c>
      <c r="M48" s="11">
        <f>IF(OR(City_Inputs!$Q48="",Norm_Stats!$F$5="",Norm_Stats!$G$5="",Norm_Stats!$G$5=Norm_Stats!$F$5),"",MAX(0,MIN(100,100*(Norm_Stats!$G$5-MIN(MAX(City_Inputs!$Q48,Norm_Stats!$F$5),Norm_Stats!$G$5))/(Norm_Stats!$G$5-Norm_Stats!$F$5))))</f>
        <v/>
      </c>
      <c r="N48" s="14">
        <f>IF(M48="","",1)</f>
        <v/>
      </c>
      <c r="O48" s="11">
        <f>IF(OR(City_Inputs!$R48="",Norm_Stats!$F$6="",Norm_Stats!$G$6="",Norm_Stats!$G$6=Norm_Stats!$F$6),"",MAX(0,MIN(100,100*(Norm_Stats!$G$6-MIN(MAX(City_Inputs!$R48,Norm_Stats!$F$6),Norm_Stats!$G$6))/(Norm_Stats!$G$6-Norm_Stats!$F$6))))</f>
        <v/>
      </c>
      <c r="P48" s="14">
        <f>IF(O48="","",1)</f>
        <v/>
      </c>
      <c r="Q48" s="15">
        <f>IF((IF(G48="",0,9)+IF(I48="",0,5)+IF(K48="",0,4)+IF(M48="",0,4)+IF(O48="",0,5))=0,"",(IF(G48="",0,G48*9)+IF(I48="",0,I48*5)+IF(K48="",0,K48*4)+IF(M48="",0,M48*4)+IF(O48="",0,O48*5))/(IF(G48="",0,9)+IF(I48="",0,5)+IF(K48="",0,4)+IF(M48="",0,4)+IF(O48="",0,5)))</f>
        <v/>
      </c>
      <c r="R48" s="14">
        <f>IF((IF(H48="",0,9)+IF(J48="",0,5)+IF(L48="",0,4)+IF(N48="",0,4)+IF(P48="",0,5))=0,"",(IF(H48="",0,H48*9)+IF(J48="",0,J48*5)+IF(L48="",0,L48*4)+IF(N48="",0,N48*4)+IF(P48="",0,P48*5))/27)</f>
        <v/>
      </c>
      <c r="S48" s="11">
        <f>IF(OR(City_Inputs!$S48="",Norm_Stats!$F$7="",Norm_Stats!$G$7="",Norm_Stats!$G$7=Norm_Stats!$F$7),"",MAX(0,MIN(100,100*(Norm_Stats!$G$7-MIN(MAX(City_Inputs!$S48,Norm_Stats!$F$7),Norm_Stats!$G$7))/(Norm_Stats!$G$7-Norm_Stats!$F$7))))</f>
        <v/>
      </c>
      <c r="T48" s="14">
        <f>IF(S48="","",1)</f>
        <v/>
      </c>
      <c r="U48" s="11">
        <f>IF(OR(City_Inputs!$T48="",Norm_Stats!$F$8="",Norm_Stats!$G$8="",Norm_Stats!$G$8=Norm_Stats!$F$8),"",MAX(0,MIN(100,100*(MIN(MAX(City_Inputs!$T48,Norm_Stats!$F$8),Norm_Stats!$G$8)-Norm_Stats!$F$8)/(Norm_Stats!$G$8-Norm_Stats!$F$8))))</f>
        <v/>
      </c>
      <c r="V48" s="14">
        <f>IF(U48="","",1)</f>
        <v/>
      </c>
      <c r="W48" s="11">
        <f>IF(OR(City_Inputs!$U48="",Norm_Stats!$F$9="",Norm_Stats!$G$9="",Norm_Stats!$G$9=Norm_Stats!$F$9),"",MAX(0,MIN(100,100*(Norm_Stats!$G$9-MIN(MAX(City_Inputs!$U48,Norm_Stats!$F$9),Norm_Stats!$G$9))/(Norm_Stats!$G$9-Norm_Stats!$F$9))))</f>
        <v/>
      </c>
      <c r="X48" s="14">
        <f>IF(W48="","",1)</f>
        <v/>
      </c>
      <c r="Y48" s="11">
        <f>IF(OR(City_Inputs!$V48="",Norm_Stats!$F$10="",Norm_Stats!$G$10="",Norm_Stats!$G$10=Norm_Stats!$F$10),"",MAX(0,MIN(100,100*(MIN(MAX(City_Inputs!$V48,Norm_Stats!$F$10),Norm_Stats!$G$10)-Norm_Stats!$F$10)/(Norm_Stats!$G$10-Norm_Stats!$F$10))))</f>
        <v/>
      </c>
      <c r="Z48" s="14">
        <f>IF(Y48="","",1)</f>
        <v/>
      </c>
      <c r="AA48" s="11">
        <f>IF(OR(City_Inputs!$W48="",Norm_Stats!$F$11="",Norm_Stats!$G$11="",Norm_Stats!$G$11=Norm_Stats!$F$11),"",MAX(0,MIN(100,100*(MIN(MAX(City_Inputs!$W48,Norm_Stats!$F$11),Norm_Stats!$G$11)-Norm_Stats!$F$11)/(Norm_Stats!$G$11-Norm_Stats!$F$11))))</f>
        <v/>
      </c>
      <c r="AB48" s="14">
        <f>IF(AA48="","",1)</f>
        <v/>
      </c>
      <c r="AC48" s="11">
        <f>IF(OR(City_Inputs!$X48="",Norm_Stats!$F$12="",Norm_Stats!$G$12="",Norm_Stats!$G$12=Norm_Stats!$F$12),"",MAX(0,MIN(100,100*(MIN(MAX(City_Inputs!$X48,Norm_Stats!$F$12),Norm_Stats!$G$12)-Norm_Stats!$F$12)/(Norm_Stats!$G$12-Norm_Stats!$F$12))))</f>
        <v/>
      </c>
      <c r="AD48" s="11">
        <f>IF(AC48="","",1)</f>
        <v/>
      </c>
      <c r="AE48" s="15">
        <f>IF((IF(S48="",0,5)+IF(U48="",0,5)+IF(W48="",0,4)+IF(Y48="",0,4)+IF(AA48="",0,4)+IF(AC48="",0,5))=0,"",(IF(S48="",0,S48*5)+IF(U48="",0,U48*5)+IF(W48="",0,W48*4)+IF(Y48="",0,Y48*4)+IF(AA48="",0,AA48*4)+IF(AC48="",0,AC48*5))/(IF(S48="",0,5)+IF(U48="",0,5)+IF(W48="",0,4)+IF(Y48="",0,4)+IF(AA48="",0,4)+IF(AC48="",0,5)))</f>
        <v/>
      </c>
      <c r="AF48" s="14">
        <f>IF((IF(T48="",0,5)+IF(V48="",0,5)+IF(X48="",0,4)+IF(Z48="",0,4)+IF(AB48="",0,4)+IF(AD48="",0,5))=0,"",(IF(T48="",0,T48*5)+IF(V48="",0,V48*5)+IF(X48="",0,X48*4)+IF(Z48="",0,Z48*4)+IF(AB48="",0,AB48*4)+IF(AD48="",0,AD48*5))/27)</f>
        <v/>
      </c>
      <c r="AG48" s="11">
        <f>IF(OR(City_Inputs!$Y48="",Norm_Stats!$F$13="",Norm_Stats!$G$13="",Norm_Stats!$G$13=Norm_Stats!$F$13),"",MAX(0,MIN(100,100*(MIN(MAX(City_Inputs!$Y48,Norm_Stats!$F$13),Norm_Stats!$G$13)-Norm_Stats!$F$13)/(Norm_Stats!$G$13-Norm_Stats!$F$13))))</f>
        <v/>
      </c>
      <c r="AH48" s="14">
        <f>IF(AG48="","",1)</f>
        <v/>
      </c>
      <c r="AI48" s="11">
        <f>IF(OR(City_Inputs!$Z48="",Norm_Stats!$F$14="",Norm_Stats!$G$14="",Norm_Stats!$G$14=Norm_Stats!$F$14),"",MAX(0,MIN(100,100*(MIN(MAX(City_Inputs!$Z48,Norm_Stats!$F$14),Norm_Stats!$G$14)-Norm_Stats!$F$14)/(Norm_Stats!$G$14-Norm_Stats!$F$14))))</f>
        <v/>
      </c>
      <c r="AJ48" s="14">
        <f>IF(AI48="","",1)</f>
        <v/>
      </c>
      <c r="AK48" s="11">
        <f>IF((IF((IF(OR(City_Inputs!$AA48="",Norm_Stats!$F$15="",Norm_Stats!$G$15="",Norm_Stats!$G$15=Norm_Stats!$F$15),"",MAX(0,MIN(100,100*(MIN(MAX(City_Inputs!$AA48,Norm_Stats!$F$15),Norm_Stats!$G$15)-Norm_Stats!$F$15)/(Norm_Stats!$G$15-Norm_Stats!$F$15)))))="",0,0.7)+IF((IF(OR(City_Inputs!$AL48="",Norm_Stats!$F$16="",Norm_Stats!$G$16="",Norm_Stats!$G$16=Norm_Stats!$F$16),"",MAX(0,MIN(100,100*(Norm_Stats!$G$16-MIN(MAX(City_Inputs!$AL48,Norm_Stats!$F$16),Norm_Stats!$G$16))/(Norm_Stats!$G$16-Norm_Stats!$F$16)))))="",0,0.3))=0,"",(IF((IF(OR(City_Inputs!$AA48="",Norm_Stats!$F$15="",Norm_Stats!$G$15="",Norm_Stats!$G$15=Norm_Stats!$F$15),"",MAX(0,MIN(100,100*(MIN(MAX(City_Inputs!$AA48,Norm_Stats!$F$15),Norm_Stats!$G$15)-Norm_Stats!$F$15)/(Norm_Stats!$G$15-Norm_Stats!$F$15)))))="",0,(IF(OR(City_Inputs!$AA48="",Norm_Stats!$F$15="",Norm_Stats!$G$15="",Norm_Stats!$G$15=Norm_Stats!$F$15),"",MAX(0,MIN(100,100*(MIN(MAX(City_Inputs!$AA48,Norm_Stats!$F$15),Norm_Stats!$G$15)-Norm_Stats!$F$15)/(Norm_Stats!$G$15-Norm_Stats!$F$15)))))*0.7)+IF((IF(OR(City_Inputs!$AL48="",Norm_Stats!$F$16="",Norm_Stats!$G$16="",Norm_Stats!$G$16=Norm_Stats!$F$16),"",MAX(0,MIN(100,100*(Norm_Stats!$G$16-MIN(MAX(City_Inputs!$AL48,Norm_Stats!$F$16),Norm_Stats!$G$16))/(Norm_Stats!$G$16-Norm_Stats!$F$16)))))="",0,(IF(OR(City_Inputs!$AL48="",Norm_Stats!$F$16="",Norm_Stats!$G$16="",Norm_Stats!$G$16=Norm_Stats!$F$16),"",MAX(0,MIN(100,100*(Norm_Stats!$G$16-MIN(MAX(City_Inputs!$AL48,Norm_Stats!$F$16),Norm_Stats!$G$16))/(Norm_Stats!$G$16-Norm_Stats!$F$16)))))*0.3))/(IF((IF(OR(City_Inputs!$AA48="",Norm_Stats!$F$15="",Norm_Stats!$G$15="",Norm_Stats!$G$15=Norm_Stats!$F$15),"",MAX(0,MIN(100,100*(MIN(MAX(City_Inputs!$AA48,Norm_Stats!$F$15),Norm_Stats!$G$15)-Norm_Stats!$F$15)/(Norm_Stats!$G$15-Norm_Stats!$F$15)))))="",0,0.7)+IF((IF(OR(City_Inputs!$AL48="",Norm_Stats!$F$16="",Norm_Stats!$G$16="",Norm_Stats!$G$16=Norm_Stats!$F$16),"",MAX(0,MIN(100,100*(Norm_Stats!$G$16-MIN(MAX(City_Inputs!$AL48,Norm_Stats!$F$16),Norm_Stats!$G$16))/(Norm_Stats!$G$16-Norm_Stats!$F$16)))))="",0,0.3)))</f>
        <v/>
      </c>
      <c r="AL48" s="14">
        <f>IF((IF((IF(OR(City_Inputs!$AA48="",Norm_Stats!$F$15="",Norm_Stats!$G$15="",Norm_Stats!$G$15=Norm_Stats!$F$15),"",MAX(0,MIN(100,100*(MIN(MAX(City_Inputs!$AA48,Norm_Stats!$F$15),Norm_Stats!$G$15)-Norm_Stats!$F$15)/(Norm_Stats!$G$15-Norm_Stats!$F$15)))))="",0,0.7)+IF((IF(OR(City_Inputs!$AL48="",Norm_Stats!$F$16="",Norm_Stats!$G$16="",Norm_Stats!$G$16=Norm_Stats!$F$16),"",MAX(0,MIN(100,100*(Norm_Stats!$G$16-MIN(MAX(City_Inputs!$AL48,Norm_Stats!$F$16),Norm_Stats!$G$16))/(Norm_Stats!$G$16-Norm_Stats!$F$16)))))="",0,0.3))=0,"",(IF((IF(OR(City_Inputs!$AA48="",Norm_Stats!$F$15="",Norm_Stats!$G$15="",Norm_Stats!$G$15=Norm_Stats!$F$15),"",MAX(0,MIN(100,100*(MIN(MAX(City_Inputs!$AA48,Norm_Stats!$F$15),Norm_Stats!$G$15)-Norm_Stats!$F$15)/(Norm_Stats!$G$15-Norm_Stats!$F$15)))))="",0,0.7)+IF((IF(OR(City_Inputs!$AL48="",Norm_Stats!$F$16="",Norm_Stats!$G$16="",Norm_Stats!$G$16=Norm_Stats!$F$16),"",MAX(0,MIN(100,100*(Norm_Stats!$G$16-MIN(MAX(City_Inputs!$AL48,Norm_Stats!$F$16),Norm_Stats!$G$16))/(Norm_Stats!$G$16-Norm_Stats!$F$16)))))="",0,0.3)))</f>
        <v/>
      </c>
      <c r="AM48" s="15">
        <f>IF((IF(AG48="",0,8)+IF(AI48="",0,6)+IF(AK48="",0,4))=0,"",(IF(AG48="",0,AG48*8)+IF(AI48="",0,AI48*6)+IF(AK48="",0,AK48*4))/(IF(AG48="",0,8)+IF(AI48="",0,6)+IF(AK48="",0,4)))</f>
        <v/>
      </c>
      <c r="AN48" s="14">
        <f>IF((IF(AH48="",0,8)+IF(AJ48="",0,6)+IF(AL48="",0,4))=0,"",(IF(AH48="",0,AH48*8)+IF(AJ48="",0,AJ48*6)+IF(AL48="",0,AL48*4))/18)</f>
        <v/>
      </c>
      <c r="AO48" s="11">
        <f>IF(OR(City_Inputs!$AB48="",Norm_Stats!$F$17="",Norm_Stats!$G$17="",Norm_Stats!$G$17=Norm_Stats!$F$17),"",MAX(0,MIN(100,100*(MIN(MAX(City_Inputs!$AB48,Norm_Stats!$F$17),Norm_Stats!$G$17)-Norm_Stats!$F$17)/(Norm_Stats!$G$17-Norm_Stats!$F$17))))</f>
        <v/>
      </c>
      <c r="AP48" s="14">
        <f>IF(AO48="","",1)</f>
        <v/>
      </c>
      <c r="AQ48" s="11">
        <f>IF(OR(City_Inputs!$AC48="",Norm_Stats!$F$18="",Norm_Stats!$G$18="",Norm_Stats!$G$18=Norm_Stats!$F$18),"",MAX(0,MIN(100,100*(MIN(MAX(City_Inputs!$AC48,Norm_Stats!$F$18),Norm_Stats!$G$18)-Norm_Stats!$F$18)/(Norm_Stats!$G$18-Norm_Stats!$F$18))))</f>
        <v/>
      </c>
      <c r="AR48" s="14">
        <f>IF(AQ48="","",1)</f>
        <v/>
      </c>
      <c r="AS48" s="11">
        <f>IF(OR(City_Inputs!$AD48="",Norm_Stats!$F$19="",Norm_Stats!$G$19="",Norm_Stats!$G$19=Norm_Stats!$F$19),"",MAX(0,MIN(100,100*(MIN(MAX(City_Inputs!$AD48,Norm_Stats!$F$19),Norm_Stats!$G$19)-Norm_Stats!$F$19)/(Norm_Stats!$G$19-Norm_Stats!$F$19))))</f>
        <v/>
      </c>
      <c r="AT48" s="14">
        <f>IF(AS48="","",1)</f>
        <v/>
      </c>
      <c r="AU48" s="11">
        <f>IF(OR(City_Inputs!$BJ48="",Norm_Stats!$F$26="",Norm_Stats!$G$26="",Norm_Stats!$G$26=Norm_Stats!$F$26),"",MAX(0,MIN(100,100*(MIN(MAX(City_Inputs!$BJ48,Norm_Stats!$F$26),Norm_Stats!$G$26)-Norm_Stats!$F$26)/(Norm_Stats!$G$26-Norm_Stats!$F$26))))</f>
        <v/>
      </c>
      <c r="AV48" s="11">
        <f>IF(AU48="","",1)</f>
        <v/>
      </c>
      <c r="AW48" s="15">
        <f>IF((IF(AO48="",0,5)+IF(AQ48="",0,5)+IF(AS48="",0,5)+IF(AU48="",0,4))=0,"",(IF(AO48="",0,AO48*5)+IF(AQ48="",0,AQ48*5)+IF(AS48="",0,AS48*5)+IF(AU48="",0,AU48*4))/(IF(AO48="",0,5)+IF(AQ48="",0,5)+IF(AS48="",0,5)+IF(AU48="",0,4)))</f>
        <v/>
      </c>
      <c r="AX48" s="14">
        <f>IF((IF(AP48="",0,5)+IF(AR48="",0,5)+IF(AT48="",0,5)+IF(AV48="",0,4))=0,"",(IF(AP48="",0,AP48*5)+IF(AR48="",0,AR48*5)+IF(AT48="",0,AT48*5)+IF(AV48="",0,AV48*4))/19)</f>
        <v/>
      </c>
      <c r="AY48" s="11">
        <f>IF(OR(City_Inputs!$AE48="",Norm_Stats!$F$20="",Norm_Stats!$G$20="",Norm_Stats!$G$20=Norm_Stats!$F$20),"",MAX(0,MIN(100,100*(MIN(MAX(City_Inputs!$AE48,Norm_Stats!$F$20),Norm_Stats!$G$20)-Norm_Stats!$F$20)/(Norm_Stats!$G$20-Norm_Stats!$F$20))))</f>
        <v/>
      </c>
      <c r="AZ48" s="14">
        <f>IF(AY48="","",1)</f>
        <v/>
      </c>
      <c r="BA48" s="11">
        <f>IF(OR(City_Inputs!$AF48="",Norm_Stats!$F$21="",Norm_Stats!$G$21="",Norm_Stats!$G$21=Norm_Stats!$F$21),"",MAX(0,MIN(100,100*(MIN(MAX(City_Inputs!$AF48,Norm_Stats!$F$21),Norm_Stats!$G$21)-Norm_Stats!$F$21)/(Norm_Stats!$G$21-Norm_Stats!$F$21))))</f>
        <v/>
      </c>
      <c r="BB48" s="14">
        <f>IF(BA48="","",1)</f>
        <v/>
      </c>
      <c r="BC48" s="11">
        <f>IF((IF((IF(OR(City_Inputs!$AG48="",Norm_Stats!$F$22="",Norm_Stats!$G$22="",Norm_Stats!$G$22=Norm_Stats!$F$22),"",MAX(0,MIN(100,100*(MIN(MAX(City_Inputs!$AG48,Norm_Stats!$F$22),Norm_Stats!$G$22)-Norm_Stats!$F$22)/(Norm_Stats!$G$22-Norm_Stats!$F$22)))))="",0,0.5)+IF((IF(OR(City_Inputs!$AJ48="",Norm_Stats!$F$23="",Norm_Stats!$G$23="",Norm_Stats!$G$23=Norm_Stats!$F$23),"",MAX(0,MIN(100,100*(MIN(MAX(City_Inputs!$AJ48,Norm_Stats!$F$23),Norm_Stats!$G$23)-Norm_Stats!$F$23)/(Norm_Stats!$G$23-Norm_Stats!$F$23)))))="",0,0.3)+IF((IF(OR(City_Inputs!$AK48="",Norm_Stats!$F$24="",Norm_Stats!$G$24="",Norm_Stats!$G$24=Norm_Stats!$F$24),"",MAX(0,MIN(100,100*(MIN(MAX(City_Inputs!$AK48,Norm_Stats!$F$24),Norm_Stats!$G$24)-Norm_Stats!$F$24)/(Norm_Stats!$G$24-Norm_Stats!$F$24)))))="",0,0.2))=0,"",(IF((IF(OR(City_Inputs!$AG48="",Norm_Stats!$F$22="",Norm_Stats!$G$22="",Norm_Stats!$G$22=Norm_Stats!$F$22),"",MAX(0,MIN(100,100*(MIN(MAX(City_Inputs!$AG48,Norm_Stats!$F$22),Norm_Stats!$G$22)-Norm_Stats!$F$22)/(Norm_Stats!$G$22-Norm_Stats!$F$22)))))="",0,(IF(OR(City_Inputs!$AG48="",Norm_Stats!$F$22="",Norm_Stats!$G$22="",Norm_Stats!$G$22=Norm_Stats!$F$22),"",MAX(0,MIN(100,100*(MIN(MAX(City_Inputs!$AG48,Norm_Stats!$F$22),Norm_Stats!$G$22)-Norm_Stats!$F$22)/(Norm_Stats!$G$22-Norm_Stats!$F$22)))))*0.5)+IF((IF(OR(City_Inputs!$AJ48="",Norm_Stats!$F$23="",Norm_Stats!$G$23="",Norm_Stats!$G$23=Norm_Stats!$F$23),"",MAX(0,MIN(100,100*(MIN(MAX(City_Inputs!$AJ48,Norm_Stats!$F$23),Norm_Stats!$G$23)-Norm_Stats!$F$23)/(Norm_Stats!$G$23-Norm_Stats!$F$23)))))="",0,(IF(OR(City_Inputs!$AJ48="",Norm_Stats!$F$23="",Norm_Stats!$G$23="",Norm_Stats!$G$23=Norm_Stats!$F$23),"",MAX(0,MIN(100,100*(MIN(MAX(City_Inputs!$AJ48,Norm_Stats!$F$23),Norm_Stats!$G$23)-Norm_Stats!$F$23)/(Norm_Stats!$G$23-Norm_Stats!$F$23)))))*0.3)+IF((IF(OR(City_Inputs!$AK48="",Norm_Stats!$F$24="",Norm_Stats!$G$24="",Norm_Stats!$G$24=Norm_Stats!$F$24),"",MAX(0,MIN(100,100*(MIN(MAX(City_Inputs!$AK48,Norm_Stats!$F$24),Norm_Stats!$G$24)-Norm_Stats!$F$24)/(Norm_Stats!$G$24-Norm_Stats!$F$24)))))="",0,(IF(OR(City_Inputs!$AK48="",Norm_Stats!$F$24="",Norm_Stats!$G$24="",Norm_Stats!$G$24=Norm_Stats!$F$24),"",MAX(0,MIN(100,100*(MIN(MAX(City_Inputs!$AK48,Norm_Stats!$F$24),Norm_Stats!$G$24)-Norm_Stats!$F$24)/(Norm_Stats!$G$24-Norm_Stats!$F$24)))))*0.2))/(IF((IF(OR(City_Inputs!$AG48="",Norm_Stats!$F$22="",Norm_Stats!$G$22="",Norm_Stats!$G$22=Norm_Stats!$F$22),"",MAX(0,MIN(100,100*(MIN(MAX(City_Inputs!$AG48,Norm_Stats!$F$22),Norm_Stats!$G$22)-Norm_Stats!$F$22)/(Norm_Stats!$G$22-Norm_Stats!$F$22)))))="",0,0.5)+IF((IF(OR(City_Inputs!$AJ48="",Norm_Stats!$F$23="",Norm_Stats!$G$23="",Norm_Stats!$G$23=Norm_Stats!$F$23),"",MAX(0,MIN(100,100*(MIN(MAX(City_Inputs!$AJ48,Norm_Stats!$F$23),Norm_Stats!$G$23)-Norm_Stats!$F$23)/(Norm_Stats!$G$23-Norm_Stats!$F$23)))))="",0,0.3)+IF((IF(OR(City_Inputs!$AK48="",Norm_Stats!$F$24="",Norm_Stats!$G$24="",Norm_Stats!$G$24=Norm_Stats!$F$24),"",MAX(0,MIN(100,100*(MIN(MAX(City_Inputs!$AK48,Norm_Stats!$F$24),Norm_Stats!$G$24)-Norm_Stats!$F$24)/(Norm_Stats!$G$24-Norm_Stats!$F$24)))))="",0,0.2)))</f>
        <v/>
      </c>
      <c r="BD48" s="14">
        <f>IF((IF((IF(OR(City_Inputs!$AG48="",Norm_Stats!$F$22="",Norm_Stats!$G$22="",Norm_Stats!$G$22=Norm_Stats!$F$22),"",MAX(0,MIN(100,100*(MIN(MAX(City_Inputs!$AG48,Norm_Stats!$F$22),Norm_Stats!$G$22)-Norm_Stats!$F$22)/(Norm_Stats!$G$22-Norm_Stats!$F$22)))))="",0,0.5)+IF((IF(OR(City_Inputs!$AJ48="",Norm_Stats!$F$23="",Norm_Stats!$G$23="",Norm_Stats!$G$23=Norm_Stats!$F$23),"",MAX(0,MIN(100,100*(MIN(MAX(City_Inputs!$AJ48,Norm_Stats!$F$23),Norm_Stats!$G$23)-Norm_Stats!$F$23)/(Norm_Stats!$G$23-Norm_Stats!$F$23)))))="",0,0.3)+IF((IF(OR(City_Inputs!$AK48="",Norm_Stats!$F$24="",Norm_Stats!$G$24="",Norm_Stats!$G$24=Norm_Stats!$F$24),"",MAX(0,MIN(100,100*(MIN(MAX(City_Inputs!$AK48,Norm_Stats!$F$24),Norm_Stats!$G$24)-Norm_Stats!$F$24)/(Norm_Stats!$G$24-Norm_Stats!$F$24)))))="",0,0.2))=0,"",(IF((IF(OR(City_Inputs!$AG48="",Norm_Stats!$F$22="",Norm_Stats!$G$22="",Norm_Stats!$G$22=Norm_Stats!$F$22),"",MAX(0,MIN(100,100*(MIN(MAX(City_Inputs!$AG48,Norm_Stats!$F$22),Norm_Stats!$G$22)-Norm_Stats!$F$22)/(Norm_Stats!$G$22-Norm_Stats!$F$22)))))="",0,0.5)+IF((IF(OR(City_Inputs!$AJ48="",Norm_Stats!$F$23="",Norm_Stats!$G$23="",Norm_Stats!$G$23=Norm_Stats!$F$23),"",MAX(0,MIN(100,100*(MIN(MAX(City_Inputs!$AJ48,Norm_Stats!$F$23),Norm_Stats!$G$23)-Norm_Stats!$F$23)/(Norm_Stats!$G$23-Norm_Stats!$F$23)))))="",0,0.3)+IF((IF(OR(City_Inputs!$AK48="",Norm_Stats!$F$24="",Norm_Stats!$G$24="",Norm_Stats!$G$24=Norm_Stats!$F$24),"",MAX(0,MIN(100,100*(MIN(MAX(City_Inputs!$AK48,Norm_Stats!$F$24),Norm_Stats!$G$24)-Norm_Stats!$F$24)/(Norm_Stats!$G$24-Norm_Stats!$F$24)))))="",0,0.2)))</f>
        <v/>
      </c>
      <c r="BE48" s="11">
        <f>IF(OR(City_Inputs!$AH48="",Norm_Stats!$F$25="",Norm_Stats!$G$25="",Norm_Stats!$G$25=Norm_Stats!$F$25),"",MAX(0,MIN(100,100*(Norm_Stats!$G$25-MIN(MAX(City_Inputs!$AH48,Norm_Stats!$F$25),Norm_Stats!$G$25))/(Norm_Stats!$G$25-Norm_Stats!$F$25))))</f>
        <v/>
      </c>
      <c r="BF48" s="14">
        <f>IF(BE48="","",1)</f>
        <v/>
      </c>
      <c r="BG48" s="15">
        <f>IF((IF(AY48="",0,6)+IF(BA48="",0,5)+IF(BC48="",0,5)+IF(BE48="",0,4))=0,"",(IF(AY48="",0,AY48*6)+IF(BA48="",0,BA48*5)+IF(BC48="",0,BC48*5)+IF(BE48="",0,BE48*4))/(IF(AY48="",0,6)+IF(BA48="",0,5)+IF(BC48="",0,5)+IF(BE48="",0,4)))</f>
        <v/>
      </c>
      <c r="BH48" s="14">
        <f>IF((IF(AZ48="",0,6)+IF(BB48="",0,5)+IF(BD48="",0,5)+IF(BF48="",0,4))=0,"",(IF(AZ48="",0,AZ48*6)+IF(BB48="",0,BB48*5)+IF(BD48="",0,BD48*5)+IF(BF48="",0,BF48*4))/20)</f>
        <v/>
      </c>
      <c r="BI48" s="14">
        <f>IF(AND(R48="",AF48="",AN48="",AX48="",BH48=""),"",((R48*25)+(AF48*22)+(AN48*18)+(AX48*15)+(BH48*20))/100)</f>
        <v/>
      </c>
      <c r="BJ48" s="11">
        <f>IF(BI48="","",IF(BI48&gt;=0.75,"A",IF(BI48&gt;=0.5,"B",IF(BI48&gt;=0.35,"C","Watchlist"))))</f>
        <v/>
      </c>
      <c r="BK48" s="11">
        <f>IF(OR(BI48="",BI48&lt;0.5,R48="",R48&lt;0.35,AF48="",AF48&lt;0.35,AN48="",AN48&lt;0.35,AX48="",AX48&lt;0.35,BH48="",BH48&lt;0.35),"Watchlist","Ranked")</f>
        <v/>
      </c>
      <c r="BL48" s="15">
        <f>IF(AND(Q48="",AE48="",AM48="",AW48="",BG48=""),"",(IF(Q48="",0,Q48*25)+IF(AE48="",0,AE48*22)+IF(AM48="",0,AM48*18)+IF(AW48="",0,AW48*15)+IF(BG48="",0,BG48*20))/(IF(Q48="",0,25)+IF(AE48="",0,22)+IF(AM48="",0,18)+IF(AW48="",0,15)+IF(BG48="",0,20)))</f>
        <v/>
      </c>
      <c r="BM48" s="11">
        <f>IF(BK48="Ranked",1+COUNTIFS($BK$2:$BK$158,"Ranked",$BL$2:$BL$158,"&gt;"&amp;BL48),"")</f>
        <v/>
      </c>
      <c r="BN48" s="11">
        <f>City_Inputs!$AI48</f>
        <v/>
      </c>
    </row>
    <row r="49">
      <c r="A49" t="inlineStr">
        <is>
          <t>fi-helsinki</t>
        </is>
      </c>
      <c r="B49" t="inlineStr">
        <is>
          <t>Helsinki</t>
        </is>
      </c>
      <c r="C49" t="inlineStr">
        <is>
          <t>Finland</t>
        </is>
      </c>
      <c r="D49" t="inlineStr">
        <is>
          <t>Western, Northern, and Southern Europe</t>
        </is>
      </c>
      <c r="E49" t="inlineStr">
        <is>
          <t>provisional</t>
        </is>
      </c>
      <c r="F49" t="inlineStr">
        <is>
          <t>secondary</t>
        </is>
      </c>
      <c r="G49" s="11">
        <f>IF(OR(City_Inputs!$M49="",Norm_Stats!$F$2="",Norm_Stats!$G$2="",Norm_Stats!$G$2=Norm_Stats!$F$2),"",MAX(0,MIN(100,100*(MIN(MAX(City_Inputs!$M49,Norm_Stats!$F$2),Norm_Stats!$G$2)-Norm_Stats!$F$2)/(Norm_Stats!$G$2-Norm_Stats!$F$2))))</f>
        <v/>
      </c>
      <c r="H49" s="14">
        <f>IF(G49="","",1)</f>
        <v/>
      </c>
      <c r="I49" s="11">
        <f>IF(OR(City_Inputs!$N49="",Norm_Stats!$F$3="",Norm_Stats!$G$3="",Norm_Stats!$G$3=Norm_Stats!$F$3),"",MAX(0,MIN(100,100*(Norm_Stats!$G$3-MIN(MAX(City_Inputs!$N49,Norm_Stats!$F$3),Norm_Stats!$G$3))/(Norm_Stats!$G$3-Norm_Stats!$F$3))))</f>
        <v/>
      </c>
      <c r="J49" s="14">
        <f>IF(I49="","",1)</f>
        <v/>
      </c>
      <c r="K49" s="11">
        <f>IF(OR(City_Inputs!$P49="",Norm_Stats!$F$4="",Norm_Stats!$G$4="",Norm_Stats!$G$4=Norm_Stats!$F$4),"",MAX(0,MIN(100,100*(Norm_Stats!$G$4-MIN(MAX(City_Inputs!$P49,Norm_Stats!$F$4),Norm_Stats!$G$4))/(Norm_Stats!$G$4-Norm_Stats!$F$4))))</f>
        <v/>
      </c>
      <c r="L49" s="14">
        <f>IF(K49="","",1)</f>
        <v/>
      </c>
      <c r="M49" s="11">
        <f>IF(OR(City_Inputs!$Q49="",Norm_Stats!$F$5="",Norm_Stats!$G$5="",Norm_Stats!$G$5=Norm_Stats!$F$5),"",MAX(0,MIN(100,100*(Norm_Stats!$G$5-MIN(MAX(City_Inputs!$Q49,Norm_Stats!$F$5),Norm_Stats!$G$5))/(Norm_Stats!$G$5-Norm_Stats!$F$5))))</f>
        <v/>
      </c>
      <c r="N49" s="14">
        <f>IF(M49="","",1)</f>
        <v/>
      </c>
      <c r="O49" s="11">
        <f>IF(OR(City_Inputs!$R49="",Norm_Stats!$F$6="",Norm_Stats!$G$6="",Norm_Stats!$G$6=Norm_Stats!$F$6),"",MAX(0,MIN(100,100*(Norm_Stats!$G$6-MIN(MAX(City_Inputs!$R49,Norm_Stats!$F$6),Norm_Stats!$G$6))/(Norm_Stats!$G$6-Norm_Stats!$F$6))))</f>
        <v/>
      </c>
      <c r="P49" s="14">
        <f>IF(O49="","",1)</f>
        <v/>
      </c>
      <c r="Q49" s="15">
        <f>IF((IF(G49="",0,9)+IF(I49="",0,5)+IF(K49="",0,4)+IF(M49="",0,4)+IF(O49="",0,5))=0,"",(IF(G49="",0,G49*9)+IF(I49="",0,I49*5)+IF(K49="",0,K49*4)+IF(M49="",0,M49*4)+IF(O49="",0,O49*5))/(IF(G49="",0,9)+IF(I49="",0,5)+IF(K49="",0,4)+IF(M49="",0,4)+IF(O49="",0,5)))</f>
        <v/>
      </c>
      <c r="R49" s="14">
        <f>IF((IF(H49="",0,9)+IF(J49="",0,5)+IF(L49="",0,4)+IF(N49="",0,4)+IF(P49="",0,5))=0,"",(IF(H49="",0,H49*9)+IF(J49="",0,J49*5)+IF(L49="",0,L49*4)+IF(N49="",0,N49*4)+IF(P49="",0,P49*5))/27)</f>
        <v/>
      </c>
      <c r="S49" s="11">
        <f>IF(OR(City_Inputs!$S49="",Norm_Stats!$F$7="",Norm_Stats!$G$7="",Norm_Stats!$G$7=Norm_Stats!$F$7),"",MAX(0,MIN(100,100*(Norm_Stats!$G$7-MIN(MAX(City_Inputs!$S49,Norm_Stats!$F$7),Norm_Stats!$G$7))/(Norm_Stats!$G$7-Norm_Stats!$F$7))))</f>
        <v/>
      </c>
      <c r="T49" s="14">
        <f>IF(S49="","",1)</f>
        <v/>
      </c>
      <c r="U49" s="11">
        <f>IF(OR(City_Inputs!$T49="",Norm_Stats!$F$8="",Norm_Stats!$G$8="",Norm_Stats!$G$8=Norm_Stats!$F$8),"",MAX(0,MIN(100,100*(MIN(MAX(City_Inputs!$T49,Norm_Stats!$F$8),Norm_Stats!$G$8)-Norm_Stats!$F$8)/(Norm_Stats!$G$8-Norm_Stats!$F$8))))</f>
        <v/>
      </c>
      <c r="V49" s="14">
        <f>IF(U49="","",1)</f>
        <v/>
      </c>
      <c r="W49" s="11">
        <f>IF(OR(City_Inputs!$U49="",Norm_Stats!$F$9="",Norm_Stats!$G$9="",Norm_Stats!$G$9=Norm_Stats!$F$9),"",MAX(0,MIN(100,100*(Norm_Stats!$G$9-MIN(MAX(City_Inputs!$U49,Norm_Stats!$F$9),Norm_Stats!$G$9))/(Norm_Stats!$G$9-Norm_Stats!$F$9))))</f>
        <v/>
      </c>
      <c r="X49" s="14">
        <f>IF(W49="","",1)</f>
        <v/>
      </c>
      <c r="Y49" s="11">
        <f>IF(OR(City_Inputs!$V49="",Norm_Stats!$F$10="",Norm_Stats!$G$10="",Norm_Stats!$G$10=Norm_Stats!$F$10),"",MAX(0,MIN(100,100*(MIN(MAX(City_Inputs!$V49,Norm_Stats!$F$10),Norm_Stats!$G$10)-Norm_Stats!$F$10)/(Norm_Stats!$G$10-Norm_Stats!$F$10))))</f>
        <v/>
      </c>
      <c r="Z49" s="14">
        <f>IF(Y49="","",1)</f>
        <v/>
      </c>
      <c r="AA49" s="11">
        <f>IF(OR(City_Inputs!$W49="",Norm_Stats!$F$11="",Norm_Stats!$G$11="",Norm_Stats!$G$11=Norm_Stats!$F$11),"",MAX(0,MIN(100,100*(MIN(MAX(City_Inputs!$W49,Norm_Stats!$F$11),Norm_Stats!$G$11)-Norm_Stats!$F$11)/(Norm_Stats!$G$11-Norm_Stats!$F$11))))</f>
        <v/>
      </c>
      <c r="AB49" s="14">
        <f>IF(AA49="","",1)</f>
        <v/>
      </c>
      <c r="AC49" s="11">
        <f>IF(OR(City_Inputs!$X49="",Norm_Stats!$F$12="",Norm_Stats!$G$12="",Norm_Stats!$G$12=Norm_Stats!$F$12),"",MAX(0,MIN(100,100*(MIN(MAX(City_Inputs!$X49,Norm_Stats!$F$12),Norm_Stats!$G$12)-Norm_Stats!$F$12)/(Norm_Stats!$G$12-Norm_Stats!$F$12))))</f>
        <v/>
      </c>
      <c r="AD49" s="11">
        <f>IF(AC49="","",1)</f>
        <v/>
      </c>
      <c r="AE49" s="15">
        <f>IF((IF(S49="",0,5)+IF(U49="",0,5)+IF(W49="",0,4)+IF(Y49="",0,4)+IF(AA49="",0,4)+IF(AC49="",0,5))=0,"",(IF(S49="",0,S49*5)+IF(U49="",0,U49*5)+IF(W49="",0,W49*4)+IF(Y49="",0,Y49*4)+IF(AA49="",0,AA49*4)+IF(AC49="",0,AC49*5))/(IF(S49="",0,5)+IF(U49="",0,5)+IF(W49="",0,4)+IF(Y49="",0,4)+IF(AA49="",0,4)+IF(AC49="",0,5)))</f>
        <v/>
      </c>
      <c r="AF49" s="14">
        <f>IF((IF(T49="",0,5)+IF(V49="",0,5)+IF(X49="",0,4)+IF(Z49="",0,4)+IF(AB49="",0,4)+IF(AD49="",0,5))=0,"",(IF(T49="",0,T49*5)+IF(V49="",0,V49*5)+IF(X49="",0,X49*4)+IF(Z49="",0,Z49*4)+IF(AB49="",0,AB49*4)+IF(AD49="",0,AD49*5))/27)</f>
        <v/>
      </c>
      <c r="AG49" s="11">
        <f>IF(OR(City_Inputs!$Y49="",Norm_Stats!$F$13="",Norm_Stats!$G$13="",Norm_Stats!$G$13=Norm_Stats!$F$13),"",MAX(0,MIN(100,100*(MIN(MAX(City_Inputs!$Y49,Norm_Stats!$F$13),Norm_Stats!$G$13)-Norm_Stats!$F$13)/(Norm_Stats!$G$13-Norm_Stats!$F$13))))</f>
        <v/>
      </c>
      <c r="AH49" s="14">
        <f>IF(AG49="","",1)</f>
        <v/>
      </c>
      <c r="AI49" s="11">
        <f>IF(OR(City_Inputs!$Z49="",Norm_Stats!$F$14="",Norm_Stats!$G$14="",Norm_Stats!$G$14=Norm_Stats!$F$14),"",MAX(0,MIN(100,100*(MIN(MAX(City_Inputs!$Z49,Norm_Stats!$F$14),Norm_Stats!$G$14)-Norm_Stats!$F$14)/(Norm_Stats!$G$14-Norm_Stats!$F$14))))</f>
        <v/>
      </c>
      <c r="AJ49" s="14">
        <f>IF(AI49="","",1)</f>
        <v/>
      </c>
      <c r="AK49" s="11">
        <f>IF((IF((IF(OR(City_Inputs!$AA49="",Norm_Stats!$F$15="",Norm_Stats!$G$15="",Norm_Stats!$G$15=Norm_Stats!$F$15),"",MAX(0,MIN(100,100*(MIN(MAX(City_Inputs!$AA49,Norm_Stats!$F$15),Norm_Stats!$G$15)-Norm_Stats!$F$15)/(Norm_Stats!$G$15-Norm_Stats!$F$15)))))="",0,0.7)+IF((IF(OR(City_Inputs!$AL49="",Norm_Stats!$F$16="",Norm_Stats!$G$16="",Norm_Stats!$G$16=Norm_Stats!$F$16),"",MAX(0,MIN(100,100*(Norm_Stats!$G$16-MIN(MAX(City_Inputs!$AL49,Norm_Stats!$F$16),Norm_Stats!$G$16))/(Norm_Stats!$G$16-Norm_Stats!$F$16)))))="",0,0.3))=0,"",(IF((IF(OR(City_Inputs!$AA49="",Norm_Stats!$F$15="",Norm_Stats!$G$15="",Norm_Stats!$G$15=Norm_Stats!$F$15),"",MAX(0,MIN(100,100*(MIN(MAX(City_Inputs!$AA49,Norm_Stats!$F$15),Norm_Stats!$G$15)-Norm_Stats!$F$15)/(Norm_Stats!$G$15-Norm_Stats!$F$15)))))="",0,(IF(OR(City_Inputs!$AA49="",Norm_Stats!$F$15="",Norm_Stats!$G$15="",Norm_Stats!$G$15=Norm_Stats!$F$15),"",MAX(0,MIN(100,100*(MIN(MAX(City_Inputs!$AA49,Norm_Stats!$F$15),Norm_Stats!$G$15)-Norm_Stats!$F$15)/(Norm_Stats!$G$15-Norm_Stats!$F$15)))))*0.7)+IF((IF(OR(City_Inputs!$AL49="",Norm_Stats!$F$16="",Norm_Stats!$G$16="",Norm_Stats!$G$16=Norm_Stats!$F$16),"",MAX(0,MIN(100,100*(Norm_Stats!$G$16-MIN(MAX(City_Inputs!$AL49,Norm_Stats!$F$16),Norm_Stats!$G$16))/(Norm_Stats!$G$16-Norm_Stats!$F$16)))))="",0,(IF(OR(City_Inputs!$AL49="",Norm_Stats!$F$16="",Norm_Stats!$G$16="",Norm_Stats!$G$16=Norm_Stats!$F$16),"",MAX(0,MIN(100,100*(Norm_Stats!$G$16-MIN(MAX(City_Inputs!$AL49,Norm_Stats!$F$16),Norm_Stats!$G$16))/(Norm_Stats!$G$16-Norm_Stats!$F$16)))))*0.3))/(IF((IF(OR(City_Inputs!$AA49="",Norm_Stats!$F$15="",Norm_Stats!$G$15="",Norm_Stats!$G$15=Norm_Stats!$F$15),"",MAX(0,MIN(100,100*(MIN(MAX(City_Inputs!$AA49,Norm_Stats!$F$15),Norm_Stats!$G$15)-Norm_Stats!$F$15)/(Norm_Stats!$G$15-Norm_Stats!$F$15)))))="",0,0.7)+IF((IF(OR(City_Inputs!$AL49="",Norm_Stats!$F$16="",Norm_Stats!$G$16="",Norm_Stats!$G$16=Norm_Stats!$F$16),"",MAX(0,MIN(100,100*(Norm_Stats!$G$16-MIN(MAX(City_Inputs!$AL49,Norm_Stats!$F$16),Norm_Stats!$G$16))/(Norm_Stats!$G$16-Norm_Stats!$F$16)))))="",0,0.3)))</f>
        <v/>
      </c>
      <c r="AL49" s="14">
        <f>IF((IF((IF(OR(City_Inputs!$AA49="",Norm_Stats!$F$15="",Norm_Stats!$G$15="",Norm_Stats!$G$15=Norm_Stats!$F$15),"",MAX(0,MIN(100,100*(MIN(MAX(City_Inputs!$AA49,Norm_Stats!$F$15),Norm_Stats!$G$15)-Norm_Stats!$F$15)/(Norm_Stats!$G$15-Norm_Stats!$F$15)))))="",0,0.7)+IF((IF(OR(City_Inputs!$AL49="",Norm_Stats!$F$16="",Norm_Stats!$G$16="",Norm_Stats!$G$16=Norm_Stats!$F$16),"",MAX(0,MIN(100,100*(Norm_Stats!$G$16-MIN(MAX(City_Inputs!$AL49,Norm_Stats!$F$16),Norm_Stats!$G$16))/(Norm_Stats!$G$16-Norm_Stats!$F$16)))))="",0,0.3))=0,"",(IF((IF(OR(City_Inputs!$AA49="",Norm_Stats!$F$15="",Norm_Stats!$G$15="",Norm_Stats!$G$15=Norm_Stats!$F$15),"",MAX(0,MIN(100,100*(MIN(MAX(City_Inputs!$AA49,Norm_Stats!$F$15),Norm_Stats!$G$15)-Norm_Stats!$F$15)/(Norm_Stats!$G$15-Norm_Stats!$F$15)))))="",0,0.7)+IF((IF(OR(City_Inputs!$AL49="",Norm_Stats!$F$16="",Norm_Stats!$G$16="",Norm_Stats!$G$16=Norm_Stats!$F$16),"",MAX(0,MIN(100,100*(Norm_Stats!$G$16-MIN(MAX(City_Inputs!$AL49,Norm_Stats!$F$16),Norm_Stats!$G$16))/(Norm_Stats!$G$16-Norm_Stats!$F$16)))))="",0,0.3)))</f>
        <v/>
      </c>
      <c r="AM49" s="15">
        <f>IF((IF(AG49="",0,8)+IF(AI49="",0,6)+IF(AK49="",0,4))=0,"",(IF(AG49="",0,AG49*8)+IF(AI49="",0,AI49*6)+IF(AK49="",0,AK49*4))/(IF(AG49="",0,8)+IF(AI49="",0,6)+IF(AK49="",0,4)))</f>
        <v/>
      </c>
      <c r="AN49" s="14">
        <f>IF((IF(AH49="",0,8)+IF(AJ49="",0,6)+IF(AL49="",0,4))=0,"",(IF(AH49="",0,AH49*8)+IF(AJ49="",0,AJ49*6)+IF(AL49="",0,AL49*4))/18)</f>
        <v/>
      </c>
      <c r="AO49" s="11">
        <f>IF(OR(City_Inputs!$AB49="",Norm_Stats!$F$17="",Norm_Stats!$G$17="",Norm_Stats!$G$17=Norm_Stats!$F$17),"",MAX(0,MIN(100,100*(MIN(MAX(City_Inputs!$AB49,Norm_Stats!$F$17),Norm_Stats!$G$17)-Norm_Stats!$F$17)/(Norm_Stats!$G$17-Norm_Stats!$F$17))))</f>
        <v/>
      </c>
      <c r="AP49" s="14">
        <f>IF(AO49="","",1)</f>
        <v/>
      </c>
      <c r="AQ49" s="11">
        <f>IF(OR(City_Inputs!$AC49="",Norm_Stats!$F$18="",Norm_Stats!$G$18="",Norm_Stats!$G$18=Norm_Stats!$F$18),"",MAX(0,MIN(100,100*(MIN(MAX(City_Inputs!$AC49,Norm_Stats!$F$18),Norm_Stats!$G$18)-Norm_Stats!$F$18)/(Norm_Stats!$G$18-Norm_Stats!$F$18))))</f>
        <v/>
      </c>
      <c r="AR49" s="14">
        <f>IF(AQ49="","",1)</f>
        <v/>
      </c>
      <c r="AS49" s="11">
        <f>IF(OR(City_Inputs!$AD49="",Norm_Stats!$F$19="",Norm_Stats!$G$19="",Norm_Stats!$G$19=Norm_Stats!$F$19),"",MAX(0,MIN(100,100*(MIN(MAX(City_Inputs!$AD49,Norm_Stats!$F$19),Norm_Stats!$G$19)-Norm_Stats!$F$19)/(Norm_Stats!$G$19-Norm_Stats!$F$19))))</f>
        <v/>
      </c>
      <c r="AT49" s="14">
        <f>IF(AS49="","",1)</f>
        <v/>
      </c>
      <c r="AU49" s="11">
        <f>IF(OR(City_Inputs!$BJ49="",Norm_Stats!$F$26="",Norm_Stats!$G$26="",Norm_Stats!$G$26=Norm_Stats!$F$26),"",MAX(0,MIN(100,100*(MIN(MAX(City_Inputs!$BJ49,Norm_Stats!$F$26),Norm_Stats!$G$26)-Norm_Stats!$F$26)/(Norm_Stats!$G$26-Norm_Stats!$F$26))))</f>
        <v/>
      </c>
      <c r="AV49" s="11">
        <f>IF(AU49="","",1)</f>
        <v/>
      </c>
      <c r="AW49" s="15">
        <f>IF((IF(AO49="",0,5)+IF(AQ49="",0,5)+IF(AS49="",0,5)+IF(AU49="",0,4))=0,"",(IF(AO49="",0,AO49*5)+IF(AQ49="",0,AQ49*5)+IF(AS49="",0,AS49*5)+IF(AU49="",0,AU49*4))/(IF(AO49="",0,5)+IF(AQ49="",0,5)+IF(AS49="",0,5)+IF(AU49="",0,4)))</f>
        <v/>
      </c>
      <c r="AX49" s="14">
        <f>IF((IF(AP49="",0,5)+IF(AR49="",0,5)+IF(AT49="",0,5)+IF(AV49="",0,4))=0,"",(IF(AP49="",0,AP49*5)+IF(AR49="",0,AR49*5)+IF(AT49="",0,AT49*5)+IF(AV49="",0,AV49*4))/19)</f>
        <v/>
      </c>
      <c r="AY49" s="11">
        <f>IF(OR(City_Inputs!$AE49="",Norm_Stats!$F$20="",Norm_Stats!$G$20="",Norm_Stats!$G$20=Norm_Stats!$F$20),"",MAX(0,MIN(100,100*(MIN(MAX(City_Inputs!$AE49,Norm_Stats!$F$20),Norm_Stats!$G$20)-Norm_Stats!$F$20)/(Norm_Stats!$G$20-Norm_Stats!$F$20))))</f>
        <v/>
      </c>
      <c r="AZ49" s="14">
        <f>IF(AY49="","",1)</f>
        <v/>
      </c>
      <c r="BA49" s="11">
        <f>IF(OR(City_Inputs!$AF49="",Norm_Stats!$F$21="",Norm_Stats!$G$21="",Norm_Stats!$G$21=Norm_Stats!$F$21),"",MAX(0,MIN(100,100*(MIN(MAX(City_Inputs!$AF49,Norm_Stats!$F$21),Norm_Stats!$G$21)-Norm_Stats!$F$21)/(Norm_Stats!$G$21-Norm_Stats!$F$21))))</f>
        <v/>
      </c>
      <c r="BB49" s="14">
        <f>IF(BA49="","",1)</f>
        <v/>
      </c>
      <c r="BC49" s="11">
        <f>IF((IF((IF(OR(City_Inputs!$AG49="",Norm_Stats!$F$22="",Norm_Stats!$G$22="",Norm_Stats!$G$22=Norm_Stats!$F$22),"",MAX(0,MIN(100,100*(MIN(MAX(City_Inputs!$AG49,Norm_Stats!$F$22),Norm_Stats!$G$22)-Norm_Stats!$F$22)/(Norm_Stats!$G$22-Norm_Stats!$F$22)))))="",0,0.5)+IF((IF(OR(City_Inputs!$AJ49="",Norm_Stats!$F$23="",Norm_Stats!$G$23="",Norm_Stats!$G$23=Norm_Stats!$F$23),"",MAX(0,MIN(100,100*(MIN(MAX(City_Inputs!$AJ49,Norm_Stats!$F$23),Norm_Stats!$G$23)-Norm_Stats!$F$23)/(Norm_Stats!$G$23-Norm_Stats!$F$23)))))="",0,0.3)+IF((IF(OR(City_Inputs!$AK49="",Norm_Stats!$F$24="",Norm_Stats!$G$24="",Norm_Stats!$G$24=Norm_Stats!$F$24),"",MAX(0,MIN(100,100*(MIN(MAX(City_Inputs!$AK49,Norm_Stats!$F$24),Norm_Stats!$G$24)-Norm_Stats!$F$24)/(Norm_Stats!$G$24-Norm_Stats!$F$24)))))="",0,0.2))=0,"",(IF((IF(OR(City_Inputs!$AG49="",Norm_Stats!$F$22="",Norm_Stats!$G$22="",Norm_Stats!$G$22=Norm_Stats!$F$22),"",MAX(0,MIN(100,100*(MIN(MAX(City_Inputs!$AG49,Norm_Stats!$F$22),Norm_Stats!$G$22)-Norm_Stats!$F$22)/(Norm_Stats!$G$22-Norm_Stats!$F$22)))))="",0,(IF(OR(City_Inputs!$AG49="",Norm_Stats!$F$22="",Norm_Stats!$G$22="",Norm_Stats!$G$22=Norm_Stats!$F$22),"",MAX(0,MIN(100,100*(MIN(MAX(City_Inputs!$AG49,Norm_Stats!$F$22),Norm_Stats!$G$22)-Norm_Stats!$F$22)/(Norm_Stats!$G$22-Norm_Stats!$F$22)))))*0.5)+IF((IF(OR(City_Inputs!$AJ49="",Norm_Stats!$F$23="",Norm_Stats!$G$23="",Norm_Stats!$G$23=Norm_Stats!$F$23),"",MAX(0,MIN(100,100*(MIN(MAX(City_Inputs!$AJ49,Norm_Stats!$F$23),Norm_Stats!$G$23)-Norm_Stats!$F$23)/(Norm_Stats!$G$23-Norm_Stats!$F$23)))))="",0,(IF(OR(City_Inputs!$AJ49="",Norm_Stats!$F$23="",Norm_Stats!$G$23="",Norm_Stats!$G$23=Norm_Stats!$F$23),"",MAX(0,MIN(100,100*(MIN(MAX(City_Inputs!$AJ49,Norm_Stats!$F$23),Norm_Stats!$G$23)-Norm_Stats!$F$23)/(Norm_Stats!$G$23-Norm_Stats!$F$23)))))*0.3)+IF((IF(OR(City_Inputs!$AK49="",Norm_Stats!$F$24="",Norm_Stats!$G$24="",Norm_Stats!$G$24=Norm_Stats!$F$24),"",MAX(0,MIN(100,100*(MIN(MAX(City_Inputs!$AK49,Norm_Stats!$F$24),Norm_Stats!$G$24)-Norm_Stats!$F$24)/(Norm_Stats!$G$24-Norm_Stats!$F$24)))))="",0,(IF(OR(City_Inputs!$AK49="",Norm_Stats!$F$24="",Norm_Stats!$G$24="",Norm_Stats!$G$24=Norm_Stats!$F$24),"",MAX(0,MIN(100,100*(MIN(MAX(City_Inputs!$AK49,Norm_Stats!$F$24),Norm_Stats!$G$24)-Norm_Stats!$F$24)/(Norm_Stats!$G$24-Norm_Stats!$F$24)))))*0.2))/(IF((IF(OR(City_Inputs!$AG49="",Norm_Stats!$F$22="",Norm_Stats!$G$22="",Norm_Stats!$G$22=Norm_Stats!$F$22),"",MAX(0,MIN(100,100*(MIN(MAX(City_Inputs!$AG49,Norm_Stats!$F$22),Norm_Stats!$G$22)-Norm_Stats!$F$22)/(Norm_Stats!$G$22-Norm_Stats!$F$22)))))="",0,0.5)+IF((IF(OR(City_Inputs!$AJ49="",Norm_Stats!$F$23="",Norm_Stats!$G$23="",Norm_Stats!$G$23=Norm_Stats!$F$23),"",MAX(0,MIN(100,100*(MIN(MAX(City_Inputs!$AJ49,Norm_Stats!$F$23),Norm_Stats!$G$23)-Norm_Stats!$F$23)/(Norm_Stats!$G$23-Norm_Stats!$F$23)))))="",0,0.3)+IF((IF(OR(City_Inputs!$AK49="",Norm_Stats!$F$24="",Norm_Stats!$G$24="",Norm_Stats!$G$24=Norm_Stats!$F$24),"",MAX(0,MIN(100,100*(MIN(MAX(City_Inputs!$AK49,Norm_Stats!$F$24),Norm_Stats!$G$24)-Norm_Stats!$F$24)/(Norm_Stats!$G$24-Norm_Stats!$F$24)))))="",0,0.2)))</f>
        <v/>
      </c>
      <c r="BD49" s="14">
        <f>IF((IF((IF(OR(City_Inputs!$AG49="",Norm_Stats!$F$22="",Norm_Stats!$G$22="",Norm_Stats!$G$22=Norm_Stats!$F$22),"",MAX(0,MIN(100,100*(MIN(MAX(City_Inputs!$AG49,Norm_Stats!$F$22),Norm_Stats!$G$22)-Norm_Stats!$F$22)/(Norm_Stats!$G$22-Norm_Stats!$F$22)))))="",0,0.5)+IF((IF(OR(City_Inputs!$AJ49="",Norm_Stats!$F$23="",Norm_Stats!$G$23="",Norm_Stats!$G$23=Norm_Stats!$F$23),"",MAX(0,MIN(100,100*(MIN(MAX(City_Inputs!$AJ49,Norm_Stats!$F$23),Norm_Stats!$G$23)-Norm_Stats!$F$23)/(Norm_Stats!$G$23-Norm_Stats!$F$23)))))="",0,0.3)+IF((IF(OR(City_Inputs!$AK49="",Norm_Stats!$F$24="",Norm_Stats!$G$24="",Norm_Stats!$G$24=Norm_Stats!$F$24),"",MAX(0,MIN(100,100*(MIN(MAX(City_Inputs!$AK49,Norm_Stats!$F$24),Norm_Stats!$G$24)-Norm_Stats!$F$24)/(Norm_Stats!$G$24-Norm_Stats!$F$24)))))="",0,0.2))=0,"",(IF((IF(OR(City_Inputs!$AG49="",Norm_Stats!$F$22="",Norm_Stats!$G$22="",Norm_Stats!$G$22=Norm_Stats!$F$22),"",MAX(0,MIN(100,100*(MIN(MAX(City_Inputs!$AG49,Norm_Stats!$F$22),Norm_Stats!$G$22)-Norm_Stats!$F$22)/(Norm_Stats!$G$22-Norm_Stats!$F$22)))))="",0,0.5)+IF((IF(OR(City_Inputs!$AJ49="",Norm_Stats!$F$23="",Norm_Stats!$G$23="",Norm_Stats!$G$23=Norm_Stats!$F$23),"",MAX(0,MIN(100,100*(MIN(MAX(City_Inputs!$AJ49,Norm_Stats!$F$23),Norm_Stats!$G$23)-Norm_Stats!$F$23)/(Norm_Stats!$G$23-Norm_Stats!$F$23)))))="",0,0.3)+IF((IF(OR(City_Inputs!$AK49="",Norm_Stats!$F$24="",Norm_Stats!$G$24="",Norm_Stats!$G$24=Norm_Stats!$F$24),"",MAX(0,MIN(100,100*(MIN(MAX(City_Inputs!$AK49,Norm_Stats!$F$24),Norm_Stats!$G$24)-Norm_Stats!$F$24)/(Norm_Stats!$G$24-Norm_Stats!$F$24)))))="",0,0.2)))</f>
        <v/>
      </c>
      <c r="BE49" s="11">
        <f>IF(OR(City_Inputs!$AH49="",Norm_Stats!$F$25="",Norm_Stats!$G$25="",Norm_Stats!$G$25=Norm_Stats!$F$25),"",MAX(0,MIN(100,100*(Norm_Stats!$G$25-MIN(MAX(City_Inputs!$AH49,Norm_Stats!$F$25),Norm_Stats!$G$25))/(Norm_Stats!$G$25-Norm_Stats!$F$25))))</f>
        <v/>
      </c>
      <c r="BF49" s="14">
        <f>IF(BE49="","",1)</f>
        <v/>
      </c>
      <c r="BG49" s="15">
        <f>IF((IF(AY49="",0,6)+IF(BA49="",0,5)+IF(BC49="",0,5)+IF(BE49="",0,4))=0,"",(IF(AY49="",0,AY49*6)+IF(BA49="",0,BA49*5)+IF(BC49="",0,BC49*5)+IF(BE49="",0,BE49*4))/(IF(AY49="",0,6)+IF(BA49="",0,5)+IF(BC49="",0,5)+IF(BE49="",0,4)))</f>
        <v/>
      </c>
      <c r="BH49" s="14">
        <f>IF((IF(AZ49="",0,6)+IF(BB49="",0,5)+IF(BD49="",0,5)+IF(BF49="",0,4))=0,"",(IF(AZ49="",0,AZ49*6)+IF(BB49="",0,BB49*5)+IF(BD49="",0,BD49*5)+IF(BF49="",0,BF49*4))/20)</f>
        <v/>
      </c>
      <c r="BI49" s="14">
        <f>IF(AND(R49="",AF49="",AN49="",AX49="",BH49=""),"",((R49*25)+(AF49*22)+(AN49*18)+(AX49*15)+(BH49*20))/100)</f>
        <v/>
      </c>
      <c r="BJ49" s="11">
        <f>IF(BI49="","",IF(BI49&gt;=0.75,"A",IF(BI49&gt;=0.5,"B",IF(BI49&gt;=0.35,"C","Watchlist"))))</f>
        <v/>
      </c>
      <c r="BK49" s="11">
        <f>IF(OR(BI49="",BI49&lt;0.5,R49="",R49&lt;0.35,AF49="",AF49&lt;0.35,AN49="",AN49&lt;0.35,AX49="",AX49&lt;0.35,BH49="",BH49&lt;0.35),"Watchlist","Ranked")</f>
        <v/>
      </c>
      <c r="BL49" s="15">
        <f>IF(AND(Q49="",AE49="",AM49="",AW49="",BG49=""),"",(IF(Q49="",0,Q49*25)+IF(AE49="",0,AE49*22)+IF(AM49="",0,AM49*18)+IF(AW49="",0,AW49*15)+IF(BG49="",0,BG49*20))/(IF(Q49="",0,25)+IF(AE49="",0,22)+IF(AM49="",0,18)+IF(AW49="",0,15)+IF(BG49="",0,20)))</f>
        <v/>
      </c>
      <c r="BM49" s="11">
        <f>IF(BK49="Ranked",1+COUNTIFS($BK$2:$BK$158,"Ranked",$BL$2:$BL$158,"&gt;"&amp;BL49),"")</f>
        <v/>
      </c>
      <c r="BN49" s="11">
        <f>City_Inputs!$AI49</f>
        <v/>
      </c>
    </row>
    <row r="50">
      <c r="A50" t="inlineStr">
        <is>
          <t>it-bologna</t>
        </is>
      </c>
      <c r="B50" t="inlineStr">
        <is>
          <t>Bologna</t>
        </is>
      </c>
      <c r="C50" t="inlineStr">
        <is>
          <t>Italy</t>
        </is>
      </c>
      <c r="D50" t="inlineStr">
        <is>
          <t>Western, Northern, and Southern Europe</t>
        </is>
      </c>
      <c r="E50" t="inlineStr">
        <is>
          <t>provisional</t>
        </is>
      </c>
      <c r="F50" t="inlineStr">
        <is>
          <t>secondary</t>
        </is>
      </c>
      <c r="G50" s="11">
        <f>IF(OR(City_Inputs!$M50="",Norm_Stats!$F$2="",Norm_Stats!$G$2="",Norm_Stats!$G$2=Norm_Stats!$F$2),"",MAX(0,MIN(100,100*(MIN(MAX(City_Inputs!$M50,Norm_Stats!$F$2),Norm_Stats!$G$2)-Norm_Stats!$F$2)/(Norm_Stats!$G$2-Norm_Stats!$F$2))))</f>
        <v/>
      </c>
      <c r="H50" s="14">
        <f>IF(G50="","",1)</f>
        <v/>
      </c>
      <c r="I50" s="11">
        <f>IF(OR(City_Inputs!$N50="",Norm_Stats!$F$3="",Norm_Stats!$G$3="",Norm_Stats!$G$3=Norm_Stats!$F$3),"",MAX(0,MIN(100,100*(Norm_Stats!$G$3-MIN(MAX(City_Inputs!$N50,Norm_Stats!$F$3),Norm_Stats!$G$3))/(Norm_Stats!$G$3-Norm_Stats!$F$3))))</f>
        <v/>
      </c>
      <c r="J50" s="14">
        <f>IF(I50="","",1)</f>
        <v/>
      </c>
      <c r="K50" s="11">
        <f>IF(OR(City_Inputs!$P50="",Norm_Stats!$F$4="",Norm_Stats!$G$4="",Norm_Stats!$G$4=Norm_Stats!$F$4),"",MAX(0,MIN(100,100*(Norm_Stats!$G$4-MIN(MAX(City_Inputs!$P50,Norm_Stats!$F$4),Norm_Stats!$G$4))/(Norm_Stats!$G$4-Norm_Stats!$F$4))))</f>
        <v/>
      </c>
      <c r="L50" s="14">
        <f>IF(K50="","",1)</f>
        <v/>
      </c>
      <c r="M50" s="11">
        <f>IF(OR(City_Inputs!$Q50="",Norm_Stats!$F$5="",Norm_Stats!$G$5="",Norm_Stats!$G$5=Norm_Stats!$F$5),"",MAX(0,MIN(100,100*(Norm_Stats!$G$5-MIN(MAX(City_Inputs!$Q50,Norm_Stats!$F$5),Norm_Stats!$G$5))/(Norm_Stats!$G$5-Norm_Stats!$F$5))))</f>
        <v/>
      </c>
      <c r="N50" s="14">
        <f>IF(M50="","",1)</f>
        <v/>
      </c>
      <c r="O50" s="11">
        <f>IF(OR(City_Inputs!$R50="",Norm_Stats!$F$6="",Norm_Stats!$G$6="",Norm_Stats!$G$6=Norm_Stats!$F$6),"",MAX(0,MIN(100,100*(Norm_Stats!$G$6-MIN(MAX(City_Inputs!$R50,Norm_Stats!$F$6),Norm_Stats!$G$6))/(Norm_Stats!$G$6-Norm_Stats!$F$6))))</f>
        <v/>
      </c>
      <c r="P50" s="14">
        <f>IF(O50="","",1)</f>
        <v/>
      </c>
      <c r="Q50" s="15">
        <f>IF((IF(G50="",0,9)+IF(I50="",0,5)+IF(K50="",0,4)+IF(M50="",0,4)+IF(O50="",0,5))=0,"",(IF(G50="",0,G50*9)+IF(I50="",0,I50*5)+IF(K50="",0,K50*4)+IF(M50="",0,M50*4)+IF(O50="",0,O50*5))/(IF(G50="",0,9)+IF(I50="",0,5)+IF(K50="",0,4)+IF(M50="",0,4)+IF(O50="",0,5)))</f>
        <v/>
      </c>
      <c r="R50" s="14">
        <f>IF((IF(H50="",0,9)+IF(J50="",0,5)+IF(L50="",0,4)+IF(N50="",0,4)+IF(P50="",0,5))=0,"",(IF(H50="",0,H50*9)+IF(J50="",0,J50*5)+IF(L50="",0,L50*4)+IF(N50="",0,N50*4)+IF(P50="",0,P50*5))/27)</f>
        <v/>
      </c>
      <c r="S50" s="11">
        <f>IF(OR(City_Inputs!$S50="",Norm_Stats!$F$7="",Norm_Stats!$G$7="",Norm_Stats!$G$7=Norm_Stats!$F$7),"",MAX(0,MIN(100,100*(Norm_Stats!$G$7-MIN(MAX(City_Inputs!$S50,Norm_Stats!$F$7),Norm_Stats!$G$7))/(Norm_Stats!$G$7-Norm_Stats!$F$7))))</f>
        <v/>
      </c>
      <c r="T50" s="14">
        <f>IF(S50="","",1)</f>
        <v/>
      </c>
      <c r="U50" s="11">
        <f>IF(OR(City_Inputs!$T50="",Norm_Stats!$F$8="",Norm_Stats!$G$8="",Norm_Stats!$G$8=Norm_Stats!$F$8),"",MAX(0,MIN(100,100*(MIN(MAX(City_Inputs!$T50,Norm_Stats!$F$8),Norm_Stats!$G$8)-Norm_Stats!$F$8)/(Norm_Stats!$G$8-Norm_Stats!$F$8))))</f>
        <v/>
      </c>
      <c r="V50" s="14">
        <f>IF(U50="","",1)</f>
        <v/>
      </c>
      <c r="W50" s="11">
        <f>IF(OR(City_Inputs!$U50="",Norm_Stats!$F$9="",Norm_Stats!$G$9="",Norm_Stats!$G$9=Norm_Stats!$F$9),"",MAX(0,MIN(100,100*(Norm_Stats!$G$9-MIN(MAX(City_Inputs!$U50,Norm_Stats!$F$9),Norm_Stats!$G$9))/(Norm_Stats!$G$9-Norm_Stats!$F$9))))</f>
        <v/>
      </c>
      <c r="X50" s="14">
        <f>IF(W50="","",1)</f>
        <v/>
      </c>
      <c r="Y50" s="11">
        <f>IF(OR(City_Inputs!$V50="",Norm_Stats!$F$10="",Norm_Stats!$G$10="",Norm_Stats!$G$10=Norm_Stats!$F$10),"",MAX(0,MIN(100,100*(MIN(MAX(City_Inputs!$V50,Norm_Stats!$F$10),Norm_Stats!$G$10)-Norm_Stats!$F$10)/(Norm_Stats!$G$10-Norm_Stats!$F$10))))</f>
        <v/>
      </c>
      <c r="Z50" s="14">
        <f>IF(Y50="","",1)</f>
        <v/>
      </c>
      <c r="AA50" s="11">
        <f>IF(OR(City_Inputs!$W50="",Norm_Stats!$F$11="",Norm_Stats!$G$11="",Norm_Stats!$G$11=Norm_Stats!$F$11),"",MAX(0,MIN(100,100*(MIN(MAX(City_Inputs!$W50,Norm_Stats!$F$11),Norm_Stats!$G$11)-Norm_Stats!$F$11)/(Norm_Stats!$G$11-Norm_Stats!$F$11))))</f>
        <v/>
      </c>
      <c r="AB50" s="14">
        <f>IF(AA50="","",1)</f>
        <v/>
      </c>
      <c r="AC50" s="11">
        <f>IF(OR(City_Inputs!$X50="",Norm_Stats!$F$12="",Norm_Stats!$G$12="",Norm_Stats!$G$12=Norm_Stats!$F$12),"",MAX(0,MIN(100,100*(MIN(MAX(City_Inputs!$X50,Norm_Stats!$F$12),Norm_Stats!$G$12)-Norm_Stats!$F$12)/(Norm_Stats!$G$12-Norm_Stats!$F$12))))</f>
        <v/>
      </c>
      <c r="AD50" s="11">
        <f>IF(AC50="","",1)</f>
        <v/>
      </c>
      <c r="AE50" s="15">
        <f>IF((IF(S50="",0,5)+IF(U50="",0,5)+IF(W50="",0,4)+IF(Y50="",0,4)+IF(AA50="",0,4)+IF(AC50="",0,5))=0,"",(IF(S50="",0,S50*5)+IF(U50="",0,U50*5)+IF(W50="",0,W50*4)+IF(Y50="",0,Y50*4)+IF(AA50="",0,AA50*4)+IF(AC50="",0,AC50*5))/(IF(S50="",0,5)+IF(U50="",0,5)+IF(W50="",0,4)+IF(Y50="",0,4)+IF(AA50="",0,4)+IF(AC50="",0,5)))</f>
        <v/>
      </c>
      <c r="AF50" s="14">
        <f>IF((IF(T50="",0,5)+IF(V50="",0,5)+IF(X50="",0,4)+IF(Z50="",0,4)+IF(AB50="",0,4)+IF(AD50="",0,5))=0,"",(IF(T50="",0,T50*5)+IF(V50="",0,V50*5)+IF(X50="",0,X50*4)+IF(Z50="",0,Z50*4)+IF(AB50="",0,AB50*4)+IF(AD50="",0,AD50*5))/27)</f>
        <v/>
      </c>
      <c r="AG50" s="11">
        <f>IF(OR(City_Inputs!$Y50="",Norm_Stats!$F$13="",Norm_Stats!$G$13="",Norm_Stats!$G$13=Norm_Stats!$F$13),"",MAX(0,MIN(100,100*(MIN(MAX(City_Inputs!$Y50,Norm_Stats!$F$13),Norm_Stats!$G$13)-Norm_Stats!$F$13)/(Norm_Stats!$G$13-Norm_Stats!$F$13))))</f>
        <v/>
      </c>
      <c r="AH50" s="14">
        <f>IF(AG50="","",1)</f>
        <v/>
      </c>
      <c r="AI50" s="11">
        <f>IF(OR(City_Inputs!$Z50="",Norm_Stats!$F$14="",Norm_Stats!$G$14="",Norm_Stats!$G$14=Norm_Stats!$F$14),"",MAX(0,MIN(100,100*(MIN(MAX(City_Inputs!$Z50,Norm_Stats!$F$14),Norm_Stats!$G$14)-Norm_Stats!$F$14)/(Norm_Stats!$G$14-Norm_Stats!$F$14))))</f>
        <v/>
      </c>
      <c r="AJ50" s="14">
        <f>IF(AI50="","",1)</f>
        <v/>
      </c>
      <c r="AK50" s="11">
        <f>IF((IF((IF(OR(City_Inputs!$AA50="",Norm_Stats!$F$15="",Norm_Stats!$G$15="",Norm_Stats!$G$15=Norm_Stats!$F$15),"",MAX(0,MIN(100,100*(MIN(MAX(City_Inputs!$AA50,Norm_Stats!$F$15),Norm_Stats!$G$15)-Norm_Stats!$F$15)/(Norm_Stats!$G$15-Norm_Stats!$F$15)))))="",0,0.7)+IF((IF(OR(City_Inputs!$AL50="",Norm_Stats!$F$16="",Norm_Stats!$G$16="",Norm_Stats!$G$16=Norm_Stats!$F$16),"",MAX(0,MIN(100,100*(Norm_Stats!$G$16-MIN(MAX(City_Inputs!$AL50,Norm_Stats!$F$16),Norm_Stats!$G$16))/(Norm_Stats!$G$16-Norm_Stats!$F$16)))))="",0,0.3))=0,"",(IF((IF(OR(City_Inputs!$AA50="",Norm_Stats!$F$15="",Norm_Stats!$G$15="",Norm_Stats!$G$15=Norm_Stats!$F$15),"",MAX(0,MIN(100,100*(MIN(MAX(City_Inputs!$AA50,Norm_Stats!$F$15),Norm_Stats!$G$15)-Norm_Stats!$F$15)/(Norm_Stats!$G$15-Norm_Stats!$F$15)))))="",0,(IF(OR(City_Inputs!$AA50="",Norm_Stats!$F$15="",Norm_Stats!$G$15="",Norm_Stats!$G$15=Norm_Stats!$F$15),"",MAX(0,MIN(100,100*(MIN(MAX(City_Inputs!$AA50,Norm_Stats!$F$15),Norm_Stats!$G$15)-Norm_Stats!$F$15)/(Norm_Stats!$G$15-Norm_Stats!$F$15)))))*0.7)+IF((IF(OR(City_Inputs!$AL50="",Norm_Stats!$F$16="",Norm_Stats!$G$16="",Norm_Stats!$G$16=Norm_Stats!$F$16),"",MAX(0,MIN(100,100*(Norm_Stats!$G$16-MIN(MAX(City_Inputs!$AL50,Norm_Stats!$F$16),Norm_Stats!$G$16))/(Norm_Stats!$G$16-Norm_Stats!$F$16)))))="",0,(IF(OR(City_Inputs!$AL50="",Norm_Stats!$F$16="",Norm_Stats!$G$16="",Norm_Stats!$G$16=Norm_Stats!$F$16),"",MAX(0,MIN(100,100*(Norm_Stats!$G$16-MIN(MAX(City_Inputs!$AL50,Norm_Stats!$F$16),Norm_Stats!$G$16))/(Norm_Stats!$G$16-Norm_Stats!$F$16)))))*0.3))/(IF((IF(OR(City_Inputs!$AA50="",Norm_Stats!$F$15="",Norm_Stats!$G$15="",Norm_Stats!$G$15=Norm_Stats!$F$15),"",MAX(0,MIN(100,100*(MIN(MAX(City_Inputs!$AA50,Norm_Stats!$F$15),Norm_Stats!$G$15)-Norm_Stats!$F$15)/(Norm_Stats!$G$15-Norm_Stats!$F$15)))))="",0,0.7)+IF((IF(OR(City_Inputs!$AL50="",Norm_Stats!$F$16="",Norm_Stats!$G$16="",Norm_Stats!$G$16=Norm_Stats!$F$16),"",MAX(0,MIN(100,100*(Norm_Stats!$G$16-MIN(MAX(City_Inputs!$AL50,Norm_Stats!$F$16),Norm_Stats!$G$16))/(Norm_Stats!$G$16-Norm_Stats!$F$16)))))="",0,0.3)))</f>
        <v/>
      </c>
      <c r="AL50" s="14">
        <f>IF((IF((IF(OR(City_Inputs!$AA50="",Norm_Stats!$F$15="",Norm_Stats!$G$15="",Norm_Stats!$G$15=Norm_Stats!$F$15),"",MAX(0,MIN(100,100*(MIN(MAX(City_Inputs!$AA50,Norm_Stats!$F$15),Norm_Stats!$G$15)-Norm_Stats!$F$15)/(Norm_Stats!$G$15-Norm_Stats!$F$15)))))="",0,0.7)+IF((IF(OR(City_Inputs!$AL50="",Norm_Stats!$F$16="",Norm_Stats!$G$16="",Norm_Stats!$G$16=Norm_Stats!$F$16),"",MAX(0,MIN(100,100*(Norm_Stats!$G$16-MIN(MAX(City_Inputs!$AL50,Norm_Stats!$F$16),Norm_Stats!$G$16))/(Norm_Stats!$G$16-Norm_Stats!$F$16)))))="",0,0.3))=0,"",(IF((IF(OR(City_Inputs!$AA50="",Norm_Stats!$F$15="",Norm_Stats!$G$15="",Norm_Stats!$G$15=Norm_Stats!$F$15),"",MAX(0,MIN(100,100*(MIN(MAX(City_Inputs!$AA50,Norm_Stats!$F$15),Norm_Stats!$G$15)-Norm_Stats!$F$15)/(Norm_Stats!$G$15-Norm_Stats!$F$15)))))="",0,0.7)+IF((IF(OR(City_Inputs!$AL50="",Norm_Stats!$F$16="",Norm_Stats!$G$16="",Norm_Stats!$G$16=Norm_Stats!$F$16),"",MAX(0,MIN(100,100*(Norm_Stats!$G$16-MIN(MAX(City_Inputs!$AL50,Norm_Stats!$F$16),Norm_Stats!$G$16))/(Norm_Stats!$G$16-Norm_Stats!$F$16)))))="",0,0.3)))</f>
        <v/>
      </c>
      <c r="AM50" s="15">
        <f>IF((IF(AG50="",0,8)+IF(AI50="",0,6)+IF(AK50="",0,4))=0,"",(IF(AG50="",0,AG50*8)+IF(AI50="",0,AI50*6)+IF(AK50="",0,AK50*4))/(IF(AG50="",0,8)+IF(AI50="",0,6)+IF(AK50="",0,4)))</f>
        <v/>
      </c>
      <c r="AN50" s="14">
        <f>IF((IF(AH50="",0,8)+IF(AJ50="",0,6)+IF(AL50="",0,4))=0,"",(IF(AH50="",0,AH50*8)+IF(AJ50="",0,AJ50*6)+IF(AL50="",0,AL50*4))/18)</f>
        <v/>
      </c>
      <c r="AO50" s="11">
        <f>IF(OR(City_Inputs!$AB50="",Norm_Stats!$F$17="",Norm_Stats!$G$17="",Norm_Stats!$G$17=Norm_Stats!$F$17),"",MAX(0,MIN(100,100*(MIN(MAX(City_Inputs!$AB50,Norm_Stats!$F$17),Norm_Stats!$G$17)-Norm_Stats!$F$17)/(Norm_Stats!$G$17-Norm_Stats!$F$17))))</f>
        <v/>
      </c>
      <c r="AP50" s="14">
        <f>IF(AO50="","",1)</f>
        <v/>
      </c>
      <c r="AQ50" s="11">
        <f>IF(OR(City_Inputs!$AC50="",Norm_Stats!$F$18="",Norm_Stats!$G$18="",Norm_Stats!$G$18=Norm_Stats!$F$18),"",MAX(0,MIN(100,100*(MIN(MAX(City_Inputs!$AC50,Norm_Stats!$F$18),Norm_Stats!$G$18)-Norm_Stats!$F$18)/(Norm_Stats!$G$18-Norm_Stats!$F$18))))</f>
        <v/>
      </c>
      <c r="AR50" s="14">
        <f>IF(AQ50="","",1)</f>
        <v/>
      </c>
      <c r="AS50" s="11">
        <f>IF(OR(City_Inputs!$AD50="",Norm_Stats!$F$19="",Norm_Stats!$G$19="",Norm_Stats!$G$19=Norm_Stats!$F$19),"",MAX(0,MIN(100,100*(MIN(MAX(City_Inputs!$AD50,Norm_Stats!$F$19),Norm_Stats!$G$19)-Norm_Stats!$F$19)/(Norm_Stats!$G$19-Norm_Stats!$F$19))))</f>
        <v/>
      </c>
      <c r="AT50" s="14">
        <f>IF(AS50="","",1)</f>
        <v/>
      </c>
      <c r="AU50" s="11">
        <f>IF(OR(City_Inputs!$BJ50="",Norm_Stats!$F$26="",Norm_Stats!$G$26="",Norm_Stats!$G$26=Norm_Stats!$F$26),"",MAX(0,MIN(100,100*(MIN(MAX(City_Inputs!$BJ50,Norm_Stats!$F$26),Norm_Stats!$G$26)-Norm_Stats!$F$26)/(Norm_Stats!$G$26-Norm_Stats!$F$26))))</f>
        <v/>
      </c>
      <c r="AV50" s="11">
        <f>IF(AU50="","",1)</f>
        <v/>
      </c>
      <c r="AW50" s="15">
        <f>IF((IF(AO50="",0,5)+IF(AQ50="",0,5)+IF(AS50="",0,5)+IF(AU50="",0,4))=0,"",(IF(AO50="",0,AO50*5)+IF(AQ50="",0,AQ50*5)+IF(AS50="",0,AS50*5)+IF(AU50="",0,AU50*4))/(IF(AO50="",0,5)+IF(AQ50="",0,5)+IF(AS50="",0,5)+IF(AU50="",0,4)))</f>
        <v/>
      </c>
      <c r="AX50" s="14">
        <f>IF((IF(AP50="",0,5)+IF(AR50="",0,5)+IF(AT50="",0,5)+IF(AV50="",0,4))=0,"",(IF(AP50="",0,AP50*5)+IF(AR50="",0,AR50*5)+IF(AT50="",0,AT50*5)+IF(AV50="",0,AV50*4))/19)</f>
        <v/>
      </c>
      <c r="AY50" s="11">
        <f>IF(OR(City_Inputs!$AE50="",Norm_Stats!$F$20="",Norm_Stats!$G$20="",Norm_Stats!$G$20=Norm_Stats!$F$20),"",MAX(0,MIN(100,100*(MIN(MAX(City_Inputs!$AE50,Norm_Stats!$F$20),Norm_Stats!$G$20)-Norm_Stats!$F$20)/(Norm_Stats!$G$20-Norm_Stats!$F$20))))</f>
        <v/>
      </c>
      <c r="AZ50" s="14">
        <f>IF(AY50="","",1)</f>
        <v/>
      </c>
      <c r="BA50" s="11">
        <f>IF(OR(City_Inputs!$AF50="",Norm_Stats!$F$21="",Norm_Stats!$G$21="",Norm_Stats!$G$21=Norm_Stats!$F$21),"",MAX(0,MIN(100,100*(MIN(MAX(City_Inputs!$AF50,Norm_Stats!$F$21),Norm_Stats!$G$21)-Norm_Stats!$F$21)/(Norm_Stats!$G$21-Norm_Stats!$F$21))))</f>
        <v/>
      </c>
      <c r="BB50" s="14">
        <f>IF(BA50="","",1)</f>
        <v/>
      </c>
      <c r="BC50" s="11">
        <f>IF((IF((IF(OR(City_Inputs!$AG50="",Norm_Stats!$F$22="",Norm_Stats!$G$22="",Norm_Stats!$G$22=Norm_Stats!$F$22),"",MAX(0,MIN(100,100*(MIN(MAX(City_Inputs!$AG50,Norm_Stats!$F$22),Norm_Stats!$G$22)-Norm_Stats!$F$22)/(Norm_Stats!$G$22-Norm_Stats!$F$22)))))="",0,0.5)+IF((IF(OR(City_Inputs!$AJ50="",Norm_Stats!$F$23="",Norm_Stats!$G$23="",Norm_Stats!$G$23=Norm_Stats!$F$23),"",MAX(0,MIN(100,100*(MIN(MAX(City_Inputs!$AJ50,Norm_Stats!$F$23),Norm_Stats!$G$23)-Norm_Stats!$F$23)/(Norm_Stats!$G$23-Norm_Stats!$F$23)))))="",0,0.3)+IF((IF(OR(City_Inputs!$AK50="",Norm_Stats!$F$24="",Norm_Stats!$G$24="",Norm_Stats!$G$24=Norm_Stats!$F$24),"",MAX(0,MIN(100,100*(MIN(MAX(City_Inputs!$AK50,Norm_Stats!$F$24),Norm_Stats!$G$24)-Norm_Stats!$F$24)/(Norm_Stats!$G$24-Norm_Stats!$F$24)))))="",0,0.2))=0,"",(IF((IF(OR(City_Inputs!$AG50="",Norm_Stats!$F$22="",Norm_Stats!$G$22="",Norm_Stats!$G$22=Norm_Stats!$F$22),"",MAX(0,MIN(100,100*(MIN(MAX(City_Inputs!$AG50,Norm_Stats!$F$22),Norm_Stats!$G$22)-Norm_Stats!$F$22)/(Norm_Stats!$G$22-Norm_Stats!$F$22)))))="",0,(IF(OR(City_Inputs!$AG50="",Norm_Stats!$F$22="",Norm_Stats!$G$22="",Norm_Stats!$G$22=Norm_Stats!$F$22),"",MAX(0,MIN(100,100*(MIN(MAX(City_Inputs!$AG50,Norm_Stats!$F$22),Norm_Stats!$G$22)-Norm_Stats!$F$22)/(Norm_Stats!$G$22-Norm_Stats!$F$22)))))*0.5)+IF((IF(OR(City_Inputs!$AJ50="",Norm_Stats!$F$23="",Norm_Stats!$G$23="",Norm_Stats!$G$23=Norm_Stats!$F$23),"",MAX(0,MIN(100,100*(MIN(MAX(City_Inputs!$AJ50,Norm_Stats!$F$23),Norm_Stats!$G$23)-Norm_Stats!$F$23)/(Norm_Stats!$G$23-Norm_Stats!$F$23)))))="",0,(IF(OR(City_Inputs!$AJ50="",Norm_Stats!$F$23="",Norm_Stats!$G$23="",Norm_Stats!$G$23=Norm_Stats!$F$23),"",MAX(0,MIN(100,100*(MIN(MAX(City_Inputs!$AJ50,Norm_Stats!$F$23),Norm_Stats!$G$23)-Norm_Stats!$F$23)/(Norm_Stats!$G$23-Norm_Stats!$F$23)))))*0.3)+IF((IF(OR(City_Inputs!$AK50="",Norm_Stats!$F$24="",Norm_Stats!$G$24="",Norm_Stats!$G$24=Norm_Stats!$F$24),"",MAX(0,MIN(100,100*(MIN(MAX(City_Inputs!$AK50,Norm_Stats!$F$24),Norm_Stats!$G$24)-Norm_Stats!$F$24)/(Norm_Stats!$G$24-Norm_Stats!$F$24)))))="",0,(IF(OR(City_Inputs!$AK50="",Norm_Stats!$F$24="",Norm_Stats!$G$24="",Norm_Stats!$G$24=Norm_Stats!$F$24),"",MAX(0,MIN(100,100*(MIN(MAX(City_Inputs!$AK50,Norm_Stats!$F$24),Norm_Stats!$G$24)-Norm_Stats!$F$24)/(Norm_Stats!$G$24-Norm_Stats!$F$24)))))*0.2))/(IF((IF(OR(City_Inputs!$AG50="",Norm_Stats!$F$22="",Norm_Stats!$G$22="",Norm_Stats!$G$22=Norm_Stats!$F$22),"",MAX(0,MIN(100,100*(MIN(MAX(City_Inputs!$AG50,Norm_Stats!$F$22),Norm_Stats!$G$22)-Norm_Stats!$F$22)/(Norm_Stats!$G$22-Norm_Stats!$F$22)))))="",0,0.5)+IF((IF(OR(City_Inputs!$AJ50="",Norm_Stats!$F$23="",Norm_Stats!$G$23="",Norm_Stats!$G$23=Norm_Stats!$F$23),"",MAX(0,MIN(100,100*(MIN(MAX(City_Inputs!$AJ50,Norm_Stats!$F$23),Norm_Stats!$G$23)-Norm_Stats!$F$23)/(Norm_Stats!$G$23-Norm_Stats!$F$23)))))="",0,0.3)+IF((IF(OR(City_Inputs!$AK50="",Norm_Stats!$F$24="",Norm_Stats!$G$24="",Norm_Stats!$G$24=Norm_Stats!$F$24),"",MAX(0,MIN(100,100*(MIN(MAX(City_Inputs!$AK50,Norm_Stats!$F$24),Norm_Stats!$G$24)-Norm_Stats!$F$24)/(Norm_Stats!$G$24-Norm_Stats!$F$24)))))="",0,0.2)))</f>
        <v/>
      </c>
      <c r="BD50" s="14">
        <f>IF((IF((IF(OR(City_Inputs!$AG50="",Norm_Stats!$F$22="",Norm_Stats!$G$22="",Norm_Stats!$G$22=Norm_Stats!$F$22),"",MAX(0,MIN(100,100*(MIN(MAX(City_Inputs!$AG50,Norm_Stats!$F$22),Norm_Stats!$G$22)-Norm_Stats!$F$22)/(Norm_Stats!$G$22-Norm_Stats!$F$22)))))="",0,0.5)+IF((IF(OR(City_Inputs!$AJ50="",Norm_Stats!$F$23="",Norm_Stats!$G$23="",Norm_Stats!$G$23=Norm_Stats!$F$23),"",MAX(0,MIN(100,100*(MIN(MAX(City_Inputs!$AJ50,Norm_Stats!$F$23),Norm_Stats!$G$23)-Norm_Stats!$F$23)/(Norm_Stats!$G$23-Norm_Stats!$F$23)))))="",0,0.3)+IF((IF(OR(City_Inputs!$AK50="",Norm_Stats!$F$24="",Norm_Stats!$G$24="",Norm_Stats!$G$24=Norm_Stats!$F$24),"",MAX(0,MIN(100,100*(MIN(MAX(City_Inputs!$AK50,Norm_Stats!$F$24),Norm_Stats!$G$24)-Norm_Stats!$F$24)/(Norm_Stats!$G$24-Norm_Stats!$F$24)))))="",0,0.2))=0,"",(IF((IF(OR(City_Inputs!$AG50="",Norm_Stats!$F$22="",Norm_Stats!$G$22="",Norm_Stats!$G$22=Norm_Stats!$F$22),"",MAX(0,MIN(100,100*(MIN(MAX(City_Inputs!$AG50,Norm_Stats!$F$22),Norm_Stats!$G$22)-Norm_Stats!$F$22)/(Norm_Stats!$G$22-Norm_Stats!$F$22)))))="",0,0.5)+IF((IF(OR(City_Inputs!$AJ50="",Norm_Stats!$F$23="",Norm_Stats!$G$23="",Norm_Stats!$G$23=Norm_Stats!$F$23),"",MAX(0,MIN(100,100*(MIN(MAX(City_Inputs!$AJ50,Norm_Stats!$F$23),Norm_Stats!$G$23)-Norm_Stats!$F$23)/(Norm_Stats!$G$23-Norm_Stats!$F$23)))))="",0,0.3)+IF((IF(OR(City_Inputs!$AK50="",Norm_Stats!$F$24="",Norm_Stats!$G$24="",Norm_Stats!$G$24=Norm_Stats!$F$24),"",MAX(0,MIN(100,100*(MIN(MAX(City_Inputs!$AK50,Norm_Stats!$F$24),Norm_Stats!$G$24)-Norm_Stats!$F$24)/(Norm_Stats!$G$24-Norm_Stats!$F$24)))))="",0,0.2)))</f>
        <v/>
      </c>
      <c r="BE50" s="11">
        <f>IF(OR(City_Inputs!$AH50="",Norm_Stats!$F$25="",Norm_Stats!$G$25="",Norm_Stats!$G$25=Norm_Stats!$F$25),"",MAX(0,MIN(100,100*(Norm_Stats!$G$25-MIN(MAX(City_Inputs!$AH50,Norm_Stats!$F$25),Norm_Stats!$G$25))/(Norm_Stats!$G$25-Norm_Stats!$F$25))))</f>
        <v/>
      </c>
      <c r="BF50" s="14">
        <f>IF(BE50="","",1)</f>
        <v/>
      </c>
      <c r="BG50" s="15">
        <f>IF((IF(AY50="",0,6)+IF(BA50="",0,5)+IF(BC50="",0,5)+IF(BE50="",0,4))=0,"",(IF(AY50="",0,AY50*6)+IF(BA50="",0,BA50*5)+IF(BC50="",0,BC50*5)+IF(BE50="",0,BE50*4))/(IF(AY50="",0,6)+IF(BA50="",0,5)+IF(BC50="",0,5)+IF(BE50="",0,4)))</f>
        <v/>
      </c>
      <c r="BH50" s="14">
        <f>IF((IF(AZ50="",0,6)+IF(BB50="",0,5)+IF(BD50="",0,5)+IF(BF50="",0,4))=0,"",(IF(AZ50="",0,AZ50*6)+IF(BB50="",0,BB50*5)+IF(BD50="",0,BD50*5)+IF(BF50="",0,BF50*4))/20)</f>
        <v/>
      </c>
      <c r="BI50" s="14">
        <f>IF(AND(R50="",AF50="",AN50="",AX50="",BH50=""),"",((R50*25)+(AF50*22)+(AN50*18)+(AX50*15)+(BH50*20))/100)</f>
        <v/>
      </c>
      <c r="BJ50" s="11">
        <f>IF(BI50="","",IF(BI50&gt;=0.75,"A",IF(BI50&gt;=0.5,"B",IF(BI50&gt;=0.35,"C","Watchlist"))))</f>
        <v/>
      </c>
      <c r="BK50" s="11">
        <f>IF(OR(BI50="",BI50&lt;0.5,R50="",R50&lt;0.35,AF50="",AF50&lt;0.35,AN50="",AN50&lt;0.35,AX50="",AX50&lt;0.35,BH50="",BH50&lt;0.35),"Watchlist","Ranked")</f>
        <v/>
      </c>
      <c r="BL50" s="15">
        <f>IF(AND(Q50="",AE50="",AM50="",AW50="",BG50=""),"",(IF(Q50="",0,Q50*25)+IF(AE50="",0,AE50*22)+IF(AM50="",0,AM50*18)+IF(AW50="",0,AW50*15)+IF(BG50="",0,BG50*20))/(IF(Q50="",0,25)+IF(AE50="",0,22)+IF(AM50="",0,18)+IF(AW50="",0,15)+IF(BG50="",0,20)))</f>
        <v/>
      </c>
      <c r="BM50" s="11">
        <f>IF(BK50="Ranked",1+COUNTIFS($BK$2:$BK$158,"Ranked",$BL$2:$BL$158,"&gt;"&amp;BL50),"")</f>
        <v/>
      </c>
      <c r="BN50" s="11">
        <f>City_Inputs!$AI50</f>
        <v/>
      </c>
    </row>
    <row r="51">
      <c r="A51" t="inlineStr">
        <is>
          <t>ru-moscow</t>
        </is>
      </c>
      <c r="B51" t="inlineStr">
        <is>
          <t>Moscow</t>
        </is>
      </c>
      <c r="C51" t="inlineStr">
        <is>
          <t>Russia</t>
        </is>
      </c>
      <c r="D51" t="inlineStr">
        <is>
          <t>Southern/Eastern Europe and Eurasia</t>
        </is>
      </c>
      <c r="E51" t="inlineStr">
        <is>
          <t>locked</t>
        </is>
      </c>
      <c r="F51" t="inlineStr">
        <is>
          <t>primary</t>
        </is>
      </c>
      <c r="G51" s="11">
        <f>IF(OR(City_Inputs!$M51="",Norm_Stats!$F$2="",Norm_Stats!$G$2="",Norm_Stats!$G$2=Norm_Stats!$F$2),"",MAX(0,MIN(100,100*(MIN(MAX(City_Inputs!$M51,Norm_Stats!$F$2),Norm_Stats!$G$2)-Norm_Stats!$F$2)/(Norm_Stats!$G$2-Norm_Stats!$F$2))))</f>
        <v/>
      </c>
      <c r="H51" s="14">
        <f>IF(G51="","",1)</f>
        <v/>
      </c>
      <c r="I51" s="11">
        <f>IF(OR(City_Inputs!$N51="",Norm_Stats!$F$3="",Norm_Stats!$G$3="",Norm_Stats!$G$3=Norm_Stats!$F$3),"",MAX(0,MIN(100,100*(Norm_Stats!$G$3-MIN(MAX(City_Inputs!$N51,Norm_Stats!$F$3),Norm_Stats!$G$3))/(Norm_Stats!$G$3-Norm_Stats!$F$3))))</f>
        <v/>
      </c>
      <c r="J51" s="14">
        <f>IF(I51="","",1)</f>
        <v/>
      </c>
      <c r="K51" s="11">
        <f>IF(OR(City_Inputs!$P51="",Norm_Stats!$F$4="",Norm_Stats!$G$4="",Norm_Stats!$G$4=Norm_Stats!$F$4),"",MAX(0,MIN(100,100*(Norm_Stats!$G$4-MIN(MAX(City_Inputs!$P51,Norm_Stats!$F$4),Norm_Stats!$G$4))/(Norm_Stats!$G$4-Norm_Stats!$F$4))))</f>
        <v/>
      </c>
      <c r="L51" s="14">
        <f>IF(K51="","",1)</f>
        <v/>
      </c>
      <c r="M51" s="11">
        <f>IF(OR(City_Inputs!$Q51="",Norm_Stats!$F$5="",Norm_Stats!$G$5="",Norm_Stats!$G$5=Norm_Stats!$F$5),"",MAX(0,MIN(100,100*(Norm_Stats!$G$5-MIN(MAX(City_Inputs!$Q51,Norm_Stats!$F$5),Norm_Stats!$G$5))/(Norm_Stats!$G$5-Norm_Stats!$F$5))))</f>
        <v/>
      </c>
      <c r="N51" s="14">
        <f>IF(M51="","",1)</f>
        <v/>
      </c>
      <c r="O51" s="11">
        <f>IF(OR(City_Inputs!$R51="",Norm_Stats!$F$6="",Norm_Stats!$G$6="",Norm_Stats!$G$6=Norm_Stats!$F$6),"",MAX(0,MIN(100,100*(Norm_Stats!$G$6-MIN(MAX(City_Inputs!$R51,Norm_Stats!$F$6),Norm_Stats!$G$6))/(Norm_Stats!$G$6-Norm_Stats!$F$6))))</f>
        <v/>
      </c>
      <c r="P51" s="14">
        <f>IF(O51="","",1)</f>
        <v/>
      </c>
      <c r="Q51" s="15">
        <f>IF((IF(G51="",0,9)+IF(I51="",0,5)+IF(K51="",0,4)+IF(M51="",0,4)+IF(O51="",0,5))=0,"",(IF(G51="",0,G51*9)+IF(I51="",0,I51*5)+IF(K51="",0,K51*4)+IF(M51="",0,M51*4)+IF(O51="",0,O51*5))/(IF(G51="",0,9)+IF(I51="",0,5)+IF(K51="",0,4)+IF(M51="",0,4)+IF(O51="",0,5)))</f>
        <v/>
      </c>
      <c r="R51" s="14">
        <f>IF((IF(H51="",0,9)+IF(J51="",0,5)+IF(L51="",0,4)+IF(N51="",0,4)+IF(P51="",0,5))=0,"",(IF(H51="",0,H51*9)+IF(J51="",0,J51*5)+IF(L51="",0,L51*4)+IF(N51="",0,N51*4)+IF(P51="",0,P51*5))/27)</f>
        <v/>
      </c>
      <c r="S51" s="11">
        <f>IF(OR(City_Inputs!$S51="",Norm_Stats!$F$7="",Norm_Stats!$G$7="",Norm_Stats!$G$7=Norm_Stats!$F$7),"",MAX(0,MIN(100,100*(Norm_Stats!$G$7-MIN(MAX(City_Inputs!$S51,Norm_Stats!$F$7),Norm_Stats!$G$7))/(Norm_Stats!$G$7-Norm_Stats!$F$7))))</f>
        <v/>
      </c>
      <c r="T51" s="14">
        <f>IF(S51="","",1)</f>
        <v/>
      </c>
      <c r="U51" s="11">
        <f>IF(OR(City_Inputs!$T51="",Norm_Stats!$F$8="",Norm_Stats!$G$8="",Norm_Stats!$G$8=Norm_Stats!$F$8),"",MAX(0,MIN(100,100*(MIN(MAX(City_Inputs!$T51,Norm_Stats!$F$8),Norm_Stats!$G$8)-Norm_Stats!$F$8)/(Norm_Stats!$G$8-Norm_Stats!$F$8))))</f>
        <v/>
      </c>
      <c r="V51" s="14">
        <f>IF(U51="","",1)</f>
        <v/>
      </c>
      <c r="W51" s="11">
        <f>IF(OR(City_Inputs!$U51="",Norm_Stats!$F$9="",Norm_Stats!$G$9="",Norm_Stats!$G$9=Norm_Stats!$F$9),"",MAX(0,MIN(100,100*(Norm_Stats!$G$9-MIN(MAX(City_Inputs!$U51,Norm_Stats!$F$9),Norm_Stats!$G$9))/(Norm_Stats!$G$9-Norm_Stats!$F$9))))</f>
        <v/>
      </c>
      <c r="X51" s="14">
        <f>IF(W51="","",1)</f>
        <v/>
      </c>
      <c r="Y51" s="11">
        <f>IF(OR(City_Inputs!$V51="",Norm_Stats!$F$10="",Norm_Stats!$G$10="",Norm_Stats!$G$10=Norm_Stats!$F$10),"",MAX(0,MIN(100,100*(MIN(MAX(City_Inputs!$V51,Norm_Stats!$F$10),Norm_Stats!$G$10)-Norm_Stats!$F$10)/(Norm_Stats!$G$10-Norm_Stats!$F$10))))</f>
        <v/>
      </c>
      <c r="Z51" s="14">
        <f>IF(Y51="","",1)</f>
        <v/>
      </c>
      <c r="AA51" s="11">
        <f>IF(OR(City_Inputs!$W51="",Norm_Stats!$F$11="",Norm_Stats!$G$11="",Norm_Stats!$G$11=Norm_Stats!$F$11),"",MAX(0,MIN(100,100*(MIN(MAX(City_Inputs!$W51,Norm_Stats!$F$11),Norm_Stats!$G$11)-Norm_Stats!$F$11)/(Norm_Stats!$G$11-Norm_Stats!$F$11))))</f>
        <v/>
      </c>
      <c r="AB51" s="14">
        <f>IF(AA51="","",1)</f>
        <v/>
      </c>
      <c r="AC51" s="11">
        <f>IF(OR(City_Inputs!$X51="",Norm_Stats!$F$12="",Norm_Stats!$G$12="",Norm_Stats!$G$12=Norm_Stats!$F$12),"",MAX(0,MIN(100,100*(MIN(MAX(City_Inputs!$X51,Norm_Stats!$F$12),Norm_Stats!$G$12)-Norm_Stats!$F$12)/(Norm_Stats!$G$12-Norm_Stats!$F$12))))</f>
        <v/>
      </c>
      <c r="AD51" s="11">
        <f>IF(AC51="","",1)</f>
        <v/>
      </c>
      <c r="AE51" s="15">
        <f>IF((IF(S51="",0,5)+IF(U51="",0,5)+IF(W51="",0,4)+IF(Y51="",0,4)+IF(AA51="",0,4)+IF(AC51="",0,5))=0,"",(IF(S51="",0,S51*5)+IF(U51="",0,U51*5)+IF(W51="",0,W51*4)+IF(Y51="",0,Y51*4)+IF(AA51="",0,AA51*4)+IF(AC51="",0,AC51*5))/(IF(S51="",0,5)+IF(U51="",0,5)+IF(W51="",0,4)+IF(Y51="",0,4)+IF(AA51="",0,4)+IF(AC51="",0,5)))</f>
        <v/>
      </c>
      <c r="AF51" s="14">
        <f>IF((IF(T51="",0,5)+IF(V51="",0,5)+IF(X51="",0,4)+IF(Z51="",0,4)+IF(AB51="",0,4)+IF(AD51="",0,5))=0,"",(IF(T51="",0,T51*5)+IF(V51="",0,V51*5)+IF(X51="",0,X51*4)+IF(Z51="",0,Z51*4)+IF(AB51="",0,AB51*4)+IF(AD51="",0,AD51*5))/27)</f>
        <v/>
      </c>
      <c r="AG51" s="11">
        <f>IF(OR(City_Inputs!$Y51="",Norm_Stats!$F$13="",Norm_Stats!$G$13="",Norm_Stats!$G$13=Norm_Stats!$F$13),"",MAX(0,MIN(100,100*(MIN(MAX(City_Inputs!$Y51,Norm_Stats!$F$13),Norm_Stats!$G$13)-Norm_Stats!$F$13)/(Norm_Stats!$G$13-Norm_Stats!$F$13))))</f>
        <v/>
      </c>
      <c r="AH51" s="14">
        <f>IF(AG51="","",1)</f>
        <v/>
      </c>
      <c r="AI51" s="11">
        <f>IF(OR(City_Inputs!$Z51="",Norm_Stats!$F$14="",Norm_Stats!$G$14="",Norm_Stats!$G$14=Norm_Stats!$F$14),"",MAX(0,MIN(100,100*(MIN(MAX(City_Inputs!$Z51,Norm_Stats!$F$14),Norm_Stats!$G$14)-Norm_Stats!$F$14)/(Norm_Stats!$G$14-Norm_Stats!$F$14))))</f>
        <v/>
      </c>
      <c r="AJ51" s="14">
        <f>IF(AI51="","",1)</f>
        <v/>
      </c>
      <c r="AK51" s="11">
        <f>IF((IF((IF(OR(City_Inputs!$AA51="",Norm_Stats!$F$15="",Norm_Stats!$G$15="",Norm_Stats!$G$15=Norm_Stats!$F$15),"",MAX(0,MIN(100,100*(MIN(MAX(City_Inputs!$AA51,Norm_Stats!$F$15),Norm_Stats!$G$15)-Norm_Stats!$F$15)/(Norm_Stats!$G$15-Norm_Stats!$F$15)))))="",0,0.7)+IF((IF(OR(City_Inputs!$AL51="",Norm_Stats!$F$16="",Norm_Stats!$G$16="",Norm_Stats!$G$16=Norm_Stats!$F$16),"",MAX(0,MIN(100,100*(Norm_Stats!$G$16-MIN(MAX(City_Inputs!$AL51,Norm_Stats!$F$16),Norm_Stats!$G$16))/(Norm_Stats!$G$16-Norm_Stats!$F$16)))))="",0,0.3))=0,"",(IF((IF(OR(City_Inputs!$AA51="",Norm_Stats!$F$15="",Norm_Stats!$G$15="",Norm_Stats!$G$15=Norm_Stats!$F$15),"",MAX(0,MIN(100,100*(MIN(MAX(City_Inputs!$AA51,Norm_Stats!$F$15),Norm_Stats!$G$15)-Norm_Stats!$F$15)/(Norm_Stats!$G$15-Norm_Stats!$F$15)))))="",0,(IF(OR(City_Inputs!$AA51="",Norm_Stats!$F$15="",Norm_Stats!$G$15="",Norm_Stats!$G$15=Norm_Stats!$F$15),"",MAX(0,MIN(100,100*(MIN(MAX(City_Inputs!$AA51,Norm_Stats!$F$15),Norm_Stats!$G$15)-Norm_Stats!$F$15)/(Norm_Stats!$G$15-Norm_Stats!$F$15)))))*0.7)+IF((IF(OR(City_Inputs!$AL51="",Norm_Stats!$F$16="",Norm_Stats!$G$16="",Norm_Stats!$G$16=Norm_Stats!$F$16),"",MAX(0,MIN(100,100*(Norm_Stats!$G$16-MIN(MAX(City_Inputs!$AL51,Norm_Stats!$F$16),Norm_Stats!$G$16))/(Norm_Stats!$G$16-Norm_Stats!$F$16)))))="",0,(IF(OR(City_Inputs!$AL51="",Norm_Stats!$F$16="",Norm_Stats!$G$16="",Norm_Stats!$G$16=Norm_Stats!$F$16),"",MAX(0,MIN(100,100*(Norm_Stats!$G$16-MIN(MAX(City_Inputs!$AL51,Norm_Stats!$F$16),Norm_Stats!$G$16))/(Norm_Stats!$G$16-Norm_Stats!$F$16)))))*0.3))/(IF((IF(OR(City_Inputs!$AA51="",Norm_Stats!$F$15="",Norm_Stats!$G$15="",Norm_Stats!$G$15=Norm_Stats!$F$15),"",MAX(0,MIN(100,100*(MIN(MAX(City_Inputs!$AA51,Norm_Stats!$F$15),Norm_Stats!$G$15)-Norm_Stats!$F$15)/(Norm_Stats!$G$15-Norm_Stats!$F$15)))))="",0,0.7)+IF((IF(OR(City_Inputs!$AL51="",Norm_Stats!$F$16="",Norm_Stats!$G$16="",Norm_Stats!$G$16=Norm_Stats!$F$16),"",MAX(0,MIN(100,100*(Norm_Stats!$G$16-MIN(MAX(City_Inputs!$AL51,Norm_Stats!$F$16),Norm_Stats!$G$16))/(Norm_Stats!$G$16-Norm_Stats!$F$16)))))="",0,0.3)))</f>
        <v/>
      </c>
      <c r="AL51" s="14">
        <f>IF((IF((IF(OR(City_Inputs!$AA51="",Norm_Stats!$F$15="",Norm_Stats!$G$15="",Norm_Stats!$G$15=Norm_Stats!$F$15),"",MAX(0,MIN(100,100*(MIN(MAX(City_Inputs!$AA51,Norm_Stats!$F$15),Norm_Stats!$G$15)-Norm_Stats!$F$15)/(Norm_Stats!$G$15-Norm_Stats!$F$15)))))="",0,0.7)+IF((IF(OR(City_Inputs!$AL51="",Norm_Stats!$F$16="",Norm_Stats!$G$16="",Norm_Stats!$G$16=Norm_Stats!$F$16),"",MAX(0,MIN(100,100*(Norm_Stats!$G$16-MIN(MAX(City_Inputs!$AL51,Norm_Stats!$F$16),Norm_Stats!$G$16))/(Norm_Stats!$G$16-Norm_Stats!$F$16)))))="",0,0.3))=0,"",(IF((IF(OR(City_Inputs!$AA51="",Norm_Stats!$F$15="",Norm_Stats!$G$15="",Norm_Stats!$G$15=Norm_Stats!$F$15),"",MAX(0,MIN(100,100*(MIN(MAX(City_Inputs!$AA51,Norm_Stats!$F$15),Norm_Stats!$G$15)-Norm_Stats!$F$15)/(Norm_Stats!$G$15-Norm_Stats!$F$15)))))="",0,0.7)+IF((IF(OR(City_Inputs!$AL51="",Norm_Stats!$F$16="",Norm_Stats!$G$16="",Norm_Stats!$G$16=Norm_Stats!$F$16),"",MAX(0,MIN(100,100*(Norm_Stats!$G$16-MIN(MAX(City_Inputs!$AL51,Norm_Stats!$F$16),Norm_Stats!$G$16))/(Norm_Stats!$G$16-Norm_Stats!$F$16)))))="",0,0.3)))</f>
        <v/>
      </c>
      <c r="AM51" s="15">
        <f>IF((IF(AG51="",0,8)+IF(AI51="",0,6)+IF(AK51="",0,4))=0,"",(IF(AG51="",0,AG51*8)+IF(AI51="",0,AI51*6)+IF(AK51="",0,AK51*4))/(IF(AG51="",0,8)+IF(AI51="",0,6)+IF(AK51="",0,4)))</f>
        <v/>
      </c>
      <c r="AN51" s="14">
        <f>IF((IF(AH51="",0,8)+IF(AJ51="",0,6)+IF(AL51="",0,4))=0,"",(IF(AH51="",0,AH51*8)+IF(AJ51="",0,AJ51*6)+IF(AL51="",0,AL51*4))/18)</f>
        <v/>
      </c>
      <c r="AO51" s="11">
        <f>IF(OR(City_Inputs!$AB51="",Norm_Stats!$F$17="",Norm_Stats!$G$17="",Norm_Stats!$G$17=Norm_Stats!$F$17),"",MAX(0,MIN(100,100*(MIN(MAX(City_Inputs!$AB51,Norm_Stats!$F$17),Norm_Stats!$G$17)-Norm_Stats!$F$17)/(Norm_Stats!$G$17-Norm_Stats!$F$17))))</f>
        <v/>
      </c>
      <c r="AP51" s="14">
        <f>IF(AO51="","",1)</f>
        <v/>
      </c>
      <c r="AQ51" s="11">
        <f>IF(OR(City_Inputs!$AC51="",Norm_Stats!$F$18="",Norm_Stats!$G$18="",Norm_Stats!$G$18=Norm_Stats!$F$18),"",MAX(0,MIN(100,100*(MIN(MAX(City_Inputs!$AC51,Norm_Stats!$F$18),Norm_Stats!$G$18)-Norm_Stats!$F$18)/(Norm_Stats!$G$18-Norm_Stats!$F$18))))</f>
        <v/>
      </c>
      <c r="AR51" s="14">
        <f>IF(AQ51="","",1)</f>
        <v/>
      </c>
      <c r="AS51" s="11">
        <f>IF(OR(City_Inputs!$AD51="",Norm_Stats!$F$19="",Norm_Stats!$G$19="",Norm_Stats!$G$19=Norm_Stats!$F$19),"",MAX(0,MIN(100,100*(MIN(MAX(City_Inputs!$AD51,Norm_Stats!$F$19),Norm_Stats!$G$19)-Norm_Stats!$F$19)/(Norm_Stats!$G$19-Norm_Stats!$F$19))))</f>
        <v/>
      </c>
      <c r="AT51" s="14">
        <f>IF(AS51="","",1)</f>
        <v/>
      </c>
      <c r="AU51" s="11">
        <f>IF(OR(City_Inputs!$BJ51="",Norm_Stats!$F$26="",Norm_Stats!$G$26="",Norm_Stats!$G$26=Norm_Stats!$F$26),"",MAX(0,MIN(100,100*(MIN(MAX(City_Inputs!$BJ51,Norm_Stats!$F$26),Norm_Stats!$G$26)-Norm_Stats!$F$26)/(Norm_Stats!$G$26-Norm_Stats!$F$26))))</f>
        <v/>
      </c>
      <c r="AV51" s="11">
        <f>IF(AU51="","",1)</f>
        <v/>
      </c>
      <c r="AW51" s="15">
        <f>IF((IF(AO51="",0,5)+IF(AQ51="",0,5)+IF(AS51="",0,5)+IF(AU51="",0,4))=0,"",(IF(AO51="",0,AO51*5)+IF(AQ51="",0,AQ51*5)+IF(AS51="",0,AS51*5)+IF(AU51="",0,AU51*4))/(IF(AO51="",0,5)+IF(AQ51="",0,5)+IF(AS51="",0,5)+IF(AU51="",0,4)))</f>
        <v/>
      </c>
      <c r="AX51" s="14">
        <f>IF((IF(AP51="",0,5)+IF(AR51="",0,5)+IF(AT51="",0,5)+IF(AV51="",0,4))=0,"",(IF(AP51="",0,AP51*5)+IF(AR51="",0,AR51*5)+IF(AT51="",0,AT51*5)+IF(AV51="",0,AV51*4))/19)</f>
        <v/>
      </c>
      <c r="AY51" s="11">
        <f>IF(OR(City_Inputs!$AE51="",Norm_Stats!$F$20="",Norm_Stats!$G$20="",Norm_Stats!$G$20=Norm_Stats!$F$20),"",MAX(0,MIN(100,100*(MIN(MAX(City_Inputs!$AE51,Norm_Stats!$F$20),Norm_Stats!$G$20)-Norm_Stats!$F$20)/(Norm_Stats!$G$20-Norm_Stats!$F$20))))</f>
        <v/>
      </c>
      <c r="AZ51" s="14">
        <f>IF(AY51="","",1)</f>
        <v/>
      </c>
      <c r="BA51" s="11">
        <f>IF(OR(City_Inputs!$AF51="",Norm_Stats!$F$21="",Norm_Stats!$G$21="",Norm_Stats!$G$21=Norm_Stats!$F$21),"",MAX(0,MIN(100,100*(MIN(MAX(City_Inputs!$AF51,Norm_Stats!$F$21),Norm_Stats!$G$21)-Norm_Stats!$F$21)/(Norm_Stats!$G$21-Norm_Stats!$F$21))))</f>
        <v/>
      </c>
      <c r="BB51" s="14">
        <f>IF(BA51="","",1)</f>
        <v/>
      </c>
      <c r="BC51" s="11">
        <f>IF((IF((IF(OR(City_Inputs!$AG51="",Norm_Stats!$F$22="",Norm_Stats!$G$22="",Norm_Stats!$G$22=Norm_Stats!$F$22),"",MAX(0,MIN(100,100*(MIN(MAX(City_Inputs!$AG51,Norm_Stats!$F$22),Norm_Stats!$G$22)-Norm_Stats!$F$22)/(Norm_Stats!$G$22-Norm_Stats!$F$22)))))="",0,0.5)+IF((IF(OR(City_Inputs!$AJ51="",Norm_Stats!$F$23="",Norm_Stats!$G$23="",Norm_Stats!$G$23=Norm_Stats!$F$23),"",MAX(0,MIN(100,100*(MIN(MAX(City_Inputs!$AJ51,Norm_Stats!$F$23),Norm_Stats!$G$23)-Norm_Stats!$F$23)/(Norm_Stats!$G$23-Norm_Stats!$F$23)))))="",0,0.3)+IF((IF(OR(City_Inputs!$AK51="",Norm_Stats!$F$24="",Norm_Stats!$G$24="",Norm_Stats!$G$24=Norm_Stats!$F$24),"",MAX(0,MIN(100,100*(MIN(MAX(City_Inputs!$AK51,Norm_Stats!$F$24),Norm_Stats!$G$24)-Norm_Stats!$F$24)/(Norm_Stats!$G$24-Norm_Stats!$F$24)))))="",0,0.2))=0,"",(IF((IF(OR(City_Inputs!$AG51="",Norm_Stats!$F$22="",Norm_Stats!$G$22="",Norm_Stats!$G$22=Norm_Stats!$F$22),"",MAX(0,MIN(100,100*(MIN(MAX(City_Inputs!$AG51,Norm_Stats!$F$22),Norm_Stats!$G$22)-Norm_Stats!$F$22)/(Norm_Stats!$G$22-Norm_Stats!$F$22)))))="",0,(IF(OR(City_Inputs!$AG51="",Norm_Stats!$F$22="",Norm_Stats!$G$22="",Norm_Stats!$G$22=Norm_Stats!$F$22),"",MAX(0,MIN(100,100*(MIN(MAX(City_Inputs!$AG51,Norm_Stats!$F$22),Norm_Stats!$G$22)-Norm_Stats!$F$22)/(Norm_Stats!$G$22-Norm_Stats!$F$22)))))*0.5)+IF((IF(OR(City_Inputs!$AJ51="",Norm_Stats!$F$23="",Norm_Stats!$G$23="",Norm_Stats!$G$23=Norm_Stats!$F$23),"",MAX(0,MIN(100,100*(MIN(MAX(City_Inputs!$AJ51,Norm_Stats!$F$23),Norm_Stats!$G$23)-Norm_Stats!$F$23)/(Norm_Stats!$G$23-Norm_Stats!$F$23)))))="",0,(IF(OR(City_Inputs!$AJ51="",Norm_Stats!$F$23="",Norm_Stats!$G$23="",Norm_Stats!$G$23=Norm_Stats!$F$23),"",MAX(0,MIN(100,100*(MIN(MAX(City_Inputs!$AJ51,Norm_Stats!$F$23),Norm_Stats!$G$23)-Norm_Stats!$F$23)/(Norm_Stats!$G$23-Norm_Stats!$F$23)))))*0.3)+IF((IF(OR(City_Inputs!$AK51="",Norm_Stats!$F$24="",Norm_Stats!$G$24="",Norm_Stats!$G$24=Norm_Stats!$F$24),"",MAX(0,MIN(100,100*(MIN(MAX(City_Inputs!$AK51,Norm_Stats!$F$24),Norm_Stats!$G$24)-Norm_Stats!$F$24)/(Norm_Stats!$G$24-Norm_Stats!$F$24)))))="",0,(IF(OR(City_Inputs!$AK51="",Norm_Stats!$F$24="",Norm_Stats!$G$24="",Norm_Stats!$G$24=Norm_Stats!$F$24),"",MAX(0,MIN(100,100*(MIN(MAX(City_Inputs!$AK51,Norm_Stats!$F$24),Norm_Stats!$G$24)-Norm_Stats!$F$24)/(Norm_Stats!$G$24-Norm_Stats!$F$24)))))*0.2))/(IF((IF(OR(City_Inputs!$AG51="",Norm_Stats!$F$22="",Norm_Stats!$G$22="",Norm_Stats!$G$22=Norm_Stats!$F$22),"",MAX(0,MIN(100,100*(MIN(MAX(City_Inputs!$AG51,Norm_Stats!$F$22),Norm_Stats!$G$22)-Norm_Stats!$F$22)/(Norm_Stats!$G$22-Norm_Stats!$F$22)))))="",0,0.5)+IF((IF(OR(City_Inputs!$AJ51="",Norm_Stats!$F$23="",Norm_Stats!$G$23="",Norm_Stats!$G$23=Norm_Stats!$F$23),"",MAX(0,MIN(100,100*(MIN(MAX(City_Inputs!$AJ51,Norm_Stats!$F$23),Norm_Stats!$G$23)-Norm_Stats!$F$23)/(Norm_Stats!$G$23-Norm_Stats!$F$23)))))="",0,0.3)+IF((IF(OR(City_Inputs!$AK51="",Norm_Stats!$F$24="",Norm_Stats!$G$24="",Norm_Stats!$G$24=Norm_Stats!$F$24),"",MAX(0,MIN(100,100*(MIN(MAX(City_Inputs!$AK51,Norm_Stats!$F$24),Norm_Stats!$G$24)-Norm_Stats!$F$24)/(Norm_Stats!$G$24-Norm_Stats!$F$24)))))="",0,0.2)))</f>
        <v/>
      </c>
      <c r="BD51" s="14">
        <f>IF((IF((IF(OR(City_Inputs!$AG51="",Norm_Stats!$F$22="",Norm_Stats!$G$22="",Norm_Stats!$G$22=Norm_Stats!$F$22),"",MAX(0,MIN(100,100*(MIN(MAX(City_Inputs!$AG51,Norm_Stats!$F$22),Norm_Stats!$G$22)-Norm_Stats!$F$22)/(Norm_Stats!$G$22-Norm_Stats!$F$22)))))="",0,0.5)+IF((IF(OR(City_Inputs!$AJ51="",Norm_Stats!$F$23="",Norm_Stats!$G$23="",Norm_Stats!$G$23=Norm_Stats!$F$23),"",MAX(0,MIN(100,100*(MIN(MAX(City_Inputs!$AJ51,Norm_Stats!$F$23),Norm_Stats!$G$23)-Norm_Stats!$F$23)/(Norm_Stats!$G$23-Norm_Stats!$F$23)))))="",0,0.3)+IF((IF(OR(City_Inputs!$AK51="",Norm_Stats!$F$24="",Norm_Stats!$G$24="",Norm_Stats!$G$24=Norm_Stats!$F$24),"",MAX(0,MIN(100,100*(MIN(MAX(City_Inputs!$AK51,Norm_Stats!$F$24),Norm_Stats!$G$24)-Norm_Stats!$F$24)/(Norm_Stats!$G$24-Norm_Stats!$F$24)))))="",0,0.2))=0,"",(IF((IF(OR(City_Inputs!$AG51="",Norm_Stats!$F$22="",Norm_Stats!$G$22="",Norm_Stats!$G$22=Norm_Stats!$F$22),"",MAX(0,MIN(100,100*(MIN(MAX(City_Inputs!$AG51,Norm_Stats!$F$22),Norm_Stats!$G$22)-Norm_Stats!$F$22)/(Norm_Stats!$G$22-Norm_Stats!$F$22)))))="",0,0.5)+IF((IF(OR(City_Inputs!$AJ51="",Norm_Stats!$F$23="",Norm_Stats!$G$23="",Norm_Stats!$G$23=Norm_Stats!$F$23),"",MAX(0,MIN(100,100*(MIN(MAX(City_Inputs!$AJ51,Norm_Stats!$F$23),Norm_Stats!$G$23)-Norm_Stats!$F$23)/(Norm_Stats!$G$23-Norm_Stats!$F$23)))))="",0,0.3)+IF((IF(OR(City_Inputs!$AK51="",Norm_Stats!$F$24="",Norm_Stats!$G$24="",Norm_Stats!$G$24=Norm_Stats!$F$24),"",MAX(0,MIN(100,100*(MIN(MAX(City_Inputs!$AK51,Norm_Stats!$F$24),Norm_Stats!$G$24)-Norm_Stats!$F$24)/(Norm_Stats!$G$24-Norm_Stats!$F$24)))))="",0,0.2)))</f>
        <v/>
      </c>
      <c r="BE51" s="11">
        <f>IF(OR(City_Inputs!$AH51="",Norm_Stats!$F$25="",Norm_Stats!$G$25="",Norm_Stats!$G$25=Norm_Stats!$F$25),"",MAX(0,MIN(100,100*(Norm_Stats!$G$25-MIN(MAX(City_Inputs!$AH51,Norm_Stats!$F$25),Norm_Stats!$G$25))/(Norm_Stats!$G$25-Norm_Stats!$F$25))))</f>
        <v/>
      </c>
      <c r="BF51" s="14">
        <f>IF(BE51="","",1)</f>
        <v/>
      </c>
      <c r="BG51" s="15">
        <f>IF((IF(AY51="",0,6)+IF(BA51="",0,5)+IF(BC51="",0,5)+IF(BE51="",0,4))=0,"",(IF(AY51="",0,AY51*6)+IF(BA51="",0,BA51*5)+IF(BC51="",0,BC51*5)+IF(BE51="",0,BE51*4))/(IF(AY51="",0,6)+IF(BA51="",0,5)+IF(BC51="",0,5)+IF(BE51="",0,4)))</f>
        <v/>
      </c>
      <c r="BH51" s="14">
        <f>IF((IF(AZ51="",0,6)+IF(BB51="",0,5)+IF(BD51="",0,5)+IF(BF51="",0,4))=0,"",(IF(AZ51="",0,AZ51*6)+IF(BB51="",0,BB51*5)+IF(BD51="",0,BD51*5)+IF(BF51="",0,BF51*4))/20)</f>
        <v/>
      </c>
      <c r="BI51" s="14">
        <f>IF(AND(R51="",AF51="",AN51="",AX51="",BH51=""),"",((R51*25)+(AF51*22)+(AN51*18)+(AX51*15)+(BH51*20))/100)</f>
        <v/>
      </c>
      <c r="BJ51" s="11">
        <f>IF(BI51="","",IF(BI51&gt;=0.75,"A",IF(BI51&gt;=0.5,"B",IF(BI51&gt;=0.35,"C","Watchlist"))))</f>
        <v/>
      </c>
      <c r="BK51" s="11">
        <f>IF(OR(BI51="",BI51&lt;0.5,R51="",R51&lt;0.35,AF51="",AF51&lt;0.35,AN51="",AN51&lt;0.35,AX51="",AX51&lt;0.35,BH51="",BH51&lt;0.35),"Watchlist","Ranked")</f>
        <v/>
      </c>
      <c r="BL51" s="15">
        <f>IF(AND(Q51="",AE51="",AM51="",AW51="",BG51=""),"",(IF(Q51="",0,Q51*25)+IF(AE51="",0,AE51*22)+IF(AM51="",0,AM51*18)+IF(AW51="",0,AW51*15)+IF(BG51="",0,BG51*20))/(IF(Q51="",0,25)+IF(AE51="",0,22)+IF(AM51="",0,18)+IF(AW51="",0,15)+IF(BG51="",0,20)))</f>
        <v/>
      </c>
      <c r="BM51" s="11">
        <f>IF(BK51="Ranked",1+COUNTIFS($BK$2:$BK$158,"Ranked",$BL$2:$BL$158,"&gt;"&amp;BL51),"")</f>
        <v/>
      </c>
      <c r="BN51" s="11">
        <f>City_Inputs!$AI51</f>
        <v/>
      </c>
    </row>
    <row r="52">
      <c r="A52" t="inlineStr">
        <is>
          <t>hu-budapest</t>
        </is>
      </c>
      <c r="B52" t="inlineStr">
        <is>
          <t>Budapest</t>
        </is>
      </c>
      <c r="C52" t="inlineStr">
        <is>
          <t>Hungary</t>
        </is>
      </c>
      <c r="D52" t="inlineStr">
        <is>
          <t>Southern/Eastern Europe and Eurasia</t>
        </is>
      </c>
      <c r="E52" t="inlineStr">
        <is>
          <t>locked</t>
        </is>
      </c>
      <c r="F52" t="inlineStr">
        <is>
          <t>primary</t>
        </is>
      </c>
      <c r="G52" s="11">
        <f>IF(OR(City_Inputs!$M52="",Norm_Stats!$F$2="",Norm_Stats!$G$2="",Norm_Stats!$G$2=Norm_Stats!$F$2),"",MAX(0,MIN(100,100*(MIN(MAX(City_Inputs!$M52,Norm_Stats!$F$2),Norm_Stats!$G$2)-Norm_Stats!$F$2)/(Norm_Stats!$G$2-Norm_Stats!$F$2))))</f>
        <v/>
      </c>
      <c r="H52" s="14">
        <f>IF(G52="","",1)</f>
        <v/>
      </c>
      <c r="I52" s="11">
        <f>IF(OR(City_Inputs!$N52="",Norm_Stats!$F$3="",Norm_Stats!$G$3="",Norm_Stats!$G$3=Norm_Stats!$F$3),"",MAX(0,MIN(100,100*(Norm_Stats!$G$3-MIN(MAX(City_Inputs!$N52,Norm_Stats!$F$3),Norm_Stats!$G$3))/(Norm_Stats!$G$3-Norm_Stats!$F$3))))</f>
        <v/>
      </c>
      <c r="J52" s="14">
        <f>IF(I52="","",1)</f>
        <v/>
      </c>
      <c r="K52" s="11">
        <f>IF(OR(City_Inputs!$P52="",Norm_Stats!$F$4="",Norm_Stats!$G$4="",Norm_Stats!$G$4=Norm_Stats!$F$4),"",MAX(0,MIN(100,100*(Norm_Stats!$G$4-MIN(MAX(City_Inputs!$P52,Norm_Stats!$F$4),Norm_Stats!$G$4))/(Norm_Stats!$G$4-Norm_Stats!$F$4))))</f>
        <v/>
      </c>
      <c r="L52" s="14">
        <f>IF(K52="","",1)</f>
        <v/>
      </c>
      <c r="M52" s="11">
        <f>IF(OR(City_Inputs!$Q52="",Norm_Stats!$F$5="",Norm_Stats!$G$5="",Norm_Stats!$G$5=Norm_Stats!$F$5),"",MAX(0,MIN(100,100*(Norm_Stats!$G$5-MIN(MAX(City_Inputs!$Q52,Norm_Stats!$F$5),Norm_Stats!$G$5))/(Norm_Stats!$G$5-Norm_Stats!$F$5))))</f>
        <v/>
      </c>
      <c r="N52" s="14">
        <f>IF(M52="","",1)</f>
        <v/>
      </c>
      <c r="O52" s="11">
        <f>IF(OR(City_Inputs!$R52="",Norm_Stats!$F$6="",Norm_Stats!$G$6="",Norm_Stats!$G$6=Norm_Stats!$F$6),"",MAX(0,MIN(100,100*(Norm_Stats!$G$6-MIN(MAX(City_Inputs!$R52,Norm_Stats!$F$6),Norm_Stats!$G$6))/(Norm_Stats!$G$6-Norm_Stats!$F$6))))</f>
        <v/>
      </c>
      <c r="P52" s="14">
        <f>IF(O52="","",1)</f>
        <v/>
      </c>
      <c r="Q52" s="15">
        <f>IF((IF(G52="",0,9)+IF(I52="",0,5)+IF(K52="",0,4)+IF(M52="",0,4)+IF(O52="",0,5))=0,"",(IF(G52="",0,G52*9)+IF(I52="",0,I52*5)+IF(K52="",0,K52*4)+IF(M52="",0,M52*4)+IF(O52="",0,O52*5))/(IF(G52="",0,9)+IF(I52="",0,5)+IF(K52="",0,4)+IF(M52="",0,4)+IF(O52="",0,5)))</f>
        <v/>
      </c>
      <c r="R52" s="14">
        <f>IF((IF(H52="",0,9)+IF(J52="",0,5)+IF(L52="",0,4)+IF(N52="",0,4)+IF(P52="",0,5))=0,"",(IF(H52="",0,H52*9)+IF(J52="",0,J52*5)+IF(L52="",0,L52*4)+IF(N52="",0,N52*4)+IF(P52="",0,P52*5))/27)</f>
        <v/>
      </c>
      <c r="S52" s="11">
        <f>IF(OR(City_Inputs!$S52="",Norm_Stats!$F$7="",Norm_Stats!$G$7="",Norm_Stats!$G$7=Norm_Stats!$F$7),"",MAX(0,MIN(100,100*(Norm_Stats!$G$7-MIN(MAX(City_Inputs!$S52,Norm_Stats!$F$7),Norm_Stats!$G$7))/(Norm_Stats!$G$7-Norm_Stats!$F$7))))</f>
        <v/>
      </c>
      <c r="T52" s="14">
        <f>IF(S52="","",1)</f>
        <v/>
      </c>
      <c r="U52" s="11">
        <f>IF(OR(City_Inputs!$T52="",Norm_Stats!$F$8="",Norm_Stats!$G$8="",Norm_Stats!$G$8=Norm_Stats!$F$8),"",MAX(0,MIN(100,100*(MIN(MAX(City_Inputs!$T52,Norm_Stats!$F$8),Norm_Stats!$G$8)-Norm_Stats!$F$8)/(Norm_Stats!$G$8-Norm_Stats!$F$8))))</f>
        <v/>
      </c>
      <c r="V52" s="14">
        <f>IF(U52="","",1)</f>
        <v/>
      </c>
      <c r="W52" s="11">
        <f>IF(OR(City_Inputs!$U52="",Norm_Stats!$F$9="",Norm_Stats!$G$9="",Norm_Stats!$G$9=Norm_Stats!$F$9),"",MAX(0,MIN(100,100*(Norm_Stats!$G$9-MIN(MAX(City_Inputs!$U52,Norm_Stats!$F$9),Norm_Stats!$G$9))/(Norm_Stats!$G$9-Norm_Stats!$F$9))))</f>
        <v/>
      </c>
      <c r="X52" s="14">
        <f>IF(W52="","",1)</f>
        <v/>
      </c>
      <c r="Y52" s="11">
        <f>IF(OR(City_Inputs!$V52="",Norm_Stats!$F$10="",Norm_Stats!$G$10="",Norm_Stats!$G$10=Norm_Stats!$F$10),"",MAX(0,MIN(100,100*(MIN(MAX(City_Inputs!$V52,Norm_Stats!$F$10),Norm_Stats!$G$10)-Norm_Stats!$F$10)/(Norm_Stats!$G$10-Norm_Stats!$F$10))))</f>
        <v/>
      </c>
      <c r="Z52" s="14">
        <f>IF(Y52="","",1)</f>
        <v/>
      </c>
      <c r="AA52" s="11">
        <f>IF(OR(City_Inputs!$W52="",Norm_Stats!$F$11="",Norm_Stats!$G$11="",Norm_Stats!$G$11=Norm_Stats!$F$11),"",MAX(0,MIN(100,100*(MIN(MAX(City_Inputs!$W52,Norm_Stats!$F$11),Norm_Stats!$G$11)-Norm_Stats!$F$11)/(Norm_Stats!$G$11-Norm_Stats!$F$11))))</f>
        <v/>
      </c>
      <c r="AB52" s="14">
        <f>IF(AA52="","",1)</f>
        <v/>
      </c>
      <c r="AC52" s="11">
        <f>IF(OR(City_Inputs!$X52="",Norm_Stats!$F$12="",Norm_Stats!$G$12="",Norm_Stats!$G$12=Norm_Stats!$F$12),"",MAX(0,MIN(100,100*(MIN(MAX(City_Inputs!$X52,Norm_Stats!$F$12),Norm_Stats!$G$12)-Norm_Stats!$F$12)/(Norm_Stats!$G$12-Norm_Stats!$F$12))))</f>
        <v/>
      </c>
      <c r="AD52" s="11">
        <f>IF(AC52="","",1)</f>
        <v/>
      </c>
      <c r="AE52" s="15">
        <f>IF((IF(S52="",0,5)+IF(U52="",0,5)+IF(W52="",0,4)+IF(Y52="",0,4)+IF(AA52="",0,4)+IF(AC52="",0,5))=0,"",(IF(S52="",0,S52*5)+IF(U52="",0,U52*5)+IF(W52="",0,W52*4)+IF(Y52="",0,Y52*4)+IF(AA52="",0,AA52*4)+IF(AC52="",0,AC52*5))/(IF(S52="",0,5)+IF(U52="",0,5)+IF(W52="",0,4)+IF(Y52="",0,4)+IF(AA52="",0,4)+IF(AC52="",0,5)))</f>
        <v/>
      </c>
      <c r="AF52" s="14">
        <f>IF((IF(T52="",0,5)+IF(V52="",0,5)+IF(X52="",0,4)+IF(Z52="",0,4)+IF(AB52="",0,4)+IF(AD52="",0,5))=0,"",(IF(T52="",0,T52*5)+IF(V52="",0,V52*5)+IF(X52="",0,X52*4)+IF(Z52="",0,Z52*4)+IF(AB52="",0,AB52*4)+IF(AD52="",0,AD52*5))/27)</f>
        <v/>
      </c>
      <c r="AG52" s="11">
        <f>IF(OR(City_Inputs!$Y52="",Norm_Stats!$F$13="",Norm_Stats!$G$13="",Norm_Stats!$G$13=Norm_Stats!$F$13),"",MAX(0,MIN(100,100*(MIN(MAX(City_Inputs!$Y52,Norm_Stats!$F$13),Norm_Stats!$G$13)-Norm_Stats!$F$13)/(Norm_Stats!$G$13-Norm_Stats!$F$13))))</f>
        <v/>
      </c>
      <c r="AH52" s="14">
        <f>IF(AG52="","",1)</f>
        <v/>
      </c>
      <c r="AI52" s="11">
        <f>IF(OR(City_Inputs!$Z52="",Norm_Stats!$F$14="",Norm_Stats!$G$14="",Norm_Stats!$G$14=Norm_Stats!$F$14),"",MAX(0,MIN(100,100*(MIN(MAX(City_Inputs!$Z52,Norm_Stats!$F$14),Norm_Stats!$G$14)-Norm_Stats!$F$14)/(Norm_Stats!$G$14-Norm_Stats!$F$14))))</f>
        <v/>
      </c>
      <c r="AJ52" s="14">
        <f>IF(AI52="","",1)</f>
        <v/>
      </c>
      <c r="AK52" s="11">
        <f>IF((IF((IF(OR(City_Inputs!$AA52="",Norm_Stats!$F$15="",Norm_Stats!$G$15="",Norm_Stats!$G$15=Norm_Stats!$F$15),"",MAX(0,MIN(100,100*(MIN(MAX(City_Inputs!$AA52,Norm_Stats!$F$15),Norm_Stats!$G$15)-Norm_Stats!$F$15)/(Norm_Stats!$G$15-Norm_Stats!$F$15)))))="",0,0.7)+IF((IF(OR(City_Inputs!$AL52="",Norm_Stats!$F$16="",Norm_Stats!$G$16="",Norm_Stats!$G$16=Norm_Stats!$F$16),"",MAX(0,MIN(100,100*(Norm_Stats!$G$16-MIN(MAX(City_Inputs!$AL52,Norm_Stats!$F$16),Norm_Stats!$G$16))/(Norm_Stats!$G$16-Norm_Stats!$F$16)))))="",0,0.3))=0,"",(IF((IF(OR(City_Inputs!$AA52="",Norm_Stats!$F$15="",Norm_Stats!$G$15="",Norm_Stats!$G$15=Norm_Stats!$F$15),"",MAX(0,MIN(100,100*(MIN(MAX(City_Inputs!$AA52,Norm_Stats!$F$15),Norm_Stats!$G$15)-Norm_Stats!$F$15)/(Norm_Stats!$G$15-Norm_Stats!$F$15)))))="",0,(IF(OR(City_Inputs!$AA52="",Norm_Stats!$F$15="",Norm_Stats!$G$15="",Norm_Stats!$G$15=Norm_Stats!$F$15),"",MAX(0,MIN(100,100*(MIN(MAX(City_Inputs!$AA52,Norm_Stats!$F$15),Norm_Stats!$G$15)-Norm_Stats!$F$15)/(Norm_Stats!$G$15-Norm_Stats!$F$15)))))*0.7)+IF((IF(OR(City_Inputs!$AL52="",Norm_Stats!$F$16="",Norm_Stats!$G$16="",Norm_Stats!$G$16=Norm_Stats!$F$16),"",MAX(0,MIN(100,100*(Norm_Stats!$G$16-MIN(MAX(City_Inputs!$AL52,Norm_Stats!$F$16),Norm_Stats!$G$16))/(Norm_Stats!$G$16-Norm_Stats!$F$16)))))="",0,(IF(OR(City_Inputs!$AL52="",Norm_Stats!$F$16="",Norm_Stats!$G$16="",Norm_Stats!$G$16=Norm_Stats!$F$16),"",MAX(0,MIN(100,100*(Norm_Stats!$G$16-MIN(MAX(City_Inputs!$AL52,Norm_Stats!$F$16),Norm_Stats!$G$16))/(Norm_Stats!$G$16-Norm_Stats!$F$16)))))*0.3))/(IF((IF(OR(City_Inputs!$AA52="",Norm_Stats!$F$15="",Norm_Stats!$G$15="",Norm_Stats!$G$15=Norm_Stats!$F$15),"",MAX(0,MIN(100,100*(MIN(MAX(City_Inputs!$AA52,Norm_Stats!$F$15),Norm_Stats!$G$15)-Norm_Stats!$F$15)/(Norm_Stats!$G$15-Norm_Stats!$F$15)))))="",0,0.7)+IF((IF(OR(City_Inputs!$AL52="",Norm_Stats!$F$16="",Norm_Stats!$G$16="",Norm_Stats!$G$16=Norm_Stats!$F$16),"",MAX(0,MIN(100,100*(Norm_Stats!$G$16-MIN(MAX(City_Inputs!$AL52,Norm_Stats!$F$16),Norm_Stats!$G$16))/(Norm_Stats!$G$16-Norm_Stats!$F$16)))))="",0,0.3)))</f>
        <v/>
      </c>
      <c r="AL52" s="14">
        <f>IF((IF((IF(OR(City_Inputs!$AA52="",Norm_Stats!$F$15="",Norm_Stats!$G$15="",Norm_Stats!$G$15=Norm_Stats!$F$15),"",MAX(0,MIN(100,100*(MIN(MAX(City_Inputs!$AA52,Norm_Stats!$F$15),Norm_Stats!$G$15)-Norm_Stats!$F$15)/(Norm_Stats!$G$15-Norm_Stats!$F$15)))))="",0,0.7)+IF((IF(OR(City_Inputs!$AL52="",Norm_Stats!$F$16="",Norm_Stats!$G$16="",Norm_Stats!$G$16=Norm_Stats!$F$16),"",MAX(0,MIN(100,100*(Norm_Stats!$G$16-MIN(MAX(City_Inputs!$AL52,Norm_Stats!$F$16),Norm_Stats!$G$16))/(Norm_Stats!$G$16-Norm_Stats!$F$16)))))="",0,0.3))=0,"",(IF((IF(OR(City_Inputs!$AA52="",Norm_Stats!$F$15="",Norm_Stats!$G$15="",Norm_Stats!$G$15=Norm_Stats!$F$15),"",MAX(0,MIN(100,100*(MIN(MAX(City_Inputs!$AA52,Norm_Stats!$F$15),Norm_Stats!$G$15)-Norm_Stats!$F$15)/(Norm_Stats!$G$15-Norm_Stats!$F$15)))))="",0,0.7)+IF((IF(OR(City_Inputs!$AL52="",Norm_Stats!$F$16="",Norm_Stats!$G$16="",Norm_Stats!$G$16=Norm_Stats!$F$16),"",MAX(0,MIN(100,100*(Norm_Stats!$G$16-MIN(MAX(City_Inputs!$AL52,Norm_Stats!$F$16),Norm_Stats!$G$16))/(Norm_Stats!$G$16-Norm_Stats!$F$16)))))="",0,0.3)))</f>
        <v/>
      </c>
      <c r="AM52" s="15">
        <f>IF((IF(AG52="",0,8)+IF(AI52="",0,6)+IF(AK52="",0,4))=0,"",(IF(AG52="",0,AG52*8)+IF(AI52="",0,AI52*6)+IF(AK52="",0,AK52*4))/(IF(AG52="",0,8)+IF(AI52="",0,6)+IF(AK52="",0,4)))</f>
        <v/>
      </c>
      <c r="AN52" s="14">
        <f>IF((IF(AH52="",0,8)+IF(AJ52="",0,6)+IF(AL52="",0,4))=0,"",(IF(AH52="",0,AH52*8)+IF(AJ52="",0,AJ52*6)+IF(AL52="",0,AL52*4))/18)</f>
        <v/>
      </c>
      <c r="AO52" s="11">
        <f>IF(OR(City_Inputs!$AB52="",Norm_Stats!$F$17="",Norm_Stats!$G$17="",Norm_Stats!$G$17=Norm_Stats!$F$17),"",MAX(0,MIN(100,100*(MIN(MAX(City_Inputs!$AB52,Norm_Stats!$F$17),Norm_Stats!$G$17)-Norm_Stats!$F$17)/(Norm_Stats!$G$17-Norm_Stats!$F$17))))</f>
        <v/>
      </c>
      <c r="AP52" s="14">
        <f>IF(AO52="","",1)</f>
        <v/>
      </c>
      <c r="AQ52" s="11">
        <f>IF(OR(City_Inputs!$AC52="",Norm_Stats!$F$18="",Norm_Stats!$G$18="",Norm_Stats!$G$18=Norm_Stats!$F$18),"",MAX(0,MIN(100,100*(MIN(MAX(City_Inputs!$AC52,Norm_Stats!$F$18),Norm_Stats!$G$18)-Norm_Stats!$F$18)/(Norm_Stats!$G$18-Norm_Stats!$F$18))))</f>
        <v/>
      </c>
      <c r="AR52" s="14">
        <f>IF(AQ52="","",1)</f>
        <v/>
      </c>
      <c r="AS52" s="11">
        <f>IF(OR(City_Inputs!$AD52="",Norm_Stats!$F$19="",Norm_Stats!$G$19="",Norm_Stats!$G$19=Norm_Stats!$F$19),"",MAX(0,MIN(100,100*(MIN(MAX(City_Inputs!$AD52,Norm_Stats!$F$19),Norm_Stats!$G$19)-Norm_Stats!$F$19)/(Norm_Stats!$G$19-Norm_Stats!$F$19))))</f>
        <v/>
      </c>
      <c r="AT52" s="14">
        <f>IF(AS52="","",1)</f>
        <v/>
      </c>
      <c r="AU52" s="11">
        <f>IF(OR(City_Inputs!$BJ52="",Norm_Stats!$F$26="",Norm_Stats!$G$26="",Norm_Stats!$G$26=Norm_Stats!$F$26),"",MAX(0,MIN(100,100*(MIN(MAX(City_Inputs!$BJ52,Norm_Stats!$F$26),Norm_Stats!$G$26)-Norm_Stats!$F$26)/(Norm_Stats!$G$26-Norm_Stats!$F$26))))</f>
        <v/>
      </c>
      <c r="AV52" s="11">
        <f>IF(AU52="","",1)</f>
        <v/>
      </c>
      <c r="AW52" s="15">
        <f>IF((IF(AO52="",0,5)+IF(AQ52="",0,5)+IF(AS52="",0,5)+IF(AU52="",0,4))=0,"",(IF(AO52="",0,AO52*5)+IF(AQ52="",0,AQ52*5)+IF(AS52="",0,AS52*5)+IF(AU52="",0,AU52*4))/(IF(AO52="",0,5)+IF(AQ52="",0,5)+IF(AS52="",0,5)+IF(AU52="",0,4)))</f>
        <v/>
      </c>
      <c r="AX52" s="14">
        <f>IF((IF(AP52="",0,5)+IF(AR52="",0,5)+IF(AT52="",0,5)+IF(AV52="",0,4))=0,"",(IF(AP52="",0,AP52*5)+IF(AR52="",0,AR52*5)+IF(AT52="",0,AT52*5)+IF(AV52="",0,AV52*4))/19)</f>
        <v/>
      </c>
      <c r="AY52" s="11">
        <f>IF(OR(City_Inputs!$AE52="",Norm_Stats!$F$20="",Norm_Stats!$G$20="",Norm_Stats!$G$20=Norm_Stats!$F$20),"",MAX(0,MIN(100,100*(MIN(MAX(City_Inputs!$AE52,Norm_Stats!$F$20),Norm_Stats!$G$20)-Norm_Stats!$F$20)/(Norm_Stats!$G$20-Norm_Stats!$F$20))))</f>
        <v/>
      </c>
      <c r="AZ52" s="14">
        <f>IF(AY52="","",1)</f>
        <v/>
      </c>
      <c r="BA52" s="11">
        <f>IF(OR(City_Inputs!$AF52="",Norm_Stats!$F$21="",Norm_Stats!$G$21="",Norm_Stats!$G$21=Norm_Stats!$F$21),"",MAX(0,MIN(100,100*(MIN(MAX(City_Inputs!$AF52,Norm_Stats!$F$21),Norm_Stats!$G$21)-Norm_Stats!$F$21)/(Norm_Stats!$G$21-Norm_Stats!$F$21))))</f>
        <v/>
      </c>
      <c r="BB52" s="14">
        <f>IF(BA52="","",1)</f>
        <v/>
      </c>
      <c r="BC52" s="11">
        <f>IF((IF((IF(OR(City_Inputs!$AG52="",Norm_Stats!$F$22="",Norm_Stats!$G$22="",Norm_Stats!$G$22=Norm_Stats!$F$22),"",MAX(0,MIN(100,100*(MIN(MAX(City_Inputs!$AG52,Norm_Stats!$F$22),Norm_Stats!$G$22)-Norm_Stats!$F$22)/(Norm_Stats!$G$22-Norm_Stats!$F$22)))))="",0,0.5)+IF((IF(OR(City_Inputs!$AJ52="",Norm_Stats!$F$23="",Norm_Stats!$G$23="",Norm_Stats!$G$23=Norm_Stats!$F$23),"",MAX(0,MIN(100,100*(MIN(MAX(City_Inputs!$AJ52,Norm_Stats!$F$23),Norm_Stats!$G$23)-Norm_Stats!$F$23)/(Norm_Stats!$G$23-Norm_Stats!$F$23)))))="",0,0.3)+IF((IF(OR(City_Inputs!$AK52="",Norm_Stats!$F$24="",Norm_Stats!$G$24="",Norm_Stats!$G$24=Norm_Stats!$F$24),"",MAX(0,MIN(100,100*(MIN(MAX(City_Inputs!$AK52,Norm_Stats!$F$24),Norm_Stats!$G$24)-Norm_Stats!$F$24)/(Norm_Stats!$G$24-Norm_Stats!$F$24)))))="",0,0.2))=0,"",(IF((IF(OR(City_Inputs!$AG52="",Norm_Stats!$F$22="",Norm_Stats!$G$22="",Norm_Stats!$G$22=Norm_Stats!$F$22),"",MAX(0,MIN(100,100*(MIN(MAX(City_Inputs!$AG52,Norm_Stats!$F$22),Norm_Stats!$G$22)-Norm_Stats!$F$22)/(Norm_Stats!$G$22-Norm_Stats!$F$22)))))="",0,(IF(OR(City_Inputs!$AG52="",Norm_Stats!$F$22="",Norm_Stats!$G$22="",Norm_Stats!$G$22=Norm_Stats!$F$22),"",MAX(0,MIN(100,100*(MIN(MAX(City_Inputs!$AG52,Norm_Stats!$F$22),Norm_Stats!$G$22)-Norm_Stats!$F$22)/(Norm_Stats!$G$22-Norm_Stats!$F$22)))))*0.5)+IF((IF(OR(City_Inputs!$AJ52="",Norm_Stats!$F$23="",Norm_Stats!$G$23="",Norm_Stats!$G$23=Norm_Stats!$F$23),"",MAX(0,MIN(100,100*(MIN(MAX(City_Inputs!$AJ52,Norm_Stats!$F$23),Norm_Stats!$G$23)-Norm_Stats!$F$23)/(Norm_Stats!$G$23-Norm_Stats!$F$23)))))="",0,(IF(OR(City_Inputs!$AJ52="",Norm_Stats!$F$23="",Norm_Stats!$G$23="",Norm_Stats!$G$23=Norm_Stats!$F$23),"",MAX(0,MIN(100,100*(MIN(MAX(City_Inputs!$AJ52,Norm_Stats!$F$23),Norm_Stats!$G$23)-Norm_Stats!$F$23)/(Norm_Stats!$G$23-Norm_Stats!$F$23)))))*0.3)+IF((IF(OR(City_Inputs!$AK52="",Norm_Stats!$F$24="",Norm_Stats!$G$24="",Norm_Stats!$G$24=Norm_Stats!$F$24),"",MAX(0,MIN(100,100*(MIN(MAX(City_Inputs!$AK52,Norm_Stats!$F$24),Norm_Stats!$G$24)-Norm_Stats!$F$24)/(Norm_Stats!$G$24-Norm_Stats!$F$24)))))="",0,(IF(OR(City_Inputs!$AK52="",Norm_Stats!$F$24="",Norm_Stats!$G$24="",Norm_Stats!$G$24=Norm_Stats!$F$24),"",MAX(0,MIN(100,100*(MIN(MAX(City_Inputs!$AK52,Norm_Stats!$F$24),Norm_Stats!$G$24)-Norm_Stats!$F$24)/(Norm_Stats!$G$24-Norm_Stats!$F$24)))))*0.2))/(IF((IF(OR(City_Inputs!$AG52="",Norm_Stats!$F$22="",Norm_Stats!$G$22="",Norm_Stats!$G$22=Norm_Stats!$F$22),"",MAX(0,MIN(100,100*(MIN(MAX(City_Inputs!$AG52,Norm_Stats!$F$22),Norm_Stats!$G$22)-Norm_Stats!$F$22)/(Norm_Stats!$G$22-Norm_Stats!$F$22)))))="",0,0.5)+IF((IF(OR(City_Inputs!$AJ52="",Norm_Stats!$F$23="",Norm_Stats!$G$23="",Norm_Stats!$G$23=Norm_Stats!$F$23),"",MAX(0,MIN(100,100*(MIN(MAX(City_Inputs!$AJ52,Norm_Stats!$F$23),Norm_Stats!$G$23)-Norm_Stats!$F$23)/(Norm_Stats!$G$23-Norm_Stats!$F$23)))))="",0,0.3)+IF((IF(OR(City_Inputs!$AK52="",Norm_Stats!$F$24="",Norm_Stats!$G$24="",Norm_Stats!$G$24=Norm_Stats!$F$24),"",MAX(0,MIN(100,100*(MIN(MAX(City_Inputs!$AK52,Norm_Stats!$F$24),Norm_Stats!$G$24)-Norm_Stats!$F$24)/(Norm_Stats!$G$24-Norm_Stats!$F$24)))))="",0,0.2)))</f>
        <v/>
      </c>
      <c r="BD52" s="14">
        <f>IF((IF((IF(OR(City_Inputs!$AG52="",Norm_Stats!$F$22="",Norm_Stats!$G$22="",Norm_Stats!$G$22=Norm_Stats!$F$22),"",MAX(0,MIN(100,100*(MIN(MAX(City_Inputs!$AG52,Norm_Stats!$F$22),Norm_Stats!$G$22)-Norm_Stats!$F$22)/(Norm_Stats!$G$22-Norm_Stats!$F$22)))))="",0,0.5)+IF((IF(OR(City_Inputs!$AJ52="",Norm_Stats!$F$23="",Norm_Stats!$G$23="",Norm_Stats!$G$23=Norm_Stats!$F$23),"",MAX(0,MIN(100,100*(MIN(MAX(City_Inputs!$AJ52,Norm_Stats!$F$23),Norm_Stats!$G$23)-Norm_Stats!$F$23)/(Norm_Stats!$G$23-Norm_Stats!$F$23)))))="",0,0.3)+IF((IF(OR(City_Inputs!$AK52="",Norm_Stats!$F$24="",Norm_Stats!$G$24="",Norm_Stats!$G$24=Norm_Stats!$F$24),"",MAX(0,MIN(100,100*(MIN(MAX(City_Inputs!$AK52,Norm_Stats!$F$24),Norm_Stats!$G$24)-Norm_Stats!$F$24)/(Norm_Stats!$G$24-Norm_Stats!$F$24)))))="",0,0.2))=0,"",(IF((IF(OR(City_Inputs!$AG52="",Norm_Stats!$F$22="",Norm_Stats!$G$22="",Norm_Stats!$G$22=Norm_Stats!$F$22),"",MAX(0,MIN(100,100*(MIN(MAX(City_Inputs!$AG52,Norm_Stats!$F$22),Norm_Stats!$G$22)-Norm_Stats!$F$22)/(Norm_Stats!$G$22-Norm_Stats!$F$22)))))="",0,0.5)+IF((IF(OR(City_Inputs!$AJ52="",Norm_Stats!$F$23="",Norm_Stats!$G$23="",Norm_Stats!$G$23=Norm_Stats!$F$23),"",MAX(0,MIN(100,100*(MIN(MAX(City_Inputs!$AJ52,Norm_Stats!$F$23),Norm_Stats!$G$23)-Norm_Stats!$F$23)/(Norm_Stats!$G$23-Norm_Stats!$F$23)))))="",0,0.3)+IF((IF(OR(City_Inputs!$AK52="",Norm_Stats!$F$24="",Norm_Stats!$G$24="",Norm_Stats!$G$24=Norm_Stats!$F$24),"",MAX(0,MIN(100,100*(MIN(MAX(City_Inputs!$AK52,Norm_Stats!$F$24),Norm_Stats!$G$24)-Norm_Stats!$F$24)/(Norm_Stats!$G$24-Norm_Stats!$F$24)))))="",0,0.2)))</f>
        <v/>
      </c>
      <c r="BE52" s="11">
        <f>IF(OR(City_Inputs!$AH52="",Norm_Stats!$F$25="",Norm_Stats!$G$25="",Norm_Stats!$G$25=Norm_Stats!$F$25),"",MAX(0,MIN(100,100*(Norm_Stats!$G$25-MIN(MAX(City_Inputs!$AH52,Norm_Stats!$F$25),Norm_Stats!$G$25))/(Norm_Stats!$G$25-Norm_Stats!$F$25))))</f>
        <v/>
      </c>
      <c r="BF52" s="14">
        <f>IF(BE52="","",1)</f>
        <v/>
      </c>
      <c r="BG52" s="15">
        <f>IF((IF(AY52="",0,6)+IF(BA52="",0,5)+IF(BC52="",0,5)+IF(BE52="",0,4))=0,"",(IF(AY52="",0,AY52*6)+IF(BA52="",0,BA52*5)+IF(BC52="",0,BC52*5)+IF(BE52="",0,BE52*4))/(IF(AY52="",0,6)+IF(BA52="",0,5)+IF(BC52="",0,5)+IF(BE52="",0,4)))</f>
        <v/>
      </c>
      <c r="BH52" s="14">
        <f>IF((IF(AZ52="",0,6)+IF(BB52="",0,5)+IF(BD52="",0,5)+IF(BF52="",0,4))=0,"",(IF(AZ52="",0,AZ52*6)+IF(BB52="",0,BB52*5)+IF(BD52="",0,BD52*5)+IF(BF52="",0,BF52*4))/20)</f>
        <v/>
      </c>
      <c r="BI52" s="14">
        <f>IF(AND(R52="",AF52="",AN52="",AX52="",BH52=""),"",((R52*25)+(AF52*22)+(AN52*18)+(AX52*15)+(BH52*20))/100)</f>
        <v/>
      </c>
      <c r="BJ52" s="11">
        <f>IF(BI52="","",IF(BI52&gt;=0.75,"A",IF(BI52&gt;=0.5,"B",IF(BI52&gt;=0.35,"C","Watchlist"))))</f>
        <v/>
      </c>
      <c r="BK52" s="11">
        <f>IF(OR(BI52="",BI52&lt;0.5,R52="",R52&lt;0.35,AF52="",AF52&lt;0.35,AN52="",AN52&lt;0.35,AX52="",AX52&lt;0.35,BH52="",BH52&lt;0.35),"Watchlist","Ranked")</f>
        <v/>
      </c>
      <c r="BL52" s="15">
        <f>IF(AND(Q52="",AE52="",AM52="",AW52="",BG52=""),"",(IF(Q52="",0,Q52*25)+IF(AE52="",0,AE52*22)+IF(AM52="",0,AM52*18)+IF(AW52="",0,AW52*15)+IF(BG52="",0,BG52*20))/(IF(Q52="",0,25)+IF(AE52="",0,22)+IF(AM52="",0,18)+IF(AW52="",0,15)+IF(BG52="",0,20)))</f>
        <v/>
      </c>
      <c r="BM52" s="11">
        <f>IF(BK52="Ranked",1+COUNTIFS($BK$2:$BK$158,"Ranked",$BL$2:$BL$158,"&gt;"&amp;BL52),"")</f>
        <v/>
      </c>
      <c r="BN52" s="11">
        <f>City_Inputs!$AI52</f>
        <v/>
      </c>
    </row>
    <row r="53">
      <c r="A53" t="inlineStr">
        <is>
          <t>pl-krakow</t>
        </is>
      </c>
      <c r="B53" t="inlineStr">
        <is>
          <t>Krakow</t>
        </is>
      </c>
      <c r="C53" t="inlineStr">
        <is>
          <t>Poland</t>
        </is>
      </c>
      <c r="D53" t="inlineStr">
        <is>
          <t>Southern/Eastern Europe and Eurasia</t>
        </is>
      </c>
      <c r="E53" t="inlineStr">
        <is>
          <t>locked</t>
        </is>
      </c>
      <c r="F53" t="inlineStr">
        <is>
          <t>primary</t>
        </is>
      </c>
      <c r="G53" s="11">
        <f>IF(OR(City_Inputs!$M53="",Norm_Stats!$F$2="",Norm_Stats!$G$2="",Norm_Stats!$G$2=Norm_Stats!$F$2),"",MAX(0,MIN(100,100*(MIN(MAX(City_Inputs!$M53,Norm_Stats!$F$2),Norm_Stats!$G$2)-Norm_Stats!$F$2)/(Norm_Stats!$G$2-Norm_Stats!$F$2))))</f>
        <v/>
      </c>
      <c r="H53" s="14">
        <f>IF(G53="","",1)</f>
        <v/>
      </c>
      <c r="I53" s="11">
        <f>IF(OR(City_Inputs!$N53="",Norm_Stats!$F$3="",Norm_Stats!$G$3="",Norm_Stats!$G$3=Norm_Stats!$F$3),"",MAX(0,MIN(100,100*(Norm_Stats!$G$3-MIN(MAX(City_Inputs!$N53,Norm_Stats!$F$3),Norm_Stats!$G$3))/(Norm_Stats!$G$3-Norm_Stats!$F$3))))</f>
        <v/>
      </c>
      <c r="J53" s="14">
        <f>IF(I53="","",1)</f>
        <v/>
      </c>
      <c r="K53" s="11">
        <f>IF(OR(City_Inputs!$P53="",Norm_Stats!$F$4="",Norm_Stats!$G$4="",Norm_Stats!$G$4=Norm_Stats!$F$4),"",MAX(0,MIN(100,100*(Norm_Stats!$G$4-MIN(MAX(City_Inputs!$P53,Norm_Stats!$F$4),Norm_Stats!$G$4))/(Norm_Stats!$G$4-Norm_Stats!$F$4))))</f>
        <v/>
      </c>
      <c r="L53" s="14">
        <f>IF(K53="","",1)</f>
        <v/>
      </c>
      <c r="M53" s="11">
        <f>IF(OR(City_Inputs!$Q53="",Norm_Stats!$F$5="",Norm_Stats!$G$5="",Norm_Stats!$G$5=Norm_Stats!$F$5),"",MAX(0,MIN(100,100*(Norm_Stats!$G$5-MIN(MAX(City_Inputs!$Q53,Norm_Stats!$F$5),Norm_Stats!$G$5))/(Norm_Stats!$G$5-Norm_Stats!$F$5))))</f>
        <v/>
      </c>
      <c r="N53" s="14">
        <f>IF(M53="","",1)</f>
        <v/>
      </c>
      <c r="O53" s="11">
        <f>IF(OR(City_Inputs!$R53="",Norm_Stats!$F$6="",Norm_Stats!$G$6="",Norm_Stats!$G$6=Norm_Stats!$F$6),"",MAX(0,MIN(100,100*(Norm_Stats!$G$6-MIN(MAX(City_Inputs!$R53,Norm_Stats!$F$6),Norm_Stats!$G$6))/(Norm_Stats!$G$6-Norm_Stats!$F$6))))</f>
        <v/>
      </c>
      <c r="P53" s="14">
        <f>IF(O53="","",1)</f>
        <v/>
      </c>
      <c r="Q53" s="15">
        <f>IF((IF(G53="",0,9)+IF(I53="",0,5)+IF(K53="",0,4)+IF(M53="",0,4)+IF(O53="",0,5))=0,"",(IF(G53="",0,G53*9)+IF(I53="",0,I53*5)+IF(K53="",0,K53*4)+IF(M53="",0,M53*4)+IF(O53="",0,O53*5))/(IF(G53="",0,9)+IF(I53="",0,5)+IF(K53="",0,4)+IF(M53="",0,4)+IF(O53="",0,5)))</f>
        <v/>
      </c>
      <c r="R53" s="14">
        <f>IF((IF(H53="",0,9)+IF(J53="",0,5)+IF(L53="",0,4)+IF(N53="",0,4)+IF(P53="",0,5))=0,"",(IF(H53="",0,H53*9)+IF(J53="",0,J53*5)+IF(L53="",0,L53*4)+IF(N53="",0,N53*4)+IF(P53="",0,P53*5))/27)</f>
        <v/>
      </c>
      <c r="S53" s="11">
        <f>IF(OR(City_Inputs!$S53="",Norm_Stats!$F$7="",Norm_Stats!$G$7="",Norm_Stats!$G$7=Norm_Stats!$F$7),"",MAX(0,MIN(100,100*(Norm_Stats!$G$7-MIN(MAX(City_Inputs!$S53,Norm_Stats!$F$7),Norm_Stats!$G$7))/(Norm_Stats!$G$7-Norm_Stats!$F$7))))</f>
        <v/>
      </c>
      <c r="T53" s="14">
        <f>IF(S53="","",1)</f>
        <v/>
      </c>
      <c r="U53" s="11">
        <f>IF(OR(City_Inputs!$T53="",Norm_Stats!$F$8="",Norm_Stats!$G$8="",Norm_Stats!$G$8=Norm_Stats!$F$8),"",MAX(0,MIN(100,100*(MIN(MAX(City_Inputs!$T53,Norm_Stats!$F$8),Norm_Stats!$G$8)-Norm_Stats!$F$8)/(Norm_Stats!$G$8-Norm_Stats!$F$8))))</f>
        <v/>
      </c>
      <c r="V53" s="14">
        <f>IF(U53="","",1)</f>
        <v/>
      </c>
      <c r="W53" s="11">
        <f>IF(OR(City_Inputs!$U53="",Norm_Stats!$F$9="",Norm_Stats!$G$9="",Norm_Stats!$G$9=Norm_Stats!$F$9),"",MAX(0,MIN(100,100*(Norm_Stats!$G$9-MIN(MAX(City_Inputs!$U53,Norm_Stats!$F$9),Norm_Stats!$G$9))/(Norm_Stats!$G$9-Norm_Stats!$F$9))))</f>
        <v/>
      </c>
      <c r="X53" s="14">
        <f>IF(W53="","",1)</f>
        <v/>
      </c>
      <c r="Y53" s="11">
        <f>IF(OR(City_Inputs!$V53="",Norm_Stats!$F$10="",Norm_Stats!$G$10="",Norm_Stats!$G$10=Norm_Stats!$F$10),"",MAX(0,MIN(100,100*(MIN(MAX(City_Inputs!$V53,Norm_Stats!$F$10),Norm_Stats!$G$10)-Norm_Stats!$F$10)/(Norm_Stats!$G$10-Norm_Stats!$F$10))))</f>
        <v/>
      </c>
      <c r="Z53" s="14">
        <f>IF(Y53="","",1)</f>
        <v/>
      </c>
      <c r="AA53" s="11">
        <f>IF(OR(City_Inputs!$W53="",Norm_Stats!$F$11="",Norm_Stats!$G$11="",Norm_Stats!$G$11=Norm_Stats!$F$11),"",MAX(0,MIN(100,100*(MIN(MAX(City_Inputs!$W53,Norm_Stats!$F$11),Norm_Stats!$G$11)-Norm_Stats!$F$11)/(Norm_Stats!$G$11-Norm_Stats!$F$11))))</f>
        <v/>
      </c>
      <c r="AB53" s="14">
        <f>IF(AA53="","",1)</f>
        <v/>
      </c>
      <c r="AC53" s="11">
        <f>IF(OR(City_Inputs!$X53="",Norm_Stats!$F$12="",Norm_Stats!$G$12="",Norm_Stats!$G$12=Norm_Stats!$F$12),"",MAX(0,MIN(100,100*(MIN(MAX(City_Inputs!$X53,Norm_Stats!$F$12),Norm_Stats!$G$12)-Norm_Stats!$F$12)/(Norm_Stats!$G$12-Norm_Stats!$F$12))))</f>
        <v/>
      </c>
      <c r="AD53" s="11">
        <f>IF(AC53="","",1)</f>
        <v/>
      </c>
      <c r="AE53" s="15">
        <f>IF((IF(S53="",0,5)+IF(U53="",0,5)+IF(W53="",0,4)+IF(Y53="",0,4)+IF(AA53="",0,4)+IF(AC53="",0,5))=0,"",(IF(S53="",0,S53*5)+IF(U53="",0,U53*5)+IF(W53="",0,W53*4)+IF(Y53="",0,Y53*4)+IF(AA53="",0,AA53*4)+IF(AC53="",0,AC53*5))/(IF(S53="",0,5)+IF(U53="",0,5)+IF(W53="",0,4)+IF(Y53="",0,4)+IF(AA53="",0,4)+IF(AC53="",0,5)))</f>
        <v/>
      </c>
      <c r="AF53" s="14">
        <f>IF((IF(T53="",0,5)+IF(V53="",0,5)+IF(X53="",0,4)+IF(Z53="",0,4)+IF(AB53="",0,4)+IF(AD53="",0,5))=0,"",(IF(T53="",0,T53*5)+IF(V53="",0,V53*5)+IF(X53="",0,X53*4)+IF(Z53="",0,Z53*4)+IF(AB53="",0,AB53*4)+IF(AD53="",0,AD53*5))/27)</f>
        <v/>
      </c>
      <c r="AG53" s="11">
        <f>IF(OR(City_Inputs!$Y53="",Norm_Stats!$F$13="",Norm_Stats!$G$13="",Norm_Stats!$G$13=Norm_Stats!$F$13),"",MAX(0,MIN(100,100*(MIN(MAX(City_Inputs!$Y53,Norm_Stats!$F$13),Norm_Stats!$G$13)-Norm_Stats!$F$13)/(Norm_Stats!$G$13-Norm_Stats!$F$13))))</f>
        <v/>
      </c>
      <c r="AH53" s="14">
        <f>IF(AG53="","",1)</f>
        <v/>
      </c>
      <c r="AI53" s="11">
        <f>IF(OR(City_Inputs!$Z53="",Norm_Stats!$F$14="",Norm_Stats!$G$14="",Norm_Stats!$G$14=Norm_Stats!$F$14),"",MAX(0,MIN(100,100*(MIN(MAX(City_Inputs!$Z53,Norm_Stats!$F$14),Norm_Stats!$G$14)-Norm_Stats!$F$14)/(Norm_Stats!$G$14-Norm_Stats!$F$14))))</f>
        <v/>
      </c>
      <c r="AJ53" s="14">
        <f>IF(AI53="","",1)</f>
        <v/>
      </c>
      <c r="AK53" s="11">
        <f>IF((IF((IF(OR(City_Inputs!$AA53="",Norm_Stats!$F$15="",Norm_Stats!$G$15="",Norm_Stats!$G$15=Norm_Stats!$F$15),"",MAX(0,MIN(100,100*(MIN(MAX(City_Inputs!$AA53,Norm_Stats!$F$15),Norm_Stats!$G$15)-Norm_Stats!$F$15)/(Norm_Stats!$G$15-Norm_Stats!$F$15)))))="",0,0.7)+IF((IF(OR(City_Inputs!$AL53="",Norm_Stats!$F$16="",Norm_Stats!$G$16="",Norm_Stats!$G$16=Norm_Stats!$F$16),"",MAX(0,MIN(100,100*(Norm_Stats!$G$16-MIN(MAX(City_Inputs!$AL53,Norm_Stats!$F$16),Norm_Stats!$G$16))/(Norm_Stats!$G$16-Norm_Stats!$F$16)))))="",0,0.3))=0,"",(IF((IF(OR(City_Inputs!$AA53="",Norm_Stats!$F$15="",Norm_Stats!$G$15="",Norm_Stats!$G$15=Norm_Stats!$F$15),"",MAX(0,MIN(100,100*(MIN(MAX(City_Inputs!$AA53,Norm_Stats!$F$15),Norm_Stats!$G$15)-Norm_Stats!$F$15)/(Norm_Stats!$G$15-Norm_Stats!$F$15)))))="",0,(IF(OR(City_Inputs!$AA53="",Norm_Stats!$F$15="",Norm_Stats!$G$15="",Norm_Stats!$G$15=Norm_Stats!$F$15),"",MAX(0,MIN(100,100*(MIN(MAX(City_Inputs!$AA53,Norm_Stats!$F$15),Norm_Stats!$G$15)-Norm_Stats!$F$15)/(Norm_Stats!$G$15-Norm_Stats!$F$15)))))*0.7)+IF((IF(OR(City_Inputs!$AL53="",Norm_Stats!$F$16="",Norm_Stats!$G$16="",Norm_Stats!$G$16=Norm_Stats!$F$16),"",MAX(0,MIN(100,100*(Norm_Stats!$G$16-MIN(MAX(City_Inputs!$AL53,Norm_Stats!$F$16),Norm_Stats!$G$16))/(Norm_Stats!$G$16-Norm_Stats!$F$16)))))="",0,(IF(OR(City_Inputs!$AL53="",Norm_Stats!$F$16="",Norm_Stats!$G$16="",Norm_Stats!$G$16=Norm_Stats!$F$16),"",MAX(0,MIN(100,100*(Norm_Stats!$G$16-MIN(MAX(City_Inputs!$AL53,Norm_Stats!$F$16),Norm_Stats!$G$16))/(Norm_Stats!$G$16-Norm_Stats!$F$16)))))*0.3))/(IF((IF(OR(City_Inputs!$AA53="",Norm_Stats!$F$15="",Norm_Stats!$G$15="",Norm_Stats!$G$15=Norm_Stats!$F$15),"",MAX(0,MIN(100,100*(MIN(MAX(City_Inputs!$AA53,Norm_Stats!$F$15),Norm_Stats!$G$15)-Norm_Stats!$F$15)/(Norm_Stats!$G$15-Norm_Stats!$F$15)))))="",0,0.7)+IF((IF(OR(City_Inputs!$AL53="",Norm_Stats!$F$16="",Norm_Stats!$G$16="",Norm_Stats!$G$16=Norm_Stats!$F$16),"",MAX(0,MIN(100,100*(Norm_Stats!$G$16-MIN(MAX(City_Inputs!$AL53,Norm_Stats!$F$16),Norm_Stats!$G$16))/(Norm_Stats!$G$16-Norm_Stats!$F$16)))))="",0,0.3)))</f>
        <v/>
      </c>
      <c r="AL53" s="14">
        <f>IF((IF((IF(OR(City_Inputs!$AA53="",Norm_Stats!$F$15="",Norm_Stats!$G$15="",Norm_Stats!$G$15=Norm_Stats!$F$15),"",MAX(0,MIN(100,100*(MIN(MAX(City_Inputs!$AA53,Norm_Stats!$F$15),Norm_Stats!$G$15)-Norm_Stats!$F$15)/(Norm_Stats!$G$15-Norm_Stats!$F$15)))))="",0,0.7)+IF((IF(OR(City_Inputs!$AL53="",Norm_Stats!$F$16="",Norm_Stats!$G$16="",Norm_Stats!$G$16=Norm_Stats!$F$16),"",MAX(0,MIN(100,100*(Norm_Stats!$G$16-MIN(MAX(City_Inputs!$AL53,Norm_Stats!$F$16),Norm_Stats!$G$16))/(Norm_Stats!$G$16-Norm_Stats!$F$16)))))="",0,0.3))=0,"",(IF((IF(OR(City_Inputs!$AA53="",Norm_Stats!$F$15="",Norm_Stats!$G$15="",Norm_Stats!$G$15=Norm_Stats!$F$15),"",MAX(0,MIN(100,100*(MIN(MAX(City_Inputs!$AA53,Norm_Stats!$F$15),Norm_Stats!$G$15)-Norm_Stats!$F$15)/(Norm_Stats!$G$15-Norm_Stats!$F$15)))))="",0,0.7)+IF((IF(OR(City_Inputs!$AL53="",Norm_Stats!$F$16="",Norm_Stats!$G$16="",Norm_Stats!$G$16=Norm_Stats!$F$16),"",MAX(0,MIN(100,100*(Norm_Stats!$G$16-MIN(MAX(City_Inputs!$AL53,Norm_Stats!$F$16),Norm_Stats!$G$16))/(Norm_Stats!$G$16-Norm_Stats!$F$16)))))="",0,0.3)))</f>
        <v/>
      </c>
      <c r="AM53" s="15">
        <f>IF((IF(AG53="",0,8)+IF(AI53="",0,6)+IF(AK53="",0,4))=0,"",(IF(AG53="",0,AG53*8)+IF(AI53="",0,AI53*6)+IF(AK53="",0,AK53*4))/(IF(AG53="",0,8)+IF(AI53="",0,6)+IF(AK53="",0,4)))</f>
        <v/>
      </c>
      <c r="AN53" s="14">
        <f>IF((IF(AH53="",0,8)+IF(AJ53="",0,6)+IF(AL53="",0,4))=0,"",(IF(AH53="",0,AH53*8)+IF(AJ53="",0,AJ53*6)+IF(AL53="",0,AL53*4))/18)</f>
        <v/>
      </c>
      <c r="AO53" s="11">
        <f>IF(OR(City_Inputs!$AB53="",Norm_Stats!$F$17="",Norm_Stats!$G$17="",Norm_Stats!$G$17=Norm_Stats!$F$17),"",MAX(0,MIN(100,100*(MIN(MAX(City_Inputs!$AB53,Norm_Stats!$F$17),Norm_Stats!$G$17)-Norm_Stats!$F$17)/(Norm_Stats!$G$17-Norm_Stats!$F$17))))</f>
        <v/>
      </c>
      <c r="AP53" s="14">
        <f>IF(AO53="","",1)</f>
        <v/>
      </c>
      <c r="AQ53" s="11">
        <f>IF(OR(City_Inputs!$AC53="",Norm_Stats!$F$18="",Norm_Stats!$G$18="",Norm_Stats!$G$18=Norm_Stats!$F$18),"",MAX(0,MIN(100,100*(MIN(MAX(City_Inputs!$AC53,Norm_Stats!$F$18),Norm_Stats!$G$18)-Norm_Stats!$F$18)/(Norm_Stats!$G$18-Norm_Stats!$F$18))))</f>
        <v/>
      </c>
      <c r="AR53" s="14">
        <f>IF(AQ53="","",1)</f>
        <v/>
      </c>
      <c r="AS53" s="11">
        <f>IF(OR(City_Inputs!$AD53="",Norm_Stats!$F$19="",Norm_Stats!$G$19="",Norm_Stats!$G$19=Norm_Stats!$F$19),"",MAX(0,MIN(100,100*(MIN(MAX(City_Inputs!$AD53,Norm_Stats!$F$19),Norm_Stats!$G$19)-Norm_Stats!$F$19)/(Norm_Stats!$G$19-Norm_Stats!$F$19))))</f>
        <v/>
      </c>
      <c r="AT53" s="14">
        <f>IF(AS53="","",1)</f>
        <v/>
      </c>
      <c r="AU53" s="11">
        <f>IF(OR(City_Inputs!$BJ53="",Norm_Stats!$F$26="",Norm_Stats!$G$26="",Norm_Stats!$G$26=Norm_Stats!$F$26),"",MAX(0,MIN(100,100*(MIN(MAX(City_Inputs!$BJ53,Norm_Stats!$F$26),Norm_Stats!$G$26)-Norm_Stats!$F$26)/(Norm_Stats!$G$26-Norm_Stats!$F$26))))</f>
        <v/>
      </c>
      <c r="AV53" s="11">
        <f>IF(AU53="","",1)</f>
        <v/>
      </c>
      <c r="AW53" s="15">
        <f>IF((IF(AO53="",0,5)+IF(AQ53="",0,5)+IF(AS53="",0,5)+IF(AU53="",0,4))=0,"",(IF(AO53="",0,AO53*5)+IF(AQ53="",0,AQ53*5)+IF(AS53="",0,AS53*5)+IF(AU53="",0,AU53*4))/(IF(AO53="",0,5)+IF(AQ53="",0,5)+IF(AS53="",0,5)+IF(AU53="",0,4)))</f>
        <v/>
      </c>
      <c r="AX53" s="14">
        <f>IF((IF(AP53="",0,5)+IF(AR53="",0,5)+IF(AT53="",0,5)+IF(AV53="",0,4))=0,"",(IF(AP53="",0,AP53*5)+IF(AR53="",0,AR53*5)+IF(AT53="",0,AT53*5)+IF(AV53="",0,AV53*4))/19)</f>
        <v/>
      </c>
      <c r="AY53" s="11">
        <f>IF(OR(City_Inputs!$AE53="",Norm_Stats!$F$20="",Norm_Stats!$G$20="",Norm_Stats!$G$20=Norm_Stats!$F$20),"",MAX(0,MIN(100,100*(MIN(MAX(City_Inputs!$AE53,Norm_Stats!$F$20),Norm_Stats!$G$20)-Norm_Stats!$F$20)/(Norm_Stats!$G$20-Norm_Stats!$F$20))))</f>
        <v/>
      </c>
      <c r="AZ53" s="14">
        <f>IF(AY53="","",1)</f>
        <v/>
      </c>
      <c r="BA53" s="11">
        <f>IF(OR(City_Inputs!$AF53="",Norm_Stats!$F$21="",Norm_Stats!$G$21="",Norm_Stats!$G$21=Norm_Stats!$F$21),"",MAX(0,MIN(100,100*(MIN(MAX(City_Inputs!$AF53,Norm_Stats!$F$21),Norm_Stats!$G$21)-Norm_Stats!$F$21)/(Norm_Stats!$G$21-Norm_Stats!$F$21))))</f>
        <v/>
      </c>
      <c r="BB53" s="14">
        <f>IF(BA53="","",1)</f>
        <v/>
      </c>
      <c r="BC53" s="11">
        <f>IF((IF((IF(OR(City_Inputs!$AG53="",Norm_Stats!$F$22="",Norm_Stats!$G$22="",Norm_Stats!$G$22=Norm_Stats!$F$22),"",MAX(0,MIN(100,100*(MIN(MAX(City_Inputs!$AG53,Norm_Stats!$F$22),Norm_Stats!$G$22)-Norm_Stats!$F$22)/(Norm_Stats!$G$22-Norm_Stats!$F$22)))))="",0,0.5)+IF((IF(OR(City_Inputs!$AJ53="",Norm_Stats!$F$23="",Norm_Stats!$G$23="",Norm_Stats!$G$23=Norm_Stats!$F$23),"",MAX(0,MIN(100,100*(MIN(MAX(City_Inputs!$AJ53,Norm_Stats!$F$23),Norm_Stats!$G$23)-Norm_Stats!$F$23)/(Norm_Stats!$G$23-Norm_Stats!$F$23)))))="",0,0.3)+IF((IF(OR(City_Inputs!$AK53="",Norm_Stats!$F$24="",Norm_Stats!$G$24="",Norm_Stats!$G$24=Norm_Stats!$F$24),"",MAX(0,MIN(100,100*(MIN(MAX(City_Inputs!$AK53,Norm_Stats!$F$24),Norm_Stats!$G$24)-Norm_Stats!$F$24)/(Norm_Stats!$G$24-Norm_Stats!$F$24)))))="",0,0.2))=0,"",(IF((IF(OR(City_Inputs!$AG53="",Norm_Stats!$F$22="",Norm_Stats!$G$22="",Norm_Stats!$G$22=Norm_Stats!$F$22),"",MAX(0,MIN(100,100*(MIN(MAX(City_Inputs!$AG53,Norm_Stats!$F$22),Norm_Stats!$G$22)-Norm_Stats!$F$22)/(Norm_Stats!$G$22-Norm_Stats!$F$22)))))="",0,(IF(OR(City_Inputs!$AG53="",Norm_Stats!$F$22="",Norm_Stats!$G$22="",Norm_Stats!$G$22=Norm_Stats!$F$22),"",MAX(0,MIN(100,100*(MIN(MAX(City_Inputs!$AG53,Norm_Stats!$F$22),Norm_Stats!$G$22)-Norm_Stats!$F$22)/(Norm_Stats!$G$22-Norm_Stats!$F$22)))))*0.5)+IF((IF(OR(City_Inputs!$AJ53="",Norm_Stats!$F$23="",Norm_Stats!$G$23="",Norm_Stats!$G$23=Norm_Stats!$F$23),"",MAX(0,MIN(100,100*(MIN(MAX(City_Inputs!$AJ53,Norm_Stats!$F$23),Norm_Stats!$G$23)-Norm_Stats!$F$23)/(Norm_Stats!$G$23-Norm_Stats!$F$23)))))="",0,(IF(OR(City_Inputs!$AJ53="",Norm_Stats!$F$23="",Norm_Stats!$G$23="",Norm_Stats!$G$23=Norm_Stats!$F$23),"",MAX(0,MIN(100,100*(MIN(MAX(City_Inputs!$AJ53,Norm_Stats!$F$23),Norm_Stats!$G$23)-Norm_Stats!$F$23)/(Norm_Stats!$G$23-Norm_Stats!$F$23)))))*0.3)+IF((IF(OR(City_Inputs!$AK53="",Norm_Stats!$F$24="",Norm_Stats!$G$24="",Norm_Stats!$G$24=Norm_Stats!$F$24),"",MAX(0,MIN(100,100*(MIN(MAX(City_Inputs!$AK53,Norm_Stats!$F$24),Norm_Stats!$G$24)-Norm_Stats!$F$24)/(Norm_Stats!$G$24-Norm_Stats!$F$24)))))="",0,(IF(OR(City_Inputs!$AK53="",Norm_Stats!$F$24="",Norm_Stats!$G$24="",Norm_Stats!$G$24=Norm_Stats!$F$24),"",MAX(0,MIN(100,100*(MIN(MAX(City_Inputs!$AK53,Norm_Stats!$F$24),Norm_Stats!$G$24)-Norm_Stats!$F$24)/(Norm_Stats!$G$24-Norm_Stats!$F$24)))))*0.2))/(IF((IF(OR(City_Inputs!$AG53="",Norm_Stats!$F$22="",Norm_Stats!$G$22="",Norm_Stats!$G$22=Norm_Stats!$F$22),"",MAX(0,MIN(100,100*(MIN(MAX(City_Inputs!$AG53,Norm_Stats!$F$22),Norm_Stats!$G$22)-Norm_Stats!$F$22)/(Norm_Stats!$G$22-Norm_Stats!$F$22)))))="",0,0.5)+IF((IF(OR(City_Inputs!$AJ53="",Norm_Stats!$F$23="",Norm_Stats!$G$23="",Norm_Stats!$G$23=Norm_Stats!$F$23),"",MAX(0,MIN(100,100*(MIN(MAX(City_Inputs!$AJ53,Norm_Stats!$F$23),Norm_Stats!$G$23)-Norm_Stats!$F$23)/(Norm_Stats!$G$23-Norm_Stats!$F$23)))))="",0,0.3)+IF((IF(OR(City_Inputs!$AK53="",Norm_Stats!$F$24="",Norm_Stats!$G$24="",Norm_Stats!$G$24=Norm_Stats!$F$24),"",MAX(0,MIN(100,100*(MIN(MAX(City_Inputs!$AK53,Norm_Stats!$F$24),Norm_Stats!$G$24)-Norm_Stats!$F$24)/(Norm_Stats!$G$24-Norm_Stats!$F$24)))))="",0,0.2)))</f>
        <v/>
      </c>
      <c r="BD53" s="14">
        <f>IF((IF((IF(OR(City_Inputs!$AG53="",Norm_Stats!$F$22="",Norm_Stats!$G$22="",Norm_Stats!$G$22=Norm_Stats!$F$22),"",MAX(0,MIN(100,100*(MIN(MAX(City_Inputs!$AG53,Norm_Stats!$F$22),Norm_Stats!$G$22)-Norm_Stats!$F$22)/(Norm_Stats!$G$22-Norm_Stats!$F$22)))))="",0,0.5)+IF((IF(OR(City_Inputs!$AJ53="",Norm_Stats!$F$23="",Norm_Stats!$G$23="",Norm_Stats!$G$23=Norm_Stats!$F$23),"",MAX(0,MIN(100,100*(MIN(MAX(City_Inputs!$AJ53,Norm_Stats!$F$23),Norm_Stats!$G$23)-Norm_Stats!$F$23)/(Norm_Stats!$G$23-Norm_Stats!$F$23)))))="",0,0.3)+IF((IF(OR(City_Inputs!$AK53="",Norm_Stats!$F$24="",Norm_Stats!$G$24="",Norm_Stats!$G$24=Norm_Stats!$F$24),"",MAX(0,MIN(100,100*(MIN(MAX(City_Inputs!$AK53,Norm_Stats!$F$24),Norm_Stats!$G$24)-Norm_Stats!$F$24)/(Norm_Stats!$G$24-Norm_Stats!$F$24)))))="",0,0.2))=0,"",(IF((IF(OR(City_Inputs!$AG53="",Norm_Stats!$F$22="",Norm_Stats!$G$22="",Norm_Stats!$G$22=Norm_Stats!$F$22),"",MAX(0,MIN(100,100*(MIN(MAX(City_Inputs!$AG53,Norm_Stats!$F$22),Norm_Stats!$G$22)-Norm_Stats!$F$22)/(Norm_Stats!$G$22-Norm_Stats!$F$22)))))="",0,0.5)+IF((IF(OR(City_Inputs!$AJ53="",Norm_Stats!$F$23="",Norm_Stats!$G$23="",Norm_Stats!$G$23=Norm_Stats!$F$23),"",MAX(0,MIN(100,100*(MIN(MAX(City_Inputs!$AJ53,Norm_Stats!$F$23),Norm_Stats!$G$23)-Norm_Stats!$F$23)/(Norm_Stats!$G$23-Norm_Stats!$F$23)))))="",0,0.3)+IF((IF(OR(City_Inputs!$AK53="",Norm_Stats!$F$24="",Norm_Stats!$G$24="",Norm_Stats!$G$24=Norm_Stats!$F$24),"",MAX(0,MIN(100,100*(MIN(MAX(City_Inputs!$AK53,Norm_Stats!$F$24),Norm_Stats!$G$24)-Norm_Stats!$F$24)/(Norm_Stats!$G$24-Norm_Stats!$F$24)))))="",0,0.2)))</f>
        <v/>
      </c>
      <c r="BE53" s="11">
        <f>IF(OR(City_Inputs!$AH53="",Norm_Stats!$F$25="",Norm_Stats!$G$25="",Norm_Stats!$G$25=Norm_Stats!$F$25),"",MAX(0,MIN(100,100*(Norm_Stats!$G$25-MIN(MAX(City_Inputs!$AH53,Norm_Stats!$F$25),Norm_Stats!$G$25))/(Norm_Stats!$G$25-Norm_Stats!$F$25))))</f>
        <v/>
      </c>
      <c r="BF53" s="14">
        <f>IF(BE53="","",1)</f>
        <v/>
      </c>
      <c r="BG53" s="15">
        <f>IF((IF(AY53="",0,6)+IF(BA53="",0,5)+IF(BC53="",0,5)+IF(BE53="",0,4))=0,"",(IF(AY53="",0,AY53*6)+IF(BA53="",0,BA53*5)+IF(BC53="",0,BC53*5)+IF(BE53="",0,BE53*4))/(IF(AY53="",0,6)+IF(BA53="",0,5)+IF(BC53="",0,5)+IF(BE53="",0,4)))</f>
        <v/>
      </c>
      <c r="BH53" s="14">
        <f>IF((IF(AZ53="",0,6)+IF(BB53="",0,5)+IF(BD53="",0,5)+IF(BF53="",0,4))=0,"",(IF(AZ53="",0,AZ53*6)+IF(BB53="",0,BB53*5)+IF(BD53="",0,BD53*5)+IF(BF53="",0,BF53*4))/20)</f>
        <v/>
      </c>
      <c r="BI53" s="14">
        <f>IF(AND(R53="",AF53="",AN53="",AX53="",BH53=""),"",((R53*25)+(AF53*22)+(AN53*18)+(AX53*15)+(BH53*20))/100)</f>
        <v/>
      </c>
      <c r="BJ53" s="11">
        <f>IF(BI53="","",IF(BI53&gt;=0.75,"A",IF(BI53&gt;=0.5,"B",IF(BI53&gt;=0.35,"C","Watchlist"))))</f>
        <v/>
      </c>
      <c r="BK53" s="11">
        <f>IF(OR(BI53="",BI53&lt;0.5,R53="",R53&lt;0.35,AF53="",AF53&lt;0.35,AN53="",AN53&lt;0.35,AX53="",AX53&lt;0.35,BH53="",BH53&lt;0.35),"Watchlist","Ranked")</f>
        <v/>
      </c>
      <c r="BL53" s="15">
        <f>IF(AND(Q53="",AE53="",AM53="",AW53="",BG53=""),"",(IF(Q53="",0,Q53*25)+IF(AE53="",0,AE53*22)+IF(AM53="",0,AM53*18)+IF(AW53="",0,AW53*15)+IF(BG53="",0,BG53*20))/(IF(Q53="",0,25)+IF(AE53="",0,22)+IF(AM53="",0,18)+IF(AW53="",0,15)+IF(BG53="",0,20)))</f>
        <v/>
      </c>
      <c r="BM53" s="11">
        <f>IF(BK53="Ranked",1+COUNTIFS($BK$2:$BK$158,"Ranked",$BL$2:$BL$158,"&gt;"&amp;BL53),"")</f>
        <v/>
      </c>
      <c r="BN53" s="11">
        <f>City_Inputs!$AI53</f>
        <v/>
      </c>
    </row>
    <row r="54">
      <c r="A54" t="inlineStr">
        <is>
          <t>ro-bucharest</t>
        </is>
      </c>
      <c r="B54" t="inlineStr">
        <is>
          <t>Bucharest</t>
        </is>
      </c>
      <c r="C54" t="inlineStr">
        <is>
          <t>Romania</t>
        </is>
      </c>
      <c r="D54" t="inlineStr">
        <is>
          <t>Southern/Eastern Europe and Eurasia</t>
        </is>
      </c>
      <c r="E54" t="inlineStr">
        <is>
          <t>locked</t>
        </is>
      </c>
      <c r="F54" t="inlineStr">
        <is>
          <t>primary</t>
        </is>
      </c>
      <c r="G54" s="11">
        <f>IF(OR(City_Inputs!$M54="",Norm_Stats!$F$2="",Norm_Stats!$G$2="",Norm_Stats!$G$2=Norm_Stats!$F$2),"",MAX(0,MIN(100,100*(MIN(MAX(City_Inputs!$M54,Norm_Stats!$F$2),Norm_Stats!$G$2)-Norm_Stats!$F$2)/(Norm_Stats!$G$2-Norm_Stats!$F$2))))</f>
        <v/>
      </c>
      <c r="H54" s="14">
        <f>IF(G54="","",1)</f>
        <v/>
      </c>
      <c r="I54" s="11">
        <f>IF(OR(City_Inputs!$N54="",Norm_Stats!$F$3="",Norm_Stats!$G$3="",Norm_Stats!$G$3=Norm_Stats!$F$3),"",MAX(0,MIN(100,100*(Norm_Stats!$G$3-MIN(MAX(City_Inputs!$N54,Norm_Stats!$F$3),Norm_Stats!$G$3))/(Norm_Stats!$G$3-Norm_Stats!$F$3))))</f>
        <v/>
      </c>
      <c r="J54" s="14">
        <f>IF(I54="","",1)</f>
        <v/>
      </c>
      <c r="K54" s="11">
        <f>IF(OR(City_Inputs!$P54="",Norm_Stats!$F$4="",Norm_Stats!$G$4="",Norm_Stats!$G$4=Norm_Stats!$F$4),"",MAX(0,MIN(100,100*(Norm_Stats!$G$4-MIN(MAX(City_Inputs!$P54,Norm_Stats!$F$4),Norm_Stats!$G$4))/(Norm_Stats!$G$4-Norm_Stats!$F$4))))</f>
        <v/>
      </c>
      <c r="L54" s="14">
        <f>IF(K54="","",1)</f>
        <v/>
      </c>
      <c r="M54" s="11">
        <f>IF(OR(City_Inputs!$Q54="",Norm_Stats!$F$5="",Norm_Stats!$G$5="",Norm_Stats!$G$5=Norm_Stats!$F$5),"",MAX(0,MIN(100,100*(Norm_Stats!$G$5-MIN(MAX(City_Inputs!$Q54,Norm_Stats!$F$5),Norm_Stats!$G$5))/(Norm_Stats!$G$5-Norm_Stats!$F$5))))</f>
        <v/>
      </c>
      <c r="N54" s="14">
        <f>IF(M54="","",1)</f>
        <v/>
      </c>
      <c r="O54" s="11">
        <f>IF(OR(City_Inputs!$R54="",Norm_Stats!$F$6="",Norm_Stats!$G$6="",Norm_Stats!$G$6=Norm_Stats!$F$6),"",MAX(0,MIN(100,100*(Norm_Stats!$G$6-MIN(MAX(City_Inputs!$R54,Norm_Stats!$F$6),Norm_Stats!$G$6))/(Norm_Stats!$G$6-Norm_Stats!$F$6))))</f>
        <v/>
      </c>
      <c r="P54" s="14">
        <f>IF(O54="","",1)</f>
        <v/>
      </c>
      <c r="Q54" s="15">
        <f>IF((IF(G54="",0,9)+IF(I54="",0,5)+IF(K54="",0,4)+IF(M54="",0,4)+IF(O54="",0,5))=0,"",(IF(G54="",0,G54*9)+IF(I54="",0,I54*5)+IF(K54="",0,K54*4)+IF(M54="",0,M54*4)+IF(O54="",0,O54*5))/(IF(G54="",0,9)+IF(I54="",0,5)+IF(K54="",0,4)+IF(M54="",0,4)+IF(O54="",0,5)))</f>
        <v/>
      </c>
      <c r="R54" s="14">
        <f>IF((IF(H54="",0,9)+IF(J54="",0,5)+IF(L54="",0,4)+IF(N54="",0,4)+IF(P54="",0,5))=0,"",(IF(H54="",0,H54*9)+IF(J54="",0,J54*5)+IF(L54="",0,L54*4)+IF(N54="",0,N54*4)+IF(P54="",0,P54*5))/27)</f>
        <v/>
      </c>
      <c r="S54" s="11">
        <f>IF(OR(City_Inputs!$S54="",Norm_Stats!$F$7="",Norm_Stats!$G$7="",Norm_Stats!$G$7=Norm_Stats!$F$7),"",MAX(0,MIN(100,100*(Norm_Stats!$G$7-MIN(MAX(City_Inputs!$S54,Norm_Stats!$F$7),Norm_Stats!$G$7))/(Norm_Stats!$G$7-Norm_Stats!$F$7))))</f>
        <v/>
      </c>
      <c r="T54" s="14">
        <f>IF(S54="","",1)</f>
        <v/>
      </c>
      <c r="U54" s="11">
        <f>IF(OR(City_Inputs!$T54="",Norm_Stats!$F$8="",Norm_Stats!$G$8="",Norm_Stats!$G$8=Norm_Stats!$F$8),"",MAX(0,MIN(100,100*(MIN(MAX(City_Inputs!$T54,Norm_Stats!$F$8),Norm_Stats!$G$8)-Norm_Stats!$F$8)/(Norm_Stats!$G$8-Norm_Stats!$F$8))))</f>
        <v/>
      </c>
      <c r="V54" s="14">
        <f>IF(U54="","",1)</f>
        <v/>
      </c>
      <c r="W54" s="11">
        <f>IF(OR(City_Inputs!$U54="",Norm_Stats!$F$9="",Norm_Stats!$G$9="",Norm_Stats!$G$9=Norm_Stats!$F$9),"",MAX(0,MIN(100,100*(Norm_Stats!$G$9-MIN(MAX(City_Inputs!$U54,Norm_Stats!$F$9),Norm_Stats!$G$9))/(Norm_Stats!$G$9-Norm_Stats!$F$9))))</f>
        <v/>
      </c>
      <c r="X54" s="14">
        <f>IF(W54="","",1)</f>
        <v/>
      </c>
      <c r="Y54" s="11">
        <f>IF(OR(City_Inputs!$V54="",Norm_Stats!$F$10="",Norm_Stats!$G$10="",Norm_Stats!$G$10=Norm_Stats!$F$10),"",MAX(0,MIN(100,100*(MIN(MAX(City_Inputs!$V54,Norm_Stats!$F$10),Norm_Stats!$G$10)-Norm_Stats!$F$10)/(Norm_Stats!$G$10-Norm_Stats!$F$10))))</f>
        <v/>
      </c>
      <c r="Z54" s="14">
        <f>IF(Y54="","",1)</f>
        <v/>
      </c>
      <c r="AA54" s="11">
        <f>IF(OR(City_Inputs!$W54="",Norm_Stats!$F$11="",Norm_Stats!$G$11="",Norm_Stats!$G$11=Norm_Stats!$F$11),"",MAX(0,MIN(100,100*(MIN(MAX(City_Inputs!$W54,Norm_Stats!$F$11),Norm_Stats!$G$11)-Norm_Stats!$F$11)/(Norm_Stats!$G$11-Norm_Stats!$F$11))))</f>
        <v/>
      </c>
      <c r="AB54" s="14">
        <f>IF(AA54="","",1)</f>
        <v/>
      </c>
      <c r="AC54" s="11">
        <f>IF(OR(City_Inputs!$X54="",Norm_Stats!$F$12="",Norm_Stats!$G$12="",Norm_Stats!$G$12=Norm_Stats!$F$12),"",MAX(0,MIN(100,100*(MIN(MAX(City_Inputs!$X54,Norm_Stats!$F$12),Norm_Stats!$G$12)-Norm_Stats!$F$12)/(Norm_Stats!$G$12-Norm_Stats!$F$12))))</f>
        <v/>
      </c>
      <c r="AD54" s="11">
        <f>IF(AC54="","",1)</f>
        <v/>
      </c>
      <c r="AE54" s="15">
        <f>IF((IF(S54="",0,5)+IF(U54="",0,5)+IF(W54="",0,4)+IF(Y54="",0,4)+IF(AA54="",0,4)+IF(AC54="",0,5))=0,"",(IF(S54="",0,S54*5)+IF(U54="",0,U54*5)+IF(W54="",0,W54*4)+IF(Y54="",0,Y54*4)+IF(AA54="",0,AA54*4)+IF(AC54="",0,AC54*5))/(IF(S54="",0,5)+IF(U54="",0,5)+IF(W54="",0,4)+IF(Y54="",0,4)+IF(AA54="",0,4)+IF(AC54="",0,5)))</f>
        <v/>
      </c>
      <c r="AF54" s="14">
        <f>IF((IF(T54="",0,5)+IF(V54="",0,5)+IF(X54="",0,4)+IF(Z54="",0,4)+IF(AB54="",0,4)+IF(AD54="",0,5))=0,"",(IF(T54="",0,T54*5)+IF(V54="",0,V54*5)+IF(X54="",0,X54*4)+IF(Z54="",0,Z54*4)+IF(AB54="",0,AB54*4)+IF(AD54="",0,AD54*5))/27)</f>
        <v/>
      </c>
      <c r="AG54" s="11">
        <f>IF(OR(City_Inputs!$Y54="",Norm_Stats!$F$13="",Norm_Stats!$G$13="",Norm_Stats!$G$13=Norm_Stats!$F$13),"",MAX(0,MIN(100,100*(MIN(MAX(City_Inputs!$Y54,Norm_Stats!$F$13),Norm_Stats!$G$13)-Norm_Stats!$F$13)/(Norm_Stats!$G$13-Norm_Stats!$F$13))))</f>
        <v/>
      </c>
      <c r="AH54" s="14">
        <f>IF(AG54="","",1)</f>
        <v/>
      </c>
      <c r="AI54" s="11">
        <f>IF(OR(City_Inputs!$Z54="",Norm_Stats!$F$14="",Norm_Stats!$G$14="",Norm_Stats!$G$14=Norm_Stats!$F$14),"",MAX(0,MIN(100,100*(MIN(MAX(City_Inputs!$Z54,Norm_Stats!$F$14),Norm_Stats!$G$14)-Norm_Stats!$F$14)/(Norm_Stats!$G$14-Norm_Stats!$F$14))))</f>
        <v/>
      </c>
      <c r="AJ54" s="14">
        <f>IF(AI54="","",1)</f>
        <v/>
      </c>
      <c r="AK54" s="11">
        <f>IF((IF((IF(OR(City_Inputs!$AA54="",Norm_Stats!$F$15="",Norm_Stats!$G$15="",Norm_Stats!$G$15=Norm_Stats!$F$15),"",MAX(0,MIN(100,100*(MIN(MAX(City_Inputs!$AA54,Norm_Stats!$F$15),Norm_Stats!$G$15)-Norm_Stats!$F$15)/(Norm_Stats!$G$15-Norm_Stats!$F$15)))))="",0,0.7)+IF((IF(OR(City_Inputs!$AL54="",Norm_Stats!$F$16="",Norm_Stats!$G$16="",Norm_Stats!$G$16=Norm_Stats!$F$16),"",MAX(0,MIN(100,100*(Norm_Stats!$G$16-MIN(MAX(City_Inputs!$AL54,Norm_Stats!$F$16),Norm_Stats!$G$16))/(Norm_Stats!$G$16-Norm_Stats!$F$16)))))="",0,0.3))=0,"",(IF((IF(OR(City_Inputs!$AA54="",Norm_Stats!$F$15="",Norm_Stats!$G$15="",Norm_Stats!$G$15=Norm_Stats!$F$15),"",MAX(0,MIN(100,100*(MIN(MAX(City_Inputs!$AA54,Norm_Stats!$F$15),Norm_Stats!$G$15)-Norm_Stats!$F$15)/(Norm_Stats!$G$15-Norm_Stats!$F$15)))))="",0,(IF(OR(City_Inputs!$AA54="",Norm_Stats!$F$15="",Norm_Stats!$G$15="",Norm_Stats!$G$15=Norm_Stats!$F$15),"",MAX(0,MIN(100,100*(MIN(MAX(City_Inputs!$AA54,Norm_Stats!$F$15),Norm_Stats!$G$15)-Norm_Stats!$F$15)/(Norm_Stats!$G$15-Norm_Stats!$F$15)))))*0.7)+IF((IF(OR(City_Inputs!$AL54="",Norm_Stats!$F$16="",Norm_Stats!$G$16="",Norm_Stats!$G$16=Norm_Stats!$F$16),"",MAX(0,MIN(100,100*(Norm_Stats!$G$16-MIN(MAX(City_Inputs!$AL54,Norm_Stats!$F$16),Norm_Stats!$G$16))/(Norm_Stats!$G$16-Norm_Stats!$F$16)))))="",0,(IF(OR(City_Inputs!$AL54="",Norm_Stats!$F$16="",Norm_Stats!$G$16="",Norm_Stats!$G$16=Norm_Stats!$F$16),"",MAX(0,MIN(100,100*(Norm_Stats!$G$16-MIN(MAX(City_Inputs!$AL54,Norm_Stats!$F$16),Norm_Stats!$G$16))/(Norm_Stats!$G$16-Norm_Stats!$F$16)))))*0.3))/(IF((IF(OR(City_Inputs!$AA54="",Norm_Stats!$F$15="",Norm_Stats!$G$15="",Norm_Stats!$G$15=Norm_Stats!$F$15),"",MAX(0,MIN(100,100*(MIN(MAX(City_Inputs!$AA54,Norm_Stats!$F$15),Norm_Stats!$G$15)-Norm_Stats!$F$15)/(Norm_Stats!$G$15-Norm_Stats!$F$15)))))="",0,0.7)+IF((IF(OR(City_Inputs!$AL54="",Norm_Stats!$F$16="",Norm_Stats!$G$16="",Norm_Stats!$G$16=Norm_Stats!$F$16),"",MAX(0,MIN(100,100*(Norm_Stats!$G$16-MIN(MAX(City_Inputs!$AL54,Norm_Stats!$F$16),Norm_Stats!$G$16))/(Norm_Stats!$G$16-Norm_Stats!$F$16)))))="",0,0.3)))</f>
        <v/>
      </c>
      <c r="AL54" s="14">
        <f>IF((IF((IF(OR(City_Inputs!$AA54="",Norm_Stats!$F$15="",Norm_Stats!$G$15="",Norm_Stats!$G$15=Norm_Stats!$F$15),"",MAX(0,MIN(100,100*(MIN(MAX(City_Inputs!$AA54,Norm_Stats!$F$15),Norm_Stats!$G$15)-Norm_Stats!$F$15)/(Norm_Stats!$G$15-Norm_Stats!$F$15)))))="",0,0.7)+IF((IF(OR(City_Inputs!$AL54="",Norm_Stats!$F$16="",Norm_Stats!$G$16="",Norm_Stats!$G$16=Norm_Stats!$F$16),"",MAX(0,MIN(100,100*(Norm_Stats!$G$16-MIN(MAX(City_Inputs!$AL54,Norm_Stats!$F$16),Norm_Stats!$G$16))/(Norm_Stats!$G$16-Norm_Stats!$F$16)))))="",0,0.3))=0,"",(IF((IF(OR(City_Inputs!$AA54="",Norm_Stats!$F$15="",Norm_Stats!$G$15="",Norm_Stats!$G$15=Norm_Stats!$F$15),"",MAX(0,MIN(100,100*(MIN(MAX(City_Inputs!$AA54,Norm_Stats!$F$15),Norm_Stats!$G$15)-Norm_Stats!$F$15)/(Norm_Stats!$G$15-Norm_Stats!$F$15)))))="",0,0.7)+IF((IF(OR(City_Inputs!$AL54="",Norm_Stats!$F$16="",Norm_Stats!$G$16="",Norm_Stats!$G$16=Norm_Stats!$F$16),"",MAX(0,MIN(100,100*(Norm_Stats!$G$16-MIN(MAX(City_Inputs!$AL54,Norm_Stats!$F$16),Norm_Stats!$G$16))/(Norm_Stats!$G$16-Norm_Stats!$F$16)))))="",0,0.3)))</f>
        <v/>
      </c>
      <c r="AM54" s="15">
        <f>IF((IF(AG54="",0,8)+IF(AI54="",0,6)+IF(AK54="",0,4))=0,"",(IF(AG54="",0,AG54*8)+IF(AI54="",0,AI54*6)+IF(AK54="",0,AK54*4))/(IF(AG54="",0,8)+IF(AI54="",0,6)+IF(AK54="",0,4)))</f>
        <v/>
      </c>
      <c r="AN54" s="14">
        <f>IF((IF(AH54="",0,8)+IF(AJ54="",0,6)+IF(AL54="",0,4))=0,"",(IF(AH54="",0,AH54*8)+IF(AJ54="",0,AJ54*6)+IF(AL54="",0,AL54*4))/18)</f>
        <v/>
      </c>
      <c r="AO54" s="11">
        <f>IF(OR(City_Inputs!$AB54="",Norm_Stats!$F$17="",Norm_Stats!$G$17="",Norm_Stats!$G$17=Norm_Stats!$F$17),"",MAX(0,MIN(100,100*(MIN(MAX(City_Inputs!$AB54,Norm_Stats!$F$17),Norm_Stats!$G$17)-Norm_Stats!$F$17)/(Norm_Stats!$G$17-Norm_Stats!$F$17))))</f>
        <v/>
      </c>
      <c r="AP54" s="14">
        <f>IF(AO54="","",1)</f>
        <v/>
      </c>
      <c r="AQ54" s="11">
        <f>IF(OR(City_Inputs!$AC54="",Norm_Stats!$F$18="",Norm_Stats!$G$18="",Norm_Stats!$G$18=Norm_Stats!$F$18),"",MAX(0,MIN(100,100*(MIN(MAX(City_Inputs!$AC54,Norm_Stats!$F$18),Norm_Stats!$G$18)-Norm_Stats!$F$18)/(Norm_Stats!$G$18-Norm_Stats!$F$18))))</f>
        <v/>
      </c>
      <c r="AR54" s="14">
        <f>IF(AQ54="","",1)</f>
        <v/>
      </c>
      <c r="AS54" s="11">
        <f>IF(OR(City_Inputs!$AD54="",Norm_Stats!$F$19="",Norm_Stats!$G$19="",Norm_Stats!$G$19=Norm_Stats!$F$19),"",MAX(0,MIN(100,100*(MIN(MAX(City_Inputs!$AD54,Norm_Stats!$F$19),Norm_Stats!$G$19)-Norm_Stats!$F$19)/(Norm_Stats!$G$19-Norm_Stats!$F$19))))</f>
        <v/>
      </c>
      <c r="AT54" s="14">
        <f>IF(AS54="","",1)</f>
        <v/>
      </c>
      <c r="AU54" s="11">
        <f>IF(OR(City_Inputs!$BJ54="",Norm_Stats!$F$26="",Norm_Stats!$G$26="",Norm_Stats!$G$26=Norm_Stats!$F$26),"",MAX(0,MIN(100,100*(MIN(MAX(City_Inputs!$BJ54,Norm_Stats!$F$26),Norm_Stats!$G$26)-Norm_Stats!$F$26)/(Norm_Stats!$G$26-Norm_Stats!$F$26))))</f>
        <v/>
      </c>
      <c r="AV54" s="11">
        <f>IF(AU54="","",1)</f>
        <v/>
      </c>
      <c r="AW54" s="15">
        <f>IF((IF(AO54="",0,5)+IF(AQ54="",0,5)+IF(AS54="",0,5)+IF(AU54="",0,4))=0,"",(IF(AO54="",0,AO54*5)+IF(AQ54="",0,AQ54*5)+IF(AS54="",0,AS54*5)+IF(AU54="",0,AU54*4))/(IF(AO54="",0,5)+IF(AQ54="",0,5)+IF(AS54="",0,5)+IF(AU54="",0,4)))</f>
        <v/>
      </c>
      <c r="AX54" s="14">
        <f>IF((IF(AP54="",0,5)+IF(AR54="",0,5)+IF(AT54="",0,5)+IF(AV54="",0,4))=0,"",(IF(AP54="",0,AP54*5)+IF(AR54="",0,AR54*5)+IF(AT54="",0,AT54*5)+IF(AV54="",0,AV54*4))/19)</f>
        <v/>
      </c>
      <c r="AY54" s="11">
        <f>IF(OR(City_Inputs!$AE54="",Norm_Stats!$F$20="",Norm_Stats!$G$20="",Norm_Stats!$G$20=Norm_Stats!$F$20),"",MAX(0,MIN(100,100*(MIN(MAX(City_Inputs!$AE54,Norm_Stats!$F$20),Norm_Stats!$G$20)-Norm_Stats!$F$20)/(Norm_Stats!$G$20-Norm_Stats!$F$20))))</f>
        <v/>
      </c>
      <c r="AZ54" s="14">
        <f>IF(AY54="","",1)</f>
        <v/>
      </c>
      <c r="BA54" s="11">
        <f>IF(OR(City_Inputs!$AF54="",Norm_Stats!$F$21="",Norm_Stats!$G$21="",Norm_Stats!$G$21=Norm_Stats!$F$21),"",MAX(0,MIN(100,100*(MIN(MAX(City_Inputs!$AF54,Norm_Stats!$F$21),Norm_Stats!$G$21)-Norm_Stats!$F$21)/(Norm_Stats!$G$21-Norm_Stats!$F$21))))</f>
        <v/>
      </c>
      <c r="BB54" s="14">
        <f>IF(BA54="","",1)</f>
        <v/>
      </c>
      <c r="BC54" s="11">
        <f>IF((IF((IF(OR(City_Inputs!$AG54="",Norm_Stats!$F$22="",Norm_Stats!$G$22="",Norm_Stats!$G$22=Norm_Stats!$F$22),"",MAX(0,MIN(100,100*(MIN(MAX(City_Inputs!$AG54,Norm_Stats!$F$22),Norm_Stats!$G$22)-Norm_Stats!$F$22)/(Norm_Stats!$G$22-Norm_Stats!$F$22)))))="",0,0.5)+IF((IF(OR(City_Inputs!$AJ54="",Norm_Stats!$F$23="",Norm_Stats!$G$23="",Norm_Stats!$G$23=Norm_Stats!$F$23),"",MAX(0,MIN(100,100*(MIN(MAX(City_Inputs!$AJ54,Norm_Stats!$F$23),Norm_Stats!$G$23)-Norm_Stats!$F$23)/(Norm_Stats!$G$23-Norm_Stats!$F$23)))))="",0,0.3)+IF((IF(OR(City_Inputs!$AK54="",Norm_Stats!$F$24="",Norm_Stats!$G$24="",Norm_Stats!$G$24=Norm_Stats!$F$24),"",MAX(0,MIN(100,100*(MIN(MAX(City_Inputs!$AK54,Norm_Stats!$F$24),Norm_Stats!$G$24)-Norm_Stats!$F$24)/(Norm_Stats!$G$24-Norm_Stats!$F$24)))))="",0,0.2))=0,"",(IF((IF(OR(City_Inputs!$AG54="",Norm_Stats!$F$22="",Norm_Stats!$G$22="",Norm_Stats!$G$22=Norm_Stats!$F$22),"",MAX(0,MIN(100,100*(MIN(MAX(City_Inputs!$AG54,Norm_Stats!$F$22),Norm_Stats!$G$22)-Norm_Stats!$F$22)/(Norm_Stats!$G$22-Norm_Stats!$F$22)))))="",0,(IF(OR(City_Inputs!$AG54="",Norm_Stats!$F$22="",Norm_Stats!$G$22="",Norm_Stats!$G$22=Norm_Stats!$F$22),"",MAX(0,MIN(100,100*(MIN(MAX(City_Inputs!$AG54,Norm_Stats!$F$22),Norm_Stats!$G$22)-Norm_Stats!$F$22)/(Norm_Stats!$G$22-Norm_Stats!$F$22)))))*0.5)+IF((IF(OR(City_Inputs!$AJ54="",Norm_Stats!$F$23="",Norm_Stats!$G$23="",Norm_Stats!$G$23=Norm_Stats!$F$23),"",MAX(0,MIN(100,100*(MIN(MAX(City_Inputs!$AJ54,Norm_Stats!$F$23),Norm_Stats!$G$23)-Norm_Stats!$F$23)/(Norm_Stats!$G$23-Norm_Stats!$F$23)))))="",0,(IF(OR(City_Inputs!$AJ54="",Norm_Stats!$F$23="",Norm_Stats!$G$23="",Norm_Stats!$G$23=Norm_Stats!$F$23),"",MAX(0,MIN(100,100*(MIN(MAX(City_Inputs!$AJ54,Norm_Stats!$F$23),Norm_Stats!$G$23)-Norm_Stats!$F$23)/(Norm_Stats!$G$23-Norm_Stats!$F$23)))))*0.3)+IF((IF(OR(City_Inputs!$AK54="",Norm_Stats!$F$24="",Norm_Stats!$G$24="",Norm_Stats!$G$24=Norm_Stats!$F$24),"",MAX(0,MIN(100,100*(MIN(MAX(City_Inputs!$AK54,Norm_Stats!$F$24),Norm_Stats!$G$24)-Norm_Stats!$F$24)/(Norm_Stats!$G$24-Norm_Stats!$F$24)))))="",0,(IF(OR(City_Inputs!$AK54="",Norm_Stats!$F$24="",Norm_Stats!$G$24="",Norm_Stats!$G$24=Norm_Stats!$F$24),"",MAX(0,MIN(100,100*(MIN(MAX(City_Inputs!$AK54,Norm_Stats!$F$24),Norm_Stats!$G$24)-Norm_Stats!$F$24)/(Norm_Stats!$G$24-Norm_Stats!$F$24)))))*0.2))/(IF((IF(OR(City_Inputs!$AG54="",Norm_Stats!$F$22="",Norm_Stats!$G$22="",Norm_Stats!$G$22=Norm_Stats!$F$22),"",MAX(0,MIN(100,100*(MIN(MAX(City_Inputs!$AG54,Norm_Stats!$F$22),Norm_Stats!$G$22)-Norm_Stats!$F$22)/(Norm_Stats!$G$22-Norm_Stats!$F$22)))))="",0,0.5)+IF((IF(OR(City_Inputs!$AJ54="",Norm_Stats!$F$23="",Norm_Stats!$G$23="",Norm_Stats!$G$23=Norm_Stats!$F$23),"",MAX(0,MIN(100,100*(MIN(MAX(City_Inputs!$AJ54,Norm_Stats!$F$23),Norm_Stats!$G$23)-Norm_Stats!$F$23)/(Norm_Stats!$G$23-Norm_Stats!$F$23)))))="",0,0.3)+IF((IF(OR(City_Inputs!$AK54="",Norm_Stats!$F$24="",Norm_Stats!$G$24="",Norm_Stats!$G$24=Norm_Stats!$F$24),"",MAX(0,MIN(100,100*(MIN(MAX(City_Inputs!$AK54,Norm_Stats!$F$24),Norm_Stats!$G$24)-Norm_Stats!$F$24)/(Norm_Stats!$G$24-Norm_Stats!$F$24)))))="",0,0.2)))</f>
        <v/>
      </c>
      <c r="BD54" s="14">
        <f>IF((IF((IF(OR(City_Inputs!$AG54="",Norm_Stats!$F$22="",Norm_Stats!$G$22="",Norm_Stats!$G$22=Norm_Stats!$F$22),"",MAX(0,MIN(100,100*(MIN(MAX(City_Inputs!$AG54,Norm_Stats!$F$22),Norm_Stats!$G$22)-Norm_Stats!$F$22)/(Norm_Stats!$G$22-Norm_Stats!$F$22)))))="",0,0.5)+IF((IF(OR(City_Inputs!$AJ54="",Norm_Stats!$F$23="",Norm_Stats!$G$23="",Norm_Stats!$G$23=Norm_Stats!$F$23),"",MAX(0,MIN(100,100*(MIN(MAX(City_Inputs!$AJ54,Norm_Stats!$F$23),Norm_Stats!$G$23)-Norm_Stats!$F$23)/(Norm_Stats!$G$23-Norm_Stats!$F$23)))))="",0,0.3)+IF((IF(OR(City_Inputs!$AK54="",Norm_Stats!$F$24="",Norm_Stats!$G$24="",Norm_Stats!$G$24=Norm_Stats!$F$24),"",MAX(0,MIN(100,100*(MIN(MAX(City_Inputs!$AK54,Norm_Stats!$F$24),Norm_Stats!$G$24)-Norm_Stats!$F$24)/(Norm_Stats!$G$24-Norm_Stats!$F$24)))))="",0,0.2))=0,"",(IF((IF(OR(City_Inputs!$AG54="",Norm_Stats!$F$22="",Norm_Stats!$G$22="",Norm_Stats!$G$22=Norm_Stats!$F$22),"",MAX(0,MIN(100,100*(MIN(MAX(City_Inputs!$AG54,Norm_Stats!$F$22),Norm_Stats!$G$22)-Norm_Stats!$F$22)/(Norm_Stats!$G$22-Norm_Stats!$F$22)))))="",0,0.5)+IF((IF(OR(City_Inputs!$AJ54="",Norm_Stats!$F$23="",Norm_Stats!$G$23="",Norm_Stats!$G$23=Norm_Stats!$F$23),"",MAX(0,MIN(100,100*(MIN(MAX(City_Inputs!$AJ54,Norm_Stats!$F$23),Norm_Stats!$G$23)-Norm_Stats!$F$23)/(Norm_Stats!$G$23-Norm_Stats!$F$23)))))="",0,0.3)+IF((IF(OR(City_Inputs!$AK54="",Norm_Stats!$F$24="",Norm_Stats!$G$24="",Norm_Stats!$G$24=Norm_Stats!$F$24),"",MAX(0,MIN(100,100*(MIN(MAX(City_Inputs!$AK54,Norm_Stats!$F$24),Norm_Stats!$G$24)-Norm_Stats!$F$24)/(Norm_Stats!$G$24-Norm_Stats!$F$24)))))="",0,0.2)))</f>
        <v/>
      </c>
      <c r="BE54" s="11">
        <f>IF(OR(City_Inputs!$AH54="",Norm_Stats!$F$25="",Norm_Stats!$G$25="",Norm_Stats!$G$25=Norm_Stats!$F$25),"",MAX(0,MIN(100,100*(Norm_Stats!$G$25-MIN(MAX(City_Inputs!$AH54,Norm_Stats!$F$25),Norm_Stats!$G$25))/(Norm_Stats!$G$25-Norm_Stats!$F$25))))</f>
        <v/>
      </c>
      <c r="BF54" s="14">
        <f>IF(BE54="","",1)</f>
        <v/>
      </c>
      <c r="BG54" s="15">
        <f>IF((IF(AY54="",0,6)+IF(BA54="",0,5)+IF(BC54="",0,5)+IF(BE54="",0,4))=0,"",(IF(AY54="",0,AY54*6)+IF(BA54="",0,BA54*5)+IF(BC54="",0,BC54*5)+IF(BE54="",0,BE54*4))/(IF(AY54="",0,6)+IF(BA54="",0,5)+IF(BC54="",0,5)+IF(BE54="",0,4)))</f>
        <v/>
      </c>
      <c r="BH54" s="14">
        <f>IF((IF(AZ54="",0,6)+IF(BB54="",0,5)+IF(BD54="",0,5)+IF(BF54="",0,4))=0,"",(IF(AZ54="",0,AZ54*6)+IF(BB54="",0,BB54*5)+IF(BD54="",0,BD54*5)+IF(BF54="",0,BF54*4))/20)</f>
        <v/>
      </c>
      <c r="BI54" s="14">
        <f>IF(AND(R54="",AF54="",AN54="",AX54="",BH54=""),"",((R54*25)+(AF54*22)+(AN54*18)+(AX54*15)+(BH54*20))/100)</f>
        <v/>
      </c>
      <c r="BJ54" s="11">
        <f>IF(BI54="","",IF(BI54&gt;=0.75,"A",IF(BI54&gt;=0.5,"B",IF(BI54&gt;=0.35,"C","Watchlist"))))</f>
        <v/>
      </c>
      <c r="BK54" s="11">
        <f>IF(OR(BI54="",BI54&lt;0.5,R54="",R54&lt;0.35,AF54="",AF54&lt;0.35,AN54="",AN54&lt;0.35,AX54="",AX54&lt;0.35,BH54="",BH54&lt;0.35),"Watchlist","Ranked")</f>
        <v/>
      </c>
      <c r="BL54" s="15">
        <f>IF(AND(Q54="",AE54="",AM54="",AW54="",BG54=""),"",(IF(Q54="",0,Q54*25)+IF(AE54="",0,AE54*22)+IF(AM54="",0,AM54*18)+IF(AW54="",0,AW54*15)+IF(BG54="",0,BG54*20))/(IF(Q54="",0,25)+IF(AE54="",0,22)+IF(AM54="",0,18)+IF(AW54="",0,15)+IF(BG54="",0,20)))</f>
        <v/>
      </c>
      <c r="BM54" s="11">
        <f>IF(BK54="Ranked",1+COUNTIFS($BK$2:$BK$158,"Ranked",$BL$2:$BL$158,"&gt;"&amp;BL54),"")</f>
        <v/>
      </c>
      <c r="BN54" s="11">
        <f>City_Inputs!$AI54</f>
        <v/>
      </c>
    </row>
    <row r="55">
      <c r="A55" t="inlineStr">
        <is>
          <t>rs-belgrade</t>
        </is>
      </c>
      <c r="B55" t="inlineStr">
        <is>
          <t>Belgrade</t>
        </is>
      </c>
      <c r="C55" t="inlineStr">
        <is>
          <t>Serbia</t>
        </is>
      </c>
      <c r="D55" t="inlineStr">
        <is>
          <t>Southern/Eastern Europe and Eurasia</t>
        </is>
      </c>
      <c r="E55" t="inlineStr">
        <is>
          <t>locked</t>
        </is>
      </c>
      <c r="F55" t="inlineStr">
        <is>
          <t>primary</t>
        </is>
      </c>
      <c r="G55" s="11">
        <f>IF(OR(City_Inputs!$M55="",Norm_Stats!$F$2="",Norm_Stats!$G$2="",Norm_Stats!$G$2=Norm_Stats!$F$2),"",MAX(0,MIN(100,100*(MIN(MAX(City_Inputs!$M55,Norm_Stats!$F$2),Norm_Stats!$G$2)-Norm_Stats!$F$2)/(Norm_Stats!$G$2-Norm_Stats!$F$2))))</f>
        <v/>
      </c>
      <c r="H55" s="14">
        <f>IF(G55="","",1)</f>
        <v/>
      </c>
      <c r="I55" s="11">
        <f>IF(OR(City_Inputs!$N55="",Norm_Stats!$F$3="",Norm_Stats!$G$3="",Norm_Stats!$G$3=Norm_Stats!$F$3),"",MAX(0,MIN(100,100*(Norm_Stats!$G$3-MIN(MAX(City_Inputs!$N55,Norm_Stats!$F$3),Norm_Stats!$G$3))/(Norm_Stats!$G$3-Norm_Stats!$F$3))))</f>
        <v/>
      </c>
      <c r="J55" s="14">
        <f>IF(I55="","",1)</f>
        <v/>
      </c>
      <c r="K55" s="11">
        <f>IF(OR(City_Inputs!$P55="",Norm_Stats!$F$4="",Norm_Stats!$G$4="",Norm_Stats!$G$4=Norm_Stats!$F$4),"",MAX(0,MIN(100,100*(Norm_Stats!$G$4-MIN(MAX(City_Inputs!$P55,Norm_Stats!$F$4),Norm_Stats!$G$4))/(Norm_Stats!$G$4-Norm_Stats!$F$4))))</f>
        <v/>
      </c>
      <c r="L55" s="14">
        <f>IF(K55="","",1)</f>
        <v/>
      </c>
      <c r="M55" s="11">
        <f>IF(OR(City_Inputs!$Q55="",Norm_Stats!$F$5="",Norm_Stats!$G$5="",Norm_Stats!$G$5=Norm_Stats!$F$5),"",MAX(0,MIN(100,100*(Norm_Stats!$G$5-MIN(MAX(City_Inputs!$Q55,Norm_Stats!$F$5),Norm_Stats!$G$5))/(Norm_Stats!$G$5-Norm_Stats!$F$5))))</f>
        <v/>
      </c>
      <c r="N55" s="14">
        <f>IF(M55="","",1)</f>
        <v/>
      </c>
      <c r="O55" s="11">
        <f>IF(OR(City_Inputs!$R55="",Norm_Stats!$F$6="",Norm_Stats!$G$6="",Norm_Stats!$G$6=Norm_Stats!$F$6),"",MAX(0,MIN(100,100*(Norm_Stats!$G$6-MIN(MAX(City_Inputs!$R55,Norm_Stats!$F$6),Norm_Stats!$G$6))/(Norm_Stats!$G$6-Norm_Stats!$F$6))))</f>
        <v/>
      </c>
      <c r="P55" s="14">
        <f>IF(O55="","",1)</f>
        <v/>
      </c>
      <c r="Q55" s="15">
        <f>IF((IF(G55="",0,9)+IF(I55="",0,5)+IF(K55="",0,4)+IF(M55="",0,4)+IF(O55="",0,5))=0,"",(IF(G55="",0,G55*9)+IF(I55="",0,I55*5)+IF(K55="",0,K55*4)+IF(M55="",0,M55*4)+IF(O55="",0,O55*5))/(IF(G55="",0,9)+IF(I55="",0,5)+IF(K55="",0,4)+IF(M55="",0,4)+IF(O55="",0,5)))</f>
        <v/>
      </c>
      <c r="R55" s="14">
        <f>IF((IF(H55="",0,9)+IF(J55="",0,5)+IF(L55="",0,4)+IF(N55="",0,4)+IF(P55="",0,5))=0,"",(IF(H55="",0,H55*9)+IF(J55="",0,J55*5)+IF(L55="",0,L55*4)+IF(N55="",0,N55*4)+IF(P55="",0,P55*5))/27)</f>
        <v/>
      </c>
      <c r="S55" s="11">
        <f>IF(OR(City_Inputs!$S55="",Norm_Stats!$F$7="",Norm_Stats!$G$7="",Norm_Stats!$G$7=Norm_Stats!$F$7),"",MAX(0,MIN(100,100*(Norm_Stats!$G$7-MIN(MAX(City_Inputs!$S55,Norm_Stats!$F$7),Norm_Stats!$G$7))/(Norm_Stats!$G$7-Norm_Stats!$F$7))))</f>
        <v/>
      </c>
      <c r="T55" s="14">
        <f>IF(S55="","",1)</f>
        <v/>
      </c>
      <c r="U55" s="11">
        <f>IF(OR(City_Inputs!$T55="",Norm_Stats!$F$8="",Norm_Stats!$G$8="",Norm_Stats!$G$8=Norm_Stats!$F$8),"",MAX(0,MIN(100,100*(MIN(MAX(City_Inputs!$T55,Norm_Stats!$F$8),Norm_Stats!$G$8)-Norm_Stats!$F$8)/(Norm_Stats!$G$8-Norm_Stats!$F$8))))</f>
        <v/>
      </c>
      <c r="V55" s="14">
        <f>IF(U55="","",1)</f>
        <v/>
      </c>
      <c r="W55" s="11">
        <f>IF(OR(City_Inputs!$U55="",Norm_Stats!$F$9="",Norm_Stats!$G$9="",Norm_Stats!$G$9=Norm_Stats!$F$9),"",MAX(0,MIN(100,100*(Norm_Stats!$G$9-MIN(MAX(City_Inputs!$U55,Norm_Stats!$F$9),Norm_Stats!$G$9))/(Norm_Stats!$G$9-Norm_Stats!$F$9))))</f>
        <v/>
      </c>
      <c r="X55" s="14">
        <f>IF(W55="","",1)</f>
        <v/>
      </c>
      <c r="Y55" s="11">
        <f>IF(OR(City_Inputs!$V55="",Norm_Stats!$F$10="",Norm_Stats!$G$10="",Norm_Stats!$G$10=Norm_Stats!$F$10),"",MAX(0,MIN(100,100*(MIN(MAX(City_Inputs!$V55,Norm_Stats!$F$10),Norm_Stats!$G$10)-Norm_Stats!$F$10)/(Norm_Stats!$G$10-Norm_Stats!$F$10))))</f>
        <v/>
      </c>
      <c r="Z55" s="14">
        <f>IF(Y55="","",1)</f>
        <v/>
      </c>
      <c r="AA55" s="11">
        <f>IF(OR(City_Inputs!$W55="",Norm_Stats!$F$11="",Norm_Stats!$G$11="",Norm_Stats!$G$11=Norm_Stats!$F$11),"",MAX(0,MIN(100,100*(MIN(MAX(City_Inputs!$W55,Norm_Stats!$F$11),Norm_Stats!$G$11)-Norm_Stats!$F$11)/(Norm_Stats!$G$11-Norm_Stats!$F$11))))</f>
        <v/>
      </c>
      <c r="AB55" s="14">
        <f>IF(AA55="","",1)</f>
        <v/>
      </c>
      <c r="AC55" s="11">
        <f>IF(OR(City_Inputs!$X55="",Norm_Stats!$F$12="",Norm_Stats!$G$12="",Norm_Stats!$G$12=Norm_Stats!$F$12),"",MAX(0,MIN(100,100*(MIN(MAX(City_Inputs!$X55,Norm_Stats!$F$12),Norm_Stats!$G$12)-Norm_Stats!$F$12)/(Norm_Stats!$G$12-Norm_Stats!$F$12))))</f>
        <v/>
      </c>
      <c r="AD55" s="11">
        <f>IF(AC55="","",1)</f>
        <v/>
      </c>
      <c r="AE55" s="15">
        <f>IF((IF(S55="",0,5)+IF(U55="",0,5)+IF(W55="",0,4)+IF(Y55="",0,4)+IF(AA55="",0,4)+IF(AC55="",0,5))=0,"",(IF(S55="",0,S55*5)+IF(U55="",0,U55*5)+IF(W55="",0,W55*4)+IF(Y55="",0,Y55*4)+IF(AA55="",0,AA55*4)+IF(AC55="",0,AC55*5))/(IF(S55="",0,5)+IF(U55="",0,5)+IF(W55="",0,4)+IF(Y55="",0,4)+IF(AA55="",0,4)+IF(AC55="",0,5)))</f>
        <v/>
      </c>
      <c r="AF55" s="14">
        <f>IF((IF(T55="",0,5)+IF(V55="",0,5)+IF(X55="",0,4)+IF(Z55="",0,4)+IF(AB55="",0,4)+IF(AD55="",0,5))=0,"",(IF(T55="",0,T55*5)+IF(V55="",0,V55*5)+IF(X55="",0,X55*4)+IF(Z55="",0,Z55*4)+IF(AB55="",0,AB55*4)+IF(AD55="",0,AD55*5))/27)</f>
        <v/>
      </c>
      <c r="AG55" s="11">
        <f>IF(OR(City_Inputs!$Y55="",Norm_Stats!$F$13="",Norm_Stats!$G$13="",Norm_Stats!$G$13=Norm_Stats!$F$13),"",MAX(0,MIN(100,100*(MIN(MAX(City_Inputs!$Y55,Norm_Stats!$F$13),Norm_Stats!$G$13)-Norm_Stats!$F$13)/(Norm_Stats!$G$13-Norm_Stats!$F$13))))</f>
        <v/>
      </c>
      <c r="AH55" s="14">
        <f>IF(AG55="","",1)</f>
        <v/>
      </c>
      <c r="AI55" s="11">
        <f>IF(OR(City_Inputs!$Z55="",Norm_Stats!$F$14="",Norm_Stats!$G$14="",Norm_Stats!$G$14=Norm_Stats!$F$14),"",MAX(0,MIN(100,100*(MIN(MAX(City_Inputs!$Z55,Norm_Stats!$F$14),Norm_Stats!$G$14)-Norm_Stats!$F$14)/(Norm_Stats!$G$14-Norm_Stats!$F$14))))</f>
        <v/>
      </c>
      <c r="AJ55" s="14">
        <f>IF(AI55="","",1)</f>
        <v/>
      </c>
      <c r="AK55" s="11">
        <f>IF((IF((IF(OR(City_Inputs!$AA55="",Norm_Stats!$F$15="",Norm_Stats!$G$15="",Norm_Stats!$G$15=Norm_Stats!$F$15),"",MAX(0,MIN(100,100*(MIN(MAX(City_Inputs!$AA55,Norm_Stats!$F$15),Norm_Stats!$G$15)-Norm_Stats!$F$15)/(Norm_Stats!$G$15-Norm_Stats!$F$15)))))="",0,0.7)+IF((IF(OR(City_Inputs!$AL55="",Norm_Stats!$F$16="",Norm_Stats!$G$16="",Norm_Stats!$G$16=Norm_Stats!$F$16),"",MAX(0,MIN(100,100*(Norm_Stats!$G$16-MIN(MAX(City_Inputs!$AL55,Norm_Stats!$F$16),Norm_Stats!$G$16))/(Norm_Stats!$G$16-Norm_Stats!$F$16)))))="",0,0.3))=0,"",(IF((IF(OR(City_Inputs!$AA55="",Norm_Stats!$F$15="",Norm_Stats!$G$15="",Norm_Stats!$G$15=Norm_Stats!$F$15),"",MAX(0,MIN(100,100*(MIN(MAX(City_Inputs!$AA55,Norm_Stats!$F$15),Norm_Stats!$G$15)-Norm_Stats!$F$15)/(Norm_Stats!$G$15-Norm_Stats!$F$15)))))="",0,(IF(OR(City_Inputs!$AA55="",Norm_Stats!$F$15="",Norm_Stats!$G$15="",Norm_Stats!$G$15=Norm_Stats!$F$15),"",MAX(0,MIN(100,100*(MIN(MAX(City_Inputs!$AA55,Norm_Stats!$F$15),Norm_Stats!$G$15)-Norm_Stats!$F$15)/(Norm_Stats!$G$15-Norm_Stats!$F$15)))))*0.7)+IF((IF(OR(City_Inputs!$AL55="",Norm_Stats!$F$16="",Norm_Stats!$G$16="",Norm_Stats!$G$16=Norm_Stats!$F$16),"",MAX(0,MIN(100,100*(Norm_Stats!$G$16-MIN(MAX(City_Inputs!$AL55,Norm_Stats!$F$16),Norm_Stats!$G$16))/(Norm_Stats!$G$16-Norm_Stats!$F$16)))))="",0,(IF(OR(City_Inputs!$AL55="",Norm_Stats!$F$16="",Norm_Stats!$G$16="",Norm_Stats!$G$16=Norm_Stats!$F$16),"",MAX(0,MIN(100,100*(Norm_Stats!$G$16-MIN(MAX(City_Inputs!$AL55,Norm_Stats!$F$16),Norm_Stats!$G$16))/(Norm_Stats!$G$16-Norm_Stats!$F$16)))))*0.3))/(IF((IF(OR(City_Inputs!$AA55="",Norm_Stats!$F$15="",Norm_Stats!$G$15="",Norm_Stats!$G$15=Norm_Stats!$F$15),"",MAX(0,MIN(100,100*(MIN(MAX(City_Inputs!$AA55,Norm_Stats!$F$15),Norm_Stats!$G$15)-Norm_Stats!$F$15)/(Norm_Stats!$G$15-Norm_Stats!$F$15)))))="",0,0.7)+IF((IF(OR(City_Inputs!$AL55="",Norm_Stats!$F$16="",Norm_Stats!$G$16="",Norm_Stats!$G$16=Norm_Stats!$F$16),"",MAX(0,MIN(100,100*(Norm_Stats!$G$16-MIN(MAX(City_Inputs!$AL55,Norm_Stats!$F$16),Norm_Stats!$G$16))/(Norm_Stats!$G$16-Norm_Stats!$F$16)))))="",0,0.3)))</f>
        <v/>
      </c>
      <c r="AL55" s="14">
        <f>IF((IF((IF(OR(City_Inputs!$AA55="",Norm_Stats!$F$15="",Norm_Stats!$G$15="",Norm_Stats!$G$15=Norm_Stats!$F$15),"",MAX(0,MIN(100,100*(MIN(MAX(City_Inputs!$AA55,Norm_Stats!$F$15),Norm_Stats!$G$15)-Norm_Stats!$F$15)/(Norm_Stats!$G$15-Norm_Stats!$F$15)))))="",0,0.7)+IF((IF(OR(City_Inputs!$AL55="",Norm_Stats!$F$16="",Norm_Stats!$G$16="",Norm_Stats!$G$16=Norm_Stats!$F$16),"",MAX(0,MIN(100,100*(Norm_Stats!$G$16-MIN(MAX(City_Inputs!$AL55,Norm_Stats!$F$16),Norm_Stats!$G$16))/(Norm_Stats!$G$16-Norm_Stats!$F$16)))))="",0,0.3))=0,"",(IF((IF(OR(City_Inputs!$AA55="",Norm_Stats!$F$15="",Norm_Stats!$G$15="",Norm_Stats!$G$15=Norm_Stats!$F$15),"",MAX(0,MIN(100,100*(MIN(MAX(City_Inputs!$AA55,Norm_Stats!$F$15),Norm_Stats!$G$15)-Norm_Stats!$F$15)/(Norm_Stats!$G$15-Norm_Stats!$F$15)))))="",0,0.7)+IF((IF(OR(City_Inputs!$AL55="",Norm_Stats!$F$16="",Norm_Stats!$G$16="",Norm_Stats!$G$16=Norm_Stats!$F$16),"",MAX(0,MIN(100,100*(Norm_Stats!$G$16-MIN(MAX(City_Inputs!$AL55,Norm_Stats!$F$16),Norm_Stats!$G$16))/(Norm_Stats!$G$16-Norm_Stats!$F$16)))))="",0,0.3)))</f>
        <v/>
      </c>
      <c r="AM55" s="15">
        <f>IF((IF(AG55="",0,8)+IF(AI55="",0,6)+IF(AK55="",0,4))=0,"",(IF(AG55="",0,AG55*8)+IF(AI55="",0,AI55*6)+IF(AK55="",0,AK55*4))/(IF(AG55="",0,8)+IF(AI55="",0,6)+IF(AK55="",0,4)))</f>
        <v/>
      </c>
      <c r="AN55" s="14">
        <f>IF((IF(AH55="",0,8)+IF(AJ55="",0,6)+IF(AL55="",0,4))=0,"",(IF(AH55="",0,AH55*8)+IF(AJ55="",0,AJ55*6)+IF(AL55="",0,AL55*4))/18)</f>
        <v/>
      </c>
      <c r="AO55" s="11">
        <f>IF(OR(City_Inputs!$AB55="",Norm_Stats!$F$17="",Norm_Stats!$G$17="",Norm_Stats!$G$17=Norm_Stats!$F$17),"",MAX(0,MIN(100,100*(MIN(MAX(City_Inputs!$AB55,Norm_Stats!$F$17),Norm_Stats!$G$17)-Norm_Stats!$F$17)/(Norm_Stats!$G$17-Norm_Stats!$F$17))))</f>
        <v/>
      </c>
      <c r="AP55" s="14">
        <f>IF(AO55="","",1)</f>
        <v/>
      </c>
      <c r="AQ55" s="11">
        <f>IF(OR(City_Inputs!$AC55="",Norm_Stats!$F$18="",Norm_Stats!$G$18="",Norm_Stats!$G$18=Norm_Stats!$F$18),"",MAX(0,MIN(100,100*(MIN(MAX(City_Inputs!$AC55,Norm_Stats!$F$18),Norm_Stats!$G$18)-Norm_Stats!$F$18)/(Norm_Stats!$G$18-Norm_Stats!$F$18))))</f>
        <v/>
      </c>
      <c r="AR55" s="14">
        <f>IF(AQ55="","",1)</f>
        <v/>
      </c>
      <c r="AS55" s="11">
        <f>IF(OR(City_Inputs!$AD55="",Norm_Stats!$F$19="",Norm_Stats!$G$19="",Norm_Stats!$G$19=Norm_Stats!$F$19),"",MAX(0,MIN(100,100*(MIN(MAX(City_Inputs!$AD55,Norm_Stats!$F$19),Norm_Stats!$G$19)-Norm_Stats!$F$19)/(Norm_Stats!$G$19-Norm_Stats!$F$19))))</f>
        <v/>
      </c>
      <c r="AT55" s="14">
        <f>IF(AS55="","",1)</f>
        <v/>
      </c>
      <c r="AU55" s="11">
        <f>IF(OR(City_Inputs!$BJ55="",Norm_Stats!$F$26="",Norm_Stats!$G$26="",Norm_Stats!$G$26=Norm_Stats!$F$26),"",MAX(0,MIN(100,100*(MIN(MAX(City_Inputs!$BJ55,Norm_Stats!$F$26),Norm_Stats!$G$26)-Norm_Stats!$F$26)/(Norm_Stats!$G$26-Norm_Stats!$F$26))))</f>
        <v/>
      </c>
      <c r="AV55" s="11">
        <f>IF(AU55="","",1)</f>
        <v/>
      </c>
      <c r="AW55" s="15">
        <f>IF((IF(AO55="",0,5)+IF(AQ55="",0,5)+IF(AS55="",0,5)+IF(AU55="",0,4))=0,"",(IF(AO55="",0,AO55*5)+IF(AQ55="",0,AQ55*5)+IF(AS55="",0,AS55*5)+IF(AU55="",0,AU55*4))/(IF(AO55="",0,5)+IF(AQ55="",0,5)+IF(AS55="",0,5)+IF(AU55="",0,4)))</f>
        <v/>
      </c>
      <c r="AX55" s="14">
        <f>IF((IF(AP55="",0,5)+IF(AR55="",0,5)+IF(AT55="",0,5)+IF(AV55="",0,4))=0,"",(IF(AP55="",0,AP55*5)+IF(AR55="",0,AR55*5)+IF(AT55="",0,AT55*5)+IF(AV55="",0,AV55*4))/19)</f>
        <v/>
      </c>
      <c r="AY55" s="11">
        <f>IF(OR(City_Inputs!$AE55="",Norm_Stats!$F$20="",Norm_Stats!$G$20="",Norm_Stats!$G$20=Norm_Stats!$F$20),"",MAX(0,MIN(100,100*(MIN(MAX(City_Inputs!$AE55,Norm_Stats!$F$20),Norm_Stats!$G$20)-Norm_Stats!$F$20)/(Norm_Stats!$G$20-Norm_Stats!$F$20))))</f>
        <v/>
      </c>
      <c r="AZ55" s="14">
        <f>IF(AY55="","",1)</f>
        <v/>
      </c>
      <c r="BA55" s="11">
        <f>IF(OR(City_Inputs!$AF55="",Norm_Stats!$F$21="",Norm_Stats!$G$21="",Norm_Stats!$G$21=Norm_Stats!$F$21),"",MAX(0,MIN(100,100*(MIN(MAX(City_Inputs!$AF55,Norm_Stats!$F$21),Norm_Stats!$G$21)-Norm_Stats!$F$21)/(Norm_Stats!$G$21-Norm_Stats!$F$21))))</f>
        <v/>
      </c>
      <c r="BB55" s="14">
        <f>IF(BA55="","",1)</f>
        <v/>
      </c>
      <c r="BC55" s="11">
        <f>IF((IF((IF(OR(City_Inputs!$AG55="",Norm_Stats!$F$22="",Norm_Stats!$G$22="",Norm_Stats!$G$22=Norm_Stats!$F$22),"",MAX(0,MIN(100,100*(MIN(MAX(City_Inputs!$AG55,Norm_Stats!$F$22),Norm_Stats!$G$22)-Norm_Stats!$F$22)/(Norm_Stats!$G$22-Norm_Stats!$F$22)))))="",0,0.5)+IF((IF(OR(City_Inputs!$AJ55="",Norm_Stats!$F$23="",Norm_Stats!$G$23="",Norm_Stats!$G$23=Norm_Stats!$F$23),"",MAX(0,MIN(100,100*(MIN(MAX(City_Inputs!$AJ55,Norm_Stats!$F$23),Norm_Stats!$G$23)-Norm_Stats!$F$23)/(Norm_Stats!$G$23-Norm_Stats!$F$23)))))="",0,0.3)+IF((IF(OR(City_Inputs!$AK55="",Norm_Stats!$F$24="",Norm_Stats!$G$24="",Norm_Stats!$G$24=Norm_Stats!$F$24),"",MAX(0,MIN(100,100*(MIN(MAX(City_Inputs!$AK55,Norm_Stats!$F$24),Norm_Stats!$G$24)-Norm_Stats!$F$24)/(Norm_Stats!$G$24-Norm_Stats!$F$24)))))="",0,0.2))=0,"",(IF((IF(OR(City_Inputs!$AG55="",Norm_Stats!$F$22="",Norm_Stats!$G$22="",Norm_Stats!$G$22=Norm_Stats!$F$22),"",MAX(0,MIN(100,100*(MIN(MAX(City_Inputs!$AG55,Norm_Stats!$F$22),Norm_Stats!$G$22)-Norm_Stats!$F$22)/(Norm_Stats!$G$22-Norm_Stats!$F$22)))))="",0,(IF(OR(City_Inputs!$AG55="",Norm_Stats!$F$22="",Norm_Stats!$G$22="",Norm_Stats!$G$22=Norm_Stats!$F$22),"",MAX(0,MIN(100,100*(MIN(MAX(City_Inputs!$AG55,Norm_Stats!$F$22),Norm_Stats!$G$22)-Norm_Stats!$F$22)/(Norm_Stats!$G$22-Norm_Stats!$F$22)))))*0.5)+IF((IF(OR(City_Inputs!$AJ55="",Norm_Stats!$F$23="",Norm_Stats!$G$23="",Norm_Stats!$G$23=Norm_Stats!$F$23),"",MAX(0,MIN(100,100*(MIN(MAX(City_Inputs!$AJ55,Norm_Stats!$F$23),Norm_Stats!$G$23)-Norm_Stats!$F$23)/(Norm_Stats!$G$23-Norm_Stats!$F$23)))))="",0,(IF(OR(City_Inputs!$AJ55="",Norm_Stats!$F$23="",Norm_Stats!$G$23="",Norm_Stats!$G$23=Norm_Stats!$F$23),"",MAX(0,MIN(100,100*(MIN(MAX(City_Inputs!$AJ55,Norm_Stats!$F$23),Norm_Stats!$G$23)-Norm_Stats!$F$23)/(Norm_Stats!$G$23-Norm_Stats!$F$23)))))*0.3)+IF((IF(OR(City_Inputs!$AK55="",Norm_Stats!$F$24="",Norm_Stats!$G$24="",Norm_Stats!$G$24=Norm_Stats!$F$24),"",MAX(0,MIN(100,100*(MIN(MAX(City_Inputs!$AK55,Norm_Stats!$F$24),Norm_Stats!$G$24)-Norm_Stats!$F$24)/(Norm_Stats!$G$24-Norm_Stats!$F$24)))))="",0,(IF(OR(City_Inputs!$AK55="",Norm_Stats!$F$24="",Norm_Stats!$G$24="",Norm_Stats!$G$24=Norm_Stats!$F$24),"",MAX(0,MIN(100,100*(MIN(MAX(City_Inputs!$AK55,Norm_Stats!$F$24),Norm_Stats!$G$24)-Norm_Stats!$F$24)/(Norm_Stats!$G$24-Norm_Stats!$F$24)))))*0.2))/(IF((IF(OR(City_Inputs!$AG55="",Norm_Stats!$F$22="",Norm_Stats!$G$22="",Norm_Stats!$G$22=Norm_Stats!$F$22),"",MAX(0,MIN(100,100*(MIN(MAX(City_Inputs!$AG55,Norm_Stats!$F$22),Norm_Stats!$G$22)-Norm_Stats!$F$22)/(Norm_Stats!$G$22-Norm_Stats!$F$22)))))="",0,0.5)+IF((IF(OR(City_Inputs!$AJ55="",Norm_Stats!$F$23="",Norm_Stats!$G$23="",Norm_Stats!$G$23=Norm_Stats!$F$23),"",MAX(0,MIN(100,100*(MIN(MAX(City_Inputs!$AJ55,Norm_Stats!$F$23),Norm_Stats!$G$23)-Norm_Stats!$F$23)/(Norm_Stats!$G$23-Norm_Stats!$F$23)))))="",0,0.3)+IF((IF(OR(City_Inputs!$AK55="",Norm_Stats!$F$24="",Norm_Stats!$G$24="",Norm_Stats!$G$24=Norm_Stats!$F$24),"",MAX(0,MIN(100,100*(MIN(MAX(City_Inputs!$AK55,Norm_Stats!$F$24),Norm_Stats!$G$24)-Norm_Stats!$F$24)/(Norm_Stats!$G$24-Norm_Stats!$F$24)))))="",0,0.2)))</f>
        <v/>
      </c>
      <c r="BD55" s="14">
        <f>IF((IF((IF(OR(City_Inputs!$AG55="",Norm_Stats!$F$22="",Norm_Stats!$G$22="",Norm_Stats!$G$22=Norm_Stats!$F$22),"",MAX(0,MIN(100,100*(MIN(MAX(City_Inputs!$AG55,Norm_Stats!$F$22),Norm_Stats!$G$22)-Norm_Stats!$F$22)/(Norm_Stats!$G$22-Norm_Stats!$F$22)))))="",0,0.5)+IF((IF(OR(City_Inputs!$AJ55="",Norm_Stats!$F$23="",Norm_Stats!$G$23="",Norm_Stats!$G$23=Norm_Stats!$F$23),"",MAX(0,MIN(100,100*(MIN(MAX(City_Inputs!$AJ55,Norm_Stats!$F$23),Norm_Stats!$G$23)-Norm_Stats!$F$23)/(Norm_Stats!$G$23-Norm_Stats!$F$23)))))="",0,0.3)+IF((IF(OR(City_Inputs!$AK55="",Norm_Stats!$F$24="",Norm_Stats!$G$24="",Norm_Stats!$G$24=Norm_Stats!$F$24),"",MAX(0,MIN(100,100*(MIN(MAX(City_Inputs!$AK55,Norm_Stats!$F$24),Norm_Stats!$G$24)-Norm_Stats!$F$24)/(Norm_Stats!$G$24-Norm_Stats!$F$24)))))="",0,0.2))=0,"",(IF((IF(OR(City_Inputs!$AG55="",Norm_Stats!$F$22="",Norm_Stats!$G$22="",Norm_Stats!$G$22=Norm_Stats!$F$22),"",MAX(0,MIN(100,100*(MIN(MAX(City_Inputs!$AG55,Norm_Stats!$F$22),Norm_Stats!$G$22)-Norm_Stats!$F$22)/(Norm_Stats!$G$22-Norm_Stats!$F$22)))))="",0,0.5)+IF((IF(OR(City_Inputs!$AJ55="",Norm_Stats!$F$23="",Norm_Stats!$G$23="",Norm_Stats!$G$23=Norm_Stats!$F$23),"",MAX(0,MIN(100,100*(MIN(MAX(City_Inputs!$AJ55,Norm_Stats!$F$23),Norm_Stats!$G$23)-Norm_Stats!$F$23)/(Norm_Stats!$G$23-Norm_Stats!$F$23)))))="",0,0.3)+IF((IF(OR(City_Inputs!$AK55="",Norm_Stats!$F$24="",Norm_Stats!$G$24="",Norm_Stats!$G$24=Norm_Stats!$F$24),"",MAX(0,MIN(100,100*(MIN(MAX(City_Inputs!$AK55,Norm_Stats!$F$24),Norm_Stats!$G$24)-Norm_Stats!$F$24)/(Norm_Stats!$G$24-Norm_Stats!$F$24)))))="",0,0.2)))</f>
        <v/>
      </c>
      <c r="BE55" s="11">
        <f>IF(OR(City_Inputs!$AH55="",Norm_Stats!$F$25="",Norm_Stats!$G$25="",Norm_Stats!$G$25=Norm_Stats!$F$25),"",MAX(0,MIN(100,100*(Norm_Stats!$G$25-MIN(MAX(City_Inputs!$AH55,Norm_Stats!$F$25),Norm_Stats!$G$25))/(Norm_Stats!$G$25-Norm_Stats!$F$25))))</f>
        <v/>
      </c>
      <c r="BF55" s="14">
        <f>IF(BE55="","",1)</f>
        <v/>
      </c>
      <c r="BG55" s="15">
        <f>IF((IF(AY55="",0,6)+IF(BA55="",0,5)+IF(BC55="",0,5)+IF(BE55="",0,4))=0,"",(IF(AY55="",0,AY55*6)+IF(BA55="",0,BA55*5)+IF(BC55="",0,BC55*5)+IF(BE55="",0,BE55*4))/(IF(AY55="",0,6)+IF(BA55="",0,5)+IF(BC55="",0,5)+IF(BE55="",0,4)))</f>
        <v/>
      </c>
      <c r="BH55" s="14">
        <f>IF((IF(AZ55="",0,6)+IF(BB55="",0,5)+IF(BD55="",0,5)+IF(BF55="",0,4))=0,"",(IF(AZ55="",0,AZ55*6)+IF(BB55="",0,BB55*5)+IF(BD55="",0,BD55*5)+IF(BF55="",0,BF55*4))/20)</f>
        <v/>
      </c>
      <c r="BI55" s="14">
        <f>IF(AND(R55="",AF55="",AN55="",AX55="",BH55=""),"",((R55*25)+(AF55*22)+(AN55*18)+(AX55*15)+(BH55*20))/100)</f>
        <v/>
      </c>
      <c r="BJ55" s="11">
        <f>IF(BI55="","",IF(BI55&gt;=0.75,"A",IF(BI55&gt;=0.5,"B",IF(BI55&gt;=0.35,"C","Watchlist"))))</f>
        <v/>
      </c>
      <c r="BK55" s="11">
        <f>IF(OR(BI55="",BI55&lt;0.5,R55="",R55&lt;0.35,AF55="",AF55&lt;0.35,AN55="",AN55&lt;0.35,AX55="",AX55&lt;0.35,BH55="",BH55&lt;0.35),"Watchlist","Ranked")</f>
        <v/>
      </c>
      <c r="BL55" s="15">
        <f>IF(AND(Q55="",AE55="",AM55="",AW55="",BG55=""),"",(IF(Q55="",0,Q55*25)+IF(AE55="",0,AE55*22)+IF(AM55="",0,AM55*18)+IF(AW55="",0,AW55*15)+IF(BG55="",0,BG55*20))/(IF(Q55="",0,25)+IF(AE55="",0,22)+IF(AM55="",0,18)+IF(AW55="",0,15)+IF(BG55="",0,20)))</f>
        <v/>
      </c>
      <c r="BM55" s="11">
        <f>IF(BK55="Ranked",1+COUNTIFS($BK$2:$BK$158,"Ranked",$BL$2:$BL$158,"&gt;"&amp;BL55),"")</f>
        <v/>
      </c>
      <c r="BN55" s="11">
        <f>City_Inputs!$AI55</f>
        <v/>
      </c>
    </row>
    <row r="56">
      <c r="A56" t="inlineStr">
        <is>
          <t>ru-nizhny-novgorod</t>
        </is>
      </c>
      <c r="B56" t="inlineStr">
        <is>
          <t>Nizhny Novgorod</t>
        </is>
      </c>
      <c r="C56" t="inlineStr">
        <is>
          <t>Russia</t>
        </is>
      </c>
      <c r="D56" t="inlineStr">
        <is>
          <t>Southern/Eastern Europe and Eurasia</t>
        </is>
      </c>
      <c r="E56" t="inlineStr">
        <is>
          <t>provisional</t>
        </is>
      </c>
      <c r="F56" t="inlineStr">
        <is>
          <t>secondary</t>
        </is>
      </c>
      <c r="G56" s="11">
        <f>IF(OR(City_Inputs!$M56="",Norm_Stats!$F$2="",Norm_Stats!$G$2="",Norm_Stats!$G$2=Norm_Stats!$F$2),"",MAX(0,MIN(100,100*(MIN(MAX(City_Inputs!$M56,Norm_Stats!$F$2),Norm_Stats!$G$2)-Norm_Stats!$F$2)/(Norm_Stats!$G$2-Norm_Stats!$F$2))))</f>
        <v/>
      </c>
      <c r="H56" s="14">
        <f>IF(G56="","",1)</f>
        <v/>
      </c>
      <c r="I56" s="11">
        <f>IF(OR(City_Inputs!$N56="",Norm_Stats!$F$3="",Norm_Stats!$G$3="",Norm_Stats!$G$3=Norm_Stats!$F$3),"",MAX(0,MIN(100,100*(Norm_Stats!$G$3-MIN(MAX(City_Inputs!$N56,Norm_Stats!$F$3),Norm_Stats!$G$3))/(Norm_Stats!$G$3-Norm_Stats!$F$3))))</f>
        <v/>
      </c>
      <c r="J56" s="14">
        <f>IF(I56="","",1)</f>
        <v/>
      </c>
      <c r="K56" s="11">
        <f>IF(OR(City_Inputs!$P56="",Norm_Stats!$F$4="",Norm_Stats!$G$4="",Norm_Stats!$G$4=Norm_Stats!$F$4),"",MAX(0,MIN(100,100*(Norm_Stats!$G$4-MIN(MAX(City_Inputs!$P56,Norm_Stats!$F$4),Norm_Stats!$G$4))/(Norm_Stats!$G$4-Norm_Stats!$F$4))))</f>
        <v/>
      </c>
      <c r="L56" s="14">
        <f>IF(K56="","",1)</f>
        <v/>
      </c>
      <c r="M56" s="11">
        <f>IF(OR(City_Inputs!$Q56="",Norm_Stats!$F$5="",Norm_Stats!$G$5="",Norm_Stats!$G$5=Norm_Stats!$F$5),"",MAX(0,MIN(100,100*(Norm_Stats!$G$5-MIN(MAX(City_Inputs!$Q56,Norm_Stats!$F$5),Norm_Stats!$G$5))/(Norm_Stats!$G$5-Norm_Stats!$F$5))))</f>
        <v/>
      </c>
      <c r="N56" s="14">
        <f>IF(M56="","",1)</f>
        <v/>
      </c>
      <c r="O56" s="11">
        <f>IF(OR(City_Inputs!$R56="",Norm_Stats!$F$6="",Norm_Stats!$G$6="",Norm_Stats!$G$6=Norm_Stats!$F$6),"",MAX(0,MIN(100,100*(Norm_Stats!$G$6-MIN(MAX(City_Inputs!$R56,Norm_Stats!$F$6),Norm_Stats!$G$6))/(Norm_Stats!$G$6-Norm_Stats!$F$6))))</f>
        <v/>
      </c>
      <c r="P56" s="14">
        <f>IF(O56="","",1)</f>
        <v/>
      </c>
      <c r="Q56" s="15">
        <f>IF((IF(G56="",0,9)+IF(I56="",0,5)+IF(K56="",0,4)+IF(M56="",0,4)+IF(O56="",0,5))=0,"",(IF(G56="",0,G56*9)+IF(I56="",0,I56*5)+IF(K56="",0,K56*4)+IF(M56="",0,M56*4)+IF(O56="",0,O56*5))/(IF(G56="",0,9)+IF(I56="",0,5)+IF(K56="",0,4)+IF(M56="",0,4)+IF(O56="",0,5)))</f>
        <v/>
      </c>
      <c r="R56" s="14">
        <f>IF((IF(H56="",0,9)+IF(J56="",0,5)+IF(L56="",0,4)+IF(N56="",0,4)+IF(P56="",0,5))=0,"",(IF(H56="",0,H56*9)+IF(J56="",0,J56*5)+IF(L56="",0,L56*4)+IF(N56="",0,N56*4)+IF(P56="",0,P56*5))/27)</f>
        <v/>
      </c>
      <c r="S56" s="11">
        <f>IF(OR(City_Inputs!$S56="",Norm_Stats!$F$7="",Norm_Stats!$G$7="",Norm_Stats!$G$7=Norm_Stats!$F$7),"",MAX(0,MIN(100,100*(Norm_Stats!$G$7-MIN(MAX(City_Inputs!$S56,Norm_Stats!$F$7),Norm_Stats!$G$7))/(Norm_Stats!$G$7-Norm_Stats!$F$7))))</f>
        <v/>
      </c>
      <c r="T56" s="14">
        <f>IF(S56="","",1)</f>
        <v/>
      </c>
      <c r="U56" s="11">
        <f>IF(OR(City_Inputs!$T56="",Norm_Stats!$F$8="",Norm_Stats!$G$8="",Norm_Stats!$G$8=Norm_Stats!$F$8),"",MAX(0,MIN(100,100*(MIN(MAX(City_Inputs!$T56,Norm_Stats!$F$8),Norm_Stats!$G$8)-Norm_Stats!$F$8)/(Norm_Stats!$G$8-Norm_Stats!$F$8))))</f>
        <v/>
      </c>
      <c r="V56" s="14">
        <f>IF(U56="","",1)</f>
        <v/>
      </c>
      <c r="W56" s="11">
        <f>IF(OR(City_Inputs!$U56="",Norm_Stats!$F$9="",Norm_Stats!$G$9="",Norm_Stats!$G$9=Norm_Stats!$F$9),"",MAX(0,MIN(100,100*(Norm_Stats!$G$9-MIN(MAX(City_Inputs!$U56,Norm_Stats!$F$9),Norm_Stats!$G$9))/(Norm_Stats!$G$9-Norm_Stats!$F$9))))</f>
        <v/>
      </c>
      <c r="X56" s="14">
        <f>IF(W56="","",1)</f>
        <v/>
      </c>
      <c r="Y56" s="11">
        <f>IF(OR(City_Inputs!$V56="",Norm_Stats!$F$10="",Norm_Stats!$G$10="",Norm_Stats!$G$10=Norm_Stats!$F$10),"",MAX(0,MIN(100,100*(MIN(MAX(City_Inputs!$V56,Norm_Stats!$F$10),Norm_Stats!$G$10)-Norm_Stats!$F$10)/(Norm_Stats!$G$10-Norm_Stats!$F$10))))</f>
        <v/>
      </c>
      <c r="Z56" s="14">
        <f>IF(Y56="","",1)</f>
        <v/>
      </c>
      <c r="AA56" s="11">
        <f>IF(OR(City_Inputs!$W56="",Norm_Stats!$F$11="",Norm_Stats!$G$11="",Norm_Stats!$G$11=Norm_Stats!$F$11),"",MAX(0,MIN(100,100*(MIN(MAX(City_Inputs!$W56,Norm_Stats!$F$11),Norm_Stats!$G$11)-Norm_Stats!$F$11)/(Norm_Stats!$G$11-Norm_Stats!$F$11))))</f>
        <v/>
      </c>
      <c r="AB56" s="14">
        <f>IF(AA56="","",1)</f>
        <v/>
      </c>
      <c r="AC56" s="11">
        <f>IF(OR(City_Inputs!$X56="",Norm_Stats!$F$12="",Norm_Stats!$G$12="",Norm_Stats!$G$12=Norm_Stats!$F$12),"",MAX(0,MIN(100,100*(MIN(MAX(City_Inputs!$X56,Norm_Stats!$F$12),Norm_Stats!$G$12)-Norm_Stats!$F$12)/(Norm_Stats!$G$12-Norm_Stats!$F$12))))</f>
        <v/>
      </c>
      <c r="AD56" s="11">
        <f>IF(AC56="","",1)</f>
        <v/>
      </c>
      <c r="AE56" s="15">
        <f>IF((IF(S56="",0,5)+IF(U56="",0,5)+IF(W56="",0,4)+IF(Y56="",0,4)+IF(AA56="",0,4)+IF(AC56="",0,5))=0,"",(IF(S56="",0,S56*5)+IF(U56="",0,U56*5)+IF(W56="",0,W56*4)+IF(Y56="",0,Y56*4)+IF(AA56="",0,AA56*4)+IF(AC56="",0,AC56*5))/(IF(S56="",0,5)+IF(U56="",0,5)+IF(W56="",0,4)+IF(Y56="",0,4)+IF(AA56="",0,4)+IF(AC56="",0,5)))</f>
        <v/>
      </c>
      <c r="AF56" s="14">
        <f>IF((IF(T56="",0,5)+IF(V56="",0,5)+IF(X56="",0,4)+IF(Z56="",0,4)+IF(AB56="",0,4)+IF(AD56="",0,5))=0,"",(IF(T56="",0,T56*5)+IF(V56="",0,V56*5)+IF(X56="",0,X56*4)+IF(Z56="",0,Z56*4)+IF(AB56="",0,AB56*4)+IF(AD56="",0,AD56*5))/27)</f>
        <v/>
      </c>
      <c r="AG56" s="11">
        <f>IF(OR(City_Inputs!$Y56="",Norm_Stats!$F$13="",Norm_Stats!$G$13="",Norm_Stats!$G$13=Norm_Stats!$F$13),"",MAX(0,MIN(100,100*(MIN(MAX(City_Inputs!$Y56,Norm_Stats!$F$13),Norm_Stats!$G$13)-Norm_Stats!$F$13)/(Norm_Stats!$G$13-Norm_Stats!$F$13))))</f>
        <v/>
      </c>
      <c r="AH56" s="14">
        <f>IF(AG56="","",1)</f>
        <v/>
      </c>
      <c r="AI56" s="11">
        <f>IF(OR(City_Inputs!$Z56="",Norm_Stats!$F$14="",Norm_Stats!$G$14="",Norm_Stats!$G$14=Norm_Stats!$F$14),"",MAX(0,MIN(100,100*(MIN(MAX(City_Inputs!$Z56,Norm_Stats!$F$14),Norm_Stats!$G$14)-Norm_Stats!$F$14)/(Norm_Stats!$G$14-Norm_Stats!$F$14))))</f>
        <v/>
      </c>
      <c r="AJ56" s="14">
        <f>IF(AI56="","",1)</f>
        <v/>
      </c>
      <c r="AK56" s="11">
        <f>IF((IF((IF(OR(City_Inputs!$AA56="",Norm_Stats!$F$15="",Norm_Stats!$G$15="",Norm_Stats!$G$15=Norm_Stats!$F$15),"",MAX(0,MIN(100,100*(MIN(MAX(City_Inputs!$AA56,Norm_Stats!$F$15),Norm_Stats!$G$15)-Norm_Stats!$F$15)/(Norm_Stats!$G$15-Norm_Stats!$F$15)))))="",0,0.7)+IF((IF(OR(City_Inputs!$AL56="",Norm_Stats!$F$16="",Norm_Stats!$G$16="",Norm_Stats!$G$16=Norm_Stats!$F$16),"",MAX(0,MIN(100,100*(Norm_Stats!$G$16-MIN(MAX(City_Inputs!$AL56,Norm_Stats!$F$16),Norm_Stats!$G$16))/(Norm_Stats!$G$16-Norm_Stats!$F$16)))))="",0,0.3))=0,"",(IF((IF(OR(City_Inputs!$AA56="",Norm_Stats!$F$15="",Norm_Stats!$G$15="",Norm_Stats!$G$15=Norm_Stats!$F$15),"",MAX(0,MIN(100,100*(MIN(MAX(City_Inputs!$AA56,Norm_Stats!$F$15),Norm_Stats!$G$15)-Norm_Stats!$F$15)/(Norm_Stats!$G$15-Norm_Stats!$F$15)))))="",0,(IF(OR(City_Inputs!$AA56="",Norm_Stats!$F$15="",Norm_Stats!$G$15="",Norm_Stats!$G$15=Norm_Stats!$F$15),"",MAX(0,MIN(100,100*(MIN(MAX(City_Inputs!$AA56,Norm_Stats!$F$15),Norm_Stats!$G$15)-Norm_Stats!$F$15)/(Norm_Stats!$G$15-Norm_Stats!$F$15)))))*0.7)+IF((IF(OR(City_Inputs!$AL56="",Norm_Stats!$F$16="",Norm_Stats!$G$16="",Norm_Stats!$G$16=Norm_Stats!$F$16),"",MAX(0,MIN(100,100*(Norm_Stats!$G$16-MIN(MAX(City_Inputs!$AL56,Norm_Stats!$F$16),Norm_Stats!$G$16))/(Norm_Stats!$G$16-Norm_Stats!$F$16)))))="",0,(IF(OR(City_Inputs!$AL56="",Norm_Stats!$F$16="",Norm_Stats!$G$16="",Norm_Stats!$G$16=Norm_Stats!$F$16),"",MAX(0,MIN(100,100*(Norm_Stats!$G$16-MIN(MAX(City_Inputs!$AL56,Norm_Stats!$F$16),Norm_Stats!$G$16))/(Norm_Stats!$G$16-Norm_Stats!$F$16)))))*0.3))/(IF((IF(OR(City_Inputs!$AA56="",Norm_Stats!$F$15="",Norm_Stats!$G$15="",Norm_Stats!$G$15=Norm_Stats!$F$15),"",MAX(0,MIN(100,100*(MIN(MAX(City_Inputs!$AA56,Norm_Stats!$F$15),Norm_Stats!$G$15)-Norm_Stats!$F$15)/(Norm_Stats!$G$15-Norm_Stats!$F$15)))))="",0,0.7)+IF((IF(OR(City_Inputs!$AL56="",Norm_Stats!$F$16="",Norm_Stats!$G$16="",Norm_Stats!$G$16=Norm_Stats!$F$16),"",MAX(0,MIN(100,100*(Norm_Stats!$G$16-MIN(MAX(City_Inputs!$AL56,Norm_Stats!$F$16),Norm_Stats!$G$16))/(Norm_Stats!$G$16-Norm_Stats!$F$16)))))="",0,0.3)))</f>
        <v/>
      </c>
      <c r="AL56" s="14">
        <f>IF((IF((IF(OR(City_Inputs!$AA56="",Norm_Stats!$F$15="",Norm_Stats!$G$15="",Norm_Stats!$G$15=Norm_Stats!$F$15),"",MAX(0,MIN(100,100*(MIN(MAX(City_Inputs!$AA56,Norm_Stats!$F$15),Norm_Stats!$G$15)-Norm_Stats!$F$15)/(Norm_Stats!$G$15-Norm_Stats!$F$15)))))="",0,0.7)+IF((IF(OR(City_Inputs!$AL56="",Norm_Stats!$F$16="",Norm_Stats!$G$16="",Norm_Stats!$G$16=Norm_Stats!$F$16),"",MAX(0,MIN(100,100*(Norm_Stats!$G$16-MIN(MAX(City_Inputs!$AL56,Norm_Stats!$F$16),Norm_Stats!$G$16))/(Norm_Stats!$G$16-Norm_Stats!$F$16)))))="",0,0.3))=0,"",(IF((IF(OR(City_Inputs!$AA56="",Norm_Stats!$F$15="",Norm_Stats!$G$15="",Norm_Stats!$G$15=Norm_Stats!$F$15),"",MAX(0,MIN(100,100*(MIN(MAX(City_Inputs!$AA56,Norm_Stats!$F$15),Norm_Stats!$G$15)-Norm_Stats!$F$15)/(Norm_Stats!$G$15-Norm_Stats!$F$15)))))="",0,0.7)+IF((IF(OR(City_Inputs!$AL56="",Norm_Stats!$F$16="",Norm_Stats!$G$16="",Norm_Stats!$G$16=Norm_Stats!$F$16),"",MAX(0,MIN(100,100*(Norm_Stats!$G$16-MIN(MAX(City_Inputs!$AL56,Norm_Stats!$F$16),Norm_Stats!$G$16))/(Norm_Stats!$G$16-Norm_Stats!$F$16)))))="",0,0.3)))</f>
        <v/>
      </c>
      <c r="AM56" s="15">
        <f>IF((IF(AG56="",0,8)+IF(AI56="",0,6)+IF(AK56="",0,4))=0,"",(IF(AG56="",0,AG56*8)+IF(AI56="",0,AI56*6)+IF(AK56="",0,AK56*4))/(IF(AG56="",0,8)+IF(AI56="",0,6)+IF(AK56="",0,4)))</f>
        <v/>
      </c>
      <c r="AN56" s="14">
        <f>IF((IF(AH56="",0,8)+IF(AJ56="",0,6)+IF(AL56="",0,4))=0,"",(IF(AH56="",0,AH56*8)+IF(AJ56="",0,AJ56*6)+IF(AL56="",0,AL56*4))/18)</f>
        <v/>
      </c>
      <c r="AO56" s="11">
        <f>IF(OR(City_Inputs!$AB56="",Norm_Stats!$F$17="",Norm_Stats!$G$17="",Norm_Stats!$G$17=Norm_Stats!$F$17),"",MAX(0,MIN(100,100*(MIN(MAX(City_Inputs!$AB56,Norm_Stats!$F$17),Norm_Stats!$G$17)-Norm_Stats!$F$17)/(Norm_Stats!$G$17-Norm_Stats!$F$17))))</f>
        <v/>
      </c>
      <c r="AP56" s="14">
        <f>IF(AO56="","",1)</f>
        <v/>
      </c>
      <c r="AQ56" s="11">
        <f>IF(OR(City_Inputs!$AC56="",Norm_Stats!$F$18="",Norm_Stats!$G$18="",Norm_Stats!$G$18=Norm_Stats!$F$18),"",MAX(0,MIN(100,100*(MIN(MAX(City_Inputs!$AC56,Norm_Stats!$F$18),Norm_Stats!$G$18)-Norm_Stats!$F$18)/(Norm_Stats!$G$18-Norm_Stats!$F$18))))</f>
        <v/>
      </c>
      <c r="AR56" s="14">
        <f>IF(AQ56="","",1)</f>
        <v/>
      </c>
      <c r="AS56" s="11">
        <f>IF(OR(City_Inputs!$AD56="",Norm_Stats!$F$19="",Norm_Stats!$G$19="",Norm_Stats!$G$19=Norm_Stats!$F$19),"",MAX(0,MIN(100,100*(MIN(MAX(City_Inputs!$AD56,Norm_Stats!$F$19),Norm_Stats!$G$19)-Norm_Stats!$F$19)/(Norm_Stats!$G$19-Norm_Stats!$F$19))))</f>
        <v/>
      </c>
      <c r="AT56" s="14">
        <f>IF(AS56="","",1)</f>
        <v/>
      </c>
      <c r="AU56" s="11">
        <f>IF(OR(City_Inputs!$BJ56="",Norm_Stats!$F$26="",Norm_Stats!$G$26="",Norm_Stats!$G$26=Norm_Stats!$F$26),"",MAX(0,MIN(100,100*(MIN(MAX(City_Inputs!$BJ56,Norm_Stats!$F$26),Norm_Stats!$G$26)-Norm_Stats!$F$26)/(Norm_Stats!$G$26-Norm_Stats!$F$26))))</f>
        <v/>
      </c>
      <c r="AV56" s="11">
        <f>IF(AU56="","",1)</f>
        <v/>
      </c>
      <c r="AW56" s="15">
        <f>IF((IF(AO56="",0,5)+IF(AQ56="",0,5)+IF(AS56="",0,5)+IF(AU56="",0,4))=0,"",(IF(AO56="",0,AO56*5)+IF(AQ56="",0,AQ56*5)+IF(AS56="",0,AS56*5)+IF(AU56="",0,AU56*4))/(IF(AO56="",0,5)+IF(AQ56="",0,5)+IF(AS56="",0,5)+IF(AU56="",0,4)))</f>
        <v/>
      </c>
      <c r="AX56" s="14">
        <f>IF((IF(AP56="",0,5)+IF(AR56="",0,5)+IF(AT56="",0,5)+IF(AV56="",0,4))=0,"",(IF(AP56="",0,AP56*5)+IF(AR56="",0,AR56*5)+IF(AT56="",0,AT56*5)+IF(AV56="",0,AV56*4))/19)</f>
        <v/>
      </c>
      <c r="AY56" s="11">
        <f>IF(OR(City_Inputs!$AE56="",Norm_Stats!$F$20="",Norm_Stats!$G$20="",Norm_Stats!$G$20=Norm_Stats!$F$20),"",MAX(0,MIN(100,100*(MIN(MAX(City_Inputs!$AE56,Norm_Stats!$F$20),Norm_Stats!$G$20)-Norm_Stats!$F$20)/(Norm_Stats!$G$20-Norm_Stats!$F$20))))</f>
        <v/>
      </c>
      <c r="AZ56" s="14">
        <f>IF(AY56="","",1)</f>
        <v/>
      </c>
      <c r="BA56" s="11">
        <f>IF(OR(City_Inputs!$AF56="",Norm_Stats!$F$21="",Norm_Stats!$G$21="",Norm_Stats!$G$21=Norm_Stats!$F$21),"",MAX(0,MIN(100,100*(MIN(MAX(City_Inputs!$AF56,Norm_Stats!$F$21),Norm_Stats!$G$21)-Norm_Stats!$F$21)/(Norm_Stats!$G$21-Norm_Stats!$F$21))))</f>
        <v/>
      </c>
      <c r="BB56" s="14">
        <f>IF(BA56="","",1)</f>
        <v/>
      </c>
      <c r="BC56" s="11">
        <f>IF((IF((IF(OR(City_Inputs!$AG56="",Norm_Stats!$F$22="",Norm_Stats!$G$22="",Norm_Stats!$G$22=Norm_Stats!$F$22),"",MAX(0,MIN(100,100*(MIN(MAX(City_Inputs!$AG56,Norm_Stats!$F$22),Norm_Stats!$G$22)-Norm_Stats!$F$22)/(Norm_Stats!$G$22-Norm_Stats!$F$22)))))="",0,0.5)+IF((IF(OR(City_Inputs!$AJ56="",Norm_Stats!$F$23="",Norm_Stats!$G$23="",Norm_Stats!$G$23=Norm_Stats!$F$23),"",MAX(0,MIN(100,100*(MIN(MAX(City_Inputs!$AJ56,Norm_Stats!$F$23),Norm_Stats!$G$23)-Norm_Stats!$F$23)/(Norm_Stats!$G$23-Norm_Stats!$F$23)))))="",0,0.3)+IF((IF(OR(City_Inputs!$AK56="",Norm_Stats!$F$24="",Norm_Stats!$G$24="",Norm_Stats!$G$24=Norm_Stats!$F$24),"",MAX(0,MIN(100,100*(MIN(MAX(City_Inputs!$AK56,Norm_Stats!$F$24),Norm_Stats!$G$24)-Norm_Stats!$F$24)/(Norm_Stats!$G$24-Norm_Stats!$F$24)))))="",0,0.2))=0,"",(IF((IF(OR(City_Inputs!$AG56="",Norm_Stats!$F$22="",Norm_Stats!$G$22="",Norm_Stats!$G$22=Norm_Stats!$F$22),"",MAX(0,MIN(100,100*(MIN(MAX(City_Inputs!$AG56,Norm_Stats!$F$22),Norm_Stats!$G$22)-Norm_Stats!$F$22)/(Norm_Stats!$G$22-Norm_Stats!$F$22)))))="",0,(IF(OR(City_Inputs!$AG56="",Norm_Stats!$F$22="",Norm_Stats!$G$22="",Norm_Stats!$G$22=Norm_Stats!$F$22),"",MAX(0,MIN(100,100*(MIN(MAX(City_Inputs!$AG56,Norm_Stats!$F$22),Norm_Stats!$G$22)-Norm_Stats!$F$22)/(Norm_Stats!$G$22-Norm_Stats!$F$22)))))*0.5)+IF((IF(OR(City_Inputs!$AJ56="",Norm_Stats!$F$23="",Norm_Stats!$G$23="",Norm_Stats!$G$23=Norm_Stats!$F$23),"",MAX(0,MIN(100,100*(MIN(MAX(City_Inputs!$AJ56,Norm_Stats!$F$23),Norm_Stats!$G$23)-Norm_Stats!$F$23)/(Norm_Stats!$G$23-Norm_Stats!$F$23)))))="",0,(IF(OR(City_Inputs!$AJ56="",Norm_Stats!$F$23="",Norm_Stats!$G$23="",Norm_Stats!$G$23=Norm_Stats!$F$23),"",MAX(0,MIN(100,100*(MIN(MAX(City_Inputs!$AJ56,Norm_Stats!$F$23),Norm_Stats!$G$23)-Norm_Stats!$F$23)/(Norm_Stats!$G$23-Norm_Stats!$F$23)))))*0.3)+IF((IF(OR(City_Inputs!$AK56="",Norm_Stats!$F$24="",Norm_Stats!$G$24="",Norm_Stats!$G$24=Norm_Stats!$F$24),"",MAX(0,MIN(100,100*(MIN(MAX(City_Inputs!$AK56,Norm_Stats!$F$24),Norm_Stats!$G$24)-Norm_Stats!$F$24)/(Norm_Stats!$G$24-Norm_Stats!$F$24)))))="",0,(IF(OR(City_Inputs!$AK56="",Norm_Stats!$F$24="",Norm_Stats!$G$24="",Norm_Stats!$G$24=Norm_Stats!$F$24),"",MAX(0,MIN(100,100*(MIN(MAX(City_Inputs!$AK56,Norm_Stats!$F$24),Norm_Stats!$G$24)-Norm_Stats!$F$24)/(Norm_Stats!$G$24-Norm_Stats!$F$24)))))*0.2))/(IF((IF(OR(City_Inputs!$AG56="",Norm_Stats!$F$22="",Norm_Stats!$G$22="",Norm_Stats!$G$22=Norm_Stats!$F$22),"",MAX(0,MIN(100,100*(MIN(MAX(City_Inputs!$AG56,Norm_Stats!$F$22),Norm_Stats!$G$22)-Norm_Stats!$F$22)/(Norm_Stats!$G$22-Norm_Stats!$F$22)))))="",0,0.5)+IF((IF(OR(City_Inputs!$AJ56="",Norm_Stats!$F$23="",Norm_Stats!$G$23="",Norm_Stats!$G$23=Norm_Stats!$F$23),"",MAX(0,MIN(100,100*(MIN(MAX(City_Inputs!$AJ56,Norm_Stats!$F$23),Norm_Stats!$G$23)-Norm_Stats!$F$23)/(Norm_Stats!$G$23-Norm_Stats!$F$23)))))="",0,0.3)+IF((IF(OR(City_Inputs!$AK56="",Norm_Stats!$F$24="",Norm_Stats!$G$24="",Norm_Stats!$G$24=Norm_Stats!$F$24),"",MAX(0,MIN(100,100*(MIN(MAX(City_Inputs!$AK56,Norm_Stats!$F$24),Norm_Stats!$G$24)-Norm_Stats!$F$24)/(Norm_Stats!$G$24-Norm_Stats!$F$24)))))="",0,0.2)))</f>
        <v/>
      </c>
      <c r="BD56" s="14">
        <f>IF((IF((IF(OR(City_Inputs!$AG56="",Norm_Stats!$F$22="",Norm_Stats!$G$22="",Norm_Stats!$G$22=Norm_Stats!$F$22),"",MAX(0,MIN(100,100*(MIN(MAX(City_Inputs!$AG56,Norm_Stats!$F$22),Norm_Stats!$G$22)-Norm_Stats!$F$22)/(Norm_Stats!$G$22-Norm_Stats!$F$22)))))="",0,0.5)+IF((IF(OR(City_Inputs!$AJ56="",Norm_Stats!$F$23="",Norm_Stats!$G$23="",Norm_Stats!$G$23=Norm_Stats!$F$23),"",MAX(0,MIN(100,100*(MIN(MAX(City_Inputs!$AJ56,Norm_Stats!$F$23),Norm_Stats!$G$23)-Norm_Stats!$F$23)/(Norm_Stats!$G$23-Norm_Stats!$F$23)))))="",0,0.3)+IF((IF(OR(City_Inputs!$AK56="",Norm_Stats!$F$24="",Norm_Stats!$G$24="",Norm_Stats!$G$24=Norm_Stats!$F$24),"",MAX(0,MIN(100,100*(MIN(MAX(City_Inputs!$AK56,Norm_Stats!$F$24),Norm_Stats!$G$24)-Norm_Stats!$F$24)/(Norm_Stats!$G$24-Norm_Stats!$F$24)))))="",0,0.2))=0,"",(IF((IF(OR(City_Inputs!$AG56="",Norm_Stats!$F$22="",Norm_Stats!$G$22="",Norm_Stats!$G$22=Norm_Stats!$F$22),"",MAX(0,MIN(100,100*(MIN(MAX(City_Inputs!$AG56,Norm_Stats!$F$22),Norm_Stats!$G$22)-Norm_Stats!$F$22)/(Norm_Stats!$G$22-Norm_Stats!$F$22)))))="",0,0.5)+IF((IF(OR(City_Inputs!$AJ56="",Norm_Stats!$F$23="",Norm_Stats!$G$23="",Norm_Stats!$G$23=Norm_Stats!$F$23),"",MAX(0,MIN(100,100*(MIN(MAX(City_Inputs!$AJ56,Norm_Stats!$F$23),Norm_Stats!$G$23)-Norm_Stats!$F$23)/(Norm_Stats!$G$23-Norm_Stats!$F$23)))))="",0,0.3)+IF((IF(OR(City_Inputs!$AK56="",Norm_Stats!$F$24="",Norm_Stats!$G$24="",Norm_Stats!$G$24=Norm_Stats!$F$24),"",MAX(0,MIN(100,100*(MIN(MAX(City_Inputs!$AK56,Norm_Stats!$F$24),Norm_Stats!$G$24)-Norm_Stats!$F$24)/(Norm_Stats!$G$24-Norm_Stats!$F$24)))))="",0,0.2)))</f>
        <v/>
      </c>
      <c r="BE56" s="11">
        <f>IF(OR(City_Inputs!$AH56="",Norm_Stats!$F$25="",Norm_Stats!$G$25="",Norm_Stats!$G$25=Norm_Stats!$F$25),"",MAX(0,MIN(100,100*(Norm_Stats!$G$25-MIN(MAX(City_Inputs!$AH56,Norm_Stats!$F$25),Norm_Stats!$G$25))/(Norm_Stats!$G$25-Norm_Stats!$F$25))))</f>
        <v/>
      </c>
      <c r="BF56" s="14">
        <f>IF(BE56="","",1)</f>
        <v/>
      </c>
      <c r="BG56" s="15">
        <f>IF((IF(AY56="",0,6)+IF(BA56="",0,5)+IF(BC56="",0,5)+IF(BE56="",0,4))=0,"",(IF(AY56="",0,AY56*6)+IF(BA56="",0,BA56*5)+IF(BC56="",0,BC56*5)+IF(BE56="",0,BE56*4))/(IF(AY56="",0,6)+IF(BA56="",0,5)+IF(BC56="",0,5)+IF(BE56="",0,4)))</f>
        <v/>
      </c>
      <c r="BH56" s="14">
        <f>IF((IF(AZ56="",0,6)+IF(BB56="",0,5)+IF(BD56="",0,5)+IF(BF56="",0,4))=0,"",(IF(AZ56="",0,AZ56*6)+IF(BB56="",0,BB56*5)+IF(BD56="",0,BD56*5)+IF(BF56="",0,BF56*4))/20)</f>
        <v/>
      </c>
      <c r="BI56" s="14">
        <f>IF(AND(R56="",AF56="",AN56="",AX56="",BH56=""),"",((R56*25)+(AF56*22)+(AN56*18)+(AX56*15)+(BH56*20))/100)</f>
        <v/>
      </c>
      <c r="BJ56" s="11">
        <f>IF(BI56="","",IF(BI56&gt;=0.75,"A",IF(BI56&gt;=0.5,"B",IF(BI56&gt;=0.35,"C","Watchlist"))))</f>
        <v/>
      </c>
      <c r="BK56" s="11">
        <f>IF(OR(BI56="",BI56&lt;0.5,R56="",R56&lt;0.35,AF56="",AF56&lt;0.35,AN56="",AN56&lt;0.35,AX56="",AX56&lt;0.35,BH56="",BH56&lt;0.35),"Watchlist","Ranked")</f>
        <v/>
      </c>
      <c r="BL56" s="15">
        <f>IF(AND(Q56="",AE56="",AM56="",AW56="",BG56=""),"",(IF(Q56="",0,Q56*25)+IF(AE56="",0,AE56*22)+IF(AM56="",0,AM56*18)+IF(AW56="",0,AW56*15)+IF(BG56="",0,BG56*20))/(IF(Q56="",0,25)+IF(AE56="",0,22)+IF(AM56="",0,18)+IF(AW56="",0,15)+IF(BG56="",0,20)))</f>
        <v/>
      </c>
      <c r="BM56" s="11">
        <f>IF(BK56="Ranked",1+COUNTIFS($BK$2:$BK$158,"Ranked",$BL$2:$BL$158,"&gt;"&amp;BL56),"")</f>
        <v/>
      </c>
      <c r="BN56" s="11">
        <f>City_Inputs!$AI56</f>
        <v/>
      </c>
    </row>
    <row r="57">
      <c r="A57" t="inlineStr">
        <is>
          <t>pl-katowice</t>
        </is>
      </c>
      <c r="B57" t="inlineStr">
        <is>
          <t>Katowice</t>
        </is>
      </c>
      <c r="C57" t="inlineStr">
        <is>
          <t>Poland</t>
        </is>
      </c>
      <c r="D57" t="inlineStr">
        <is>
          <t>Southern/Eastern Europe and Eurasia</t>
        </is>
      </c>
      <c r="E57" t="inlineStr">
        <is>
          <t>locked</t>
        </is>
      </c>
      <c r="F57" t="inlineStr">
        <is>
          <t>secondary</t>
        </is>
      </c>
      <c r="G57" s="11">
        <f>IF(OR(City_Inputs!$M57="",Norm_Stats!$F$2="",Norm_Stats!$G$2="",Norm_Stats!$G$2=Norm_Stats!$F$2),"",MAX(0,MIN(100,100*(MIN(MAX(City_Inputs!$M57,Norm_Stats!$F$2),Norm_Stats!$G$2)-Norm_Stats!$F$2)/(Norm_Stats!$G$2-Norm_Stats!$F$2))))</f>
        <v/>
      </c>
      <c r="H57" s="14">
        <f>IF(G57="","",1)</f>
        <v/>
      </c>
      <c r="I57" s="11">
        <f>IF(OR(City_Inputs!$N57="",Norm_Stats!$F$3="",Norm_Stats!$G$3="",Norm_Stats!$G$3=Norm_Stats!$F$3),"",MAX(0,MIN(100,100*(Norm_Stats!$G$3-MIN(MAX(City_Inputs!$N57,Norm_Stats!$F$3),Norm_Stats!$G$3))/(Norm_Stats!$G$3-Norm_Stats!$F$3))))</f>
        <v/>
      </c>
      <c r="J57" s="14">
        <f>IF(I57="","",1)</f>
        <v/>
      </c>
      <c r="K57" s="11">
        <f>IF(OR(City_Inputs!$P57="",Norm_Stats!$F$4="",Norm_Stats!$G$4="",Norm_Stats!$G$4=Norm_Stats!$F$4),"",MAX(0,MIN(100,100*(Norm_Stats!$G$4-MIN(MAX(City_Inputs!$P57,Norm_Stats!$F$4),Norm_Stats!$G$4))/(Norm_Stats!$G$4-Norm_Stats!$F$4))))</f>
        <v/>
      </c>
      <c r="L57" s="14">
        <f>IF(K57="","",1)</f>
        <v/>
      </c>
      <c r="M57" s="11">
        <f>IF(OR(City_Inputs!$Q57="",Norm_Stats!$F$5="",Norm_Stats!$G$5="",Norm_Stats!$G$5=Norm_Stats!$F$5),"",MAX(0,MIN(100,100*(Norm_Stats!$G$5-MIN(MAX(City_Inputs!$Q57,Norm_Stats!$F$5),Norm_Stats!$G$5))/(Norm_Stats!$G$5-Norm_Stats!$F$5))))</f>
        <v/>
      </c>
      <c r="N57" s="14">
        <f>IF(M57="","",1)</f>
        <v/>
      </c>
      <c r="O57" s="11">
        <f>IF(OR(City_Inputs!$R57="",Norm_Stats!$F$6="",Norm_Stats!$G$6="",Norm_Stats!$G$6=Norm_Stats!$F$6),"",MAX(0,MIN(100,100*(Norm_Stats!$G$6-MIN(MAX(City_Inputs!$R57,Norm_Stats!$F$6),Norm_Stats!$G$6))/(Norm_Stats!$G$6-Norm_Stats!$F$6))))</f>
        <v/>
      </c>
      <c r="P57" s="14">
        <f>IF(O57="","",1)</f>
        <v/>
      </c>
      <c r="Q57" s="15">
        <f>IF((IF(G57="",0,9)+IF(I57="",0,5)+IF(K57="",0,4)+IF(M57="",0,4)+IF(O57="",0,5))=0,"",(IF(G57="",0,G57*9)+IF(I57="",0,I57*5)+IF(K57="",0,K57*4)+IF(M57="",0,M57*4)+IF(O57="",0,O57*5))/(IF(G57="",0,9)+IF(I57="",0,5)+IF(K57="",0,4)+IF(M57="",0,4)+IF(O57="",0,5)))</f>
        <v/>
      </c>
      <c r="R57" s="14">
        <f>IF((IF(H57="",0,9)+IF(J57="",0,5)+IF(L57="",0,4)+IF(N57="",0,4)+IF(P57="",0,5))=0,"",(IF(H57="",0,H57*9)+IF(J57="",0,J57*5)+IF(L57="",0,L57*4)+IF(N57="",0,N57*4)+IF(P57="",0,P57*5))/27)</f>
        <v/>
      </c>
      <c r="S57" s="11">
        <f>IF(OR(City_Inputs!$S57="",Norm_Stats!$F$7="",Norm_Stats!$G$7="",Norm_Stats!$G$7=Norm_Stats!$F$7),"",MAX(0,MIN(100,100*(Norm_Stats!$G$7-MIN(MAX(City_Inputs!$S57,Norm_Stats!$F$7),Norm_Stats!$G$7))/(Norm_Stats!$G$7-Norm_Stats!$F$7))))</f>
        <v/>
      </c>
      <c r="T57" s="14">
        <f>IF(S57="","",1)</f>
        <v/>
      </c>
      <c r="U57" s="11">
        <f>IF(OR(City_Inputs!$T57="",Norm_Stats!$F$8="",Norm_Stats!$G$8="",Norm_Stats!$G$8=Norm_Stats!$F$8),"",MAX(0,MIN(100,100*(MIN(MAX(City_Inputs!$T57,Norm_Stats!$F$8),Norm_Stats!$G$8)-Norm_Stats!$F$8)/(Norm_Stats!$G$8-Norm_Stats!$F$8))))</f>
        <v/>
      </c>
      <c r="V57" s="14">
        <f>IF(U57="","",1)</f>
        <v/>
      </c>
      <c r="W57" s="11">
        <f>IF(OR(City_Inputs!$U57="",Norm_Stats!$F$9="",Norm_Stats!$G$9="",Norm_Stats!$G$9=Norm_Stats!$F$9),"",MAX(0,MIN(100,100*(Norm_Stats!$G$9-MIN(MAX(City_Inputs!$U57,Norm_Stats!$F$9),Norm_Stats!$G$9))/(Norm_Stats!$G$9-Norm_Stats!$F$9))))</f>
        <v/>
      </c>
      <c r="X57" s="14">
        <f>IF(W57="","",1)</f>
        <v/>
      </c>
      <c r="Y57" s="11">
        <f>IF(OR(City_Inputs!$V57="",Norm_Stats!$F$10="",Norm_Stats!$G$10="",Norm_Stats!$G$10=Norm_Stats!$F$10),"",MAX(0,MIN(100,100*(MIN(MAX(City_Inputs!$V57,Norm_Stats!$F$10),Norm_Stats!$G$10)-Norm_Stats!$F$10)/(Norm_Stats!$G$10-Norm_Stats!$F$10))))</f>
        <v/>
      </c>
      <c r="Z57" s="14">
        <f>IF(Y57="","",1)</f>
        <v/>
      </c>
      <c r="AA57" s="11">
        <f>IF(OR(City_Inputs!$W57="",Norm_Stats!$F$11="",Norm_Stats!$G$11="",Norm_Stats!$G$11=Norm_Stats!$F$11),"",MAX(0,MIN(100,100*(MIN(MAX(City_Inputs!$W57,Norm_Stats!$F$11),Norm_Stats!$G$11)-Norm_Stats!$F$11)/(Norm_Stats!$G$11-Norm_Stats!$F$11))))</f>
        <v/>
      </c>
      <c r="AB57" s="14">
        <f>IF(AA57="","",1)</f>
        <v/>
      </c>
      <c r="AC57" s="11">
        <f>IF(OR(City_Inputs!$X57="",Norm_Stats!$F$12="",Norm_Stats!$G$12="",Norm_Stats!$G$12=Norm_Stats!$F$12),"",MAX(0,MIN(100,100*(MIN(MAX(City_Inputs!$X57,Norm_Stats!$F$12),Norm_Stats!$G$12)-Norm_Stats!$F$12)/(Norm_Stats!$G$12-Norm_Stats!$F$12))))</f>
        <v/>
      </c>
      <c r="AD57" s="11">
        <f>IF(AC57="","",1)</f>
        <v/>
      </c>
      <c r="AE57" s="15">
        <f>IF((IF(S57="",0,5)+IF(U57="",0,5)+IF(W57="",0,4)+IF(Y57="",0,4)+IF(AA57="",0,4)+IF(AC57="",0,5))=0,"",(IF(S57="",0,S57*5)+IF(U57="",0,U57*5)+IF(W57="",0,W57*4)+IF(Y57="",0,Y57*4)+IF(AA57="",0,AA57*4)+IF(AC57="",0,AC57*5))/(IF(S57="",0,5)+IF(U57="",0,5)+IF(W57="",0,4)+IF(Y57="",0,4)+IF(AA57="",0,4)+IF(AC57="",0,5)))</f>
        <v/>
      </c>
      <c r="AF57" s="14">
        <f>IF((IF(T57="",0,5)+IF(V57="",0,5)+IF(X57="",0,4)+IF(Z57="",0,4)+IF(AB57="",0,4)+IF(AD57="",0,5))=0,"",(IF(T57="",0,T57*5)+IF(V57="",0,V57*5)+IF(X57="",0,X57*4)+IF(Z57="",0,Z57*4)+IF(AB57="",0,AB57*4)+IF(AD57="",0,AD57*5))/27)</f>
        <v/>
      </c>
      <c r="AG57" s="11">
        <f>IF(OR(City_Inputs!$Y57="",Norm_Stats!$F$13="",Norm_Stats!$G$13="",Norm_Stats!$G$13=Norm_Stats!$F$13),"",MAX(0,MIN(100,100*(MIN(MAX(City_Inputs!$Y57,Norm_Stats!$F$13),Norm_Stats!$G$13)-Norm_Stats!$F$13)/(Norm_Stats!$G$13-Norm_Stats!$F$13))))</f>
        <v/>
      </c>
      <c r="AH57" s="14">
        <f>IF(AG57="","",1)</f>
        <v/>
      </c>
      <c r="AI57" s="11">
        <f>IF(OR(City_Inputs!$Z57="",Norm_Stats!$F$14="",Norm_Stats!$G$14="",Norm_Stats!$G$14=Norm_Stats!$F$14),"",MAX(0,MIN(100,100*(MIN(MAX(City_Inputs!$Z57,Norm_Stats!$F$14),Norm_Stats!$G$14)-Norm_Stats!$F$14)/(Norm_Stats!$G$14-Norm_Stats!$F$14))))</f>
        <v/>
      </c>
      <c r="AJ57" s="14">
        <f>IF(AI57="","",1)</f>
        <v/>
      </c>
      <c r="AK57" s="11">
        <f>IF((IF((IF(OR(City_Inputs!$AA57="",Norm_Stats!$F$15="",Norm_Stats!$G$15="",Norm_Stats!$G$15=Norm_Stats!$F$15),"",MAX(0,MIN(100,100*(MIN(MAX(City_Inputs!$AA57,Norm_Stats!$F$15),Norm_Stats!$G$15)-Norm_Stats!$F$15)/(Norm_Stats!$G$15-Norm_Stats!$F$15)))))="",0,0.7)+IF((IF(OR(City_Inputs!$AL57="",Norm_Stats!$F$16="",Norm_Stats!$G$16="",Norm_Stats!$G$16=Norm_Stats!$F$16),"",MAX(0,MIN(100,100*(Norm_Stats!$G$16-MIN(MAX(City_Inputs!$AL57,Norm_Stats!$F$16),Norm_Stats!$G$16))/(Norm_Stats!$G$16-Norm_Stats!$F$16)))))="",0,0.3))=0,"",(IF((IF(OR(City_Inputs!$AA57="",Norm_Stats!$F$15="",Norm_Stats!$G$15="",Norm_Stats!$G$15=Norm_Stats!$F$15),"",MAX(0,MIN(100,100*(MIN(MAX(City_Inputs!$AA57,Norm_Stats!$F$15),Norm_Stats!$G$15)-Norm_Stats!$F$15)/(Norm_Stats!$G$15-Norm_Stats!$F$15)))))="",0,(IF(OR(City_Inputs!$AA57="",Norm_Stats!$F$15="",Norm_Stats!$G$15="",Norm_Stats!$G$15=Norm_Stats!$F$15),"",MAX(0,MIN(100,100*(MIN(MAX(City_Inputs!$AA57,Norm_Stats!$F$15),Norm_Stats!$G$15)-Norm_Stats!$F$15)/(Norm_Stats!$G$15-Norm_Stats!$F$15)))))*0.7)+IF((IF(OR(City_Inputs!$AL57="",Norm_Stats!$F$16="",Norm_Stats!$G$16="",Norm_Stats!$G$16=Norm_Stats!$F$16),"",MAX(0,MIN(100,100*(Norm_Stats!$G$16-MIN(MAX(City_Inputs!$AL57,Norm_Stats!$F$16),Norm_Stats!$G$16))/(Norm_Stats!$G$16-Norm_Stats!$F$16)))))="",0,(IF(OR(City_Inputs!$AL57="",Norm_Stats!$F$16="",Norm_Stats!$G$16="",Norm_Stats!$G$16=Norm_Stats!$F$16),"",MAX(0,MIN(100,100*(Norm_Stats!$G$16-MIN(MAX(City_Inputs!$AL57,Norm_Stats!$F$16),Norm_Stats!$G$16))/(Norm_Stats!$G$16-Norm_Stats!$F$16)))))*0.3))/(IF((IF(OR(City_Inputs!$AA57="",Norm_Stats!$F$15="",Norm_Stats!$G$15="",Norm_Stats!$G$15=Norm_Stats!$F$15),"",MAX(0,MIN(100,100*(MIN(MAX(City_Inputs!$AA57,Norm_Stats!$F$15),Norm_Stats!$G$15)-Norm_Stats!$F$15)/(Norm_Stats!$G$15-Norm_Stats!$F$15)))))="",0,0.7)+IF((IF(OR(City_Inputs!$AL57="",Norm_Stats!$F$16="",Norm_Stats!$G$16="",Norm_Stats!$G$16=Norm_Stats!$F$16),"",MAX(0,MIN(100,100*(Norm_Stats!$G$16-MIN(MAX(City_Inputs!$AL57,Norm_Stats!$F$16),Norm_Stats!$G$16))/(Norm_Stats!$G$16-Norm_Stats!$F$16)))))="",0,0.3)))</f>
        <v/>
      </c>
      <c r="AL57" s="14">
        <f>IF((IF((IF(OR(City_Inputs!$AA57="",Norm_Stats!$F$15="",Norm_Stats!$G$15="",Norm_Stats!$G$15=Norm_Stats!$F$15),"",MAX(0,MIN(100,100*(MIN(MAX(City_Inputs!$AA57,Norm_Stats!$F$15),Norm_Stats!$G$15)-Norm_Stats!$F$15)/(Norm_Stats!$G$15-Norm_Stats!$F$15)))))="",0,0.7)+IF((IF(OR(City_Inputs!$AL57="",Norm_Stats!$F$16="",Norm_Stats!$G$16="",Norm_Stats!$G$16=Norm_Stats!$F$16),"",MAX(0,MIN(100,100*(Norm_Stats!$G$16-MIN(MAX(City_Inputs!$AL57,Norm_Stats!$F$16),Norm_Stats!$G$16))/(Norm_Stats!$G$16-Norm_Stats!$F$16)))))="",0,0.3))=0,"",(IF((IF(OR(City_Inputs!$AA57="",Norm_Stats!$F$15="",Norm_Stats!$G$15="",Norm_Stats!$G$15=Norm_Stats!$F$15),"",MAX(0,MIN(100,100*(MIN(MAX(City_Inputs!$AA57,Norm_Stats!$F$15),Norm_Stats!$G$15)-Norm_Stats!$F$15)/(Norm_Stats!$G$15-Norm_Stats!$F$15)))))="",0,0.7)+IF((IF(OR(City_Inputs!$AL57="",Norm_Stats!$F$16="",Norm_Stats!$G$16="",Norm_Stats!$G$16=Norm_Stats!$F$16),"",MAX(0,MIN(100,100*(Norm_Stats!$G$16-MIN(MAX(City_Inputs!$AL57,Norm_Stats!$F$16),Norm_Stats!$G$16))/(Norm_Stats!$G$16-Norm_Stats!$F$16)))))="",0,0.3)))</f>
        <v/>
      </c>
      <c r="AM57" s="15">
        <f>IF((IF(AG57="",0,8)+IF(AI57="",0,6)+IF(AK57="",0,4))=0,"",(IF(AG57="",0,AG57*8)+IF(AI57="",0,AI57*6)+IF(AK57="",0,AK57*4))/(IF(AG57="",0,8)+IF(AI57="",0,6)+IF(AK57="",0,4)))</f>
        <v/>
      </c>
      <c r="AN57" s="14">
        <f>IF((IF(AH57="",0,8)+IF(AJ57="",0,6)+IF(AL57="",0,4))=0,"",(IF(AH57="",0,AH57*8)+IF(AJ57="",0,AJ57*6)+IF(AL57="",0,AL57*4))/18)</f>
        <v/>
      </c>
      <c r="AO57" s="11">
        <f>IF(OR(City_Inputs!$AB57="",Norm_Stats!$F$17="",Norm_Stats!$G$17="",Norm_Stats!$G$17=Norm_Stats!$F$17),"",MAX(0,MIN(100,100*(MIN(MAX(City_Inputs!$AB57,Norm_Stats!$F$17),Norm_Stats!$G$17)-Norm_Stats!$F$17)/(Norm_Stats!$G$17-Norm_Stats!$F$17))))</f>
        <v/>
      </c>
      <c r="AP57" s="14">
        <f>IF(AO57="","",1)</f>
        <v/>
      </c>
      <c r="AQ57" s="11">
        <f>IF(OR(City_Inputs!$AC57="",Norm_Stats!$F$18="",Norm_Stats!$G$18="",Norm_Stats!$G$18=Norm_Stats!$F$18),"",MAX(0,MIN(100,100*(MIN(MAX(City_Inputs!$AC57,Norm_Stats!$F$18),Norm_Stats!$G$18)-Norm_Stats!$F$18)/(Norm_Stats!$G$18-Norm_Stats!$F$18))))</f>
        <v/>
      </c>
      <c r="AR57" s="14">
        <f>IF(AQ57="","",1)</f>
        <v/>
      </c>
      <c r="AS57" s="11">
        <f>IF(OR(City_Inputs!$AD57="",Norm_Stats!$F$19="",Norm_Stats!$G$19="",Norm_Stats!$G$19=Norm_Stats!$F$19),"",MAX(0,MIN(100,100*(MIN(MAX(City_Inputs!$AD57,Norm_Stats!$F$19),Norm_Stats!$G$19)-Norm_Stats!$F$19)/(Norm_Stats!$G$19-Norm_Stats!$F$19))))</f>
        <v/>
      </c>
      <c r="AT57" s="14">
        <f>IF(AS57="","",1)</f>
        <v/>
      </c>
      <c r="AU57" s="11">
        <f>IF(OR(City_Inputs!$BJ57="",Norm_Stats!$F$26="",Norm_Stats!$G$26="",Norm_Stats!$G$26=Norm_Stats!$F$26),"",MAX(0,MIN(100,100*(MIN(MAX(City_Inputs!$BJ57,Norm_Stats!$F$26),Norm_Stats!$G$26)-Norm_Stats!$F$26)/(Norm_Stats!$G$26-Norm_Stats!$F$26))))</f>
        <v/>
      </c>
      <c r="AV57" s="11">
        <f>IF(AU57="","",1)</f>
        <v/>
      </c>
      <c r="AW57" s="15">
        <f>IF((IF(AO57="",0,5)+IF(AQ57="",0,5)+IF(AS57="",0,5)+IF(AU57="",0,4))=0,"",(IF(AO57="",0,AO57*5)+IF(AQ57="",0,AQ57*5)+IF(AS57="",0,AS57*5)+IF(AU57="",0,AU57*4))/(IF(AO57="",0,5)+IF(AQ57="",0,5)+IF(AS57="",0,5)+IF(AU57="",0,4)))</f>
        <v/>
      </c>
      <c r="AX57" s="14">
        <f>IF((IF(AP57="",0,5)+IF(AR57="",0,5)+IF(AT57="",0,5)+IF(AV57="",0,4))=0,"",(IF(AP57="",0,AP57*5)+IF(AR57="",0,AR57*5)+IF(AT57="",0,AT57*5)+IF(AV57="",0,AV57*4))/19)</f>
        <v/>
      </c>
      <c r="AY57" s="11">
        <f>IF(OR(City_Inputs!$AE57="",Norm_Stats!$F$20="",Norm_Stats!$G$20="",Norm_Stats!$G$20=Norm_Stats!$F$20),"",MAX(0,MIN(100,100*(MIN(MAX(City_Inputs!$AE57,Norm_Stats!$F$20),Norm_Stats!$G$20)-Norm_Stats!$F$20)/(Norm_Stats!$G$20-Norm_Stats!$F$20))))</f>
        <v/>
      </c>
      <c r="AZ57" s="14">
        <f>IF(AY57="","",1)</f>
        <v/>
      </c>
      <c r="BA57" s="11">
        <f>IF(OR(City_Inputs!$AF57="",Norm_Stats!$F$21="",Norm_Stats!$G$21="",Norm_Stats!$G$21=Norm_Stats!$F$21),"",MAX(0,MIN(100,100*(MIN(MAX(City_Inputs!$AF57,Norm_Stats!$F$21),Norm_Stats!$G$21)-Norm_Stats!$F$21)/(Norm_Stats!$G$21-Norm_Stats!$F$21))))</f>
        <v/>
      </c>
      <c r="BB57" s="14">
        <f>IF(BA57="","",1)</f>
        <v/>
      </c>
      <c r="BC57" s="11">
        <f>IF((IF((IF(OR(City_Inputs!$AG57="",Norm_Stats!$F$22="",Norm_Stats!$G$22="",Norm_Stats!$G$22=Norm_Stats!$F$22),"",MAX(0,MIN(100,100*(MIN(MAX(City_Inputs!$AG57,Norm_Stats!$F$22),Norm_Stats!$G$22)-Norm_Stats!$F$22)/(Norm_Stats!$G$22-Norm_Stats!$F$22)))))="",0,0.5)+IF((IF(OR(City_Inputs!$AJ57="",Norm_Stats!$F$23="",Norm_Stats!$G$23="",Norm_Stats!$G$23=Norm_Stats!$F$23),"",MAX(0,MIN(100,100*(MIN(MAX(City_Inputs!$AJ57,Norm_Stats!$F$23),Norm_Stats!$G$23)-Norm_Stats!$F$23)/(Norm_Stats!$G$23-Norm_Stats!$F$23)))))="",0,0.3)+IF((IF(OR(City_Inputs!$AK57="",Norm_Stats!$F$24="",Norm_Stats!$G$24="",Norm_Stats!$G$24=Norm_Stats!$F$24),"",MAX(0,MIN(100,100*(MIN(MAX(City_Inputs!$AK57,Norm_Stats!$F$24),Norm_Stats!$G$24)-Norm_Stats!$F$24)/(Norm_Stats!$G$24-Norm_Stats!$F$24)))))="",0,0.2))=0,"",(IF((IF(OR(City_Inputs!$AG57="",Norm_Stats!$F$22="",Norm_Stats!$G$22="",Norm_Stats!$G$22=Norm_Stats!$F$22),"",MAX(0,MIN(100,100*(MIN(MAX(City_Inputs!$AG57,Norm_Stats!$F$22),Norm_Stats!$G$22)-Norm_Stats!$F$22)/(Norm_Stats!$G$22-Norm_Stats!$F$22)))))="",0,(IF(OR(City_Inputs!$AG57="",Norm_Stats!$F$22="",Norm_Stats!$G$22="",Norm_Stats!$G$22=Norm_Stats!$F$22),"",MAX(0,MIN(100,100*(MIN(MAX(City_Inputs!$AG57,Norm_Stats!$F$22),Norm_Stats!$G$22)-Norm_Stats!$F$22)/(Norm_Stats!$G$22-Norm_Stats!$F$22)))))*0.5)+IF((IF(OR(City_Inputs!$AJ57="",Norm_Stats!$F$23="",Norm_Stats!$G$23="",Norm_Stats!$G$23=Norm_Stats!$F$23),"",MAX(0,MIN(100,100*(MIN(MAX(City_Inputs!$AJ57,Norm_Stats!$F$23),Norm_Stats!$G$23)-Norm_Stats!$F$23)/(Norm_Stats!$G$23-Norm_Stats!$F$23)))))="",0,(IF(OR(City_Inputs!$AJ57="",Norm_Stats!$F$23="",Norm_Stats!$G$23="",Norm_Stats!$G$23=Norm_Stats!$F$23),"",MAX(0,MIN(100,100*(MIN(MAX(City_Inputs!$AJ57,Norm_Stats!$F$23),Norm_Stats!$G$23)-Norm_Stats!$F$23)/(Norm_Stats!$G$23-Norm_Stats!$F$23)))))*0.3)+IF((IF(OR(City_Inputs!$AK57="",Norm_Stats!$F$24="",Norm_Stats!$G$24="",Norm_Stats!$G$24=Norm_Stats!$F$24),"",MAX(0,MIN(100,100*(MIN(MAX(City_Inputs!$AK57,Norm_Stats!$F$24),Norm_Stats!$G$24)-Norm_Stats!$F$24)/(Norm_Stats!$G$24-Norm_Stats!$F$24)))))="",0,(IF(OR(City_Inputs!$AK57="",Norm_Stats!$F$24="",Norm_Stats!$G$24="",Norm_Stats!$G$24=Norm_Stats!$F$24),"",MAX(0,MIN(100,100*(MIN(MAX(City_Inputs!$AK57,Norm_Stats!$F$24),Norm_Stats!$G$24)-Norm_Stats!$F$24)/(Norm_Stats!$G$24-Norm_Stats!$F$24)))))*0.2))/(IF((IF(OR(City_Inputs!$AG57="",Norm_Stats!$F$22="",Norm_Stats!$G$22="",Norm_Stats!$G$22=Norm_Stats!$F$22),"",MAX(0,MIN(100,100*(MIN(MAX(City_Inputs!$AG57,Norm_Stats!$F$22),Norm_Stats!$G$22)-Norm_Stats!$F$22)/(Norm_Stats!$G$22-Norm_Stats!$F$22)))))="",0,0.5)+IF((IF(OR(City_Inputs!$AJ57="",Norm_Stats!$F$23="",Norm_Stats!$G$23="",Norm_Stats!$G$23=Norm_Stats!$F$23),"",MAX(0,MIN(100,100*(MIN(MAX(City_Inputs!$AJ57,Norm_Stats!$F$23),Norm_Stats!$G$23)-Norm_Stats!$F$23)/(Norm_Stats!$G$23-Norm_Stats!$F$23)))))="",0,0.3)+IF((IF(OR(City_Inputs!$AK57="",Norm_Stats!$F$24="",Norm_Stats!$G$24="",Norm_Stats!$G$24=Norm_Stats!$F$24),"",MAX(0,MIN(100,100*(MIN(MAX(City_Inputs!$AK57,Norm_Stats!$F$24),Norm_Stats!$G$24)-Norm_Stats!$F$24)/(Norm_Stats!$G$24-Norm_Stats!$F$24)))))="",0,0.2)))</f>
        <v/>
      </c>
      <c r="BD57" s="14">
        <f>IF((IF((IF(OR(City_Inputs!$AG57="",Norm_Stats!$F$22="",Norm_Stats!$G$22="",Norm_Stats!$G$22=Norm_Stats!$F$22),"",MAX(0,MIN(100,100*(MIN(MAX(City_Inputs!$AG57,Norm_Stats!$F$22),Norm_Stats!$G$22)-Norm_Stats!$F$22)/(Norm_Stats!$G$22-Norm_Stats!$F$22)))))="",0,0.5)+IF((IF(OR(City_Inputs!$AJ57="",Norm_Stats!$F$23="",Norm_Stats!$G$23="",Norm_Stats!$G$23=Norm_Stats!$F$23),"",MAX(0,MIN(100,100*(MIN(MAX(City_Inputs!$AJ57,Norm_Stats!$F$23),Norm_Stats!$G$23)-Norm_Stats!$F$23)/(Norm_Stats!$G$23-Norm_Stats!$F$23)))))="",0,0.3)+IF((IF(OR(City_Inputs!$AK57="",Norm_Stats!$F$24="",Norm_Stats!$G$24="",Norm_Stats!$G$24=Norm_Stats!$F$24),"",MAX(0,MIN(100,100*(MIN(MAX(City_Inputs!$AK57,Norm_Stats!$F$24),Norm_Stats!$G$24)-Norm_Stats!$F$24)/(Norm_Stats!$G$24-Norm_Stats!$F$24)))))="",0,0.2))=0,"",(IF((IF(OR(City_Inputs!$AG57="",Norm_Stats!$F$22="",Norm_Stats!$G$22="",Norm_Stats!$G$22=Norm_Stats!$F$22),"",MAX(0,MIN(100,100*(MIN(MAX(City_Inputs!$AG57,Norm_Stats!$F$22),Norm_Stats!$G$22)-Norm_Stats!$F$22)/(Norm_Stats!$G$22-Norm_Stats!$F$22)))))="",0,0.5)+IF((IF(OR(City_Inputs!$AJ57="",Norm_Stats!$F$23="",Norm_Stats!$G$23="",Norm_Stats!$G$23=Norm_Stats!$F$23),"",MAX(0,MIN(100,100*(MIN(MAX(City_Inputs!$AJ57,Norm_Stats!$F$23),Norm_Stats!$G$23)-Norm_Stats!$F$23)/(Norm_Stats!$G$23-Norm_Stats!$F$23)))))="",0,0.3)+IF((IF(OR(City_Inputs!$AK57="",Norm_Stats!$F$24="",Norm_Stats!$G$24="",Norm_Stats!$G$24=Norm_Stats!$F$24),"",MAX(0,MIN(100,100*(MIN(MAX(City_Inputs!$AK57,Norm_Stats!$F$24),Norm_Stats!$G$24)-Norm_Stats!$F$24)/(Norm_Stats!$G$24-Norm_Stats!$F$24)))))="",0,0.2)))</f>
        <v/>
      </c>
      <c r="BE57" s="11">
        <f>IF(OR(City_Inputs!$AH57="",Norm_Stats!$F$25="",Norm_Stats!$G$25="",Norm_Stats!$G$25=Norm_Stats!$F$25),"",MAX(0,MIN(100,100*(Norm_Stats!$G$25-MIN(MAX(City_Inputs!$AH57,Norm_Stats!$F$25),Norm_Stats!$G$25))/(Norm_Stats!$G$25-Norm_Stats!$F$25))))</f>
        <v/>
      </c>
      <c r="BF57" s="14">
        <f>IF(BE57="","",1)</f>
        <v/>
      </c>
      <c r="BG57" s="15">
        <f>IF((IF(AY57="",0,6)+IF(BA57="",0,5)+IF(BC57="",0,5)+IF(BE57="",0,4))=0,"",(IF(AY57="",0,AY57*6)+IF(BA57="",0,BA57*5)+IF(BC57="",0,BC57*5)+IF(BE57="",0,BE57*4))/(IF(AY57="",0,6)+IF(BA57="",0,5)+IF(BC57="",0,5)+IF(BE57="",0,4)))</f>
        <v/>
      </c>
      <c r="BH57" s="14">
        <f>IF((IF(AZ57="",0,6)+IF(BB57="",0,5)+IF(BD57="",0,5)+IF(BF57="",0,4))=0,"",(IF(AZ57="",0,AZ57*6)+IF(BB57="",0,BB57*5)+IF(BD57="",0,BD57*5)+IF(BF57="",0,BF57*4))/20)</f>
        <v/>
      </c>
      <c r="BI57" s="14">
        <f>IF(AND(R57="",AF57="",AN57="",AX57="",BH57=""),"",((R57*25)+(AF57*22)+(AN57*18)+(AX57*15)+(BH57*20))/100)</f>
        <v/>
      </c>
      <c r="BJ57" s="11">
        <f>IF(BI57="","",IF(BI57&gt;=0.75,"A",IF(BI57&gt;=0.5,"B",IF(BI57&gt;=0.35,"C","Watchlist"))))</f>
        <v/>
      </c>
      <c r="BK57" s="11">
        <f>IF(OR(BI57="",BI57&lt;0.5,R57="",R57&lt;0.35,AF57="",AF57&lt;0.35,AN57="",AN57&lt;0.35,AX57="",AX57&lt;0.35,BH57="",BH57&lt;0.35),"Watchlist","Ranked")</f>
        <v/>
      </c>
      <c r="BL57" s="15">
        <f>IF(AND(Q57="",AE57="",AM57="",AW57="",BG57=""),"",(IF(Q57="",0,Q57*25)+IF(AE57="",0,AE57*22)+IF(AM57="",0,AM57*18)+IF(AW57="",0,AW57*15)+IF(BG57="",0,BG57*20))/(IF(Q57="",0,25)+IF(AE57="",0,22)+IF(AM57="",0,18)+IF(AW57="",0,15)+IF(BG57="",0,20)))</f>
        <v/>
      </c>
      <c r="BM57" s="11">
        <f>IF(BK57="Ranked",1+COUNTIFS($BK$2:$BK$158,"Ranked",$BL$2:$BL$158,"&gt;"&amp;BL57),"")</f>
        <v/>
      </c>
      <c r="BN57" s="11">
        <f>City_Inputs!$AI57</f>
        <v/>
      </c>
    </row>
    <row r="58">
      <c r="A58" t="inlineStr">
        <is>
          <t>pl-gdansk</t>
        </is>
      </c>
      <c r="B58" t="inlineStr">
        <is>
          <t>Gdansk</t>
        </is>
      </c>
      <c r="C58" t="inlineStr">
        <is>
          <t>Poland</t>
        </is>
      </c>
      <c r="D58" t="inlineStr">
        <is>
          <t>Southern/Eastern Europe and Eurasia</t>
        </is>
      </c>
      <c r="E58" t="inlineStr">
        <is>
          <t>locked</t>
        </is>
      </c>
      <c r="F58" t="inlineStr">
        <is>
          <t>secondary</t>
        </is>
      </c>
      <c r="G58" s="11">
        <f>IF(OR(City_Inputs!$M58="",Norm_Stats!$F$2="",Norm_Stats!$G$2="",Norm_Stats!$G$2=Norm_Stats!$F$2),"",MAX(0,MIN(100,100*(MIN(MAX(City_Inputs!$M58,Norm_Stats!$F$2),Norm_Stats!$G$2)-Norm_Stats!$F$2)/(Norm_Stats!$G$2-Norm_Stats!$F$2))))</f>
        <v/>
      </c>
      <c r="H58" s="14">
        <f>IF(G58="","",1)</f>
        <v/>
      </c>
      <c r="I58" s="11">
        <f>IF(OR(City_Inputs!$N58="",Norm_Stats!$F$3="",Norm_Stats!$G$3="",Norm_Stats!$G$3=Norm_Stats!$F$3),"",MAX(0,MIN(100,100*(Norm_Stats!$G$3-MIN(MAX(City_Inputs!$N58,Norm_Stats!$F$3),Norm_Stats!$G$3))/(Norm_Stats!$G$3-Norm_Stats!$F$3))))</f>
        <v/>
      </c>
      <c r="J58" s="14">
        <f>IF(I58="","",1)</f>
        <v/>
      </c>
      <c r="K58" s="11">
        <f>IF(OR(City_Inputs!$P58="",Norm_Stats!$F$4="",Norm_Stats!$G$4="",Norm_Stats!$G$4=Norm_Stats!$F$4),"",MAX(0,MIN(100,100*(Norm_Stats!$G$4-MIN(MAX(City_Inputs!$P58,Norm_Stats!$F$4),Norm_Stats!$G$4))/(Norm_Stats!$G$4-Norm_Stats!$F$4))))</f>
        <v/>
      </c>
      <c r="L58" s="14">
        <f>IF(K58="","",1)</f>
        <v/>
      </c>
      <c r="M58" s="11">
        <f>IF(OR(City_Inputs!$Q58="",Norm_Stats!$F$5="",Norm_Stats!$G$5="",Norm_Stats!$G$5=Norm_Stats!$F$5),"",MAX(0,MIN(100,100*(Norm_Stats!$G$5-MIN(MAX(City_Inputs!$Q58,Norm_Stats!$F$5),Norm_Stats!$G$5))/(Norm_Stats!$G$5-Norm_Stats!$F$5))))</f>
        <v/>
      </c>
      <c r="N58" s="14">
        <f>IF(M58="","",1)</f>
        <v/>
      </c>
      <c r="O58" s="11">
        <f>IF(OR(City_Inputs!$R58="",Norm_Stats!$F$6="",Norm_Stats!$G$6="",Norm_Stats!$G$6=Norm_Stats!$F$6),"",MAX(0,MIN(100,100*(Norm_Stats!$G$6-MIN(MAX(City_Inputs!$R58,Norm_Stats!$F$6),Norm_Stats!$G$6))/(Norm_Stats!$G$6-Norm_Stats!$F$6))))</f>
        <v/>
      </c>
      <c r="P58" s="14">
        <f>IF(O58="","",1)</f>
        <v/>
      </c>
      <c r="Q58" s="15">
        <f>IF((IF(G58="",0,9)+IF(I58="",0,5)+IF(K58="",0,4)+IF(M58="",0,4)+IF(O58="",0,5))=0,"",(IF(G58="",0,G58*9)+IF(I58="",0,I58*5)+IF(K58="",0,K58*4)+IF(M58="",0,M58*4)+IF(O58="",0,O58*5))/(IF(G58="",0,9)+IF(I58="",0,5)+IF(K58="",0,4)+IF(M58="",0,4)+IF(O58="",0,5)))</f>
        <v/>
      </c>
      <c r="R58" s="14">
        <f>IF((IF(H58="",0,9)+IF(J58="",0,5)+IF(L58="",0,4)+IF(N58="",0,4)+IF(P58="",0,5))=0,"",(IF(H58="",0,H58*9)+IF(J58="",0,J58*5)+IF(L58="",0,L58*4)+IF(N58="",0,N58*4)+IF(P58="",0,P58*5))/27)</f>
        <v/>
      </c>
      <c r="S58" s="11">
        <f>IF(OR(City_Inputs!$S58="",Norm_Stats!$F$7="",Norm_Stats!$G$7="",Norm_Stats!$G$7=Norm_Stats!$F$7),"",MAX(0,MIN(100,100*(Norm_Stats!$G$7-MIN(MAX(City_Inputs!$S58,Norm_Stats!$F$7),Norm_Stats!$G$7))/(Norm_Stats!$G$7-Norm_Stats!$F$7))))</f>
        <v/>
      </c>
      <c r="T58" s="14">
        <f>IF(S58="","",1)</f>
        <v/>
      </c>
      <c r="U58" s="11">
        <f>IF(OR(City_Inputs!$T58="",Norm_Stats!$F$8="",Norm_Stats!$G$8="",Norm_Stats!$G$8=Norm_Stats!$F$8),"",MAX(0,MIN(100,100*(MIN(MAX(City_Inputs!$T58,Norm_Stats!$F$8),Norm_Stats!$G$8)-Norm_Stats!$F$8)/(Norm_Stats!$G$8-Norm_Stats!$F$8))))</f>
        <v/>
      </c>
      <c r="V58" s="14">
        <f>IF(U58="","",1)</f>
        <v/>
      </c>
      <c r="W58" s="11">
        <f>IF(OR(City_Inputs!$U58="",Norm_Stats!$F$9="",Norm_Stats!$G$9="",Norm_Stats!$G$9=Norm_Stats!$F$9),"",MAX(0,MIN(100,100*(Norm_Stats!$G$9-MIN(MAX(City_Inputs!$U58,Norm_Stats!$F$9),Norm_Stats!$G$9))/(Norm_Stats!$G$9-Norm_Stats!$F$9))))</f>
        <v/>
      </c>
      <c r="X58" s="14">
        <f>IF(W58="","",1)</f>
        <v/>
      </c>
      <c r="Y58" s="11">
        <f>IF(OR(City_Inputs!$V58="",Norm_Stats!$F$10="",Norm_Stats!$G$10="",Norm_Stats!$G$10=Norm_Stats!$F$10),"",MAX(0,MIN(100,100*(MIN(MAX(City_Inputs!$V58,Norm_Stats!$F$10),Norm_Stats!$G$10)-Norm_Stats!$F$10)/(Norm_Stats!$G$10-Norm_Stats!$F$10))))</f>
        <v/>
      </c>
      <c r="Z58" s="14">
        <f>IF(Y58="","",1)</f>
        <v/>
      </c>
      <c r="AA58" s="11">
        <f>IF(OR(City_Inputs!$W58="",Norm_Stats!$F$11="",Norm_Stats!$G$11="",Norm_Stats!$G$11=Norm_Stats!$F$11),"",MAX(0,MIN(100,100*(MIN(MAX(City_Inputs!$W58,Norm_Stats!$F$11),Norm_Stats!$G$11)-Norm_Stats!$F$11)/(Norm_Stats!$G$11-Norm_Stats!$F$11))))</f>
        <v/>
      </c>
      <c r="AB58" s="14">
        <f>IF(AA58="","",1)</f>
        <v/>
      </c>
      <c r="AC58" s="11">
        <f>IF(OR(City_Inputs!$X58="",Norm_Stats!$F$12="",Norm_Stats!$G$12="",Norm_Stats!$G$12=Norm_Stats!$F$12),"",MAX(0,MIN(100,100*(MIN(MAX(City_Inputs!$X58,Norm_Stats!$F$12),Norm_Stats!$G$12)-Norm_Stats!$F$12)/(Norm_Stats!$G$12-Norm_Stats!$F$12))))</f>
        <v/>
      </c>
      <c r="AD58" s="11">
        <f>IF(AC58="","",1)</f>
        <v/>
      </c>
      <c r="AE58" s="15">
        <f>IF((IF(S58="",0,5)+IF(U58="",0,5)+IF(W58="",0,4)+IF(Y58="",0,4)+IF(AA58="",0,4)+IF(AC58="",0,5))=0,"",(IF(S58="",0,S58*5)+IF(U58="",0,U58*5)+IF(W58="",0,W58*4)+IF(Y58="",0,Y58*4)+IF(AA58="",0,AA58*4)+IF(AC58="",0,AC58*5))/(IF(S58="",0,5)+IF(U58="",0,5)+IF(W58="",0,4)+IF(Y58="",0,4)+IF(AA58="",0,4)+IF(AC58="",0,5)))</f>
        <v/>
      </c>
      <c r="AF58" s="14">
        <f>IF((IF(T58="",0,5)+IF(V58="",0,5)+IF(X58="",0,4)+IF(Z58="",0,4)+IF(AB58="",0,4)+IF(AD58="",0,5))=0,"",(IF(T58="",0,T58*5)+IF(V58="",0,V58*5)+IF(X58="",0,X58*4)+IF(Z58="",0,Z58*4)+IF(AB58="",0,AB58*4)+IF(AD58="",0,AD58*5))/27)</f>
        <v/>
      </c>
      <c r="AG58" s="11">
        <f>IF(OR(City_Inputs!$Y58="",Norm_Stats!$F$13="",Norm_Stats!$G$13="",Norm_Stats!$G$13=Norm_Stats!$F$13),"",MAX(0,MIN(100,100*(MIN(MAX(City_Inputs!$Y58,Norm_Stats!$F$13),Norm_Stats!$G$13)-Norm_Stats!$F$13)/(Norm_Stats!$G$13-Norm_Stats!$F$13))))</f>
        <v/>
      </c>
      <c r="AH58" s="14">
        <f>IF(AG58="","",1)</f>
        <v/>
      </c>
      <c r="AI58" s="11">
        <f>IF(OR(City_Inputs!$Z58="",Norm_Stats!$F$14="",Norm_Stats!$G$14="",Norm_Stats!$G$14=Norm_Stats!$F$14),"",MAX(0,MIN(100,100*(MIN(MAX(City_Inputs!$Z58,Norm_Stats!$F$14),Norm_Stats!$G$14)-Norm_Stats!$F$14)/(Norm_Stats!$G$14-Norm_Stats!$F$14))))</f>
        <v/>
      </c>
      <c r="AJ58" s="14">
        <f>IF(AI58="","",1)</f>
        <v/>
      </c>
      <c r="AK58" s="11">
        <f>IF((IF((IF(OR(City_Inputs!$AA58="",Norm_Stats!$F$15="",Norm_Stats!$G$15="",Norm_Stats!$G$15=Norm_Stats!$F$15),"",MAX(0,MIN(100,100*(MIN(MAX(City_Inputs!$AA58,Norm_Stats!$F$15),Norm_Stats!$G$15)-Norm_Stats!$F$15)/(Norm_Stats!$G$15-Norm_Stats!$F$15)))))="",0,0.7)+IF((IF(OR(City_Inputs!$AL58="",Norm_Stats!$F$16="",Norm_Stats!$G$16="",Norm_Stats!$G$16=Norm_Stats!$F$16),"",MAX(0,MIN(100,100*(Norm_Stats!$G$16-MIN(MAX(City_Inputs!$AL58,Norm_Stats!$F$16),Norm_Stats!$G$16))/(Norm_Stats!$G$16-Norm_Stats!$F$16)))))="",0,0.3))=0,"",(IF((IF(OR(City_Inputs!$AA58="",Norm_Stats!$F$15="",Norm_Stats!$G$15="",Norm_Stats!$G$15=Norm_Stats!$F$15),"",MAX(0,MIN(100,100*(MIN(MAX(City_Inputs!$AA58,Norm_Stats!$F$15),Norm_Stats!$G$15)-Norm_Stats!$F$15)/(Norm_Stats!$G$15-Norm_Stats!$F$15)))))="",0,(IF(OR(City_Inputs!$AA58="",Norm_Stats!$F$15="",Norm_Stats!$G$15="",Norm_Stats!$G$15=Norm_Stats!$F$15),"",MAX(0,MIN(100,100*(MIN(MAX(City_Inputs!$AA58,Norm_Stats!$F$15),Norm_Stats!$G$15)-Norm_Stats!$F$15)/(Norm_Stats!$G$15-Norm_Stats!$F$15)))))*0.7)+IF((IF(OR(City_Inputs!$AL58="",Norm_Stats!$F$16="",Norm_Stats!$G$16="",Norm_Stats!$G$16=Norm_Stats!$F$16),"",MAX(0,MIN(100,100*(Norm_Stats!$G$16-MIN(MAX(City_Inputs!$AL58,Norm_Stats!$F$16),Norm_Stats!$G$16))/(Norm_Stats!$G$16-Norm_Stats!$F$16)))))="",0,(IF(OR(City_Inputs!$AL58="",Norm_Stats!$F$16="",Norm_Stats!$G$16="",Norm_Stats!$G$16=Norm_Stats!$F$16),"",MAX(0,MIN(100,100*(Norm_Stats!$G$16-MIN(MAX(City_Inputs!$AL58,Norm_Stats!$F$16),Norm_Stats!$G$16))/(Norm_Stats!$G$16-Norm_Stats!$F$16)))))*0.3))/(IF((IF(OR(City_Inputs!$AA58="",Norm_Stats!$F$15="",Norm_Stats!$G$15="",Norm_Stats!$G$15=Norm_Stats!$F$15),"",MAX(0,MIN(100,100*(MIN(MAX(City_Inputs!$AA58,Norm_Stats!$F$15),Norm_Stats!$G$15)-Norm_Stats!$F$15)/(Norm_Stats!$G$15-Norm_Stats!$F$15)))))="",0,0.7)+IF((IF(OR(City_Inputs!$AL58="",Norm_Stats!$F$16="",Norm_Stats!$G$16="",Norm_Stats!$G$16=Norm_Stats!$F$16),"",MAX(0,MIN(100,100*(Norm_Stats!$G$16-MIN(MAX(City_Inputs!$AL58,Norm_Stats!$F$16),Norm_Stats!$G$16))/(Norm_Stats!$G$16-Norm_Stats!$F$16)))))="",0,0.3)))</f>
        <v/>
      </c>
      <c r="AL58" s="14">
        <f>IF((IF((IF(OR(City_Inputs!$AA58="",Norm_Stats!$F$15="",Norm_Stats!$G$15="",Norm_Stats!$G$15=Norm_Stats!$F$15),"",MAX(0,MIN(100,100*(MIN(MAX(City_Inputs!$AA58,Norm_Stats!$F$15),Norm_Stats!$G$15)-Norm_Stats!$F$15)/(Norm_Stats!$G$15-Norm_Stats!$F$15)))))="",0,0.7)+IF((IF(OR(City_Inputs!$AL58="",Norm_Stats!$F$16="",Norm_Stats!$G$16="",Norm_Stats!$G$16=Norm_Stats!$F$16),"",MAX(0,MIN(100,100*(Norm_Stats!$G$16-MIN(MAX(City_Inputs!$AL58,Norm_Stats!$F$16),Norm_Stats!$G$16))/(Norm_Stats!$G$16-Norm_Stats!$F$16)))))="",0,0.3))=0,"",(IF((IF(OR(City_Inputs!$AA58="",Norm_Stats!$F$15="",Norm_Stats!$G$15="",Norm_Stats!$G$15=Norm_Stats!$F$15),"",MAX(0,MIN(100,100*(MIN(MAX(City_Inputs!$AA58,Norm_Stats!$F$15),Norm_Stats!$G$15)-Norm_Stats!$F$15)/(Norm_Stats!$G$15-Norm_Stats!$F$15)))))="",0,0.7)+IF((IF(OR(City_Inputs!$AL58="",Norm_Stats!$F$16="",Norm_Stats!$G$16="",Norm_Stats!$G$16=Norm_Stats!$F$16),"",MAX(0,MIN(100,100*(Norm_Stats!$G$16-MIN(MAX(City_Inputs!$AL58,Norm_Stats!$F$16),Norm_Stats!$G$16))/(Norm_Stats!$G$16-Norm_Stats!$F$16)))))="",0,0.3)))</f>
        <v/>
      </c>
      <c r="AM58" s="15">
        <f>IF((IF(AG58="",0,8)+IF(AI58="",0,6)+IF(AK58="",0,4))=0,"",(IF(AG58="",0,AG58*8)+IF(AI58="",0,AI58*6)+IF(AK58="",0,AK58*4))/(IF(AG58="",0,8)+IF(AI58="",0,6)+IF(AK58="",0,4)))</f>
        <v/>
      </c>
      <c r="AN58" s="14">
        <f>IF((IF(AH58="",0,8)+IF(AJ58="",0,6)+IF(AL58="",0,4))=0,"",(IF(AH58="",0,AH58*8)+IF(AJ58="",0,AJ58*6)+IF(AL58="",0,AL58*4))/18)</f>
        <v/>
      </c>
      <c r="AO58" s="11">
        <f>IF(OR(City_Inputs!$AB58="",Norm_Stats!$F$17="",Norm_Stats!$G$17="",Norm_Stats!$G$17=Norm_Stats!$F$17),"",MAX(0,MIN(100,100*(MIN(MAX(City_Inputs!$AB58,Norm_Stats!$F$17),Norm_Stats!$G$17)-Norm_Stats!$F$17)/(Norm_Stats!$G$17-Norm_Stats!$F$17))))</f>
        <v/>
      </c>
      <c r="AP58" s="14">
        <f>IF(AO58="","",1)</f>
        <v/>
      </c>
      <c r="AQ58" s="11">
        <f>IF(OR(City_Inputs!$AC58="",Norm_Stats!$F$18="",Norm_Stats!$G$18="",Norm_Stats!$G$18=Norm_Stats!$F$18),"",MAX(0,MIN(100,100*(MIN(MAX(City_Inputs!$AC58,Norm_Stats!$F$18),Norm_Stats!$G$18)-Norm_Stats!$F$18)/(Norm_Stats!$G$18-Norm_Stats!$F$18))))</f>
        <v/>
      </c>
      <c r="AR58" s="14">
        <f>IF(AQ58="","",1)</f>
        <v/>
      </c>
      <c r="AS58" s="11">
        <f>IF(OR(City_Inputs!$AD58="",Norm_Stats!$F$19="",Norm_Stats!$G$19="",Norm_Stats!$G$19=Norm_Stats!$F$19),"",MAX(0,MIN(100,100*(MIN(MAX(City_Inputs!$AD58,Norm_Stats!$F$19),Norm_Stats!$G$19)-Norm_Stats!$F$19)/(Norm_Stats!$G$19-Norm_Stats!$F$19))))</f>
        <v/>
      </c>
      <c r="AT58" s="14">
        <f>IF(AS58="","",1)</f>
        <v/>
      </c>
      <c r="AU58" s="11">
        <f>IF(OR(City_Inputs!$BJ58="",Norm_Stats!$F$26="",Norm_Stats!$G$26="",Norm_Stats!$G$26=Norm_Stats!$F$26),"",MAX(0,MIN(100,100*(MIN(MAX(City_Inputs!$BJ58,Norm_Stats!$F$26),Norm_Stats!$G$26)-Norm_Stats!$F$26)/(Norm_Stats!$G$26-Norm_Stats!$F$26))))</f>
        <v/>
      </c>
      <c r="AV58" s="11">
        <f>IF(AU58="","",1)</f>
        <v/>
      </c>
      <c r="AW58" s="15">
        <f>IF((IF(AO58="",0,5)+IF(AQ58="",0,5)+IF(AS58="",0,5)+IF(AU58="",0,4))=0,"",(IF(AO58="",0,AO58*5)+IF(AQ58="",0,AQ58*5)+IF(AS58="",0,AS58*5)+IF(AU58="",0,AU58*4))/(IF(AO58="",0,5)+IF(AQ58="",0,5)+IF(AS58="",0,5)+IF(AU58="",0,4)))</f>
        <v/>
      </c>
      <c r="AX58" s="14">
        <f>IF((IF(AP58="",0,5)+IF(AR58="",0,5)+IF(AT58="",0,5)+IF(AV58="",0,4))=0,"",(IF(AP58="",0,AP58*5)+IF(AR58="",0,AR58*5)+IF(AT58="",0,AT58*5)+IF(AV58="",0,AV58*4))/19)</f>
        <v/>
      </c>
      <c r="AY58" s="11">
        <f>IF(OR(City_Inputs!$AE58="",Norm_Stats!$F$20="",Norm_Stats!$G$20="",Norm_Stats!$G$20=Norm_Stats!$F$20),"",MAX(0,MIN(100,100*(MIN(MAX(City_Inputs!$AE58,Norm_Stats!$F$20),Norm_Stats!$G$20)-Norm_Stats!$F$20)/(Norm_Stats!$G$20-Norm_Stats!$F$20))))</f>
        <v/>
      </c>
      <c r="AZ58" s="14">
        <f>IF(AY58="","",1)</f>
        <v/>
      </c>
      <c r="BA58" s="11">
        <f>IF(OR(City_Inputs!$AF58="",Norm_Stats!$F$21="",Norm_Stats!$G$21="",Norm_Stats!$G$21=Norm_Stats!$F$21),"",MAX(0,MIN(100,100*(MIN(MAX(City_Inputs!$AF58,Norm_Stats!$F$21),Norm_Stats!$G$21)-Norm_Stats!$F$21)/(Norm_Stats!$G$21-Norm_Stats!$F$21))))</f>
        <v/>
      </c>
      <c r="BB58" s="14">
        <f>IF(BA58="","",1)</f>
        <v/>
      </c>
      <c r="BC58" s="11">
        <f>IF((IF((IF(OR(City_Inputs!$AG58="",Norm_Stats!$F$22="",Norm_Stats!$G$22="",Norm_Stats!$G$22=Norm_Stats!$F$22),"",MAX(0,MIN(100,100*(MIN(MAX(City_Inputs!$AG58,Norm_Stats!$F$22),Norm_Stats!$G$22)-Norm_Stats!$F$22)/(Norm_Stats!$G$22-Norm_Stats!$F$22)))))="",0,0.5)+IF((IF(OR(City_Inputs!$AJ58="",Norm_Stats!$F$23="",Norm_Stats!$G$23="",Norm_Stats!$G$23=Norm_Stats!$F$23),"",MAX(0,MIN(100,100*(MIN(MAX(City_Inputs!$AJ58,Norm_Stats!$F$23),Norm_Stats!$G$23)-Norm_Stats!$F$23)/(Norm_Stats!$G$23-Norm_Stats!$F$23)))))="",0,0.3)+IF((IF(OR(City_Inputs!$AK58="",Norm_Stats!$F$24="",Norm_Stats!$G$24="",Norm_Stats!$G$24=Norm_Stats!$F$24),"",MAX(0,MIN(100,100*(MIN(MAX(City_Inputs!$AK58,Norm_Stats!$F$24),Norm_Stats!$G$24)-Norm_Stats!$F$24)/(Norm_Stats!$G$24-Norm_Stats!$F$24)))))="",0,0.2))=0,"",(IF((IF(OR(City_Inputs!$AG58="",Norm_Stats!$F$22="",Norm_Stats!$G$22="",Norm_Stats!$G$22=Norm_Stats!$F$22),"",MAX(0,MIN(100,100*(MIN(MAX(City_Inputs!$AG58,Norm_Stats!$F$22),Norm_Stats!$G$22)-Norm_Stats!$F$22)/(Norm_Stats!$G$22-Norm_Stats!$F$22)))))="",0,(IF(OR(City_Inputs!$AG58="",Norm_Stats!$F$22="",Norm_Stats!$G$22="",Norm_Stats!$G$22=Norm_Stats!$F$22),"",MAX(0,MIN(100,100*(MIN(MAX(City_Inputs!$AG58,Norm_Stats!$F$22),Norm_Stats!$G$22)-Norm_Stats!$F$22)/(Norm_Stats!$G$22-Norm_Stats!$F$22)))))*0.5)+IF((IF(OR(City_Inputs!$AJ58="",Norm_Stats!$F$23="",Norm_Stats!$G$23="",Norm_Stats!$G$23=Norm_Stats!$F$23),"",MAX(0,MIN(100,100*(MIN(MAX(City_Inputs!$AJ58,Norm_Stats!$F$23),Norm_Stats!$G$23)-Norm_Stats!$F$23)/(Norm_Stats!$G$23-Norm_Stats!$F$23)))))="",0,(IF(OR(City_Inputs!$AJ58="",Norm_Stats!$F$23="",Norm_Stats!$G$23="",Norm_Stats!$G$23=Norm_Stats!$F$23),"",MAX(0,MIN(100,100*(MIN(MAX(City_Inputs!$AJ58,Norm_Stats!$F$23),Norm_Stats!$G$23)-Norm_Stats!$F$23)/(Norm_Stats!$G$23-Norm_Stats!$F$23)))))*0.3)+IF((IF(OR(City_Inputs!$AK58="",Norm_Stats!$F$24="",Norm_Stats!$G$24="",Norm_Stats!$G$24=Norm_Stats!$F$24),"",MAX(0,MIN(100,100*(MIN(MAX(City_Inputs!$AK58,Norm_Stats!$F$24),Norm_Stats!$G$24)-Norm_Stats!$F$24)/(Norm_Stats!$G$24-Norm_Stats!$F$24)))))="",0,(IF(OR(City_Inputs!$AK58="",Norm_Stats!$F$24="",Norm_Stats!$G$24="",Norm_Stats!$G$24=Norm_Stats!$F$24),"",MAX(0,MIN(100,100*(MIN(MAX(City_Inputs!$AK58,Norm_Stats!$F$24),Norm_Stats!$G$24)-Norm_Stats!$F$24)/(Norm_Stats!$G$24-Norm_Stats!$F$24)))))*0.2))/(IF((IF(OR(City_Inputs!$AG58="",Norm_Stats!$F$22="",Norm_Stats!$G$22="",Norm_Stats!$G$22=Norm_Stats!$F$22),"",MAX(0,MIN(100,100*(MIN(MAX(City_Inputs!$AG58,Norm_Stats!$F$22),Norm_Stats!$G$22)-Norm_Stats!$F$22)/(Norm_Stats!$G$22-Norm_Stats!$F$22)))))="",0,0.5)+IF((IF(OR(City_Inputs!$AJ58="",Norm_Stats!$F$23="",Norm_Stats!$G$23="",Norm_Stats!$G$23=Norm_Stats!$F$23),"",MAX(0,MIN(100,100*(MIN(MAX(City_Inputs!$AJ58,Norm_Stats!$F$23),Norm_Stats!$G$23)-Norm_Stats!$F$23)/(Norm_Stats!$G$23-Norm_Stats!$F$23)))))="",0,0.3)+IF((IF(OR(City_Inputs!$AK58="",Norm_Stats!$F$24="",Norm_Stats!$G$24="",Norm_Stats!$G$24=Norm_Stats!$F$24),"",MAX(0,MIN(100,100*(MIN(MAX(City_Inputs!$AK58,Norm_Stats!$F$24),Norm_Stats!$G$24)-Norm_Stats!$F$24)/(Norm_Stats!$G$24-Norm_Stats!$F$24)))))="",0,0.2)))</f>
        <v/>
      </c>
      <c r="BD58" s="14">
        <f>IF((IF((IF(OR(City_Inputs!$AG58="",Norm_Stats!$F$22="",Norm_Stats!$G$22="",Norm_Stats!$G$22=Norm_Stats!$F$22),"",MAX(0,MIN(100,100*(MIN(MAX(City_Inputs!$AG58,Norm_Stats!$F$22),Norm_Stats!$G$22)-Norm_Stats!$F$22)/(Norm_Stats!$G$22-Norm_Stats!$F$22)))))="",0,0.5)+IF((IF(OR(City_Inputs!$AJ58="",Norm_Stats!$F$23="",Norm_Stats!$G$23="",Norm_Stats!$G$23=Norm_Stats!$F$23),"",MAX(0,MIN(100,100*(MIN(MAX(City_Inputs!$AJ58,Norm_Stats!$F$23),Norm_Stats!$G$23)-Norm_Stats!$F$23)/(Norm_Stats!$G$23-Norm_Stats!$F$23)))))="",0,0.3)+IF((IF(OR(City_Inputs!$AK58="",Norm_Stats!$F$24="",Norm_Stats!$G$24="",Norm_Stats!$G$24=Norm_Stats!$F$24),"",MAX(0,MIN(100,100*(MIN(MAX(City_Inputs!$AK58,Norm_Stats!$F$24),Norm_Stats!$G$24)-Norm_Stats!$F$24)/(Norm_Stats!$G$24-Norm_Stats!$F$24)))))="",0,0.2))=0,"",(IF((IF(OR(City_Inputs!$AG58="",Norm_Stats!$F$22="",Norm_Stats!$G$22="",Norm_Stats!$G$22=Norm_Stats!$F$22),"",MAX(0,MIN(100,100*(MIN(MAX(City_Inputs!$AG58,Norm_Stats!$F$22),Norm_Stats!$G$22)-Norm_Stats!$F$22)/(Norm_Stats!$G$22-Norm_Stats!$F$22)))))="",0,0.5)+IF((IF(OR(City_Inputs!$AJ58="",Norm_Stats!$F$23="",Norm_Stats!$G$23="",Norm_Stats!$G$23=Norm_Stats!$F$23),"",MAX(0,MIN(100,100*(MIN(MAX(City_Inputs!$AJ58,Norm_Stats!$F$23),Norm_Stats!$G$23)-Norm_Stats!$F$23)/(Norm_Stats!$G$23-Norm_Stats!$F$23)))))="",0,0.3)+IF((IF(OR(City_Inputs!$AK58="",Norm_Stats!$F$24="",Norm_Stats!$G$24="",Norm_Stats!$G$24=Norm_Stats!$F$24),"",MAX(0,MIN(100,100*(MIN(MAX(City_Inputs!$AK58,Norm_Stats!$F$24),Norm_Stats!$G$24)-Norm_Stats!$F$24)/(Norm_Stats!$G$24-Norm_Stats!$F$24)))))="",0,0.2)))</f>
        <v/>
      </c>
      <c r="BE58" s="11">
        <f>IF(OR(City_Inputs!$AH58="",Norm_Stats!$F$25="",Norm_Stats!$G$25="",Norm_Stats!$G$25=Norm_Stats!$F$25),"",MAX(0,MIN(100,100*(Norm_Stats!$G$25-MIN(MAX(City_Inputs!$AH58,Norm_Stats!$F$25),Norm_Stats!$G$25))/(Norm_Stats!$G$25-Norm_Stats!$F$25))))</f>
        <v/>
      </c>
      <c r="BF58" s="14">
        <f>IF(BE58="","",1)</f>
        <v/>
      </c>
      <c r="BG58" s="15">
        <f>IF((IF(AY58="",0,6)+IF(BA58="",0,5)+IF(BC58="",0,5)+IF(BE58="",0,4))=0,"",(IF(AY58="",0,AY58*6)+IF(BA58="",0,BA58*5)+IF(BC58="",0,BC58*5)+IF(BE58="",0,BE58*4))/(IF(AY58="",0,6)+IF(BA58="",0,5)+IF(BC58="",0,5)+IF(BE58="",0,4)))</f>
        <v/>
      </c>
      <c r="BH58" s="14">
        <f>IF((IF(AZ58="",0,6)+IF(BB58="",0,5)+IF(BD58="",0,5)+IF(BF58="",0,4))=0,"",(IF(AZ58="",0,AZ58*6)+IF(BB58="",0,BB58*5)+IF(BD58="",0,BD58*5)+IF(BF58="",0,BF58*4))/20)</f>
        <v/>
      </c>
      <c r="BI58" s="14">
        <f>IF(AND(R58="",AF58="",AN58="",AX58="",BH58=""),"",((R58*25)+(AF58*22)+(AN58*18)+(AX58*15)+(BH58*20))/100)</f>
        <v/>
      </c>
      <c r="BJ58" s="11">
        <f>IF(BI58="","",IF(BI58&gt;=0.75,"A",IF(BI58&gt;=0.5,"B",IF(BI58&gt;=0.35,"C","Watchlist"))))</f>
        <v/>
      </c>
      <c r="BK58" s="11">
        <f>IF(OR(BI58="",BI58&lt;0.5,R58="",R58&lt;0.35,AF58="",AF58&lt;0.35,AN58="",AN58&lt;0.35,AX58="",AX58&lt;0.35,BH58="",BH58&lt;0.35),"Watchlist","Ranked")</f>
        <v/>
      </c>
      <c r="BL58" s="15">
        <f>IF(AND(Q58="",AE58="",AM58="",AW58="",BG58=""),"",(IF(Q58="",0,Q58*25)+IF(AE58="",0,AE58*22)+IF(AM58="",0,AM58*18)+IF(AW58="",0,AW58*15)+IF(BG58="",0,BG58*20))/(IF(Q58="",0,25)+IF(AE58="",0,22)+IF(AM58="",0,18)+IF(AW58="",0,15)+IF(BG58="",0,20)))</f>
        <v/>
      </c>
      <c r="BM58" s="11">
        <f>IF(BK58="Ranked",1+COUNTIFS($BK$2:$BK$158,"Ranked",$BL$2:$BL$158,"&gt;"&amp;BL58),"")</f>
        <v/>
      </c>
      <c r="BN58" s="11">
        <f>City_Inputs!$AI58</f>
        <v/>
      </c>
    </row>
    <row r="59">
      <c r="A59" t="inlineStr">
        <is>
          <t>pl-torun</t>
        </is>
      </c>
      <c r="B59" t="inlineStr">
        <is>
          <t>Torun</t>
        </is>
      </c>
      <c r="C59" t="inlineStr">
        <is>
          <t>Poland</t>
        </is>
      </c>
      <c r="D59" t="inlineStr">
        <is>
          <t>Southern/Eastern Europe and Eurasia</t>
        </is>
      </c>
      <c r="E59" t="inlineStr">
        <is>
          <t>provisional</t>
        </is>
      </c>
      <c r="F59" t="inlineStr">
        <is>
          <t>secondary</t>
        </is>
      </c>
      <c r="G59" s="11">
        <f>IF(OR(City_Inputs!$M59="",Norm_Stats!$F$2="",Norm_Stats!$G$2="",Norm_Stats!$G$2=Norm_Stats!$F$2),"",MAX(0,MIN(100,100*(MIN(MAX(City_Inputs!$M59,Norm_Stats!$F$2),Norm_Stats!$G$2)-Norm_Stats!$F$2)/(Norm_Stats!$G$2-Norm_Stats!$F$2))))</f>
        <v/>
      </c>
      <c r="H59" s="14">
        <f>IF(G59="","",1)</f>
        <v/>
      </c>
      <c r="I59" s="11">
        <f>IF(OR(City_Inputs!$N59="",Norm_Stats!$F$3="",Norm_Stats!$G$3="",Norm_Stats!$G$3=Norm_Stats!$F$3),"",MAX(0,MIN(100,100*(Norm_Stats!$G$3-MIN(MAX(City_Inputs!$N59,Norm_Stats!$F$3),Norm_Stats!$G$3))/(Norm_Stats!$G$3-Norm_Stats!$F$3))))</f>
        <v/>
      </c>
      <c r="J59" s="14">
        <f>IF(I59="","",1)</f>
        <v/>
      </c>
      <c r="K59" s="11">
        <f>IF(OR(City_Inputs!$P59="",Norm_Stats!$F$4="",Norm_Stats!$G$4="",Norm_Stats!$G$4=Norm_Stats!$F$4),"",MAX(0,MIN(100,100*(Norm_Stats!$G$4-MIN(MAX(City_Inputs!$P59,Norm_Stats!$F$4),Norm_Stats!$G$4))/(Norm_Stats!$G$4-Norm_Stats!$F$4))))</f>
        <v/>
      </c>
      <c r="L59" s="14">
        <f>IF(K59="","",1)</f>
        <v/>
      </c>
      <c r="M59" s="11">
        <f>IF(OR(City_Inputs!$Q59="",Norm_Stats!$F$5="",Norm_Stats!$G$5="",Norm_Stats!$G$5=Norm_Stats!$F$5),"",MAX(0,MIN(100,100*(Norm_Stats!$G$5-MIN(MAX(City_Inputs!$Q59,Norm_Stats!$F$5),Norm_Stats!$G$5))/(Norm_Stats!$G$5-Norm_Stats!$F$5))))</f>
        <v/>
      </c>
      <c r="N59" s="14">
        <f>IF(M59="","",1)</f>
        <v/>
      </c>
      <c r="O59" s="11">
        <f>IF(OR(City_Inputs!$R59="",Norm_Stats!$F$6="",Norm_Stats!$G$6="",Norm_Stats!$G$6=Norm_Stats!$F$6),"",MAX(0,MIN(100,100*(Norm_Stats!$G$6-MIN(MAX(City_Inputs!$R59,Norm_Stats!$F$6),Norm_Stats!$G$6))/(Norm_Stats!$G$6-Norm_Stats!$F$6))))</f>
        <v/>
      </c>
      <c r="P59" s="14">
        <f>IF(O59="","",1)</f>
        <v/>
      </c>
      <c r="Q59" s="15">
        <f>IF((IF(G59="",0,9)+IF(I59="",0,5)+IF(K59="",0,4)+IF(M59="",0,4)+IF(O59="",0,5))=0,"",(IF(G59="",0,G59*9)+IF(I59="",0,I59*5)+IF(K59="",0,K59*4)+IF(M59="",0,M59*4)+IF(O59="",0,O59*5))/(IF(G59="",0,9)+IF(I59="",0,5)+IF(K59="",0,4)+IF(M59="",0,4)+IF(O59="",0,5)))</f>
        <v/>
      </c>
      <c r="R59" s="14">
        <f>IF((IF(H59="",0,9)+IF(J59="",0,5)+IF(L59="",0,4)+IF(N59="",0,4)+IF(P59="",0,5))=0,"",(IF(H59="",0,H59*9)+IF(J59="",0,J59*5)+IF(L59="",0,L59*4)+IF(N59="",0,N59*4)+IF(P59="",0,P59*5))/27)</f>
        <v/>
      </c>
      <c r="S59" s="11">
        <f>IF(OR(City_Inputs!$S59="",Norm_Stats!$F$7="",Norm_Stats!$G$7="",Norm_Stats!$G$7=Norm_Stats!$F$7),"",MAX(0,MIN(100,100*(Norm_Stats!$G$7-MIN(MAX(City_Inputs!$S59,Norm_Stats!$F$7),Norm_Stats!$G$7))/(Norm_Stats!$G$7-Norm_Stats!$F$7))))</f>
        <v/>
      </c>
      <c r="T59" s="14">
        <f>IF(S59="","",1)</f>
        <v/>
      </c>
      <c r="U59" s="11">
        <f>IF(OR(City_Inputs!$T59="",Norm_Stats!$F$8="",Norm_Stats!$G$8="",Norm_Stats!$G$8=Norm_Stats!$F$8),"",MAX(0,MIN(100,100*(MIN(MAX(City_Inputs!$T59,Norm_Stats!$F$8),Norm_Stats!$G$8)-Norm_Stats!$F$8)/(Norm_Stats!$G$8-Norm_Stats!$F$8))))</f>
        <v/>
      </c>
      <c r="V59" s="14">
        <f>IF(U59="","",1)</f>
        <v/>
      </c>
      <c r="W59" s="11">
        <f>IF(OR(City_Inputs!$U59="",Norm_Stats!$F$9="",Norm_Stats!$G$9="",Norm_Stats!$G$9=Norm_Stats!$F$9),"",MAX(0,MIN(100,100*(Norm_Stats!$G$9-MIN(MAX(City_Inputs!$U59,Norm_Stats!$F$9),Norm_Stats!$G$9))/(Norm_Stats!$G$9-Norm_Stats!$F$9))))</f>
        <v/>
      </c>
      <c r="X59" s="14">
        <f>IF(W59="","",1)</f>
        <v/>
      </c>
      <c r="Y59" s="11">
        <f>IF(OR(City_Inputs!$V59="",Norm_Stats!$F$10="",Norm_Stats!$G$10="",Norm_Stats!$G$10=Norm_Stats!$F$10),"",MAX(0,MIN(100,100*(MIN(MAX(City_Inputs!$V59,Norm_Stats!$F$10),Norm_Stats!$G$10)-Norm_Stats!$F$10)/(Norm_Stats!$G$10-Norm_Stats!$F$10))))</f>
        <v/>
      </c>
      <c r="Z59" s="14">
        <f>IF(Y59="","",1)</f>
        <v/>
      </c>
      <c r="AA59" s="11">
        <f>IF(OR(City_Inputs!$W59="",Norm_Stats!$F$11="",Norm_Stats!$G$11="",Norm_Stats!$G$11=Norm_Stats!$F$11),"",MAX(0,MIN(100,100*(MIN(MAX(City_Inputs!$W59,Norm_Stats!$F$11),Norm_Stats!$G$11)-Norm_Stats!$F$11)/(Norm_Stats!$G$11-Norm_Stats!$F$11))))</f>
        <v/>
      </c>
      <c r="AB59" s="14">
        <f>IF(AA59="","",1)</f>
        <v/>
      </c>
      <c r="AC59" s="11">
        <f>IF(OR(City_Inputs!$X59="",Norm_Stats!$F$12="",Norm_Stats!$G$12="",Norm_Stats!$G$12=Norm_Stats!$F$12),"",MAX(0,MIN(100,100*(MIN(MAX(City_Inputs!$X59,Norm_Stats!$F$12),Norm_Stats!$G$12)-Norm_Stats!$F$12)/(Norm_Stats!$G$12-Norm_Stats!$F$12))))</f>
        <v/>
      </c>
      <c r="AD59" s="11">
        <f>IF(AC59="","",1)</f>
        <v/>
      </c>
      <c r="AE59" s="15">
        <f>IF((IF(S59="",0,5)+IF(U59="",0,5)+IF(W59="",0,4)+IF(Y59="",0,4)+IF(AA59="",0,4)+IF(AC59="",0,5))=0,"",(IF(S59="",0,S59*5)+IF(U59="",0,U59*5)+IF(W59="",0,W59*4)+IF(Y59="",0,Y59*4)+IF(AA59="",0,AA59*4)+IF(AC59="",0,AC59*5))/(IF(S59="",0,5)+IF(U59="",0,5)+IF(W59="",0,4)+IF(Y59="",0,4)+IF(AA59="",0,4)+IF(AC59="",0,5)))</f>
        <v/>
      </c>
      <c r="AF59" s="14">
        <f>IF((IF(T59="",0,5)+IF(V59="",0,5)+IF(X59="",0,4)+IF(Z59="",0,4)+IF(AB59="",0,4)+IF(AD59="",0,5))=0,"",(IF(T59="",0,T59*5)+IF(V59="",0,V59*5)+IF(X59="",0,X59*4)+IF(Z59="",0,Z59*4)+IF(AB59="",0,AB59*4)+IF(AD59="",0,AD59*5))/27)</f>
        <v/>
      </c>
      <c r="AG59" s="11">
        <f>IF(OR(City_Inputs!$Y59="",Norm_Stats!$F$13="",Norm_Stats!$G$13="",Norm_Stats!$G$13=Norm_Stats!$F$13),"",MAX(0,MIN(100,100*(MIN(MAX(City_Inputs!$Y59,Norm_Stats!$F$13),Norm_Stats!$G$13)-Norm_Stats!$F$13)/(Norm_Stats!$G$13-Norm_Stats!$F$13))))</f>
        <v/>
      </c>
      <c r="AH59" s="14">
        <f>IF(AG59="","",1)</f>
        <v/>
      </c>
      <c r="AI59" s="11">
        <f>IF(OR(City_Inputs!$Z59="",Norm_Stats!$F$14="",Norm_Stats!$G$14="",Norm_Stats!$G$14=Norm_Stats!$F$14),"",MAX(0,MIN(100,100*(MIN(MAX(City_Inputs!$Z59,Norm_Stats!$F$14),Norm_Stats!$G$14)-Norm_Stats!$F$14)/(Norm_Stats!$G$14-Norm_Stats!$F$14))))</f>
        <v/>
      </c>
      <c r="AJ59" s="14">
        <f>IF(AI59="","",1)</f>
        <v/>
      </c>
      <c r="AK59" s="11">
        <f>IF((IF((IF(OR(City_Inputs!$AA59="",Norm_Stats!$F$15="",Norm_Stats!$G$15="",Norm_Stats!$G$15=Norm_Stats!$F$15),"",MAX(0,MIN(100,100*(MIN(MAX(City_Inputs!$AA59,Norm_Stats!$F$15),Norm_Stats!$G$15)-Norm_Stats!$F$15)/(Norm_Stats!$G$15-Norm_Stats!$F$15)))))="",0,0.7)+IF((IF(OR(City_Inputs!$AL59="",Norm_Stats!$F$16="",Norm_Stats!$G$16="",Norm_Stats!$G$16=Norm_Stats!$F$16),"",MAX(0,MIN(100,100*(Norm_Stats!$G$16-MIN(MAX(City_Inputs!$AL59,Norm_Stats!$F$16),Norm_Stats!$G$16))/(Norm_Stats!$G$16-Norm_Stats!$F$16)))))="",0,0.3))=0,"",(IF((IF(OR(City_Inputs!$AA59="",Norm_Stats!$F$15="",Norm_Stats!$G$15="",Norm_Stats!$G$15=Norm_Stats!$F$15),"",MAX(0,MIN(100,100*(MIN(MAX(City_Inputs!$AA59,Norm_Stats!$F$15),Norm_Stats!$G$15)-Norm_Stats!$F$15)/(Norm_Stats!$G$15-Norm_Stats!$F$15)))))="",0,(IF(OR(City_Inputs!$AA59="",Norm_Stats!$F$15="",Norm_Stats!$G$15="",Norm_Stats!$G$15=Norm_Stats!$F$15),"",MAX(0,MIN(100,100*(MIN(MAX(City_Inputs!$AA59,Norm_Stats!$F$15),Norm_Stats!$G$15)-Norm_Stats!$F$15)/(Norm_Stats!$G$15-Norm_Stats!$F$15)))))*0.7)+IF((IF(OR(City_Inputs!$AL59="",Norm_Stats!$F$16="",Norm_Stats!$G$16="",Norm_Stats!$G$16=Norm_Stats!$F$16),"",MAX(0,MIN(100,100*(Norm_Stats!$G$16-MIN(MAX(City_Inputs!$AL59,Norm_Stats!$F$16),Norm_Stats!$G$16))/(Norm_Stats!$G$16-Norm_Stats!$F$16)))))="",0,(IF(OR(City_Inputs!$AL59="",Norm_Stats!$F$16="",Norm_Stats!$G$16="",Norm_Stats!$G$16=Norm_Stats!$F$16),"",MAX(0,MIN(100,100*(Norm_Stats!$G$16-MIN(MAX(City_Inputs!$AL59,Norm_Stats!$F$16),Norm_Stats!$G$16))/(Norm_Stats!$G$16-Norm_Stats!$F$16)))))*0.3))/(IF((IF(OR(City_Inputs!$AA59="",Norm_Stats!$F$15="",Norm_Stats!$G$15="",Norm_Stats!$G$15=Norm_Stats!$F$15),"",MAX(0,MIN(100,100*(MIN(MAX(City_Inputs!$AA59,Norm_Stats!$F$15),Norm_Stats!$G$15)-Norm_Stats!$F$15)/(Norm_Stats!$G$15-Norm_Stats!$F$15)))))="",0,0.7)+IF((IF(OR(City_Inputs!$AL59="",Norm_Stats!$F$16="",Norm_Stats!$G$16="",Norm_Stats!$G$16=Norm_Stats!$F$16),"",MAX(0,MIN(100,100*(Norm_Stats!$G$16-MIN(MAX(City_Inputs!$AL59,Norm_Stats!$F$16),Norm_Stats!$G$16))/(Norm_Stats!$G$16-Norm_Stats!$F$16)))))="",0,0.3)))</f>
        <v/>
      </c>
      <c r="AL59" s="14">
        <f>IF((IF((IF(OR(City_Inputs!$AA59="",Norm_Stats!$F$15="",Norm_Stats!$G$15="",Norm_Stats!$G$15=Norm_Stats!$F$15),"",MAX(0,MIN(100,100*(MIN(MAX(City_Inputs!$AA59,Norm_Stats!$F$15),Norm_Stats!$G$15)-Norm_Stats!$F$15)/(Norm_Stats!$G$15-Norm_Stats!$F$15)))))="",0,0.7)+IF((IF(OR(City_Inputs!$AL59="",Norm_Stats!$F$16="",Norm_Stats!$G$16="",Norm_Stats!$G$16=Norm_Stats!$F$16),"",MAX(0,MIN(100,100*(Norm_Stats!$G$16-MIN(MAX(City_Inputs!$AL59,Norm_Stats!$F$16),Norm_Stats!$G$16))/(Norm_Stats!$G$16-Norm_Stats!$F$16)))))="",0,0.3))=0,"",(IF((IF(OR(City_Inputs!$AA59="",Norm_Stats!$F$15="",Norm_Stats!$G$15="",Norm_Stats!$G$15=Norm_Stats!$F$15),"",MAX(0,MIN(100,100*(MIN(MAX(City_Inputs!$AA59,Norm_Stats!$F$15),Norm_Stats!$G$15)-Norm_Stats!$F$15)/(Norm_Stats!$G$15-Norm_Stats!$F$15)))))="",0,0.7)+IF((IF(OR(City_Inputs!$AL59="",Norm_Stats!$F$16="",Norm_Stats!$G$16="",Norm_Stats!$G$16=Norm_Stats!$F$16),"",MAX(0,MIN(100,100*(Norm_Stats!$G$16-MIN(MAX(City_Inputs!$AL59,Norm_Stats!$F$16),Norm_Stats!$G$16))/(Norm_Stats!$G$16-Norm_Stats!$F$16)))))="",0,0.3)))</f>
        <v/>
      </c>
      <c r="AM59" s="15">
        <f>IF((IF(AG59="",0,8)+IF(AI59="",0,6)+IF(AK59="",0,4))=0,"",(IF(AG59="",0,AG59*8)+IF(AI59="",0,AI59*6)+IF(AK59="",0,AK59*4))/(IF(AG59="",0,8)+IF(AI59="",0,6)+IF(AK59="",0,4)))</f>
        <v/>
      </c>
      <c r="AN59" s="14">
        <f>IF((IF(AH59="",0,8)+IF(AJ59="",0,6)+IF(AL59="",0,4))=0,"",(IF(AH59="",0,AH59*8)+IF(AJ59="",0,AJ59*6)+IF(AL59="",0,AL59*4))/18)</f>
        <v/>
      </c>
      <c r="AO59" s="11">
        <f>IF(OR(City_Inputs!$AB59="",Norm_Stats!$F$17="",Norm_Stats!$G$17="",Norm_Stats!$G$17=Norm_Stats!$F$17),"",MAX(0,MIN(100,100*(MIN(MAX(City_Inputs!$AB59,Norm_Stats!$F$17),Norm_Stats!$G$17)-Norm_Stats!$F$17)/(Norm_Stats!$G$17-Norm_Stats!$F$17))))</f>
        <v/>
      </c>
      <c r="AP59" s="14">
        <f>IF(AO59="","",1)</f>
        <v/>
      </c>
      <c r="AQ59" s="11">
        <f>IF(OR(City_Inputs!$AC59="",Norm_Stats!$F$18="",Norm_Stats!$G$18="",Norm_Stats!$G$18=Norm_Stats!$F$18),"",MAX(0,MIN(100,100*(MIN(MAX(City_Inputs!$AC59,Norm_Stats!$F$18),Norm_Stats!$G$18)-Norm_Stats!$F$18)/(Norm_Stats!$G$18-Norm_Stats!$F$18))))</f>
        <v/>
      </c>
      <c r="AR59" s="14">
        <f>IF(AQ59="","",1)</f>
        <v/>
      </c>
      <c r="AS59" s="11">
        <f>IF(OR(City_Inputs!$AD59="",Norm_Stats!$F$19="",Norm_Stats!$G$19="",Norm_Stats!$G$19=Norm_Stats!$F$19),"",MAX(0,MIN(100,100*(MIN(MAX(City_Inputs!$AD59,Norm_Stats!$F$19),Norm_Stats!$G$19)-Norm_Stats!$F$19)/(Norm_Stats!$G$19-Norm_Stats!$F$19))))</f>
        <v/>
      </c>
      <c r="AT59" s="14">
        <f>IF(AS59="","",1)</f>
        <v/>
      </c>
      <c r="AU59" s="11">
        <f>IF(OR(City_Inputs!$BJ59="",Norm_Stats!$F$26="",Norm_Stats!$G$26="",Norm_Stats!$G$26=Norm_Stats!$F$26),"",MAX(0,MIN(100,100*(MIN(MAX(City_Inputs!$BJ59,Norm_Stats!$F$26),Norm_Stats!$G$26)-Norm_Stats!$F$26)/(Norm_Stats!$G$26-Norm_Stats!$F$26))))</f>
        <v/>
      </c>
      <c r="AV59" s="11">
        <f>IF(AU59="","",1)</f>
        <v/>
      </c>
      <c r="AW59" s="15">
        <f>IF((IF(AO59="",0,5)+IF(AQ59="",0,5)+IF(AS59="",0,5)+IF(AU59="",0,4))=0,"",(IF(AO59="",0,AO59*5)+IF(AQ59="",0,AQ59*5)+IF(AS59="",0,AS59*5)+IF(AU59="",0,AU59*4))/(IF(AO59="",0,5)+IF(AQ59="",0,5)+IF(AS59="",0,5)+IF(AU59="",0,4)))</f>
        <v/>
      </c>
      <c r="AX59" s="14">
        <f>IF((IF(AP59="",0,5)+IF(AR59="",0,5)+IF(AT59="",0,5)+IF(AV59="",0,4))=0,"",(IF(AP59="",0,AP59*5)+IF(AR59="",0,AR59*5)+IF(AT59="",0,AT59*5)+IF(AV59="",0,AV59*4))/19)</f>
        <v/>
      </c>
      <c r="AY59" s="11">
        <f>IF(OR(City_Inputs!$AE59="",Norm_Stats!$F$20="",Norm_Stats!$G$20="",Norm_Stats!$G$20=Norm_Stats!$F$20),"",MAX(0,MIN(100,100*(MIN(MAX(City_Inputs!$AE59,Norm_Stats!$F$20),Norm_Stats!$G$20)-Norm_Stats!$F$20)/(Norm_Stats!$G$20-Norm_Stats!$F$20))))</f>
        <v/>
      </c>
      <c r="AZ59" s="14">
        <f>IF(AY59="","",1)</f>
        <v/>
      </c>
      <c r="BA59" s="11">
        <f>IF(OR(City_Inputs!$AF59="",Norm_Stats!$F$21="",Norm_Stats!$G$21="",Norm_Stats!$G$21=Norm_Stats!$F$21),"",MAX(0,MIN(100,100*(MIN(MAX(City_Inputs!$AF59,Norm_Stats!$F$21),Norm_Stats!$G$21)-Norm_Stats!$F$21)/(Norm_Stats!$G$21-Norm_Stats!$F$21))))</f>
        <v/>
      </c>
      <c r="BB59" s="14">
        <f>IF(BA59="","",1)</f>
        <v/>
      </c>
      <c r="BC59" s="11">
        <f>IF((IF((IF(OR(City_Inputs!$AG59="",Norm_Stats!$F$22="",Norm_Stats!$G$22="",Norm_Stats!$G$22=Norm_Stats!$F$22),"",MAX(0,MIN(100,100*(MIN(MAX(City_Inputs!$AG59,Norm_Stats!$F$22),Norm_Stats!$G$22)-Norm_Stats!$F$22)/(Norm_Stats!$G$22-Norm_Stats!$F$22)))))="",0,0.5)+IF((IF(OR(City_Inputs!$AJ59="",Norm_Stats!$F$23="",Norm_Stats!$G$23="",Norm_Stats!$G$23=Norm_Stats!$F$23),"",MAX(0,MIN(100,100*(MIN(MAX(City_Inputs!$AJ59,Norm_Stats!$F$23),Norm_Stats!$G$23)-Norm_Stats!$F$23)/(Norm_Stats!$G$23-Norm_Stats!$F$23)))))="",0,0.3)+IF((IF(OR(City_Inputs!$AK59="",Norm_Stats!$F$24="",Norm_Stats!$G$24="",Norm_Stats!$G$24=Norm_Stats!$F$24),"",MAX(0,MIN(100,100*(MIN(MAX(City_Inputs!$AK59,Norm_Stats!$F$24),Norm_Stats!$G$24)-Norm_Stats!$F$24)/(Norm_Stats!$G$24-Norm_Stats!$F$24)))))="",0,0.2))=0,"",(IF((IF(OR(City_Inputs!$AG59="",Norm_Stats!$F$22="",Norm_Stats!$G$22="",Norm_Stats!$G$22=Norm_Stats!$F$22),"",MAX(0,MIN(100,100*(MIN(MAX(City_Inputs!$AG59,Norm_Stats!$F$22),Norm_Stats!$G$22)-Norm_Stats!$F$22)/(Norm_Stats!$G$22-Norm_Stats!$F$22)))))="",0,(IF(OR(City_Inputs!$AG59="",Norm_Stats!$F$22="",Norm_Stats!$G$22="",Norm_Stats!$G$22=Norm_Stats!$F$22),"",MAX(0,MIN(100,100*(MIN(MAX(City_Inputs!$AG59,Norm_Stats!$F$22),Norm_Stats!$G$22)-Norm_Stats!$F$22)/(Norm_Stats!$G$22-Norm_Stats!$F$22)))))*0.5)+IF((IF(OR(City_Inputs!$AJ59="",Norm_Stats!$F$23="",Norm_Stats!$G$23="",Norm_Stats!$G$23=Norm_Stats!$F$23),"",MAX(0,MIN(100,100*(MIN(MAX(City_Inputs!$AJ59,Norm_Stats!$F$23),Norm_Stats!$G$23)-Norm_Stats!$F$23)/(Norm_Stats!$G$23-Norm_Stats!$F$23)))))="",0,(IF(OR(City_Inputs!$AJ59="",Norm_Stats!$F$23="",Norm_Stats!$G$23="",Norm_Stats!$G$23=Norm_Stats!$F$23),"",MAX(0,MIN(100,100*(MIN(MAX(City_Inputs!$AJ59,Norm_Stats!$F$23),Norm_Stats!$G$23)-Norm_Stats!$F$23)/(Norm_Stats!$G$23-Norm_Stats!$F$23)))))*0.3)+IF((IF(OR(City_Inputs!$AK59="",Norm_Stats!$F$24="",Norm_Stats!$G$24="",Norm_Stats!$G$24=Norm_Stats!$F$24),"",MAX(0,MIN(100,100*(MIN(MAX(City_Inputs!$AK59,Norm_Stats!$F$24),Norm_Stats!$G$24)-Norm_Stats!$F$24)/(Norm_Stats!$G$24-Norm_Stats!$F$24)))))="",0,(IF(OR(City_Inputs!$AK59="",Norm_Stats!$F$24="",Norm_Stats!$G$24="",Norm_Stats!$G$24=Norm_Stats!$F$24),"",MAX(0,MIN(100,100*(MIN(MAX(City_Inputs!$AK59,Norm_Stats!$F$24),Norm_Stats!$G$24)-Norm_Stats!$F$24)/(Norm_Stats!$G$24-Norm_Stats!$F$24)))))*0.2))/(IF((IF(OR(City_Inputs!$AG59="",Norm_Stats!$F$22="",Norm_Stats!$G$22="",Norm_Stats!$G$22=Norm_Stats!$F$22),"",MAX(0,MIN(100,100*(MIN(MAX(City_Inputs!$AG59,Norm_Stats!$F$22),Norm_Stats!$G$22)-Norm_Stats!$F$22)/(Norm_Stats!$G$22-Norm_Stats!$F$22)))))="",0,0.5)+IF((IF(OR(City_Inputs!$AJ59="",Norm_Stats!$F$23="",Norm_Stats!$G$23="",Norm_Stats!$G$23=Norm_Stats!$F$23),"",MAX(0,MIN(100,100*(MIN(MAX(City_Inputs!$AJ59,Norm_Stats!$F$23),Norm_Stats!$G$23)-Norm_Stats!$F$23)/(Norm_Stats!$G$23-Norm_Stats!$F$23)))))="",0,0.3)+IF((IF(OR(City_Inputs!$AK59="",Norm_Stats!$F$24="",Norm_Stats!$G$24="",Norm_Stats!$G$24=Norm_Stats!$F$24),"",MAX(0,MIN(100,100*(MIN(MAX(City_Inputs!$AK59,Norm_Stats!$F$24),Norm_Stats!$G$24)-Norm_Stats!$F$24)/(Norm_Stats!$G$24-Norm_Stats!$F$24)))))="",0,0.2)))</f>
        <v/>
      </c>
      <c r="BD59" s="14">
        <f>IF((IF((IF(OR(City_Inputs!$AG59="",Norm_Stats!$F$22="",Norm_Stats!$G$22="",Norm_Stats!$G$22=Norm_Stats!$F$22),"",MAX(0,MIN(100,100*(MIN(MAX(City_Inputs!$AG59,Norm_Stats!$F$22),Norm_Stats!$G$22)-Norm_Stats!$F$22)/(Norm_Stats!$G$22-Norm_Stats!$F$22)))))="",0,0.5)+IF((IF(OR(City_Inputs!$AJ59="",Norm_Stats!$F$23="",Norm_Stats!$G$23="",Norm_Stats!$G$23=Norm_Stats!$F$23),"",MAX(0,MIN(100,100*(MIN(MAX(City_Inputs!$AJ59,Norm_Stats!$F$23),Norm_Stats!$G$23)-Norm_Stats!$F$23)/(Norm_Stats!$G$23-Norm_Stats!$F$23)))))="",0,0.3)+IF((IF(OR(City_Inputs!$AK59="",Norm_Stats!$F$24="",Norm_Stats!$G$24="",Norm_Stats!$G$24=Norm_Stats!$F$24),"",MAX(0,MIN(100,100*(MIN(MAX(City_Inputs!$AK59,Norm_Stats!$F$24),Norm_Stats!$G$24)-Norm_Stats!$F$24)/(Norm_Stats!$G$24-Norm_Stats!$F$24)))))="",0,0.2))=0,"",(IF((IF(OR(City_Inputs!$AG59="",Norm_Stats!$F$22="",Norm_Stats!$G$22="",Norm_Stats!$G$22=Norm_Stats!$F$22),"",MAX(0,MIN(100,100*(MIN(MAX(City_Inputs!$AG59,Norm_Stats!$F$22),Norm_Stats!$G$22)-Norm_Stats!$F$22)/(Norm_Stats!$G$22-Norm_Stats!$F$22)))))="",0,0.5)+IF((IF(OR(City_Inputs!$AJ59="",Norm_Stats!$F$23="",Norm_Stats!$G$23="",Norm_Stats!$G$23=Norm_Stats!$F$23),"",MAX(0,MIN(100,100*(MIN(MAX(City_Inputs!$AJ59,Norm_Stats!$F$23),Norm_Stats!$G$23)-Norm_Stats!$F$23)/(Norm_Stats!$G$23-Norm_Stats!$F$23)))))="",0,0.3)+IF((IF(OR(City_Inputs!$AK59="",Norm_Stats!$F$24="",Norm_Stats!$G$24="",Norm_Stats!$G$24=Norm_Stats!$F$24),"",MAX(0,MIN(100,100*(MIN(MAX(City_Inputs!$AK59,Norm_Stats!$F$24),Norm_Stats!$G$24)-Norm_Stats!$F$24)/(Norm_Stats!$G$24-Norm_Stats!$F$24)))))="",0,0.2)))</f>
        <v/>
      </c>
      <c r="BE59" s="11">
        <f>IF(OR(City_Inputs!$AH59="",Norm_Stats!$F$25="",Norm_Stats!$G$25="",Norm_Stats!$G$25=Norm_Stats!$F$25),"",MAX(0,MIN(100,100*(Norm_Stats!$G$25-MIN(MAX(City_Inputs!$AH59,Norm_Stats!$F$25),Norm_Stats!$G$25))/(Norm_Stats!$G$25-Norm_Stats!$F$25))))</f>
        <v/>
      </c>
      <c r="BF59" s="14">
        <f>IF(BE59="","",1)</f>
        <v/>
      </c>
      <c r="BG59" s="15">
        <f>IF((IF(AY59="",0,6)+IF(BA59="",0,5)+IF(BC59="",0,5)+IF(BE59="",0,4))=0,"",(IF(AY59="",0,AY59*6)+IF(BA59="",0,BA59*5)+IF(BC59="",0,BC59*5)+IF(BE59="",0,BE59*4))/(IF(AY59="",0,6)+IF(BA59="",0,5)+IF(BC59="",0,5)+IF(BE59="",0,4)))</f>
        <v/>
      </c>
      <c r="BH59" s="14">
        <f>IF((IF(AZ59="",0,6)+IF(BB59="",0,5)+IF(BD59="",0,5)+IF(BF59="",0,4))=0,"",(IF(AZ59="",0,AZ59*6)+IF(BB59="",0,BB59*5)+IF(BD59="",0,BD59*5)+IF(BF59="",0,BF59*4))/20)</f>
        <v/>
      </c>
      <c r="BI59" s="14">
        <f>IF(AND(R59="",AF59="",AN59="",AX59="",BH59=""),"",((R59*25)+(AF59*22)+(AN59*18)+(AX59*15)+(BH59*20))/100)</f>
        <v/>
      </c>
      <c r="BJ59" s="11">
        <f>IF(BI59="","",IF(BI59&gt;=0.75,"A",IF(BI59&gt;=0.5,"B",IF(BI59&gt;=0.35,"C","Watchlist"))))</f>
        <v/>
      </c>
      <c r="BK59" s="11">
        <f>IF(OR(BI59="",BI59&lt;0.5,R59="",R59&lt;0.35,AF59="",AF59&lt;0.35,AN59="",AN59&lt;0.35,AX59="",AX59&lt;0.35,BH59="",BH59&lt;0.35),"Watchlist","Ranked")</f>
        <v/>
      </c>
      <c r="BL59" s="15">
        <f>IF(AND(Q59="",AE59="",AM59="",AW59="",BG59=""),"",(IF(Q59="",0,Q59*25)+IF(AE59="",0,AE59*22)+IF(AM59="",0,AM59*18)+IF(AW59="",0,AW59*15)+IF(BG59="",0,BG59*20))/(IF(Q59="",0,25)+IF(AE59="",0,22)+IF(AM59="",0,18)+IF(AW59="",0,15)+IF(BG59="",0,20)))</f>
        <v/>
      </c>
      <c r="BM59" s="11">
        <f>IF(BK59="Ranked",1+COUNTIFS($BK$2:$BK$158,"Ranked",$BL$2:$BL$158,"&gt;"&amp;BL59),"")</f>
        <v/>
      </c>
      <c r="BN59" s="11">
        <f>City_Inputs!$AI59</f>
        <v/>
      </c>
    </row>
    <row r="60">
      <c r="A60" t="inlineStr">
        <is>
          <t>sk-bratislava</t>
        </is>
      </c>
      <c r="B60" t="inlineStr">
        <is>
          <t>Bratislava</t>
        </is>
      </c>
      <c r="C60" t="inlineStr">
        <is>
          <t>Slovakia</t>
        </is>
      </c>
      <c r="D60" t="inlineStr">
        <is>
          <t>Southern/Eastern Europe and Eurasia</t>
        </is>
      </c>
      <c r="E60" t="inlineStr">
        <is>
          <t>provisional</t>
        </is>
      </c>
      <c r="F60" t="inlineStr">
        <is>
          <t>secondary</t>
        </is>
      </c>
      <c r="G60" s="11">
        <f>IF(OR(City_Inputs!$M60="",Norm_Stats!$F$2="",Norm_Stats!$G$2="",Norm_Stats!$G$2=Norm_Stats!$F$2),"",MAX(0,MIN(100,100*(MIN(MAX(City_Inputs!$M60,Norm_Stats!$F$2),Norm_Stats!$G$2)-Norm_Stats!$F$2)/(Norm_Stats!$G$2-Norm_Stats!$F$2))))</f>
        <v/>
      </c>
      <c r="H60" s="14">
        <f>IF(G60="","",1)</f>
        <v/>
      </c>
      <c r="I60" s="11">
        <f>IF(OR(City_Inputs!$N60="",Norm_Stats!$F$3="",Norm_Stats!$G$3="",Norm_Stats!$G$3=Norm_Stats!$F$3),"",MAX(0,MIN(100,100*(Norm_Stats!$G$3-MIN(MAX(City_Inputs!$N60,Norm_Stats!$F$3),Norm_Stats!$G$3))/(Norm_Stats!$G$3-Norm_Stats!$F$3))))</f>
        <v/>
      </c>
      <c r="J60" s="14">
        <f>IF(I60="","",1)</f>
        <v/>
      </c>
      <c r="K60" s="11">
        <f>IF(OR(City_Inputs!$P60="",Norm_Stats!$F$4="",Norm_Stats!$G$4="",Norm_Stats!$G$4=Norm_Stats!$F$4),"",MAX(0,MIN(100,100*(Norm_Stats!$G$4-MIN(MAX(City_Inputs!$P60,Norm_Stats!$F$4),Norm_Stats!$G$4))/(Norm_Stats!$G$4-Norm_Stats!$F$4))))</f>
        <v/>
      </c>
      <c r="L60" s="14">
        <f>IF(K60="","",1)</f>
        <v/>
      </c>
      <c r="M60" s="11">
        <f>IF(OR(City_Inputs!$Q60="",Norm_Stats!$F$5="",Norm_Stats!$G$5="",Norm_Stats!$G$5=Norm_Stats!$F$5),"",MAX(0,MIN(100,100*(Norm_Stats!$G$5-MIN(MAX(City_Inputs!$Q60,Norm_Stats!$F$5),Norm_Stats!$G$5))/(Norm_Stats!$G$5-Norm_Stats!$F$5))))</f>
        <v/>
      </c>
      <c r="N60" s="14">
        <f>IF(M60="","",1)</f>
        <v/>
      </c>
      <c r="O60" s="11">
        <f>IF(OR(City_Inputs!$R60="",Norm_Stats!$F$6="",Norm_Stats!$G$6="",Norm_Stats!$G$6=Norm_Stats!$F$6),"",MAX(0,MIN(100,100*(Norm_Stats!$G$6-MIN(MAX(City_Inputs!$R60,Norm_Stats!$F$6),Norm_Stats!$G$6))/(Norm_Stats!$G$6-Norm_Stats!$F$6))))</f>
        <v/>
      </c>
      <c r="P60" s="14">
        <f>IF(O60="","",1)</f>
        <v/>
      </c>
      <c r="Q60" s="15">
        <f>IF((IF(G60="",0,9)+IF(I60="",0,5)+IF(K60="",0,4)+IF(M60="",0,4)+IF(O60="",0,5))=0,"",(IF(G60="",0,G60*9)+IF(I60="",0,I60*5)+IF(K60="",0,K60*4)+IF(M60="",0,M60*4)+IF(O60="",0,O60*5))/(IF(G60="",0,9)+IF(I60="",0,5)+IF(K60="",0,4)+IF(M60="",0,4)+IF(O60="",0,5)))</f>
        <v/>
      </c>
      <c r="R60" s="14">
        <f>IF((IF(H60="",0,9)+IF(J60="",0,5)+IF(L60="",0,4)+IF(N60="",0,4)+IF(P60="",0,5))=0,"",(IF(H60="",0,H60*9)+IF(J60="",0,J60*5)+IF(L60="",0,L60*4)+IF(N60="",0,N60*4)+IF(P60="",0,P60*5))/27)</f>
        <v/>
      </c>
      <c r="S60" s="11">
        <f>IF(OR(City_Inputs!$S60="",Norm_Stats!$F$7="",Norm_Stats!$G$7="",Norm_Stats!$G$7=Norm_Stats!$F$7),"",MAX(0,MIN(100,100*(Norm_Stats!$G$7-MIN(MAX(City_Inputs!$S60,Norm_Stats!$F$7),Norm_Stats!$G$7))/(Norm_Stats!$G$7-Norm_Stats!$F$7))))</f>
        <v/>
      </c>
      <c r="T60" s="14">
        <f>IF(S60="","",1)</f>
        <v/>
      </c>
      <c r="U60" s="11">
        <f>IF(OR(City_Inputs!$T60="",Norm_Stats!$F$8="",Norm_Stats!$G$8="",Norm_Stats!$G$8=Norm_Stats!$F$8),"",MAX(0,MIN(100,100*(MIN(MAX(City_Inputs!$T60,Norm_Stats!$F$8),Norm_Stats!$G$8)-Norm_Stats!$F$8)/(Norm_Stats!$G$8-Norm_Stats!$F$8))))</f>
        <v/>
      </c>
      <c r="V60" s="14">
        <f>IF(U60="","",1)</f>
        <v/>
      </c>
      <c r="W60" s="11">
        <f>IF(OR(City_Inputs!$U60="",Norm_Stats!$F$9="",Norm_Stats!$G$9="",Norm_Stats!$G$9=Norm_Stats!$F$9),"",MAX(0,MIN(100,100*(Norm_Stats!$G$9-MIN(MAX(City_Inputs!$U60,Norm_Stats!$F$9),Norm_Stats!$G$9))/(Norm_Stats!$G$9-Norm_Stats!$F$9))))</f>
        <v/>
      </c>
      <c r="X60" s="14">
        <f>IF(W60="","",1)</f>
        <v/>
      </c>
      <c r="Y60" s="11">
        <f>IF(OR(City_Inputs!$V60="",Norm_Stats!$F$10="",Norm_Stats!$G$10="",Norm_Stats!$G$10=Norm_Stats!$F$10),"",MAX(0,MIN(100,100*(MIN(MAX(City_Inputs!$V60,Norm_Stats!$F$10),Norm_Stats!$G$10)-Norm_Stats!$F$10)/(Norm_Stats!$G$10-Norm_Stats!$F$10))))</f>
        <v/>
      </c>
      <c r="Z60" s="14">
        <f>IF(Y60="","",1)</f>
        <v/>
      </c>
      <c r="AA60" s="11">
        <f>IF(OR(City_Inputs!$W60="",Norm_Stats!$F$11="",Norm_Stats!$G$11="",Norm_Stats!$G$11=Norm_Stats!$F$11),"",MAX(0,MIN(100,100*(MIN(MAX(City_Inputs!$W60,Norm_Stats!$F$11),Norm_Stats!$G$11)-Norm_Stats!$F$11)/(Norm_Stats!$G$11-Norm_Stats!$F$11))))</f>
        <v/>
      </c>
      <c r="AB60" s="14">
        <f>IF(AA60="","",1)</f>
        <v/>
      </c>
      <c r="AC60" s="11">
        <f>IF(OR(City_Inputs!$X60="",Norm_Stats!$F$12="",Norm_Stats!$G$12="",Norm_Stats!$G$12=Norm_Stats!$F$12),"",MAX(0,MIN(100,100*(MIN(MAX(City_Inputs!$X60,Norm_Stats!$F$12),Norm_Stats!$G$12)-Norm_Stats!$F$12)/(Norm_Stats!$G$12-Norm_Stats!$F$12))))</f>
        <v/>
      </c>
      <c r="AD60" s="11">
        <f>IF(AC60="","",1)</f>
        <v/>
      </c>
      <c r="AE60" s="15">
        <f>IF((IF(S60="",0,5)+IF(U60="",0,5)+IF(W60="",0,4)+IF(Y60="",0,4)+IF(AA60="",0,4)+IF(AC60="",0,5))=0,"",(IF(S60="",0,S60*5)+IF(U60="",0,U60*5)+IF(W60="",0,W60*4)+IF(Y60="",0,Y60*4)+IF(AA60="",0,AA60*4)+IF(AC60="",0,AC60*5))/(IF(S60="",0,5)+IF(U60="",0,5)+IF(W60="",0,4)+IF(Y60="",0,4)+IF(AA60="",0,4)+IF(AC60="",0,5)))</f>
        <v/>
      </c>
      <c r="AF60" s="14">
        <f>IF((IF(T60="",0,5)+IF(V60="",0,5)+IF(X60="",0,4)+IF(Z60="",0,4)+IF(AB60="",0,4)+IF(AD60="",0,5))=0,"",(IF(T60="",0,T60*5)+IF(V60="",0,V60*5)+IF(X60="",0,X60*4)+IF(Z60="",0,Z60*4)+IF(AB60="",0,AB60*4)+IF(AD60="",0,AD60*5))/27)</f>
        <v/>
      </c>
      <c r="AG60" s="11">
        <f>IF(OR(City_Inputs!$Y60="",Norm_Stats!$F$13="",Norm_Stats!$G$13="",Norm_Stats!$G$13=Norm_Stats!$F$13),"",MAX(0,MIN(100,100*(MIN(MAX(City_Inputs!$Y60,Norm_Stats!$F$13),Norm_Stats!$G$13)-Norm_Stats!$F$13)/(Norm_Stats!$G$13-Norm_Stats!$F$13))))</f>
        <v/>
      </c>
      <c r="AH60" s="14">
        <f>IF(AG60="","",1)</f>
        <v/>
      </c>
      <c r="AI60" s="11">
        <f>IF(OR(City_Inputs!$Z60="",Norm_Stats!$F$14="",Norm_Stats!$G$14="",Norm_Stats!$G$14=Norm_Stats!$F$14),"",MAX(0,MIN(100,100*(MIN(MAX(City_Inputs!$Z60,Norm_Stats!$F$14),Norm_Stats!$G$14)-Norm_Stats!$F$14)/(Norm_Stats!$G$14-Norm_Stats!$F$14))))</f>
        <v/>
      </c>
      <c r="AJ60" s="14">
        <f>IF(AI60="","",1)</f>
        <v/>
      </c>
      <c r="AK60" s="11">
        <f>IF((IF((IF(OR(City_Inputs!$AA60="",Norm_Stats!$F$15="",Norm_Stats!$G$15="",Norm_Stats!$G$15=Norm_Stats!$F$15),"",MAX(0,MIN(100,100*(MIN(MAX(City_Inputs!$AA60,Norm_Stats!$F$15),Norm_Stats!$G$15)-Norm_Stats!$F$15)/(Norm_Stats!$G$15-Norm_Stats!$F$15)))))="",0,0.7)+IF((IF(OR(City_Inputs!$AL60="",Norm_Stats!$F$16="",Norm_Stats!$G$16="",Norm_Stats!$G$16=Norm_Stats!$F$16),"",MAX(0,MIN(100,100*(Norm_Stats!$G$16-MIN(MAX(City_Inputs!$AL60,Norm_Stats!$F$16),Norm_Stats!$G$16))/(Norm_Stats!$G$16-Norm_Stats!$F$16)))))="",0,0.3))=0,"",(IF((IF(OR(City_Inputs!$AA60="",Norm_Stats!$F$15="",Norm_Stats!$G$15="",Norm_Stats!$G$15=Norm_Stats!$F$15),"",MAX(0,MIN(100,100*(MIN(MAX(City_Inputs!$AA60,Norm_Stats!$F$15),Norm_Stats!$G$15)-Norm_Stats!$F$15)/(Norm_Stats!$G$15-Norm_Stats!$F$15)))))="",0,(IF(OR(City_Inputs!$AA60="",Norm_Stats!$F$15="",Norm_Stats!$G$15="",Norm_Stats!$G$15=Norm_Stats!$F$15),"",MAX(0,MIN(100,100*(MIN(MAX(City_Inputs!$AA60,Norm_Stats!$F$15),Norm_Stats!$G$15)-Norm_Stats!$F$15)/(Norm_Stats!$G$15-Norm_Stats!$F$15)))))*0.7)+IF((IF(OR(City_Inputs!$AL60="",Norm_Stats!$F$16="",Norm_Stats!$G$16="",Norm_Stats!$G$16=Norm_Stats!$F$16),"",MAX(0,MIN(100,100*(Norm_Stats!$G$16-MIN(MAX(City_Inputs!$AL60,Norm_Stats!$F$16),Norm_Stats!$G$16))/(Norm_Stats!$G$16-Norm_Stats!$F$16)))))="",0,(IF(OR(City_Inputs!$AL60="",Norm_Stats!$F$16="",Norm_Stats!$G$16="",Norm_Stats!$G$16=Norm_Stats!$F$16),"",MAX(0,MIN(100,100*(Norm_Stats!$G$16-MIN(MAX(City_Inputs!$AL60,Norm_Stats!$F$16),Norm_Stats!$G$16))/(Norm_Stats!$G$16-Norm_Stats!$F$16)))))*0.3))/(IF((IF(OR(City_Inputs!$AA60="",Norm_Stats!$F$15="",Norm_Stats!$G$15="",Norm_Stats!$G$15=Norm_Stats!$F$15),"",MAX(0,MIN(100,100*(MIN(MAX(City_Inputs!$AA60,Norm_Stats!$F$15),Norm_Stats!$G$15)-Norm_Stats!$F$15)/(Norm_Stats!$G$15-Norm_Stats!$F$15)))))="",0,0.7)+IF((IF(OR(City_Inputs!$AL60="",Norm_Stats!$F$16="",Norm_Stats!$G$16="",Norm_Stats!$G$16=Norm_Stats!$F$16),"",MAX(0,MIN(100,100*(Norm_Stats!$G$16-MIN(MAX(City_Inputs!$AL60,Norm_Stats!$F$16),Norm_Stats!$G$16))/(Norm_Stats!$G$16-Norm_Stats!$F$16)))))="",0,0.3)))</f>
        <v/>
      </c>
      <c r="AL60" s="14">
        <f>IF((IF((IF(OR(City_Inputs!$AA60="",Norm_Stats!$F$15="",Norm_Stats!$G$15="",Norm_Stats!$G$15=Norm_Stats!$F$15),"",MAX(0,MIN(100,100*(MIN(MAX(City_Inputs!$AA60,Norm_Stats!$F$15),Norm_Stats!$G$15)-Norm_Stats!$F$15)/(Norm_Stats!$G$15-Norm_Stats!$F$15)))))="",0,0.7)+IF((IF(OR(City_Inputs!$AL60="",Norm_Stats!$F$16="",Norm_Stats!$G$16="",Norm_Stats!$G$16=Norm_Stats!$F$16),"",MAX(0,MIN(100,100*(Norm_Stats!$G$16-MIN(MAX(City_Inputs!$AL60,Norm_Stats!$F$16),Norm_Stats!$G$16))/(Norm_Stats!$G$16-Norm_Stats!$F$16)))))="",0,0.3))=0,"",(IF((IF(OR(City_Inputs!$AA60="",Norm_Stats!$F$15="",Norm_Stats!$G$15="",Norm_Stats!$G$15=Norm_Stats!$F$15),"",MAX(0,MIN(100,100*(MIN(MAX(City_Inputs!$AA60,Norm_Stats!$F$15),Norm_Stats!$G$15)-Norm_Stats!$F$15)/(Norm_Stats!$G$15-Norm_Stats!$F$15)))))="",0,0.7)+IF((IF(OR(City_Inputs!$AL60="",Norm_Stats!$F$16="",Norm_Stats!$G$16="",Norm_Stats!$G$16=Norm_Stats!$F$16),"",MAX(0,MIN(100,100*(Norm_Stats!$G$16-MIN(MAX(City_Inputs!$AL60,Norm_Stats!$F$16),Norm_Stats!$G$16))/(Norm_Stats!$G$16-Norm_Stats!$F$16)))))="",0,0.3)))</f>
        <v/>
      </c>
      <c r="AM60" s="15">
        <f>IF((IF(AG60="",0,8)+IF(AI60="",0,6)+IF(AK60="",0,4))=0,"",(IF(AG60="",0,AG60*8)+IF(AI60="",0,AI60*6)+IF(AK60="",0,AK60*4))/(IF(AG60="",0,8)+IF(AI60="",0,6)+IF(AK60="",0,4)))</f>
        <v/>
      </c>
      <c r="AN60" s="14">
        <f>IF((IF(AH60="",0,8)+IF(AJ60="",0,6)+IF(AL60="",0,4))=0,"",(IF(AH60="",0,AH60*8)+IF(AJ60="",0,AJ60*6)+IF(AL60="",0,AL60*4))/18)</f>
        <v/>
      </c>
      <c r="AO60" s="11">
        <f>IF(OR(City_Inputs!$AB60="",Norm_Stats!$F$17="",Norm_Stats!$G$17="",Norm_Stats!$G$17=Norm_Stats!$F$17),"",MAX(0,MIN(100,100*(MIN(MAX(City_Inputs!$AB60,Norm_Stats!$F$17),Norm_Stats!$G$17)-Norm_Stats!$F$17)/(Norm_Stats!$G$17-Norm_Stats!$F$17))))</f>
        <v/>
      </c>
      <c r="AP60" s="14">
        <f>IF(AO60="","",1)</f>
        <v/>
      </c>
      <c r="AQ60" s="11">
        <f>IF(OR(City_Inputs!$AC60="",Norm_Stats!$F$18="",Norm_Stats!$G$18="",Norm_Stats!$G$18=Norm_Stats!$F$18),"",MAX(0,MIN(100,100*(MIN(MAX(City_Inputs!$AC60,Norm_Stats!$F$18),Norm_Stats!$G$18)-Norm_Stats!$F$18)/(Norm_Stats!$G$18-Norm_Stats!$F$18))))</f>
        <v/>
      </c>
      <c r="AR60" s="14">
        <f>IF(AQ60="","",1)</f>
        <v/>
      </c>
      <c r="AS60" s="11">
        <f>IF(OR(City_Inputs!$AD60="",Norm_Stats!$F$19="",Norm_Stats!$G$19="",Norm_Stats!$G$19=Norm_Stats!$F$19),"",MAX(0,MIN(100,100*(MIN(MAX(City_Inputs!$AD60,Norm_Stats!$F$19),Norm_Stats!$G$19)-Norm_Stats!$F$19)/(Norm_Stats!$G$19-Norm_Stats!$F$19))))</f>
        <v/>
      </c>
      <c r="AT60" s="14">
        <f>IF(AS60="","",1)</f>
        <v/>
      </c>
      <c r="AU60" s="11">
        <f>IF(OR(City_Inputs!$BJ60="",Norm_Stats!$F$26="",Norm_Stats!$G$26="",Norm_Stats!$G$26=Norm_Stats!$F$26),"",MAX(0,MIN(100,100*(MIN(MAX(City_Inputs!$BJ60,Norm_Stats!$F$26),Norm_Stats!$G$26)-Norm_Stats!$F$26)/(Norm_Stats!$G$26-Norm_Stats!$F$26))))</f>
        <v/>
      </c>
      <c r="AV60" s="11">
        <f>IF(AU60="","",1)</f>
        <v/>
      </c>
      <c r="AW60" s="15">
        <f>IF((IF(AO60="",0,5)+IF(AQ60="",0,5)+IF(AS60="",0,5)+IF(AU60="",0,4))=0,"",(IF(AO60="",0,AO60*5)+IF(AQ60="",0,AQ60*5)+IF(AS60="",0,AS60*5)+IF(AU60="",0,AU60*4))/(IF(AO60="",0,5)+IF(AQ60="",0,5)+IF(AS60="",0,5)+IF(AU60="",0,4)))</f>
        <v/>
      </c>
      <c r="AX60" s="14">
        <f>IF((IF(AP60="",0,5)+IF(AR60="",0,5)+IF(AT60="",0,5)+IF(AV60="",0,4))=0,"",(IF(AP60="",0,AP60*5)+IF(AR60="",0,AR60*5)+IF(AT60="",0,AT60*5)+IF(AV60="",0,AV60*4))/19)</f>
        <v/>
      </c>
      <c r="AY60" s="11">
        <f>IF(OR(City_Inputs!$AE60="",Norm_Stats!$F$20="",Norm_Stats!$G$20="",Norm_Stats!$G$20=Norm_Stats!$F$20),"",MAX(0,MIN(100,100*(MIN(MAX(City_Inputs!$AE60,Norm_Stats!$F$20),Norm_Stats!$G$20)-Norm_Stats!$F$20)/(Norm_Stats!$G$20-Norm_Stats!$F$20))))</f>
        <v/>
      </c>
      <c r="AZ60" s="14">
        <f>IF(AY60="","",1)</f>
        <v/>
      </c>
      <c r="BA60" s="11">
        <f>IF(OR(City_Inputs!$AF60="",Norm_Stats!$F$21="",Norm_Stats!$G$21="",Norm_Stats!$G$21=Norm_Stats!$F$21),"",MAX(0,MIN(100,100*(MIN(MAX(City_Inputs!$AF60,Norm_Stats!$F$21),Norm_Stats!$G$21)-Norm_Stats!$F$21)/(Norm_Stats!$G$21-Norm_Stats!$F$21))))</f>
        <v/>
      </c>
      <c r="BB60" s="14">
        <f>IF(BA60="","",1)</f>
        <v/>
      </c>
      <c r="BC60" s="11">
        <f>IF((IF((IF(OR(City_Inputs!$AG60="",Norm_Stats!$F$22="",Norm_Stats!$G$22="",Norm_Stats!$G$22=Norm_Stats!$F$22),"",MAX(0,MIN(100,100*(MIN(MAX(City_Inputs!$AG60,Norm_Stats!$F$22),Norm_Stats!$G$22)-Norm_Stats!$F$22)/(Norm_Stats!$G$22-Norm_Stats!$F$22)))))="",0,0.5)+IF((IF(OR(City_Inputs!$AJ60="",Norm_Stats!$F$23="",Norm_Stats!$G$23="",Norm_Stats!$G$23=Norm_Stats!$F$23),"",MAX(0,MIN(100,100*(MIN(MAX(City_Inputs!$AJ60,Norm_Stats!$F$23),Norm_Stats!$G$23)-Norm_Stats!$F$23)/(Norm_Stats!$G$23-Norm_Stats!$F$23)))))="",0,0.3)+IF((IF(OR(City_Inputs!$AK60="",Norm_Stats!$F$24="",Norm_Stats!$G$24="",Norm_Stats!$G$24=Norm_Stats!$F$24),"",MAX(0,MIN(100,100*(MIN(MAX(City_Inputs!$AK60,Norm_Stats!$F$24),Norm_Stats!$G$24)-Norm_Stats!$F$24)/(Norm_Stats!$G$24-Norm_Stats!$F$24)))))="",0,0.2))=0,"",(IF((IF(OR(City_Inputs!$AG60="",Norm_Stats!$F$22="",Norm_Stats!$G$22="",Norm_Stats!$G$22=Norm_Stats!$F$22),"",MAX(0,MIN(100,100*(MIN(MAX(City_Inputs!$AG60,Norm_Stats!$F$22),Norm_Stats!$G$22)-Norm_Stats!$F$22)/(Norm_Stats!$G$22-Norm_Stats!$F$22)))))="",0,(IF(OR(City_Inputs!$AG60="",Norm_Stats!$F$22="",Norm_Stats!$G$22="",Norm_Stats!$G$22=Norm_Stats!$F$22),"",MAX(0,MIN(100,100*(MIN(MAX(City_Inputs!$AG60,Norm_Stats!$F$22),Norm_Stats!$G$22)-Norm_Stats!$F$22)/(Norm_Stats!$G$22-Norm_Stats!$F$22)))))*0.5)+IF((IF(OR(City_Inputs!$AJ60="",Norm_Stats!$F$23="",Norm_Stats!$G$23="",Norm_Stats!$G$23=Norm_Stats!$F$23),"",MAX(0,MIN(100,100*(MIN(MAX(City_Inputs!$AJ60,Norm_Stats!$F$23),Norm_Stats!$G$23)-Norm_Stats!$F$23)/(Norm_Stats!$G$23-Norm_Stats!$F$23)))))="",0,(IF(OR(City_Inputs!$AJ60="",Norm_Stats!$F$23="",Norm_Stats!$G$23="",Norm_Stats!$G$23=Norm_Stats!$F$23),"",MAX(0,MIN(100,100*(MIN(MAX(City_Inputs!$AJ60,Norm_Stats!$F$23),Norm_Stats!$G$23)-Norm_Stats!$F$23)/(Norm_Stats!$G$23-Norm_Stats!$F$23)))))*0.3)+IF((IF(OR(City_Inputs!$AK60="",Norm_Stats!$F$24="",Norm_Stats!$G$24="",Norm_Stats!$G$24=Norm_Stats!$F$24),"",MAX(0,MIN(100,100*(MIN(MAX(City_Inputs!$AK60,Norm_Stats!$F$24),Norm_Stats!$G$24)-Norm_Stats!$F$24)/(Norm_Stats!$G$24-Norm_Stats!$F$24)))))="",0,(IF(OR(City_Inputs!$AK60="",Norm_Stats!$F$24="",Norm_Stats!$G$24="",Norm_Stats!$G$24=Norm_Stats!$F$24),"",MAX(0,MIN(100,100*(MIN(MAX(City_Inputs!$AK60,Norm_Stats!$F$24),Norm_Stats!$G$24)-Norm_Stats!$F$24)/(Norm_Stats!$G$24-Norm_Stats!$F$24)))))*0.2))/(IF((IF(OR(City_Inputs!$AG60="",Norm_Stats!$F$22="",Norm_Stats!$G$22="",Norm_Stats!$G$22=Norm_Stats!$F$22),"",MAX(0,MIN(100,100*(MIN(MAX(City_Inputs!$AG60,Norm_Stats!$F$22),Norm_Stats!$G$22)-Norm_Stats!$F$22)/(Norm_Stats!$G$22-Norm_Stats!$F$22)))))="",0,0.5)+IF((IF(OR(City_Inputs!$AJ60="",Norm_Stats!$F$23="",Norm_Stats!$G$23="",Norm_Stats!$G$23=Norm_Stats!$F$23),"",MAX(0,MIN(100,100*(MIN(MAX(City_Inputs!$AJ60,Norm_Stats!$F$23),Norm_Stats!$G$23)-Norm_Stats!$F$23)/(Norm_Stats!$G$23-Norm_Stats!$F$23)))))="",0,0.3)+IF((IF(OR(City_Inputs!$AK60="",Norm_Stats!$F$24="",Norm_Stats!$G$24="",Norm_Stats!$G$24=Norm_Stats!$F$24),"",MAX(0,MIN(100,100*(MIN(MAX(City_Inputs!$AK60,Norm_Stats!$F$24),Norm_Stats!$G$24)-Norm_Stats!$F$24)/(Norm_Stats!$G$24-Norm_Stats!$F$24)))))="",0,0.2)))</f>
        <v/>
      </c>
      <c r="BD60" s="14">
        <f>IF((IF((IF(OR(City_Inputs!$AG60="",Norm_Stats!$F$22="",Norm_Stats!$G$22="",Norm_Stats!$G$22=Norm_Stats!$F$22),"",MAX(0,MIN(100,100*(MIN(MAX(City_Inputs!$AG60,Norm_Stats!$F$22),Norm_Stats!$G$22)-Norm_Stats!$F$22)/(Norm_Stats!$G$22-Norm_Stats!$F$22)))))="",0,0.5)+IF((IF(OR(City_Inputs!$AJ60="",Norm_Stats!$F$23="",Norm_Stats!$G$23="",Norm_Stats!$G$23=Norm_Stats!$F$23),"",MAX(0,MIN(100,100*(MIN(MAX(City_Inputs!$AJ60,Norm_Stats!$F$23),Norm_Stats!$G$23)-Norm_Stats!$F$23)/(Norm_Stats!$G$23-Norm_Stats!$F$23)))))="",0,0.3)+IF((IF(OR(City_Inputs!$AK60="",Norm_Stats!$F$24="",Norm_Stats!$G$24="",Norm_Stats!$G$24=Norm_Stats!$F$24),"",MAX(0,MIN(100,100*(MIN(MAX(City_Inputs!$AK60,Norm_Stats!$F$24),Norm_Stats!$G$24)-Norm_Stats!$F$24)/(Norm_Stats!$G$24-Norm_Stats!$F$24)))))="",0,0.2))=0,"",(IF((IF(OR(City_Inputs!$AG60="",Norm_Stats!$F$22="",Norm_Stats!$G$22="",Norm_Stats!$G$22=Norm_Stats!$F$22),"",MAX(0,MIN(100,100*(MIN(MAX(City_Inputs!$AG60,Norm_Stats!$F$22),Norm_Stats!$G$22)-Norm_Stats!$F$22)/(Norm_Stats!$G$22-Norm_Stats!$F$22)))))="",0,0.5)+IF((IF(OR(City_Inputs!$AJ60="",Norm_Stats!$F$23="",Norm_Stats!$G$23="",Norm_Stats!$G$23=Norm_Stats!$F$23),"",MAX(0,MIN(100,100*(MIN(MAX(City_Inputs!$AJ60,Norm_Stats!$F$23),Norm_Stats!$G$23)-Norm_Stats!$F$23)/(Norm_Stats!$G$23-Norm_Stats!$F$23)))))="",0,0.3)+IF((IF(OR(City_Inputs!$AK60="",Norm_Stats!$F$24="",Norm_Stats!$G$24="",Norm_Stats!$G$24=Norm_Stats!$F$24),"",MAX(0,MIN(100,100*(MIN(MAX(City_Inputs!$AK60,Norm_Stats!$F$24),Norm_Stats!$G$24)-Norm_Stats!$F$24)/(Norm_Stats!$G$24-Norm_Stats!$F$24)))))="",0,0.2)))</f>
        <v/>
      </c>
      <c r="BE60" s="11">
        <f>IF(OR(City_Inputs!$AH60="",Norm_Stats!$F$25="",Norm_Stats!$G$25="",Norm_Stats!$G$25=Norm_Stats!$F$25),"",MAX(0,MIN(100,100*(Norm_Stats!$G$25-MIN(MAX(City_Inputs!$AH60,Norm_Stats!$F$25),Norm_Stats!$G$25))/(Norm_Stats!$G$25-Norm_Stats!$F$25))))</f>
        <v/>
      </c>
      <c r="BF60" s="14">
        <f>IF(BE60="","",1)</f>
        <v/>
      </c>
      <c r="BG60" s="15">
        <f>IF((IF(AY60="",0,6)+IF(BA60="",0,5)+IF(BC60="",0,5)+IF(BE60="",0,4))=0,"",(IF(AY60="",0,AY60*6)+IF(BA60="",0,BA60*5)+IF(BC60="",0,BC60*5)+IF(BE60="",0,BE60*4))/(IF(AY60="",0,6)+IF(BA60="",0,5)+IF(BC60="",0,5)+IF(BE60="",0,4)))</f>
        <v/>
      </c>
      <c r="BH60" s="14">
        <f>IF((IF(AZ60="",0,6)+IF(BB60="",0,5)+IF(BD60="",0,5)+IF(BF60="",0,4))=0,"",(IF(AZ60="",0,AZ60*6)+IF(BB60="",0,BB60*5)+IF(BD60="",0,BD60*5)+IF(BF60="",0,BF60*4))/20)</f>
        <v/>
      </c>
      <c r="BI60" s="14">
        <f>IF(AND(R60="",AF60="",AN60="",AX60="",BH60=""),"",((R60*25)+(AF60*22)+(AN60*18)+(AX60*15)+(BH60*20))/100)</f>
        <v/>
      </c>
      <c r="BJ60" s="11">
        <f>IF(BI60="","",IF(BI60&gt;=0.75,"A",IF(BI60&gt;=0.5,"B",IF(BI60&gt;=0.35,"C","Watchlist"))))</f>
        <v/>
      </c>
      <c r="BK60" s="11">
        <f>IF(OR(BI60="",BI60&lt;0.5,R60="",R60&lt;0.35,AF60="",AF60&lt;0.35,AN60="",AN60&lt;0.35,AX60="",AX60&lt;0.35,BH60="",BH60&lt;0.35),"Watchlist","Ranked")</f>
        <v/>
      </c>
      <c r="BL60" s="15">
        <f>IF(AND(Q60="",AE60="",AM60="",AW60="",BG60=""),"",(IF(Q60="",0,Q60*25)+IF(AE60="",0,AE60*22)+IF(AM60="",0,AM60*18)+IF(AW60="",0,AW60*15)+IF(BG60="",0,BG60*20))/(IF(Q60="",0,25)+IF(AE60="",0,22)+IF(AM60="",0,18)+IF(AW60="",0,15)+IF(BG60="",0,20)))</f>
        <v/>
      </c>
      <c r="BM60" s="11">
        <f>IF(BK60="Ranked",1+COUNTIFS($BK$2:$BK$158,"Ranked",$BL$2:$BL$158,"&gt;"&amp;BL60),"")</f>
        <v/>
      </c>
      <c r="BN60" s="11">
        <f>City_Inputs!$AI60</f>
        <v/>
      </c>
    </row>
    <row r="61">
      <c r="A61" t="inlineStr">
        <is>
          <t>us-chicago</t>
        </is>
      </c>
      <c r="B61" t="inlineStr">
        <is>
          <t>Chicago</t>
        </is>
      </c>
      <c r="C61" t="inlineStr">
        <is>
          <t>United States</t>
        </is>
      </c>
      <c r="D61" t="inlineStr">
        <is>
          <t>North America</t>
        </is>
      </c>
      <c r="E61" t="inlineStr">
        <is>
          <t>locked</t>
        </is>
      </c>
      <c r="F61" t="inlineStr">
        <is>
          <t>primary</t>
        </is>
      </c>
      <c r="G61" s="11">
        <f>IF(OR(City_Inputs!$M61="",Norm_Stats!$F$2="",Norm_Stats!$G$2="",Norm_Stats!$G$2=Norm_Stats!$F$2),"",MAX(0,MIN(100,100*(MIN(MAX(City_Inputs!$M61,Norm_Stats!$F$2),Norm_Stats!$G$2)-Norm_Stats!$F$2)/(Norm_Stats!$G$2-Norm_Stats!$F$2))))</f>
        <v/>
      </c>
      <c r="H61" s="14">
        <f>IF(G61="","",1)</f>
        <v/>
      </c>
      <c r="I61" s="11">
        <f>IF(OR(City_Inputs!$N61="",Norm_Stats!$F$3="",Norm_Stats!$G$3="",Norm_Stats!$G$3=Norm_Stats!$F$3),"",MAX(0,MIN(100,100*(Norm_Stats!$G$3-MIN(MAX(City_Inputs!$N61,Norm_Stats!$F$3),Norm_Stats!$G$3))/(Norm_Stats!$G$3-Norm_Stats!$F$3))))</f>
        <v/>
      </c>
      <c r="J61" s="14">
        <f>IF(I61="","",1)</f>
        <v/>
      </c>
      <c r="K61" s="11">
        <f>IF(OR(City_Inputs!$P61="",Norm_Stats!$F$4="",Norm_Stats!$G$4="",Norm_Stats!$G$4=Norm_Stats!$F$4),"",MAX(0,MIN(100,100*(Norm_Stats!$G$4-MIN(MAX(City_Inputs!$P61,Norm_Stats!$F$4),Norm_Stats!$G$4))/(Norm_Stats!$G$4-Norm_Stats!$F$4))))</f>
        <v/>
      </c>
      <c r="L61" s="14">
        <f>IF(K61="","",1)</f>
        <v/>
      </c>
      <c r="M61" s="11">
        <f>IF(OR(City_Inputs!$Q61="",Norm_Stats!$F$5="",Norm_Stats!$G$5="",Norm_Stats!$G$5=Norm_Stats!$F$5),"",MAX(0,MIN(100,100*(Norm_Stats!$G$5-MIN(MAX(City_Inputs!$Q61,Norm_Stats!$F$5),Norm_Stats!$G$5))/(Norm_Stats!$G$5-Norm_Stats!$F$5))))</f>
        <v/>
      </c>
      <c r="N61" s="14">
        <f>IF(M61="","",1)</f>
        <v/>
      </c>
      <c r="O61" s="11">
        <f>IF(OR(City_Inputs!$R61="",Norm_Stats!$F$6="",Norm_Stats!$G$6="",Norm_Stats!$G$6=Norm_Stats!$F$6),"",MAX(0,MIN(100,100*(Norm_Stats!$G$6-MIN(MAX(City_Inputs!$R61,Norm_Stats!$F$6),Norm_Stats!$G$6))/(Norm_Stats!$G$6-Norm_Stats!$F$6))))</f>
        <v/>
      </c>
      <c r="P61" s="14">
        <f>IF(O61="","",1)</f>
        <v/>
      </c>
      <c r="Q61" s="15">
        <f>IF((IF(G61="",0,9)+IF(I61="",0,5)+IF(K61="",0,4)+IF(M61="",0,4)+IF(O61="",0,5))=0,"",(IF(G61="",0,G61*9)+IF(I61="",0,I61*5)+IF(K61="",0,K61*4)+IF(M61="",0,M61*4)+IF(O61="",0,O61*5))/(IF(G61="",0,9)+IF(I61="",0,5)+IF(K61="",0,4)+IF(M61="",0,4)+IF(O61="",0,5)))</f>
        <v/>
      </c>
      <c r="R61" s="14">
        <f>IF((IF(H61="",0,9)+IF(J61="",0,5)+IF(L61="",0,4)+IF(N61="",0,4)+IF(P61="",0,5))=0,"",(IF(H61="",0,H61*9)+IF(J61="",0,J61*5)+IF(L61="",0,L61*4)+IF(N61="",0,N61*4)+IF(P61="",0,P61*5))/27)</f>
        <v/>
      </c>
      <c r="S61" s="11">
        <f>IF(OR(City_Inputs!$S61="",Norm_Stats!$F$7="",Norm_Stats!$G$7="",Norm_Stats!$G$7=Norm_Stats!$F$7),"",MAX(0,MIN(100,100*(Norm_Stats!$G$7-MIN(MAX(City_Inputs!$S61,Norm_Stats!$F$7),Norm_Stats!$G$7))/(Norm_Stats!$G$7-Norm_Stats!$F$7))))</f>
        <v/>
      </c>
      <c r="T61" s="14">
        <f>IF(S61="","",1)</f>
        <v/>
      </c>
      <c r="U61" s="11">
        <f>IF(OR(City_Inputs!$T61="",Norm_Stats!$F$8="",Norm_Stats!$G$8="",Norm_Stats!$G$8=Norm_Stats!$F$8),"",MAX(0,MIN(100,100*(MIN(MAX(City_Inputs!$T61,Norm_Stats!$F$8),Norm_Stats!$G$8)-Norm_Stats!$F$8)/(Norm_Stats!$G$8-Norm_Stats!$F$8))))</f>
        <v/>
      </c>
      <c r="V61" s="14">
        <f>IF(U61="","",1)</f>
        <v/>
      </c>
      <c r="W61" s="11">
        <f>IF(OR(City_Inputs!$U61="",Norm_Stats!$F$9="",Norm_Stats!$G$9="",Norm_Stats!$G$9=Norm_Stats!$F$9),"",MAX(0,MIN(100,100*(Norm_Stats!$G$9-MIN(MAX(City_Inputs!$U61,Norm_Stats!$F$9),Norm_Stats!$G$9))/(Norm_Stats!$G$9-Norm_Stats!$F$9))))</f>
        <v/>
      </c>
      <c r="X61" s="14">
        <f>IF(W61="","",1)</f>
        <v/>
      </c>
      <c r="Y61" s="11">
        <f>IF(OR(City_Inputs!$V61="",Norm_Stats!$F$10="",Norm_Stats!$G$10="",Norm_Stats!$G$10=Norm_Stats!$F$10),"",MAX(0,MIN(100,100*(MIN(MAX(City_Inputs!$V61,Norm_Stats!$F$10),Norm_Stats!$G$10)-Norm_Stats!$F$10)/(Norm_Stats!$G$10-Norm_Stats!$F$10))))</f>
        <v/>
      </c>
      <c r="Z61" s="14">
        <f>IF(Y61="","",1)</f>
        <v/>
      </c>
      <c r="AA61" s="11">
        <f>IF(OR(City_Inputs!$W61="",Norm_Stats!$F$11="",Norm_Stats!$G$11="",Norm_Stats!$G$11=Norm_Stats!$F$11),"",MAX(0,MIN(100,100*(MIN(MAX(City_Inputs!$W61,Norm_Stats!$F$11),Norm_Stats!$G$11)-Norm_Stats!$F$11)/(Norm_Stats!$G$11-Norm_Stats!$F$11))))</f>
        <v/>
      </c>
      <c r="AB61" s="14">
        <f>IF(AA61="","",1)</f>
        <v/>
      </c>
      <c r="AC61" s="11">
        <f>IF(OR(City_Inputs!$X61="",Norm_Stats!$F$12="",Norm_Stats!$G$12="",Norm_Stats!$G$12=Norm_Stats!$F$12),"",MAX(0,MIN(100,100*(MIN(MAX(City_Inputs!$X61,Norm_Stats!$F$12),Norm_Stats!$G$12)-Norm_Stats!$F$12)/(Norm_Stats!$G$12-Norm_Stats!$F$12))))</f>
        <v/>
      </c>
      <c r="AD61" s="11">
        <f>IF(AC61="","",1)</f>
        <v/>
      </c>
      <c r="AE61" s="15">
        <f>IF((IF(S61="",0,5)+IF(U61="",0,5)+IF(W61="",0,4)+IF(Y61="",0,4)+IF(AA61="",0,4)+IF(AC61="",0,5))=0,"",(IF(S61="",0,S61*5)+IF(U61="",0,U61*5)+IF(W61="",0,W61*4)+IF(Y61="",0,Y61*4)+IF(AA61="",0,AA61*4)+IF(AC61="",0,AC61*5))/(IF(S61="",0,5)+IF(U61="",0,5)+IF(W61="",0,4)+IF(Y61="",0,4)+IF(AA61="",0,4)+IF(AC61="",0,5)))</f>
        <v/>
      </c>
      <c r="AF61" s="14">
        <f>IF((IF(T61="",0,5)+IF(V61="",0,5)+IF(X61="",0,4)+IF(Z61="",0,4)+IF(AB61="",0,4)+IF(AD61="",0,5))=0,"",(IF(T61="",0,T61*5)+IF(V61="",0,V61*5)+IF(X61="",0,X61*4)+IF(Z61="",0,Z61*4)+IF(AB61="",0,AB61*4)+IF(AD61="",0,AD61*5))/27)</f>
        <v/>
      </c>
      <c r="AG61" s="11">
        <f>IF(OR(City_Inputs!$Y61="",Norm_Stats!$F$13="",Norm_Stats!$G$13="",Norm_Stats!$G$13=Norm_Stats!$F$13),"",MAX(0,MIN(100,100*(MIN(MAX(City_Inputs!$Y61,Norm_Stats!$F$13),Norm_Stats!$G$13)-Norm_Stats!$F$13)/(Norm_Stats!$G$13-Norm_Stats!$F$13))))</f>
        <v/>
      </c>
      <c r="AH61" s="14">
        <f>IF(AG61="","",1)</f>
        <v/>
      </c>
      <c r="AI61" s="11">
        <f>IF(OR(City_Inputs!$Z61="",Norm_Stats!$F$14="",Norm_Stats!$G$14="",Norm_Stats!$G$14=Norm_Stats!$F$14),"",MAX(0,MIN(100,100*(MIN(MAX(City_Inputs!$Z61,Norm_Stats!$F$14),Norm_Stats!$G$14)-Norm_Stats!$F$14)/(Norm_Stats!$G$14-Norm_Stats!$F$14))))</f>
        <v/>
      </c>
      <c r="AJ61" s="14">
        <f>IF(AI61="","",1)</f>
        <v/>
      </c>
      <c r="AK61" s="11">
        <f>IF((IF((IF(OR(City_Inputs!$AA61="",Norm_Stats!$F$15="",Norm_Stats!$G$15="",Norm_Stats!$G$15=Norm_Stats!$F$15),"",MAX(0,MIN(100,100*(MIN(MAX(City_Inputs!$AA61,Norm_Stats!$F$15),Norm_Stats!$G$15)-Norm_Stats!$F$15)/(Norm_Stats!$G$15-Norm_Stats!$F$15)))))="",0,0.7)+IF((IF(OR(City_Inputs!$AL61="",Norm_Stats!$F$16="",Norm_Stats!$G$16="",Norm_Stats!$G$16=Norm_Stats!$F$16),"",MAX(0,MIN(100,100*(Norm_Stats!$G$16-MIN(MAX(City_Inputs!$AL61,Norm_Stats!$F$16),Norm_Stats!$G$16))/(Norm_Stats!$G$16-Norm_Stats!$F$16)))))="",0,0.3))=0,"",(IF((IF(OR(City_Inputs!$AA61="",Norm_Stats!$F$15="",Norm_Stats!$G$15="",Norm_Stats!$G$15=Norm_Stats!$F$15),"",MAX(0,MIN(100,100*(MIN(MAX(City_Inputs!$AA61,Norm_Stats!$F$15),Norm_Stats!$G$15)-Norm_Stats!$F$15)/(Norm_Stats!$G$15-Norm_Stats!$F$15)))))="",0,(IF(OR(City_Inputs!$AA61="",Norm_Stats!$F$15="",Norm_Stats!$G$15="",Norm_Stats!$G$15=Norm_Stats!$F$15),"",MAX(0,MIN(100,100*(MIN(MAX(City_Inputs!$AA61,Norm_Stats!$F$15),Norm_Stats!$G$15)-Norm_Stats!$F$15)/(Norm_Stats!$G$15-Norm_Stats!$F$15)))))*0.7)+IF((IF(OR(City_Inputs!$AL61="",Norm_Stats!$F$16="",Norm_Stats!$G$16="",Norm_Stats!$G$16=Norm_Stats!$F$16),"",MAX(0,MIN(100,100*(Norm_Stats!$G$16-MIN(MAX(City_Inputs!$AL61,Norm_Stats!$F$16),Norm_Stats!$G$16))/(Norm_Stats!$G$16-Norm_Stats!$F$16)))))="",0,(IF(OR(City_Inputs!$AL61="",Norm_Stats!$F$16="",Norm_Stats!$G$16="",Norm_Stats!$G$16=Norm_Stats!$F$16),"",MAX(0,MIN(100,100*(Norm_Stats!$G$16-MIN(MAX(City_Inputs!$AL61,Norm_Stats!$F$16),Norm_Stats!$G$16))/(Norm_Stats!$G$16-Norm_Stats!$F$16)))))*0.3))/(IF((IF(OR(City_Inputs!$AA61="",Norm_Stats!$F$15="",Norm_Stats!$G$15="",Norm_Stats!$G$15=Norm_Stats!$F$15),"",MAX(0,MIN(100,100*(MIN(MAX(City_Inputs!$AA61,Norm_Stats!$F$15),Norm_Stats!$G$15)-Norm_Stats!$F$15)/(Norm_Stats!$G$15-Norm_Stats!$F$15)))))="",0,0.7)+IF((IF(OR(City_Inputs!$AL61="",Norm_Stats!$F$16="",Norm_Stats!$G$16="",Norm_Stats!$G$16=Norm_Stats!$F$16),"",MAX(0,MIN(100,100*(Norm_Stats!$G$16-MIN(MAX(City_Inputs!$AL61,Norm_Stats!$F$16),Norm_Stats!$G$16))/(Norm_Stats!$G$16-Norm_Stats!$F$16)))))="",0,0.3)))</f>
        <v/>
      </c>
      <c r="AL61" s="14">
        <f>IF((IF((IF(OR(City_Inputs!$AA61="",Norm_Stats!$F$15="",Norm_Stats!$G$15="",Norm_Stats!$G$15=Norm_Stats!$F$15),"",MAX(0,MIN(100,100*(MIN(MAX(City_Inputs!$AA61,Norm_Stats!$F$15),Norm_Stats!$G$15)-Norm_Stats!$F$15)/(Norm_Stats!$G$15-Norm_Stats!$F$15)))))="",0,0.7)+IF((IF(OR(City_Inputs!$AL61="",Norm_Stats!$F$16="",Norm_Stats!$G$16="",Norm_Stats!$G$16=Norm_Stats!$F$16),"",MAX(0,MIN(100,100*(Norm_Stats!$G$16-MIN(MAX(City_Inputs!$AL61,Norm_Stats!$F$16),Norm_Stats!$G$16))/(Norm_Stats!$G$16-Norm_Stats!$F$16)))))="",0,0.3))=0,"",(IF((IF(OR(City_Inputs!$AA61="",Norm_Stats!$F$15="",Norm_Stats!$G$15="",Norm_Stats!$G$15=Norm_Stats!$F$15),"",MAX(0,MIN(100,100*(MIN(MAX(City_Inputs!$AA61,Norm_Stats!$F$15),Norm_Stats!$G$15)-Norm_Stats!$F$15)/(Norm_Stats!$G$15-Norm_Stats!$F$15)))))="",0,0.7)+IF((IF(OR(City_Inputs!$AL61="",Norm_Stats!$F$16="",Norm_Stats!$G$16="",Norm_Stats!$G$16=Norm_Stats!$F$16),"",MAX(0,MIN(100,100*(Norm_Stats!$G$16-MIN(MAX(City_Inputs!$AL61,Norm_Stats!$F$16),Norm_Stats!$G$16))/(Norm_Stats!$G$16-Norm_Stats!$F$16)))))="",0,0.3)))</f>
        <v/>
      </c>
      <c r="AM61" s="15">
        <f>IF((IF(AG61="",0,8)+IF(AI61="",0,6)+IF(AK61="",0,4))=0,"",(IF(AG61="",0,AG61*8)+IF(AI61="",0,AI61*6)+IF(AK61="",0,AK61*4))/(IF(AG61="",0,8)+IF(AI61="",0,6)+IF(AK61="",0,4)))</f>
        <v/>
      </c>
      <c r="AN61" s="14">
        <f>IF((IF(AH61="",0,8)+IF(AJ61="",0,6)+IF(AL61="",0,4))=0,"",(IF(AH61="",0,AH61*8)+IF(AJ61="",0,AJ61*6)+IF(AL61="",0,AL61*4))/18)</f>
        <v/>
      </c>
      <c r="AO61" s="11">
        <f>IF(OR(City_Inputs!$AB61="",Norm_Stats!$F$17="",Norm_Stats!$G$17="",Norm_Stats!$G$17=Norm_Stats!$F$17),"",MAX(0,MIN(100,100*(MIN(MAX(City_Inputs!$AB61,Norm_Stats!$F$17),Norm_Stats!$G$17)-Norm_Stats!$F$17)/(Norm_Stats!$G$17-Norm_Stats!$F$17))))</f>
        <v/>
      </c>
      <c r="AP61" s="14">
        <f>IF(AO61="","",1)</f>
        <v/>
      </c>
      <c r="AQ61" s="11">
        <f>IF(OR(City_Inputs!$AC61="",Norm_Stats!$F$18="",Norm_Stats!$G$18="",Norm_Stats!$G$18=Norm_Stats!$F$18),"",MAX(0,MIN(100,100*(MIN(MAX(City_Inputs!$AC61,Norm_Stats!$F$18),Norm_Stats!$G$18)-Norm_Stats!$F$18)/(Norm_Stats!$G$18-Norm_Stats!$F$18))))</f>
        <v/>
      </c>
      <c r="AR61" s="14">
        <f>IF(AQ61="","",1)</f>
        <v/>
      </c>
      <c r="AS61" s="11">
        <f>IF(OR(City_Inputs!$AD61="",Norm_Stats!$F$19="",Norm_Stats!$G$19="",Norm_Stats!$G$19=Norm_Stats!$F$19),"",MAX(0,MIN(100,100*(MIN(MAX(City_Inputs!$AD61,Norm_Stats!$F$19),Norm_Stats!$G$19)-Norm_Stats!$F$19)/(Norm_Stats!$G$19-Norm_Stats!$F$19))))</f>
        <v/>
      </c>
      <c r="AT61" s="14">
        <f>IF(AS61="","",1)</f>
        <v/>
      </c>
      <c r="AU61" s="11">
        <f>IF(OR(City_Inputs!$BJ61="",Norm_Stats!$F$26="",Norm_Stats!$G$26="",Norm_Stats!$G$26=Norm_Stats!$F$26),"",MAX(0,MIN(100,100*(MIN(MAX(City_Inputs!$BJ61,Norm_Stats!$F$26),Norm_Stats!$G$26)-Norm_Stats!$F$26)/(Norm_Stats!$G$26-Norm_Stats!$F$26))))</f>
        <v/>
      </c>
      <c r="AV61" s="11">
        <f>IF(AU61="","",1)</f>
        <v/>
      </c>
      <c r="AW61" s="15">
        <f>IF((IF(AO61="",0,5)+IF(AQ61="",0,5)+IF(AS61="",0,5)+IF(AU61="",0,4))=0,"",(IF(AO61="",0,AO61*5)+IF(AQ61="",0,AQ61*5)+IF(AS61="",0,AS61*5)+IF(AU61="",0,AU61*4))/(IF(AO61="",0,5)+IF(AQ61="",0,5)+IF(AS61="",0,5)+IF(AU61="",0,4)))</f>
        <v/>
      </c>
      <c r="AX61" s="14">
        <f>IF((IF(AP61="",0,5)+IF(AR61="",0,5)+IF(AT61="",0,5)+IF(AV61="",0,4))=0,"",(IF(AP61="",0,AP61*5)+IF(AR61="",0,AR61*5)+IF(AT61="",0,AT61*5)+IF(AV61="",0,AV61*4))/19)</f>
        <v/>
      </c>
      <c r="AY61" s="11">
        <f>IF(OR(City_Inputs!$AE61="",Norm_Stats!$F$20="",Norm_Stats!$G$20="",Norm_Stats!$G$20=Norm_Stats!$F$20),"",MAX(0,MIN(100,100*(MIN(MAX(City_Inputs!$AE61,Norm_Stats!$F$20),Norm_Stats!$G$20)-Norm_Stats!$F$20)/(Norm_Stats!$G$20-Norm_Stats!$F$20))))</f>
        <v/>
      </c>
      <c r="AZ61" s="14">
        <f>IF(AY61="","",1)</f>
        <v/>
      </c>
      <c r="BA61" s="11">
        <f>IF(OR(City_Inputs!$AF61="",Norm_Stats!$F$21="",Norm_Stats!$G$21="",Norm_Stats!$G$21=Norm_Stats!$F$21),"",MAX(0,MIN(100,100*(MIN(MAX(City_Inputs!$AF61,Norm_Stats!$F$21),Norm_Stats!$G$21)-Norm_Stats!$F$21)/(Norm_Stats!$G$21-Norm_Stats!$F$21))))</f>
        <v/>
      </c>
      <c r="BB61" s="14">
        <f>IF(BA61="","",1)</f>
        <v/>
      </c>
      <c r="BC61" s="11">
        <f>IF((IF((IF(OR(City_Inputs!$AG61="",Norm_Stats!$F$22="",Norm_Stats!$G$22="",Norm_Stats!$G$22=Norm_Stats!$F$22),"",MAX(0,MIN(100,100*(MIN(MAX(City_Inputs!$AG61,Norm_Stats!$F$22),Norm_Stats!$G$22)-Norm_Stats!$F$22)/(Norm_Stats!$G$22-Norm_Stats!$F$22)))))="",0,0.5)+IF((IF(OR(City_Inputs!$AJ61="",Norm_Stats!$F$23="",Norm_Stats!$G$23="",Norm_Stats!$G$23=Norm_Stats!$F$23),"",MAX(0,MIN(100,100*(MIN(MAX(City_Inputs!$AJ61,Norm_Stats!$F$23),Norm_Stats!$G$23)-Norm_Stats!$F$23)/(Norm_Stats!$G$23-Norm_Stats!$F$23)))))="",0,0.3)+IF((IF(OR(City_Inputs!$AK61="",Norm_Stats!$F$24="",Norm_Stats!$G$24="",Norm_Stats!$G$24=Norm_Stats!$F$24),"",MAX(0,MIN(100,100*(MIN(MAX(City_Inputs!$AK61,Norm_Stats!$F$24),Norm_Stats!$G$24)-Norm_Stats!$F$24)/(Norm_Stats!$G$24-Norm_Stats!$F$24)))))="",0,0.2))=0,"",(IF((IF(OR(City_Inputs!$AG61="",Norm_Stats!$F$22="",Norm_Stats!$G$22="",Norm_Stats!$G$22=Norm_Stats!$F$22),"",MAX(0,MIN(100,100*(MIN(MAX(City_Inputs!$AG61,Norm_Stats!$F$22),Norm_Stats!$G$22)-Norm_Stats!$F$22)/(Norm_Stats!$G$22-Norm_Stats!$F$22)))))="",0,(IF(OR(City_Inputs!$AG61="",Norm_Stats!$F$22="",Norm_Stats!$G$22="",Norm_Stats!$G$22=Norm_Stats!$F$22),"",MAX(0,MIN(100,100*(MIN(MAX(City_Inputs!$AG61,Norm_Stats!$F$22),Norm_Stats!$G$22)-Norm_Stats!$F$22)/(Norm_Stats!$G$22-Norm_Stats!$F$22)))))*0.5)+IF((IF(OR(City_Inputs!$AJ61="",Norm_Stats!$F$23="",Norm_Stats!$G$23="",Norm_Stats!$G$23=Norm_Stats!$F$23),"",MAX(0,MIN(100,100*(MIN(MAX(City_Inputs!$AJ61,Norm_Stats!$F$23),Norm_Stats!$G$23)-Norm_Stats!$F$23)/(Norm_Stats!$G$23-Norm_Stats!$F$23)))))="",0,(IF(OR(City_Inputs!$AJ61="",Norm_Stats!$F$23="",Norm_Stats!$G$23="",Norm_Stats!$G$23=Norm_Stats!$F$23),"",MAX(0,MIN(100,100*(MIN(MAX(City_Inputs!$AJ61,Norm_Stats!$F$23),Norm_Stats!$G$23)-Norm_Stats!$F$23)/(Norm_Stats!$G$23-Norm_Stats!$F$23)))))*0.3)+IF((IF(OR(City_Inputs!$AK61="",Norm_Stats!$F$24="",Norm_Stats!$G$24="",Norm_Stats!$G$24=Norm_Stats!$F$24),"",MAX(0,MIN(100,100*(MIN(MAX(City_Inputs!$AK61,Norm_Stats!$F$24),Norm_Stats!$G$24)-Norm_Stats!$F$24)/(Norm_Stats!$G$24-Norm_Stats!$F$24)))))="",0,(IF(OR(City_Inputs!$AK61="",Norm_Stats!$F$24="",Norm_Stats!$G$24="",Norm_Stats!$G$24=Norm_Stats!$F$24),"",MAX(0,MIN(100,100*(MIN(MAX(City_Inputs!$AK61,Norm_Stats!$F$24),Norm_Stats!$G$24)-Norm_Stats!$F$24)/(Norm_Stats!$G$24-Norm_Stats!$F$24)))))*0.2))/(IF((IF(OR(City_Inputs!$AG61="",Norm_Stats!$F$22="",Norm_Stats!$G$22="",Norm_Stats!$G$22=Norm_Stats!$F$22),"",MAX(0,MIN(100,100*(MIN(MAX(City_Inputs!$AG61,Norm_Stats!$F$22),Norm_Stats!$G$22)-Norm_Stats!$F$22)/(Norm_Stats!$G$22-Norm_Stats!$F$22)))))="",0,0.5)+IF((IF(OR(City_Inputs!$AJ61="",Norm_Stats!$F$23="",Norm_Stats!$G$23="",Norm_Stats!$G$23=Norm_Stats!$F$23),"",MAX(0,MIN(100,100*(MIN(MAX(City_Inputs!$AJ61,Norm_Stats!$F$23),Norm_Stats!$G$23)-Norm_Stats!$F$23)/(Norm_Stats!$G$23-Norm_Stats!$F$23)))))="",0,0.3)+IF((IF(OR(City_Inputs!$AK61="",Norm_Stats!$F$24="",Norm_Stats!$G$24="",Norm_Stats!$G$24=Norm_Stats!$F$24),"",MAX(0,MIN(100,100*(MIN(MAX(City_Inputs!$AK61,Norm_Stats!$F$24),Norm_Stats!$G$24)-Norm_Stats!$F$24)/(Norm_Stats!$G$24-Norm_Stats!$F$24)))))="",0,0.2)))</f>
        <v/>
      </c>
      <c r="BD61" s="14">
        <f>IF((IF((IF(OR(City_Inputs!$AG61="",Norm_Stats!$F$22="",Norm_Stats!$G$22="",Norm_Stats!$G$22=Norm_Stats!$F$22),"",MAX(0,MIN(100,100*(MIN(MAX(City_Inputs!$AG61,Norm_Stats!$F$22),Norm_Stats!$G$22)-Norm_Stats!$F$22)/(Norm_Stats!$G$22-Norm_Stats!$F$22)))))="",0,0.5)+IF((IF(OR(City_Inputs!$AJ61="",Norm_Stats!$F$23="",Norm_Stats!$G$23="",Norm_Stats!$G$23=Norm_Stats!$F$23),"",MAX(0,MIN(100,100*(MIN(MAX(City_Inputs!$AJ61,Norm_Stats!$F$23),Norm_Stats!$G$23)-Norm_Stats!$F$23)/(Norm_Stats!$G$23-Norm_Stats!$F$23)))))="",0,0.3)+IF((IF(OR(City_Inputs!$AK61="",Norm_Stats!$F$24="",Norm_Stats!$G$24="",Norm_Stats!$G$24=Norm_Stats!$F$24),"",MAX(0,MIN(100,100*(MIN(MAX(City_Inputs!$AK61,Norm_Stats!$F$24),Norm_Stats!$G$24)-Norm_Stats!$F$24)/(Norm_Stats!$G$24-Norm_Stats!$F$24)))))="",0,0.2))=0,"",(IF((IF(OR(City_Inputs!$AG61="",Norm_Stats!$F$22="",Norm_Stats!$G$22="",Norm_Stats!$G$22=Norm_Stats!$F$22),"",MAX(0,MIN(100,100*(MIN(MAX(City_Inputs!$AG61,Norm_Stats!$F$22),Norm_Stats!$G$22)-Norm_Stats!$F$22)/(Norm_Stats!$G$22-Norm_Stats!$F$22)))))="",0,0.5)+IF((IF(OR(City_Inputs!$AJ61="",Norm_Stats!$F$23="",Norm_Stats!$G$23="",Norm_Stats!$G$23=Norm_Stats!$F$23),"",MAX(0,MIN(100,100*(MIN(MAX(City_Inputs!$AJ61,Norm_Stats!$F$23),Norm_Stats!$G$23)-Norm_Stats!$F$23)/(Norm_Stats!$G$23-Norm_Stats!$F$23)))))="",0,0.3)+IF((IF(OR(City_Inputs!$AK61="",Norm_Stats!$F$24="",Norm_Stats!$G$24="",Norm_Stats!$G$24=Norm_Stats!$F$24),"",MAX(0,MIN(100,100*(MIN(MAX(City_Inputs!$AK61,Norm_Stats!$F$24),Norm_Stats!$G$24)-Norm_Stats!$F$24)/(Norm_Stats!$G$24-Norm_Stats!$F$24)))))="",0,0.2)))</f>
        <v/>
      </c>
      <c r="BE61" s="11">
        <f>IF(OR(City_Inputs!$AH61="",Norm_Stats!$F$25="",Norm_Stats!$G$25="",Norm_Stats!$G$25=Norm_Stats!$F$25),"",MAX(0,MIN(100,100*(Norm_Stats!$G$25-MIN(MAX(City_Inputs!$AH61,Norm_Stats!$F$25),Norm_Stats!$G$25))/(Norm_Stats!$G$25-Norm_Stats!$F$25))))</f>
        <v/>
      </c>
      <c r="BF61" s="14">
        <f>IF(BE61="","",1)</f>
        <v/>
      </c>
      <c r="BG61" s="15">
        <f>IF((IF(AY61="",0,6)+IF(BA61="",0,5)+IF(BC61="",0,5)+IF(BE61="",0,4))=0,"",(IF(AY61="",0,AY61*6)+IF(BA61="",0,BA61*5)+IF(BC61="",0,BC61*5)+IF(BE61="",0,BE61*4))/(IF(AY61="",0,6)+IF(BA61="",0,5)+IF(BC61="",0,5)+IF(BE61="",0,4)))</f>
        <v/>
      </c>
      <c r="BH61" s="14">
        <f>IF((IF(AZ61="",0,6)+IF(BB61="",0,5)+IF(BD61="",0,5)+IF(BF61="",0,4))=0,"",(IF(AZ61="",0,AZ61*6)+IF(BB61="",0,BB61*5)+IF(BD61="",0,BD61*5)+IF(BF61="",0,BF61*4))/20)</f>
        <v/>
      </c>
      <c r="BI61" s="14">
        <f>IF(AND(R61="",AF61="",AN61="",AX61="",BH61=""),"",((R61*25)+(AF61*22)+(AN61*18)+(AX61*15)+(BH61*20))/100)</f>
        <v/>
      </c>
      <c r="BJ61" s="11">
        <f>IF(BI61="","",IF(BI61&gt;=0.75,"A",IF(BI61&gt;=0.5,"B",IF(BI61&gt;=0.35,"C","Watchlist"))))</f>
        <v/>
      </c>
      <c r="BK61" s="11">
        <f>IF(OR(BI61="",BI61&lt;0.5,R61="",R61&lt;0.35,AF61="",AF61&lt;0.35,AN61="",AN61&lt;0.35,AX61="",AX61&lt;0.35,BH61="",BH61&lt;0.35),"Watchlist","Ranked")</f>
        <v/>
      </c>
      <c r="BL61" s="15">
        <f>IF(AND(Q61="",AE61="",AM61="",AW61="",BG61=""),"",(IF(Q61="",0,Q61*25)+IF(AE61="",0,AE61*22)+IF(AM61="",0,AM61*18)+IF(AW61="",0,AW61*15)+IF(BG61="",0,BG61*20))/(IF(Q61="",0,25)+IF(AE61="",0,22)+IF(AM61="",0,18)+IF(AW61="",0,15)+IF(BG61="",0,20)))</f>
        <v/>
      </c>
      <c r="BM61" s="11">
        <f>IF(BK61="Ranked",1+COUNTIFS($BK$2:$BK$158,"Ranked",$BL$2:$BL$158,"&gt;"&amp;BL61),"")</f>
        <v/>
      </c>
      <c r="BN61" s="11">
        <f>City_Inputs!$AI61</f>
        <v/>
      </c>
    </row>
    <row r="62">
      <c r="A62" t="inlineStr">
        <is>
          <t>mx-mexico-city</t>
        </is>
      </c>
      <c r="B62" t="inlineStr">
        <is>
          <t>Mexico City</t>
        </is>
      </c>
      <c r="C62" t="inlineStr">
        <is>
          <t>Mexico</t>
        </is>
      </c>
      <c r="D62" t="inlineStr">
        <is>
          <t>North America</t>
        </is>
      </c>
      <c r="E62" t="inlineStr">
        <is>
          <t>locked</t>
        </is>
      </c>
      <c r="F62" t="inlineStr">
        <is>
          <t>primary</t>
        </is>
      </c>
      <c r="G62" s="11">
        <f>IF(OR(City_Inputs!$M62="",Norm_Stats!$F$2="",Norm_Stats!$G$2="",Norm_Stats!$G$2=Norm_Stats!$F$2),"",MAX(0,MIN(100,100*(MIN(MAX(City_Inputs!$M62,Norm_Stats!$F$2),Norm_Stats!$G$2)-Norm_Stats!$F$2)/(Norm_Stats!$G$2-Norm_Stats!$F$2))))</f>
        <v/>
      </c>
      <c r="H62" s="14">
        <f>IF(G62="","",1)</f>
        <v/>
      </c>
      <c r="I62" s="11">
        <f>IF(OR(City_Inputs!$N62="",Norm_Stats!$F$3="",Norm_Stats!$G$3="",Norm_Stats!$G$3=Norm_Stats!$F$3),"",MAX(0,MIN(100,100*(Norm_Stats!$G$3-MIN(MAX(City_Inputs!$N62,Norm_Stats!$F$3),Norm_Stats!$G$3))/(Norm_Stats!$G$3-Norm_Stats!$F$3))))</f>
        <v/>
      </c>
      <c r="J62" s="14">
        <f>IF(I62="","",1)</f>
        <v/>
      </c>
      <c r="K62" s="11">
        <f>IF(OR(City_Inputs!$P62="",Norm_Stats!$F$4="",Norm_Stats!$G$4="",Norm_Stats!$G$4=Norm_Stats!$F$4),"",MAX(0,MIN(100,100*(Norm_Stats!$G$4-MIN(MAX(City_Inputs!$P62,Norm_Stats!$F$4),Norm_Stats!$G$4))/(Norm_Stats!$G$4-Norm_Stats!$F$4))))</f>
        <v/>
      </c>
      <c r="L62" s="14">
        <f>IF(K62="","",1)</f>
        <v/>
      </c>
      <c r="M62" s="11">
        <f>IF(OR(City_Inputs!$Q62="",Norm_Stats!$F$5="",Norm_Stats!$G$5="",Norm_Stats!$G$5=Norm_Stats!$F$5),"",MAX(0,MIN(100,100*(Norm_Stats!$G$5-MIN(MAX(City_Inputs!$Q62,Norm_Stats!$F$5),Norm_Stats!$G$5))/(Norm_Stats!$G$5-Norm_Stats!$F$5))))</f>
        <v/>
      </c>
      <c r="N62" s="14">
        <f>IF(M62="","",1)</f>
        <v/>
      </c>
      <c r="O62" s="11">
        <f>IF(OR(City_Inputs!$R62="",Norm_Stats!$F$6="",Norm_Stats!$G$6="",Norm_Stats!$G$6=Norm_Stats!$F$6),"",MAX(0,MIN(100,100*(Norm_Stats!$G$6-MIN(MAX(City_Inputs!$R62,Norm_Stats!$F$6),Norm_Stats!$G$6))/(Norm_Stats!$G$6-Norm_Stats!$F$6))))</f>
        <v/>
      </c>
      <c r="P62" s="14">
        <f>IF(O62="","",1)</f>
        <v/>
      </c>
      <c r="Q62" s="15">
        <f>IF((IF(G62="",0,9)+IF(I62="",0,5)+IF(K62="",0,4)+IF(M62="",0,4)+IF(O62="",0,5))=0,"",(IF(G62="",0,G62*9)+IF(I62="",0,I62*5)+IF(K62="",0,K62*4)+IF(M62="",0,M62*4)+IF(O62="",0,O62*5))/(IF(G62="",0,9)+IF(I62="",0,5)+IF(K62="",0,4)+IF(M62="",0,4)+IF(O62="",0,5)))</f>
        <v/>
      </c>
      <c r="R62" s="14">
        <f>IF((IF(H62="",0,9)+IF(J62="",0,5)+IF(L62="",0,4)+IF(N62="",0,4)+IF(P62="",0,5))=0,"",(IF(H62="",0,H62*9)+IF(J62="",0,J62*5)+IF(L62="",0,L62*4)+IF(N62="",0,N62*4)+IF(P62="",0,P62*5))/27)</f>
        <v/>
      </c>
      <c r="S62" s="11">
        <f>IF(OR(City_Inputs!$S62="",Norm_Stats!$F$7="",Norm_Stats!$G$7="",Norm_Stats!$G$7=Norm_Stats!$F$7),"",MAX(0,MIN(100,100*(Norm_Stats!$G$7-MIN(MAX(City_Inputs!$S62,Norm_Stats!$F$7),Norm_Stats!$G$7))/(Norm_Stats!$G$7-Norm_Stats!$F$7))))</f>
        <v/>
      </c>
      <c r="T62" s="14">
        <f>IF(S62="","",1)</f>
        <v/>
      </c>
      <c r="U62" s="11">
        <f>IF(OR(City_Inputs!$T62="",Norm_Stats!$F$8="",Norm_Stats!$G$8="",Norm_Stats!$G$8=Norm_Stats!$F$8),"",MAX(0,MIN(100,100*(MIN(MAX(City_Inputs!$T62,Norm_Stats!$F$8),Norm_Stats!$G$8)-Norm_Stats!$F$8)/(Norm_Stats!$G$8-Norm_Stats!$F$8))))</f>
        <v/>
      </c>
      <c r="V62" s="14">
        <f>IF(U62="","",1)</f>
        <v/>
      </c>
      <c r="W62" s="11">
        <f>IF(OR(City_Inputs!$U62="",Norm_Stats!$F$9="",Norm_Stats!$G$9="",Norm_Stats!$G$9=Norm_Stats!$F$9),"",MAX(0,MIN(100,100*(Norm_Stats!$G$9-MIN(MAX(City_Inputs!$U62,Norm_Stats!$F$9),Norm_Stats!$G$9))/(Norm_Stats!$G$9-Norm_Stats!$F$9))))</f>
        <v/>
      </c>
      <c r="X62" s="14">
        <f>IF(W62="","",1)</f>
        <v/>
      </c>
      <c r="Y62" s="11">
        <f>IF(OR(City_Inputs!$V62="",Norm_Stats!$F$10="",Norm_Stats!$G$10="",Norm_Stats!$G$10=Norm_Stats!$F$10),"",MAX(0,MIN(100,100*(MIN(MAX(City_Inputs!$V62,Norm_Stats!$F$10),Norm_Stats!$G$10)-Norm_Stats!$F$10)/(Norm_Stats!$G$10-Norm_Stats!$F$10))))</f>
        <v/>
      </c>
      <c r="Z62" s="14">
        <f>IF(Y62="","",1)</f>
        <v/>
      </c>
      <c r="AA62" s="11">
        <f>IF(OR(City_Inputs!$W62="",Norm_Stats!$F$11="",Norm_Stats!$G$11="",Norm_Stats!$G$11=Norm_Stats!$F$11),"",MAX(0,MIN(100,100*(MIN(MAX(City_Inputs!$W62,Norm_Stats!$F$11),Norm_Stats!$G$11)-Norm_Stats!$F$11)/(Norm_Stats!$G$11-Norm_Stats!$F$11))))</f>
        <v/>
      </c>
      <c r="AB62" s="14">
        <f>IF(AA62="","",1)</f>
        <v/>
      </c>
      <c r="AC62" s="11">
        <f>IF(OR(City_Inputs!$X62="",Norm_Stats!$F$12="",Norm_Stats!$G$12="",Norm_Stats!$G$12=Norm_Stats!$F$12),"",MAX(0,MIN(100,100*(MIN(MAX(City_Inputs!$X62,Norm_Stats!$F$12),Norm_Stats!$G$12)-Norm_Stats!$F$12)/(Norm_Stats!$G$12-Norm_Stats!$F$12))))</f>
        <v/>
      </c>
      <c r="AD62" s="11">
        <f>IF(AC62="","",1)</f>
        <v/>
      </c>
      <c r="AE62" s="15">
        <f>IF((IF(S62="",0,5)+IF(U62="",0,5)+IF(W62="",0,4)+IF(Y62="",0,4)+IF(AA62="",0,4)+IF(AC62="",0,5))=0,"",(IF(S62="",0,S62*5)+IF(U62="",0,U62*5)+IF(W62="",0,W62*4)+IF(Y62="",0,Y62*4)+IF(AA62="",0,AA62*4)+IF(AC62="",0,AC62*5))/(IF(S62="",0,5)+IF(U62="",0,5)+IF(W62="",0,4)+IF(Y62="",0,4)+IF(AA62="",0,4)+IF(AC62="",0,5)))</f>
        <v/>
      </c>
      <c r="AF62" s="14">
        <f>IF((IF(T62="",0,5)+IF(V62="",0,5)+IF(X62="",0,4)+IF(Z62="",0,4)+IF(AB62="",0,4)+IF(AD62="",0,5))=0,"",(IF(T62="",0,T62*5)+IF(V62="",0,V62*5)+IF(X62="",0,X62*4)+IF(Z62="",0,Z62*4)+IF(AB62="",0,AB62*4)+IF(AD62="",0,AD62*5))/27)</f>
        <v/>
      </c>
      <c r="AG62" s="11">
        <f>IF(OR(City_Inputs!$Y62="",Norm_Stats!$F$13="",Norm_Stats!$G$13="",Norm_Stats!$G$13=Norm_Stats!$F$13),"",MAX(0,MIN(100,100*(MIN(MAX(City_Inputs!$Y62,Norm_Stats!$F$13),Norm_Stats!$G$13)-Norm_Stats!$F$13)/(Norm_Stats!$G$13-Norm_Stats!$F$13))))</f>
        <v/>
      </c>
      <c r="AH62" s="14">
        <f>IF(AG62="","",1)</f>
        <v/>
      </c>
      <c r="AI62" s="11">
        <f>IF(OR(City_Inputs!$Z62="",Norm_Stats!$F$14="",Norm_Stats!$G$14="",Norm_Stats!$G$14=Norm_Stats!$F$14),"",MAX(0,MIN(100,100*(MIN(MAX(City_Inputs!$Z62,Norm_Stats!$F$14),Norm_Stats!$G$14)-Norm_Stats!$F$14)/(Norm_Stats!$G$14-Norm_Stats!$F$14))))</f>
        <v/>
      </c>
      <c r="AJ62" s="14">
        <f>IF(AI62="","",1)</f>
        <v/>
      </c>
      <c r="AK62" s="11">
        <f>IF((IF((IF(OR(City_Inputs!$AA62="",Norm_Stats!$F$15="",Norm_Stats!$G$15="",Norm_Stats!$G$15=Norm_Stats!$F$15),"",MAX(0,MIN(100,100*(MIN(MAX(City_Inputs!$AA62,Norm_Stats!$F$15),Norm_Stats!$G$15)-Norm_Stats!$F$15)/(Norm_Stats!$G$15-Norm_Stats!$F$15)))))="",0,0.7)+IF((IF(OR(City_Inputs!$AL62="",Norm_Stats!$F$16="",Norm_Stats!$G$16="",Norm_Stats!$G$16=Norm_Stats!$F$16),"",MAX(0,MIN(100,100*(Norm_Stats!$G$16-MIN(MAX(City_Inputs!$AL62,Norm_Stats!$F$16),Norm_Stats!$G$16))/(Norm_Stats!$G$16-Norm_Stats!$F$16)))))="",0,0.3))=0,"",(IF((IF(OR(City_Inputs!$AA62="",Norm_Stats!$F$15="",Norm_Stats!$G$15="",Norm_Stats!$G$15=Norm_Stats!$F$15),"",MAX(0,MIN(100,100*(MIN(MAX(City_Inputs!$AA62,Norm_Stats!$F$15),Norm_Stats!$G$15)-Norm_Stats!$F$15)/(Norm_Stats!$G$15-Norm_Stats!$F$15)))))="",0,(IF(OR(City_Inputs!$AA62="",Norm_Stats!$F$15="",Norm_Stats!$G$15="",Norm_Stats!$G$15=Norm_Stats!$F$15),"",MAX(0,MIN(100,100*(MIN(MAX(City_Inputs!$AA62,Norm_Stats!$F$15),Norm_Stats!$G$15)-Norm_Stats!$F$15)/(Norm_Stats!$G$15-Norm_Stats!$F$15)))))*0.7)+IF((IF(OR(City_Inputs!$AL62="",Norm_Stats!$F$16="",Norm_Stats!$G$16="",Norm_Stats!$G$16=Norm_Stats!$F$16),"",MAX(0,MIN(100,100*(Norm_Stats!$G$16-MIN(MAX(City_Inputs!$AL62,Norm_Stats!$F$16),Norm_Stats!$G$16))/(Norm_Stats!$G$16-Norm_Stats!$F$16)))))="",0,(IF(OR(City_Inputs!$AL62="",Norm_Stats!$F$16="",Norm_Stats!$G$16="",Norm_Stats!$G$16=Norm_Stats!$F$16),"",MAX(0,MIN(100,100*(Norm_Stats!$G$16-MIN(MAX(City_Inputs!$AL62,Norm_Stats!$F$16),Norm_Stats!$G$16))/(Norm_Stats!$G$16-Norm_Stats!$F$16)))))*0.3))/(IF((IF(OR(City_Inputs!$AA62="",Norm_Stats!$F$15="",Norm_Stats!$G$15="",Norm_Stats!$G$15=Norm_Stats!$F$15),"",MAX(0,MIN(100,100*(MIN(MAX(City_Inputs!$AA62,Norm_Stats!$F$15),Norm_Stats!$G$15)-Norm_Stats!$F$15)/(Norm_Stats!$G$15-Norm_Stats!$F$15)))))="",0,0.7)+IF((IF(OR(City_Inputs!$AL62="",Norm_Stats!$F$16="",Norm_Stats!$G$16="",Norm_Stats!$G$16=Norm_Stats!$F$16),"",MAX(0,MIN(100,100*(Norm_Stats!$G$16-MIN(MAX(City_Inputs!$AL62,Norm_Stats!$F$16),Norm_Stats!$G$16))/(Norm_Stats!$G$16-Norm_Stats!$F$16)))))="",0,0.3)))</f>
        <v/>
      </c>
      <c r="AL62" s="14">
        <f>IF((IF((IF(OR(City_Inputs!$AA62="",Norm_Stats!$F$15="",Norm_Stats!$G$15="",Norm_Stats!$G$15=Norm_Stats!$F$15),"",MAX(0,MIN(100,100*(MIN(MAX(City_Inputs!$AA62,Norm_Stats!$F$15),Norm_Stats!$G$15)-Norm_Stats!$F$15)/(Norm_Stats!$G$15-Norm_Stats!$F$15)))))="",0,0.7)+IF((IF(OR(City_Inputs!$AL62="",Norm_Stats!$F$16="",Norm_Stats!$G$16="",Norm_Stats!$G$16=Norm_Stats!$F$16),"",MAX(0,MIN(100,100*(Norm_Stats!$G$16-MIN(MAX(City_Inputs!$AL62,Norm_Stats!$F$16),Norm_Stats!$G$16))/(Norm_Stats!$G$16-Norm_Stats!$F$16)))))="",0,0.3))=0,"",(IF((IF(OR(City_Inputs!$AA62="",Norm_Stats!$F$15="",Norm_Stats!$G$15="",Norm_Stats!$G$15=Norm_Stats!$F$15),"",MAX(0,MIN(100,100*(MIN(MAX(City_Inputs!$AA62,Norm_Stats!$F$15),Norm_Stats!$G$15)-Norm_Stats!$F$15)/(Norm_Stats!$G$15-Norm_Stats!$F$15)))))="",0,0.7)+IF((IF(OR(City_Inputs!$AL62="",Norm_Stats!$F$16="",Norm_Stats!$G$16="",Norm_Stats!$G$16=Norm_Stats!$F$16),"",MAX(0,MIN(100,100*(Norm_Stats!$G$16-MIN(MAX(City_Inputs!$AL62,Norm_Stats!$F$16),Norm_Stats!$G$16))/(Norm_Stats!$G$16-Norm_Stats!$F$16)))))="",0,0.3)))</f>
        <v/>
      </c>
      <c r="AM62" s="15">
        <f>IF((IF(AG62="",0,8)+IF(AI62="",0,6)+IF(AK62="",0,4))=0,"",(IF(AG62="",0,AG62*8)+IF(AI62="",0,AI62*6)+IF(AK62="",0,AK62*4))/(IF(AG62="",0,8)+IF(AI62="",0,6)+IF(AK62="",0,4)))</f>
        <v/>
      </c>
      <c r="AN62" s="14">
        <f>IF((IF(AH62="",0,8)+IF(AJ62="",0,6)+IF(AL62="",0,4))=0,"",(IF(AH62="",0,AH62*8)+IF(AJ62="",0,AJ62*6)+IF(AL62="",0,AL62*4))/18)</f>
        <v/>
      </c>
      <c r="AO62" s="11">
        <f>IF(OR(City_Inputs!$AB62="",Norm_Stats!$F$17="",Norm_Stats!$G$17="",Norm_Stats!$G$17=Norm_Stats!$F$17),"",MAX(0,MIN(100,100*(MIN(MAX(City_Inputs!$AB62,Norm_Stats!$F$17),Norm_Stats!$G$17)-Norm_Stats!$F$17)/(Norm_Stats!$G$17-Norm_Stats!$F$17))))</f>
        <v/>
      </c>
      <c r="AP62" s="14">
        <f>IF(AO62="","",1)</f>
        <v/>
      </c>
      <c r="AQ62" s="11">
        <f>IF(OR(City_Inputs!$AC62="",Norm_Stats!$F$18="",Norm_Stats!$G$18="",Norm_Stats!$G$18=Norm_Stats!$F$18),"",MAX(0,MIN(100,100*(MIN(MAX(City_Inputs!$AC62,Norm_Stats!$F$18),Norm_Stats!$G$18)-Norm_Stats!$F$18)/(Norm_Stats!$G$18-Norm_Stats!$F$18))))</f>
        <v/>
      </c>
      <c r="AR62" s="14">
        <f>IF(AQ62="","",1)</f>
        <v/>
      </c>
      <c r="AS62" s="11">
        <f>IF(OR(City_Inputs!$AD62="",Norm_Stats!$F$19="",Norm_Stats!$G$19="",Norm_Stats!$G$19=Norm_Stats!$F$19),"",MAX(0,MIN(100,100*(MIN(MAX(City_Inputs!$AD62,Norm_Stats!$F$19),Norm_Stats!$G$19)-Norm_Stats!$F$19)/(Norm_Stats!$G$19-Norm_Stats!$F$19))))</f>
        <v/>
      </c>
      <c r="AT62" s="14">
        <f>IF(AS62="","",1)</f>
        <v/>
      </c>
      <c r="AU62" s="11">
        <f>IF(OR(City_Inputs!$BJ62="",Norm_Stats!$F$26="",Norm_Stats!$G$26="",Norm_Stats!$G$26=Norm_Stats!$F$26),"",MAX(0,MIN(100,100*(MIN(MAX(City_Inputs!$BJ62,Norm_Stats!$F$26),Norm_Stats!$G$26)-Norm_Stats!$F$26)/(Norm_Stats!$G$26-Norm_Stats!$F$26))))</f>
        <v/>
      </c>
      <c r="AV62" s="11">
        <f>IF(AU62="","",1)</f>
        <v/>
      </c>
      <c r="AW62" s="15">
        <f>IF((IF(AO62="",0,5)+IF(AQ62="",0,5)+IF(AS62="",0,5)+IF(AU62="",0,4))=0,"",(IF(AO62="",0,AO62*5)+IF(AQ62="",0,AQ62*5)+IF(AS62="",0,AS62*5)+IF(AU62="",0,AU62*4))/(IF(AO62="",0,5)+IF(AQ62="",0,5)+IF(AS62="",0,5)+IF(AU62="",0,4)))</f>
        <v/>
      </c>
      <c r="AX62" s="14">
        <f>IF((IF(AP62="",0,5)+IF(AR62="",0,5)+IF(AT62="",0,5)+IF(AV62="",0,4))=0,"",(IF(AP62="",0,AP62*5)+IF(AR62="",0,AR62*5)+IF(AT62="",0,AT62*5)+IF(AV62="",0,AV62*4))/19)</f>
        <v/>
      </c>
      <c r="AY62" s="11">
        <f>IF(OR(City_Inputs!$AE62="",Norm_Stats!$F$20="",Norm_Stats!$G$20="",Norm_Stats!$G$20=Norm_Stats!$F$20),"",MAX(0,MIN(100,100*(MIN(MAX(City_Inputs!$AE62,Norm_Stats!$F$20),Norm_Stats!$G$20)-Norm_Stats!$F$20)/(Norm_Stats!$G$20-Norm_Stats!$F$20))))</f>
        <v/>
      </c>
      <c r="AZ62" s="14">
        <f>IF(AY62="","",1)</f>
        <v/>
      </c>
      <c r="BA62" s="11">
        <f>IF(OR(City_Inputs!$AF62="",Norm_Stats!$F$21="",Norm_Stats!$G$21="",Norm_Stats!$G$21=Norm_Stats!$F$21),"",MAX(0,MIN(100,100*(MIN(MAX(City_Inputs!$AF62,Norm_Stats!$F$21),Norm_Stats!$G$21)-Norm_Stats!$F$21)/(Norm_Stats!$G$21-Norm_Stats!$F$21))))</f>
        <v/>
      </c>
      <c r="BB62" s="14">
        <f>IF(BA62="","",1)</f>
        <v/>
      </c>
      <c r="BC62" s="11">
        <f>IF((IF((IF(OR(City_Inputs!$AG62="",Norm_Stats!$F$22="",Norm_Stats!$G$22="",Norm_Stats!$G$22=Norm_Stats!$F$22),"",MAX(0,MIN(100,100*(MIN(MAX(City_Inputs!$AG62,Norm_Stats!$F$22),Norm_Stats!$G$22)-Norm_Stats!$F$22)/(Norm_Stats!$G$22-Norm_Stats!$F$22)))))="",0,0.5)+IF((IF(OR(City_Inputs!$AJ62="",Norm_Stats!$F$23="",Norm_Stats!$G$23="",Norm_Stats!$G$23=Norm_Stats!$F$23),"",MAX(0,MIN(100,100*(MIN(MAX(City_Inputs!$AJ62,Norm_Stats!$F$23),Norm_Stats!$G$23)-Norm_Stats!$F$23)/(Norm_Stats!$G$23-Norm_Stats!$F$23)))))="",0,0.3)+IF((IF(OR(City_Inputs!$AK62="",Norm_Stats!$F$24="",Norm_Stats!$G$24="",Norm_Stats!$G$24=Norm_Stats!$F$24),"",MAX(0,MIN(100,100*(MIN(MAX(City_Inputs!$AK62,Norm_Stats!$F$24),Norm_Stats!$G$24)-Norm_Stats!$F$24)/(Norm_Stats!$G$24-Norm_Stats!$F$24)))))="",0,0.2))=0,"",(IF((IF(OR(City_Inputs!$AG62="",Norm_Stats!$F$22="",Norm_Stats!$G$22="",Norm_Stats!$G$22=Norm_Stats!$F$22),"",MAX(0,MIN(100,100*(MIN(MAX(City_Inputs!$AG62,Norm_Stats!$F$22),Norm_Stats!$G$22)-Norm_Stats!$F$22)/(Norm_Stats!$G$22-Norm_Stats!$F$22)))))="",0,(IF(OR(City_Inputs!$AG62="",Norm_Stats!$F$22="",Norm_Stats!$G$22="",Norm_Stats!$G$22=Norm_Stats!$F$22),"",MAX(0,MIN(100,100*(MIN(MAX(City_Inputs!$AG62,Norm_Stats!$F$22),Norm_Stats!$G$22)-Norm_Stats!$F$22)/(Norm_Stats!$G$22-Norm_Stats!$F$22)))))*0.5)+IF((IF(OR(City_Inputs!$AJ62="",Norm_Stats!$F$23="",Norm_Stats!$G$23="",Norm_Stats!$G$23=Norm_Stats!$F$23),"",MAX(0,MIN(100,100*(MIN(MAX(City_Inputs!$AJ62,Norm_Stats!$F$23),Norm_Stats!$G$23)-Norm_Stats!$F$23)/(Norm_Stats!$G$23-Norm_Stats!$F$23)))))="",0,(IF(OR(City_Inputs!$AJ62="",Norm_Stats!$F$23="",Norm_Stats!$G$23="",Norm_Stats!$G$23=Norm_Stats!$F$23),"",MAX(0,MIN(100,100*(MIN(MAX(City_Inputs!$AJ62,Norm_Stats!$F$23),Norm_Stats!$G$23)-Norm_Stats!$F$23)/(Norm_Stats!$G$23-Norm_Stats!$F$23)))))*0.3)+IF((IF(OR(City_Inputs!$AK62="",Norm_Stats!$F$24="",Norm_Stats!$G$24="",Norm_Stats!$G$24=Norm_Stats!$F$24),"",MAX(0,MIN(100,100*(MIN(MAX(City_Inputs!$AK62,Norm_Stats!$F$24),Norm_Stats!$G$24)-Norm_Stats!$F$24)/(Norm_Stats!$G$24-Norm_Stats!$F$24)))))="",0,(IF(OR(City_Inputs!$AK62="",Norm_Stats!$F$24="",Norm_Stats!$G$24="",Norm_Stats!$G$24=Norm_Stats!$F$24),"",MAX(0,MIN(100,100*(MIN(MAX(City_Inputs!$AK62,Norm_Stats!$F$24),Norm_Stats!$G$24)-Norm_Stats!$F$24)/(Norm_Stats!$G$24-Norm_Stats!$F$24)))))*0.2))/(IF((IF(OR(City_Inputs!$AG62="",Norm_Stats!$F$22="",Norm_Stats!$G$22="",Norm_Stats!$G$22=Norm_Stats!$F$22),"",MAX(0,MIN(100,100*(MIN(MAX(City_Inputs!$AG62,Norm_Stats!$F$22),Norm_Stats!$G$22)-Norm_Stats!$F$22)/(Norm_Stats!$G$22-Norm_Stats!$F$22)))))="",0,0.5)+IF((IF(OR(City_Inputs!$AJ62="",Norm_Stats!$F$23="",Norm_Stats!$G$23="",Norm_Stats!$G$23=Norm_Stats!$F$23),"",MAX(0,MIN(100,100*(MIN(MAX(City_Inputs!$AJ62,Norm_Stats!$F$23),Norm_Stats!$G$23)-Norm_Stats!$F$23)/(Norm_Stats!$G$23-Norm_Stats!$F$23)))))="",0,0.3)+IF((IF(OR(City_Inputs!$AK62="",Norm_Stats!$F$24="",Norm_Stats!$G$24="",Norm_Stats!$G$24=Norm_Stats!$F$24),"",MAX(0,MIN(100,100*(MIN(MAX(City_Inputs!$AK62,Norm_Stats!$F$24),Norm_Stats!$G$24)-Norm_Stats!$F$24)/(Norm_Stats!$G$24-Norm_Stats!$F$24)))))="",0,0.2)))</f>
        <v/>
      </c>
      <c r="BD62" s="14">
        <f>IF((IF((IF(OR(City_Inputs!$AG62="",Norm_Stats!$F$22="",Norm_Stats!$G$22="",Norm_Stats!$G$22=Norm_Stats!$F$22),"",MAX(0,MIN(100,100*(MIN(MAX(City_Inputs!$AG62,Norm_Stats!$F$22),Norm_Stats!$G$22)-Norm_Stats!$F$22)/(Norm_Stats!$G$22-Norm_Stats!$F$22)))))="",0,0.5)+IF((IF(OR(City_Inputs!$AJ62="",Norm_Stats!$F$23="",Norm_Stats!$G$23="",Norm_Stats!$G$23=Norm_Stats!$F$23),"",MAX(0,MIN(100,100*(MIN(MAX(City_Inputs!$AJ62,Norm_Stats!$F$23),Norm_Stats!$G$23)-Norm_Stats!$F$23)/(Norm_Stats!$G$23-Norm_Stats!$F$23)))))="",0,0.3)+IF((IF(OR(City_Inputs!$AK62="",Norm_Stats!$F$24="",Norm_Stats!$G$24="",Norm_Stats!$G$24=Norm_Stats!$F$24),"",MAX(0,MIN(100,100*(MIN(MAX(City_Inputs!$AK62,Norm_Stats!$F$24),Norm_Stats!$G$24)-Norm_Stats!$F$24)/(Norm_Stats!$G$24-Norm_Stats!$F$24)))))="",0,0.2))=0,"",(IF((IF(OR(City_Inputs!$AG62="",Norm_Stats!$F$22="",Norm_Stats!$G$22="",Norm_Stats!$G$22=Norm_Stats!$F$22),"",MAX(0,MIN(100,100*(MIN(MAX(City_Inputs!$AG62,Norm_Stats!$F$22),Norm_Stats!$G$22)-Norm_Stats!$F$22)/(Norm_Stats!$G$22-Norm_Stats!$F$22)))))="",0,0.5)+IF((IF(OR(City_Inputs!$AJ62="",Norm_Stats!$F$23="",Norm_Stats!$G$23="",Norm_Stats!$G$23=Norm_Stats!$F$23),"",MAX(0,MIN(100,100*(MIN(MAX(City_Inputs!$AJ62,Norm_Stats!$F$23),Norm_Stats!$G$23)-Norm_Stats!$F$23)/(Norm_Stats!$G$23-Norm_Stats!$F$23)))))="",0,0.3)+IF((IF(OR(City_Inputs!$AK62="",Norm_Stats!$F$24="",Norm_Stats!$G$24="",Norm_Stats!$G$24=Norm_Stats!$F$24),"",MAX(0,MIN(100,100*(MIN(MAX(City_Inputs!$AK62,Norm_Stats!$F$24),Norm_Stats!$G$24)-Norm_Stats!$F$24)/(Norm_Stats!$G$24-Norm_Stats!$F$24)))))="",0,0.2)))</f>
        <v/>
      </c>
      <c r="BE62" s="11">
        <f>IF(OR(City_Inputs!$AH62="",Norm_Stats!$F$25="",Norm_Stats!$G$25="",Norm_Stats!$G$25=Norm_Stats!$F$25),"",MAX(0,MIN(100,100*(Norm_Stats!$G$25-MIN(MAX(City_Inputs!$AH62,Norm_Stats!$F$25),Norm_Stats!$G$25))/(Norm_Stats!$G$25-Norm_Stats!$F$25))))</f>
        <v/>
      </c>
      <c r="BF62" s="14">
        <f>IF(BE62="","",1)</f>
        <v/>
      </c>
      <c r="BG62" s="15">
        <f>IF((IF(AY62="",0,6)+IF(BA62="",0,5)+IF(BC62="",0,5)+IF(BE62="",0,4))=0,"",(IF(AY62="",0,AY62*6)+IF(BA62="",0,BA62*5)+IF(BC62="",0,BC62*5)+IF(BE62="",0,BE62*4))/(IF(AY62="",0,6)+IF(BA62="",0,5)+IF(BC62="",0,5)+IF(BE62="",0,4)))</f>
        <v/>
      </c>
      <c r="BH62" s="14">
        <f>IF((IF(AZ62="",0,6)+IF(BB62="",0,5)+IF(BD62="",0,5)+IF(BF62="",0,4))=0,"",(IF(AZ62="",0,AZ62*6)+IF(BB62="",0,BB62*5)+IF(BD62="",0,BD62*5)+IF(BF62="",0,BF62*4))/20)</f>
        <v/>
      </c>
      <c r="BI62" s="14">
        <f>IF(AND(R62="",AF62="",AN62="",AX62="",BH62=""),"",((R62*25)+(AF62*22)+(AN62*18)+(AX62*15)+(BH62*20))/100)</f>
        <v/>
      </c>
      <c r="BJ62" s="11">
        <f>IF(BI62="","",IF(BI62&gt;=0.75,"A",IF(BI62&gt;=0.5,"B",IF(BI62&gt;=0.35,"C","Watchlist"))))</f>
        <v/>
      </c>
      <c r="BK62" s="11">
        <f>IF(OR(BI62="",BI62&lt;0.5,R62="",R62&lt;0.35,AF62="",AF62&lt;0.35,AN62="",AN62&lt;0.35,AX62="",AX62&lt;0.35,BH62="",BH62&lt;0.35),"Watchlist","Ranked")</f>
        <v/>
      </c>
      <c r="BL62" s="15">
        <f>IF(AND(Q62="",AE62="",AM62="",AW62="",BG62=""),"",(IF(Q62="",0,Q62*25)+IF(AE62="",0,AE62*22)+IF(AM62="",0,AM62*18)+IF(AW62="",0,AW62*15)+IF(BG62="",0,BG62*20))/(IF(Q62="",0,25)+IF(AE62="",0,22)+IF(AM62="",0,18)+IF(AW62="",0,15)+IF(BG62="",0,20)))</f>
        <v/>
      </c>
      <c r="BM62" s="11">
        <f>IF(BK62="Ranked",1+COUNTIFS($BK$2:$BK$158,"Ranked",$BL$2:$BL$158,"&gt;"&amp;BL62),"")</f>
        <v/>
      </c>
      <c r="BN62" s="11">
        <f>City_Inputs!$AI62</f>
        <v/>
      </c>
    </row>
    <row r="63">
      <c r="A63" t="inlineStr">
        <is>
          <t>ca-toronto</t>
        </is>
      </c>
      <c r="B63" t="inlineStr">
        <is>
          <t>Toronto</t>
        </is>
      </c>
      <c r="C63" t="inlineStr">
        <is>
          <t>Canada</t>
        </is>
      </c>
      <c r="D63" t="inlineStr">
        <is>
          <t>North America</t>
        </is>
      </c>
      <c r="E63" t="inlineStr">
        <is>
          <t>provisional</t>
        </is>
      </c>
      <c r="F63" t="inlineStr">
        <is>
          <t>primary</t>
        </is>
      </c>
      <c r="G63" s="11">
        <f>IF(OR(City_Inputs!$M63="",Norm_Stats!$F$2="",Norm_Stats!$G$2="",Norm_Stats!$G$2=Norm_Stats!$F$2),"",MAX(0,MIN(100,100*(MIN(MAX(City_Inputs!$M63,Norm_Stats!$F$2),Norm_Stats!$G$2)-Norm_Stats!$F$2)/(Norm_Stats!$G$2-Norm_Stats!$F$2))))</f>
        <v/>
      </c>
      <c r="H63" s="14">
        <f>IF(G63="","",1)</f>
        <v/>
      </c>
      <c r="I63" s="11">
        <f>IF(OR(City_Inputs!$N63="",Norm_Stats!$F$3="",Norm_Stats!$G$3="",Norm_Stats!$G$3=Norm_Stats!$F$3),"",MAX(0,MIN(100,100*(Norm_Stats!$G$3-MIN(MAX(City_Inputs!$N63,Norm_Stats!$F$3),Norm_Stats!$G$3))/(Norm_Stats!$G$3-Norm_Stats!$F$3))))</f>
        <v/>
      </c>
      <c r="J63" s="14">
        <f>IF(I63="","",1)</f>
        <v/>
      </c>
      <c r="K63" s="11">
        <f>IF(OR(City_Inputs!$P63="",Norm_Stats!$F$4="",Norm_Stats!$G$4="",Norm_Stats!$G$4=Norm_Stats!$F$4),"",MAX(0,MIN(100,100*(Norm_Stats!$G$4-MIN(MAX(City_Inputs!$P63,Norm_Stats!$F$4),Norm_Stats!$G$4))/(Norm_Stats!$G$4-Norm_Stats!$F$4))))</f>
        <v/>
      </c>
      <c r="L63" s="14">
        <f>IF(K63="","",1)</f>
        <v/>
      </c>
      <c r="M63" s="11">
        <f>IF(OR(City_Inputs!$Q63="",Norm_Stats!$F$5="",Norm_Stats!$G$5="",Norm_Stats!$G$5=Norm_Stats!$F$5),"",MAX(0,MIN(100,100*(Norm_Stats!$G$5-MIN(MAX(City_Inputs!$Q63,Norm_Stats!$F$5),Norm_Stats!$G$5))/(Norm_Stats!$G$5-Norm_Stats!$F$5))))</f>
        <v/>
      </c>
      <c r="N63" s="14">
        <f>IF(M63="","",1)</f>
        <v/>
      </c>
      <c r="O63" s="11">
        <f>IF(OR(City_Inputs!$R63="",Norm_Stats!$F$6="",Norm_Stats!$G$6="",Norm_Stats!$G$6=Norm_Stats!$F$6),"",MAX(0,MIN(100,100*(Norm_Stats!$G$6-MIN(MAX(City_Inputs!$R63,Norm_Stats!$F$6),Norm_Stats!$G$6))/(Norm_Stats!$G$6-Norm_Stats!$F$6))))</f>
        <v/>
      </c>
      <c r="P63" s="14">
        <f>IF(O63="","",1)</f>
        <v/>
      </c>
      <c r="Q63" s="15">
        <f>IF((IF(G63="",0,9)+IF(I63="",0,5)+IF(K63="",0,4)+IF(M63="",0,4)+IF(O63="",0,5))=0,"",(IF(G63="",0,G63*9)+IF(I63="",0,I63*5)+IF(K63="",0,K63*4)+IF(M63="",0,M63*4)+IF(O63="",0,O63*5))/(IF(G63="",0,9)+IF(I63="",0,5)+IF(K63="",0,4)+IF(M63="",0,4)+IF(O63="",0,5)))</f>
        <v/>
      </c>
      <c r="R63" s="14">
        <f>IF((IF(H63="",0,9)+IF(J63="",0,5)+IF(L63="",0,4)+IF(N63="",0,4)+IF(P63="",0,5))=0,"",(IF(H63="",0,H63*9)+IF(J63="",0,J63*5)+IF(L63="",0,L63*4)+IF(N63="",0,N63*4)+IF(P63="",0,P63*5))/27)</f>
        <v/>
      </c>
      <c r="S63" s="11">
        <f>IF(OR(City_Inputs!$S63="",Norm_Stats!$F$7="",Norm_Stats!$G$7="",Norm_Stats!$G$7=Norm_Stats!$F$7),"",MAX(0,MIN(100,100*(Norm_Stats!$G$7-MIN(MAX(City_Inputs!$S63,Norm_Stats!$F$7),Norm_Stats!$G$7))/(Norm_Stats!$G$7-Norm_Stats!$F$7))))</f>
        <v/>
      </c>
      <c r="T63" s="14">
        <f>IF(S63="","",1)</f>
        <v/>
      </c>
      <c r="U63" s="11">
        <f>IF(OR(City_Inputs!$T63="",Norm_Stats!$F$8="",Norm_Stats!$G$8="",Norm_Stats!$G$8=Norm_Stats!$F$8),"",MAX(0,MIN(100,100*(MIN(MAX(City_Inputs!$T63,Norm_Stats!$F$8),Norm_Stats!$G$8)-Norm_Stats!$F$8)/(Norm_Stats!$G$8-Norm_Stats!$F$8))))</f>
        <v/>
      </c>
      <c r="V63" s="14">
        <f>IF(U63="","",1)</f>
        <v/>
      </c>
      <c r="W63" s="11">
        <f>IF(OR(City_Inputs!$U63="",Norm_Stats!$F$9="",Norm_Stats!$G$9="",Norm_Stats!$G$9=Norm_Stats!$F$9),"",MAX(0,MIN(100,100*(Norm_Stats!$G$9-MIN(MAX(City_Inputs!$U63,Norm_Stats!$F$9),Norm_Stats!$G$9))/(Norm_Stats!$G$9-Norm_Stats!$F$9))))</f>
        <v/>
      </c>
      <c r="X63" s="14">
        <f>IF(W63="","",1)</f>
        <v/>
      </c>
      <c r="Y63" s="11">
        <f>IF(OR(City_Inputs!$V63="",Norm_Stats!$F$10="",Norm_Stats!$G$10="",Norm_Stats!$G$10=Norm_Stats!$F$10),"",MAX(0,MIN(100,100*(MIN(MAX(City_Inputs!$V63,Norm_Stats!$F$10),Norm_Stats!$G$10)-Norm_Stats!$F$10)/(Norm_Stats!$G$10-Norm_Stats!$F$10))))</f>
        <v/>
      </c>
      <c r="Z63" s="14">
        <f>IF(Y63="","",1)</f>
        <v/>
      </c>
      <c r="AA63" s="11">
        <f>IF(OR(City_Inputs!$W63="",Norm_Stats!$F$11="",Norm_Stats!$G$11="",Norm_Stats!$G$11=Norm_Stats!$F$11),"",MAX(0,MIN(100,100*(MIN(MAX(City_Inputs!$W63,Norm_Stats!$F$11),Norm_Stats!$G$11)-Norm_Stats!$F$11)/(Norm_Stats!$G$11-Norm_Stats!$F$11))))</f>
        <v/>
      </c>
      <c r="AB63" s="14">
        <f>IF(AA63="","",1)</f>
        <v/>
      </c>
      <c r="AC63" s="11">
        <f>IF(OR(City_Inputs!$X63="",Norm_Stats!$F$12="",Norm_Stats!$G$12="",Norm_Stats!$G$12=Norm_Stats!$F$12),"",MAX(0,MIN(100,100*(MIN(MAX(City_Inputs!$X63,Norm_Stats!$F$12),Norm_Stats!$G$12)-Norm_Stats!$F$12)/(Norm_Stats!$G$12-Norm_Stats!$F$12))))</f>
        <v/>
      </c>
      <c r="AD63" s="11">
        <f>IF(AC63="","",1)</f>
        <v/>
      </c>
      <c r="AE63" s="15">
        <f>IF((IF(S63="",0,5)+IF(U63="",0,5)+IF(W63="",0,4)+IF(Y63="",0,4)+IF(AA63="",0,4)+IF(AC63="",0,5))=0,"",(IF(S63="",0,S63*5)+IF(U63="",0,U63*5)+IF(W63="",0,W63*4)+IF(Y63="",0,Y63*4)+IF(AA63="",0,AA63*4)+IF(AC63="",0,AC63*5))/(IF(S63="",0,5)+IF(U63="",0,5)+IF(W63="",0,4)+IF(Y63="",0,4)+IF(AA63="",0,4)+IF(AC63="",0,5)))</f>
        <v/>
      </c>
      <c r="AF63" s="14">
        <f>IF((IF(T63="",0,5)+IF(V63="",0,5)+IF(X63="",0,4)+IF(Z63="",0,4)+IF(AB63="",0,4)+IF(AD63="",0,5))=0,"",(IF(T63="",0,T63*5)+IF(V63="",0,V63*5)+IF(X63="",0,X63*4)+IF(Z63="",0,Z63*4)+IF(AB63="",0,AB63*4)+IF(AD63="",0,AD63*5))/27)</f>
        <v/>
      </c>
      <c r="AG63" s="11">
        <f>IF(OR(City_Inputs!$Y63="",Norm_Stats!$F$13="",Norm_Stats!$G$13="",Norm_Stats!$G$13=Norm_Stats!$F$13),"",MAX(0,MIN(100,100*(MIN(MAX(City_Inputs!$Y63,Norm_Stats!$F$13),Norm_Stats!$G$13)-Norm_Stats!$F$13)/(Norm_Stats!$G$13-Norm_Stats!$F$13))))</f>
        <v/>
      </c>
      <c r="AH63" s="14">
        <f>IF(AG63="","",1)</f>
        <v/>
      </c>
      <c r="AI63" s="11">
        <f>IF(OR(City_Inputs!$Z63="",Norm_Stats!$F$14="",Norm_Stats!$G$14="",Norm_Stats!$G$14=Norm_Stats!$F$14),"",MAX(0,MIN(100,100*(MIN(MAX(City_Inputs!$Z63,Norm_Stats!$F$14),Norm_Stats!$G$14)-Norm_Stats!$F$14)/(Norm_Stats!$G$14-Norm_Stats!$F$14))))</f>
        <v/>
      </c>
      <c r="AJ63" s="14">
        <f>IF(AI63="","",1)</f>
        <v/>
      </c>
      <c r="AK63" s="11">
        <f>IF((IF((IF(OR(City_Inputs!$AA63="",Norm_Stats!$F$15="",Norm_Stats!$G$15="",Norm_Stats!$G$15=Norm_Stats!$F$15),"",MAX(0,MIN(100,100*(MIN(MAX(City_Inputs!$AA63,Norm_Stats!$F$15),Norm_Stats!$G$15)-Norm_Stats!$F$15)/(Norm_Stats!$G$15-Norm_Stats!$F$15)))))="",0,0.7)+IF((IF(OR(City_Inputs!$AL63="",Norm_Stats!$F$16="",Norm_Stats!$G$16="",Norm_Stats!$G$16=Norm_Stats!$F$16),"",MAX(0,MIN(100,100*(Norm_Stats!$G$16-MIN(MAX(City_Inputs!$AL63,Norm_Stats!$F$16),Norm_Stats!$G$16))/(Norm_Stats!$G$16-Norm_Stats!$F$16)))))="",0,0.3))=0,"",(IF((IF(OR(City_Inputs!$AA63="",Norm_Stats!$F$15="",Norm_Stats!$G$15="",Norm_Stats!$G$15=Norm_Stats!$F$15),"",MAX(0,MIN(100,100*(MIN(MAX(City_Inputs!$AA63,Norm_Stats!$F$15),Norm_Stats!$G$15)-Norm_Stats!$F$15)/(Norm_Stats!$G$15-Norm_Stats!$F$15)))))="",0,(IF(OR(City_Inputs!$AA63="",Norm_Stats!$F$15="",Norm_Stats!$G$15="",Norm_Stats!$G$15=Norm_Stats!$F$15),"",MAX(0,MIN(100,100*(MIN(MAX(City_Inputs!$AA63,Norm_Stats!$F$15),Norm_Stats!$G$15)-Norm_Stats!$F$15)/(Norm_Stats!$G$15-Norm_Stats!$F$15)))))*0.7)+IF((IF(OR(City_Inputs!$AL63="",Norm_Stats!$F$16="",Norm_Stats!$G$16="",Norm_Stats!$G$16=Norm_Stats!$F$16),"",MAX(0,MIN(100,100*(Norm_Stats!$G$16-MIN(MAX(City_Inputs!$AL63,Norm_Stats!$F$16),Norm_Stats!$G$16))/(Norm_Stats!$G$16-Norm_Stats!$F$16)))))="",0,(IF(OR(City_Inputs!$AL63="",Norm_Stats!$F$16="",Norm_Stats!$G$16="",Norm_Stats!$G$16=Norm_Stats!$F$16),"",MAX(0,MIN(100,100*(Norm_Stats!$G$16-MIN(MAX(City_Inputs!$AL63,Norm_Stats!$F$16),Norm_Stats!$G$16))/(Norm_Stats!$G$16-Norm_Stats!$F$16)))))*0.3))/(IF((IF(OR(City_Inputs!$AA63="",Norm_Stats!$F$15="",Norm_Stats!$G$15="",Norm_Stats!$G$15=Norm_Stats!$F$15),"",MAX(0,MIN(100,100*(MIN(MAX(City_Inputs!$AA63,Norm_Stats!$F$15),Norm_Stats!$G$15)-Norm_Stats!$F$15)/(Norm_Stats!$G$15-Norm_Stats!$F$15)))))="",0,0.7)+IF((IF(OR(City_Inputs!$AL63="",Norm_Stats!$F$16="",Norm_Stats!$G$16="",Norm_Stats!$G$16=Norm_Stats!$F$16),"",MAX(0,MIN(100,100*(Norm_Stats!$G$16-MIN(MAX(City_Inputs!$AL63,Norm_Stats!$F$16),Norm_Stats!$G$16))/(Norm_Stats!$G$16-Norm_Stats!$F$16)))))="",0,0.3)))</f>
        <v/>
      </c>
      <c r="AL63" s="14">
        <f>IF((IF((IF(OR(City_Inputs!$AA63="",Norm_Stats!$F$15="",Norm_Stats!$G$15="",Norm_Stats!$G$15=Norm_Stats!$F$15),"",MAX(0,MIN(100,100*(MIN(MAX(City_Inputs!$AA63,Norm_Stats!$F$15),Norm_Stats!$G$15)-Norm_Stats!$F$15)/(Norm_Stats!$G$15-Norm_Stats!$F$15)))))="",0,0.7)+IF((IF(OR(City_Inputs!$AL63="",Norm_Stats!$F$16="",Norm_Stats!$G$16="",Norm_Stats!$G$16=Norm_Stats!$F$16),"",MAX(0,MIN(100,100*(Norm_Stats!$G$16-MIN(MAX(City_Inputs!$AL63,Norm_Stats!$F$16),Norm_Stats!$G$16))/(Norm_Stats!$G$16-Norm_Stats!$F$16)))))="",0,0.3))=0,"",(IF((IF(OR(City_Inputs!$AA63="",Norm_Stats!$F$15="",Norm_Stats!$G$15="",Norm_Stats!$G$15=Norm_Stats!$F$15),"",MAX(0,MIN(100,100*(MIN(MAX(City_Inputs!$AA63,Norm_Stats!$F$15),Norm_Stats!$G$15)-Norm_Stats!$F$15)/(Norm_Stats!$G$15-Norm_Stats!$F$15)))))="",0,0.7)+IF((IF(OR(City_Inputs!$AL63="",Norm_Stats!$F$16="",Norm_Stats!$G$16="",Norm_Stats!$G$16=Norm_Stats!$F$16),"",MAX(0,MIN(100,100*(Norm_Stats!$G$16-MIN(MAX(City_Inputs!$AL63,Norm_Stats!$F$16),Norm_Stats!$G$16))/(Norm_Stats!$G$16-Norm_Stats!$F$16)))))="",0,0.3)))</f>
        <v/>
      </c>
      <c r="AM63" s="15">
        <f>IF((IF(AG63="",0,8)+IF(AI63="",0,6)+IF(AK63="",0,4))=0,"",(IF(AG63="",0,AG63*8)+IF(AI63="",0,AI63*6)+IF(AK63="",0,AK63*4))/(IF(AG63="",0,8)+IF(AI63="",0,6)+IF(AK63="",0,4)))</f>
        <v/>
      </c>
      <c r="AN63" s="14">
        <f>IF((IF(AH63="",0,8)+IF(AJ63="",0,6)+IF(AL63="",0,4))=0,"",(IF(AH63="",0,AH63*8)+IF(AJ63="",0,AJ63*6)+IF(AL63="",0,AL63*4))/18)</f>
        <v/>
      </c>
      <c r="AO63" s="11">
        <f>IF(OR(City_Inputs!$AB63="",Norm_Stats!$F$17="",Norm_Stats!$G$17="",Norm_Stats!$G$17=Norm_Stats!$F$17),"",MAX(0,MIN(100,100*(MIN(MAX(City_Inputs!$AB63,Norm_Stats!$F$17),Norm_Stats!$G$17)-Norm_Stats!$F$17)/(Norm_Stats!$G$17-Norm_Stats!$F$17))))</f>
        <v/>
      </c>
      <c r="AP63" s="14">
        <f>IF(AO63="","",1)</f>
        <v/>
      </c>
      <c r="AQ63" s="11">
        <f>IF(OR(City_Inputs!$AC63="",Norm_Stats!$F$18="",Norm_Stats!$G$18="",Norm_Stats!$G$18=Norm_Stats!$F$18),"",MAX(0,MIN(100,100*(MIN(MAX(City_Inputs!$AC63,Norm_Stats!$F$18),Norm_Stats!$G$18)-Norm_Stats!$F$18)/(Norm_Stats!$G$18-Norm_Stats!$F$18))))</f>
        <v/>
      </c>
      <c r="AR63" s="14">
        <f>IF(AQ63="","",1)</f>
        <v/>
      </c>
      <c r="AS63" s="11">
        <f>IF(OR(City_Inputs!$AD63="",Norm_Stats!$F$19="",Norm_Stats!$G$19="",Norm_Stats!$G$19=Norm_Stats!$F$19),"",MAX(0,MIN(100,100*(MIN(MAX(City_Inputs!$AD63,Norm_Stats!$F$19),Norm_Stats!$G$19)-Norm_Stats!$F$19)/(Norm_Stats!$G$19-Norm_Stats!$F$19))))</f>
        <v/>
      </c>
      <c r="AT63" s="14">
        <f>IF(AS63="","",1)</f>
        <v/>
      </c>
      <c r="AU63" s="11">
        <f>IF(OR(City_Inputs!$BJ63="",Norm_Stats!$F$26="",Norm_Stats!$G$26="",Norm_Stats!$G$26=Norm_Stats!$F$26),"",MAX(0,MIN(100,100*(MIN(MAX(City_Inputs!$BJ63,Norm_Stats!$F$26),Norm_Stats!$G$26)-Norm_Stats!$F$26)/(Norm_Stats!$G$26-Norm_Stats!$F$26))))</f>
        <v/>
      </c>
      <c r="AV63" s="11">
        <f>IF(AU63="","",1)</f>
        <v/>
      </c>
      <c r="AW63" s="15">
        <f>IF((IF(AO63="",0,5)+IF(AQ63="",0,5)+IF(AS63="",0,5)+IF(AU63="",0,4))=0,"",(IF(AO63="",0,AO63*5)+IF(AQ63="",0,AQ63*5)+IF(AS63="",0,AS63*5)+IF(AU63="",0,AU63*4))/(IF(AO63="",0,5)+IF(AQ63="",0,5)+IF(AS63="",0,5)+IF(AU63="",0,4)))</f>
        <v/>
      </c>
      <c r="AX63" s="14">
        <f>IF((IF(AP63="",0,5)+IF(AR63="",0,5)+IF(AT63="",0,5)+IF(AV63="",0,4))=0,"",(IF(AP63="",0,AP63*5)+IF(AR63="",0,AR63*5)+IF(AT63="",0,AT63*5)+IF(AV63="",0,AV63*4))/19)</f>
        <v/>
      </c>
      <c r="AY63" s="11">
        <f>IF(OR(City_Inputs!$AE63="",Norm_Stats!$F$20="",Norm_Stats!$G$20="",Norm_Stats!$G$20=Norm_Stats!$F$20),"",MAX(0,MIN(100,100*(MIN(MAX(City_Inputs!$AE63,Norm_Stats!$F$20),Norm_Stats!$G$20)-Norm_Stats!$F$20)/(Norm_Stats!$G$20-Norm_Stats!$F$20))))</f>
        <v/>
      </c>
      <c r="AZ63" s="14">
        <f>IF(AY63="","",1)</f>
        <v/>
      </c>
      <c r="BA63" s="11">
        <f>IF(OR(City_Inputs!$AF63="",Norm_Stats!$F$21="",Norm_Stats!$G$21="",Norm_Stats!$G$21=Norm_Stats!$F$21),"",MAX(0,MIN(100,100*(MIN(MAX(City_Inputs!$AF63,Norm_Stats!$F$21),Norm_Stats!$G$21)-Norm_Stats!$F$21)/(Norm_Stats!$G$21-Norm_Stats!$F$21))))</f>
        <v/>
      </c>
      <c r="BB63" s="14">
        <f>IF(BA63="","",1)</f>
        <v/>
      </c>
      <c r="BC63" s="11">
        <f>IF((IF((IF(OR(City_Inputs!$AG63="",Norm_Stats!$F$22="",Norm_Stats!$G$22="",Norm_Stats!$G$22=Norm_Stats!$F$22),"",MAX(0,MIN(100,100*(MIN(MAX(City_Inputs!$AG63,Norm_Stats!$F$22),Norm_Stats!$G$22)-Norm_Stats!$F$22)/(Norm_Stats!$G$22-Norm_Stats!$F$22)))))="",0,0.5)+IF((IF(OR(City_Inputs!$AJ63="",Norm_Stats!$F$23="",Norm_Stats!$G$23="",Norm_Stats!$G$23=Norm_Stats!$F$23),"",MAX(0,MIN(100,100*(MIN(MAX(City_Inputs!$AJ63,Norm_Stats!$F$23),Norm_Stats!$G$23)-Norm_Stats!$F$23)/(Norm_Stats!$G$23-Norm_Stats!$F$23)))))="",0,0.3)+IF((IF(OR(City_Inputs!$AK63="",Norm_Stats!$F$24="",Norm_Stats!$G$24="",Norm_Stats!$G$24=Norm_Stats!$F$24),"",MAX(0,MIN(100,100*(MIN(MAX(City_Inputs!$AK63,Norm_Stats!$F$24),Norm_Stats!$G$24)-Norm_Stats!$F$24)/(Norm_Stats!$G$24-Norm_Stats!$F$24)))))="",0,0.2))=0,"",(IF((IF(OR(City_Inputs!$AG63="",Norm_Stats!$F$22="",Norm_Stats!$G$22="",Norm_Stats!$G$22=Norm_Stats!$F$22),"",MAX(0,MIN(100,100*(MIN(MAX(City_Inputs!$AG63,Norm_Stats!$F$22),Norm_Stats!$G$22)-Norm_Stats!$F$22)/(Norm_Stats!$G$22-Norm_Stats!$F$22)))))="",0,(IF(OR(City_Inputs!$AG63="",Norm_Stats!$F$22="",Norm_Stats!$G$22="",Norm_Stats!$G$22=Norm_Stats!$F$22),"",MAX(0,MIN(100,100*(MIN(MAX(City_Inputs!$AG63,Norm_Stats!$F$22),Norm_Stats!$G$22)-Norm_Stats!$F$22)/(Norm_Stats!$G$22-Norm_Stats!$F$22)))))*0.5)+IF((IF(OR(City_Inputs!$AJ63="",Norm_Stats!$F$23="",Norm_Stats!$G$23="",Norm_Stats!$G$23=Norm_Stats!$F$23),"",MAX(0,MIN(100,100*(MIN(MAX(City_Inputs!$AJ63,Norm_Stats!$F$23),Norm_Stats!$G$23)-Norm_Stats!$F$23)/(Norm_Stats!$G$23-Norm_Stats!$F$23)))))="",0,(IF(OR(City_Inputs!$AJ63="",Norm_Stats!$F$23="",Norm_Stats!$G$23="",Norm_Stats!$G$23=Norm_Stats!$F$23),"",MAX(0,MIN(100,100*(MIN(MAX(City_Inputs!$AJ63,Norm_Stats!$F$23),Norm_Stats!$G$23)-Norm_Stats!$F$23)/(Norm_Stats!$G$23-Norm_Stats!$F$23)))))*0.3)+IF((IF(OR(City_Inputs!$AK63="",Norm_Stats!$F$24="",Norm_Stats!$G$24="",Norm_Stats!$G$24=Norm_Stats!$F$24),"",MAX(0,MIN(100,100*(MIN(MAX(City_Inputs!$AK63,Norm_Stats!$F$24),Norm_Stats!$G$24)-Norm_Stats!$F$24)/(Norm_Stats!$G$24-Norm_Stats!$F$24)))))="",0,(IF(OR(City_Inputs!$AK63="",Norm_Stats!$F$24="",Norm_Stats!$G$24="",Norm_Stats!$G$24=Norm_Stats!$F$24),"",MAX(0,MIN(100,100*(MIN(MAX(City_Inputs!$AK63,Norm_Stats!$F$24),Norm_Stats!$G$24)-Norm_Stats!$F$24)/(Norm_Stats!$G$24-Norm_Stats!$F$24)))))*0.2))/(IF((IF(OR(City_Inputs!$AG63="",Norm_Stats!$F$22="",Norm_Stats!$G$22="",Norm_Stats!$G$22=Norm_Stats!$F$22),"",MAX(0,MIN(100,100*(MIN(MAX(City_Inputs!$AG63,Norm_Stats!$F$22),Norm_Stats!$G$22)-Norm_Stats!$F$22)/(Norm_Stats!$G$22-Norm_Stats!$F$22)))))="",0,0.5)+IF((IF(OR(City_Inputs!$AJ63="",Norm_Stats!$F$23="",Norm_Stats!$G$23="",Norm_Stats!$G$23=Norm_Stats!$F$23),"",MAX(0,MIN(100,100*(MIN(MAX(City_Inputs!$AJ63,Norm_Stats!$F$23),Norm_Stats!$G$23)-Norm_Stats!$F$23)/(Norm_Stats!$G$23-Norm_Stats!$F$23)))))="",0,0.3)+IF((IF(OR(City_Inputs!$AK63="",Norm_Stats!$F$24="",Norm_Stats!$G$24="",Norm_Stats!$G$24=Norm_Stats!$F$24),"",MAX(0,MIN(100,100*(MIN(MAX(City_Inputs!$AK63,Norm_Stats!$F$24),Norm_Stats!$G$24)-Norm_Stats!$F$24)/(Norm_Stats!$G$24-Norm_Stats!$F$24)))))="",0,0.2)))</f>
        <v/>
      </c>
      <c r="BD63" s="14">
        <f>IF((IF((IF(OR(City_Inputs!$AG63="",Norm_Stats!$F$22="",Norm_Stats!$G$22="",Norm_Stats!$G$22=Norm_Stats!$F$22),"",MAX(0,MIN(100,100*(MIN(MAX(City_Inputs!$AG63,Norm_Stats!$F$22),Norm_Stats!$G$22)-Norm_Stats!$F$22)/(Norm_Stats!$G$22-Norm_Stats!$F$22)))))="",0,0.5)+IF((IF(OR(City_Inputs!$AJ63="",Norm_Stats!$F$23="",Norm_Stats!$G$23="",Norm_Stats!$G$23=Norm_Stats!$F$23),"",MAX(0,MIN(100,100*(MIN(MAX(City_Inputs!$AJ63,Norm_Stats!$F$23),Norm_Stats!$G$23)-Norm_Stats!$F$23)/(Norm_Stats!$G$23-Norm_Stats!$F$23)))))="",0,0.3)+IF((IF(OR(City_Inputs!$AK63="",Norm_Stats!$F$24="",Norm_Stats!$G$24="",Norm_Stats!$G$24=Norm_Stats!$F$24),"",MAX(0,MIN(100,100*(MIN(MAX(City_Inputs!$AK63,Norm_Stats!$F$24),Norm_Stats!$G$24)-Norm_Stats!$F$24)/(Norm_Stats!$G$24-Norm_Stats!$F$24)))))="",0,0.2))=0,"",(IF((IF(OR(City_Inputs!$AG63="",Norm_Stats!$F$22="",Norm_Stats!$G$22="",Norm_Stats!$G$22=Norm_Stats!$F$22),"",MAX(0,MIN(100,100*(MIN(MAX(City_Inputs!$AG63,Norm_Stats!$F$22),Norm_Stats!$G$22)-Norm_Stats!$F$22)/(Norm_Stats!$G$22-Norm_Stats!$F$22)))))="",0,0.5)+IF((IF(OR(City_Inputs!$AJ63="",Norm_Stats!$F$23="",Norm_Stats!$G$23="",Norm_Stats!$G$23=Norm_Stats!$F$23),"",MAX(0,MIN(100,100*(MIN(MAX(City_Inputs!$AJ63,Norm_Stats!$F$23),Norm_Stats!$G$23)-Norm_Stats!$F$23)/(Norm_Stats!$G$23-Norm_Stats!$F$23)))))="",0,0.3)+IF((IF(OR(City_Inputs!$AK63="",Norm_Stats!$F$24="",Norm_Stats!$G$24="",Norm_Stats!$G$24=Norm_Stats!$F$24),"",MAX(0,MIN(100,100*(MIN(MAX(City_Inputs!$AK63,Norm_Stats!$F$24),Norm_Stats!$G$24)-Norm_Stats!$F$24)/(Norm_Stats!$G$24-Norm_Stats!$F$24)))))="",0,0.2)))</f>
        <v/>
      </c>
      <c r="BE63" s="11">
        <f>IF(OR(City_Inputs!$AH63="",Norm_Stats!$F$25="",Norm_Stats!$G$25="",Norm_Stats!$G$25=Norm_Stats!$F$25),"",MAX(0,MIN(100,100*(Norm_Stats!$G$25-MIN(MAX(City_Inputs!$AH63,Norm_Stats!$F$25),Norm_Stats!$G$25))/(Norm_Stats!$G$25-Norm_Stats!$F$25))))</f>
        <v/>
      </c>
      <c r="BF63" s="14">
        <f>IF(BE63="","",1)</f>
        <v/>
      </c>
      <c r="BG63" s="15">
        <f>IF((IF(AY63="",0,6)+IF(BA63="",0,5)+IF(BC63="",0,5)+IF(BE63="",0,4))=0,"",(IF(AY63="",0,AY63*6)+IF(BA63="",0,BA63*5)+IF(BC63="",0,BC63*5)+IF(BE63="",0,BE63*4))/(IF(AY63="",0,6)+IF(BA63="",0,5)+IF(BC63="",0,5)+IF(BE63="",0,4)))</f>
        <v/>
      </c>
      <c r="BH63" s="14">
        <f>IF((IF(AZ63="",0,6)+IF(BB63="",0,5)+IF(BD63="",0,5)+IF(BF63="",0,4))=0,"",(IF(AZ63="",0,AZ63*6)+IF(BB63="",0,BB63*5)+IF(BD63="",0,BD63*5)+IF(BF63="",0,BF63*4))/20)</f>
        <v/>
      </c>
      <c r="BI63" s="14">
        <f>IF(AND(R63="",AF63="",AN63="",AX63="",BH63=""),"",((R63*25)+(AF63*22)+(AN63*18)+(AX63*15)+(BH63*20))/100)</f>
        <v/>
      </c>
      <c r="BJ63" s="11">
        <f>IF(BI63="","",IF(BI63&gt;=0.75,"A",IF(BI63&gt;=0.5,"B",IF(BI63&gt;=0.35,"C","Watchlist"))))</f>
        <v/>
      </c>
      <c r="BK63" s="11">
        <f>IF(OR(BI63="",BI63&lt;0.5,R63="",R63&lt;0.35,AF63="",AF63&lt;0.35,AN63="",AN63&lt;0.35,AX63="",AX63&lt;0.35,BH63="",BH63&lt;0.35),"Watchlist","Ranked")</f>
        <v/>
      </c>
      <c r="BL63" s="15">
        <f>IF(AND(Q63="",AE63="",AM63="",AW63="",BG63=""),"",(IF(Q63="",0,Q63*25)+IF(AE63="",0,AE63*22)+IF(AM63="",0,AM63*18)+IF(AW63="",0,AW63*15)+IF(BG63="",0,BG63*20))/(IF(Q63="",0,25)+IF(AE63="",0,22)+IF(AM63="",0,18)+IF(AW63="",0,15)+IF(BG63="",0,20)))</f>
        <v/>
      </c>
      <c r="BM63" s="11">
        <f>IF(BK63="Ranked",1+COUNTIFS($BK$2:$BK$158,"Ranked",$BL$2:$BL$158,"&gt;"&amp;BL63),"")</f>
        <v/>
      </c>
      <c r="BN63" s="11">
        <f>City_Inputs!$AI63</f>
        <v/>
      </c>
    </row>
    <row r="64">
      <c r="A64" t="inlineStr">
        <is>
          <t>pa-panama-city</t>
        </is>
      </c>
      <c r="B64" t="inlineStr">
        <is>
          <t>Panama City</t>
        </is>
      </c>
      <c r="C64" t="inlineStr">
        <is>
          <t>Panama</t>
        </is>
      </c>
      <c r="D64" t="inlineStr">
        <is>
          <t>North America</t>
        </is>
      </c>
      <c r="E64" t="inlineStr">
        <is>
          <t>locked</t>
        </is>
      </c>
      <c r="F64" t="inlineStr">
        <is>
          <t>primary</t>
        </is>
      </c>
      <c r="G64" s="11">
        <f>IF(OR(City_Inputs!$M64="",Norm_Stats!$F$2="",Norm_Stats!$G$2="",Norm_Stats!$G$2=Norm_Stats!$F$2),"",MAX(0,MIN(100,100*(MIN(MAX(City_Inputs!$M64,Norm_Stats!$F$2),Norm_Stats!$G$2)-Norm_Stats!$F$2)/(Norm_Stats!$G$2-Norm_Stats!$F$2))))</f>
        <v/>
      </c>
      <c r="H64" s="14">
        <f>IF(G64="","",1)</f>
        <v/>
      </c>
      <c r="I64" s="11">
        <f>IF(OR(City_Inputs!$N64="",Norm_Stats!$F$3="",Norm_Stats!$G$3="",Norm_Stats!$G$3=Norm_Stats!$F$3),"",MAX(0,MIN(100,100*(Norm_Stats!$G$3-MIN(MAX(City_Inputs!$N64,Norm_Stats!$F$3),Norm_Stats!$G$3))/(Norm_Stats!$G$3-Norm_Stats!$F$3))))</f>
        <v/>
      </c>
      <c r="J64" s="14">
        <f>IF(I64="","",1)</f>
        <v/>
      </c>
      <c r="K64" s="11">
        <f>IF(OR(City_Inputs!$P64="",Norm_Stats!$F$4="",Norm_Stats!$G$4="",Norm_Stats!$G$4=Norm_Stats!$F$4),"",MAX(0,MIN(100,100*(Norm_Stats!$G$4-MIN(MAX(City_Inputs!$P64,Norm_Stats!$F$4),Norm_Stats!$G$4))/(Norm_Stats!$G$4-Norm_Stats!$F$4))))</f>
        <v/>
      </c>
      <c r="L64" s="14">
        <f>IF(K64="","",1)</f>
        <v/>
      </c>
      <c r="M64" s="11">
        <f>IF(OR(City_Inputs!$Q64="",Norm_Stats!$F$5="",Norm_Stats!$G$5="",Norm_Stats!$G$5=Norm_Stats!$F$5),"",MAX(0,MIN(100,100*(Norm_Stats!$G$5-MIN(MAX(City_Inputs!$Q64,Norm_Stats!$F$5),Norm_Stats!$G$5))/(Norm_Stats!$G$5-Norm_Stats!$F$5))))</f>
        <v/>
      </c>
      <c r="N64" s="14">
        <f>IF(M64="","",1)</f>
        <v/>
      </c>
      <c r="O64" s="11">
        <f>IF(OR(City_Inputs!$R64="",Norm_Stats!$F$6="",Norm_Stats!$G$6="",Norm_Stats!$G$6=Norm_Stats!$F$6),"",MAX(0,MIN(100,100*(Norm_Stats!$G$6-MIN(MAX(City_Inputs!$R64,Norm_Stats!$F$6),Norm_Stats!$G$6))/(Norm_Stats!$G$6-Norm_Stats!$F$6))))</f>
        <v/>
      </c>
      <c r="P64" s="14">
        <f>IF(O64="","",1)</f>
        <v/>
      </c>
      <c r="Q64" s="15">
        <f>IF((IF(G64="",0,9)+IF(I64="",0,5)+IF(K64="",0,4)+IF(M64="",0,4)+IF(O64="",0,5))=0,"",(IF(G64="",0,G64*9)+IF(I64="",0,I64*5)+IF(K64="",0,K64*4)+IF(M64="",0,M64*4)+IF(O64="",0,O64*5))/(IF(G64="",0,9)+IF(I64="",0,5)+IF(K64="",0,4)+IF(M64="",0,4)+IF(O64="",0,5)))</f>
        <v/>
      </c>
      <c r="R64" s="14">
        <f>IF((IF(H64="",0,9)+IF(J64="",0,5)+IF(L64="",0,4)+IF(N64="",0,4)+IF(P64="",0,5))=0,"",(IF(H64="",0,H64*9)+IF(J64="",0,J64*5)+IF(L64="",0,L64*4)+IF(N64="",0,N64*4)+IF(P64="",0,P64*5))/27)</f>
        <v/>
      </c>
      <c r="S64" s="11">
        <f>IF(OR(City_Inputs!$S64="",Norm_Stats!$F$7="",Norm_Stats!$G$7="",Norm_Stats!$G$7=Norm_Stats!$F$7),"",MAX(0,MIN(100,100*(Norm_Stats!$G$7-MIN(MAX(City_Inputs!$S64,Norm_Stats!$F$7),Norm_Stats!$G$7))/(Norm_Stats!$G$7-Norm_Stats!$F$7))))</f>
        <v/>
      </c>
      <c r="T64" s="14">
        <f>IF(S64="","",1)</f>
        <v/>
      </c>
      <c r="U64" s="11">
        <f>IF(OR(City_Inputs!$T64="",Norm_Stats!$F$8="",Norm_Stats!$G$8="",Norm_Stats!$G$8=Norm_Stats!$F$8),"",MAX(0,MIN(100,100*(MIN(MAX(City_Inputs!$T64,Norm_Stats!$F$8),Norm_Stats!$G$8)-Norm_Stats!$F$8)/(Norm_Stats!$G$8-Norm_Stats!$F$8))))</f>
        <v/>
      </c>
      <c r="V64" s="14">
        <f>IF(U64="","",1)</f>
        <v/>
      </c>
      <c r="W64" s="11">
        <f>IF(OR(City_Inputs!$U64="",Norm_Stats!$F$9="",Norm_Stats!$G$9="",Norm_Stats!$G$9=Norm_Stats!$F$9),"",MAX(0,MIN(100,100*(Norm_Stats!$G$9-MIN(MAX(City_Inputs!$U64,Norm_Stats!$F$9),Norm_Stats!$G$9))/(Norm_Stats!$G$9-Norm_Stats!$F$9))))</f>
        <v/>
      </c>
      <c r="X64" s="14">
        <f>IF(W64="","",1)</f>
        <v/>
      </c>
      <c r="Y64" s="11">
        <f>IF(OR(City_Inputs!$V64="",Norm_Stats!$F$10="",Norm_Stats!$G$10="",Norm_Stats!$G$10=Norm_Stats!$F$10),"",MAX(0,MIN(100,100*(MIN(MAX(City_Inputs!$V64,Norm_Stats!$F$10),Norm_Stats!$G$10)-Norm_Stats!$F$10)/(Norm_Stats!$G$10-Norm_Stats!$F$10))))</f>
        <v/>
      </c>
      <c r="Z64" s="14">
        <f>IF(Y64="","",1)</f>
        <v/>
      </c>
      <c r="AA64" s="11">
        <f>IF(OR(City_Inputs!$W64="",Norm_Stats!$F$11="",Norm_Stats!$G$11="",Norm_Stats!$G$11=Norm_Stats!$F$11),"",MAX(0,MIN(100,100*(MIN(MAX(City_Inputs!$W64,Norm_Stats!$F$11),Norm_Stats!$G$11)-Norm_Stats!$F$11)/(Norm_Stats!$G$11-Norm_Stats!$F$11))))</f>
        <v/>
      </c>
      <c r="AB64" s="14">
        <f>IF(AA64="","",1)</f>
        <v/>
      </c>
      <c r="AC64" s="11">
        <f>IF(OR(City_Inputs!$X64="",Norm_Stats!$F$12="",Norm_Stats!$G$12="",Norm_Stats!$G$12=Norm_Stats!$F$12),"",MAX(0,MIN(100,100*(MIN(MAX(City_Inputs!$X64,Norm_Stats!$F$12),Norm_Stats!$G$12)-Norm_Stats!$F$12)/(Norm_Stats!$G$12-Norm_Stats!$F$12))))</f>
        <v/>
      </c>
      <c r="AD64" s="11">
        <f>IF(AC64="","",1)</f>
        <v/>
      </c>
      <c r="AE64" s="15">
        <f>IF((IF(S64="",0,5)+IF(U64="",0,5)+IF(W64="",0,4)+IF(Y64="",0,4)+IF(AA64="",0,4)+IF(AC64="",0,5))=0,"",(IF(S64="",0,S64*5)+IF(U64="",0,U64*5)+IF(W64="",0,W64*4)+IF(Y64="",0,Y64*4)+IF(AA64="",0,AA64*4)+IF(AC64="",0,AC64*5))/(IF(S64="",0,5)+IF(U64="",0,5)+IF(W64="",0,4)+IF(Y64="",0,4)+IF(AA64="",0,4)+IF(AC64="",0,5)))</f>
        <v/>
      </c>
      <c r="AF64" s="14">
        <f>IF((IF(T64="",0,5)+IF(V64="",0,5)+IF(X64="",0,4)+IF(Z64="",0,4)+IF(AB64="",0,4)+IF(AD64="",0,5))=0,"",(IF(T64="",0,T64*5)+IF(V64="",0,V64*5)+IF(X64="",0,X64*4)+IF(Z64="",0,Z64*4)+IF(AB64="",0,AB64*4)+IF(AD64="",0,AD64*5))/27)</f>
        <v/>
      </c>
      <c r="AG64" s="11">
        <f>IF(OR(City_Inputs!$Y64="",Norm_Stats!$F$13="",Norm_Stats!$G$13="",Norm_Stats!$G$13=Norm_Stats!$F$13),"",MAX(0,MIN(100,100*(MIN(MAX(City_Inputs!$Y64,Norm_Stats!$F$13),Norm_Stats!$G$13)-Norm_Stats!$F$13)/(Norm_Stats!$G$13-Norm_Stats!$F$13))))</f>
        <v/>
      </c>
      <c r="AH64" s="14">
        <f>IF(AG64="","",1)</f>
        <v/>
      </c>
      <c r="AI64" s="11">
        <f>IF(OR(City_Inputs!$Z64="",Norm_Stats!$F$14="",Norm_Stats!$G$14="",Norm_Stats!$G$14=Norm_Stats!$F$14),"",MAX(0,MIN(100,100*(MIN(MAX(City_Inputs!$Z64,Norm_Stats!$F$14),Norm_Stats!$G$14)-Norm_Stats!$F$14)/(Norm_Stats!$G$14-Norm_Stats!$F$14))))</f>
        <v/>
      </c>
      <c r="AJ64" s="14">
        <f>IF(AI64="","",1)</f>
        <v/>
      </c>
      <c r="AK64" s="11">
        <f>IF((IF((IF(OR(City_Inputs!$AA64="",Norm_Stats!$F$15="",Norm_Stats!$G$15="",Norm_Stats!$G$15=Norm_Stats!$F$15),"",MAX(0,MIN(100,100*(MIN(MAX(City_Inputs!$AA64,Norm_Stats!$F$15),Norm_Stats!$G$15)-Norm_Stats!$F$15)/(Norm_Stats!$G$15-Norm_Stats!$F$15)))))="",0,0.7)+IF((IF(OR(City_Inputs!$AL64="",Norm_Stats!$F$16="",Norm_Stats!$G$16="",Norm_Stats!$G$16=Norm_Stats!$F$16),"",MAX(0,MIN(100,100*(Norm_Stats!$G$16-MIN(MAX(City_Inputs!$AL64,Norm_Stats!$F$16),Norm_Stats!$G$16))/(Norm_Stats!$G$16-Norm_Stats!$F$16)))))="",0,0.3))=0,"",(IF((IF(OR(City_Inputs!$AA64="",Norm_Stats!$F$15="",Norm_Stats!$G$15="",Norm_Stats!$G$15=Norm_Stats!$F$15),"",MAX(0,MIN(100,100*(MIN(MAX(City_Inputs!$AA64,Norm_Stats!$F$15),Norm_Stats!$G$15)-Norm_Stats!$F$15)/(Norm_Stats!$G$15-Norm_Stats!$F$15)))))="",0,(IF(OR(City_Inputs!$AA64="",Norm_Stats!$F$15="",Norm_Stats!$G$15="",Norm_Stats!$G$15=Norm_Stats!$F$15),"",MAX(0,MIN(100,100*(MIN(MAX(City_Inputs!$AA64,Norm_Stats!$F$15),Norm_Stats!$G$15)-Norm_Stats!$F$15)/(Norm_Stats!$G$15-Norm_Stats!$F$15)))))*0.7)+IF((IF(OR(City_Inputs!$AL64="",Norm_Stats!$F$16="",Norm_Stats!$G$16="",Norm_Stats!$G$16=Norm_Stats!$F$16),"",MAX(0,MIN(100,100*(Norm_Stats!$G$16-MIN(MAX(City_Inputs!$AL64,Norm_Stats!$F$16),Norm_Stats!$G$16))/(Norm_Stats!$G$16-Norm_Stats!$F$16)))))="",0,(IF(OR(City_Inputs!$AL64="",Norm_Stats!$F$16="",Norm_Stats!$G$16="",Norm_Stats!$G$16=Norm_Stats!$F$16),"",MAX(0,MIN(100,100*(Norm_Stats!$G$16-MIN(MAX(City_Inputs!$AL64,Norm_Stats!$F$16),Norm_Stats!$G$16))/(Norm_Stats!$G$16-Norm_Stats!$F$16)))))*0.3))/(IF((IF(OR(City_Inputs!$AA64="",Norm_Stats!$F$15="",Norm_Stats!$G$15="",Norm_Stats!$G$15=Norm_Stats!$F$15),"",MAX(0,MIN(100,100*(MIN(MAX(City_Inputs!$AA64,Norm_Stats!$F$15),Norm_Stats!$G$15)-Norm_Stats!$F$15)/(Norm_Stats!$G$15-Norm_Stats!$F$15)))))="",0,0.7)+IF((IF(OR(City_Inputs!$AL64="",Norm_Stats!$F$16="",Norm_Stats!$G$16="",Norm_Stats!$G$16=Norm_Stats!$F$16),"",MAX(0,MIN(100,100*(Norm_Stats!$G$16-MIN(MAX(City_Inputs!$AL64,Norm_Stats!$F$16),Norm_Stats!$G$16))/(Norm_Stats!$G$16-Norm_Stats!$F$16)))))="",0,0.3)))</f>
        <v/>
      </c>
      <c r="AL64" s="14">
        <f>IF((IF((IF(OR(City_Inputs!$AA64="",Norm_Stats!$F$15="",Norm_Stats!$G$15="",Norm_Stats!$G$15=Norm_Stats!$F$15),"",MAX(0,MIN(100,100*(MIN(MAX(City_Inputs!$AA64,Norm_Stats!$F$15),Norm_Stats!$G$15)-Norm_Stats!$F$15)/(Norm_Stats!$G$15-Norm_Stats!$F$15)))))="",0,0.7)+IF((IF(OR(City_Inputs!$AL64="",Norm_Stats!$F$16="",Norm_Stats!$G$16="",Norm_Stats!$G$16=Norm_Stats!$F$16),"",MAX(0,MIN(100,100*(Norm_Stats!$G$16-MIN(MAX(City_Inputs!$AL64,Norm_Stats!$F$16),Norm_Stats!$G$16))/(Norm_Stats!$G$16-Norm_Stats!$F$16)))))="",0,0.3))=0,"",(IF((IF(OR(City_Inputs!$AA64="",Norm_Stats!$F$15="",Norm_Stats!$G$15="",Norm_Stats!$G$15=Norm_Stats!$F$15),"",MAX(0,MIN(100,100*(MIN(MAX(City_Inputs!$AA64,Norm_Stats!$F$15),Norm_Stats!$G$15)-Norm_Stats!$F$15)/(Norm_Stats!$G$15-Norm_Stats!$F$15)))))="",0,0.7)+IF((IF(OR(City_Inputs!$AL64="",Norm_Stats!$F$16="",Norm_Stats!$G$16="",Norm_Stats!$G$16=Norm_Stats!$F$16),"",MAX(0,MIN(100,100*(Norm_Stats!$G$16-MIN(MAX(City_Inputs!$AL64,Norm_Stats!$F$16),Norm_Stats!$G$16))/(Norm_Stats!$G$16-Norm_Stats!$F$16)))))="",0,0.3)))</f>
        <v/>
      </c>
      <c r="AM64" s="15">
        <f>IF((IF(AG64="",0,8)+IF(AI64="",0,6)+IF(AK64="",0,4))=0,"",(IF(AG64="",0,AG64*8)+IF(AI64="",0,AI64*6)+IF(AK64="",0,AK64*4))/(IF(AG64="",0,8)+IF(AI64="",0,6)+IF(AK64="",0,4)))</f>
        <v/>
      </c>
      <c r="AN64" s="14">
        <f>IF((IF(AH64="",0,8)+IF(AJ64="",0,6)+IF(AL64="",0,4))=0,"",(IF(AH64="",0,AH64*8)+IF(AJ64="",0,AJ64*6)+IF(AL64="",0,AL64*4))/18)</f>
        <v/>
      </c>
      <c r="AO64" s="11">
        <f>IF(OR(City_Inputs!$AB64="",Norm_Stats!$F$17="",Norm_Stats!$G$17="",Norm_Stats!$G$17=Norm_Stats!$F$17),"",MAX(0,MIN(100,100*(MIN(MAX(City_Inputs!$AB64,Norm_Stats!$F$17),Norm_Stats!$G$17)-Norm_Stats!$F$17)/(Norm_Stats!$G$17-Norm_Stats!$F$17))))</f>
        <v/>
      </c>
      <c r="AP64" s="14">
        <f>IF(AO64="","",1)</f>
        <v/>
      </c>
      <c r="AQ64" s="11">
        <f>IF(OR(City_Inputs!$AC64="",Norm_Stats!$F$18="",Norm_Stats!$G$18="",Norm_Stats!$G$18=Norm_Stats!$F$18),"",MAX(0,MIN(100,100*(MIN(MAX(City_Inputs!$AC64,Norm_Stats!$F$18),Norm_Stats!$G$18)-Norm_Stats!$F$18)/(Norm_Stats!$G$18-Norm_Stats!$F$18))))</f>
        <v/>
      </c>
      <c r="AR64" s="14">
        <f>IF(AQ64="","",1)</f>
        <v/>
      </c>
      <c r="AS64" s="11">
        <f>IF(OR(City_Inputs!$AD64="",Norm_Stats!$F$19="",Norm_Stats!$G$19="",Norm_Stats!$G$19=Norm_Stats!$F$19),"",MAX(0,MIN(100,100*(MIN(MAX(City_Inputs!$AD64,Norm_Stats!$F$19),Norm_Stats!$G$19)-Norm_Stats!$F$19)/(Norm_Stats!$G$19-Norm_Stats!$F$19))))</f>
        <v/>
      </c>
      <c r="AT64" s="14">
        <f>IF(AS64="","",1)</f>
        <v/>
      </c>
      <c r="AU64" s="11">
        <f>IF(OR(City_Inputs!$BJ64="",Norm_Stats!$F$26="",Norm_Stats!$G$26="",Norm_Stats!$G$26=Norm_Stats!$F$26),"",MAX(0,MIN(100,100*(MIN(MAX(City_Inputs!$BJ64,Norm_Stats!$F$26),Norm_Stats!$G$26)-Norm_Stats!$F$26)/(Norm_Stats!$G$26-Norm_Stats!$F$26))))</f>
        <v/>
      </c>
      <c r="AV64" s="11">
        <f>IF(AU64="","",1)</f>
        <v/>
      </c>
      <c r="AW64" s="15">
        <f>IF((IF(AO64="",0,5)+IF(AQ64="",0,5)+IF(AS64="",0,5)+IF(AU64="",0,4))=0,"",(IF(AO64="",0,AO64*5)+IF(AQ64="",0,AQ64*5)+IF(AS64="",0,AS64*5)+IF(AU64="",0,AU64*4))/(IF(AO64="",0,5)+IF(AQ64="",0,5)+IF(AS64="",0,5)+IF(AU64="",0,4)))</f>
        <v/>
      </c>
      <c r="AX64" s="14">
        <f>IF((IF(AP64="",0,5)+IF(AR64="",0,5)+IF(AT64="",0,5)+IF(AV64="",0,4))=0,"",(IF(AP64="",0,AP64*5)+IF(AR64="",0,AR64*5)+IF(AT64="",0,AT64*5)+IF(AV64="",0,AV64*4))/19)</f>
        <v/>
      </c>
      <c r="AY64" s="11">
        <f>IF(OR(City_Inputs!$AE64="",Norm_Stats!$F$20="",Norm_Stats!$G$20="",Norm_Stats!$G$20=Norm_Stats!$F$20),"",MAX(0,MIN(100,100*(MIN(MAX(City_Inputs!$AE64,Norm_Stats!$F$20),Norm_Stats!$G$20)-Norm_Stats!$F$20)/(Norm_Stats!$G$20-Norm_Stats!$F$20))))</f>
        <v/>
      </c>
      <c r="AZ64" s="14">
        <f>IF(AY64="","",1)</f>
        <v/>
      </c>
      <c r="BA64" s="11">
        <f>IF(OR(City_Inputs!$AF64="",Norm_Stats!$F$21="",Norm_Stats!$G$21="",Norm_Stats!$G$21=Norm_Stats!$F$21),"",MAX(0,MIN(100,100*(MIN(MAX(City_Inputs!$AF64,Norm_Stats!$F$21),Norm_Stats!$G$21)-Norm_Stats!$F$21)/(Norm_Stats!$G$21-Norm_Stats!$F$21))))</f>
        <v/>
      </c>
      <c r="BB64" s="14">
        <f>IF(BA64="","",1)</f>
        <v/>
      </c>
      <c r="BC64" s="11">
        <f>IF((IF((IF(OR(City_Inputs!$AG64="",Norm_Stats!$F$22="",Norm_Stats!$G$22="",Norm_Stats!$G$22=Norm_Stats!$F$22),"",MAX(0,MIN(100,100*(MIN(MAX(City_Inputs!$AG64,Norm_Stats!$F$22),Norm_Stats!$G$22)-Norm_Stats!$F$22)/(Norm_Stats!$G$22-Norm_Stats!$F$22)))))="",0,0.5)+IF((IF(OR(City_Inputs!$AJ64="",Norm_Stats!$F$23="",Norm_Stats!$G$23="",Norm_Stats!$G$23=Norm_Stats!$F$23),"",MAX(0,MIN(100,100*(MIN(MAX(City_Inputs!$AJ64,Norm_Stats!$F$23),Norm_Stats!$G$23)-Norm_Stats!$F$23)/(Norm_Stats!$G$23-Norm_Stats!$F$23)))))="",0,0.3)+IF((IF(OR(City_Inputs!$AK64="",Norm_Stats!$F$24="",Norm_Stats!$G$24="",Norm_Stats!$G$24=Norm_Stats!$F$24),"",MAX(0,MIN(100,100*(MIN(MAX(City_Inputs!$AK64,Norm_Stats!$F$24),Norm_Stats!$G$24)-Norm_Stats!$F$24)/(Norm_Stats!$G$24-Norm_Stats!$F$24)))))="",0,0.2))=0,"",(IF((IF(OR(City_Inputs!$AG64="",Norm_Stats!$F$22="",Norm_Stats!$G$22="",Norm_Stats!$G$22=Norm_Stats!$F$22),"",MAX(0,MIN(100,100*(MIN(MAX(City_Inputs!$AG64,Norm_Stats!$F$22),Norm_Stats!$G$22)-Norm_Stats!$F$22)/(Norm_Stats!$G$22-Norm_Stats!$F$22)))))="",0,(IF(OR(City_Inputs!$AG64="",Norm_Stats!$F$22="",Norm_Stats!$G$22="",Norm_Stats!$G$22=Norm_Stats!$F$22),"",MAX(0,MIN(100,100*(MIN(MAX(City_Inputs!$AG64,Norm_Stats!$F$22),Norm_Stats!$G$22)-Norm_Stats!$F$22)/(Norm_Stats!$G$22-Norm_Stats!$F$22)))))*0.5)+IF((IF(OR(City_Inputs!$AJ64="",Norm_Stats!$F$23="",Norm_Stats!$G$23="",Norm_Stats!$G$23=Norm_Stats!$F$23),"",MAX(0,MIN(100,100*(MIN(MAX(City_Inputs!$AJ64,Norm_Stats!$F$23),Norm_Stats!$G$23)-Norm_Stats!$F$23)/(Norm_Stats!$G$23-Norm_Stats!$F$23)))))="",0,(IF(OR(City_Inputs!$AJ64="",Norm_Stats!$F$23="",Norm_Stats!$G$23="",Norm_Stats!$G$23=Norm_Stats!$F$23),"",MAX(0,MIN(100,100*(MIN(MAX(City_Inputs!$AJ64,Norm_Stats!$F$23),Norm_Stats!$G$23)-Norm_Stats!$F$23)/(Norm_Stats!$G$23-Norm_Stats!$F$23)))))*0.3)+IF((IF(OR(City_Inputs!$AK64="",Norm_Stats!$F$24="",Norm_Stats!$G$24="",Norm_Stats!$G$24=Norm_Stats!$F$24),"",MAX(0,MIN(100,100*(MIN(MAX(City_Inputs!$AK64,Norm_Stats!$F$24),Norm_Stats!$G$24)-Norm_Stats!$F$24)/(Norm_Stats!$G$24-Norm_Stats!$F$24)))))="",0,(IF(OR(City_Inputs!$AK64="",Norm_Stats!$F$24="",Norm_Stats!$G$24="",Norm_Stats!$G$24=Norm_Stats!$F$24),"",MAX(0,MIN(100,100*(MIN(MAX(City_Inputs!$AK64,Norm_Stats!$F$24),Norm_Stats!$G$24)-Norm_Stats!$F$24)/(Norm_Stats!$G$24-Norm_Stats!$F$24)))))*0.2))/(IF((IF(OR(City_Inputs!$AG64="",Norm_Stats!$F$22="",Norm_Stats!$G$22="",Norm_Stats!$G$22=Norm_Stats!$F$22),"",MAX(0,MIN(100,100*(MIN(MAX(City_Inputs!$AG64,Norm_Stats!$F$22),Norm_Stats!$G$22)-Norm_Stats!$F$22)/(Norm_Stats!$G$22-Norm_Stats!$F$22)))))="",0,0.5)+IF((IF(OR(City_Inputs!$AJ64="",Norm_Stats!$F$23="",Norm_Stats!$G$23="",Norm_Stats!$G$23=Norm_Stats!$F$23),"",MAX(0,MIN(100,100*(MIN(MAX(City_Inputs!$AJ64,Norm_Stats!$F$23),Norm_Stats!$G$23)-Norm_Stats!$F$23)/(Norm_Stats!$G$23-Norm_Stats!$F$23)))))="",0,0.3)+IF((IF(OR(City_Inputs!$AK64="",Norm_Stats!$F$24="",Norm_Stats!$G$24="",Norm_Stats!$G$24=Norm_Stats!$F$24),"",MAX(0,MIN(100,100*(MIN(MAX(City_Inputs!$AK64,Norm_Stats!$F$24),Norm_Stats!$G$24)-Norm_Stats!$F$24)/(Norm_Stats!$G$24-Norm_Stats!$F$24)))))="",0,0.2)))</f>
        <v/>
      </c>
      <c r="BD64" s="14">
        <f>IF((IF((IF(OR(City_Inputs!$AG64="",Norm_Stats!$F$22="",Norm_Stats!$G$22="",Norm_Stats!$G$22=Norm_Stats!$F$22),"",MAX(0,MIN(100,100*(MIN(MAX(City_Inputs!$AG64,Norm_Stats!$F$22),Norm_Stats!$G$22)-Norm_Stats!$F$22)/(Norm_Stats!$G$22-Norm_Stats!$F$22)))))="",0,0.5)+IF((IF(OR(City_Inputs!$AJ64="",Norm_Stats!$F$23="",Norm_Stats!$G$23="",Norm_Stats!$G$23=Norm_Stats!$F$23),"",MAX(0,MIN(100,100*(MIN(MAX(City_Inputs!$AJ64,Norm_Stats!$F$23),Norm_Stats!$G$23)-Norm_Stats!$F$23)/(Norm_Stats!$G$23-Norm_Stats!$F$23)))))="",0,0.3)+IF((IF(OR(City_Inputs!$AK64="",Norm_Stats!$F$24="",Norm_Stats!$G$24="",Norm_Stats!$G$24=Norm_Stats!$F$24),"",MAX(0,MIN(100,100*(MIN(MAX(City_Inputs!$AK64,Norm_Stats!$F$24),Norm_Stats!$G$24)-Norm_Stats!$F$24)/(Norm_Stats!$G$24-Norm_Stats!$F$24)))))="",0,0.2))=0,"",(IF((IF(OR(City_Inputs!$AG64="",Norm_Stats!$F$22="",Norm_Stats!$G$22="",Norm_Stats!$G$22=Norm_Stats!$F$22),"",MAX(0,MIN(100,100*(MIN(MAX(City_Inputs!$AG64,Norm_Stats!$F$22),Norm_Stats!$G$22)-Norm_Stats!$F$22)/(Norm_Stats!$G$22-Norm_Stats!$F$22)))))="",0,0.5)+IF((IF(OR(City_Inputs!$AJ64="",Norm_Stats!$F$23="",Norm_Stats!$G$23="",Norm_Stats!$G$23=Norm_Stats!$F$23),"",MAX(0,MIN(100,100*(MIN(MAX(City_Inputs!$AJ64,Norm_Stats!$F$23),Norm_Stats!$G$23)-Norm_Stats!$F$23)/(Norm_Stats!$G$23-Norm_Stats!$F$23)))))="",0,0.3)+IF((IF(OR(City_Inputs!$AK64="",Norm_Stats!$F$24="",Norm_Stats!$G$24="",Norm_Stats!$G$24=Norm_Stats!$F$24),"",MAX(0,MIN(100,100*(MIN(MAX(City_Inputs!$AK64,Norm_Stats!$F$24),Norm_Stats!$G$24)-Norm_Stats!$F$24)/(Norm_Stats!$G$24-Norm_Stats!$F$24)))))="",0,0.2)))</f>
        <v/>
      </c>
      <c r="BE64" s="11">
        <f>IF(OR(City_Inputs!$AH64="",Norm_Stats!$F$25="",Norm_Stats!$G$25="",Norm_Stats!$G$25=Norm_Stats!$F$25),"",MAX(0,MIN(100,100*(Norm_Stats!$G$25-MIN(MAX(City_Inputs!$AH64,Norm_Stats!$F$25),Norm_Stats!$G$25))/(Norm_Stats!$G$25-Norm_Stats!$F$25))))</f>
        <v/>
      </c>
      <c r="BF64" s="14">
        <f>IF(BE64="","",1)</f>
        <v/>
      </c>
      <c r="BG64" s="15">
        <f>IF((IF(AY64="",0,6)+IF(BA64="",0,5)+IF(BC64="",0,5)+IF(BE64="",0,4))=0,"",(IF(AY64="",0,AY64*6)+IF(BA64="",0,BA64*5)+IF(BC64="",0,BC64*5)+IF(BE64="",0,BE64*4))/(IF(AY64="",0,6)+IF(BA64="",0,5)+IF(BC64="",0,5)+IF(BE64="",0,4)))</f>
        <v/>
      </c>
      <c r="BH64" s="14">
        <f>IF((IF(AZ64="",0,6)+IF(BB64="",0,5)+IF(BD64="",0,5)+IF(BF64="",0,4))=0,"",(IF(AZ64="",0,AZ64*6)+IF(BB64="",0,BB64*5)+IF(BD64="",0,BD64*5)+IF(BF64="",0,BF64*4))/20)</f>
        <v/>
      </c>
      <c r="BI64" s="14">
        <f>IF(AND(R64="",AF64="",AN64="",AX64="",BH64=""),"",((R64*25)+(AF64*22)+(AN64*18)+(AX64*15)+(BH64*20))/100)</f>
        <v/>
      </c>
      <c r="BJ64" s="11">
        <f>IF(BI64="","",IF(BI64&gt;=0.75,"A",IF(BI64&gt;=0.5,"B",IF(BI64&gt;=0.35,"C","Watchlist"))))</f>
        <v/>
      </c>
      <c r="BK64" s="11">
        <f>IF(OR(BI64="",BI64&lt;0.5,R64="",R64&lt;0.35,AF64="",AF64&lt;0.35,AN64="",AN64&lt;0.35,AX64="",AX64&lt;0.35,BH64="",BH64&lt;0.35),"Watchlist","Ranked")</f>
        <v/>
      </c>
      <c r="BL64" s="15">
        <f>IF(AND(Q64="",AE64="",AM64="",AW64="",BG64=""),"",(IF(Q64="",0,Q64*25)+IF(AE64="",0,AE64*22)+IF(AM64="",0,AM64*18)+IF(AW64="",0,AW64*15)+IF(BG64="",0,BG64*20))/(IF(Q64="",0,25)+IF(AE64="",0,22)+IF(AM64="",0,18)+IF(AW64="",0,15)+IF(BG64="",0,20)))</f>
        <v/>
      </c>
      <c r="BM64" s="11">
        <f>IF(BK64="Ranked",1+COUNTIFS($BK$2:$BK$158,"Ranked",$BL$2:$BL$158,"&gt;"&amp;BL64),"")</f>
        <v/>
      </c>
      <c r="BN64" s="11">
        <f>City_Inputs!$AI64</f>
        <v/>
      </c>
    </row>
    <row r="65">
      <c r="A65" t="inlineStr">
        <is>
          <t>cr-san-jose</t>
        </is>
      </c>
      <c r="B65" t="inlineStr">
        <is>
          <t>San Jose</t>
        </is>
      </c>
      <c r="C65" t="inlineStr">
        <is>
          <t>Costa Rica</t>
        </is>
      </c>
      <c r="D65" t="inlineStr">
        <is>
          <t>North America</t>
        </is>
      </c>
      <c r="E65" t="inlineStr">
        <is>
          <t>locked</t>
        </is>
      </c>
      <c r="F65" t="inlineStr">
        <is>
          <t>primary</t>
        </is>
      </c>
      <c r="G65" s="11">
        <f>IF(OR(City_Inputs!$M65="",Norm_Stats!$F$2="",Norm_Stats!$G$2="",Norm_Stats!$G$2=Norm_Stats!$F$2),"",MAX(0,MIN(100,100*(MIN(MAX(City_Inputs!$M65,Norm_Stats!$F$2),Norm_Stats!$G$2)-Norm_Stats!$F$2)/(Norm_Stats!$G$2-Norm_Stats!$F$2))))</f>
        <v/>
      </c>
      <c r="H65" s="14">
        <f>IF(G65="","",1)</f>
        <v/>
      </c>
      <c r="I65" s="11">
        <f>IF(OR(City_Inputs!$N65="",Norm_Stats!$F$3="",Norm_Stats!$G$3="",Norm_Stats!$G$3=Norm_Stats!$F$3),"",MAX(0,MIN(100,100*(Norm_Stats!$G$3-MIN(MAX(City_Inputs!$N65,Norm_Stats!$F$3),Norm_Stats!$G$3))/(Norm_Stats!$G$3-Norm_Stats!$F$3))))</f>
        <v/>
      </c>
      <c r="J65" s="14">
        <f>IF(I65="","",1)</f>
        <v/>
      </c>
      <c r="K65" s="11">
        <f>IF(OR(City_Inputs!$P65="",Norm_Stats!$F$4="",Norm_Stats!$G$4="",Norm_Stats!$G$4=Norm_Stats!$F$4),"",MAX(0,MIN(100,100*(Norm_Stats!$G$4-MIN(MAX(City_Inputs!$P65,Norm_Stats!$F$4),Norm_Stats!$G$4))/(Norm_Stats!$G$4-Norm_Stats!$F$4))))</f>
        <v/>
      </c>
      <c r="L65" s="14">
        <f>IF(K65="","",1)</f>
        <v/>
      </c>
      <c r="M65" s="11">
        <f>IF(OR(City_Inputs!$Q65="",Norm_Stats!$F$5="",Norm_Stats!$G$5="",Norm_Stats!$G$5=Norm_Stats!$F$5),"",MAX(0,MIN(100,100*(Norm_Stats!$G$5-MIN(MAX(City_Inputs!$Q65,Norm_Stats!$F$5),Norm_Stats!$G$5))/(Norm_Stats!$G$5-Norm_Stats!$F$5))))</f>
        <v/>
      </c>
      <c r="N65" s="14">
        <f>IF(M65="","",1)</f>
        <v/>
      </c>
      <c r="O65" s="11">
        <f>IF(OR(City_Inputs!$R65="",Norm_Stats!$F$6="",Norm_Stats!$G$6="",Norm_Stats!$G$6=Norm_Stats!$F$6),"",MAX(0,MIN(100,100*(Norm_Stats!$G$6-MIN(MAX(City_Inputs!$R65,Norm_Stats!$F$6),Norm_Stats!$G$6))/(Norm_Stats!$G$6-Norm_Stats!$F$6))))</f>
        <v/>
      </c>
      <c r="P65" s="14">
        <f>IF(O65="","",1)</f>
        <v/>
      </c>
      <c r="Q65" s="15">
        <f>IF((IF(G65="",0,9)+IF(I65="",0,5)+IF(K65="",0,4)+IF(M65="",0,4)+IF(O65="",0,5))=0,"",(IF(G65="",0,G65*9)+IF(I65="",0,I65*5)+IF(K65="",0,K65*4)+IF(M65="",0,M65*4)+IF(O65="",0,O65*5))/(IF(G65="",0,9)+IF(I65="",0,5)+IF(K65="",0,4)+IF(M65="",0,4)+IF(O65="",0,5)))</f>
        <v/>
      </c>
      <c r="R65" s="14">
        <f>IF((IF(H65="",0,9)+IF(J65="",0,5)+IF(L65="",0,4)+IF(N65="",0,4)+IF(P65="",0,5))=0,"",(IF(H65="",0,H65*9)+IF(J65="",0,J65*5)+IF(L65="",0,L65*4)+IF(N65="",0,N65*4)+IF(P65="",0,P65*5))/27)</f>
        <v/>
      </c>
      <c r="S65" s="11">
        <f>IF(OR(City_Inputs!$S65="",Norm_Stats!$F$7="",Norm_Stats!$G$7="",Norm_Stats!$G$7=Norm_Stats!$F$7),"",MAX(0,MIN(100,100*(Norm_Stats!$G$7-MIN(MAX(City_Inputs!$S65,Norm_Stats!$F$7),Norm_Stats!$G$7))/(Norm_Stats!$G$7-Norm_Stats!$F$7))))</f>
        <v/>
      </c>
      <c r="T65" s="14">
        <f>IF(S65="","",1)</f>
        <v/>
      </c>
      <c r="U65" s="11">
        <f>IF(OR(City_Inputs!$T65="",Norm_Stats!$F$8="",Norm_Stats!$G$8="",Norm_Stats!$G$8=Norm_Stats!$F$8),"",MAX(0,MIN(100,100*(MIN(MAX(City_Inputs!$T65,Norm_Stats!$F$8),Norm_Stats!$G$8)-Norm_Stats!$F$8)/(Norm_Stats!$G$8-Norm_Stats!$F$8))))</f>
        <v/>
      </c>
      <c r="V65" s="14">
        <f>IF(U65="","",1)</f>
        <v/>
      </c>
      <c r="W65" s="11">
        <f>IF(OR(City_Inputs!$U65="",Norm_Stats!$F$9="",Norm_Stats!$G$9="",Norm_Stats!$G$9=Norm_Stats!$F$9),"",MAX(0,MIN(100,100*(Norm_Stats!$G$9-MIN(MAX(City_Inputs!$U65,Norm_Stats!$F$9),Norm_Stats!$G$9))/(Norm_Stats!$G$9-Norm_Stats!$F$9))))</f>
        <v/>
      </c>
      <c r="X65" s="14">
        <f>IF(W65="","",1)</f>
        <v/>
      </c>
      <c r="Y65" s="11">
        <f>IF(OR(City_Inputs!$V65="",Norm_Stats!$F$10="",Norm_Stats!$G$10="",Norm_Stats!$G$10=Norm_Stats!$F$10),"",MAX(0,MIN(100,100*(MIN(MAX(City_Inputs!$V65,Norm_Stats!$F$10),Norm_Stats!$G$10)-Norm_Stats!$F$10)/(Norm_Stats!$G$10-Norm_Stats!$F$10))))</f>
        <v/>
      </c>
      <c r="Z65" s="14">
        <f>IF(Y65="","",1)</f>
        <v/>
      </c>
      <c r="AA65" s="11">
        <f>IF(OR(City_Inputs!$W65="",Norm_Stats!$F$11="",Norm_Stats!$G$11="",Norm_Stats!$G$11=Norm_Stats!$F$11),"",MAX(0,MIN(100,100*(MIN(MAX(City_Inputs!$W65,Norm_Stats!$F$11),Norm_Stats!$G$11)-Norm_Stats!$F$11)/(Norm_Stats!$G$11-Norm_Stats!$F$11))))</f>
        <v/>
      </c>
      <c r="AB65" s="14">
        <f>IF(AA65="","",1)</f>
        <v/>
      </c>
      <c r="AC65" s="11">
        <f>IF(OR(City_Inputs!$X65="",Norm_Stats!$F$12="",Norm_Stats!$G$12="",Norm_Stats!$G$12=Norm_Stats!$F$12),"",MAX(0,MIN(100,100*(MIN(MAX(City_Inputs!$X65,Norm_Stats!$F$12),Norm_Stats!$G$12)-Norm_Stats!$F$12)/(Norm_Stats!$G$12-Norm_Stats!$F$12))))</f>
        <v/>
      </c>
      <c r="AD65" s="11">
        <f>IF(AC65="","",1)</f>
        <v/>
      </c>
      <c r="AE65" s="15">
        <f>IF((IF(S65="",0,5)+IF(U65="",0,5)+IF(W65="",0,4)+IF(Y65="",0,4)+IF(AA65="",0,4)+IF(AC65="",0,5))=0,"",(IF(S65="",0,S65*5)+IF(U65="",0,U65*5)+IF(W65="",0,W65*4)+IF(Y65="",0,Y65*4)+IF(AA65="",0,AA65*4)+IF(AC65="",0,AC65*5))/(IF(S65="",0,5)+IF(U65="",0,5)+IF(W65="",0,4)+IF(Y65="",0,4)+IF(AA65="",0,4)+IF(AC65="",0,5)))</f>
        <v/>
      </c>
      <c r="AF65" s="14">
        <f>IF((IF(T65="",0,5)+IF(V65="",0,5)+IF(X65="",0,4)+IF(Z65="",0,4)+IF(AB65="",0,4)+IF(AD65="",0,5))=0,"",(IF(T65="",0,T65*5)+IF(V65="",0,V65*5)+IF(X65="",0,X65*4)+IF(Z65="",0,Z65*4)+IF(AB65="",0,AB65*4)+IF(AD65="",0,AD65*5))/27)</f>
        <v/>
      </c>
      <c r="AG65" s="11">
        <f>IF(OR(City_Inputs!$Y65="",Norm_Stats!$F$13="",Norm_Stats!$G$13="",Norm_Stats!$G$13=Norm_Stats!$F$13),"",MAX(0,MIN(100,100*(MIN(MAX(City_Inputs!$Y65,Norm_Stats!$F$13),Norm_Stats!$G$13)-Norm_Stats!$F$13)/(Norm_Stats!$G$13-Norm_Stats!$F$13))))</f>
        <v/>
      </c>
      <c r="AH65" s="14">
        <f>IF(AG65="","",1)</f>
        <v/>
      </c>
      <c r="AI65" s="11">
        <f>IF(OR(City_Inputs!$Z65="",Norm_Stats!$F$14="",Norm_Stats!$G$14="",Norm_Stats!$G$14=Norm_Stats!$F$14),"",MAX(0,MIN(100,100*(MIN(MAX(City_Inputs!$Z65,Norm_Stats!$F$14),Norm_Stats!$G$14)-Norm_Stats!$F$14)/(Norm_Stats!$G$14-Norm_Stats!$F$14))))</f>
        <v/>
      </c>
      <c r="AJ65" s="14">
        <f>IF(AI65="","",1)</f>
        <v/>
      </c>
      <c r="AK65" s="11">
        <f>IF((IF((IF(OR(City_Inputs!$AA65="",Norm_Stats!$F$15="",Norm_Stats!$G$15="",Norm_Stats!$G$15=Norm_Stats!$F$15),"",MAX(0,MIN(100,100*(MIN(MAX(City_Inputs!$AA65,Norm_Stats!$F$15),Norm_Stats!$G$15)-Norm_Stats!$F$15)/(Norm_Stats!$G$15-Norm_Stats!$F$15)))))="",0,0.7)+IF((IF(OR(City_Inputs!$AL65="",Norm_Stats!$F$16="",Norm_Stats!$G$16="",Norm_Stats!$G$16=Norm_Stats!$F$16),"",MAX(0,MIN(100,100*(Norm_Stats!$G$16-MIN(MAX(City_Inputs!$AL65,Norm_Stats!$F$16),Norm_Stats!$G$16))/(Norm_Stats!$G$16-Norm_Stats!$F$16)))))="",0,0.3))=0,"",(IF((IF(OR(City_Inputs!$AA65="",Norm_Stats!$F$15="",Norm_Stats!$G$15="",Norm_Stats!$G$15=Norm_Stats!$F$15),"",MAX(0,MIN(100,100*(MIN(MAX(City_Inputs!$AA65,Norm_Stats!$F$15),Norm_Stats!$G$15)-Norm_Stats!$F$15)/(Norm_Stats!$G$15-Norm_Stats!$F$15)))))="",0,(IF(OR(City_Inputs!$AA65="",Norm_Stats!$F$15="",Norm_Stats!$G$15="",Norm_Stats!$G$15=Norm_Stats!$F$15),"",MAX(0,MIN(100,100*(MIN(MAX(City_Inputs!$AA65,Norm_Stats!$F$15),Norm_Stats!$G$15)-Norm_Stats!$F$15)/(Norm_Stats!$G$15-Norm_Stats!$F$15)))))*0.7)+IF((IF(OR(City_Inputs!$AL65="",Norm_Stats!$F$16="",Norm_Stats!$G$16="",Norm_Stats!$G$16=Norm_Stats!$F$16),"",MAX(0,MIN(100,100*(Norm_Stats!$G$16-MIN(MAX(City_Inputs!$AL65,Norm_Stats!$F$16),Norm_Stats!$G$16))/(Norm_Stats!$G$16-Norm_Stats!$F$16)))))="",0,(IF(OR(City_Inputs!$AL65="",Norm_Stats!$F$16="",Norm_Stats!$G$16="",Norm_Stats!$G$16=Norm_Stats!$F$16),"",MAX(0,MIN(100,100*(Norm_Stats!$G$16-MIN(MAX(City_Inputs!$AL65,Norm_Stats!$F$16),Norm_Stats!$G$16))/(Norm_Stats!$G$16-Norm_Stats!$F$16)))))*0.3))/(IF((IF(OR(City_Inputs!$AA65="",Norm_Stats!$F$15="",Norm_Stats!$G$15="",Norm_Stats!$G$15=Norm_Stats!$F$15),"",MAX(0,MIN(100,100*(MIN(MAX(City_Inputs!$AA65,Norm_Stats!$F$15),Norm_Stats!$G$15)-Norm_Stats!$F$15)/(Norm_Stats!$G$15-Norm_Stats!$F$15)))))="",0,0.7)+IF((IF(OR(City_Inputs!$AL65="",Norm_Stats!$F$16="",Norm_Stats!$G$16="",Norm_Stats!$G$16=Norm_Stats!$F$16),"",MAX(0,MIN(100,100*(Norm_Stats!$G$16-MIN(MAX(City_Inputs!$AL65,Norm_Stats!$F$16),Norm_Stats!$G$16))/(Norm_Stats!$G$16-Norm_Stats!$F$16)))))="",0,0.3)))</f>
        <v/>
      </c>
      <c r="AL65" s="14">
        <f>IF((IF((IF(OR(City_Inputs!$AA65="",Norm_Stats!$F$15="",Norm_Stats!$G$15="",Norm_Stats!$G$15=Norm_Stats!$F$15),"",MAX(0,MIN(100,100*(MIN(MAX(City_Inputs!$AA65,Norm_Stats!$F$15),Norm_Stats!$G$15)-Norm_Stats!$F$15)/(Norm_Stats!$G$15-Norm_Stats!$F$15)))))="",0,0.7)+IF((IF(OR(City_Inputs!$AL65="",Norm_Stats!$F$16="",Norm_Stats!$G$16="",Norm_Stats!$G$16=Norm_Stats!$F$16),"",MAX(0,MIN(100,100*(Norm_Stats!$G$16-MIN(MAX(City_Inputs!$AL65,Norm_Stats!$F$16),Norm_Stats!$G$16))/(Norm_Stats!$G$16-Norm_Stats!$F$16)))))="",0,0.3))=0,"",(IF((IF(OR(City_Inputs!$AA65="",Norm_Stats!$F$15="",Norm_Stats!$G$15="",Norm_Stats!$G$15=Norm_Stats!$F$15),"",MAX(0,MIN(100,100*(MIN(MAX(City_Inputs!$AA65,Norm_Stats!$F$15),Norm_Stats!$G$15)-Norm_Stats!$F$15)/(Norm_Stats!$G$15-Norm_Stats!$F$15)))))="",0,0.7)+IF((IF(OR(City_Inputs!$AL65="",Norm_Stats!$F$16="",Norm_Stats!$G$16="",Norm_Stats!$G$16=Norm_Stats!$F$16),"",MAX(0,MIN(100,100*(Norm_Stats!$G$16-MIN(MAX(City_Inputs!$AL65,Norm_Stats!$F$16),Norm_Stats!$G$16))/(Norm_Stats!$G$16-Norm_Stats!$F$16)))))="",0,0.3)))</f>
        <v/>
      </c>
      <c r="AM65" s="15">
        <f>IF((IF(AG65="",0,8)+IF(AI65="",0,6)+IF(AK65="",0,4))=0,"",(IF(AG65="",0,AG65*8)+IF(AI65="",0,AI65*6)+IF(AK65="",0,AK65*4))/(IF(AG65="",0,8)+IF(AI65="",0,6)+IF(AK65="",0,4)))</f>
        <v/>
      </c>
      <c r="AN65" s="14">
        <f>IF((IF(AH65="",0,8)+IF(AJ65="",0,6)+IF(AL65="",0,4))=0,"",(IF(AH65="",0,AH65*8)+IF(AJ65="",0,AJ65*6)+IF(AL65="",0,AL65*4))/18)</f>
        <v/>
      </c>
      <c r="AO65" s="11">
        <f>IF(OR(City_Inputs!$AB65="",Norm_Stats!$F$17="",Norm_Stats!$G$17="",Norm_Stats!$G$17=Norm_Stats!$F$17),"",MAX(0,MIN(100,100*(MIN(MAX(City_Inputs!$AB65,Norm_Stats!$F$17),Norm_Stats!$G$17)-Norm_Stats!$F$17)/(Norm_Stats!$G$17-Norm_Stats!$F$17))))</f>
        <v/>
      </c>
      <c r="AP65" s="14">
        <f>IF(AO65="","",1)</f>
        <v/>
      </c>
      <c r="AQ65" s="11">
        <f>IF(OR(City_Inputs!$AC65="",Norm_Stats!$F$18="",Norm_Stats!$G$18="",Norm_Stats!$G$18=Norm_Stats!$F$18),"",MAX(0,MIN(100,100*(MIN(MAX(City_Inputs!$AC65,Norm_Stats!$F$18),Norm_Stats!$G$18)-Norm_Stats!$F$18)/(Norm_Stats!$G$18-Norm_Stats!$F$18))))</f>
        <v/>
      </c>
      <c r="AR65" s="14">
        <f>IF(AQ65="","",1)</f>
        <v/>
      </c>
      <c r="AS65" s="11">
        <f>IF(OR(City_Inputs!$AD65="",Norm_Stats!$F$19="",Norm_Stats!$G$19="",Norm_Stats!$G$19=Norm_Stats!$F$19),"",MAX(0,MIN(100,100*(MIN(MAX(City_Inputs!$AD65,Norm_Stats!$F$19),Norm_Stats!$G$19)-Norm_Stats!$F$19)/(Norm_Stats!$G$19-Norm_Stats!$F$19))))</f>
        <v/>
      </c>
      <c r="AT65" s="14">
        <f>IF(AS65="","",1)</f>
        <v/>
      </c>
      <c r="AU65" s="11">
        <f>IF(OR(City_Inputs!$BJ65="",Norm_Stats!$F$26="",Norm_Stats!$G$26="",Norm_Stats!$G$26=Norm_Stats!$F$26),"",MAX(0,MIN(100,100*(MIN(MAX(City_Inputs!$BJ65,Norm_Stats!$F$26),Norm_Stats!$G$26)-Norm_Stats!$F$26)/(Norm_Stats!$G$26-Norm_Stats!$F$26))))</f>
        <v/>
      </c>
      <c r="AV65" s="11">
        <f>IF(AU65="","",1)</f>
        <v/>
      </c>
      <c r="AW65" s="15">
        <f>IF((IF(AO65="",0,5)+IF(AQ65="",0,5)+IF(AS65="",0,5)+IF(AU65="",0,4))=0,"",(IF(AO65="",0,AO65*5)+IF(AQ65="",0,AQ65*5)+IF(AS65="",0,AS65*5)+IF(AU65="",0,AU65*4))/(IF(AO65="",0,5)+IF(AQ65="",0,5)+IF(AS65="",0,5)+IF(AU65="",0,4)))</f>
        <v/>
      </c>
      <c r="AX65" s="14">
        <f>IF((IF(AP65="",0,5)+IF(AR65="",0,5)+IF(AT65="",0,5)+IF(AV65="",0,4))=0,"",(IF(AP65="",0,AP65*5)+IF(AR65="",0,AR65*5)+IF(AT65="",0,AT65*5)+IF(AV65="",0,AV65*4))/19)</f>
        <v/>
      </c>
      <c r="AY65" s="11">
        <f>IF(OR(City_Inputs!$AE65="",Norm_Stats!$F$20="",Norm_Stats!$G$20="",Norm_Stats!$G$20=Norm_Stats!$F$20),"",MAX(0,MIN(100,100*(MIN(MAX(City_Inputs!$AE65,Norm_Stats!$F$20),Norm_Stats!$G$20)-Norm_Stats!$F$20)/(Norm_Stats!$G$20-Norm_Stats!$F$20))))</f>
        <v/>
      </c>
      <c r="AZ65" s="14">
        <f>IF(AY65="","",1)</f>
        <v/>
      </c>
      <c r="BA65" s="11">
        <f>IF(OR(City_Inputs!$AF65="",Norm_Stats!$F$21="",Norm_Stats!$G$21="",Norm_Stats!$G$21=Norm_Stats!$F$21),"",MAX(0,MIN(100,100*(MIN(MAX(City_Inputs!$AF65,Norm_Stats!$F$21),Norm_Stats!$G$21)-Norm_Stats!$F$21)/(Norm_Stats!$G$21-Norm_Stats!$F$21))))</f>
        <v/>
      </c>
      <c r="BB65" s="14">
        <f>IF(BA65="","",1)</f>
        <v/>
      </c>
      <c r="BC65" s="11">
        <f>IF((IF((IF(OR(City_Inputs!$AG65="",Norm_Stats!$F$22="",Norm_Stats!$G$22="",Norm_Stats!$G$22=Norm_Stats!$F$22),"",MAX(0,MIN(100,100*(MIN(MAX(City_Inputs!$AG65,Norm_Stats!$F$22),Norm_Stats!$G$22)-Norm_Stats!$F$22)/(Norm_Stats!$G$22-Norm_Stats!$F$22)))))="",0,0.5)+IF((IF(OR(City_Inputs!$AJ65="",Norm_Stats!$F$23="",Norm_Stats!$G$23="",Norm_Stats!$G$23=Norm_Stats!$F$23),"",MAX(0,MIN(100,100*(MIN(MAX(City_Inputs!$AJ65,Norm_Stats!$F$23),Norm_Stats!$G$23)-Norm_Stats!$F$23)/(Norm_Stats!$G$23-Norm_Stats!$F$23)))))="",0,0.3)+IF((IF(OR(City_Inputs!$AK65="",Norm_Stats!$F$24="",Norm_Stats!$G$24="",Norm_Stats!$G$24=Norm_Stats!$F$24),"",MAX(0,MIN(100,100*(MIN(MAX(City_Inputs!$AK65,Norm_Stats!$F$24),Norm_Stats!$G$24)-Norm_Stats!$F$24)/(Norm_Stats!$G$24-Norm_Stats!$F$24)))))="",0,0.2))=0,"",(IF((IF(OR(City_Inputs!$AG65="",Norm_Stats!$F$22="",Norm_Stats!$G$22="",Norm_Stats!$G$22=Norm_Stats!$F$22),"",MAX(0,MIN(100,100*(MIN(MAX(City_Inputs!$AG65,Norm_Stats!$F$22),Norm_Stats!$G$22)-Norm_Stats!$F$22)/(Norm_Stats!$G$22-Norm_Stats!$F$22)))))="",0,(IF(OR(City_Inputs!$AG65="",Norm_Stats!$F$22="",Norm_Stats!$G$22="",Norm_Stats!$G$22=Norm_Stats!$F$22),"",MAX(0,MIN(100,100*(MIN(MAX(City_Inputs!$AG65,Norm_Stats!$F$22),Norm_Stats!$G$22)-Norm_Stats!$F$22)/(Norm_Stats!$G$22-Norm_Stats!$F$22)))))*0.5)+IF((IF(OR(City_Inputs!$AJ65="",Norm_Stats!$F$23="",Norm_Stats!$G$23="",Norm_Stats!$G$23=Norm_Stats!$F$23),"",MAX(0,MIN(100,100*(MIN(MAX(City_Inputs!$AJ65,Norm_Stats!$F$23),Norm_Stats!$G$23)-Norm_Stats!$F$23)/(Norm_Stats!$G$23-Norm_Stats!$F$23)))))="",0,(IF(OR(City_Inputs!$AJ65="",Norm_Stats!$F$23="",Norm_Stats!$G$23="",Norm_Stats!$G$23=Norm_Stats!$F$23),"",MAX(0,MIN(100,100*(MIN(MAX(City_Inputs!$AJ65,Norm_Stats!$F$23),Norm_Stats!$G$23)-Norm_Stats!$F$23)/(Norm_Stats!$G$23-Norm_Stats!$F$23)))))*0.3)+IF((IF(OR(City_Inputs!$AK65="",Norm_Stats!$F$24="",Norm_Stats!$G$24="",Norm_Stats!$G$24=Norm_Stats!$F$24),"",MAX(0,MIN(100,100*(MIN(MAX(City_Inputs!$AK65,Norm_Stats!$F$24),Norm_Stats!$G$24)-Norm_Stats!$F$24)/(Norm_Stats!$G$24-Norm_Stats!$F$24)))))="",0,(IF(OR(City_Inputs!$AK65="",Norm_Stats!$F$24="",Norm_Stats!$G$24="",Norm_Stats!$G$24=Norm_Stats!$F$24),"",MAX(0,MIN(100,100*(MIN(MAX(City_Inputs!$AK65,Norm_Stats!$F$24),Norm_Stats!$G$24)-Norm_Stats!$F$24)/(Norm_Stats!$G$24-Norm_Stats!$F$24)))))*0.2))/(IF((IF(OR(City_Inputs!$AG65="",Norm_Stats!$F$22="",Norm_Stats!$G$22="",Norm_Stats!$G$22=Norm_Stats!$F$22),"",MAX(0,MIN(100,100*(MIN(MAX(City_Inputs!$AG65,Norm_Stats!$F$22),Norm_Stats!$G$22)-Norm_Stats!$F$22)/(Norm_Stats!$G$22-Norm_Stats!$F$22)))))="",0,0.5)+IF((IF(OR(City_Inputs!$AJ65="",Norm_Stats!$F$23="",Norm_Stats!$G$23="",Norm_Stats!$G$23=Norm_Stats!$F$23),"",MAX(0,MIN(100,100*(MIN(MAX(City_Inputs!$AJ65,Norm_Stats!$F$23),Norm_Stats!$G$23)-Norm_Stats!$F$23)/(Norm_Stats!$G$23-Norm_Stats!$F$23)))))="",0,0.3)+IF((IF(OR(City_Inputs!$AK65="",Norm_Stats!$F$24="",Norm_Stats!$G$24="",Norm_Stats!$G$24=Norm_Stats!$F$24),"",MAX(0,MIN(100,100*(MIN(MAX(City_Inputs!$AK65,Norm_Stats!$F$24),Norm_Stats!$G$24)-Norm_Stats!$F$24)/(Norm_Stats!$G$24-Norm_Stats!$F$24)))))="",0,0.2)))</f>
        <v/>
      </c>
      <c r="BD65" s="14">
        <f>IF((IF((IF(OR(City_Inputs!$AG65="",Norm_Stats!$F$22="",Norm_Stats!$G$22="",Norm_Stats!$G$22=Norm_Stats!$F$22),"",MAX(0,MIN(100,100*(MIN(MAX(City_Inputs!$AG65,Norm_Stats!$F$22),Norm_Stats!$G$22)-Norm_Stats!$F$22)/(Norm_Stats!$G$22-Norm_Stats!$F$22)))))="",0,0.5)+IF((IF(OR(City_Inputs!$AJ65="",Norm_Stats!$F$23="",Norm_Stats!$G$23="",Norm_Stats!$G$23=Norm_Stats!$F$23),"",MAX(0,MIN(100,100*(MIN(MAX(City_Inputs!$AJ65,Norm_Stats!$F$23),Norm_Stats!$G$23)-Norm_Stats!$F$23)/(Norm_Stats!$G$23-Norm_Stats!$F$23)))))="",0,0.3)+IF((IF(OR(City_Inputs!$AK65="",Norm_Stats!$F$24="",Norm_Stats!$G$24="",Norm_Stats!$G$24=Norm_Stats!$F$24),"",MAX(0,MIN(100,100*(MIN(MAX(City_Inputs!$AK65,Norm_Stats!$F$24),Norm_Stats!$G$24)-Norm_Stats!$F$24)/(Norm_Stats!$G$24-Norm_Stats!$F$24)))))="",0,0.2))=0,"",(IF((IF(OR(City_Inputs!$AG65="",Norm_Stats!$F$22="",Norm_Stats!$G$22="",Norm_Stats!$G$22=Norm_Stats!$F$22),"",MAX(0,MIN(100,100*(MIN(MAX(City_Inputs!$AG65,Norm_Stats!$F$22),Norm_Stats!$G$22)-Norm_Stats!$F$22)/(Norm_Stats!$G$22-Norm_Stats!$F$22)))))="",0,0.5)+IF((IF(OR(City_Inputs!$AJ65="",Norm_Stats!$F$23="",Norm_Stats!$G$23="",Norm_Stats!$G$23=Norm_Stats!$F$23),"",MAX(0,MIN(100,100*(MIN(MAX(City_Inputs!$AJ65,Norm_Stats!$F$23),Norm_Stats!$G$23)-Norm_Stats!$F$23)/(Norm_Stats!$G$23-Norm_Stats!$F$23)))))="",0,0.3)+IF((IF(OR(City_Inputs!$AK65="",Norm_Stats!$F$24="",Norm_Stats!$G$24="",Norm_Stats!$G$24=Norm_Stats!$F$24),"",MAX(0,MIN(100,100*(MIN(MAX(City_Inputs!$AK65,Norm_Stats!$F$24),Norm_Stats!$G$24)-Norm_Stats!$F$24)/(Norm_Stats!$G$24-Norm_Stats!$F$24)))))="",0,0.2)))</f>
        <v/>
      </c>
      <c r="BE65" s="11">
        <f>IF(OR(City_Inputs!$AH65="",Norm_Stats!$F$25="",Norm_Stats!$G$25="",Norm_Stats!$G$25=Norm_Stats!$F$25),"",MAX(0,MIN(100,100*(Norm_Stats!$G$25-MIN(MAX(City_Inputs!$AH65,Norm_Stats!$F$25),Norm_Stats!$G$25))/(Norm_Stats!$G$25-Norm_Stats!$F$25))))</f>
        <v/>
      </c>
      <c r="BF65" s="14">
        <f>IF(BE65="","",1)</f>
        <v/>
      </c>
      <c r="BG65" s="15">
        <f>IF((IF(AY65="",0,6)+IF(BA65="",0,5)+IF(BC65="",0,5)+IF(BE65="",0,4))=0,"",(IF(AY65="",0,AY65*6)+IF(BA65="",0,BA65*5)+IF(BC65="",0,BC65*5)+IF(BE65="",0,BE65*4))/(IF(AY65="",0,6)+IF(BA65="",0,5)+IF(BC65="",0,5)+IF(BE65="",0,4)))</f>
        <v/>
      </c>
      <c r="BH65" s="14">
        <f>IF((IF(AZ65="",0,6)+IF(BB65="",0,5)+IF(BD65="",0,5)+IF(BF65="",0,4))=0,"",(IF(AZ65="",0,AZ65*6)+IF(BB65="",0,BB65*5)+IF(BD65="",0,BD65*5)+IF(BF65="",0,BF65*4))/20)</f>
        <v/>
      </c>
      <c r="BI65" s="14">
        <f>IF(AND(R65="",AF65="",AN65="",AX65="",BH65=""),"",((R65*25)+(AF65*22)+(AN65*18)+(AX65*15)+(BH65*20))/100)</f>
        <v/>
      </c>
      <c r="BJ65" s="11">
        <f>IF(BI65="","",IF(BI65&gt;=0.75,"A",IF(BI65&gt;=0.5,"B",IF(BI65&gt;=0.35,"C","Watchlist"))))</f>
        <v/>
      </c>
      <c r="BK65" s="11">
        <f>IF(OR(BI65="",BI65&lt;0.5,R65="",R65&lt;0.35,AF65="",AF65&lt;0.35,AN65="",AN65&lt;0.35,AX65="",AX65&lt;0.35,BH65="",BH65&lt;0.35),"Watchlist","Ranked")</f>
        <v/>
      </c>
      <c r="BL65" s="15">
        <f>IF(AND(Q65="",AE65="",AM65="",AW65="",BG65=""),"",(IF(Q65="",0,Q65*25)+IF(AE65="",0,AE65*22)+IF(AM65="",0,AM65*18)+IF(AW65="",0,AW65*15)+IF(BG65="",0,BG65*20))/(IF(Q65="",0,25)+IF(AE65="",0,22)+IF(AM65="",0,18)+IF(AW65="",0,15)+IF(BG65="",0,20)))</f>
        <v/>
      </c>
      <c r="BM65" s="11">
        <f>IF(BK65="Ranked",1+COUNTIFS($BK$2:$BK$158,"Ranked",$BL$2:$BL$158,"&gt;"&amp;BL65),"")</f>
        <v/>
      </c>
      <c r="BN65" s="11">
        <f>City_Inputs!$AI65</f>
        <v/>
      </c>
    </row>
    <row r="66">
      <c r="A66" t="inlineStr">
        <is>
          <t>us-pittsburgh</t>
        </is>
      </c>
      <c r="B66" t="inlineStr">
        <is>
          <t>Pittsburgh</t>
        </is>
      </c>
      <c r="C66" t="inlineStr">
        <is>
          <t>United States</t>
        </is>
      </c>
      <c r="D66" t="inlineStr">
        <is>
          <t>North America</t>
        </is>
      </c>
      <c r="E66" t="inlineStr">
        <is>
          <t>locked</t>
        </is>
      </c>
      <c r="F66" t="inlineStr">
        <is>
          <t>secondary</t>
        </is>
      </c>
      <c r="G66" s="11">
        <f>IF(OR(City_Inputs!$M66="",Norm_Stats!$F$2="",Norm_Stats!$G$2="",Norm_Stats!$G$2=Norm_Stats!$F$2),"",MAX(0,MIN(100,100*(MIN(MAX(City_Inputs!$M66,Norm_Stats!$F$2),Norm_Stats!$G$2)-Norm_Stats!$F$2)/(Norm_Stats!$G$2-Norm_Stats!$F$2))))</f>
        <v/>
      </c>
      <c r="H66" s="14">
        <f>IF(G66="","",1)</f>
        <v/>
      </c>
      <c r="I66" s="11">
        <f>IF(OR(City_Inputs!$N66="",Norm_Stats!$F$3="",Norm_Stats!$G$3="",Norm_Stats!$G$3=Norm_Stats!$F$3),"",MAX(0,MIN(100,100*(Norm_Stats!$G$3-MIN(MAX(City_Inputs!$N66,Norm_Stats!$F$3),Norm_Stats!$G$3))/(Norm_Stats!$G$3-Norm_Stats!$F$3))))</f>
        <v/>
      </c>
      <c r="J66" s="14">
        <f>IF(I66="","",1)</f>
        <v/>
      </c>
      <c r="K66" s="11">
        <f>IF(OR(City_Inputs!$P66="",Norm_Stats!$F$4="",Norm_Stats!$G$4="",Norm_Stats!$G$4=Norm_Stats!$F$4),"",MAX(0,MIN(100,100*(Norm_Stats!$G$4-MIN(MAX(City_Inputs!$P66,Norm_Stats!$F$4),Norm_Stats!$G$4))/(Norm_Stats!$G$4-Norm_Stats!$F$4))))</f>
        <v/>
      </c>
      <c r="L66" s="14">
        <f>IF(K66="","",1)</f>
        <v/>
      </c>
      <c r="M66" s="11">
        <f>IF(OR(City_Inputs!$Q66="",Norm_Stats!$F$5="",Norm_Stats!$G$5="",Norm_Stats!$G$5=Norm_Stats!$F$5),"",MAX(0,MIN(100,100*(Norm_Stats!$G$5-MIN(MAX(City_Inputs!$Q66,Norm_Stats!$F$5),Norm_Stats!$G$5))/(Norm_Stats!$G$5-Norm_Stats!$F$5))))</f>
        <v/>
      </c>
      <c r="N66" s="14">
        <f>IF(M66="","",1)</f>
        <v/>
      </c>
      <c r="O66" s="11">
        <f>IF(OR(City_Inputs!$R66="",Norm_Stats!$F$6="",Norm_Stats!$G$6="",Norm_Stats!$G$6=Norm_Stats!$F$6),"",MAX(0,MIN(100,100*(Norm_Stats!$G$6-MIN(MAX(City_Inputs!$R66,Norm_Stats!$F$6),Norm_Stats!$G$6))/(Norm_Stats!$G$6-Norm_Stats!$F$6))))</f>
        <v/>
      </c>
      <c r="P66" s="14">
        <f>IF(O66="","",1)</f>
        <v/>
      </c>
      <c r="Q66" s="15">
        <f>IF((IF(G66="",0,9)+IF(I66="",0,5)+IF(K66="",0,4)+IF(M66="",0,4)+IF(O66="",0,5))=0,"",(IF(G66="",0,G66*9)+IF(I66="",0,I66*5)+IF(K66="",0,K66*4)+IF(M66="",0,M66*4)+IF(O66="",0,O66*5))/(IF(G66="",0,9)+IF(I66="",0,5)+IF(K66="",0,4)+IF(M66="",0,4)+IF(O66="",0,5)))</f>
        <v/>
      </c>
      <c r="R66" s="14">
        <f>IF((IF(H66="",0,9)+IF(J66="",0,5)+IF(L66="",0,4)+IF(N66="",0,4)+IF(P66="",0,5))=0,"",(IF(H66="",0,H66*9)+IF(J66="",0,J66*5)+IF(L66="",0,L66*4)+IF(N66="",0,N66*4)+IF(P66="",0,P66*5))/27)</f>
        <v/>
      </c>
      <c r="S66" s="11">
        <f>IF(OR(City_Inputs!$S66="",Norm_Stats!$F$7="",Norm_Stats!$G$7="",Norm_Stats!$G$7=Norm_Stats!$F$7),"",MAX(0,MIN(100,100*(Norm_Stats!$G$7-MIN(MAX(City_Inputs!$S66,Norm_Stats!$F$7),Norm_Stats!$G$7))/(Norm_Stats!$G$7-Norm_Stats!$F$7))))</f>
        <v/>
      </c>
      <c r="T66" s="14">
        <f>IF(S66="","",1)</f>
        <v/>
      </c>
      <c r="U66" s="11">
        <f>IF(OR(City_Inputs!$T66="",Norm_Stats!$F$8="",Norm_Stats!$G$8="",Norm_Stats!$G$8=Norm_Stats!$F$8),"",MAX(0,MIN(100,100*(MIN(MAX(City_Inputs!$T66,Norm_Stats!$F$8),Norm_Stats!$G$8)-Norm_Stats!$F$8)/(Norm_Stats!$G$8-Norm_Stats!$F$8))))</f>
        <v/>
      </c>
      <c r="V66" s="14">
        <f>IF(U66="","",1)</f>
        <v/>
      </c>
      <c r="W66" s="11">
        <f>IF(OR(City_Inputs!$U66="",Norm_Stats!$F$9="",Norm_Stats!$G$9="",Norm_Stats!$G$9=Norm_Stats!$F$9),"",MAX(0,MIN(100,100*(Norm_Stats!$G$9-MIN(MAX(City_Inputs!$U66,Norm_Stats!$F$9),Norm_Stats!$G$9))/(Norm_Stats!$G$9-Norm_Stats!$F$9))))</f>
        <v/>
      </c>
      <c r="X66" s="14">
        <f>IF(W66="","",1)</f>
        <v/>
      </c>
      <c r="Y66" s="11">
        <f>IF(OR(City_Inputs!$V66="",Norm_Stats!$F$10="",Norm_Stats!$G$10="",Norm_Stats!$G$10=Norm_Stats!$F$10),"",MAX(0,MIN(100,100*(MIN(MAX(City_Inputs!$V66,Norm_Stats!$F$10),Norm_Stats!$G$10)-Norm_Stats!$F$10)/(Norm_Stats!$G$10-Norm_Stats!$F$10))))</f>
        <v/>
      </c>
      <c r="Z66" s="14">
        <f>IF(Y66="","",1)</f>
        <v/>
      </c>
      <c r="AA66" s="11">
        <f>IF(OR(City_Inputs!$W66="",Norm_Stats!$F$11="",Norm_Stats!$G$11="",Norm_Stats!$G$11=Norm_Stats!$F$11),"",MAX(0,MIN(100,100*(MIN(MAX(City_Inputs!$W66,Norm_Stats!$F$11),Norm_Stats!$G$11)-Norm_Stats!$F$11)/(Norm_Stats!$G$11-Norm_Stats!$F$11))))</f>
        <v/>
      </c>
      <c r="AB66" s="14">
        <f>IF(AA66="","",1)</f>
        <v/>
      </c>
      <c r="AC66" s="11">
        <f>IF(OR(City_Inputs!$X66="",Norm_Stats!$F$12="",Norm_Stats!$G$12="",Norm_Stats!$G$12=Norm_Stats!$F$12),"",MAX(0,MIN(100,100*(MIN(MAX(City_Inputs!$X66,Norm_Stats!$F$12),Norm_Stats!$G$12)-Norm_Stats!$F$12)/(Norm_Stats!$G$12-Norm_Stats!$F$12))))</f>
        <v/>
      </c>
      <c r="AD66" s="11">
        <f>IF(AC66="","",1)</f>
        <v/>
      </c>
      <c r="AE66" s="15">
        <f>IF((IF(S66="",0,5)+IF(U66="",0,5)+IF(W66="",0,4)+IF(Y66="",0,4)+IF(AA66="",0,4)+IF(AC66="",0,5))=0,"",(IF(S66="",0,S66*5)+IF(U66="",0,U66*5)+IF(W66="",0,W66*4)+IF(Y66="",0,Y66*4)+IF(AA66="",0,AA66*4)+IF(AC66="",0,AC66*5))/(IF(S66="",0,5)+IF(U66="",0,5)+IF(W66="",0,4)+IF(Y66="",0,4)+IF(AA66="",0,4)+IF(AC66="",0,5)))</f>
        <v/>
      </c>
      <c r="AF66" s="14">
        <f>IF((IF(T66="",0,5)+IF(V66="",0,5)+IF(X66="",0,4)+IF(Z66="",0,4)+IF(AB66="",0,4)+IF(AD66="",0,5))=0,"",(IF(T66="",0,T66*5)+IF(V66="",0,V66*5)+IF(X66="",0,X66*4)+IF(Z66="",0,Z66*4)+IF(AB66="",0,AB66*4)+IF(AD66="",0,AD66*5))/27)</f>
        <v/>
      </c>
      <c r="AG66" s="11">
        <f>IF(OR(City_Inputs!$Y66="",Norm_Stats!$F$13="",Norm_Stats!$G$13="",Norm_Stats!$G$13=Norm_Stats!$F$13),"",MAX(0,MIN(100,100*(MIN(MAX(City_Inputs!$Y66,Norm_Stats!$F$13),Norm_Stats!$G$13)-Norm_Stats!$F$13)/(Norm_Stats!$G$13-Norm_Stats!$F$13))))</f>
        <v/>
      </c>
      <c r="AH66" s="14">
        <f>IF(AG66="","",1)</f>
        <v/>
      </c>
      <c r="AI66" s="11">
        <f>IF(OR(City_Inputs!$Z66="",Norm_Stats!$F$14="",Norm_Stats!$G$14="",Norm_Stats!$G$14=Norm_Stats!$F$14),"",MAX(0,MIN(100,100*(MIN(MAX(City_Inputs!$Z66,Norm_Stats!$F$14),Norm_Stats!$G$14)-Norm_Stats!$F$14)/(Norm_Stats!$G$14-Norm_Stats!$F$14))))</f>
        <v/>
      </c>
      <c r="AJ66" s="14">
        <f>IF(AI66="","",1)</f>
        <v/>
      </c>
      <c r="AK66" s="11">
        <f>IF((IF((IF(OR(City_Inputs!$AA66="",Norm_Stats!$F$15="",Norm_Stats!$G$15="",Norm_Stats!$G$15=Norm_Stats!$F$15),"",MAX(0,MIN(100,100*(MIN(MAX(City_Inputs!$AA66,Norm_Stats!$F$15),Norm_Stats!$G$15)-Norm_Stats!$F$15)/(Norm_Stats!$G$15-Norm_Stats!$F$15)))))="",0,0.7)+IF((IF(OR(City_Inputs!$AL66="",Norm_Stats!$F$16="",Norm_Stats!$G$16="",Norm_Stats!$G$16=Norm_Stats!$F$16),"",MAX(0,MIN(100,100*(Norm_Stats!$G$16-MIN(MAX(City_Inputs!$AL66,Norm_Stats!$F$16),Norm_Stats!$G$16))/(Norm_Stats!$G$16-Norm_Stats!$F$16)))))="",0,0.3))=0,"",(IF((IF(OR(City_Inputs!$AA66="",Norm_Stats!$F$15="",Norm_Stats!$G$15="",Norm_Stats!$G$15=Norm_Stats!$F$15),"",MAX(0,MIN(100,100*(MIN(MAX(City_Inputs!$AA66,Norm_Stats!$F$15),Norm_Stats!$G$15)-Norm_Stats!$F$15)/(Norm_Stats!$G$15-Norm_Stats!$F$15)))))="",0,(IF(OR(City_Inputs!$AA66="",Norm_Stats!$F$15="",Norm_Stats!$G$15="",Norm_Stats!$G$15=Norm_Stats!$F$15),"",MAX(0,MIN(100,100*(MIN(MAX(City_Inputs!$AA66,Norm_Stats!$F$15),Norm_Stats!$G$15)-Norm_Stats!$F$15)/(Norm_Stats!$G$15-Norm_Stats!$F$15)))))*0.7)+IF((IF(OR(City_Inputs!$AL66="",Norm_Stats!$F$16="",Norm_Stats!$G$16="",Norm_Stats!$G$16=Norm_Stats!$F$16),"",MAX(0,MIN(100,100*(Norm_Stats!$G$16-MIN(MAX(City_Inputs!$AL66,Norm_Stats!$F$16),Norm_Stats!$G$16))/(Norm_Stats!$G$16-Norm_Stats!$F$16)))))="",0,(IF(OR(City_Inputs!$AL66="",Norm_Stats!$F$16="",Norm_Stats!$G$16="",Norm_Stats!$G$16=Norm_Stats!$F$16),"",MAX(0,MIN(100,100*(Norm_Stats!$G$16-MIN(MAX(City_Inputs!$AL66,Norm_Stats!$F$16),Norm_Stats!$G$16))/(Norm_Stats!$G$16-Norm_Stats!$F$16)))))*0.3))/(IF((IF(OR(City_Inputs!$AA66="",Norm_Stats!$F$15="",Norm_Stats!$G$15="",Norm_Stats!$G$15=Norm_Stats!$F$15),"",MAX(0,MIN(100,100*(MIN(MAX(City_Inputs!$AA66,Norm_Stats!$F$15),Norm_Stats!$G$15)-Norm_Stats!$F$15)/(Norm_Stats!$G$15-Norm_Stats!$F$15)))))="",0,0.7)+IF((IF(OR(City_Inputs!$AL66="",Norm_Stats!$F$16="",Norm_Stats!$G$16="",Norm_Stats!$G$16=Norm_Stats!$F$16),"",MAX(0,MIN(100,100*(Norm_Stats!$G$16-MIN(MAX(City_Inputs!$AL66,Norm_Stats!$F$16),Norm_Stats!$G$16))/(Norm_Stats!$G$16-Norm_Stats!$F$16)))))="",0,0.3)))</f>
        <v/>
      </c>
      <c r="AL66" s="14">
        <f>IF((IF((IF(OR(City_Inputs!$AA66="",Norm_Stats!$F$15="",Norm_Stats!$G$15="",Norm_Stats!$G$15=Norm_Stats!$F$15),"",MAX(0,MIN(100,100*(MIN(MAX(City_Inputs!$AA66,Norm_Stats!$F$15),Norm_Stats!$G$15)-Norm_Stats!$F$15)/(Norm_Stats!$G$15-Norm_Stats!$F$15)))))="",0,0.7)+IF((IF(OR(City_Inputs!$AL66="",Norm_Stats!$F$16="",Norm_Stats!$G$16="",Norm_Stats!$G$16=Norm_Stats!$F$16),"",MAX(0,MIN(100,100*(Norm_Stats!$G$16-MIN(MAX(City_Inputs!$AL66,Norm_Stats!$F$16),Norm_Stats!$G$16))/(Norm_Stats!$G$16-Norm_Stats!$F$16)))))="",0,0.3))=0,"",(IF((IF(OR(City_Inputs!$AA66="",Norm_Stats!$F$15="",Norm_Stats!$G$15="",Norm_Stats!$G$15=Norm_Stats!$F$15),"",MAX(0,MIN(100,100*(MIN(MAX(City_Inputs!$AA66,Norm_Stats!$F$15),Norm_Stats!$G$15)-Norm_Stats!$F$15)/(Norm_Stats!$G$15-Norm_Stats!$F$15)))))="",0,0.7)+IF((IF(OR(City_Inputs!$AL66="",Norm_Stats!$F$16="",Norm_Stats!$G$16="",Norm_Stats!$G$16=Norm_Stats!$F$16),"",MAX(0,MIN(100,100*(Norm_Stats!$G$16-MIN(MAX(City_Inputs!$AL66,Norm_Stats!$F$16),Norm_Stats!$G$16))/(Norm_Stats!$G$16-Norm_Stats!$F$16)))))="",0,0.3)))</f>
        <v/>
      </c>
      <c r="AM66" s="15">
        <f>IF((IF(AG66="",0,8)+IF(AI66="",0,6)+IF(AK66="",0,4))=0,"",(IF(AG66="",0,AG66*8)+IF(AI66="",0,AI66*6)+IF(AK66="",0,AK66*4))/(IF(AG66="",0,8)+IF(AI66="",0,6)+IF(AK66="",0,4)))</f>
        <v/>
      </c>
      <c r="AN66" s="14">
        <f>IF((IF(AH66="",0,8)+IF(AJ66="",0,6)+IF(AL66="",0,4))=0,"",(IF(AH66="",0,AH66*8)+IF(AJ66="",0,AJ66*6)+IF(AL66="",0,AL66*4))/18)</f>
        <v/>
      </c>
      <c r="AO66" s="11">
        <f>IF(OR(City_Inputs!$AB66="",Norm_Stats!$F$17="",Norm_Stats!$G$17="",Norm_Stats!$G$17=Norm_Stats!$F$17),"",MAX(0,MIN(100,100*(MIN(MAX(City_Inputs!$AB66,Norm_Stats!$F$17),Norm_Stats!$G$17)-Norm_Stats!$F$17)/(Norm_Stats!$G$17-Norm_Stats!$F$17))))</f>
        <v/>
      </c>
      <c r="AP66" s="14">
        <f>IF(AO66="","",1)</f>
        <v/>
      </c>
      <c r="AQ66" s="11">
        <f>IF(OR(City_Inputs!$AC66="",Norm_Stats!$F$18="",Norm_Stats!$G$18="",Norm_Stats!$G$18=Norm_Stats!$F$18),"",MAX(0,MIN(100,100*(MIN(MAX(City_Inputs!$AC66,Norm_Stats!$F$18),Norm_Stats!$G$18)-Norm_Stats!$F$18)/(Norm_Stats!$G$18-Norm_Stats!$F$18))))</f>
        <v/>
      </c>
      <c r="AR66" s="14">
        <f>IF(AQ66="","",1)</f>
        <v/>
      </c>
      <c r="AS66" s="11">
        <f>IF(OR(City_Inputs!$AD66="",Norm_Stats!$F$19="",Norm_Stats!$G$19="",Norm_Stats!$G$19=Norm_Stats!$F$19),"",MAX(0,MIN(100,100*(MIN(MAX(City_Inputs!$AD66,Norm_Stats!$F$19),Norm_Stats!$G$19)-Norm_Stats!$F$19)/(Norm_Stats!$G$19-Norm_Stats!$F$19))))</f>
        <v/>
      </c>
      <c r="AT66" s="14">
        <f>IF(AS66="","",1)</f>
        <v/>
      </c>
      <c r="AU66" s="11">
        <f>IF(OR(City_Inputs!$BJ66="",Norm_Stats!$F$26="",Norm_Stats!$G$26="",Norm_Stats!$G$26=Norm_Stats!$F$26),"",MAX(0,MIN(100,100*(MIN(MAX(City_Inputs!$BJ66,Norm_Stats!$F$26),Norm_Stats!$G$26)-Norm_Stats!$F$26)/(Norm_Stats!$G$26-Norm_Stats!$F$26))))</f>
        <v/>
      </c>
      <c r="AV66" s="11">
        <f>IF(AU66="","",1)</f>
        <v/>
      </c>
      <c r="AW66" s="15">
        <f>IF((IF(AO66="",0,5)+IF(AQ66="",0,5)+IF(AS66="",0,5)+IF(AU66="",0,4))=0,"",(IF(AO66="",0,AO66*5)+IF(AQ66="",0,AQ66*5)+IF(AS66="",0,AS66*5)+IF(AU66="",0,AU66*4))/(IF(AO66="",0,5)+IF(AQ66="",0,5)+IF(AS66="",0,5)+IF(AU66="",0,4)))</f>
        <v/>
      </c>
      <c r="AX66" s="14">
        <f>IF((IF(AP66="",0,5)+IF(AR66="",0,5)+IF(AT66="",0,5)+IF(AV66="",0,4))=0,"",(IF(AP66="",0,AP66*5)+IF(AR66="",0,AR66*5)+IF(AT66="",0,AT66*5)+IF(AV66="",0,AV66*4))/19)</f>
        <v/>
      </c>
      <c r="AY66" s="11">
        <f>IF(OR(City_Inputs!$AE66="",Norm_Stats!$F$20="",Norm_Stats!$G$20="",Norm_Stats!$G$20=Norm_Stats!$F$20),"",MAX(0,MIN(100,100*(MIN(MAX(City_Inputs!$AE66,Norm_Stats!$F$20),Norm_Stats!$G$20)-Norm_Stats!$F$20)/(Norm_Stats!$G$20-Norm_Stats!$F$20))))</f>
        <v/>
      </c>
      <c r="AZ66" s="14">
        <f>IF(AY66="","",1)</f>
        <v/>
      </c>
      <c r="BA66" s="11">
        <f>IF(OR(City_Inputs!$AF66="",Norm_Stats!$F$21="",Norm_Stats!$G$21="",Norm_Stats!$G$21=Norm_Stats!$F$21),"",MAX(0,MIN(100,100*(MIN(MAX(City_Inputs!$AF66,Norm_Stats!$F$21),Norm_Stats!$G$21)-Norm_Stats!$F$21)/(Norm_Stats!$G$21-Norm_Stats!$F$21))))</f>
        <v/>
      </c>
      <c r="BB66" s="14">
        <f>IF(BA66="","",1)</f>
        <v/>
      </c>
      <c r="BC66" s="11">
        <f>IF((IF((IF(OR(City_Inputs!$AG66="",Norm_Stats!$F$22="",Norm_Stats!$G$22="",Norm_Stats!$G$22=Norm_Stats!$F$22),"",MAX(0,MIN(100,100*(MIN(MAX(City_Inputs!$AG66,Norm_Stats!$F$22),Norm_Stats!$G$22)-Norm_Stats!$F$22)/(Norm_Stats!$G$22-Norm_Stats!$F$22)))))="",0,0.5)+IF((IF(OR(City_Inputs!$AJ66="",Norm_Stats!$F$23="",Norm_Stats!$G$23="",Norm_Stats!$G$23=Norm_Stats!$F$23),"",MAX(0,MIN(100,100*(MIN(MAX(City_Inputs!$AJ66,Norm_Stats!$F$23),Norm_Stats!$G$23)-Norm_Stats!$F$23)/(Norm_Stats!$G$23-Norm_Stats!$F$23)))))="",0,0.3)+IF((IF(OR(City_Inputs!$AK66="",Norm_Stats!$F$24="",Norm_Stats!$G$24="",Norm_Stats!$G$24=Norm_Stats!$F$24),"",MAX(0,MIN(100,100*(MIN(MAX(City_Inputs!$AK66,Norm_Stats!$F$24),Norm_Stats!$G$24)-Norm_Stats!$F$24)/(Norm_Stats!$G$24-Norm_Stats!$F$24)))))="",0,0.2))=0,"",(IF((IF(OR(City_Inputs!$AG66="",Norm_Stats!$F$22="",Norm_Stats!$G$22="",Norm_Stats!$G$22=Norm_Stats!$F$22),"",MAX(0,MIN(100,100*(MIN(MAX(City_Inputs!$AG66,Norm_Stats!$F$22),Norm_Stats!$G$22)-Norm_Stats!$F$22)/(Norm_Stats!$G$22-Norm_Stats!$F$22)))))="",0,(IF(OR(City_Inputs!$AG66="",Norm_Stats!$F$22="",Norm_Stats!$G$22="",Norm_Stats!$G$22=Norm_Stats!$F$22),"",MAX(0,MIN(100,100*(MIN(MAX(City_Inputs!$AG66,Norm_Stats!$F$22),Norm_Stats!$G$22)-Norm_Stats!$F$22)/(Norm_Stats!$G$22-Norm_Stats!$F$22)))))*0.5)+IF((IF(OR(City_Inputs!$AJ66="",Norm_Stats!$F$23="",Norm_Stats!$G$23="",Norm_Stats!$G$23=Norm_Stats!$F$23),"",MAX(0,MIN(100,100*(MIN(MAX(City_Inputs!$AJ66,Norm_Stats!$F$23),Norm_Stats!$G$23)-Norm_Stats!$F$23)/(Norm_Stats!$G$23-Norm_Stats!$F$23)))))="",0,(IF(OR(City_Inputs!$AJ66="",Norm_Stats!$F$23="",Norm_Stats!$G$23="",Norm_Stats!$G$23=Norm_Stats!$F$23),"",MAX(0,MIN(100,100*(MIN(MAX(City_Inputs!$AJ66,Norm_Stats!$F$23),Norm_Stats!$G$23)-Norm_Stats!$F$23)/(Norm_Stats!$G$23-Norm_Stats!$F$23)))))*0.3)+IF((IF(OR(City_Inputs!$AK66="",Norm_Stats!$F$24="",Norm_Stats!$G$24="",Norm_Stats!$G$24=Norm_Stats!$F$24),"",MAX(0,MIN(100,100*(MIN(MAX(City_Inputs!$AK66,Norm_Stats!$F$24),Norm_Stats!$G$24)-Norm_Stats!$F$24)/(Norm_Stats!$G$24-Norm_Stats!$F$24)))))="",0,(IF(OR(City_Inputs!$AK66="",Norm_Stats!$F$24="",Norm_Stats!$G$24="",Norm_Stats!$G$24=Norm_Stats!$F$24),"",MAX(0,MIN(100,100*(MIN(MAX(City_Inputs!$AK66,Norm_Stats!$F$24),Norm_Stats!$G$24)-Norm_Stats!$F$24)/(Norm_Stats!$G$24-Norm_Stats!$F$24)))))*0.2))/(IF((IF(OR(City_Inputs!$AG66="",Norm_Stats!$F$22="",Norm_Stats!$G$22="",Norm_Stats!$G$22=Norm_Stats!$F$22),"",MAX(0,MIN(100,100*(MIN(MAX(City_Inputs!$AG66,Norm_Stats!$F$22),Norm_Stats!$G$22)-Norm_Stats!$F$22)/(Norm_Stats!$G$22-Norm_Stats!$F$22)))))="",0,0.5)+IF((IF(OR(City_Inputs!$AJ66="",Norm_Stats!$F$23="",Norm_Stats!$G$23="",Norm_Stats!$G$23=Norm_Stats!$F$23),"",MAX(0,MIN(100,100*(MIN(MAX(City_Inputs!$AJ66,Norm_Stats!$F$23),Norm_Stats!$G$23)-Norm_Stats!$F$23)/(Norm_Stats!$G$23-Norm_Stats!$F$23)))))="",0,0.3)+IF((IF(OR(City_Inputs!$AK66="",Norm_Stats!$F$24="",Norm_Stats!$G$24="",Norm_Stats!$G$24=Norm_Stats!$F$24),"",MAX(0,MIN(100,100*(MIN(MAX(City_Inputs!$AK66,Norm_Stats!$F$24),Norm_Stats!$G$24)-Norm_Stats!$F$24)/(Norm_Stats!$G$24-Norm_Stats!$F$24)))))="",0,0.2)))</f>
        <v/>
      </c>
      <c r="BD66" s="14">
        <f>IF((IF((IF(OR(City_Inputs!$AG66="",Norm_Stats!$F$22="",Norm_Stats!$G$22="",Norm_Stats!$G$22=Norm_Stats!$F$22),"",MAX(0,MIN(100,100*(MIN(MAX(City_Inputs!$AG66,Norm_Stats!$F$22),Norm_Stats!$G$22)-Norm_Stats!$F$22)/(Norm_Stats!$G$22-Norm_Stats!$F$22)))))="",0,0.5)+IF((IF(OR(City_Inputs!$AJ66="",Norm_Stats!$F$23="",Norm_Stats!$G$23="",Norm_Stats!$G$23=Norm_Stats!$F$23),"",MAX(0,MIN(100,100*(MIN(MAX(City_Inputs!$AJ66,Norm_Stats!$F$23),Norm_Stats!$G$23)-Norm_Stats!$F$23)/(Norm_Stats!$G$23-Norm_Stats!$F$23)))))="",0,0.3)+IF((IF(OR(City_Inputs!$AK66="",Norm_Stats!$F$24="",Norm_Stats!$G$24="",Norm_Stats!$G$24=Norm_Stats!$F$24),"",MAX(0,MIN(100,100*(MIN(MAX(City_Inputs!$AK66,Norm_Stats!$F$24),Norm_Stats!$G$24)-Norm_Stats!$F$24)/(Norm_Stats!$G$24-Norm_Stats!$F$24)))))="",0,0.2))=0,"",(IF((IF(OR(City_Inputs!$AG66="",Norm_Stats!$F$22="",Norm_Stats!$G$22="",Norm_Stats!$G$22=Norm_Stats!$F$22),"",MAX(0,MIN(100,100*(MIN(MAX(City_Inputs!$AG66,Norm_Stats!$F$22),Norm_Stats!$G$22)-Norm_Stats!$F$22)/(Norm_Stats!$G$22-Norm_Stats!$F$22)))))="",0,0.5)+IF((IF(OR(City_Inputs!$AJ66="",Norm_Stats!$F$23="",Norm_Stats!$G$23="",Norm_Stats!$G$23=Norm_Stats!$F$23),"",MAX(0,MIN(100,100*(MIN(MAX(City_Inputs!$AJ66,Norm_Stats!$F$23),Norm_Stats!$G$23)-Norm_Stats!$F$23)/(Norm_Stats!$G$23-Norm_Stats!$F$23)))))="",0,0.3)+IF((IF(OR(City_Inputs!$AK66="",Norm_Stats!$F$24="",Norm_Stats!$G$24="",Norm_Stats!$G$24=Norm_Stats!$F$24),"",MAX(0,MIN(100,100*(MIN(MAX(City_Inputs!$AK66,Norm_Stats!$F$24),Norm_Stats!$G$24)-Norm_Stats!$F$24)/(Norm_Stats!$G$24-Norm_Stats!$F$24)))))="",0,0.2)))</f>
        <v/>
      </c>
      <c r="BE66" s="11">
        <f>IF(OR(City_Inputs!$AH66="",Norm_Stats!$F$25="",Norm_Stats!$G$25="",Norm_Stats!$G$25=Norm_Stats!$F$25),"",MAX(0,MIN(100,100*(Norm_Stats!$G$25-MIN(MAX(City_Inputs!$AH66,Norm_Stats!$F$25),Norm_Stats!$G$25))/(Norm_Stats!$G$25-Norm_Stats!$F$25))))</f>
        <v/>
      </c>
      <c r="BF66" s="14">
        <f>IF(BE66="","",1)</f>
        <v/>
      </c>
      <c r="BG66" s="15">
        <f>IF((IF(AY66="",0,6)+IF(BA66="",0,5)+IF(BC66="",0,5)+IF(BE66="",0,4))=0,"",(IF(AY66="",0,AY66*6)+IF(BA66="",0,BA66*5)+IF(BC66="",0,BC66*5)+IF(BE66="",0,BE66*4))/(IF(AY66="",0,6)+IF(BA66="",0,5)+IF(BC66="",0,5)+IF(BE66="",0,4)))</f>
        <v/>
      </c>
      <c r="BH66" s="14">
        <f>IF((IF(AZ66="",0,6)+IF(BB66="",0,5)+IF(BD66="",0,5)+IF(BF66="",0,4))=0,"",(IF(AZ66="",0,AZ66*6)+IF(BB66="",0,BB66*5)+IF(BD66="",0,BD66*5)+IF(BF66="",0,BF66*4))/20)</f>
        <v/>
      </c>
      <c r="BI66" s="14">
        <f>IF(AND(R66="",AF66="",AN66="",AX66="",BH66=""),"",((R66*25)+(AF66*22)+(AN66*18)+(AX66*15)+(BH66*20))/100)</f>
        <v/>
      </c>
      <c r="BJ66" s="11">
        <f>IF(BI66="","",IF(BI66&gt;=0.75,"A",IF(BI66&gt;=0.5,"B",IF(BI66&gt;=0.35,"C","Watchlist"))))</f>
        <v/>
      </c>
      <c r="BK66" s="11">
        <f>IF(OR(BI66="",BI66&lt;0.5,R66="",R66&lt;0.35,AF66="",AF66&lt;0.35,AN66="",AN66&lt;0.35,AX66="",AX66&lt;0.35,BH66="",BH66&lt;0.35),"Watchlist","Ranked")</f>
        <v/>
      </c>
      <c r="BL66" s="15">
        <f>IF(AND(Q66="",AE66="",AM66="",AW66="",BG66=""),"",(IF(Q66="",0,Q66*25)+IF(AE66="",0,AE66*22)+IF(AM66="",0,AM66*18)+IF(AW66="",0,AW66*15)+IF(BG66="",0,BG66*20))/(IF(Q66="",0,25)+IF(AE66="",0,22)+IF(AM66="",0,18)+IF(AW66="",0,15)+IF(BG66="",0,20)))</f>
        <v/>
      </c>
      <c r="BM66" s="11">
        <f>IF(BK66="Ranked",1+COUNTIFS($BK$2:$BK$158,"Ranked",$BL$2:$BL$158,"&gt;"&amp;BL66),"")</f>
        <v/>
      </c>
      <c r="BN66" s="11">
        <f>City_Inputs!$AI66</f>
        <v/>
      </c>
    </row>
    <row r="67">
      <c r="A67" t="inlineStr">
        <is>
          <t>ca-montreal</t>
        </is>
      </c>
      <c r="B67" t="inlineStr">
        <is>
          <t>Montreal</t>
        </is>
      </c>
      <c r="C67" t="inlineStr">
        <is>
          <t>Canada</t>
        </is>
      </c>
      <c r="D67" t="inlineStr">
        <is>
          <t>North America</t>
        </is>
      </c>
      <c r="E67" t="inlineStr">
        <is>
          <t>locked</t>
        </is>
      </c>
      <c r="F67" t="inlineStr">
        <is>
          <t>secondary</t>
        </is>
      </c>
      <c r="G67" s="11">
        <f>IF(OR(City_Inputs!$M67="",Norm_Stats!$F$2="",Norm_Stats!$G$2="",Norm_Stats!$G$2=Norm_Stats!$F$2),"",MAX(0,MIN(100,100*(MIN(MAX(City_Inputs!$M67,Norm_Stats!$F$2),Norm_Stats!$G$2)-Norm_Stats!$F$2)/(Norm_Stats!$G$2-Norm_Stats!$F$2))))</f>
        <v/>
      </c>
      <c r="H67" s="14">
        <f>IF(G67="","",1)</f>
        <v/>
      </c>
      <c r="I67" s="11">
        <f>IF(OR(City_Inputs!$N67="",Norm_Stats!$F$3="",Norm_Stats!$G$3="",Norm_Stats!$G$3=Norm_Stats!$F$3),"",MAX(0,MIN(100,100*(Norm_Stats!$G$3-MIN(MAX(City_Inputs!$N67,Norm_Stats!$F$3),Norm_Stats!$G$3))/(Norm_Stats!$G$3-Norm_Stats!$F$3))))</f>
        <v/>
      </c>
      <c r="J67" s="14">
        <f>IF(I67="","",1)</f>
        <v/>
      </c>
      <c r="K67" s="11">
        <f>IF(OR(City_Inputs!$P67="",Norm_Stats!$F$4="",Norm_Stats!$G$4="",Norm_Stats!$G$4=Norm_Stats!$F$4),"",MAX(0,MIN(100,100*(Norm_Stats!$G$4-MIN(MAX(City_Inputs!$P67,Norm_Stats!$F$4),Norm_Stats!$G$4))/(Norm_Stats!$G$4-Norm_Stats!$F$4))))</f>
        <v/>
      </c>
      <c r="L67" s="14">
        <f>IF(K67="","",1)</f>
        <v/>
      </c>
      <c r="M67" s="11">
        <f>IF(OR(City_Inputs!$Q67="",Norm_Stats!$F$5="",Norm_Stats!$G$5="",Norm_Stats!$G$5=Norm_Stats!$F$5),"",MAX(0,MIN(100,100*(Norm_Stats!$G$5-MIN(MAX(City_Inputs!$Q67,Norm_Stats!$F$5),Norm_Stats!$G$5))/(Norm_Stats!$G$5-Norm_Stats!$F$5))))</f>
        <v/>
      </c>
      <c r="N67" s="14">
        <f>IF(M67="","",1)</f>
        <v/>
      </c>
      <c r="O67" s="11">
        <f>IF(OR(City_Inputs!$R67="",Norm_Stats!$F$6="",Norm_Stats!$G$6="",Norm_Stats!$G$6=Norm_Stats!$F$6),"",MAX(0,MIN(100,100*(Norm_Stats!$G$6-MIN(MAX(City_Inputs!$R67,Norm_Stats!$F$6),Norm_Stats!$G$6))/(Norm_Stats!$G$6-Norm_Stats!$F$6))))</f>
        <v/>
      </c>
      <c r="P67" s="14">
        <f>IF(O67="","",1)</f>
        <v/>
      </c>
      <c r="Q67" s="15">
        <f>IF((IF(G67="",0,9)+IF(I67="",0,5)+IF(K67="",0,4)+IF(M67="",0,4)+IF(O67="",0,5))=0,"",(IF(G67="",0,G67*9)+IF(I67="",0,I67*5)+IF(K67="",0,K67*4)+IF(M67="",0,M67*4)+IF(O67="",0,O67*5))/(IF(G67="",0,9)+IF(I67="",0,5)+IF(K67="",0,4)+IF(M67="",0,4)+IF(O67="",0,5)))</f>
        <v/>
      </c>
      <c r="R67" s="14">
        <f>IF((IF(H67="",0,9)+IF(J67="",0,5)+IF(L67="",0,4)+IF(N67="",0,4)+IF(P67="",0,5))=0,"",(IF(H67="",0,H67*9)+IF(J67="",0,J67*5)+IF(L67="",0,L67*4)+IF(N67="",0,N67*4)+IF(P67="",0,P67*5))/27)</f>
        <v/>
      </c>
      <c r="S67" s="11">
        <f>IF(OR(City_Inputs!$S67="",Norm_Stats!$F$7="",Norm_Stats!$G$7="",Norm_Stats!$G$7=Norm_Stats!$F$7),"",MAX(0,MIN(100,100*(Norm_Stats!$G$7-MIN(MAX(City_Inputs!$S67,Norm_Stats!$F$7),Norm_Stats!$G$7))/(Norm_Stats!$G$7-Norm_Stats!$F$7))))</f>
        <v/>
      </c>
      <c r="T67" s="14">
        <f>IF(S67="","",1)</f>
        <v/>
      </c>
      <c r="U67" s="11">
        <f>IF(OR(City_Inputs!$T67="",Norm_Stats!$F$8="",Norm_Stats!$G$8="",Norm_Stats!$G$8=Norm_Stats!$F$8),"",MAX(0,MIN(100,100*(MIN(MAX(City_Inputs!$T67,Norm_Stats!$F$8),Norm_Stats!$G$8)-Norm_Stats!$F$8)/(Norm_Stats!$G$8-Norm_Stats!$F$8))))</f>
        <v/>
      </c>
      <c r="V67" s="14">
        <f>IF(U67="","",1)</f>
        <v/>
      </c>
      <c r="W67" s="11">
        <f>IF(OR(City_Inputs!$U67="",Norm_Stats!$F$9="",Norm_Stats!$G$9="",Norm_Stats!$G$9=Norm_Stats!$F$9),"",MAX(0,MIN(100,100*(Norm_Stats!$G$9-MIN(MAX(City_Inputs!$U67,Norm_Stats!$F$9),Norm_Stats!$G$9))/(Norm_Stats!$G$9-Norm_Stats!$F$9))))</f>
        <v/>
      </c>
      <c r="X67" s="14">
        <f>IF(W67="","",1)</f>
        <v/>
      </c>
      <c r="Y67" s="11">
        <f>IF(OR(City_Inputs!$V67="",Norm_Stats!$F$10="",Norm_Stats!$G$10="",Norm_Stats!$G$10=Norm_Stats!$F$10),"",MAX(0,MIN(100,100*(MIN(MAX(City_Inputs!$V67,Norm_Stats!$F$10),Norm_Stats!$G$10)-Norm_Stats!$F$10)/(Norm_Stats!$G$10-Norm_Stats!$F$10))))</f>
        <v/>
      </c>
      <c r="Z67" s="14">
        <f>IF(Y67="","",1)</f>
        <v/>
      </c>
      <c r="AA67" s="11">
        <f>IF(OR(City_Inputs!$W67="",Norm_Stats!$F$11="",Norm_Stats!$G$11="",Norm_Stats!$G$11=Norm_Stats!$F$11),"",MAX(0,MIN(100,100*(MIN(MAX(City_Inputs!$W67,Norm_Stats!$F$11),Norm_Stats!$G$11)-Norm_Stats!$F$11)/(Norm_Stats!$G$11-Norm_Stats!$F$11))))</f>
        <v/>
      </c>
      <c r="AB67" s="14">
        <f>IF(AA67="","",1)</f>
        <v/>
      </c>
      <c r="AC67" s="11">
        <f>IF(OR(City_Inputs!$X67="",Norm_Stats!$F$12="",Norm_Stats!$G$12="",Norm_Stats!$G$12=Norm_Stats!$F$12),"",MAX(0,MIN(100,100*(MIN(MAX(City_Inputs!$X67,Norm_Stats!$F$12),Norm_Stats!$G$12)-Norm_Stats!$F$12)/(Norm_Stats!$G$12-Norm_Stats!$F$12))))</f>
        <v/>
      </c>
      <c r="AD67" s="11">
        <f>IF(AC67="","",1)</f>
        <v/>
      </c>
      <c r="AE67" s="15">
        <f>IF((IF(S67="",0,5)+IF(U67="",0,5)+IF(W67="",0,4)+IF(Y67="",0,4)+IF(AA67="",0,4)+IF(AC67="",0,5))=0,"",(IF(S67="",0,S67*5)+IF(U67="",0,U67*5)+IF(W67="",0,W67*4)+IF(Y67="",0,Y67*4)+IF(AA67="",0,AA67*4)+IF(AC67="",0,AC67*5))/(IF(S67="",0,5)+IF(U67="",0,5)+IF(W67="",0,4)+IF(Y67="",0,4)+IF(AA67="",0,4)+IF(AC67="",0,5)))</f>
        <v/>
      </c>
      <c r="AF67" s="14">
        <f>IF((IF(T67="",0,5)+IF(V67="",0,5)+IF(X67="",0,4)+IF(Z67="",0,4)+IF(AB67="",0,4)+IF(AD67="",0,5))=0,"",(IF(T67="",0,T67*5)+IF(V67="",0,V67*5)+IF(X67="",0,X67*4)+IF(Z67="",0,Z67*4)+IF(AB67="",0,AB67*4)+IF(AD67="",0,AD67*5))/27)</f>
        <v/>
      </c>
      <c r="AG67" s="11">
        <f>IF(OR(City_Inputs!$Y67="",Norm_Stats!$F$13="",Norm_Stats!$G$13="",Norm_Stats!$G$13=Norm_Stats!$F$13),"",MAX(0,MIN(100,100*(MIN(MAX(City_Inputs!$Y67,Norm_Stats!$F$13),Norm_Stats!$G$13)-Norm_Stats!$F$13)/(Norm_Stats!$G$13-Norm_Stats!$F$13))))</f>
        <v/>
      </c>
      <c r="AH67" s="14">
        <f>IF(AG67="","",1)</f>
        <v/>
      </c>
      <c r="AI67" s="11">
        <f>IF(OR(City_Inputs!$Z67="",Norm_Stats!$F$14="",Norm_Stats!$G$14="",Norm_Stats!$G$14=Norm_Stats!$F$14),"",MAX(0,MIN(100,100*(MIN(MAX(City_Inputs!$Z67,Norm_Stats!$F$14),Norm_Stats!$G$14)-Norm_Stats!$F$14)/(Norm_Stats!$G$14-Norm_Stats!$F$14))))</f>
        <v/>
      </c>
      <c r="AJ67" s="14">
        <f>IF(AI67="","",1)</f>
        <v/>
      </c>
      <c r="AK67" s="11">
        <f>IF((IF((IF(OR(City_Inputs!$AA67="",Norm_Stats!$F$15="",Norm_Stats!$G$15="",Norm_Stats!$G$15=Norm_Stats!$F$15),"",MAX(0,MIN(100,100*(MIN(MAX(City_Inputs!$AA67,Norm_Stats!$F$15),Norm_Stats!$G$15)-Norm_Stats!$F$15)/(Norm_Stats!$G$15-Norm_Stats!$F$15)))))="",0,0.7)+IF((IF(OR(City_Inputs!$AL67="",Norm_Stats!$F$16="",Norm_Stats!$G$16="",Norm_Stats!$G$16=Norm_Stats!$F$16),"",MAX(0,MIN(100,100*(Norm_Stats!$G$16-MIN(MAX(City_Inputs!$AL67,Norm_Stats!$F$16),Norm_Stats!$G$16))/(Norm_Stats!$G$16-Norm_Stats!$F$16)))))="",0,0.3))=0,"",(IF((IF(OR(City_Inputs!$AA67="",Norm_Stats!$F$15="",Norm_Stats!$G$15="",Norm_Stats!$G$15=Norm_Stats!$F$15),"",MAX(0,MIN(100,100*(MIN(MAX(City_Inputs!$AA67,Norm_Stats!$F$15),Norm_Stats!$G$15)-Norm_Stats!$F$15)/(Norm_Stats!$G$15-Norm_Stats!$F$15)))))="",0,(IF(OR(City_Inputs!$AA67="",Norm_Stats!$F$15="",Norm_Stats!$G$15="",Norm_Stats!$G$15=Norm_Stats!$F$15),"",MAX(0,MIN(100,100*(MIN(MAX(City_Inputs!$AA67,Norm_Stats!$F$15),Norm_Stats!$G$15)-Norm_Stats!$F$15)/(Norm_Stats!$G$15-Norm_Stats!$F$15)))))*0.7)+IF((IF(OR(City_Inputs!$AL67="",Norm_Stats!$F$16="",Norm_Stats!$G$16="",Norm_Stats!$G$16=Norm_Stats!$F$16),"",MAX(0,MIN(100,100*(Norm_Stats!$G$16-MIN(MAX(City_Inputs!$AL67,Norm_Stats!$F$16),Norm_Stats!$G$16))/(Norm_Stats!$G$16-Norm_Stats!$F$16)))))="",0,(IF(OR(City_Inputs!$AL67="",Norm_Stats!$F$16="",Norm_Stats!$G$16="",Norm_Stats!$G$16=Norm_Stats!$F$16),"",MAX(0,MIN(100,100*(Norm_Stats!$G$16-MIN(MAX(City_Inputs!$AL67,Norm_Stats!$F$16),Norm_Stats!$G$16))/(Norm_Stats!$G$16-Norm_Stats!$F$16)))))*0.3))/(IF((IF(OR(City_Inputs!$AA67="",Norm_Stats!$F$15="",Norm_Stats!$G$15="",Norm_Stats!$G$15=Norm_Stats!$F$15),"",MAX(0,MIN(100,100*(MIN(MAX(City_Inputs!$AA67,Norm_Stats!$F$15),Norm_Stats!$G$15)-Norm_Stats!$F$15)/(Norm_Stats!$G$15-Norm_Stats!$F$15)))))="",0,0.7)+IF((IF(OR(City_Inputs!$AL67="",Norm_Stats!$F$16="",Norm_Stats!$G$16="",Norm_Stats!$G$16=Norm_Stats!$F$16),"",MAX(0,MIN(100,100*(Norm_Stats!$G$16-MIN(MAX(City_Inputs!$AL67,Norm_Stats!$F$16),Norm_Stats!$G$16))/(Norm_Stats!$G$16-Norm_Stats!$F$16)))))="",0,0.3)))</f>
        <v/>
      </c>
      <c r="AL67" s="14">
        <f>IF((IF((IF(OR(City_Inputs!$AA67="",Norm_Stats!$F$15="",Norm_Stats!$G$15="",Norm_Stats!$G$15=Norm_Stats!$F$15),"",MAX(0,MIN(100,100*(MIN(MAX(City_Inputs!$AA67,Norm_Stats!$F$15),Norm_Stats!$G$15)-Norm_Stats!$F$15)/(Norm_Stats!$G$15-Norm_Stats!$F$15)))))="",0,0.7)+IF((IF(OR(City_Inputs!$AL67="",Norm_Stats!$F$16="",Norm_Stats!$G$16="",Norm_Stats!$G$16=Norm_Stats!$F$16),"",MAX(0,MIN(100,100*(Norm_Stats!$G$16-MIN(MAX(City_Inputs!$AL67,Norm_Stats!$F$16),Norm_Stats!$G$16))/(Norm_Stats!$G$16-Norm_Stats!$F$16)))))="",0,0.3))=0,"",(IF((IF(OR(City_Inputs!$AA67="",Norm_Stats!$F$15="",Norm_Stats!$G$15="",Norm_Stats!$G$15=Norm_Stats!$F$15),"",MAX(0,MIN(100,100*(MIN(MAX(City_Inputs!$AA67,Norm_Stats!$F$15),Norm_Stats!$G$15)-Norm_Stats!$F$15)/(Norm_Stats!$G$15-Norm_Stats!$F$15)))))="",0,0.7)+IF((IF(OR(City_Inputs!$AL67="",Norm_Stats!$F$16="",Norm_Stats!$G$16="",Norm_Stats!$G$16=Norm_Stats!$F$16),"",MAX(0,MIN(100,100*(Norm_Stats!$G$16-MIN(MAX(City_Inputs!$AL67,Norm_Stats!$F$16),Norm_Stats!$G$16))/(Norm_Stats!$G$16-Norm_Stats!$F$16)))))="",0,0.3)))</f>
        <v/>
      </c>
      <c r="AM67" s="15">
        <f>IF((IF(AG67="",0,8)+IF(AI67="",0,6)+IF(AK67="",0,4))=0,"",(IF(AG67="",0,AG67*8)+IF(AI67="",0,AI67*6)+IF(AK67="",0,AK67*4))/(IF(AG67="",0,8)+IF(AI67="",0,6)+IF(AK67="",0,4)))</f>
        <v/>
      </c>
      <c r="AN67" s="14">
        <f>IF((IF(AH67="",0,8)+IF(AJ67="",0,6)+IF(AL67="",0,4))=0,"",(IF(AH67="",0,AH67*8)+IF(AJ67="",0,AJ67*6)+IF(AL67="",0,AL67*4))/18)</f>
        <v/>
      </c>
      <c r="AO67" s="11">
        <f>IF(OR(City_Inputs!$AB67="",Norm_Stats!$F$17="",Norm_Stats!$G$17="",Norm_Stats!$G$17=Norm_Stats!$F$17),"",MAX(0,MIN(100,100*(MIN(MAX(City_Inputs!$AB67,Norm_Stats!$F$17),Norm_Stats!$G$17)-Norm_Stats!$F$17)/(Norm_Stats!$G$17-Norm_Stats!$F$17))))</f>
        <v/>
      </c>
      <c r="AP67" s="14">
        <f>IF(AO67="","",1)</f>
        <v/>
      </c>
      <c r="AQ67" s="11">
        <f>IF(OR(City_Inputs!$AC67="",Norm_Stats!$F$18="",Norm_Stats!$G$18="",Norm_Stats!$G$18=Norm_Stats!$F$18),"",MAX(0,MIN(100,100*(MIN(MAX(City_Inputs!$AC67,Norm_Stats!$F$18),Norm_Stats!$G$18)-Norm_Stats!$F$18)/(Norm_Stats!$G$18-Norm_Stats!$F$18))))</f>
        <v/>
      </c>
      <c r="AR67" s="14">
        <f>IF(AQ67="","",1)</f>
        <v/>
      </c>
      <c r="AS67" s="11">
        <f>IF(OR(City_Inputs!$AD67="",Norm_Stats!$F$19="",Norm_Stats!$G$19="",Norm_Stats!$G$19=Norm_Stats!$F$19),"",MAX(0,MIN(100,100*(MIN(MAX(City_Inputs!$AD67,Norm_Stats!$F$19),Norm_Stats!$G$19)-Norm_Stats!$F$19)/(Norm_Stats!$G$19-Norm_Stats!$F$19))))</f>
        <v/>
      </c>
      <c r="AT67" s="14">
        <f>IF(AS67="","",1)</f>
        <v/>
      </c>
      <c r="AU67" s="11">
        <f>IF(OR(City_Inputs!$BJ67="",Norm_Stats!$F$26="",Norm_Stats!$G$26="",Norm_Stats!$G$26=Norm_Stats!$F$26),"",MAX(0,MIN(100,100*(MIN(MAX(City_Inputs!$BJ67,Norm_Stats!$F$26),Norm_Stats!$G$26)-Norm_Stats!$F$26)/(Norm_Stats!$G$26-Norm_Stats!$F$26))))</f>
        <v/>
      </c>
      <c r="AV67" s="11">
        <f>IF(AU67="","",1)</f>
        <v/>
      </c>
      <c r="AW67" s="15">
        <f>IF((IF(AO67="",0,5)+IF(AQ67="",0,5)+IF(AS67="",0,5)+IF(AU67="",0,4))=0,"",(IF(AO67="",0,AO67*5)+IF(AQ67="",0,AQ67*5)+IF(AS67="",0,AS67*5)+IF(AU67="",0,AU67*4))/(IF(AO67="",0,5)+IF(AQ67="",0,5)+IF(AS67="",0,5)+IF(AU67="",0,4)))</f>
        <v/>
      </c>
      <c r="AX67" s="14">
        <f>IF((IF(AP67="",0,5)+IF(AR67="",0,5)+IF(AT67="",0,5)+IF(AV67="",0,4))=0,"",(IF(AP67="",0,AP67*5)+IF(AR67="",0,AR67*5)+IF(AT67="",0,AT67*5)+IF(AV67="",0,AV67*4))/19)</f>
        <v/>
      </c>
      <c r="AY67" s="11">
        <f>IF(OR(City_Inputs!$AE67="",Norm_Stats!$F$20="",Norm_Stats!$G$20="",Norm_Stats!$G$20=Norm_Stats!$F$20),"",MAX(0,MIN(100,100*(MIN(MAX(City_Inputs!$AE67,Norm_Stats!$F$20),Norm_Stats!$G$20)-Norm_Stats!$F$20)/(Norm_Stats!$G$20-Norm_Stats!$F$20))))</f>
        <v/>
      </c>
      <c r="AZ67" s="14">
        <f>IF(AY67="","",1)</f>
        <v/>
      </c>
      <c r="BA67" s="11">
        <f>IF(OR(City_Inputs!$AF67="",Norm_Stats!$F$21="",Norm_Stats!$G$21="",Norm_Stats!$G$21=Norm_Stats!$F$21),"",MAX(0,MIN(100,100*(MIN(MAX(City_Inputs!$AF67,Norm_Stats!$F$21),Norm_Stats!$G$21)-Norm_Stats!$F$21)/(Norm_Stats!$G$21-Norm_Stats!$F$21))))</f>
        <v/>
      </c>
      <c r="BB67" s="14">
        <f>IF(BA67="","",1)</f>
        <v/>
      </c>
      <c r="BC67" s="11">
        <f>IF((IF((IF(OR(City_Inputs!$AG67="",Norm_Stats!$F$22="",Norm_Stats!$G$22="",Norm_Stats!$G$22=Norm_Stats!$F$22),"",MAX(0,MIN(100,100*(MIN(MAX(City_Inputs!$AG67,Norm_Stats!$F$22),Norm_Stats!$G$22)-Norm_Stats!$F$22)/(Norm_Stats!$G$22-Norm_Stats!$F$22)))))="",0,0.5)+IF((IF(OR(City_Inputs!$AJ67="",Norm_Stats!$F$23="",Norm_Stats!$G$23="",Norm_Stats!$G$23=Norm_Stats!$F$23),"",MAX(0,MIN(100,100*(MIN(MAX(City_Inputs!$AJ67,Norm_Stats!$F$23),Norm_Stats!$G$23)-Norm_Stats!$F$23)/(Norm_Stats!$G$23-Norm_Stats!$F$23)))))="",0,0.3)+IF((IF(OR(City_Inputs!$AK67="",Norm_Stats!$F$24="",Norm_Stats!$G$24="",Norm_Stats!$G$24=Norm_Stats!$F$24),"",MAX(0,MIN(100,100*(MIN(MAX(City_Inputs!$AK67,Norm_Stats!$F$24),Norm_Stats!$G$24)-Norm_Stats!$F$24)/(Norm_Stats!$G$24-Norm_Stats!$F$24)))))="",0,0.2))=0,"",(IF((IF(OR(City_Inputs!$AG67="",Norm_Stats!$F$22="",Norm_Stats!$G$22="",Norm_Stats!$G$22=Norm_Stats!$F$22),"",MAX(0,MIN(100,100*(MIN(MAX(City_Inputs!$AG67,Norm_Stats!$F$22),Norm_Stats!$G$22)-Norm_Stats!$F$22)/(Norm_Stats!$G$22-Norm_Stats!$F$22)))))="",0,(IF(OR(City_Inputs!$AG67="",Norm_Stats!$F$22="",Norm_Stats!$G$22="",Norm_Stats!$G$22=Norm_Stats!$F$22),"",MAX(0,MIN(100,100*(MIN(MAX(City_Inputs!$AG67,Norm_Stats!$F$22),Norm_Stats!$G$22)-Norm_Stats!$F$22)/(Norm_Stats!$G$22-Norm_Stats!$F$22)))))*0.5)+IF((IF(OR(City_Inputs!$AJ67="",Norm_Stats!$F$23="",Norm_Stats!$G$23="",Norm_Stats!$G$23=Norm_Stats!$F$23),"",MAX(0,MIN(100,100*(MIN(MAX(City_Inputs!$AJ67,Norm_Stats!$F$23),Norm_Stats!$G$23)-Norm_Stats!$F$23)/(Norm_Stats!$G$23-Norm_Stats!$F$23)))))="",0,(IF(OR(City_Inputs!$AJ67="",Norm_Stats!$F$23="",Norm_Stats!$G$23="",Norm_Stats!$G$23=Norm_Stats!$F$23),"",MAX(0,MIN(100,100*(MIN(MAX(City_Inputs!$AJ67,Norm_Stats!$F$23),Norm_Stats!$G$23)-Norm_Stats!$F$23)/(Norm_Stats!$G$23-Norm_Stats!$F$23)))))*0.3)+IF((IF(OR(City_Inputs!$AK67="",Norm_Stats!$F$24="",Norm_Stats!$G$24="",Norm_Stats!$G$24=Norm_Stats!$F$24),"",MAX(0,MIN(100,100*(MIN(MAX(City_Inputs!$AK67,Norm_Stats!$F$24),Norm_Stats!$G$24)-Norm_Stats!$F$24)/(Norm_Stats!$G$24-Norm_Stats!$F$24)))))="",0,(IF(OR(City_Inputs!$AK67="",Norm_Stats!$F$24="",Norm_Stats!$G$24="",Norm_Stats!$G$24=Norm_Stats!$F$24),"",MAX(0,MIN(100,100*(MIN(MAX(City_Inputs!$AK67,Norm_Stats!$F$24),Norm_Stats!$G$24)-Norm_Stats!$F$24)/(Norm_Stats!$G$24-Norm_Stats!$F$24)))))*0.2))/(IF((IF(OR(City_Inputs!$AG67="",Norm_Stats!$F$22="",Norm_Stats!$G$22="",Norm_Stats!$G$22=Norm_Stats!$F$22),"",MAX(0,MIN(100,100*(MIN(MAX(City_Inputs!$AG67,Norm_Stats!$F$22),Norm_Stats!$G$22)-Norm_Stats!$F$22)/(Norm_Stats!$G$22-Norm_Stats!$F$22)))))="",0,0.5)+IF((IF(OR(City_Inputs!$AJ67="",Norm_Stats!$F$23="",Norm_Stats!$G$23="",Norm_Stats!$G$23=Norm_Stats!$F$23),"",MAX(0,MIN(100,100*(MIN(MAX(City_Inputs!$AJ67,Norm_Stats!$F$23),Norm_Stats!$G$23)-Norm_Stats!$F$23)/(Norm_Stats!$G$23-Norm_Stats!$F$23)))))="",0,0.3)+IF((IF(OR(City_Inputs!$AK67="",Norm_Stats!$F$24="",Norm_Stats!$G$24="",Norm_Stats!$G$24=Norm_Stats!$F$24),"",MAX(0,MIN(100,100*(MIN(MAX(City_Inputs!$AK67,Norm_Stats!$F$24),Norm_Stats!$G$24)-Norm_Stats!$F$24)/(Norm_Stats!$G$24-Norm_Stats!$F$24)))))="",0,0.2)))</f>
        <v/>
      </c>
      <c r="BD67" s="14">
        <f>IF((IF((IF(OR(City_Inputs!$AG67="",Norm_Stats!$F$22="",Norm_Stats!$G$22="",Norm_Stats!$G$22=Norm_Stats!$F$22),"",MAX(0,MIN(100,100*(MIN(MAX(City_Inputs!$AG67,Norm_Stats!$F$22),Norm_Stats!$G$22)-Norm_Stats!$F$22)/(Norm_Stats!$G$22-Norm_Stats!$F$22)))))="",0,0.5)+IF((IF(OR(City_Inputs!$AJ67="",Norm_Stats!$F$23="",Norm_Stats!$G$23="",Norm_Stats!$G$23=Norm_Stats!$F$23),"",MAX(0,MIN(100,100*(MIN(MAX(City_Inputs!$AJ67,Norm_Stats!$F$23),Norm_Stats!$G$23)-Norm_Stats!$F$23)/(Norm_Stats!$G$23-Norm_Stats!$F$23)))))="",0,0.3)+IF((IF(OR(City_Inputs!$AK67="",Norm_Stats!$F$24="",Norm_Stats!$G$24="",Norm_Stats!$G$24=Norm_Stats!$F$24),"",MAX(0,MIN(100,100*(MIN(MAX(City_Inputs!$AK67,Norm_Stats!$F$24),Norm_Stats!$G$24)-Norm_Stats!$F$24)/(Norm_Stats!$G$24-Norm_Stats!$F$24)))))="",0,0.2))=0,"",(IF((IF(OR(City_Inputs!$AG67="",Norm_Stats!$F$22="",Norm_Stats!$G$22="",Norm_Stats!$G$22=Norm_Stats!$F$22),"",MAX(0,MIN(100,100*(MIN(MAX(City_Inputs!$AG67,Norm_Stats!$F$22),Norm_Stats!$G$22)-Norm_Stats!$F$22)/(Norm_Stats!$G$22-Norm_Stats!$F$22)))))="",0,0.5)+IF((IF(OR(City_Inputs!$AJ67="",Norm_Stats!$F$23="",Norm_Stats!$G$23="",Norm_Stats!$G$23=Norm_Stats!$F$23),"",MAX(0,MIN(100,100*(MIN(MAX(City_Inputs!$AJ67,Norm_Stats!$F$23),Norm_Stats!$G$23)-Norm_Stats!$F$23)/(Norm_Stats!$G$23-Norm_Stats!$F$23)))))="",0,0.3)+IF((IF(OR(City_Inputs!$AK67="",Norm_Stats!$F$24="",Norm_Stats!$G$24="",Norm_Stats!$G$24=Norm_Stats!$F$24),"",MAX(0,MIN(100,100*(MIN(MAX(City_Inputs!$AK67,Norm_Stats!$F$24),Norm_Stats!$G$24)-Norm_Stats!$F$24)/(Norm_Stats!$G$24-Norm_Stats!$F$24)))))="",0,0.2)))</f>
        <v/>
      </c>
      <c r="BE67" s="11">
        <f>IF(OR(City_Inputs!$AH67="",Norm_Stats!$F$25="",Norm_Stats!$G$25="",Norm_Stats!$G$25=Norm_Stats!$F$25),"",MAX(0,MIN(100,100*(Norm_Stats!$G$25-MIN(MAX(City_Inputs!$AH67,Norm_Stats!$F$25),Norm_Stats!$G$25))/(Norm_Stats!$G$25-Norm_Stats!$F$25))))</f>
        <v/>
      </c>
      <c r="BF67" s="14">
        <f>IF(BE67="","",1)</f>
        <v/>
      </c>
      <c r="BG67" s="15">
        <f>IF((IF(AY67="",0,6)+IF(BA67="",0,5)+IF(BC67="",0,5)+IF(BE67="",0,4))=0,"",(IF(AY67="",0,AY67*6)+IF(BA67="",0,BA67*5)+IF(BC67="",0,BC67*5)+IF(BE67="",0,BE67*4))/(IF(AY67="",0,6)+IF(BA67="",0,5)+IF(BC67="",0,5)+IF(BE67="",0,4)))</f>
        <v/>
      </c>
      <c r="BH67" s="14">
        <f>IF((IF(AZ67="",0,6)+IF(BB67="",0,5)+IF(BD67="",0,5)+IF(BF67="",0,4))=0,"",(IF(AZ67="",0,AZ67*6)+IF(BB67="",0,BB67*5)+IF(BD67="",0,BD67*5)+IF(BF67="",0,BF67*4))/20)</f>
        <v/>
      </c>
      <c r="BI67" s="14">
        <f>IF(AND(R67="",AF67="",AN67="",AX67="",BH67=""),"",((R67*25)+(AF67*22)+(AN67*18)+(AX67*15)+(BH67*20))/100)</f>
        <v/>
      </c>
      <c r="BJ67" s="11">
        <f>IF(BI67="","",IF(BI67&gt;=0.75,"A",IF(BI67&gt;=0.5,"B",IF(BI67&gt;=0.35,"C","Watchlist"))))</f>
        <v/>
      </c>
      <c r="BK67" s="11">
        <f>IF(OR(BI67="",BI67&lt;0.5,R67="",R67&lt;0.35,AF67="",AF67&lt;0.35,AN67="",AN67&lt;0.35,AX67="",AX67&lt;0.35,BH67="",BH67&lt;0.35),"Watchlist","Ranked")</f>
        <v/>
      </c>
      <c r="BL67" s="15">
        <f>IF(AND(Q67="",AE67="",AM67="",AW67="",BG67=""),"",(IF(Q67="",0,Q67*25)+IF(AE67="",0,AE67*22)+IF(AM67="",0,AM67*18)+IF(AW67="",0,AW67*15)+IF(BG67="",0,BG67*20))/(IF(Q67="",0,25)+IF(AE67="",0,22)+IF(AM67="",0,18)+IF(AW67="",0,15)+IF(BG67="",0,20)))</f>
        <v/>
      </c>
      <c r="BM67" s="11">
        <f>IF(BK67="Ranked",1+COUNTIFS($BK$2:$BK$158,"Ranked",$BL$2:$BL$158,"&gt;"&amp;BL67),"")</f>
        <v/>
      </c>
      <c r="BN67" s="11">
        <f>City_Inputs!$AI67</f>
        <v/>
      </c>
    </row>
    <row r="68">
      <c r="A68" t="inlineStr">
        <is>
          <t>mx-guadalajara</t>
        </is>
      </c>
      <c r="B68" t="inlineStr">
        <is>
          <t>Guadalajara</t>
        </is>
      </c>
      <c r="C68" t="inlineStr">
        <is>
          <t>Mexico</t>
        </is>
      </c>
      <c r="D68" t="inlineStr">
        <is>
          <t>North America</t>
        </is>
      </c>
      <c r="E68" t="inlineStr">
        <is>
          <t>locked</t>
        </is>
      </c>
      <c r="F68" t="inlineStr">
        <is>
          <t>secondary</t>
        </is>
      </c>
      <c r="G68" s="11">
        <f>IF(OR(City_Inputs!$M68="",Norm_Stats!$F$2="",Norm_Stats!$G$2="",Norm_Stats!$G$2=Norm_Stats!$F$2),"",MAX(0,MIN(100,100*(MIN(MAX(City_Inputs!$M68,Norm_Stats!$F$2),Norm_Stats!$G$2)-Norm_Stats!$F$2)/(Norm_Stats!$G$2-Norm_Stats!$F$2))))</f>
        <v/>
      </c>
      <c r="H68" s="14">
        <f>IF(G68="","",1)</f>
        <v/>
      </c>
      <c r="I68" s="11">
        <f>IF(OR(City_Inputs!$N68="",Norm_Stats!$F$3="",Norm_Stats!$G$3="",Norm_Stats!$G$3=Norm_Stats!$F$3),"",MAX(0,MIN(100,100*(Norm_Stats!$G$3-MIN(MAX(City_Inputs!$N68,Norm_Stats!$F$3),Norm_Stats!$G$3))/(Norm_Stats!$G$3-Norm_Stats!$F$3))))</f>
        <v/>
      </c>
      <c r="J68" s="14">
        <f>IF(I68="","",1)</f>
        <v/>
      </c>
      <c r="K68" s="11">
        <f>IF(OR(City_Inputs!$P68="",Norm_Stats!$F$4="",Norm_Stats!$G$4="",Norm_Stats!$G$4=Norm_Stats!$F$4),"",MAX(0,MIN(100,100*(Norm_Stats!$G$4-MIN(MAX(City_Inputs!$P68,Norm_Stats!$F$4),Norm_Stats!$G$4))/(Norm_Stats!$G$4-Norm_Stats!$F$4))))</f>
        <v/>
      </c>
      <c r="L68" s="14">
        <f>IF(K68="","",1)</f>
        <v/>
      </c>
      <c r="M68" s="11">
        <f>IF(OR(City_Inputs!$Q68="",Norm_Stats!$F$5="",Norm_Stats!$G$5="",Norm_Stats!$G$5=Norm_Stats!$F$5),"",MAX(0,MIN(100,100*(Norm_Stats!$G$5-MIN(MAX(City_Inputs!$Q68,Norm_Stats!$F$5),Norm_Stats!$G$5))/(Norm_Stats!$G$5-Norm_Stats!$F$5))))</f>
        <v/>
      </c>
      <c r="N68" s="14">
        <f>IF(M68="","",1)</f>
        <v/>
      </c>
      <c r="O68" s="11">
        <f>IF(OR(City_Inputs!$R68="",Norm_Stats!$F$6="",Norm_Stats!$G$6="",Norm_Stats!$G$6=Norm_Stats!$F$6),"",MAX(0,MIN(100,100*(Norm_Stats!$G$6-MIN(MAX(City_Inputs!$R68,Norm_Stats!$F$6),Norm_Stats!$G$6))/(Norm_Stats!$G$6-Norm_Stats!$F$6))))</f>
        <v/>
      </c>
      <c r="P68" s="14">
        <f>IF(O68="","",1)</f>
        <v/>
      </c>
      <c r="Q68" s="15">
        <f>IF((IF(G68="",0,9)+IF(I68="",0,5)+IF(K68="",0,4)+IF(M68="",0,4)+IF(O68="",0,5))=0,"",(IF(G68="",0,G68*9)+IF(I68="",0,I68*5)+IF(K68="",0,K68*4)+IF(M68="",0,M68*4)+IF(O68="",0,O68*5))/(IF(G68="",0,9)+IF(I68="",0,5)+IF(K68="",0,4)+IF(M68="",0,4)+IF(O68="",0,5)))</f>
        <v/>
      </c>
      <c r="R68" s="14">
        <f>IF((IF(H68="",0,9)+IF(J68="",0,5)+IF(L68="",0,4)+IF(N68="",0,4)+IF(P68="",0,5))=0,"",(IF(H68="",0,H68*9)+IF(J68="",0,J68*5)+IF(L68="",0,L68*4)+IF(N68="",0,N68*4)+IF(P68="",0,P68*5))/27)</f>
        <v/>
      </c>
      <c r="S68" s="11">
        <f>IF(OR(City_Inputs!$S68="",Norm_Stats!$F$7="",Norm_Stats!$G$7="",Norm_Stats!$G$7=Norm_Stats!$F$7),"",MAX(0,MIN(100,100*(Norm_Stats!$G$7-MIN(MAX(City_Inputs!$S68,Norm_Stats!$F$7),Norm_Stats!$G$7))/(Norm_Stats!$G$7-Norm_Stats!$F$7))))</f>
        <v/>
      </c>
      <c r="T68" s="14">
        <f>IF(S68="","",1)</f>
        <v/>
      </c>
      <c r="U68" s="11">
        <f>IF(OR(City_Inputs!$T68="",Norm_Stats!$F$8="",Norm_Stats!$G$8="",Norm_Stats!$G$8=Norm_Stats!$F$8),"",MAX(0,MIN(100,100*(MIN(MAX(City_Inputs!$T68,Norm_Stats!$F$8),Norm_Stats!$G$8)-Norm_Stats!$F$8)/(Norm_Stats!$G$8-Norm_Stats!$F$8))))</f>
        <v/>
      </c>
      <c r="V68" s="14">
        <f>IF(U68="","",1)</f>
        <v/>
      </c>
      <c r="W68" s="11">
        <f>IF(OR(City_Inputs!$U68="",Norm_Stats!$F$9="",Norm_Stats!$G$9="",Norm_Stats!$G$9=Norm_Stats!$F$9),"",MAX(0,MIN(100,100*(Norm_Stats!$G$9-MIN(MAX(City_Inputs!$U68,Norm_Stats!$F$9),Norm_Stats!$G$9))/(Norm_Stats!$G$9-Norm_Stats!$F$9))))</f>
        <v/>
      </c>
      <c r="X68" s="14">
        <f>IF(W68="","",1)</f>
        <v/>
      </c>
      <c r="Y68" s="11">
        <f>IF(OR(City_Inputs!$V68="",Norm_Stats!$F$10="",Norm_Stats!$G$10="",Norm_Stats!$G$10=Norm_Stats!$F$10),"",MAX(0,MIN(100,100*(MIN(MAX(City_Inputs!$V68,Norm_Stats!$F$10),Norm_Stats!$G$10)-Norm_Stats!$F$10)/(Norm_Stats!$G$10-Norm_Stats!$F$10))))</f>
        <v/>
      </c>
      <c r="Z68" s="14">
        <f>IF(Y68="","",1)</f>
        <v/>
      </c>
      <c r="AA68" s="11">
        <f>IF(OR(City_Inputs!$W68="",Norm_Stats!$F$11="",Norm_Stats!$G$11="",Norm_Stats!$G$11=Norm_Stats!$F$11),"",MAX(0,MIN(100,100*(MIN(MAX(City_Inputs!$W68,Norm_Stats!$F$11),Norm_Stats!$G$11)-Norm_Stats!$F$11)/(Norm_Stats!$G$11-Norm_Stats!$F$11))))</f>
        <v/>
      </c>
      <c r="AB68" s="14">
        <f>IF(AA68="","",1)</f>
        <v/>
      </c>
      <c r="AC68" s="11">
        <f>IF(OR(City_Inputs!$X68="",Norm_Stats!$F$12="",Norm_Stats!$G$12="",Norm_Stats!$G$12=Norm_Stats!$F$12),"",MAX(0,MIN(100,100*(MIN(MAX(City_Inputs!$X68,Norm_Stats!$F$12),Norm_Stats!$G$12)-Norm_Stats!$F$12)/(Norm_Stats!$G$12-Norm_Stats!$F$12))))</f>
        <v/>
      </c>
      <c r="AD68" s="11">
        <f>IF(AC68="","",1)</f>
        <v/>
      </c>
      <c r="AE68" s="15">
        <f>IF((IF(S68="",0,5)+IF(U68="",0,5)+IF(W68="",0,4)+IF(Y68="",0,4)+IF(AA68="",0,4)+IF(AC68="",0,5))=0,"",(IF(S68="",0,S68*5)+IF(U68="",0,U68*5)+IF(W68="",0,W68*4)+IF(Y68="",0,Y68*4)+IF(AA68="",0,AA68*4)+IF(AC68="",0,AC68*5))/(IF(S68="",0,5)+IF(U68="",0,5)+IF(W68="",0,4)+IF(Y68="",0,4)+IF(AA68="",0,4)+IF(AC68="",0,5)))</f>
        <v/>
      </c>
      <c r="AF68" s="14">
        <f>IF((IF(T68="",0,5)+IF(V68="",0,5)+IF(X68="",0,4)+IF(Z68="",0,4)+IF(AB68="",0,4)+IF(AD68="",0,5))=0,"",(IF(T68="",0,T68*5)+IF(V68="",0,V68*5)+IF(X68="",0,X68*4)+IF(Z68="",0,Z68*4)+IF(AB68="",0,AB68*4)+IF(AD68="",0,AD68*5))/27)</f>
        <v/>
      </c>
      <c r="AG68" s="11">
        <f>IF(OR(City_Inputs!$Y68="",Norm_Stats!$F$13="",Norm_Stats!$G$13="",Norm_Stats!$G$13=Norm_Stats!$F$13),"",MAX(0,MIN(100,100*(MIN(MAX(City_Inputs!$Y68,Norm_Stats!$F$13),Norm_Stats!$G$13)-Norm_Stats!$F$13)/(Norm_Stats!$G$13-Norm_Stats!$F$13))))</f>
        <v/>
      </c>
      <c r="AH68" s="14">
        <f>IF(AG68="","",1)</f>
        <v/>
      </c>
      <c r="AI68" s="11">
        <f>IF(OR(City_Inputs!$Z68="",Norm_Stats!$F$14="",Norm_Stats!$G$14="",Norm_Stats!$G$14=Norm_Stats!$F$14),"",MAX(0,MIN(100,100*(MIN(MAX(City_Inputs!$Z68,Norm_Stats!$F$14),Norm_Stats!$G$14)-Norm_Stats!$F$14)/(Norm_Stats!$G$14-Norm_Stats!$F$14))))</f>
        <v/>
      </c>
      <c r="AJ68" s="14">
        <f>IF(AI68="","",1)</f>
        <v/>
      </c>
      <c r="AK68" s="11">
        <f>IF((IF((IF(OR(City_Inputs!$AA68="",Norm_Stats!$F$15="",Norm_Stats!$G$15="",Norm_Stats!$G$15=Norm_Stats!$F$15),"",MAX(0,MIN(100,100*(MIN(MAX(City_Inputs!$AA68,Norm_Stats!$F$15),Norm_Stats!$G$15)-Norm_Stats!$F$15)/(Norm_Stats!$G$15-Norm_Stats!$F$15)))))="",0,0.7)+IF((IF(OR(City_Inputs!$AL68="",Norm_Stats!$F$16="",Norm_Stats!$G$16="",Norm_Stats!$G$16=Norm_Stats!$F$16),"",MAX(0,MIN(100,100*(Norm_Stats!$G$16-MIN(MAX(City_Inputs!$AL68,Norm_Stats!$F$16),Norm_Stats!$G$16))/(Norm_Stats!$G$16-Norm_Stats!$F$16)))))="",0,0.3))=0,"",(IF((IF(OR(City_Inputs!$AA68="",Norm_Stats!$F$15="",Norm_Stats!$G$15="",Norm_Stats!$G$15=Norm_Stats!$F$15),"",MAX(0,MIN(100,100*(MIN(MAX(City_Inputs!$AA68,Norm_Stats!$F$15),Norm_Stats!$G$15)-Norm_Stats!$F$15)/(Norm_Stats!$G$15-Norm_Stats!$F$15)))))="",0,(IF(OR(City_Inputs!$AA68="",Norm_Stats!$F$15="",Norm_Stats!$G$15="",Norm_Stats!$G$15=Norm_Stats!$F$15),"",MAX(0,MIN(100,100*(MIN(MAX(City_Inputs!$AA68,Norm_Stats!$F$15),Norm_Stats!$G$15)-Norm_Stats!$F$15)/(Norm_Stats!$G$15-Norm_Stats!$F$15)))))*0.7)+IF((IF(OR(City_Inputs!$AL68="",Norm_Stats!$F$16="",Norm_Stats!$G$16="",Norm_Stats!$G$16=Norm_Stats!$F$16),"",MAX(0,MIN(100,100*(Norm_Stats!$G$16-MIN(MAX(City_Inputs!$AL68,Norm_Stats!$F$16),Norm_Stats!$G$16))/(Norm_Stats!$G$16-Norm_Stats!$F$16)))))="",0,(IF(OR(City_Inputs!$AL68="",Norm_Stats!$F$16="",Norm_Stats!$G$16="",Norm_Stats!$G$16=Norm_Stats!$F$16),"",MAX(0,MIN(100,100*(Norm_Stats!$G$16-MIN(MAX(City_Inputs!$AL68,Norm_Stats!$F$16),Norm_Stats!$G$16))/(Norm_Stats!$G$16-Norm_Stats!$F$16)))))*0.3))/(IF((IF(OR(City_Inputs!$AA68="",Norm_Stats!$F$15="",Norm_Stats!$G$15="",Norm_Stats!$G$15=Norm_Stats!$F$15),"",MAX(0,MIN(100,100*(MIN(MAX(City_Inputs!$AA68,Norm_Stats!$F$15),Norm_Stats!$G$15)-Norm_Stats!$F$15)/(Norm_Stats!$G$15-Norm_Stats!$F$15)))))="",0,0.7)+IF((IF(OR(City_Inputs!$AL68="",Norm_Stats!$F$16="",Norm_Stats!$G$16="",Norm_Stats!$G$16=Norm_Stats!$F$16),"",MAX(0,MIN(100,100*(Norm_Stats!$G$16-MIN(MAX(City_Inputs!$AL68,Norm_Stats!$F$16),Norm_Stats!$G$16))/(Norm_Stats!$G$16-Norm_Stats!$F$16)))))="",0,0.3)))</f>
        <v/>
      </c>
      <c r="AL68" s="14">
        <f>IF((IF((IF(OR(City_Inputs!$AA68="",Norm_Stats!$F$15="",Norm_Stats!$G$15="",Norm_Stats!$G$15=Norm_Stats!$F$15),"",MAX(0,MIN(100,100*(MIN(MAX(City_Inputs!$AA68,Norm_Stats!$F$15),Norm_Stats!$G$15)-Norm_Stats!$F$15)/(Norm_Stats!$G$15-Norm_Stats!$F$15)))))="",0,0.7)+IF((IF(OR(City_Inputs!$AL68="",Norm_Stats!$F$16="",Norm_Stats!$G$16="",Norm_Stats!$G$16=Norm_Stats!$F$16),"",MAX(0,MIN(100,100*(Norm_Stats!$G$16-MIN(MAX(City_Inputs!$AL68,Norm_Stats!$F$16),Norm_Stats!$G$16))/(Norm_Stats!$G$16-Norm_Stats!$F$16)))))="",0,0.3))=0,"",(IF((IF(OR(City_Inputs!$AA68="",Norm_Stats!$F$15="",Norm_Stats!$G$15="",Norm_Stats!$G$15=Norm_Stats!$F$15),"",MAX(0,MIN(100,100*(MIN(MAX(City_Inputs!$AA68,Norm_Stats!$F$15),Norm_Stats!$G$15)-Norm_Stats!$F$15)/(Norm_Stats!$G$15-Norm_Stats!$F$15)))))="",0,0.7)+IF((IF(OR(City_Inputs!$AL68="",Norm_Stats!$F$16="",Norm_Stats!$G$16="",Norm_Stats!$G$16=Norm_Stats!$F$16),"",MAX(0,MIN(100,100*(Norm_Stats!$G$16-MIN(MAX(City_Inputs!$AL68,Norm_Stats!$F$16),Norm_Stats!$G$16))/(Norm_Stats!$G$16-Norm_Stats!$F$16)))))="",0,0.3)))</f>
        <v/>
      </c>
      <c r="AM68" s="15">
        <f>IF((IF(AG68="",0,8)+IF(AI68="",0,6)+IF(AK68="",0,4))=0,"",(IF(AG68="",0,AG68*8)+IF(AI68="",0,AI68*6)+IF(AK68="",0,AK68*4))/(IF(AG68="",0,8)+IF(AI68="",0,6)+IF(AK68="",0,4)))</f>
        <v/>
      </c>
      <c r="AN68" s="14">
        <f>IF((IF(AH68="",0,8)+IF(AJ68="",0,6)+IF(AL68="",0,4))=0,"",(IF(AH68="",0,AH68*8)+IF(AJ68="",0,AJ68*6)+IF(AL68="",0,AL68*4))/18)</f>
        <v/>
      </c>
      <c r="AO68" s="11">
        <f>IF(OR(City_Inputs!$AB68="",Norm_Stats!$F$17="",Norm_Stats!$G$17="",Norm_Stats!$G$17=Norm_Stats!$F$17),"",MAX(0,MIN(100,100*(MIN(MAX(City_Inputs!$AB68,Norm_Stats!$F$17),Norm_Stats!$G$17)-Norm_Stats!$F$17)/(Norm_Stats!$G$17-Norm_Stats!$F$17))))</f>
        <v/>
      </c>
      <c r="AP68" s="14">
        <f>IF(AO68="","",1)</f>
        <v/>
      </c>
      <c r="AQ68" s="11">
        <f>IF(OR(City_Inputs!$AC68="",Norm_Stats!$F$18="",Norm_Stats!$G$18="",Norm_Stats!$G$18=Norm_Stats!$F$18),"",MAX(0,MIN(100,100*(MIN(MAX(City_Inputs!$AC68,Norm_Stats!$F$18),Norm_Stats!$G$18)-Norm_Stats!$F$18)/(Norm_Stats!$G$18-Norm_Stats!$F$18))))</f>
        <v/>
      </c>
      <c r="AR68" s="14">
        <f>IF(AQ68="","",1)</f>
        <v/>
      </c>
      <c r="AS68" s="11">
        <f>IF(OR(City_Inputs!$AD68="",Norm_Stats!$F$19="",Norm_Stats!$G$19="",Norm_Stats!$G$19=Norm_Stats!$F$19),"",MAX(0,MIN(100,100*(MIN(MAX(City_Inputs!$AD68,Norm_Stats!$F$19),Norm_Stats!$G$19)-Norm_Stats!$F$19)/(Norm_Stats!$G$19-Norm_Stats!$F$19))))</f>
        <v/>
      </c>
      <c r="AT68" s="14">
        <f>IF(AS68="","",1)</f>
        <v/>
      </c>
      <c r="AU68" s="11">
        <f>IF(OR(City_Inputs!$BJ68="",Norm_Stats!$F$26="",Norm_Stats!$G$26="",Norm_Stats!$G$26=Norm_Stats!$F$26),"",MAX(0,MIN(100,100*(MIN(MAX(City_Inputs!$BJ68,Norm_Stats!$F$26),Norm_Stats!$G$26)-Norm_Stats!$F$26)/(Norm_Stats!$G$26-Norm_Stats!$F$26))))</f>
        <v/>
      </c>
      <c r="AV68" s="11">
        <f>IF(AU68="","",1)</f>
        <v/>
      </c>
      <c r="AW68" s="15">
        <f>IF((IF(AO68="",0,5)+IF(AQ68="",0,5)+IF(AS68="",0,5)+IF(AU68="",0,4))=0,"",(IF(AO68="",0,AO68*5)+IF(AQ68="",0,AQ68*5)+IF(AS68="",0,AS68*5)+IF(AU68="",0,AU68*4))/(IF(AO68="",0,5)+IF(AQ68="",0,5)+IF(AS68="",0,5)+IF(AU68="",0,4)))</f>
        <v/>
      </c>
      <c r="AX68" s="14">
        <f>IF((IF(AP68="",0,5)+IF(AR68="",0,5)+IF(AT68="",0,5)+IF(AV68="",0,4))=0,"",(IF(AP68="",0,AP68*5)+IF(AR68="",0,AR68*5)+IF(AT68="",0,AT68*5)+IF(AV68="",0,AV68*4))/19)</f>
        <v/>
      </c>
      <c r="AY68" s="11">
        <f>IF(OR(City_Inputs!$AE68="",Norm_Stats!$F$20="",Norm_Stats!$G$20="",Norm_Stats!$G$20=Norm_Stats!$F$20),"",MAX(0,MIN(100,100*(MIN(MAX(City_Inputs!$AE68,Norm_Stats!$F$20),Norm_Stats!$G$20)-Norm_Stats!$F$20)/(Norm_Stats!$G$20-Norm_Stats!$F$20))))</f>
        <v/>
      </c>
      <c r="AZ68" s="14">
        <f>IF(AY68="","",1)</f>
        <v/>
      </c>
      <c r="BA68" s="11">
        <f>IF(OR(City_Inputs!$AF68="",Norm_Stats!$F$21="",Norm_Stats!$G$21="",Norm_Stats!$G$21=Norm_Stats!$F$21),"",MAX(0,MIN(100,100*(MIN(MAX(City_Inputs!$AF68,Norm_Stats!$F$21),Norm_Stats!$G$21)-Norm_Stats!$F$21)/(Norm_Stats!$G$21-Norm_Stats!$F$21))))</f>
        <v/>
      </c>
      <c r="BB68" s="14">
        <f>IF(BA68="","",1)</f>
        <v/>
      </c>
      <c r="BC68" s="11">
        <f>IF((IF((IF(OR(City_Inputs!$AG68="",Norm_Stats!$F$22="",Norm_Stats!$G$22="",Norm_Stats!$G$22=Norm_Stats!$F$22),"",MAX(0,MIN(100,100*(MIN(MAX(City_Inputs!$AG68,Norm_Stats!$F$22),Norm_Stats!$G$22)-Norm_Stats!$F$22)/(Norm_Stats!$G$22-Norm_Stats!$F$22)))))="",0,0.5)+IF((IF(OR(City_Inputs!$AJ68="",Norm_Stats!$F$23="",Norm_Stats!$G$23="",Norm_Stats!$G$23=Norm_Stats!$F$23),"",MAX(0,MIN(100,100*(MIN(MAX(City_Inputs!$AJ68,Norm_Stats!$F$23),Norm_Stats!$G$23)-Norm_Stats!$F$23)/(Norm_Stats!$G$23-Norm_Stats!$F$23)))))="",0,0.3)+IF((IF(OR(City_Inputs!$AK68="",Norm_Stats!$F$24="",Norm_Stats!$G$24="",Norm_Stats!$G$24=Norm_Stats!$F$24),"",MAX(0,MIN(100,100*(MIN(MAX(City_Inputs!$AK68,Norm_Stats!$F$24),Norm_Stats!$G$24)-Norm_Stats!$F$24)/(Norm_Stats!$G$24-Norm_Stats!$F$24)))))="",0,0.2))=0,"",(IF((IF(OR(City_Inputs!$AG68="",Norm_Stats!$F$22="",Norm_Stats!$G$22="",Norm_Stats!$G$22=Norm_Stats!$F$22),"",MAX(0,MIN(100,100*(MIN(MAX(City_Inputs!$AG68,Norm_Stats!$F$22),Norm_Stats!$G$22)-Norm_Stats!$F$22)/(Norm_Stats!$G$22-Norm_Stats!$F$22)))))="",0,(IF(OR(City_Inputs!$AG68="",Norm_Stats!$F$22="",Norm_Stats!$G$22="",Norm_Stats!$G$22=Norm_Stats!$F$22),"",MAX(0,MIN(100,100*(MIN(MAX(City_Inputs!$AG68,Norm_Stats!$F$22),Norm_Stats!$G$22)-Norm_Stats!$F$22)/(Norm_Stats!$G$22-Norm_Stats!$F$22)))))*0.5)+IF((IF(OR(City_Inputs!$AJ68="",Norm_Stats!$F$23="",Norm_Stats!$G$23="",Norm_Stats!$G$23=Norm_Stats!$F$23),"",MAX(0,MIN(100,100*(MIN(MAX(City_Inputs!$AJ68,Norm_Stats!$F$23),Norm_Stats!$G$23)-Norm_Stats!$F$23)/(Norm_Stats!$G$23-Norm_Stats!$F$23)))))="",0,(IF(OR(City_Inputs!$AJ68="",Norm_Stats!$F$23="",Norm_Stats!$G$23="",Norm_Stats!$G$23=Norm_Stats!$F$23),"",MAX(0,MIN(100,100*(MIN(MAX(City_Inputs!$AJ68,Norm_Stats!$F$23),Norm_Stats!$G$23)-Norm_Stats!$F$23)/(Norm_Stats!$G$23-Norm_Stats!$F$23)))))*0.3)+IF((IF(OR(City_Inputs!$AK68="",Norm_Stats!$F$24="",Norm_Stats!$G$24="",Norm_Stats!$G$24=Norm_Stats!$F$24),"",MAX(0,MIN(100,100*(MIN(MAX(City_Inputs!$AK68,Norm_Stats!$F$24),Norm_Stats!$G$24)-Norm_Stats!$F$24)/(Norm_Stats!$G$24-Norm_Stats!$F$24)))))="",0,(IF(OR(City_Inputs!$AK68="",Norm_Stats!$F$24="",Norm_Stats!$G$24="",Norm_Stats!$G$24=Norm_Stats!$F$24),"",MAX(0,MIN(100,100*(MIN(MAX(City_Inputs!$AK68,Norm_Stats!$F$24),Norm_Stats!$G$24)-Norm_Stats!$F$24)/(Norm_Stats!$G$24-Norm_Stats!$F$24)))))*0.2))/(IF((IF(OR(City_Inputs!$AG68="",Norm_Stats!$F$22="",Norm_Stats!$G$22="",Norm_Stats!$G$22=Norm_Stats!$F$22),"",MAX(0,MIN(100,100*(MIN(MAX(City_Inputs!$AG68,Norm_Stats!$F$22),Norm_Stats!$G$22)-Norm_Stats!$F$22)/(Norm_Stats!$G$22-Norm_Stats!$F$22)))))="",0,0.5)+IF((IF(OR(City_Inputs!$AJ68="",Norm_Stats!$F$23="",Norm_Stats!$G$23="",Norm_Stats!$G$23=Norm_Stats!$F$23),"",MAX(0,MIN(100,100*(MIN(MAX(City_Inputs!$AJ68,Norm_Stats!$F$23),Norm_Stats!$G$23)-Norm_Stats!$F$23)/(Norm_Stats!$G$23-Norm_Stats!$F$23)))))="",0,0.3)+IF((IF(OR(City_Inputs!$AK68="",Norm_Stats!$F$24="",Norm_Stats!$G$24="",Norm_Stats!$G$24=Norm_Stats!$F$24),"",MAX(0,MIN(100,100*(MIN(MAX(City_Inputs!$AK68,Norm_Stats!$F$24),Norm_Stats!$G$24)-Norm_Stats!$F$24)/(Norm_Stats!$G$24-Norm_Stats!$F$24)))))="",0,0.2)))</f>
        <v/>
      </c>
      <c r="BD68" s="14">
        <f>IF((IF((IF(OR(City_Inputs!$AG68="",Norm_Stats!$F$22="",Norm_Stats!$G$22="",Norm_Stats!$G$22=Norm_Stats!$F$22),"",MAX(0,MIN(100,100*(MIN(MAX(City_Inputs!$AG68,Norm_Stats!$F$22),Norm_Stats!$G$22)-Norm_Stats!$F$22)/(Norm_Stats!$G$22-Norm_Stats!$F$22)))))="",0,0.5)+IF((IF(OR(City_Inputs!$AJ68="",Norm_Stats!$F$23="",Norm_Stats!$G$23="",Norm_Stats!$G$23=Norm_Stats!$F$23),"",MAX(0,MIN(100,100*(MIN(MAX(City_Inputs!$AJ68,Norm_Stats!$F$23),Norm_Stats!$G$23)-Norm_Stats!$F$23)/(Norm_Stats!$G$23-Norm_Stats!$F$23)))))="",0,0.3)+IF((IF(OR(City_Inputs!$AK68="",Norm_Stats!$F$24="",Norm_Stats!$G$24="",Norm_Stats!$G$24=Norm_Stats!$F$24),"",MAX(0,MIN(100,100*(MIN(MAX(City_Inputs!$AK68,Norm_Stats!$F$24),Norm_Stats!$G$24)-Norm_Stats!$F$24)/(Norm_Stats!$G$24-Norm_Stats!$F$24)))))="",0,0.2))=0,"",(IF((IF(OR(City_Inputs!$AG68="",Norm_Stats!$F$22="",Norm_Stats!$G$22="",Norm_Stats!$G$22=Norm_Stats!$F$22),"",MAX(0,MIN(100,100*(MIN(MAX(City_Inputs!$AG68,Norm_Stats!$F$22),Norm_Stats!$G$22)-Norm_Stats!$F$22)/(Norm_Stats!$G$22-Norm_Stats!$F$22)))))="",0,0.5)+IF((IF(OR(City_Inputs!$AJ68="",Norm_Stats!$F$23="",Norm_Stats!$G$23="",Norm_Stats!$G$23=Norm_Stats!$F$23),"",MAX(0,MIN(100,100*(MIN(MAX(City_Inputs!$AJ68,Norm_Stats!$F$23),Norm_Stats!$G$23)-Norm_Stats!$F$23)/(Norm_Stats!$G$23-Norm_Stats!$F$23)))))="",0,0.3)+IF((IF(OR(City_Inputs!$AK68="",Norm_Stats!$F$24="",Norm_Stats!$G$24="",Norm_Stats!$G$24=Norm_Stats!$F$24),"",MAX(0,MIN(100,100*(MIN(MAX(City_Inputs!$AK68,Norm_Stats!$F$24),Norm_Stats!$G$24)-Norm_Stats!$F$24)/(Norm_Stats!$G$24-Norm_Stats!$F$24)))))="",0,0.2)))</f>
        <v/>
      </c>
      <c r="BE68" s="11">
        <f>IF(OR(City_Inputs!$AH68="",Norm_Stats!$F$25="",Norm_Stats!$G$25="",Norm_Stats!$G$25=Norm_Stats!$F$25),"",MAX(0,MIN(100,100*(Norm_Stats!$G$25-MIN(MAX(City_Inputs!$AH68,Norm_Stats!$F$25),Norm_Stats!$G$25))/(Norm_Stats!$G$25-Norm_Stats!$F$25))))</f>
        <v/>
      </c>
      <c r="BF68" s="14">
        <f>IF(BE68="","",1)</f>
        <v/>
      </c>
      <c r="BG68" s="15">
        <f>IF((IF(AY68="",0,6)+IF(BA68="",0,5)+IF(BC68="",0,5)+IF(BE68="",0,4))=0,"",(IF(AY68="",0,AY68*6)+IF(BA68="",0,BA68*5)+IF(BC68="",0,BC68*5)+IF(BE68="",0,BE68*4))/(IF(AY68="",0,6)+IF(BA68="",0,5)+IF(BC68="",0,5)+IF(BE68="",0,4)))</f>
        <v/>
      </c>
      <c r="BH68" s="14">
        <f>IF((IF(AZ68="",0,6)+IF(BB68="",0,5)+IF(BD68="",0,5)+IF(BF68="",0,4))=0,"",(IF(AZ68="",0,AZ68*6)+IF(BB68="",0,BB68*5)+IF(BD68="",0,BD68*5)+IF(BF68="",0,BF68*4))/20)</f>
        <v/>
      </c>
      <c r="BI68" s="14">
        <f>IF(AND(R68="",AF68="",AN68="",AX68="",BH68=""),"",((R68*25)+(AF68*22)+(AN68*18)+(AX68*15)+(BH68*20))/100)</f>
        <v/>
      </c>
      <c r="BJ68" s="11">
        <f>IF(BI68="","",IF(BI68&gt;=0.75,"A",IF(BI68&gt;=0.5,"B",IF(BI68&gt;=0.35,"C","Watchlist"))))</f>
        <v/>
      </c>
      <c r="BK68" s="11">
        <f>IF(OR(BI68="",BI68&lt;0.5,R68="",R68&lt;0.35,AF68="",AF68&lt;0.35,AN68="",AN68&lt;0.35,AX68="",AX68&lt;0.35,BH68="",BH68&lt;0.35),"Watchlist","Ranked")</f>
        <v/>
      </c>
      <c r="BL68" s="15">
        <f>IF(AND(Q68="",AE68="",AM68="",AW68="",BG68=""),"",(IF(Q68="",0,Q68*25)+IF(AE68="",0,AE68*22)+IF(AM68="",0,AM68*18)+IF(AW68="",0,AW68*15)+IF(BG68="",0,BG68*20))/(IF(Q68="",0,25)+IF(AE68="",0,22)+IF(AM68="",0,18)+IF(AW68="",0,15)+IF(BG68="",0,20)))</f>
        <v/>
      </c>
      <c r="BM68" s="11">
        <f>IF(BK68="Ranked",1+COUNTIFS($BK$2:$BK$158,"Ranked",$BL$2:$BL$158,"&gt;"&amp;BL68),"")</f>
        <v/>
      </c>
      <c r="BN68" s="11">
        <f>City_Inputs!$AI68</f>
        <v/>
      </c>
    </row>
    <row r="69">
      <c r="A69" t="inlineStr">
        <is>
          <t>pr-san-juan</t>
        </is>
      </c>
      <c r="B69" t="inlineStr">
        <is>
          <t>San Juan</t>
        </is>
      </c>
      <c r="C69" t="inlineStr">
        <is>
          <t>Puerto Rico</t>
        </is>
      </c>
      <c r="D69" t="inlineStr">
        <is>
          <t>North America</t>
        </is>
      </c>
      <c r="E69" t="inlineStr">
        <is>
          <t>provisional</t>
        </is>
      </c>
      <c r="F69" t="inlineStr">
        <is>
          <t>secondary</t>
        </is>
      </c>
      <c r="G69" s="11">
        <f>IF(OR(City_Inputs!$M69="",Norm_Stats!$F$2="",Norm_Stats!$G$2="",Norm_Stats!$G$2=Norm_Stats!$F$2),"",MAX(0,MIN(100,100*(MIN(MAX(City_Inputs!$M69,Norm_Stats!$F$2),Norm_Stats!$G$2)-Norm_Stats!$F$2)/(Norm_Stats!$G$2-Norm_Stats!$F$2))))</f>
        <v/>
      </c>
      <c r="H69" s="14">
        <f>IF(G69="","",1)</f>
        <v/>
      </c>
      <c r="I69" s="11">
        <f>IF(OR(City_Inputs!$N69="",Norm_Stats!$F$3="",Norm_Stats!$G$3="",Norm_Stats!$G$3=Norm_Stats!$F$3),"",MAX(0,MIN(100,100*(Norm_Stats!$G$3-MIN(MAX(City_Inputs!$N69,Norm_Stats!$F$3),Norm_Stats!$G$3))/(Norm_Stats!$G$3-Norm_Stats!$F$3))))</f>
        <v/>
      </c>
      <c r="J69" s="14">
        <f>IF(I69="","",1)</f>
        <v/>
      </c>
      <c r="K69" s="11">
        <f>IF(OR(City_Inputs!$P69="",Norm_Stats!$F$4="",Norm_Stats!$G$4="",Norm_Stats!$G$4=Norm_Stats!$F$4),"",MAX(0,MIN(100,100*(Norm_Stats!$G$4-MIN(MAX(City_Inputs!$P69,Norm_Stats!$F$4),Norm_Stats!$G$4))/(Norm_Stats!$G$4-Norm_Stats!$F$4))))</f>
        <v/>
      </c>
      <c r="L69" s="14">
        <f>IF(K69="","",1)</f>
        <v/>
      </c>
      <c r="M69" s="11">
        <f>IF(OR(City_Inputs!$Q69="",Norm_Stats!$F$5="",Norm_Stats!$G$5="",Norm_Stats!$G$5=Norm_Stats!$F$5),"",MAX(0,MIN(100,100*(Norm_Stats!$G$5-MIN(MAX(City_Inputs!$Q69,Norm_Stats!$F$5),Norm_Stats!$G$5))/(Norm_Stats!$G$5-Norm_Stats!$F$5))))</f>
        <v/>
      </c>
      <c r="N69" s="14">
        <f>IF(M69="","",1)</f>
        <v/>
      </c>
      <c r="O69" s="11">
        <f>IF(OR(City_Inputs!$R69="",Norm_Stats!$F$6="",Norm_Stats!$G$6="",Norm_Stats!$G$6=Norm_Stats!$F$6),"",MAX(0,MIN(100,100*(Norm_Stats!$G$6-MIN(MAX(City_Inputs!$R69,Norm_Stats!$F$6),Norm_Stats!$G$6))/(Norm_Stats!$G$6-Norm_Stats!$F$6))))</f>
        <v/>
      </c>
      <c r="P69" s="14">
        <f>IF(O69="","",1)</f>
        <v/>
      </c>
      <c r="Q69" s="15">
        <f>IF((IF(G69="",0,9)+IF(I69="",0,5)+IF(K69="",0,4)+IF(M69="",0,4)+IF(O69="",0,5))=0,"",(IF(G69="",0,G69*9)+IF(I69="",0,I69*5)+IF(K69="",0,K69*4)+IF(M69="",0,M69*4)+IF(O69="",0,O69*5))/(IF(G69="",0,9)+IF(I69="",0,5)+IF(K69="",0,4)+IF(M69="",0,4)+IF(O69="",0,5)))</f>
        <v/>
      </c>
      <c r="R69" s="14">
        <f>IF((IF(H69="",0,9)+IF(J69="",0,5)+IF(L69="",0,4)+IF(N69="",0,4)+IF(P69="",0,5))=0,"",(IF(H69="",0,H69*9)+IF(J69="",0,J69*5)+IF(L69="",0,L69*4)+IF(N69="",0,N69*4)+IF(P69="",0,P69*5))/27)</f>
        <v/>
      </c>
      <c r="S69" s="11">
        <f>IF(OR(City_Inputs!$S69="",Norm_Stats!$F$7="",Norm_Stats!$G$7="",Norm_Stats!$G$7=Norm_Stats!$F$7),"",MAX(0,MIN(100,100*(Norm_Stats!$G$7-MIN(MAX(City_Inputs!$S69,Norm_Stats!$F$7),Norm_Stats!$G$7))/(Norm_Stats!$G$7-Norm_Stats!$F$7))))</f>
        <v/>
      </c>
      <c r="T69" s="14">
        <f>IF(S69="","",1)</f>
        <v/>
      </c>
      <c r="U69" s="11">
        <f>IF(OR(City_Inputs!$T69="",Norm_Stats!$F$8="",Norm_Stats!$G$8="",Norm_Stats!$G$8=Norm_Stats!$F$8),"",MAX(0,MIN(100,100*(MIN(MAX(City_Inputs!$T69,Norm_Stats!$F$8),Norm_Stats!$G$8)-Norm_Stats!$F$8)/(Norm_Stats!$G$8-Norm_Stats!$F$8))))</f>
        <v/>
      </c>
      <c r="V69" s="14">
        <f>IF(U69="","",1)</f>
        <v/>
      </c>
      <c r="W69" s="11">
        <f>IF(OR(City_Inputs!$U69="",Norm_Stats!$F$9="",Norm_Stats!$G$9="",Norm_Stats!$G$9=Norm_Stats!$F$9),"",MAX(0,MIN(100,100*(Norm_Stats!$G$9-MIN(MAX(City_Inputs!$U69,Norm_Stats!$F$9),Norm_Stats!$G$9))/(Norm_Stats!$G$9-Norm_Stats!$F$9))))</f>
        <v/>
      </c>
      <c r="X69" s="14">
        <f>IF(W69="","",1)</f>
        <v/>
      </c>
      <c r="Y69" s="11">
        <f>IF(OR(City_Inputs!$V69="",Norm_Stats!$F$10="",Norm_Stats!$G$10="",Norm_Stats!$G$10=Norm_Stats!$F$10),"",MAX(0,MIN(100,100*(MIN(MAX(City_Inputs!$V69,Norm_Stats!$F$10),Norm_Stats!$G$10)-Norm_Stats!$F$10)/(Norm_Stats!$G$10-Norm_Stats!$F$10))))</f>
        <v/>
      </c>
      <c r="Z69" s="14">
        <f>IF(Y69="","",1)</f>
        <v/>
      </c>
      <c r="AA69" s="11">
        <f>IF(OR(City_Inputs!$W69="",Norm_Stats!$F$11="",Norm_Stats!$G$11="",Norm_Stats!$G$11=Norm_Stats!$F$11),"",MAX(0,MIN(100,100*(MIN(MAX(City_Inputs!$W69,Norm_Stats!$F$11),Norm_Stats!$G$11)-Norm_Stats!$F$11)/(Norm_Stats!$G$11-Norm_Stats!$F$11))))</f>
        <v/>
      </c>
      <c r="AB69" s="14">
        <f>IF(AA69="","",1)</f>
        <v/>
      </c>
      <c r="AC69" s="11">
        <f>IF(OR(City_Inputs!$X69="",Norm_Stats!$F$12="",Norm_Stats!$G$12="",Norm_Stats!$G$12=Norm_Stats!$F$12),"",MAX(0,MIN(100,100*(MIN(MAX(City_Inputs!$X69,Norm_Stats!$F$12),Norm_Stats!$G$12)-Norm_Stats!$F$12)/(Norm_Stats!$G$12-Norm_Stats!$F$12))))</f>
        <v/>
      </c>
      <c r="AD69" s="11">
        <f>IF(AC69="","",1)</f>
        <v/>
      </c>
      <c r="AE69" s="15">
        <f>IF((IF(S69="",0,5)+IF(U69="",0,5)+IF(W69="",0,4)+IF(Y69="",0,4)+IF(AA69="",0,4)+IF(AC69="",0,5))=0,"",(IF(S69="",0,S69*5)+IF(U69="",0,U69*5)+IF(W69="",0,W69*4)+IF(Y69="",0,Y69*4)+IF(AA69="",0,AA69*4)+IF(AC69="",0,AC69*5))/(IF(S69="",0,5)+IF(U69="",0,5)+IF(W69="",0,4)+IF(Y69="",0,4)+IF(AA69="",0,4)+IF(AC69="",0,5)))</f>
        <v/>
      </c>
      <c r="AF69" s="14">
        <f>IF((IF(T69="",0,5)+IF(V69="",0,5)+IF(X69="",0,4)+IF(Z69="",0,4)+IF(AB69="",0,4)+IF(AD69="",0,5))=0,"",(IF(T69="",0,T69*5)+IF(V69="",0,V69*5)+IF(X69="",0,X69*4)+IF(Z69="",0,Z69*4)+IF(AB69="",0,AB69*4)+IF(AD69="",0,AD69*5))/27)</f>
        <v/>
      </c>
      <c r="AG69" s="11">
        <f>IF(OR(City_Inputs!$Y69="",Norm_Stats!$F$13="",Norm_Stats!$G$13="",Norm_Stats!$G$13=Norm_Stats!$F$13),"",MAX(0,MIN(100,100*(MIN(MAX(City_Inputs!$Y69,Norm_Stats!$F$13),Norm_Stats!$G$13)-Norm_Stats!$F$13)/(Norm_Stats!$G$13-Norm_Stats!$F$13))))</f>
        <v/>
      </c>
      <c r="AH69" s="14">
        <f>IF(AG69="","",1)</f>
        <v/>
      </c>
      <c r="AI69" s="11">
        <f>IF(OR(City_Inputs!$Z69="",Norm_Stats!$F$14="",Norm_Stats!$G$14="",Norm_Stats!$G$14=Norm_Stats!$F$14),"",MAX(0,MIN(100,100*(MIN(MAX(City_Inputs!$Z69,Norm_Stats!$F$14),Norm_Stats!$G$14)-Norm_Stats!$F$14)/(Norm_Stats!$G$14-Norm_Stats!$F$14))))</f>
        <v/>
      </c>
      <c r="AJ69" s="14">
        <f>IF(AI69="","",1)</f>
        <v/>
      </c>
      <c r="AK69" s="11">
        <f>IF((IF((IF(OR(City_Inputs!$AA69="",Norm_Stats!$F$15="",Norm_Stats!$G$15="",Norm_Stats!$G$15=Norm_Stats!$F$15),"",MAX(0,MIN(100,100*(MIN(MAX(City_Inputs!$AA69,Norm_Stats!$F$15),Norm_Stats!$G$15)-Norm_Stats!$F$15)/(Norm_Stats!$G$15-Norm_Stats!$F$15)))))="",0,0.7)+IF((IF(OR(City_Inputs!$AL69="",Norm_Stats!$F$16="",Norm_Stats!$G$16="",Norm_Stats!$G$16=Norm_Stats!$F$16),"",MAX(0,MIN(100,100*(Norm_Stats!$G$16-MIN(MAX(City_Inputs!$AL69,Norm_Stats!$F$16),Norm_Stats!$G$16))/(Norm_Stats!$G$16-Norm_Stats!$F$16)))))="",0,0.3))=0,"",(IF((IF(OR(City_Inputs!$AA69="",Norm_Stats!$F$15="",Norm_Stats!$G$15="",Norm_Stats!$G$15=Norm_Stats!$F$15),"",MAX(0,MIN(100,100*(MIN(MAX(City_Inputs!$AA69,Norm_Stats!$F$15),Norm_Stats!$G$15)-Norm_Stats!$F$15)/(Norm_Stats!$G$15-Norm_Stats!$F$15)))))="",0,(IF(OR(City_Inputs!$AA69="",Norm_Stats!$F$15="",Norm_Stats!$G$15="",Norm_Stats!$G$15=Norm_Stats!$F$15),"",MAX(0,MIN(100,100*(MIN(MAX(City_Inputs!$AA69,Norm_Stats!$F$15),Norm_Stats!$G$15)-Norm_Stats!$F$15)/(Norm_Stats!$G$15-Norm_Stats!$F$15)))))*0.7)+IF((IF(OR(City_Inputs!$AL69="",Norm_Stats!$F$16="",Norm_Stats!$G$16="",Norm_Stats!$G$16=Norm_Stats!$F$16),"",MAX(0,MIN(100,100*(Norm_Stats!$G$16-MIN(MAX(City_Inputs!$AL69,Norm_Stats!$F$16),Norm_Stats!$G$16))/(Norm_Stats!$G$16-Norm_Stats!$F$16)))))="",0,(IF(OR(City_Inputs!$AL69="",Norm_Stats!$F$16="",Norm_Stats!$G$16="",Norm_Stats!$G$16=Norm_Stats!$F$16),"",MAX(0,MIN(100,100*(Norm_Stats!$G$16-MIN(MAX(City_Inputs!$AL69,Norm_Stats!$F$16),Norm_Stats!$G$16))/(Norm_Stats!$G$16-Norm_Stats!$F$16)))))*0.3))/(IF((IF(OR(City_Inputs!$AA69="",Norm_Stats!$F$15="",Norm_Stats!$G$15="",Norm_Stats!$G$15=Norm_Stats!$F$15),"",MAX(0,MIN(100,100*(MIN(MAX(City_Inputs!$AA69,Norm_Stats!$F$15),Norm_Stats!$G$15)-Norm_Stats!$F$15)/(Norm_Stats!$G$15-Norm_Stats!$F$15)))))="",0,0.7)+IF((IF(OR(City_Inputs!$AL69="",Norm_Stats!$F$16="",Norm_Stats!$G$16="",Norm_Stats!$G$16=Norm_Stats!$F$16),"",MAX(0,MIN(100,100*(Norm_Stats!$G$16-MIN(MAX(City_Inputs!$AL69,Norm_Stats!$F$16),Norm_Stats!$G$16))/(Norm_Stats!$G$16-Norm_Stats!$F$16)))))="",0,0.3)))</f>
        <v/>
      </c>
      <c r="AL69" s="14">
        <f>IF((IF((IF(OR(City_Inputs!$AA69="",Norm_Stats!$F$15="",Norm_Stats!$G$15="",Norm_Stats!$G$15=Norm_Stats!$F$15),"",MAX(0,MIN(100,100*(MIN(MAX(City_Inputs!$AA69,Norm_Stats!$F$15),Norm_Stats!$G$15)-Norm_Stats!$F$15)/(Norm_Stats!$G$15-Norm_Stats!$F$15)))))="",0,0.7)+IF((IF(OR(City_Inputs!$AL69="",Norm_Stats!$F$16="",Norm_Stats!$G$16="",Norm_Stats!$G$16=Norm_Stats!$F$16),"",MAX(0,MIN(100,100*(Norm_Stats!$G$16-MIN(MAX(City_Inputs!$AL69,Norm_Stats!$F$16),Norm_Stats!$G$16))/(Norm_Stats!$G$16-Norm_Stats!$F$16)))))="",0,0.3))=0,"",(IF((IF(OR(City_Inputs!$AA69="",Norm_Stats!$F$15="",Norm_Stats!$G$15="",Norm_Stats!$G$15=Norm_Stats!$F$15),"",MAX(0,MIN(100,100*(MIN(MAX(City_Inputs!$AA69,Norm_Stats!$F$15),Norm_Stats!$G$15)-Norm_Stats!$F$15)/(Norm_Stats!$G$15-Norm_Stats!$F$15)))))="",0,0.7)+IF((IF(OR(City_Inputs!$AL69="",Norm_Stats!$F$16="",Norm_Stats!$G$16="",Norm_Stats!$G$16=Norm_Stats!$F$16),"",MAX(0,MIN(100,100*(Norm_Stats!$G$16-MIN(MAX(City_Inputs!$AL69,Norm_Stats!$F$16),Norm_Stats!$G$16))/(Norm_Stats!$G$16-Norm_Stats!$F$16)))))="",0,0.3)))</f>
        <v/>
      </c>
      <c r="AM69" s="15">
        <f>IF((IF(AG69="",0,8)+IF(AI69="",0,6)+IF(AK69="",0,4))=0,"",(IF(AG69="",0,AG69*8)+IF(AI69="",0,AI69*6)+IF(AK69="",0,AK69*4))/(IF(AG69="",0,8)+IF(AI69="",0,6)+IF(AK69="",0,4)))</f>
        <v/>
      </c>
      <c r="AN69" s="14">
        <f>IF((IF(AH69="",0,8)+IF(AJ69="",0,6)+IF(AL69="",0,4))=0,"",(IF(AH69="",0,AH69*8)+IF(AJ69="",0,AJ69*6)+IF(AL69="",0,AL69*4))/18)</f>
        <v/>
      </c>
      <c r="AO69" s="11">
        <f>IF(OR(City_Inputs!$AB69="",Norm_Stats!$F$17="",Norm_Stats!$G$17="",Norm_Stats!$G$17=Norm_Stats!$F$17),"",MAX(0,MIN(100,100*(MIN(MAX(City_Inputs!$AB69,Norm_Stats!$F$17),Norm_Stats!$G$17)-Norm_Stats!$F$17)/(Norm_Stats!$G$17-Norm_Stats!$F$17))))</f>
        <v/>
      </c>
      <c r="AP69" s="14">
        <f>IF(AO69="","",1)</f>
        <v/>
      </c>
      <c r="AQ69" s="11">
        <f>IF(OR(City_Inputs!$AC69="",Norm_Stats!$F$18="",Norm_Stats!$G$18="",Norm_Stats!$G$18=Norm_Stats!$F$18),"",MAX(0,MIN(100,100*(MIN(MAX(City_Inputs!$AC69,Norm_Stats!$F$18),Norm_Stats!$G$18)-Norm_Stats!$F$18)/(Norm_Stats!$G$18-Norm_Stats!$F$18))))</f>
        <v/>
      </c>
      <c r="AR69" s="14">
        <f>IF(AQ69="","",1)</f>
        <v/>
      </c>
      <c r="AS69" s="11">
        <f>IF(OR(City_Inputs!$AD69="",Norm_Stats!$F$19="",Norm_Stats!$G$19="",Norm_Stats!$G$19=Norm_Stats!$F$19),"",MAX(0,MIN(100,100*(MIN(MAX(City_Inputs!$AD69,Norm_Stats!$F$19),Norm_Stats!$G$19)-Norm_Stats!$F$19)/(Norm_Stats!$G$19-Norm_Stats!$F$19))))</f>
        <v/>
      </c>
      <c r="AT69" s="14">
        <f>IF(AS69="","",1)</f>
        <v/>
      </c>
      <c r="AU69" s="11">
        <f>IF(OR(City_Inputs!$BJ69="",Norm_Stats!$F$26="",Norm_Stats!$G$26="",Norm_Stats!$G$26=Norm_Stats!$F$26),"",MAX(0,MIN(100,100*(MIN(MAX(City_Inputs!$BJ69,Norm_Stats!$F$26),Norm_Stats!$G$26)-Norm_Stats!$F$26)/(Norm_Stats!$G$26-Norm_Stats!$F$26))))</f>
        <v/>
      </c>
      <c r="AV69" s="11">
        <f>IF(AU69="","",1)</f>
        <v/>
      </c>
      <c r="AW69" s="15">
        <f>IF((IF(AO69="",0,5)+IF(AQ69="",0,5)+IF(AS69="",0,5)+IF(AU69="",0,4))=0,"",(IF(AO69="",0,AO69*5)+IF(AQ69="",0,AQ69*5)+IF(AS69="",0,AS69*5)+IF(AU69="",0,AU69*4))/(IF(AO69="",0,5)+IF(AQ69="",0,5)+IF(AS69="",0,5)+IF(AU69="",0,4)))</f>
        <v/>
      </c>
      <c r="AX69" s="14">
        <f>IF((IF(AP69="",0,5)+IF(AR69="",0,5)+IF(AT69="",0,5)+IF(AV69="",0,4))=0,"",(IF(AP69="",0,AP69*5)+IF(AR69="",0,AR69*5)+IF(AT69="",0,AT69*5)+IF(AV69="",0,AV69*4))/19)</f>
        <v/>
      </c>
      <c r="AY69" s="11">
        <f>IF(OR(City_Inputs!$AE69="",Norm_Stats!$F$20="",Norm_Stats!$G$20="",Norm_Stats!$G$20=Norm_Stats!$F$20),"",MAX(0,MIN(100,100*(MIN(MAX(City_Inputs!$AE69,Norm_Stats!$F$20),Norm_Stats!$G$20)-Norm_Stats!$F$20)/(Norm_Stats!$G$20-Norm_Stats!$F$20))))</f>
        <v/>
      </c>
      <c r="AZ69" s="14">
        <f>IF(AY69="","",1)</f>
        <v/>
      </c>
      <c r="BA69" s="11">
        <f>IF(OR(City_Inputs!$AF69="",Norm_Stats!$F$21="",Norm_Stats!$G$21="",Norm_Stats!$G$21=Norm_Stats!$F$21),"",MAX(0,MIN(100,100*(MIN(MAX(City_Inputs!$AF69,Norm_Stats!$F$21),Norm_Stats!$G$21)-Norm_Stats!$F$21)/(Norm_Stats!$G$21-Norm_Stats!$F$21))))</f>
        <v/>
      </c>
      <c r="BB69" s="14">
        <f>IF(BA69="","",1)</f>
        <v/>
      </c>
      <c r="BC69" s="11">
        <f>IF((IF((IF(OR(City_Inputs!$AG69="",Norm_Stats!$F$22="",Norm_Stats!$G$22="",Norm_Stats!$G$22=Norm_Stats!$F$22),"",MAX(0,MIN(100,100*(MIN(MAX(City_Inputs!$AG69,Norm_Stats!$F$22),Norm_Stats!$G$22)-Norm_Stats!$F$22)/(Norm_Stats!$G$22-Norm_Stats!$F$22)))))="",0,0.5)+IF((IF(OR(City_Inputs!$AJ69="",Norm_Stats!$F$23="",Norm_Stats!$G$23="",Norm_Stats!$G$23=Norm_Stats!$F$23),"",MAX(0,MIN(100,100*(MIN(MAX(City_Inputs!$AJ69,Norm_Stats!$F$23),Norm_Stats!$G$23)-Norm_Stats!$F$23)/(Norm_Stats!$G$23-Norm_Stats!$F$23)))))="",0,0.3)+IF((IF(OR(City_Inputs!$AK69="",Norm_Stats!$F$24="",Norm_Stats!$G$24="",Norm_Stats!$G$24=Norm_Stats!$F$24),"",MAX(0,MIN(100,100*(MIN(MAX(City_Inputs!$AK69,Norm_Stats!$F$24),Norm_Stats!$G$24)-Norm_Stats!$F$24)/(Norm_Stats!$G$24-Norm_Stats!$F$24)))))="",0,0.2))=0,"",(IF((IF(OR(City_Inputs!$AG69="",Norm_Stats!$F$22="",Norm_Stats!$G$22="",Norm_Stats!$G$22=Norm_Stats!$F$22),"",MAX(0,MIN(100,100*(MIN(MAX(City_Inputs!$AG69,Norm_Stats!$F$22),Norm_Stats!$G$22)-Norm_Stats!$F$22)/(Norm_Stats!$G$22-Norm_Stats!$F$22)))))="",0,(IF(OR(City_Inputs!$AG69="",Norm_Stats!$F$22="",Norm_Stats!$G$22="",Norm_Stats!$G$22=Norm_Stats!$F$22),"",MAX(0,MIN(100,100*(MIN(MAX(City_Inputs!$AG69,Norm_Stats!$F$22),Norm_Stats!$G$22)-Norm_Stats!$F$22)/(Norm_Stats!$G$22-Norm_Stats!$F$22)))))*0.5)+IF((IF(OR(City_Inputs!$AJ69="",Norm_Stats!$F$23="",Norm_Stats!$G$23="",Norm_Stats!$G$23=Norm_Stats!$F$23),"",MAX(0,MIN(100,100*(MIN(MAX(City_Inputs!$AJ69,Norm_Stats!$F$23),Norm_Stats!$G$23)-Norm_Stats!$F$23)/(Norm_Stats!$G$23-Norm_Stats!$F$23)))))="",0,(IF(OR(City_Inputs!$AJ69="",Norm_Stats!$F$23="",Norm_Stats!$G$23="",Norm_Stats!$G$23=Norm_Stats!$F$23),"",MAX(0,MIN(100,100*(MIN(MAX(City_Inputs!$AJ69,Norm_Stats!$F$23),Norm_Stats!$G$23)-Norm_Stats!$F$23)/(Norm_Stats!$G$23-Norm_Stats!$F$23)))))*0.3)+IF((IF(OR(City_Inputs!$AK69="",Norm_Stats!$F$24="",Norm_Stats!$G$24="",Norm_Stats!$G$24=Norm_Stats!$F$24),"",MAX(0,MIN(100,100*(MIN(MAX(City_Inputs!$AK69,Norm_Stats!$F$24),Norm_Stats!$G$24)-Norm_Stats!$F$24)/(Norm_Stats!$G$24-Norm_Stats!$F$24)))))="",0,(IF(OR(City_Inputs!$AK69="",Norm_Stats!$F$24="",Norm_Stats!$G$24="",Norm_Stats!$G$24=Norm_Stats!$F$24),"",MAX(0,MIN(100,100*(MIN(MAX(City_Inputs!$AK69,Norm_Stats!$F$24),Norm_Stats!$G$24)-Norm_Stats!$F$24)/(Norm_Stats!$G$24-Norm_Stats!$F$24)))))*0.2))/(IF((IF(OR(City_Inputs!$AG69="",Norm_Stats!$F$22="",Norm_Stats!$G$22="",Norm_Stats!$G$22=Norm_Stats!$F$22),"",MAX(0,MIN(100,100*(MIN(MAX(City_Inputs!$AG69,Norm_Stats!$F$22),Norm_Stats!$G$22)-Norm_Stats!$F$22)/(Norm_Stats!$G$22-Norm_Stats!$F$22)))))="",0,0.5)+IF((IF(OR(City_Inputs!$AJ69="",Norm_Stats!$F$23="",Norm_Stats!$G$23="",Norm_Stats!$G$23=Norm_Stats!$F$23),"",MAX(0,MIN(100,100*(MIN(MAX(City_Inputs!$AJ69,Norm_Stats!$F$23),Norm_Stats!$G$23)-Norm_Stats!$F$23)/(Norm_Stats!$G$23-Norm_Stats!$F$23)))))="",0,0.3)+IF((IF(OR(City_Inputs!$AK69="",Norm_Stats!$F$24="",Norm_Stats!$G$24="",Norm_Stats!$G$24=Norm_Stats!$F$24),"",MAX(0,MIN(100,100*(MIN(MAX(City_Inputs!$AK69,Norm_Stats!$F$24),Norm_Stats!$G$24)-Norm_Stats!$F$24)/(Norm_Stats!$G$24-Norm_Stats!$F$24)))))="",0,0.2)))</f>
        <v/>
      </c>
      <c r="BD69" s="14">
        <f>IF((IF((IF(OR(City_Inputs!$AG69="",Norm_Stats!$F$22="",Norm_Stats!$G$22="",Norm_Stats!$G$22=Norm_Stats!$F$22),"",MAX(0,MIN(100,100*(MIN(MAX(City_Inputs!$AG69,Norm_Stats!$F$22),Norm_Stats!$G$22)-Norm_Stats!$F$22)/(Norm_Stats!$G$22-Norm_Stats!$F$22)))))="",0,0.5)+IF((IF(OR(City_Inputs!$AJ69="",Norm_Stats!$F$23="",Norm_Stats!$G$23="",Norm_Stats!$G$23=Norm_Stats!$F$23),"",MAX(0,MIN(100,100*(MIN(MAX(City_Inputs!$AJ69,Norm_Stats!$F$23),Norm_Stats!$G$23)-Norm_Stats!$F$23)/(Norm_Stats!$G$23-Norm_Stats!$F$23)))))="",0,0.3)+IF((IF(OR(City_Inputs!$AK69="",Norm_Stats!$F$24="",Norm_Stats!$G$24="",Norm_Stats!$G$24=Norm_Stats!$F$24),"",MAX(0,MIN(100,100*(MIN(MAX(City_Inputs!$AK69,Norm_Stats!$F$24),Norm_Stats!$G$24)-Norm_Stats!$F$24)/(Norm_Stats!$G$24-Norm_Stats!$F$24)))))="",0,0.2))=0,"",(IF((IF(OR(City_Inputs!$AG69="",Norm_Stats!$F$22="",Norm_Stats!$G$22="",Norm_Stats!$G$22=Norm_Stats!$F$22),"",MAX(0,MIN(100,100*(MIN(MAX(City_Inputs!$AG69,Norm_Stats!$F$22),Norm_Stats!$G$22)-Norm_Stats!$F$22)/(Norm_Stats!$G$22-Norm_Stats!$F$22)))))="",0,0.5)+IF((IF(OR(City_Inputs!$AJ69="",Norm_Stats!$F$23="",Norm_Stats!$G$23="",Norm_Stats!$G$23=Norm_Stats!$F$23),"",MAX(0,MIN(100,100*(MIN(MAX(City_Inputs!$AJ69,Norm_Stats!$F$23),Norm_Stats!$G$23)-Norm_Stats!$F$23)/(Norm_Stats!$G$23-Norm_Stats!$F$23)))))="",0,0.3)+IF((IF(OR(City_Inputs!$AK69="",Norm_Stats!$F$24="",Norm_Stats!$G$24="",Norm_Stats!$G$24=Norm_Stats!$F$24),"",MAX(0,MIN(100,100*(MIN(MAX(City_Inputs!$AK69,Norm_Stats!$F$24),Norm_Stats!$G$24)-Norm_Stats!$F$24)/(Norm_Stats!$G$24-Norm_Stats!$F$24)))))="",0,0.2)))</f>
        <v/>
      </c>
      <c r="BE69" s="11">
        <f>IF(OR(City_Inputs!$AH69="",Norm_Stats!$F$25="",Norm_Stats!$G$25="",Norm_Stats!$G$25=Norm_Stats!$F$25),"",MAX(0,MIN(100,100*(Norm_Stats!$G$25-MIN(MAX(City_Inputs!$AH69,Norm_Stats!$F$25),Norm_Stats!$G$25))/(Norm_Stats!$G$25-Norm_Stats!$F$25))))</f>
        <v/>
      </c>
      <c r="BF69" s="14">
        <f>IF(BE69="","",1)</f>
        <v/>
      </c>
      <c r="BG69" s="15">
        <f>IF((IF(AY69="",0,6)+IF(BA69="",0,5)+IF(BC69="",0,5)+IF(BE69="",0,4))=0,"",(IF(AY69="",0,AY69*6)+IF(BA69="",0,BA69*5)+IF(BC69="",0,BC69*5)+IF(BE69="",0,BE69*4))/(IF(AY69="",0,6)+IF(BA69="",0,5)+IF(BC69="",0,5)+IF(BE69="",0,4)))</f>
        <v/>
      </c>
      <c r="BH69" s="14">
        <f>IF((IF(AZ69="",0,6)+IF(BB69="",0,5)+IF(BD69="",0,5)+IF(BF69="",0,4))=0,"",(IF(AZ69="",0,AZ69*6)+IF(BB69="",0,BB69*5)+IF(BD69="",0,BD69*5)+IF(BF69="",0,BF69*4))/20)</f>
        <v/>
      </c>
      <c r="BI69" s="14">
        <f>IF(AND(R69="",AF69="",AN69="",AX69="",BH69=""),"",((R69*25)+(AF69*22)+(AN69*18)+(AX69*15)+(BH69*20))/100)</f>
        <v/>
      </c>
      <c r="BJ69" s="11">
        <f>IF(BI69="","",IF(BI69&gt;=0.75,"A",IF(BI69&gt;=0.5,"B",IF(BI69&gt;=0.35,"C","Watchlist"))))</f>
        <v/>
      </c>
      <c r="BK69" s="11">
        <f>IF(OR(BI69="",BI69&lt;0.5,R69="",R69&lt;0.35,AF69="",AF69&lt;0.35,AN69="",AN69&lt;0.35,AX69="",AX69&lt;0.35,BH69="",BH69&lt;0.35),"Watchlist","Ranked")</f>
        <v/>
      </c>
      <c r="BL69" s="15">
        <f>IF(AND(Q69="",AE69="",AM69="",AW69="",BG69=""),"",(IF(Q69="",0,Q69*25)+IF(AE69="",0,AE69*22)+IF(AM69="",0,AM69*18)+IF(AW69="",0,AW69*15)+IF(BG69="",0,BG69*20))/(IF(Q69="",0,25)+IF(AE69="",0,22)+IF(AM69="",0,18)+IF(AW69="",0,15)+IF(BG69="",0,20)))</f>
        <v/>
      </c>
      <c r="BM69" s="11">
        <f>IF(BK69="Ranked",1+COUNTIFS($BK$2:$BK$158,"Ranked",$BL$2:$BL$158,"&gt;"&amp;BL69),"")</f>
        <v/>
      </c>
      <c r="BN69" s="11">
        <f>City_Inputs!$AI69</f>
        <v/>
      </c>
    </row>
    <row r="70">
      <c r="A70" t="inlineStr">
        <is>
          <t>mx-merida</t>
        </is>
      </c>
      <c r="B70" t="inlineStr">
        <is>
          <t>Merida</t>
        </is>
      </c>
      <c r="C70" t="inlineStr">
        <is>
          <t>Mexico</t>
        </is>
      </c>
      <c r="D70" t="inlineStr">
        <is>
          <t>North America</t>
        </is>
      </c>
      <c r="E70" t="inlineStr">
        <is>
          <t>provisional</t>
        </is>
      </c>
      <c r="F70" t="inlineStr">
        <is>
          <t>secondary</t>
        </is>
      </c>
      <c r="G70" s="11">
        <f>IF(OR(City_Inputs!$M70="",Norm_Stats!$F$2="",Norm_Stats!$G$2="",Norm_Stats!$G$2=Norm_Stats!$F$2),"",MAX(0,MIN(100,100*(MIN(MAX(City_Inputs!$M70,Norm_Stats!$F$2),Norm_Stats!$G$2)-Norm_Stats!$F$2)/(Norm_Stats!$G$2-Norm_Stats!$F$2))))</f>
        <v/>
      </c>
      <c r="H70" s="14">
        <f>IF(G70="","",1)</f>
        <v/>
      </c>
      <c r="I70" s="11">
        <f>IF(OR(City_Inputs!$N70="",Norm_Stats!$F$3="",Norm_Stats!$G$3="",Norm_Stats!$G$3=Norm_Stats!$F$3),"",MAX(0,MIN(100,100*(Norm_Stats!$G$3-MIN(MAX(City_Inputs!$N70,Norm_Stats!$F$3),Norm_Stats!$G$3))/(Norm_Stats!$G$3-Norm_Stats!$F$3))))</f>
        <v/>
      </c>
      <c r="J70" s="14">
        <f>IF(I70="","",1)</f>
        <v/>
      </c>
      <c r="K70" s="11">
        <f>IF(OR(City_Inputs!$P70="",Norm_Stats!$F$4="",Norm_Stats!$G$4="",Norm_Stats!$G$4=Norm_Stats!$F$4),"",MAX(0,MIN(100,100*(Norm_Stats!$G$4-MIN(MAX(City_Inputs!$P70,Norm_Stats!$F$4),Norm_Stats!$G$4))/(Norm_Stats!$G$4-Norm_Stats!$F$4))))</f>
        <v/>
      </c>
      <c r="L70" s="14">
        <f>IF(K70="","",1)</f>
        <v/>
      </c>
      <c r="M70" s="11">
        <f>IF(OR(City_Inputs!$Q70="",Norm_Stats!$F$5="",Norm_Stats!$G$5="",Norm_Stats!$G$5=Norm_Stats!$F$5),"",MAX(0,MIN(100,100*(Norm_Stats!$G$5-MIN(MAX(City_Inputs!$Q70,Norm_Stats!$F$5),Norm_Stats!$G$5))/(Norm_Stats!$G$5-Norm_Stats!$F$5))))</f>
        <v/>
      </c>
      <c r="N70" s="14">
        <f>IF(M70="","",1)</f>
        <v/>
      </c>
      <c r="O70" s="11">
        <f>IF(OR(City_Inputs!$R70="",Norm_Stats!$F$6="",Norm_Stats!$G$6="",Norm_Stats!$G$6=Norm_Stats!$F$6),"",MAX(0,MIN(100,100*(Norm_Stats!$G$6-MIN(MAX(City_Inputs!$R70,Norm_Stats!$F$6),Norm_Stats!$G$6))/(Norm_Stats!$G$6-Norm_Stats!$F$6))))</f>
        <v/>
      </c>
      <c r="P70" s="14">
        <f>IF(O70="","",1)</f>
        <v/>
      </c>
      <c r="Q70" s="15">
        <f>IF((IF(G70="",0,9)+IF(I70="",0,5)+IF(K70="",0,4)+IF(M70="",0,4)+IF(O70="",0,5))=0,"",(IF(G70="",0,G70*9)+IF(I70="",0,I70*5)+IF(K70="",0,K70*4)+IF(M70="",0,M70*4)+IF(O70="",0,O70*5))/(IF(G70="",0,9)+IF(I70="",0,5)+IF(K70="",0,4)+IF(M70="",0,4)+IF(O70="",0,5)))</f>
        <v/>
      </c>
      <c r="R70" s="14">
        <f>IF((IF(H70="",0,9)+IF(J70="",0,5)+IF(L70="",0,4)+IF(N70="",0,4)+IF(P70="",0,5))=0,"",(IF(H70="",0,H70*9)+IF(J70="",0,J70*5)+IF(L70="",0,L70*4)+IF(N70="",0,N70*4)+IF(P70="",0,P70*5))/27)</f>
        <v/>
      </c>
      <c r="S70" s="11">
        <f>IF(OR(City_Inputs!$S70="",Norm_Stats!$F$7="",Norm_Stats!$G$7="",Norm_Stats!$G$7=Norm_Stats!$F$7),"",MAX(0,MIN(100,100*(Norm_Stats!$G$7-MIN(MAX(City_Inputs!$S70,Norm_Stats!$F$7),Norm_Stats!$G$7))/(Norm_Stats!$G$7-Norm_Stats!$F$7))))</f>
        <v/>
      </c>
      <c r="T70" s="14">
        <f>IF(S70="","",1)</f>
        <v/>
      </c>
      <c r="U70" s="11">
        <f>IF(OR(City_Inputs!$T70="",Norm_Stats!$F$8="",Norm_Stats!$G$8="",Norm_Stats!$G$8=Norm_Stats!$F$8),"",MAX(0,MIN(100,100*(MIN(MAX(City_Inputs!$T70,Norm_Stats!$F$8),Norm_Stats!$G$8)-Norm_Stats!$F$8)/(Norm_Stats!$G$8-Norm_Stats!$F$8))))</f>
        <v/>
      </c>
      <c r="V70" s="14">
        <f>IF(U70="","",1)</f>
        <v/>
      </c>
      <c r="W70" s="11">
        <f>IF(OR(City_Inputs!$U70="",Norm_Stats!$F$9="",Norm_Stats!$G$9="",Norm_Stats!$G$9=Norm_Stats!$F$9),"",MAX(0,MIN(100,100*(Norm_Stats!$G$9-MIN(MAX(City_Inputs!$U70,Norm_Stats!$F$9),Norm_Stats!$G$9))/(Norm_Stats!$G$9-Norm_Stats!$F$9))))</f>
        <v/>
      </c>
      <c r="X70" s="14">
        <f>IF(W70="","",1)</f>
        <v/>
      </c>
      <c r="Y70" s="11">
        <f>IF(OR(City_Inputs!$V70="",Norm_Stats!$F$10="",Norm_Stats!$G$10="",Norm_Stats!$G$10=Norm_Stats!$F$10),"",MAX(0,MIN(100,100*(MIN(MAX(City_Inputs!$V70,Norm_Stats!$F$10),Norm_Stats!$G$10)-Norm_Stats!$F$10)/(Norm_Stats!$G$10-Norm_Stats!$F$10))))</f>
        <v/>
      </c>
      <c r="Z70" s="14">
        <f>IF(Y70="","",1)</f>
        <v/>
      </c>
      <c r="AA70" s="11">
        <f>IF(OR(City_Inputs!$W70="",Norm_Stats!$F$11="",Norm_Stats!$G$11="",Norm_Stats!$G$11=Norm_Stats!$F$11),"",MAX(0,MIN(100,100*(MIN(MAX(City_Inputs!$W70,Norm_Stats!$F$11),Norm_Stats!$G$11)-Norm_Stats!$F$11)/(Norm_Stats!$G$11-Norm_Stats!$F$11))))</f>
        <v/>
      </c>
      <c r="AB70" s="14">
        <f>IF(AA70="","",1)</f>
        <v/>
      </c>
      <c r="AC70" s="11">
        <f>IF(OR(City_Inputs!$X70="",Norm_Stats!$F$12="",Norm_Stats!$G$12="",Norm_Stats!$G$12=Norm_Stats!$F$12),"",MAX(0,MIN(100,100*(MIN(MAX(City_Inputs!$X70,Norm_Stats!$F$12),Norm_Stats!$G$12)-Norm_Stats!$F$12)/(Norm_Stats!$G$12-Norm_Stats!$F$12))))</f>
        <v/>
      </c>
      <c r="AD70" s="11">
        <f>IF(AC70="","",1)</f>
        <v/>
      </c>
      <c r="AE70" s="15">
        <f>IF((IF(S70="",0,5)+IF(U70="",0,5)+IF(W70="",0,4)+IF(Y70="",0,4)+IF(AA70="",0,4)+IF(AC70="",0,5))=0,"",(IF(S70="",0,S70*5)+IF(U70="",0,U70*5)+IF(W70="",0,W70*4)+IF(Y70="",0,Y70*4)+IF(AA70="",0,AA70*4)+IF(AC70="",0,AC70*5))/(IF(S70="",0,5)+IF(U70="",0,5)+IF(W70="",0,4)+IF(Y70="",0,4)+IF(AA70="",0,4)+IF(AC70="",0,5)))</f>
        <v/>
      </c>
      <c r="AF70" s="14">
        <f>IF((IF(T70="",0,5)+IF(V70="",0,5)+IF(X70="",0,4)+IF(Z70="",0,4)+IF(AB70="",0,4)+IF(AD70="",0,5))=0,"",(IF(T70="",0,T70*5)+IF(V70="",0,V70*5)+IF(X70="",0,X70*4)+IF(Z70="",0,Z70*4)+IF(AB70="",0,AB70*4)+IF(AD70="",0,AD70*5))/27)</f>
        <v/>
      </c>
      <c r="AG70" s="11">
        <f>IF(OR(City_Inputs!$Y70="",Norm_Stats!$F$13="",Norm_Stats!$G$13="",Norm_Stats!$G$13=Norm_Stats!$F$13),"",MAX(0,MIN(100,100*(MIN(MAX(City_Inputs!$Y70,Norm_Stats!$F$13),Norm_Stats!$G$13)-Norm_Stats!$F$13)/(Norm_Stats!$G$13-Norm_Stats!$F$13))))</f>
        <v/>
      </c>
      <c r="AH70" s="14">
        <f>IF(AG70="","",1)</f>
        <v/>
      </c>
      <c r="AI70" s="11">
        <f>IF(OR(City_Inputs!$Z70="",Norm_Stats!$F$14="",Norm_Stats!$G$14="",Norm_Stats!$G$14=Norm_Stats!$F$14),"",MAX(0,MIN(100,100*(MIN(MAX(City_Inputs!$Z70,Norm_Stats!$F$14),Norm_Stats!$G$14)-Norm_Stats!$F$14)/(Norm_Stats!$G$14-Norm_Stats!$F$14))))</f>
        <v/>
      </c>
      <c r="AJ70" s="14">
        <f>IF(AI70="","",1)</f>
        <v/>
      </c>
      <c r="AK70" s="11">
        <f>IF((IF((IF(OR(City_Inputs!$AA70="",Norm_Stats!$F$15="",Norm_Stats!$G$15="",Norm_Stats!$G$15=Norm_Stats!$F$15),"",MAX(0,MIN(100,100*(MIN(MAX(City_Inputs!$AA70,Norm_Stats!$F$15),Norm_Stats!$G$15)-Norm_Stats!$F$15)/(Norm_Stats!$G$15-Norm_Stats!$F$15)))))="",0,0.7)+IF((IF(OR(City_Inputs!$AL70="",Norm_Stats!$F$16="",Norm_Stats!$G$16="",Norm_Stats!$G$16=Norm_Stats!$F$16),"",MAX(0,MIN(100,100*(Norm_Stats!$G$16-MIN(MAX(City_Inputs!$AL70,Norm_Stats!$F$16),Norm_Stats!$G$16))/(Norm_Stats!$G$16-Norm_Stats!$F$16)))))="",0,0.3))=0,"",(IF((IF(OR(City_Inputs!$AA70="",Norm_Stats!$F$15="",Norm_Stats!$G$15="",Norm_Stats!$G$15=Norm_Stats!$F$15),"",MAX(0,MIN(100,100*(MIN(MAX(City_Inputs!$AA70,Norm_Stats!$F$15),Norm_Stats!$G$15)-Norm_Stats!$F$15)/(Norm_Stats!$G$15-Norm_Stats!$F$15)))))="",0,(IF(OR(City_Inputs!$AA70="",Norm_Stats!$F$15="",Norm_Stats!$G$15="",Norm_Stats!$G$15=Norm_Stats!$F$15),"",MAX(0,MIN(100,100*(MIN(MAX(City_Inputs!$AA70,Norm_Stats!$F$15),Norm_Stats!$G$15)-Norm_Stats!$F$15)/(Norm_Stats!$G$15-Norm_Stats!$F$15)))))*0.7)+IF((IF(OR(City_Inputs!$AL70="",Norm_Stats!$F$16="",Norm_Stats!$G$16="",Norm_Stats!$G$16=Norm_Stats!$F$16),"",MAX(0,MIN(100,100*(Norm_Stats!$G$16-MIN(MAX(City_Inputs!$AL70,Norm_Stats!$F$16),Norm_Stats!$G$16))/(Norm_Stats!$G$16-Norm_Stats!$F$16)))))="",0,(IF(OR(City_Inputs!$AL70="",Norm_Stats!$F$16="",Norm_Stats!$G$16="",Norm_Stats!$G$16=Norm_Stats!$F$16),"",MAX(0,MIN(100,100*(Norm_Stats!$G$16-MIN(MAX(City_Inputs!$AL70,Norm_Stats!$F$16),Norm_Stats!$G$16))/(Norm_Stats!$G$16-Norm_Stats!$F$16)))))*0.3))/(IF((IF(OR(City_Inputs!$AA70="",Norm_Stats!$F$15="",Norm_Stats!$G$15="",Norm_Stats!$G$15=Norm_Stats!$F$15),"",MAX(0,MIN(100,100*(MIN(MAX(City_Inputs!$AA70,Norm_Stats!$F$15),Norm_Stats!$G$15)-Norm_Stats!$F$15)/(Norm_Stats!$G$15-Norm_Stats!$F$15)))))="",0,0.7)+IF((IF(OR(City_Inputs!$AL70="",Norm_Stats!$F$16="",Norm_Stats!$G$16="",Norm_Stats!$G$16=Norm_Stats!$F$16),"",MAX(0,MIN(100,100*(Norm_Stats!$G$16-MIN(MAX(City_Inputs!$AL70,Norm_Stats!$F$16),Norm_Stats!$G$16))/(Norm_Stats!$G$16-Norm_Stats!$F$16)))))="",0,0.3)))</f>
        <v/>
      </c>
      <c r="AL70" s="14">
        <f>IF((IF((IF(OR(City_Inputs!$AA70="",Norm_Stats!$F$15="",Norm_Stats!$G$15="",Norm_Stats!$G$15=Norm_Stats!$F$15),"",MAX(0,MIN(100,100*(MIN(MAX(City_Inputs!$AA70,Norm_Stats!$F$15),Norm_Stats!$G$15)-Norm_Stats!$F$15)/(Norm_Stats!$G$15-Norm_Stats!$F$15)))))="",0,0.7)+IF((IF(OR(City_Inputs!$AL70="",Norm_Stats!$F$16="",Norm_Stats!$G$16="",Norm_Stats!$G$16=Norm_Stats!$F$16),"",MAX(0,MIN(100,100*(Norm_Stats!$G$16-MIN(MAX(City_Inputs!$AL70,Norm_Stats!$F$16),Norm_Stats!$G$16))/(Norm_Stats!$G$16-Norm_Stats!$F$16)))))="",0,0.3))=0,"",(IF((IF(OR(City_Inputs!$AA70="",Norm_Stats!$F$15="",Norm_Stats!$G$15="",Norm_Stats!$G$15=Norm_Stats!$F$15),"",MAX(0,MIN(100,100*(MIN(MAX(City_Inputs!$AA70,Norm_Stats!$F$15),Norm_Stats!$G$15)-Norm_Stats!$F$15)/(Norm_Stats!$G$15-Norm_Stats!$F$15)))))="",0,0.7)+IF((IF(OR(City_Inputs!$AL70="",Norm_Stats!$F$16="",Norm_Stats!$G$16="",Norm_Stats!$G$16=Norm_Stats!$F$16),"",MAX(0,MIN(100,100*(Norm_Stats!$G$16-MIN(MAX(City_Inputs!$AL70,Norm_Stats!$F$16),Norm_Stats!$G$16))/(Norm_Stats!$G$16-Norm_Stats!$F$16)))))="",0,0.3)))</f>
        <v/>
      </c>
      <c r="AM70" s="15">
        <f>IF((IF(AG70="",0,8)+IF(AI70="",0,6)+IF(AK70="",0,4))=0,"",(IF(AG70="",0,AG70*8)+IF(AI70="",0,AI70*6)+IF(AK70="",0,AK70*4))/(IF(AG70="",0,8)+IF(AI70="",0,6)+IF(AK70="",0,4)))</f>
        <v/>
      </c>
      <c r="AN70" s="14">
        <f>IF((IF(AH70="",0,8)+IF(AJ70="",0,6)+IF(AL70="",0,4))=0,"",(IF(AH70="",0,AH70*8)+IF(AJ70="",0,AJ70*6)+IF(AL70="",0,AL70*4))/18)</f>
        <v/>
      </c>
      <c r="AO70" s="11">
        <f>IF(OR(City_Inputs!$AB70="",Norm_Stats!$F$17="",Norm_Stats!$G$17="",Norm_Stats!$G$17=Norm_Stats!$F$17),"",MAX(0,MIN(100,100*(MIN(MAX(City_Inputs!$AB70,Norm_Stats!$F$17),Norm_Stats!$G$17)-Norm_Stats!$F$17)/(Norm_Stats!$G$17-Norm_Stats!$F$17))))</f>
        <v/>
      </c>
      <c r="AP70" s="14">
        <f>IF(AO70="","",1)</f>
        <v/>
      </c>
      <c r="AQ70" s="11">
        <f>IF(OR(City_Inputs!$AC70="",Norm_Stats!$F$18="",Norm_Stats!$G$18="",Norm_Stats!$G$18=Norm_Stats!$F$18),"",MAX(0,MIN(100,100*(MIN(MAX(City_Inputs!$AC70,Norm_Stats!$F$18),Norm_Stats!$G$18)-Norm_Stats!$F$18)/(Norm_Stats!$G$18-Norm_Stats!$F$18))))</f>
        <v/>
      </c>
      <c r="AR70" s="14">
        <f>IF(AQ70="","",1)</f>
        <v/>
      </c>
      <c r="AS70" s="11">
        <f>IF(OR(City_Inputs!$AD70="",Norm_Stats!$F$19="",Norm_Stats!$G$19="",Norm_Stats!$G$19=Norm_Stats!$F$19),"",MAX(0,MIN(100,100*(MIN(MAX(City_Inputs!$AD70,Norm_Stats!$F$19),Norm_Stats!$G$19)-Norm_Stats!$F$19)/(Norm_Stats!$G$19-Norm_Stats!$F$19))))</f>
        <v/>
      </c>
      <c r="AT70" s="14">
        <f>IF(AS70="","",1)</f>
        <v/>
      </c>
      <c r="AU70" s="11">
        <f>IF(OR(City_Inputs!$BJ70="",Norm_Stats!$F$26="",Norm_Stats!$G$26="",Norm_Stats!$G$26=Norm_Stats!$F$26),"",MAX(0,MIN(100,100*(MIN(MAX(City_Inputs!$BJ70,Norm_Stats!$F$26),Norm_Stats!$G$26)-Norm_Stats!$F$26)/(Norm_Stats!$G$26-Norm_Stats!$F$26))))</f>
        <v/>
      </c>
      <c r="AV70" s="11">
        <f>IF(AU70="","",1)</f>
        <v/>
      </c>
      <c r="AW70" s="15">
        <f>IF((IF(AO70="",0,5)+IF(AQ70="",0,5)+IF(AS70="",0,5)+IF(AU70="",0,4))=0,"",(IF(AO70="",0,AO70*5)+IF(AQ70="",0,AQ70*5)+IF(AS70="",0,AS70*5)+IF(AU70="",0,AU70*4))/(IF(AO70="",0,5)+IF(AQ70="",0,5)+IF(AS70="",0,5)+IF(AU70="",0,4)))</f>
        <v/>
      </c>
      <c r="AX70" s="14">
        <f>IF((IF(AP70="",0,5)+IF(AR70="",0,5)+IF(AT70="",0,5)+IF(AV70="",0,4))=0,"",(IF(AP70="",0,AP70*5)+IF(AR70="",0,AR70*5)+IF(AT70="",0,AT70*5)+IF(AV70="",0,AV70*4))/19)</f>
        <v/>
      </c>
      <c r="AY70" s="11">
        <f>IF(OR(City_Inputs!$AE70="",Norm_Stats!$F$20="",Norm_Stats!$G$20="",Norm_Stats!$G$20=Norm_Stats!$F$20),"",MAX(0,MIN(100,100*(MIN(MAX(City_Inputs!$AE70,Norm_Stats!$F$20),Norm_Stats!$G$20)-Norm_Stats!$F$20)/(Norm_Stats!$G$20-Norm_Stats!$F$20))))</f>
        <v/>
      </c>
      <c r="AZ70" s="14">
        <f>IF(AY70="","",1)</f>
        <v/>
      </c>
      <c r="BA70" s="11">
        <f>IF(OR(City_Inputs!$AF70="",Norm_Stats!$F$21="",Norm_Stats!$G$21="",Norm_Stats!$G$21=Norm_Stats!$F$21),"",MAX(0,MIN(100,100*(MIN(MAX(City_Inputs!$AF70,Norm_Stats!$F$21),Norm_Stats!$G$21)-Norm_Stats!$F$21)/(Norm_Stats!$G$21-Norm_Stats!$F$21))))</f>
        <v/>
      </c>
      <c r="BB70" s="14">
        <f>IF(BA70="","",1)</f>
        <v/>
      </c>
      <c r="BC70" s="11">
        <f>IF((IF((IF(OR(City_Inputs!$AG70="",Norm_Stats!$F$22="",Norm_Stats!$G$22="",Norm_Stats!$G$22=Norm_Stats!$F$22),"",MAX(0,MIN(100,100*(MIN(MAX(City_Inputs!$AG70,Norm_Stats!$F$22),Norm_Stats!$G$22)-Norm_Stats!$F$22)/(Norm_Stats!$G$22-Norm_Stats!$F$22)))))="",0,0.5)+IF((IF(OR(City_Inputs!$AJ70="",Norm_Stats!$F$23="",Norm_Stats!$G$23="",Norm_Stats!$G$23=Norm_Stats!$F$23),"",MAX(0,MIN(100,100*(MIN(MAX(City_Inputs!$AJ70,Norm_Stats!$F$23),Norm_Stats!$G$23)-Norm_Stats!$F$23)/(Norm_Stats!$G$23-Norm_Stats!$F$23)))))="",0,0.3)+IF((IF(OR(City_Inputs!$AK70="",Norm_Stats!$F$24="",Norm_Stats!$G$24="",Norm_Stats!$G$24=Norm_Stats!$F$24),"",MAX(0,MIN(100,100*(MIN(MAX(City_Inputs!$AK70,Norm_Stats!$F$24),Norm_Stats!$G$24)-Norm_Stats!$F$24)/(Norm_Stats!$G$24-Norm_Stats!$F$24)))))="",0,0.2))=0,"",(IF((IF(OR(City_Inputs!$AG70="",Norm_Stats!$F$22="",Norm_Stats!$G$22="",Norm_Stats!$G$22=Norm_Stats!$F$22),"",MAX(0,MIN(100,100*(MIN(MAX(City_Inputs!$AG70,Norm_Stats!$F$22),Norm_Stats!$G$22)-Norm_Stats!$F$22)/(Norm_Stats!$G$22-Norm_Stats!$F$22)))))="",0,(IF(OR(City_Inputs!$AG70="",Norm_Stats!$F$22="",Norm_Stats!$G$22="",Norm_Stats!$G$22=Norm_Stats!$F$22),"",MAX(0,MIN(100,100*(MIN(MAX(City_Inputs!$AG70,Norm_Stats!$F$22),Norm_Stats!$G$22)-Norm_Stats!$F$22)/(Norm_Stats!$G$22-Norm_Stats!$F$22)))))*0.5)+IF((IF(OR(City_Inputs!$AJ70="",Norm_Stats!$F$23="",Norm_Stats!$G$23="",Norm_Stats!$G$23=Norm_Stats!$F$23),"",MAX(0,MIN(100,100*(MIN(MAX(City_Inputs!$AJ70,Norm_Stats!$F$23),Norm_Stats!$G$23)-Norm_Stats!$F$23)/(Norm_Stats!$G$23-Norm_Stats!$F$23)))))="",0,(IF(OR(City_Inputs!$AJ70="",Norm_Stats!$F$23="",Norm_Stats!$G$23="",Norm_Stats!$G$23=Norm_Stats!$F$23),"",MAX(0,MIN(100,100*(MIN(MAX(City_Inputs!$AJ70,Norm_Stats!$F$23),Norm_Stats!$G$23)-Norm_Stats!$F$23)/(Norm_Stats!$G$23-Norm_Stats!$F$23)))))*0.3)+IF((IF(OR(City_Inputs!$AK70="",Norm_Stats!$F$24="",Norm_Stats!$G$24="",Norm_Stats!$G$24=Norm_Stats!$F$24),"",MAX(0,MIN(100,100*(MIN(MAX(City_Inputs!$AK70,Norm_Stats!$F$24),Norm_Stats!$G$24)-Norm_Stats!$F$24)/(Norm_Stats!$G$24-Norm_Stats!$F$24)))))="",0,(IF(OR(City_Inputs!$AK70="",Norm_Stats!$F$24="",Norm_Stats!$G$24="",Norm_Stats!$G$24=Norm_Stats!$F$24),"",MAX(0,MIN(100,100*(MIN(MAX(City_Inputs!$AK70,Norm_Stats!$F$24),Norm_Stats!$G$24)-Norm_Stats!$F$24)/(Norm_Stats!$G$24-Norm_Stats!$F$24)))))*0.2))/(IF((IF(OR(City_Inputs!$AG70="",Norm_Stats!$F$22="",Norm_Stats!$G$22="",Norm_Stats!$G$22=Norm_Stats!$F$22),"",MAX(0,MIN(100,100*(MIN(MAX(City_Inputs!$AG70,Norm_Stats!$F$22),Norm_Stats!$G$22)-Norm_Stats!$F$22)/(Norm_Stats!$G$22-Norm_Stats!$F$22)))))="",0,0.5)+IF((IF(OR(City_Inputs!$AJ70="",Norm_Stats!$F$23="",Norm_Stats!$G$23="",Norm_Stats!$G$23=Norm_Stats!$F$23),"",MAX(0,MIN(100,100*(MIN(MAX(City_Inputs!$AJ70,Norm_Stats!$F$23),Norm_Stats!$G$23)-Norm_Stats!$F$23)/(Norm_Stats!$G$23-Norm_Stats!$F$23)))))="",0,0.3)+IF((IF(OR(City_Inputs!$AK70="",Norm_Stats!$F$24="",Norm_Stats!$G$24="",Norm_Stats!$G$24=Norm_Stats!$F$24),"",MAX(0,MIN(100,100*(MIN(MAX(City_Inputs!$AK70,Norm_Stats!$F$24),Norm_Stats!$G$24)-Norm_Stats!$F$24)/(Norm_Stats!$G$24-Norm_Stats!$F$24)))))="",0,0.2)))</f>
        <v/>
      </c>
      <c r="BD70" s="14">
        <f>IF((IF((IF(OR(City_Inputs!$AG70="",Norm_Stats!$F$22="",Norm_Stats!$G$22="",Norm_Stats!$G$22=Norm_Stats!$F$22),"",MAX(0,MIN(100,100*(MIN(MAX(City_Inputs!$AG70,Norm_Stats!$F$22),Norm_Stats!$G$22)-Norm_Stats!$F$22)/(Norm_Stats!$G$22-Norm_Stats!$F$22)))))="",0,0.5)+IF((IF(OR(City_Inputs!$AJ70="",Norm_Stats!$F$23="",Norm_Stats!$G$23="",Norm_Stats!$G$23=Norm_Stats!$F$23),"",MAX(0,MIN(100,100*(MIN(MAX(City_Inputs!$AJ70,Norm_Stats!$F$23),Norm_Stats!$G$23)-Norm_Stats!$F$23)/(Norm_Stats!$G$23-Norm_Stats!$F$23)))))="",0,0.3)+IF((IF(OR(City_Inputs!$AK70="",Norm_Stats!$F$24="",Norm_Stats!$G$24="",Norm_Stats!$G$24=Norm_Stats!$F$24),"",MAX(0,MIN(100,100*(MIN(MAX(City_Inputs!$AK70,Norm_Stats!$F$24),Norm_Stats!$G$24)-Norm_Stats!$F$24)/(Norm_Stats!$G$24-Norm_Stats!$F$24)))))="",0,0.2))=0,"",(IF((IF(OR(City_Inputs!$AG70="",Norm_Stats!$F$22="",Norm_Stats!$G$22="",Norm_Stats!$G$22=Norm_Stats!$F$22),"",MAX(0,MIN(100,100*(MIN(MAX(City_Inputs!$AG70,Norm_Stats!$F$22),Norm_Stats!$G$22)-Norm_Stats!$F$22)/(Norm_Stats!$G$22-Norm_Stats!$F$22)))))="",0,0.5)+IF((IF(OR(City_Inputs!$AJ70="",Norm_Stats!$F$23="",Norm_Stats!$G$23="",Norm_Stats!$G$23=Norm_Stats!$F$23),"",MAX(0,MIN(100,100*(MIN(MAX(City_Inputs!$AJ70,Norm_Stats!$F$23),Norm_Stats!$G$23)-Norm_Stats!$F$23)/(Norm_Stats!$G$23-Norm_Stats!$F$23)))))="",0,0.3)+IF((IF(OR(City_Inputs!$AK70="",Norm_Stats!$F$24="",Norm_Stats!$G$24="",Norm_Stats!$G$24=Norm_Stats!$F$24),"",MAX(0,MIN(100,100*(MIN(MAX(City_Inputs!$AK70,Norm_Stats!$F$24),Norm_Stats!$G$24)-Norm_Stats!$F$24)/(Norm_Stats!$G$24-Norm_Stats!$F$24)))))="",0,0.2)))</f>
        <v/>
      </c>
      <c r="BE70" s="11">
        <f>IF(OR(City_Inputs!$AH70="",Norm_Stats!$F$25="",Norm_Stats!$G$25="",Norm_Stats!$G$25=Norm_Stats!$F$25),"",MAX(0,MIN(100,100*(Norm_Stats!$G$25-MIN(MAX(City_Inputs!$AH70,Norm_Stats!$F$25),Norm_Stats!$G$25))/(Norm_Stats!$G$25-Norm_Stats!$F$25))))</f>
        <v/>
      </c>
      <c r="BF70" s="14">
        <f>IF(BE70="","",1)</f>
        <v/>
      </c>
      <c r="BG70" s="15">
        <f>IF((IF(AY70="",0,6)+IF(BA70="",0,5)+IF(BC70="",0,5)+IF(BE70="",0,4))=0,"",(IF(AY70="",0,AY70*6)+IF(BA70="",0,BA70*5)+IF(BC70="",0,BC70*5)+IF(BE70="",0,BE70*4))/(IF(AY70="",0,6)+IF(BA70="",0,5)+IF(BC70="",0,5)+IF(BE70="",0,4)))</f>
        <v/>
      </c>
      <c r="BH70" s="14">
        <f>IF((IF(AZ70="",0,6)+IF(BB70="",0,5)+IF(BD70="",0,5)+IF(BF70="",0,4))=0,"",(IF(AZ70="",0,AZ70*6)+IF(BB70="",0,BB70*5)+IF(BD70="",0,BD70*5)+IF(BF70="",0,BF70*4))/20)</f>
        <v/>
      </c>
      <c r="BI70" s="14">
        <f>IF(AND(R70="",AF70="",AN70="",AX70="",BH70=""),"",((R70*25)+(AF70*22)+(AN70*18)+(AX70*15)+(BH70*20))/100)</f>
        <v/>
      </c>
      <c r="BJ70" s="11">
        <f>IF(BI70="","",IF(BI70&gt;=0.75,"A",IF(BI70&gt;=0.5,"B",IF(BI70&gt;=0.35,"C","Watchlist"))))</f>
        <v/>
      </c>
      <c r="BK70" s="11">
        <f>IF(OR(BI70="",BI70&lt;0.5,R70="",R70&lt;0.35,AF70="",AF70&lt;0.35,AN70="",AN70&lt;0.35,AX70="",AX70&lt;0.35,BH70="",BH70&lt;0.35),"Watchlist","Ranked")</f>
        <v/>
      </c>
      <c r="BL70" s="15">
        <f>IF(AND(Q70="",AE70="",AM70="",AW70="",BG70=""),"",(IF(Q70="",0,Q70*25)+IF(AE70="",0,AE70*22)+IF(AM70="",0,AM70*18)+IF(AW70="",0,AW70*15)+IF(BG70="",0,BG70*20))/(IF(Q70="",0,25)+IF(AE70="",0,22)+IF(AM70="",0,18)+IF(AW70="",0,15)+IF(BG70="",0,20)))</f>
        <v/>
      </c>
      <c r="BM70" s="11">
        <f>IF(BK70="Ranked",1+COUNTIFS($BK$2:$BK$158,"Ranked",$BL$2:$BL$158,"&gt;"&amp;BL70),"")</f>
        <v/>
      </c>
      <c r="BN70" s="11">
        <f>City_Inputs!$AI70</f>
        <v/>
      </c>
    </row>
    <row r="71">
      <c r="A71" t="inlineStr">
        <is>
          <t>br-sao-paulo</t>
        </is>
      </c>
      <c r="B71" t="inlineStr">
        <is>
          <t>Sao Paulo</t>
        </is>
      </c>
      <c r="C71" t="inlineStr">
        <is>
          <t>Brazil</t>
        </is>
      </c>
      <c r="D71" t="inlineStr">
        <is>
          <t>Latin America</t>
        </is>
      </c>
      <c r="E71" t="inlineStr">
        <is>
          <t>locked</t>
        </is>
      </c>
      <c r="F71" t="inlineStr">
        <is>
          <t>primary</t>
        </is>
      </c>
      <c r="G71" s="11">
        <f>IF(OR(City_Inputs!$M71="",Norm_Stats!$F$2="",Norm_Stats!$G$2="",Norm_Stats!$G$2=Norm_Stats!$F$2),"",MAX(0,MIN(100,100*(MIN(MAX(City_Inputs!$M71,Norm_Stats!$F$2),Norm_Stats!$G$2)-Norm_Stats!$F$2)/(Norm_Stats!$G$2-Norm_Stats!$F$2))))</f>
        <v/>
      </c>
      <c r="H71" s="14">
        <f>IF(G71="","",1)</f>
        <v/>
      </c>
      <c r="I71" s="11">
        <f>IF(OR(City_Inputs!$N71="",Norm_Stats!$F$3="",Norm_Stats!$G$3="",Norm_Stats!$G$3=Norm_Stats!$F$3),"",MAX(0,MIN(100,100*(Norm_Stats!$G$3-MIN(MAX(City_Inputs!$N71,Norm_Stats!$F$3),Norm_Stats!$G$3))/(Norm_Stats!$G$3-Norm_Stats!$F$3))))</f>
        <v/>
      </c>
      <c r="J71" s="14">
        <f>IF(I71="","",1)</f>
        <v/>
      </c>
      <c r="K71" s="11">
        <f>IF(OR(City_Inputs!$P71="",Norm_Stats!$F$4="",Norm_Stats!$G$4="",Norm_Stats!$G$4=Norm_Stats!$F$4),"",MAX(0,MIN(100,100*(Norm_Stats!$G$4-MIN(MAX(City_Inputs!$P71,Norm_Stats!$F$4),Norm_Stats!$G$4))/(Norm_Stats!$G$4-Norm_Stats!$F$4))))</f>
        <v/>
      </c>
      <c r="L71" s="14">
        <f>IF(K71="","",1)</f>
        <v/>
      </c>
      <c r="M71" s="11">
        <f>IF(OR(City_Inputs!$Q71="",Norm_Stats!$F$5="",Norm_Stats!$G$5="",Norm_Stats!$G$5=Norm_Stats!$F$5),"",MAX(0,MIN(100,100*(Norm_Stats!$G$5-MIN(MAX(City_Inputs!$Q71,Norm_Stats!$F$5),Norm_Stats!$G$5))/(Norm_Stats!$G$5-Norm_Stats!$F$5))))</f>
        <v/>
      </c>
      <c r="N71" s="14">
        <f>IF(M71="","",1)</f>
        <v/>
      </c>
      <c r="O71" s="11">
        <f>IF(OR(City_Inputs!$R71="",Norm_Stats!$F$6="",Norm_Stats!$G$6="",Norm_Stats!$G$6=Norm_Stats!$F$6),"",MAX(0,MIN(100,100*(Norm_Stats!$G$6-MIN(MAX(City_Inputs!$R71,Norm_Stats!$F$6),Norm_Stats!$G$6))/(Norm_Stats!$G$6-Norm_Stats!$F$6))))</f>
        <v/>
      </c>
      <c r="P71" s="14">
        <f>IF(O71="","",1)</f>
        <v/>
      </c>
      <c r="Q71" s="15">
        <f>IF((IF(G71="",0,9)+IF(I71="",0,5)+IF(K71="",0,4)+IF(M71="",0,4)+IF(O71="",0,5))=0,"",(IF(G71="",0,G71*9)+IF(I71="",0,I71*5)+IF(K71="",0,K71*4)+IF(M71="",0,M71*4)+IF(O71="",0,O71*5))/(IF(G71="",0,9)+IF(I71="",0,5)+IF(K71="",0,4)+IF(M71="",0,4)+IF(O71="",0,5)))</f>
        <v/>
      </c>
      <c r="R71" s="14">
        <f>IF((IF(H71="",0,9)+IF(J71="",0,5)+IF(L71="",0,4)+IF(N71="",0,4)+IF(P71="",0,5))=0,"",(IF(H71="",0,H71*9)+IF(J71="",0,J71*5)+IF(L71="",0,L71*4)+IF(N71="",0,N71*4)+IF(P71="",0,P71*5))/27)</f>
        <v/>
      </c>
      <c r="S71" s="11">
        <f>IF(OR(City_Inputs!$S71="",Norm_Stats!$F$7="",Norm_Stats!$G$7="",Norm_Stats!$G$7=Norm_Stats!$F$7),"",MAX(0,MIN(100,100*(Norm_Stats!$G$7-MIN(MAX(City_Inputs!$S71,Norm_Stats!$F$7),Norm_Stats!$G$7))/(Norm_Stats!$G$7-Norm_Stats!$F$7))))</f>
        <v/>
      </c>
      <c r="T71" s="14">
        <f>IF(S71="","",1)</f>
        <v/>
      </c>
      <c r="U71" s="11">
        <f>IF(OR(City_Inputs!$T71="",Norm_Stats!$F$8="",Norm_Stats!$G$8="",Norm_Stats!$G$8=Norm_Stats!$F$8),"",MAX(0,MIN(100,100*(MIN(MAX(City_Inputs!$T71,Norm_Stats!$F$8),Norm_Stats!$G$8)-Norm_Stats!$F$8)/(Norm_Stats!$G$8-Norm_Stats!$F$8))))</f>
        <v/>
      </c>
      <c r="V71" s="14">
        <f>IF(U71="","",1)</f>
        <v/>
      </c>
      <c r="W71" s="11">
        <f>IF(OR(City_Inputs!$U71="",Norm_Stats!$F$9="",Norm_Stats!$G$9="",Norm_Stats!$G$9=Norm_Stats!$F$9),"",MAX(0,MIN(100,100*(Norm_Stats!$G$9-MIN(MAX(City_Inputs!$U71,Norm_Stats!$F$9),Norm_Stats!$G$9))/(Norm_Stats!$G$9-Norm_Stats!$F$9))))</f>
        <v/>
      </c>
      <c r="X71" s="14">
        <f>IF(W71="","",1)</f>
        <v/>
      </c>
      <c r="Y71" s="11">
        <f>IF(OR(City_Inputs!$V71="",Norm_Stats!$F$10="",Norm_Stats!$G$10="",Norm_Stats!$G$10=Norm_Stats!$F$10),"",MAX(0,MIN(100,100*(MIN(MAX(City_Inputs!$V71,Norm_Stats!$F$10),Norm_Stats!$G$10)-Norm_Stats!$F$10)/(Norm_Stats!$G$10-Norm_Stats!$F$10))))</f>
        <v/>
      </c>
      <c r="Z71" s="14">
        <f>IF(Y71="","",1)</f>
        <v/>
      </c>
      <c r="AA71" s="11">
        <f>IF(OR(City_Inputs!$W71="",Norm_Stats!$F$11="",Norm_Stats!$G$11="",Norm_Stats!$G$11=Norm_Stats!$F$11),"",MAX(0,MIN(100,100*(MIN(MAX(City_Inputs!$W71,Norm_Stats!$F$11),Norm_Stats!$G$11)-Norm_Stats!$F$11)/(Norm_Stats!$G$11-Norm_Stats!$F$11))))</f>
        <v/>
      </c>
      <c r="AB71" s="14">
        <f>IF(AA71="","",1)</f>
        <v/>
      </c>
      <c r="AC71" s="11">
        <f>IF(OR(City_Inputs!$X71="",Norm_Stats!$F$12="",Norm_Stats!$G$12="",Norm_Stats!$G$12=Norm_Stats!$F$12),"",MAX(0,MIN(100,100*(MIN(MAX(City_Inputs!$X71,Norm_Stats!$F$12),Norm_Stats!$G$12)-Norm_Stats!$F$12)/(Norm_Stats!$G$12-Norm_Stats!$F$12))))</f>
        <v/>
      </c>
      <c r="AD71" s="11">
        <f>IF(AC71="","",1)</f>
        <v/>
      </c>
      <c r="AE71" s="15">
        <f>IF((IF(S71="",0,5)+IF(U71="",0,5)+IF(W71="",0,4)+IF(Y71="",0,4)+IF(AA71="",0,4)+IF(AC71="",0,5))=0,"",(IF(S71="",0,S71*5)+IF(U71="",0,U71*5)+IF(W71="",0,W71*4)+IF(Y71="",0,Y71*4)+IF(AA71="",0,AA71*4)+IF(AC71="",0,AC71*5))/(IF(S71="",0,5)+IF(U71="",0,5)+IF(W71="",0,4)+IF(Y71="",0,4)+IF(AA71="",0,4)+IF(AC71="",0,5)))</f>
        <v/>
      </c>
      <c r="AF71" s="14">
        <f>IF((IF(T71="",0,5)+IF(V71="",0,5)+IF(X71="",0,4)+IF(Z71="",0,4)+IF(AB71="",0,4)+IF(AD71="",0,5))=0,"",(IF(T71="",0,T71*5)+IF(V71="",0,V71*5)+IF(X71="",0,X71*4)+IF(Z71="",0,Z71*4)+IF(AB71="",0,AB71*4)+IF(AD71="",0,AD71*5))/27)</f>
        <v/>
      </c>
      <c r="AG71" s="11">
        <f>IF(OR(City_Inputs!$Y71="",Norm_Stats!$F$13="",Norm_Stats!$G$13="",Norm_Stats!$G$13=Norm_Stats!$F$13),"",MAX(0,MIN(100,100*(MIN(MAX(City_Inputs!$Y71,Norm_Stats!$F$13),Norm_Stats!$G$13)-Norm_Stats!$F$13)/(Norm_Stats!$G$13-Norm_Stats!$F$13))))</f>
        <v/>
      </c>
      <c r="AH71" s="14">
        <f>IF(AG71="","",1)</f>
        <v/>
      </c>
      <c r="AI71" s="11">
        <f>IF(OR(City_Inputs!$Z71="",Norm_Stats!$F$14="",Norm_Stats!$G$14="",Norm_Stats!$G$14=Norm_Stats!$F$14),"",MAX(0,MIN(100,100*(MIN(MAX(City_Inputs!$Z71,Norm_Stats!$F$14),Norm_Stats!$G$14)-Norm_Stats!$F$14)/(Norm_Stats!$G$14-Norm_Stats!$F$14))))</f>
        <v/>
      </c>
      <c r="AJ71" s="14">
        <f>IF(AI71="","",1)</f>
        <v/>
      </c>
      <c r="AK71" s="11">
        <f>IF((IF((IF(OR(City_Inputs!$AA71="",Norm_Stats!$F$15="",Norm_Stats!$G$15="",Norm_Stats!$G$15=Norm_Stats!$F$15),"",MAX(0,MIN(100,100*(MIN(MAX(City_Inputs!$AA71,Norm_Stats!$F$15),Norm_Stats!$G$15)-Norm_Stats!$F$15)/(Norm_Stats!$G$15-Norm_Stats!$F$15)))))="",0,0.7)+IF((IF(OR(City_Inputs!$AL71="",Norm_Stats!$F$16="",Norm_Stats!$G$16="",Norm_Stats!$G$16=Norm_Stats!$F$16),"",MAX(0,MIN(100,100*(Norm_Stats!$G$16-MIN(MAX(City_Inputs!$AL71,Norm_Stats!$F$16),Norm_Stats!$G$16))/(Norm_Stats!$G$16-Norm_Stats!$F$16)))))="",0,0.3))=0,"",(IF((IF(OR(City_Inputs!$AA71="",Norm_Stats!$F$15="",Norm_Stats!$G$15="",Norm_Stats!$G$15=Norm_Stats!$F$15),"",MAX(0,MIN(100,100*(MIN(MAX(City_Inputs!$AA71,Norm_Stats!$F$15),Norm_Stats!$G$15)-Norm_Stats!$F$15)/(Norm_Stats!$G$15-Norm_Stats!$F$15)))))="",0,(IF(OR(City_Inputs!$AA71="",Norm_Stats!$F$15="",Norm_Stats!$G$15="",Norm_Stats!$G$15=Norm_Stats!$F$15),"",MAX(0,MIN(100,100*(MIN(MAX(City_Inputs!$AA71,Norm_Stats!$F$15),Norm_Stats!$G$15)-Norm_Stats!$F$15)/(Norm_Stats!$G$15-Norm_Stats!$F$15)))))*0.7)+IF((IF(OR(City_Inputs!$AL71="",Norm_Stats!$F$16="",Norm_Stats!$G$16="",Norm_Stats!$G$16=Norm_Stats!$F$16),"",MAX(0,MIN(100,100*(Norm_Stats!$G$16-MIN(MAX(City_Inputs!$AL71,Norm_Stats!$F$16),Norm_Stats!$G$16))/(Norm_Stats!$G$16-Norm_Stats!$F$16)))))="",0,(IF(OR(City_Inputs!$AL71="",Norm_Stats!$F$16="",Norm_Stats!$G$16="",Norm_Stats!$G$16=Norm_Stats!$F$16),"",MAX(0,MIN(100,100*(Norm_Stats!$G$16-MIN(MAX(City_Inputs!$AL71,Norm_Stats!$F$16),Norm_Stats!$G$16))/(Norm_Stats!$G$16-Norm_Stats!$F$16)))))*0.3))/(IF((IF(OR(City_Inputs!$AA71="",Norm_Stats!$F$15="",Norm_Stats!$G$15="",Norm_Stats!$G$15=Norm_Stats!$F$15),"",MAX(0,MIN(100,100*(MIN(MAX(City_Inputs!$AA71,Norm_Stats!$F$15),Norm_Stats!$G$15)-Norm_Stats!$F$15)/(Norm_Stats!$G$15-Norm_Stats!$F$15)))))="",0,0.7)+IF((IF(OR(City_Inputs!$AL71="",Norm_Stats!$F$16="",Norm_Stats!$G$16="",Norm_Stats!$G$16=Norm_Stats!$F$16),"",MAX(0,MIN(100,100*(Norm_Stats!$G$16-MIN(MAX(City_Inputs!$AL71,Norm_Stats!$F$16),Norm_Stats!$G$16))/(Norm_Stats!$G$16-Norm_Stats!$F$16)))))="",0,0.3)))</f>
        <v/>
      </c>
      <c r="AL71" s="14">
        <f>IF((IF((IF(OR(City_Inputs!$AA71="",Norm_Stats!$F$15="",Norm_Stats!$G$15="",Norm_Stats!$G$15=Norm_Stats!$F$15),"",MAX(0,MIN(100,100*(MIN(MAX(City_Inputs!$AA71,Norm_Stats!$F$15),Norm_Stats!$G$15)-Norm_Stats!$F$15)/(Norm_Stats!$G$15-Norm_Stats!$F$15)))))="",0,0.7)+IF((IF(OR(City_Inputs!$AL71="",Norm_Stats!$F$16="",Norm_Stats!$G$16="",Norm_Stats!$G$16=Norm_Stats!$F$16),"",MAX(0,MIN(100,100*(Norm_Stats!$G$16-MIN(MAX(City_Inputs!$AL71,Norm_Stats!$F$16),Norm_Stats!$G$16))/(Norm_Stats!$G$16-Norm_Stats!$F$16)))))="",0,0.3))=0,"",(IF((IF(OR(City_Inputs!$AA71="",Norm_Stats!$F$15="",Norm_Stats!$G$15="",Norm_Stats!$G$15=Norm_Stats!$F$15),"",MAX(0,MIN(100,100*(MIN(MAX(City_Inputs!$AA71,Norm_Stats!$F$15),Norm_Stats!$G$15)-Norm_Stats!$F$15)/(Norm_Stats!$G$15-Norm_Stats!$F$15)))))="",0,0.7)+IF((IF(OR(City_Inputs!$AL71="",Norm_Stats!$F$16="",Norm_Stats!$G$16="",Norm_Stats!$G$16=Norm_Stats!$F$16),"",MAX(0,MIN(100,100*(Norm_Stats!$G$16-MIN(MAX(City_Inputs!$AL71,Norm_Stats!$F$16),Norm_Stats!$G$16))/(Norm_Stats!$G$16-Norm_Stats!$F$16)))))="",0,0.3)))</f>
        <v/>
      </c>
      <c r="AM71" s="15">
        <f>IF((IF(AG71="",0,8)+IF(AI71="",0,6)+IF(AK71="",0,4))=0,"",(IF(AG71="",0,AG71*8)+IF(AI71="",0,AI71*6)+IF(AK71="",0,AK71*4))/(IF(AG71="",0,8)+IF(AI71="",0,6)+IF(AK71="",0,4)))</f>
        <v/>
      </c>
      <c r="AN71" s="14">
        <f>IF((IF(AH71="",0,8)+IF(AJ71="",0,6)+IF(AL71="",0,4))=0,"",(IF(AH71="",0,AH71*8)+IF(AJ71="",0,AJ71*6)+IF(AL71="",0,AL71*4))/18)</f>
        <v/>
      </c>
      <c r="AO71" s="11">
        <f>IF(OR(City_Inputs!$AB71="",Norm_Stats!$F$17="",Norm_Stats!$G$17="",Norm_Stats!$G$17=Norm_Stats!$F$17),"",MAX(0,MIN(100,100*(MIN(MAX(City_Inputs!$AB71,Norm_Stats!$F$17),Norm_Stats!$G$17)-Norm_Stats!$F$17)/(Norm_Stats!$G$17-Norm_Stats!$F$17))))</f>
        <v/>
      </c>
      <c r="AP71" s="14">
        <f>IF(AO71="","",1)</f>
        <v/>
      </c>
      <c r="AQ71" s="11">
        <f>IF(OR(City_Inputs!$AC71="",Norm_Stats!$F$18="",Norm_Stats!$G$18="",Norm_Stats!$G$18=Norm_Stats!$F$18),"",MAX(0,MIN(100,100*(MIN(MAX(City_Inputs!$AC71,Norm_Stats!$F$18),Norm_Stats!$G$18)-Norm_Stats!$F$18)/(Norm_Stats!$G$18-Norm_Stats!$F$18))))</f>
        <v/>
      </c>
      <c r="AR71" s="14">
        <f>IF(AQ71="","",1)</f>
        <v/>
      </c>
      <c r="AS71" s="11">
        <f>IF(OR(City_Inputs!$AD71="",Norm_Stats!$F$19="",Norm_Stats!$G$19="",Norm_Stats!$G$19=Norm_Stats!$F$19),"",MAX(0,MIN(100,100*(MIN(MAX(City_Inputs!$AD71,Norm_Stats!$F$19),Norm_Stats!$G$19)-Norm_Stats!$F$19)/(Norm_Stats!$G$19-Norm_Stats!$F$19))))</f>
        <v/>
      </c>
      <c r="AT71" s="14">
        <f>IF(AS71="","",1)</f>
        <v/>
      </c>
      <c r="AU71" s="11">
        <f>IF(OR(City_Inputs!$BJ71="",Norm_Stats!$F$26="",Norm_Stats!$G$26="",Norm_Stats!$G$26=Norm_Stats!$F$26),"",MAX(0,MIN(100,100*(MIN(MAX(City_Inputs!$BJ71,Norm_Stats!$F$26),Norm_Stats!$G$26)-Norm_Stats!$F$26)/(Norm_Stats!$G$26-Norm_Stats!$F$26))))</f>
        <v/>
      </c>
      <c r="AV71" s="11">
        <f>IF(AU71="","",1)</f>
        <v/>
      </c>
      <c r="AW71" s="15">
        <f>IF((IF(AO71="",0,5)+IF(AQ71="",0,5)+IF(AS71="",0,5)+IF(AU71="",0,4))=0,"",(IF(AO71="",0,AO71*5)+IF(AQ71="",0,AQ71*5)+IF(AS71="",0,AS71*5)+IF(AU71="",0,AU71*4))/(IF(AO71="",0,5)+IF(AQ71="",0,5)+IF(AS71="",0,5)+IF(AU71="",0,4)))</f>
        <v/>
      </c>
      <c r="AX71" s="14">
        <f>IF((IF(AP71="",0,5)+IF(AR71="",0,5)+IF(AT71="",0,5)+IF(AV71="",0,4))=0,"",(IF(AP71="",0,AP71*5)+IF(AR71="",0,AR71*5)+IF(AT71="",0,AT71*5)+IF(AV71="",0,AV71*4))/19)</f>
        <v/>
      </c>
      <c r="AY71" s="11">
        <f>IF(OR(City_Inputs!$AE71="",Norm_Stats!$F$20="",Norm_Stats!$G$20="",Norm_Stats!$G$20=Norm_Stats!$F$20),"",MAX(0,MIN(100,100*(MIN(MAX(City_Inputs!$AE71,Norm_Stats!$F$20),Norm_Stats!$G$20)-Norm_Stats!$F$20)/(Norm_Stats!$G$20-Norm_Stats!$F$20))))</f>
        <v/>
      </c>
      <c r="AZ71" s="14">
        <f>IF(AY71="","",1)</f>
        <v/>
      </c>
      <c r="BA71" s="11">
        <f>IF(OR(City_Inputs!$AF71="",Norm_Stats!$F$21="",Norm_Stats!$G$21="",Norm_Stats!$G$21=Norm_Stats!$F$21),"",MAX(0,MIN(100,100*(MIN(MAX(City_Inputs!$AF71,Norm_Stats!$F$21),Norm_Stats!$G$21)-Norm_Stats!$F$21)/(Norm_Stats!$G$21-Norm_Stats!$F$21))))</f>
        <v/>
      </c>
      <c r="BB71" s="14">
        <f>IF(BA71="","",1)</f>
        <v/>
      </c>
      <c r="BC71" s="11">
        <f>IF((IF((IF(OR(City_Inputs!$AG71="",Norm_Stats!$F$22="",Norm_Stats!$G$22="",Norm_Stats!$G$22=Norm_Stats!$F$22),"",MAX(0,MIN(100,100*(MIN(MAX(City_Inputs!$AG71,Norm_Stats!$F$22),Norm_Stats!$G$22)-Norm_Stats!$F$22)/(Norm_Stats!$G$22-Norm_Stats!$F$22)))))="",0,0.5)+IF((IF(OR(City_Inputs!$AJ71="",Norm_Stats!$F$23="",Norm_Stats!$G$23="",Norm_Stats!$G$23=Norm_Stats!$F$23),"",MAX(0,MIN(100,100*(MIN(MAX(City_Inputs!$AJ71,Norm_Stats!$F$23),Norm_Stats!$G$23)-Norm_Stats!$F$23)/(Norm_Stats!$G$23-Norm_Stats!$F$23)))))="",0,0.3)+IF((IF(OR(City_Inputs!$AK71="",Norm_Stats!$F$24="",Norm_Stats!$G$24="",Norm_Stats!$G$24=Norm_Stats!$F$24),"",MAX(0,MIN(100,100*(MIN(MAX(City_Inputs!$AK71,Norm_Stats!$F$24),Norm_Stats!$G$24)-Norm_Stats!$F$24)/(Norm_Stats!$G$24-Norm_Stats!$F$24)))))="",0,0.2))=0,"",(IF((IF(OR(City_Inputs!$AG71="",Norm_Stats!$F$22="",Norm_Stats!$G$22="",Norm_Stats!$G$22=Norm_Stats!$F$22),"",MAX(0,MIN(100,100*(MIN(MAX(City_Inputs!$AG71,Norm_Stats!$F$22),Norm_Stats!$G$22)-Norm_Stats!$F$22)/(Norm_Stats!$G$22-Norm_Stats!$F$22)))))="",0,(IF(OR(City_Inputs!$AG71="",Norm_Stats!$F$22="",Norm_Stats!$G$22="",Norm_Stats!$G$22=Norm_Stats!$F$22),"",MAX(0,MIN(100,100*(MIN(MAX(City_Inputs!$AG71,Norm_Stats!$F$22),Norm_Stats!$G$22)-Norm_Stats!$F$22)/(Norm_Stats!$G$22-Norm_Stats!$F$22)))))*0.5)+IF((IF(OR(City_Inputs!$AJ71="",Norm_Stats!$F$23="",Norm_Stats!$G$23="",Norm_Stats!$G$23=Norm_Stats!$F$23),"",MAX(0,MIN(100,100*(MIN(MAX(City_Inputs!$AJ71,Norm_Stats!$F$23),Norm_Stats!$G$23)-Norm_Stats!$F$23)/(Norm_Stats!$G$23-Norm_Stats!$F$23)))))="",0,(IF(OR(City_Inputs!$AJ71="",Norm_Stats!$F$23="",Norm_Stats!$G$23="",Norm_Stats!$G$23=Norm_Stats!$F$23),"",MAX(0,MIN(100,100*(MIN(MAX(City_Inputs!$AJ71,Norm_Stats!$F$23),Norm_Stats!$G$23)-Norm_Stats!$F$23)/(Norm_Stats!$G$23-Norm_Stats!$F$23)))))*0.3)+IF((IF(OR(City_Inputs!$AK71="",Norm_Stats!$F$24="",Norm_Stats!$G$24="",Norm_Stats!$G$24=Norm_Stats!$F$24),"",MAX(0,MIN(100,100*(MIN(MAX(City_Inputs!$AK71,Norm_Stats!$F$24),Norm_Stats!$G$24)-Norm_Stats!$F$24)/(Norm_Stats!$G$24-Norm_Stats!$F$24)))))="",0,(IF(OR(City_Inputs!$AK71="",Norm_Stats!$F$24="",Norm_Stats!$G$24="",Norm_Stats!$G$24=Norm_Stats!$F$24),"",MAX(0,MIN(100,100*(MIN(MAX(City_Inputs!$AK71,Norm_Stats!$F$24),Norm_Stats!$G$24)-Norm_Stats!$F$24)/(Norm_Stats!$G$24-Norm_Stats!$F$24)))))*0.2))/(IF((IF(OR(City_Inputs!$AG71="",Norm_Stats!$F$22="",Norm_Stats!$G$22="",Norm_Stats!$G$22=Norm_Stats!$F$22),"",MAX(0,MIN(100,100*(MIN(MAX(City_Inputs!$AG71,Norm_Stats!$F$22),Norm_Stats!$G$22)-Norm_Stats!$F$22)/(Norm_Stats!$G$22-Norm_Stats!$F$22)))))="",0,0.5)+IF((IF(OR(City_Inputs!$AJ71="",Norm_Stats!$F$23="",Norm_Stats!$G$23="",Norm_Stats!$G$23=Norm_Stats!$F$23),"",MAX(0,MIN(100,100*(MIN(MAX(City_Inputs!$AJ71,Norm_Stats!$F$23),Norm_Stats!$G$23)-Norm_Stats!$F$23)/(Norm_Stats!$G$23-Norm_Stats!$F$23)))))="",0,0.3)+IF((IF(OR(City_Inputs!$AK71="",Norm_Stats!$F$24="",Norm_Stats!$G$24="",Norm_Stats!$G$24=Norm_Stats!$F$24),"",MAX(0,MIN(100,100*(MIN(MAX(City_Inputs!$AK71,Norm_Stats!$F$24),Norm_Stats!$G$24)-Norm_Stats!$F$24)/(Norm_Stats!$G$24-Norm_Stats!$F$24)))))="",0,0.2)))</f>
        <v/>
      </c>
      <c r="BD71" s="14">
        <f>IF((IF((IF(OR(City_Inputs!$AG71="",Norm_Stats!$F$22="",Norm_Stats!$G$22="",Norm_Stats!$G$22=Norm_Stats!$F$22),"",MAX(0,MIN(100,100*(MIN(MAX(City_Inputs!$AG71,Norm_Stats!$F$22),Norm_Stats!$G$22)-Norm_Stats!$F$22)/(Norm_Stats!$G$22-Norm_Stats!$F$22)))))="",0,0.5)+IF((IF(OR(City_Inputs!$AJ71="",Norm_Stats!$F$23="",Norm_Stats!$G$23="",Norm_Stats!$G$23=Norm_Stats!$F$23),"",MAX(0,MIN(100,100*(MIN(MAX(City_Inputs!$AJ71,Norm_Stats!$F$23),Norm_Stats!$G$23)-Norm_Stats!$F$23)/(Norm_Stats!$G$23-Norm_Stats!$F$23)))))="",0,0.3)+IF((IF(OR(City_Inputs!$AK71="",Norm_Stats!$F$24="",Norm_Stats!$G$24="",Norm_Stats!$G$24=Norm_Stats!$F$24),"",MAX(0,MIN(100,100*(MIN(MAX(City_Inputs!$AK71,Norm_Stats!$F$24),Norm_Stats!$G$24)-Norm_Stats!$F$24)/(Norm_Stats!$G$24-Norm_Stats!$F$24)))))="",0,0.2))=0,"",(IF((IF(OR(City_Inputs!$AG71="",Norm_Stats!$F$22="",Norm_Stats!$G$22="",Norm_Stats!$G$22=Norm_Stats!$F$22),"",MAX(0,MIN(100,100*(MIN(MAX(City_Inputs!$AG71,Norm_Stats!$F$22),Norm_Stats!$G$22)-Norm_Stats!$F$22)/(Norm_Stats!$G$22-Norm_Stats!$F$22)))))="",0,0.5)+IF((IF(OR(City_Inputs!$AJ71="",Norm_Stats!$F$23="",Norm_Stats!$G$23="",Norm_Stats!$G$23=Norm_Stats!$F$23),"",MAX(0,MIN(100,100*(MIN(MAX(City_Inputs!$AJ71,Norm_Stats!$F$23),Norm_Stats!$G$23)-Norm_Stats!$F$23)/(Norm_Stats!$G$23-Norm_Stats!$F$23)))))="",0,0.3)+IF((IF(OR(City_Inputs!$AK71="",Norm_Stats!$F$24="",Norm_Stats!$G$24="",Norm_Stats!$G$24=Norm_Stats!$F$24),"",MAX(0,MIN(100,100*(MIN(MAX(City_Inputs!$AK71,Norm_Stats!$F$24),Norm_Stats!$G$24)-Norm_Stats!$F$24)/(Norm_Stats!$G$24-Norm_Stats!$F$24)))))="",0,0.2)))</f>
        <v/>
      </c>
      <c r="BE71" s="11">
        <f>IF(OR(City_Inputs!$AH71="",Norm_Stats!$F$25="",Norm_Stats!$G$25="",Norm_Stats!$G$25=Norm_Stats!$F$25),"",MAX(0,MIN(100,100*(Norm_Stats!$G$25-MIN(MAX(City_Inputs!$AH71,Norm_Stats!$F$25),Norm_Stats!$G$25))/(Norm_Stats!$G$25-Norm_Stats!$F$25))))</f>
        <v/>
      </c>
      <c r="BF71" s="14">
        <f>IF(BE71="","",1)</f>
        <v/>
      </c>
      <c r="BG71" s="15">
        <f>IF((IF(AY71="",0,6)+IF(BA71="",0,5)+IF(BC71="",0,5)+IF(BE71="",0,4))=0,"",(IF(AY71="",0,AY71*6)+IF(BA71="",0,BA71*5)+IF(BC71="",0,BC71*5)+IF(BE71="",0,BE71*4))/(IF(AY71="",0,6)+IF(BA71="",0,5)+IF(BC71="",0,5)+IF(BE71="",0,4)))</f>
        <v/>
      </c>
      <c r="BH71" s="14">
        <f>IF((IF(AZ71="",0,6)+IF(BB71="",0,5)+IF(BD71="",0,5)+IF(BF71="",0,4))=0,"",(IF(AZ71="",0,AZ71*6)+IF(BB71="",0,BB71*5)+IF(BD71="",0,BD71*5)+IF(BF71="",0,BF71*4))/20)</f>
        <v/>
      </c>
      <c r="BI71" s="14">
        <f>IF(AND(R71="",AF71="",AN71="",AX71="",BH71=""),"",((R71*25)+(AF71*22)+(AN71*18)+(AX71*15)+(BH71*20))/100)</f>
        <v/>
      </c>
      <c r="BJ71" s="11">
        <f>IF(BI71="","",IF(BI71&gt;=0.75,"A",IF(BI71&gt;=0.5,"B",IF(BI71&gt;=0.35,"C","Watchlist"))))</f>
        <v/>
      </c>
      <c r="BK71" s="11">
        <f>IF(OR(BI71="",BI71&lt;0.5,R71="",R71&lt;0.35,AF71="",AF71&lt;0.35,AN71="",AN71&lt;0.35,AX71="",AX71&lt;0.35,BH71="",BH71&lt;0.35),"Watchlist","Ranked")</f>
        <v/>
      </c>
      <c r="BL71" s="15">
        <f>IF(AND(Q71="",AE71="",AM71="",AW71="",BG71=""),"",(IF(Q71="",0,Q71*25)+IF(AE71="",0,AE71*22)+IF(AM71="",0,AM71*18)+IF(AW71="",0,AW71*15)+IF(BG71="",0,BG71*20))/(IF(Q71="",0,25)+IF(AE71="",0,22)+IF(AM71="",0,18)+IF(AW71="",0,15)+IF(BG71="",0,20)))</f>
        <v/>
      </c>
      <c r="BM71" s="11">
        <f>IF(BK71="Ranked",1+COUNTIFS($BK$2:$BK$158,"Ranked",$BL$2:$BL$158,"&gt;"&amp;BL71),"")</f>
        <v/>
      </c>
      <c r="BN71" s="11">
        <f>City_Inputs!$AI71</f>
        <v/>
      </c>
    </row>
    <row r="72">
      <c r="A72" t="inlineStr">
        <is>
          <t>ar-buenos-aires</t>
        </is>
      </c>
      <c r="B72" t="inlineStr">
        <is>
          <t>Buenos Aires</t>
        </is>
      </c>
      <c r="C72" t="inlineStr">
        <is>
          <t>Argentina</t>
        </is>
      </c>
      <c r="D72" t="inlineStr">
        <is>
          <t>Latin America</t>
        </is>
      </c>
      <c r="E72" t="inlineStr">
        <is>
          <t>locked</t>
        </is>
      </c>
      <c r="F72" t="inlineStr">
        <is>
          <t>primary</t>
        </is>
      </c>
      <c r="G72" s="11">
        <f>IF(OR(City_Inputs!$M72="",Norm_Stats!$F$2="",Norm_Stats!$G$2="",Norm_Stats!$G$2=Norm_Stats!$F$2),"",MAX(0,MIN(100,100*(MIN(MAX(City_Inputs!$M72,Norm_Stats!$F$2),Norm_Stats!$G$2)-Norm_Stats!$F$2)/(Norm_Stats!$G$2-Norm_Stats!$F$2))))</f>
        <v/>
      </c>
      <c r="H72" s="14">
        <f>IF(G72="","",1)</f>
        <v/>
      </c>
      <c r="I72" s="11">
        <f>IF(OR(City_Inputs!$N72="",Norm_Stats!$F$3="",Norm_Stats!$G$3="",Norm_Stats!$G$3=Norm_Stats!$F$3),"",MAX(0,MIN(100,100*(Norm_Stats!$G$3-MIN(MAX(City_Inputs!$N72,Norm_Stats!$F$3),Norm_Stats!$G$3))/(Norm_Stats!$G$3-Norm_Stats!$F$3))))</f>
        <v/>
      </c>
      <c r="J72" s="14">
        <f>IF(I72="","",1)</f>
        <v/>
      </c>
      <c r="K72" s="11">
        <f>IF(OR(City_Inputs!$P72="",Norm_Stats!$F$4="",Norm_Stats!$G$4="",Norm_Stats!$G$4=Norm_Stats!$F$4),"",MAX(0,MIN(100,100*(Norm_Stats!$G$4-MIN(MAX(City_Inputs!$P72,Norm_Stats!$F$4),Norm_Stats!$G$4))/(Norm_Stats!$G$4-Norm_Stats!$F$4))))</f>
        <v/>
      </c>
      <c r="L72" s="14">
        <f>IF(K72="","",1)</f>
        <v/>
      </c>
      <c r="M72" s="11">
        <f>IF(OR(City_Inputs!$Q72="",Norm_Stats!$F$5="",Norm_Stats!$G$5="",Norm_Stats!$G$5=Norm_Stats!$F$5),"",MAX(0,MIN(100,100*(Norm_Stats!$G$5-MIN(MAX(City_Inputs!$Q72,Norm_Stats!$F$5),Norm_Stats!$G$5))/(Norm_Stats!$G$5-Norm_Stats!$F$5))))</f>
        <v/>
      </c>
      <c r="N72" s="14">
        <f>IF(M72="","",1)</f>
        <v/>
      </c>
      <c r="O72" s="11">
        <f>IF(OR(City_Inputs!$R72="",Norm_Stats!$F$6="",Norm_Stats!$G$6="",Norm_Stats!$G$6=Norm_Stats!$F$6),"",MAX(0,MIN(100,100*(Norm_Stats!$G$6-MIN(MAX(City_Inputs!$R72,Norm_Stats!$F$6),Norm_Stats!$G$6))/(Norm_Stats!$G$6-Norm_Stats!$F$6))))</f>
        <v/>
      </c>
      <c r="P72" s="14">
        <f>IF(O72="","",1)</f>
        <v/>
      </c>
      <c r="Q72" s="15">
        <f>IF((IF(G72="",0,9)+IF(I72="",0,5)+IF(K72="",0,4)+IF(M72="",0,4)+IF(O72="",0,5))=0,"",(IF(G72="",0,G72*9)+IF(I72="",0,I72*5)+IF(K72="",0,K72*4)+IF(M72="",0,M72*4)+IF(O72="",0,O72*5))/(IF(G72="",0,9)+IF(I72="",0,5)+IF(K72="",0,4)+IF(M72="",0,4)+IF(O72="",0,5)))</f>
        <v/>
      </c>
      <c r="R72" s="14">
        <f>IF((IF(H72="",0,9)+IF(J72="",0,5)+IF(L72="",0,4)+IF(N72="",0,4)+IF(P72="",0,5))=0,"",(IF(H72="",0,H72*9)+IF(J72="",0,J72*5)+IF(L72="",0,L72*4)+IF(N72="",0,N72*4)+IF(P72="",0,P72*5))/27)</f>
        <v/>
      </c>
      <c r="S72" s="11">
        <f>IF(OR(City_Inputs!$S72="",Norm_Stats!$F$7="",Norm_Stats!$G$7="",Norm_Stats!$G$7=Norm_Stats!$F$7),"",MAX(0,MIN(100,100*(Norm_Stats!$G$7-MIN(MAX(City_Inputs!$S72,Norm_Stats!$F$7),Norm_Stats!$G$7))/(Norm_Stats!$G$7-Norm_Stats!$F$7))))</f>
        <v/>
      </c>
      <c r="T72" s="14">
        <f>IF(S72="","",1)</f>
        <v/>
      </c>
      <c r="U72" s="11">
        <f>IF(OR(City_Inputs!$T72="",Norm_Stats!$F$8="",Norm_Stats!$G$8="",Norm_Stats!$G$8=Norm_Stats!$F$8),"",MAX(0,MIN(100,100*(MIN(MAX(City_Inputs!$T72,Norm_Stats!$F$8),Norm_Stats!$G$8)-Norm_Stats!$F$8)/(Norm_Stats!$G$8-Norm_Stats!$F$8))))</f>
        <v/>
      </c>
      <c r="V72" s="14">
        <f>IF(U72="","",1)</f>
        <v/>
      </c>
      <c r="W72" s="11">
        <f>IF(OR(City_Inputs!$U72="",Norm_Stats!$F$9="",Norm_Stats!$G$9="",Norm_Stats!$G$9=Norm_Stats!$F$9),"",MAX(0,MIN(100,100*(Norm_Stats!$G$9-MIN(MAX(City_Inputs!$U72,Norm_Stats!$F$9),Norm_Stats!$G$9))/(Norm_Stats!$G$9-Norm_Stats!$F$9))))</f>
        <v/>
      </c>
      <c r="X72" s="14">
        <f>IF(W72="","",1)</f>
        <v/>
      </c>
      <c r="Y72" s="11">
        <f>IF(OR(City_Inputs!$V72="",Norm_Stats!$F$10="",Norm_Stats!$G$10="",Norm_Stats!$G$10=Norm_Stats!$F$10),"",MAX(0,MIN(100,100*(MIN(MAX(City_Inputs!$V72,Norm_Stats!$F$10),Norm_Stats!$G$10)-Norm_Stats!$F$10)/(Norm_Stats!$G$10-Norm_Stats!$F$10))))</f>
        <v/>
      </c>
      <c r="Z72" s="14">
        <f>IF(Y72="","",1)</f>
        <v/>
      </c>
      <c r="AA72" s="11">
        <f>IF(OR(City_Inputs!$W72="",Norm_Stats!$F$11="",Norm_Stats!$G$11="",Norm_Stats!$G$11=Norm_Stats!$F$11),"",MAX(0,MIN(100,100*(MIN(MAX(City_Inputs!$W72,Norm_Stats!$F$11),Norm_Stats!$G$11)-Norm_Stats!$F$11)/(Norm_Stats!$G$11-Norm_Stats!$F$11))))</f>
        <v/>
      </c>
      <c r="AB72" s="14">
        <f>IF(AA72="","",1)</f>
        <v/>
      </c>
      <c r="AC72" s="11">
        <f>IF(OR(City_Inputs!$X72="",Norm_Stats!$F$12="",Norm_Stats!$G$12="",Norm_Stats!$G$12=Norm_Stats!$F$12),"",MAX(0,MIN(100,100*(MIN(MAX(City_Inputs!$X72,Norm_Stats!$F$12),Norm_Stats!$G$12)-Norm_Stats!$F$12)/(Norm_Stats!$G$12-Norm_Stats!$F$12))))</f>
        <v/>
      </c>
      <c r="AD72" s="11">
        <f>IF(AC72="","",1)</f>
        <v/>
      </c>
      <c r="AE72" s="15">
        <f>IF((IF(S72="",0,5)+IF(U72="",0,5)+IF(W72="",0,4)+IF(Y72="",0,4)+IF(AA72="",0,4)+IF(AC72="",0,5))=0,"",(IF(S72="",0,S72*5)+IF(U72="",0,U72*5)+IF(W72="",0,W72*4)+IF(Y72="",0,Y72*4)+IF(AA72="",0,AA72*4)+IF(AC72="",0,AC72*5))/(IF(S72="",0,5)+IF(U72="",0,5)+IF(W72="",0,4)+IF(Y72="",0,4)+IF(AA72="",0,4)+IF(AC72="",0,5)))</f>
        <v/>
      </c>
      <c r="AF72" s="14">
        <f>IF((IF(T72="",0,5)+IF(V72="",0,5)+IF(X72="",0,4)+IF(Z72="",0,4)+IF(AB72="",0,4)+IF(AD72="",0,5))=0,"",(IF(T72="",0,T72*5)+IF(V72="",0,V72*5)+IF(X72="",0,X72*4)+IF(Z72="",0,Z72*4)+IF(AB72="",0,AB72*4)+IF(AD72="",0,AD72*5))/27)</f>
        <v/>
      </c>
      <c r="AG72" s="11">
        <f>IF(OR(City_Inputs!$Y72="",Norm_Stats!$F$13="",Norm_Stats!$G$13="",Norm_Stats!$G$13=Norm_Stats!$F$13),"",MAX(0,MIN(100,100*(MIN(MAX(City_Inputs!$Y72,Norm_Stats!$F$13),Norm_Stats!$G$13)-Norm_Stats!$F$13)/(Norm_Stats!$G$13-Norm_Stats!$F$13))))</f>
        <v/>
      </c>
      <c r="AH72" s="14">
        <f>IF(AG72="","",1)</f>
        <v/>
      </c>
      <c r="AI72" s="11">
        <f>IF(OR(City_Inputs!$Z72="",Norm_Stats!$F$14="",Norm_Stats!$G$14="",Norm_Stats!$G$14=Norm_Stats!$F$14),"",MAX(0,MIN(100,100*(MIN(MAX(City_Inputs!$Z72,Norm_Stats!$F$14),Norm_Stats!$G$14)-Norm_Stats!$F$14)/(Norm_Stats!$G$14-Norm_Stats!$F$14))))</f>
        <v/>
      </c>
      <c r="AJ72" s="14">
        <f>IF(AI72="","",1)</f>
        <v/>
      </c>
      <c r="AK72" s="11">
        <f>IF((IF((IF(OR(City_Inputs!$AA72="",Norm_Stats!$F$15="",Norm_Stats!$G$15="",Norm_Stats!$G$15=Norm_Stats!$F$15),"",MAX(0,MIN(100,100*(MIN(MAX(City_Inputs!$AA72,Norm_Stats!$F$15),Norm_Stats!$G$15)-Norm_Stats!$F$15)/(Norm_Stats!$G$15-Norm_Stats!$F$15)))))="",0,0.7)+IF((IF(OR(City_Inputs!$AL72="",Norm_Stats!$F$16="",Norm_Stats!$G$16="",Norm_Stats!$G$16=Norm_Stats!$F$16),"",MAX(0,MIN(100,100*(Norm_Stats!$G$16-MIN(MAX(City_Inputs!$AL72,Norm_Stats!$F$16),Norm_Stats!$G$16))/(Norm_Stats!$G$16-Norm_Stats!$F$16)))))="",0,0.3))=0,"",(IF((IF(OR(City_Inputs!$AA72="",Norm_Stats!$F$15="",Norm_Stats!$G$15="",Norm_Stats!$G$15=Norm_Stats!$F$15),"",MAX(0,MIN(100,100*(MIN(MAX(City_Inputs!$AA72,Norm_Stats!$F$15),Norm_Stats!$G$15)-Norm_Stats!$F$15)/(Norm_Stats!$G$15-Norm_Stats!$F$15)))))="",0,(IF(OR(City_Inputs!$AA72="",Norm_Stats!$F$15="",Norm_Stats!$G$15="",Norm_Stats!$G$15=Norm_Stats!$F$15),"",MAX(0,MIN(100,100*(MIN(MAX(City_Inputs!$AA72,Norm_Stats!$F$15),Norm_Stats!$G$15)-Norm_Stats!$F$15)/(Norm_Stats!$G$15-Norm_Stats!$F$15)))))*0.7)+IF((IF(OR(City_Inputs!$AL72="",Norm_Stats!$F$16="",Norm_Stats!$G$16="",Norm_Stats!$G$16=Norm_Stats!$F$16),"",MAX(0,MIN(100,100*(Norm_Stats!$G$16-MIN(MAX(City_Inputs!$AL72,Norm_Stats!$F$16),Norm_Stats!$G$16))/(Norm_Stats!$G$16-Norm_Stats!$F$16)))))="",0,(IF(OR(City_Inputs!$AL72="",Norm_Stats!$F$16="",Norm_Stats!$G$16="",Norm_Stats!$G$16=Norm_Stats!$F$16),"",MAX(0,MIN(100,100*(Norm_Stats!$G$16-MIN(MAX(City_Inputs!$AL72,Norm_Stats!$F$16),Norm_Stats!$G$16))/(Norm_Stats!$G$16-Norm_Stats!$F$16)))))*0.3))/(IF((IF(OR(City_Inputs!$AA72="",Norm_Stats!$F$15="",Norm_Stats!$G$15="",Norm_Stats!$G$15=Norm_Stats!$F$15),"",MAX(0,MIN(100,100*(MIN(MAX(City_Inputs!$AA72,Norm_Stats!$F$15),Norm_Stats!$G$15)-Norm_Stats!$F$15)/(Norm_Stats!$G$15-Norm_Stats!$F$15)))))="",0,0.7)+IF((IF(OR(City_Inputs!$AL72="",Norm_Stats!$F$16="",Norm_Stats!$G$16="",Norm_Stats!$G$16=Norm_Stats!$F$16),"",MAX(0,MIN(100,100*(Norm_Stats!$G$16-MIN(MAX(City_Inputs!$AL72,Norm_Stats!$F$16),Norm_Stats!$G$16))/(Norm_Stats!$G$16-Norm_Stats!$F$16)))))="",0,0.3)))</f>
        <v/>
      </c>
      <c r="AL72" s="14">
        <f>IF((IF((IF(OR(City_Inputs!$AA72="",Norm_Stats!$F$15="",Norm_Stats!$G$15="",Norm_Stats!$G$15=Norm_Stats!$F$15),"",MAX(0,MIN(100,100*(MIN(MAX(City_Inputs!$AA72,Norm_Stats!$F$15),Norm_Stats!$G$15)-Norm_Stats!$F$15)/(Norm_Stats!$G$15-Norm_Stats!$F$15)))))="",0,0.7)+IF((IF(OR(City_Inputs!$AL72="",Norm_Stats!$F$16="",Norm_Stats!$G$16="",Norm_Stats!$G$16=Norm_Stats!$F$16),"",MAX(0,MIN(100,100*(Norm_Stats!$G$16-MIN(MAX(City_Inputs!$AL72,Norm_Stats!$F$16),Norm_Stats!$G$16))/(Norm_Stats!$G$16-Norm_Stats!$F$16)))))="",0,0.3))=0,"",(IF((IF(OR(City_Inputs!$AA72="",Norm_Stats!$F$15="",Norm_Stats!$G$15="",Norm_Stats!$G$15=Norm_Stats!$F$15),"",MAX(0,MIN(100,100*(MIN(MAX(City_Inputs!$AA72,Norm_Stats!$F$15),Norm_Stats!$G$15)-Norm_Stats!$F$15)/(Norm_Stats!$G$15-Norm_Stats!$F$15)))))="",0,0.7)+IF((IF(OR(City_Inputs!$AL72="",Norm_Stats!$F$16="",Norm_Stats!$G$16="",Norm_Stats!$G$16=Norm_Stats!$F$16),"",MAX(0,MIN(100,100*(Norm_Stats!$G$16-MIN(MAX(City_Inputs!$AL72,Norm_Stats!$F$16),Norm_Stats!$G$16))/(Norm_Stats!$G$16-Norm_Stats!$F$16)))))="",0,0.3)))</f>
        <v/>
      </c>
      <c r="AM72" s="15">
        <f>IF((IF(AG72="",0,8)+IF(AI72="",0,6)+IF(AK72="",0,4))=0,"",(IF(AG72="",0,AG72*8)+IF(AI72="",0,AI72*6)+IF(AK72="",0,AK72*4))/(IF(AG72="",0,8)+IF(AI72="",0,6)+IF(AK72="",0,4)))</f>
        <v/>
      </c>
      <c r="AN72" s="14">
        <f>IF((IF(AH72="",0,8)+IF(AJ72="",0,6)+IF(AL72="",0,4))=0,"",(IF(AH72="",0,AH72*8)+IF(AJ72="",0,AJ72*6)+IF(AL72="",0,AL72*4))/18)</f>
        <v/>
      </c>
      <c r="AO72" s="11">
        <f>IF(OR(City_Inputs!$AB72="",Norm_Stats!$F$17="",Norm_Stats!$G$17="",Norm_Stats!$G$17=Norm_Stats!$F$17),"",MAX(0,MIN(100,100*(MIN(MAX(City_Inputs!$AB72,Norm_Stats!$F$17),Norm_Stats!$G$17)-Norm_Stats!$F$17)/(Norm_Stats!$G$17-Norm_Stats!$F$17))))</f>
        <v/>
      </c>
      <c r="AP72" s="14">
        <f>IF(AO72="","",1)</f>
        <v/>
      </c>
      <c r="AQ72" s="11">
        <f>IF(OR(City_Inputs!$AC72="",Norm_Stats!$F$18="",Norm_Stats!$G$18="",Norm_Stats!$G$18=Norm_Stats!$F$18),"",MAX(0,MIN(100,100*(MIN(MAX(City_Inputs!$AC72,Norm_Stats!$F$18),Norm_Stats!$G$18)-Norm_Stats!$F$18)/(Norm_Stats!$G$18-Norm_Stats!$F$18))))</f>
        <v/>
      </c>
      <c r="AR72" s="14">
        <f>IF(AQ72="","",1)</f>
        <v/>
      </c>
      <c r="AS72" s="11">
        <f>IF(OR(City_Inputs!$AD72="",Norm_Stats!$F$19="",Norm_Stats!$G$19="",Norm_Stats!$G$19=Norm_Stats!$F$19),"",MAX(0,MIN(100,100*(MIN(MAX(City_Inputs!$AD72,Norm_Stats!$F$19),Norm_Stats!$G$19)-Norm_Stats!$F$19)/(Norm_Stats!$G$19-Norm_Stats!$F$19))))</f>
        <v/>
      </c>
      <c r="AT72" s="14">
        <f>IF(AS72="","",1)</f>
        <v/>
      </c>
      <c r="AU72" s="11">
        <f>IF(OR(City_Inputs!$BJ72="",Norm_Stats!$F$26="",Norm_Stats!$G$26="",Norm_Stats!$G$26=Norm_Stats!$F$26),"",MAX(0,MIN(100,100*(MIN(MAX(City_Inputs!$BJ72,Norm_Stats!$F$26),Norm_Stats!$G$26)-Norm_Stats!$F$26)/(Norm_Stats!$G$26-Norm_Stats!$F$26))))</f>
        <v/>
      </c>
      <c r="AV72" s="11">
        <f>IF(AU72="","",1)</f>
        <v/>
      </c>
      <c r="AW72" s="15">
        <f>IF((IF(AO72="",0,5)+IF(AQ72="",0,5)+IF(AS72="",0,5)+IF(AU72="",0,4))=0,"",(IF(AO72="",0,AO72*5)+IF(AQ72="",0,AQ72*5)+IF(AS72="",0,AS72*5)+IF(AU72="",0,AU72*4))/(IF(AO72="",0,5)+IF(AQ72="",0,5)+IF(AS72="",0,5)+IF(AU72="",0,4)))</f>
        <v/>
      </c>
      <c r="AX72" s="14">
        <f>IF((IF(AP72="",0,5)+IF(AR72="",0,5)+IF(AT72="",0,5)+IF(AV72="",0,4))=0,"",(IF(AP72="",0,AP72*5)+IF(AR72="",0,AR72*5)+IF(AT72="",0,AT72*5)+IF(AV72="",0,AV72*4))/19)</f>
        <v/>
      </c>
      <c r="AY72" s="11">
        <f>IF(OR(City_Inputs!$AE72="",Norm_Stats!$F$20="",Norm_Stats!$G$20="",Norm_Stats!$G$20=Norm_Stats!$F$20),"",MAX(0,MIN(100,100*(MIN(MAX(City_Inputs!$AE72,Norm_Stats!$F$20),Norm_Stats!$G$20)-Norm_Stats!$F$20)/(Norm_Stats!$G$20-Norm_Stats!$F$20))))</f>
        <v/>
      </c>
      <c r="AZ72" s="14">
        <f>IF(AY72="","",1)</f>
        <v/>
      </c>
      <c r="BA72" s="11">
        <f>IF(OR(City_Inputs!$AF72="",Norm_Stats!$F$21="",Norm_Stats!$G$21="",Norm_Stats!$G$21=Norm_Stats!$F$21),"",MAX(0,MIN(100,100*(MIN(MAX(City_Inputs!$AF72,Norm_Stats!$F$21),Norm_Stats!$G$21)-Norm_Stats!$F$21)/(Norm_Stats!$G$21-Norm_Stats!$F$21))))</f>
        <v/>
      </c>
      <c r="BB72" s="14">
        <f>IF(BA72="","",1)</f>
        <v/>
      </c>
      <c r="BC72" s="11">
        <f>IF((IF((IF(OR(City_Inputs!$AG72="",Norm_Stats!$F$22="",Norm_Stats!$G$22="",Norm_Stats!$G$22=Norm_Stats!$F$22),"",MAX(0,MIN(100,100*(MIN(MAX(City_Inputs!$AG72,Norm_Stats!$F$22),Norm_Stats!$G$22)-Norm_Stats!$F$22)/(Norm_Stats!$G$22-Norm_Stats!$F$22)))))="",0,0.5)+IF((IF(OR(City_Inputs!$AJ72="",Norm_Stats!$F$23="",Norm_Stats!$G$23="",Norm_Stats!$G$23=Norm_Stats!$F$23),"",MAX(0,MIN(100,100*(MIN(MAX(City_Inputs!$AJ72,Norm_Stats!$F$23),Norm_Stats!$G$23)-Norm_Stats!$F$23)/(Norm_Stats!$G$23-Norm_Stats!$F$23)))))="",0,0.3)+IF((IF(OR(City_Inputs!$AK72="",Norm_Stats!$F$24="",Norm_Stats!$G$24="",Norm_Stats!$G$24=Norm_Stats!$F$24),"",MAX(0,MIN(100,100*(MIN(MAX(City_Inputs!$AK72,Norm_Stats!$F$24),Norm_Stats!$G$24)-Norm_Stats!$F$24)/(Norm_Stats!$G$24-Norm_Stats!$F$24)))))="",0,0.2))=0,"",(IF((IF(OR(City_Inputs!$AG72="",Norm_Stats!$F$22="",Norm_Stats!$G$22="",Norm_Stats!$G$22=Norm_Stats!$F$22),"",MAX(0,MIN(100,100*(MIN(MAX(City_Inputs!$AG72,Norm_Stats!$F$22),Norm_Stats!$G$22)-Norm_Stats!$F$22)/(Norm_Stats!$G$22-Norm_Stats!$F$22)))))="",0,(IF(OR(City_Inputs!$AG72="",Norm_Stats!$F$22="",Norm_Stats!$G$22="",Norm_Stats!$G$22=Norm_Stats!$F$22),"",MAX(0,MIN(100,100*(MIN(MAX(City_Inputs!$AG72,Norm_Stats!$F$22),Norm_Stats!$G$22)-Norm_Stats!$F$22)/(Norm_Stats!$G$22-Norm_Stats!$F$22)))))*0.5)+IF((IF(OR(City_Inputs!$AJ72="",Norm_Stats!$F$23="",Norm_Stats!$G$23="",Norm_Stats!$G$23=Norm_Stats!$F$23),"",MAX(0,MIN(100,100*(MIN(MAX(City_Inputs!$AJ72,Norm_Stats!$F$23),Norm_Stats!$G$23)-Norm_Stats!$F$23)/(Norm_Stats!$G$23-Norm_Stats!$F$23)))))="",0,(IF(OR(City_Inputs!$AJ72="",Norm_Stats!$F$23="",Norm_Stats!$G$23="",Norm_Stats!$G$23=Norm_Stats!$F$23),"",MAX(0,MIN(100,100*(MIN(MAX(City_Inputs!$AJ72,Norm_Stats!$F$23),Norm_Stats!$G$23)-Norm_Stats!$F$23)/(Norm_Stats!$G$23-Norm_Stats!$F$23)))))*0.3)+IF((IF(OR(City_Inputs!$AK72="",Norm_Stats!$F$24="",Norm_Stats!$G$24="",Norm_Stats!$G$24=Norm_Stats!$F$24),"",MAX(0,MIN(100,100*(MIN(MAX(City_Inputs!$AK72,Norm_Stats!$F$24),Norm_Stats!$G$24)-Norm_Stats!$F$24)/(Norm_Stats!$G$24-Norm_Stats!$F$24)))))="",0,(IF(OR(City_Inputs!$AK72="",Norm_Stats!$F$24="",Norm_Stats!$G$24="",Norm_Stats!$G$24=Norm_Stats!$F$24),"",MAX(0,MIN(100,100*(MIN(MAX(City_Inputs!$AK72,Norm_Stats!$F$24),Norm_Stats!$G$24)-Norm_Stats!$F$24)/(Norm_Stats!$G$24-Norm_Stats!$F$24)))))*0.2))/(IF((IF(OR(City_Inputs!$AG72="",Norm_Stats!$F$22="",Norm_Stats!$G$22="",Norm_Stats!$G$22=Norm_Stats!$F$22),"",MAX(0,MIN(100,100*(MIN(MAX(City_Inputs!$AG72,Norm_Stats!$F$22),Norm_Stats!$G$22)-Norm_Stats!$F$22)/(Norm_Stats!$G$22-Norm_Stats!$F$22)))))="",0,0.5)+IF((IF(OR(City_Inputs!$AJ72="",Norm_Stats!$F$23="",Norm_Stats!$G$23="",Norm_Stats!$G$23=Norm_Stats!$F$23),"",MAX(0,MIN(100,100*(MIN(MAX(City_Inputs!$AJ72,Norm_Stats!$F$23),Norm_Stats!$G$23)-Norm_Stats!$F$23)/(Norm_Stats!$G$23-Norm_Stats!$F$23)))))="",0,0.3)+IF((IF(OR(City_Inputs!$AK72="",Norm_Stats!$F$24="",Norm_Stats!$G$24="",Norm_Stats!$G$24=Norm_Stats!$F$24),"",MAX(0,MIN(100,100*(MIN(MAX(City_Inputs!$AK72,Norm_Stats!$F$24),Norm_Stats!$G$24)-Norm_Stats!$F$24)/(Norm_Stats!$G$24-Norm_Stats!$F$24)))))="",0,0.2)))</f>
        <v/>
      </c>
      <c r="BD72" s="14">
        <f>IF((IF((IF(OR(City_Inputs!$AG72="",Norm_Stats!$F$22="",Norm_Stats!$G$22="",Norm_Stats!$G$22=Norm_Stats!$F$22),"",MAX(0,MIN(100,100*(MIN(MAX(City_Inputs!$AG72,Norm_Stats!$F$22),Norm_Stats!$G$22)-Norm_Stats!$F$22)/(Norm_Stats!$G$22-Norm_Stats!$F$22)))))="",0,0.5)+IF((IF(OR(City_Inputs!$AJ72="",Norm_Stats!$F$23="",Norm_Stats!$G$23="",Norm_Stats!$G$23=Norm_Stats!$F$23),"",MAX(0,MIN(100,100*(MIN(MAX(City_Inputs!$AJ72,Norm_Stats!$F$23),Norm_Stats!$G$23)-Norm_Stats!$F$23)/(Norm_Stats!$G$23-Norm_Stats!$F$23)))))="",0,0.3)+IF((IF(OR(City_Inputs!$AK72="",Norm_Stats!$F$24="",Norm_Stats!$G$24="",Norm_Stats!$G$24=Norm_Stats!$F$24),"",MAX(0,MIN(100,100*(MIN(MAX(City_Inputs!$AK72,Norm_Stats!$F$24),Norm_Stats!$G$24)-Norm_Stats!$F$24)/(Norm_Stats!$G$24-Norm_Stats!$F$24)))))="",0,0.2))=0,"",(IF((IF(OR(City_Inputs!$AG72="",Norm_Stats!$F$22="",Norm_Stats!$G$22="",Norm_Stats!$G$22=Norm_Stats!$F$22),"",MAX(0,MIN(100,100*(MIN(MAX(City_Inputs!$AG72,Norm_Stats!$F$22),Norm_Stats!$G$22)-Norm_Stats!$F$22)/(Norm_Stats!$G$22-Norm_Stats!$F$22)))))="",0,0.5)+IF((IF(OR(City_Inputs!$AJ72="",Norm_Stats!$F$23="",Norm_Stats!$G$23="",Norm_Stats!$G$23=Norm_Stats!$F$23),"",MAX(0,MIN(100,100*(MIN(MAX(City_Inputs!$AJ72,Norm_Stats!$F$23),Norm_Stats!$G$23)-Norm_Stats!$F$23)/(Norm_Stats!$G$23-Norm_Stats!$F$23)))))="",0,0.3)+IF((IF(OR(City_Inputs!$AK72="",Norm_Stats!$F$24="",Norm_Stats!$G$24="",Norm_Stats!$G$24=Norm_Stats!$F$24),"",MAX(0,MIN(100,100*(MIN(MAX(City_Inputs!$AK72,Norm_Stats!$F$24),Norm_Stats!$G$24)-Norm_Stats!$F$24)/(Norm_Stats!$G$24-Norm_Stats!$F$24)))))="",0,0.2)))</f>
        <v/>
      </c>
      <c r="BE72" s="11">
        <f>IF(OR(City_Inputs!$AH72="",Norm_Stats!$F$25="",Norm_Stats!$G$25="",Norm_Stats!$G$25=Norm_Stats!$F$25),"",MAX(0,MIN(100,100*(Norm_Stats!$G$25-MIN(MAX(City_Inputs!$AH72,Norm_Stats!$F$25),Norm_Stats!$G$25))/(Norm_Stats!$G$25-Norm_Stats!$F$25))))</f>
        <v/>
      </c>
      <c r="BF72" s="14">
        <f>IF(BE72="","",1)</f>
        <v/>
      </c>
      <c r="BG72" s="15">
        <f>IF((IF(AY72="",0,6)+IF(BA72="",0,5)+IF(BC72="",0,5)+IF(BE72="",0,4))=0,"",(IF(AY72="",0,AY72*6)+IF(BA72="",0,BA72*5)+IF(BC72="",0,BC72*5)+IF(BE72="",0,BE72*4))/(IF(AY72="",0,6)+IF(BA72="",0,5)+IF(BC72="",0,5)+IF(BE72="",0,4)))</f>
        <v/>
      </c>
      <c r="BH72" s="14">
        <f>IF((IF(AZ72="",0,6)+IF(BB72="",0,5)+IF(BD72="",0,5)+IF(BF72="",0,4))=0,"",(IF(AZ72="",0,AZ72*6)+IF(BB72="",0,BB72*5)+IF(BD72="",0,BD72*5)+IF(BF72="",0,BF72*4))/20)</f>
        <v/>
      </c>
      <c r="BI72" s="14">
        <f>IF(AND(R72="",AF72="",AN72="",AX72="",BH72=""),"",((R72*25)+(AF72*22)+(AN72*18)+(AX72*15)+(BH72*20))/100)</f>
        <v/>
      </c>
      <c r="BJ72" s="11">
        <f>IF(BI72="","",IF(BI72&gt;=0.75,"A",IF(BI72&gt;=0.5,"B",IF(BI72&gt;=0.35,"C","Watchlist"))))</f>
        <v/>
      </c>
      <c r="BK72" s="11">
        <f>IF(OR(BI72="",BI72&lt;0.5,R72="",R72&lt;0.35,AF72="",AF72&lt;0.35,AN72="",AN72&lt;0.35,AX72="",AX72&lt;0.35,BH72="",BH72&lt;0.35),"Watchlist","Ranked")</f>
        <v/>
      </c>
      <c r="BL72" s="15">
        <f>IF(AND(Q72="",AE72="",AM72="",AW72="",BG72=""),"",(IF(Q72="",0,Q72*25)+IF(AE72="",0,AE72*22)+IF(AM72="",0,AM72*18)+IF(AW72="",0,AW72*15)+IF(BG72="",0,BG72*20))/(IF(Q72="",0,25)+IF(AE72="",0,22)+IF(AM72="",0,18)+IF(AW72="",0,15)+IF(BG72="",0,20)))</f>
        <v/>
      </c>
      <c r="BM72" s="11">
        <f>IF(BK72="Ranked",1+COUNTIFS($BK$2:$BK$158,"Ranked",$BL$2:$BL$158,"&gt;"&amp;BL72),"")</f>
        <v/>
      </c>
      <c r="BN72" s="11">
        <f>City_Inputs!$AI72</f>
        <v/>
      </c>
    </row>
    <row r="73">
      <c r="A73" t="inlineStr">
        <is>
          <t>cl-santiago</t>
        </is>
      </c>
      <c r="B73" t="inlineStr">
        <is>
          <t>Santiago</t>
        </is>
      </c>
      <c r="C73" t="inlineStr">
        <is>
          <t>Chile</t>
        </is>
      </c>
      <c r="D73" t="inlineStr">
        <is>
          <t>Latin America</t>
        </is>
      </c>
      <c r="E73" t="inlineStr">
        <is>
          <t>locked</t>
        </is>
      </c>
      <c r="F73" t="inlineStr">
        <is>
          <t>primary</t>
        </is>
      </c>
      <c r="G73" s="11">
        <f>IF(OR(City_Inputs!$M73="",Norm_Stats!$F$2="",Norm_Stats!$G$2="",Norm_Stats!$G$2=Norm_Stats!$F$2),"",MAX(0,MIN(100,100*(MIN(MAX(City_Inputs!$M73,Norm_Stats!$F$2),Norm_Stats!$G$2)-Norm_Stats!$F$2)/(Norm_Stats!$G$2-Norm_Stats!$F$2))))</f>
        <v/>
      </c>
      <c r="H73" s="14">
        <f>IF(G73="","",1)</f>
        <v/>
      </c>
      <c r="I73" s="11">
        <f>IF(OR(City_Inputs!$N73="",Norm_Stats!$F$3="",Norm_Stats!$G$3="",Norm_Stats!$G$3=Norm_Stats!$F$3),"",MAX(0,MIN(100,100*(Norm_Stats!$G$3-MIN(MAX(City_Inputs!$N73,Norm_Stats!$F$3),Norm_Stats!$G$3))/(Norm_Stats!$G$3-Norm_Stats!$F$3))))</f>
        <v/>
      </c>
      <c r="J73" s="14">
        <f>IF(I73="","",1)</f>
        <v/>
      </c>
      <c r="K73" s="11">
        <f>IF(OR(City_Inputs!$P73="",Norm_Stats!$F$4="",Norm_Stats!$G$4="",Norm_Stats!$G$4=Norm_Stats!$F$4),"",MAX(0,MIN(100,100*(Norm_Stats!$G$4-MIN(MAX(City_Inputs!$P73,Norm_Stats!$F$4),Norm_Stats!$G$4))/(Norm_Stats!$G$4-Norm_Stats!$F$4))))</f>
        <v/>
      </c>
      <c r="L73" s="14">
        <f>IF(K73="","",1)</f>
        <v/>
      </c>
      <c r="M73" s="11">
        <f>IF(OR(City_Inputs!$Q73="",Norm_Stats!$F$5="",Norm_Stats!$G$5="",Norm_Stats!$G$5=Norm_Stats!$F$5),"",MAX(0,MIN(100,100*(Norm_Stats!$G$5-MIN(MAX(City_Inputs!$Q73,Norm_Stats!$F$5),Norm_Stats!$G$5))/(Norm_Stats!$G$5-Norm_Stats!$F$5))))</f>
        <v/>
      </c>
      <c r="N73" s="14">
        <f>IF(M73="","",1)</f>
        <v/>
      </c>
      <c r="O73" s="11">
        <f>IF(OR(City_Inputs!$R73="",Norm_Stats!$F$6="",Norm_Stats!$G$6="",Norm_Stats!$G$6=Norm_Stats!$F$6),"",MAX(0,MIN(100,100*(Norm_Stats!$G$6-MIN(MAX(City_Inputs!$R73,Norm_Stats!$F$6),Norm_Stats!$G$6))/(Norm_Stats!$G$6-Norm_Stats!$F$6))))</f>
        <v/>
      </c>
      <c r="P73" s="14">
        <f>IF(O73="","",1)</f>
        <v/>
      </c>
      <c r="Q73" s="15">
        <f>IF((IF(G73="",0,9)+IF(I73="",0,5)+IF(K73="",0,4)+IF(M73="",0,4)+IF(O73="",0,5))=0,"",(IF(G73="",0,G73*9)+IF(I73="",0,I73*5)+IF(K73="",0,K73*4)+IF(M73="",0,M73*4)+IF(O73="",0,O73*5))/(IF(G73="",0,9)+IF(I73="",0,5)+IF(K73="",0,4)+IF(M73="",0,4)+IF(O73="",0,5)))</f>
        <v/>
      </c>
      <c r="R73" s="14">
        <f>IF((IF(H73="",0,9)+IF(J73="",0,5)+IF(L73="",0,4)+IF(N73="",0,4)+IF(P73="",0,5))=0,"",(IF(H73="",0,H73*9)+IF(J73="",0,J73*5)+IF(L73="",0,L73*4)+IF(N73="",0,N73*4)+IF(P73="",0,P73*5))/27)</f>
        <v/>
      </c>
      <c r="S73" s="11">
        <f>IF(OR(City_Inputs!$S73="",Norm_Stats!$F$7="",Norm_Stats!$G$7="",Norm_Stats!$G$7=Norm_Stats!$F$7),"",MAX(0,MIN(100,100*(Norm_Stats!$G$7-MIN(MAX(City_Inputs!$S73,Norm_Stats!$F$7),Norm_Stats!$G$7))/(Norm_Stats!$G$7-Norm_Stats!$F$7))))</f>
        <v/>
      </c>
      <c r="T73" s="14">
        <f>IF(S73="","",1)</f>
        <v/>
      </c>
      <c r="U73" s="11">
        <f>IF(OR(City_Inputs!$T73="",Norm_Stats!$F$8="",Norm_Stats!$G$8="",Norm_Stats!$G$8=Norm_Stats!$F$8),"",MAX(0,MIN(100,100*(MIN(MAX(City_Inputs!$T73,Norm_Stats!$F$8),Norm_Stats!$G$8)-Norm_Stats!$F$8)/(Norm_Stats!$G$8-Norm_Stats!$F$8))))</f>
        <v/>
      </c>
      <c r="V73" s="14">
        <f>IF(U73="","",1)</f>
        <v/>
      </c>
      <c r="W73" s="11">
        <f>IF(OR(City_Inputs!$U73="",Norm_Stats!$F$9="",Norm_Stats!$G$9="",Norm_Stats!$G$9=Norm_Stats!$F$9),"",MAX(0,MIN(100,100*(Norm_Stats!$G$9-MIN(MAX(City_Inputs!$U73,Norm_Stats!$F$9),Norm_Stats!$G$9))/(Norm_Stats!$G$9-Norm_Stats!$F$9))))</f>
        <v/>
      </c>
      <c r="X73" s="14">
        <f>IF(W73="","",1)</f>
        <v/>
      </c>
      <c r="Y73" s="11">
        <f>IF(OR(City_Inputs!$V73="",Norm_Stats!$F$10="",Norm_Stats!$G$10="",Norm_Stats!$G$10=Norm_Stats!$F$10),"",MAX(0,MIN(100,100*(MIN(MAX(City_Inputs!$V73,Norm_Stats!$F$10),Norm_Stats!$G$10)-Norm_Stats!$F$10)/(Norm_Stats!$G$10-Norm_Stats!$F$10))))</f>
        <v/>
      </c>
      <c r="Z73" s="14">
        <f>IF(Y73="","",1)</f>
        <v/>
      </c>
      <c r="AA73" s="11">
        <f>IF(OR(City_Inputs!$W73="",Norm_Stats!$F$11="",Norm_Stats!$G$11="",Norm_Stats!$G$11=Norm_Stats!$F$11),"",MAX(0,MIN(100,100*(MIN(MAX(City_Inputs!$W73,Norm_Stats!$F$11),Norm_Stats!$G$11)-Norm_Stats!$F$11)/(Norm_Stats!$G$11-Norm_Stats!$F$11))))</f>
        <v/>
      </c>
      <c r="AB73" s="14">
        <f>IF(AA73="","",1)</f>
        <v/>
      </c>
      <c r="AC73" s="11">
        <f>IF(OR(City_Inputs!$X73="",Norm_Stats!$F$12="",Norm_Stats!$G$12="",Norm_Stats!$G$12=Norm_Stats!$F$12),"",MAX(0,MIN(100,100*(MIN(MAX(City_Inputs!$X73,Norm_Stats!$F$12),Norm_Stats!$G$12)-Norm_Stats!$F$12)/(Norm_Stats!$G$12-Norm_Stats!$F$12))))</f>
        <v/>
      </c>
      <c r="AD73" s="11">
        <f>IF(AC73="","",1)</f>
        <v/>
      </c>
      <c r="AE73" s="15">
        <f>IF((IF(S73="",0,5)+IF(U73="",0,5)+IF(W73="",0,4)+IF(Y73="",0,4)+IF(AA73="",0,4)+IF(AC73="",0,5))=0,"",(IF(S73="",0,S73*5)+IF(U73="",0,U73*5)+IF(W73="",0,W73*4)+IF(Y73="",0,Y73*4)+IF(AA73="",0,AA73*4)+IF(AC73="",0,AC73*5))/(IF(S73="",0,5)+IF(U73="",0,5)+IF(W73="",0,4)+IF(Y73="",0,4)+IF(AA73="",0,4)+IF(AC73="",0,5)))</f>
        <v/>
      </c>
      <c r="AF73" s="14">
        <f>IF((IF(T73="",0,5)+IF(V73="",0,5)+IF(X73="",0,4)+IF(Z73="",0,4)+IF(AB73="",0,4)+IF(AD73="",0,5))=0,"",(IF(T73="",0,T73*5)+IF(V73="",0,V73*5)+IF(X73="",0,X73*4)+IF(Z73="",0,Z73*4)+IF(AB73="",0,AB73*4)+IF(AD73="",0,AD73*5))/27)</f>
        <v/>
      </c>
      <c r="AG73" s="11">
        <f>IF(OR(City_Inputs!$Y73="",Norm_Stats!$F$13="",Norm_Stats!$G$13="",Norm_Stats!$G$13=Norm_Stats!$F$13),"",MAX(0,MIN(100,100*(MIN(MAX(City_Inputs!$Y73,Norm_Stats!$F$13),Norm_Stats!$G$13)-Norm_Stats!$F$13)/(Norm_Stats!$G$13-Norm_Stats!$F$13))))</f>
        <v/>
      </c>
      <c r="AH73" s="14">
        <f>IF(AG73="","",1)</f>
        <v/>
      </c>
      <c r="AI73" s="11">
        <f>IF(OR(City_Inputs!$Z73="",Norm_Stats!$F$14="",Norm_Stats!$G$14="",Norm_Stats!$G$14=Norm_Stats!$F$14),"",MAX(0,MIN(100,100*(MIN(MAX(City_Inputs!$Z73,Norm_Stats!$F$14),Norm_Stats!$G$14)-Norm_Stats!$F$14)/(Norm_Stats!$G$14-Norm_Stats!$F$14))))</f>
        <v/>
      </c>
      <c r="AJ73" s="14">
        <f>IF(AI73="","",1)</f>
        <v/>
      </c>
      <c r="AK73" s="11">
        <f>IF((IF((IF(OR(City_Inputs!$AA73="",Norm_Stats!$F$15="",Norm_Stats!$G$15="",Norm_Stats!$G$15=Norm_Stats!$F$15),"",MAX(0,MIN(100,100*(MIN(MAX(City_Inputs!$AA73,Norm_Stats!$F$15),Norm_Stats!$G$15)-Norm_Stats!$F$15)/(Norm_Stats!$G$15-Norm_Stats!$F$15)))))="",0,0.7)+IF((IF(OR(City_Inputs!$AL73="",Norm_Stats!$F$16="",Norm_Stats!$G$16="",Norm_Stats!$G$16=Norm_Stats!$F$16),"",MAX(0,MIN(100,100*(Norm_Stats!$G$16-MIN(MAX(City_Inputs!$AL73,Norm_Stats!$F$16),Norm_Stats!$G$16))/(Norm_Stats!$G$16-Norm_Stats!$F$16)))))="",0,0.3))=0,"",(IF((IF(OR(City_Inputs!$AA73="",Norm_Stats!$F$15="",Norm_Stats!$G$15="",Norm_Stats!$G$15=Norm_Stats!$F$15),"",MAX(0,MIN(100,100*(MIN(MAX(City_Inputs!$AA73,Norm_Stats!$F$15),Norm_Stats!$G$15)-Norm_Stats!$F$15)/(Norm_Stats!$G$15-Norm_Stats!$F$15)))))="",0,(IF(OR(City_Inputs!$AA73="",Norm_Stats!$F$15="",Norm_Stats!$G$15="",Norm_Stats!$G$15=Norm_Stats!$F$15),"",MAX(0,MIN(100,100*(MIN(MAX(City_Inputs!$AA73,Norm_Stats!$F$15),Norm_Stats!$G$15)-Norm_Stats!$F$15)/(Norm_Stats!$G$15-Norm_Stats!$F$15)))))*0.7)+IF((IF(OR(City_Inputs!$AL73="",Norm_Stats!$F$16="",Norm_Stats!$G$16="",Norm_Stats!$G$16=Norm_Stats!$F$16),"",MAX(0,MIN(100,100*(Norm_Stats!$G$16-MIN(MAX(City_Inputs!$AL73,Norm_Stats!$F$16),Norm_Stats!$G$16))/(Norm_Stats!$G$16-Norm_Stats!$F$16)))))="",0,(IF(OR(City_Inputs!$AL73="",Norm_Stats!$F$16="",Norm_Stats!$G$16="",Norm_Stats!$G$16=Norm_Stats!$F$16),"",MAX(0,MIN(100,100*(Norm_Stats!$G$16-MIN(MAX(City_Inputs!$AL73,Norm_Stats!$F$16),Norm_Stats!$G$16))/(Norm_Stats!$G$16-Norm_Stats!$F$16)))))*0.3))/(IF((IF(OR(City_Inputs!$AA73="",Norm_Stats!$F$15="",Norm_Stats!$G$15="",Norm_Stats!$G$15=Norm_Stats!$F$15),"",MAX(0,MIN(100,100*(MIN(MAX(City_Inputs!$AA73,Norm_Stats!$F$15),Norm_Stats!$G$15)-Norm_Stats!$F$15)/(Norm_Stats!$G$15-Norm_Stats!$F$15)))))="",0,0.7)+IF((IF(OR(City_Inputs!$AL73="",Norm_Stats!$F$16="",Norm_Stats!$G$16="",Norm_Stats!$G$16=Norm_Stats!$F$16),"",MAX(0,MIN(100,100*(Norm_Stats!$G$16-MIN(MAX(City_Inputs!$AL73,Norm_Stats!$F$16),Norm_Stats!$G$16))/(Norm_Stats!$G$16-Norm_Stats!$F$16)))))="",0,0.3)))</f>
        <v/>
      </c>
      <c r="AL73" s="14">
        <f>IF((IF((IF(OR(City_Inputs!$AA73="",Norm_Stats!$F$15="",Norm_Stats!$G$15="",Norm_Stats!$G$15=Norm_Stats!$F$15),"",MAX(0,MIN(100,100*(MIN(MAX(City_Inputs!$AA73,Norm_Stats!$F$15),Norm_Stats!$G$15)-Norm_Stats!$F$15)/(Norm_Stats!$G$15-Norm_Stats!$F$15)))))="",0,0.7)+IF((IF(OR(City_Inputs!$AL73="",Norm_Stats!$F$16="",Norm_Stats!$G$16="",Norm_Stats!$G$16=Norm_Stats!$F$16),"",MAX(0,MIN(100,100*(Norm_Stats!$G$16-MIN(MAX(City_Inputs!$AL73,Norm_Stats!$F$16),Norm_Stats!$G$16))/(Norm_Stats!$G$16-Norm_Stats!$F$16)))))="",0,0.3))=0,"",(IF((IF(OR(City_Inputs!$AA73="",Norm_Stats!$F$15="",Norm_Stats!$G$15="",Norm_Stats!$G$15=Norm_Stats!$F$15),"",MAX(0,MIN(100,100*(MIN(MAX(City_Inputs!$AA73,Norm_Stats!$F$15),Norm_Stats!$G$15)-Norm_Stats!$F$15)/(Norm_Stats!$G$15-Norm_Stats!$F$15)))))="",0,0.7)+IF((IF(OR(City_Inputs!$AL73="",Norm_Stats!$F$16="",Norm_Stats!$G$16="",Norm_Stats!$G$16=Norm_Stats!$F$16),"",MAX(0,MIN(100,100*(Norm_Stats!$G$16-MIN(MAX(City_Inputs!$AL73,Norm_Stats!$F$16),Norm_Stats!$G$16))/(Norm_Stats!$G$16-Norm_Stats!$F$16)))))="",0,0.3)))</f>
        <v/>
      </c>
      <c r="AM73" s="15">
        <f>IF((IF(AG73="",0,8)+IF(AI73="",0,6)+IF(AK73="",0,4))=0,"",(IF(AG73="",0,AG73*8)+IF(AI73="",0,AI73*6)+IF(AK73="",0,AK73*4))/(IF(AG73="",0,8)+IF(AI73="",0,6)+IF(AK73="",0,4)))</f>
        <v/>
      </c>
      <c r="AN73" s="14">
        <f>IF((IF(AH73="",0,8)+IF(AJ73="",0,6)+IF(AL73="",0,4))=0,"",(IF(AH73="",0,AH73*8)+IF(AJ73="",0,AJ73*6)+IF(AL73="",0,AL73*4))/18)</f>
        <v/>
      </c>
      <c r="AO73" s="11">
        <f>IF(OR(City_Inputs!$AB73="",Norm_Stats!$F$17="",Norm_Stats!$G$17="",Norm_Stats!$G$17=Norm_Stats!$F$17),"",MAX(0,MIN(100,100*(MIN(MAX(City_Inputs!$AB73,Norm_Stats!$F$17),Norm_Stats!$G$17)-Norm_Stats!$F$17)/(Norm_Stats!$G$17-Norm_Stats!$F$17))))</f>
        <v/>
      </c>
      <c r="AP73" s="14">
        <f>IF(AO73="","",1)</f>
        <v/>
      </c>
      <c r="AQ73" s="11">
        <f>IF(OR(City_Inputs!$AC73="",Norm_Stats!$F$18="",Norm_Stats!$G$18="",Norm_Stats!$G$18=Norm_Stats!$F$18),"",MAX(0,MIN(100,100*(MIN(MAX(City_Inputs!$AC73,Norm_Stats!$F$18),Norm_Stats!$G$18)-Norm_Stats!$F$18)/(Norm_Stats!$G$18-Norm_Stats!$F$18))))</f>
        <v/>
      </c>
      <c r="AR73" s="14">
        <f>IF(AQ73="","",1)</f>
        <v/>
      </c>
      <c r="AS73" s="11">
        <f>IF(OR(City_Inputs!$AD73="",Norm_Stats!$F$19="",Norm_Stats!$G$19="",Norm_Stats!$G$19=Norm_Stats!$F$19),"",MAX(0,MIN(100,100*(MIN(MAX(City_Inputs!$AD73,Norm_Stats!$F$19),Norm_Stats!$G$19)-Norm_Stats!$F$19)/(Norm_Stats!$G$19-Norm_Stats!$F$19))))</f>
        <v/>
      </c>
      <c r="AT73" s="14">
        <f>IF(AS73="","",1)</f>
        <v/>
      </c>
      <c r="AU73" s="11">
        <f>IF(OR(City_Inputs!$BJ73="",Norm_Stats!$F$26="",Norm_Stats!$G$26="",Norm_Stats!$G$26=Norm_Stats!$F$26),"",MAX(0,MIN(100,100*(MIN(MAX(City_Inputs!$BJ73,Norm_Stats!$F$26),Norm_Stats!$G$26)-Norm_Stats!$F$26)/(Norm_Stats!$G$26-Norm_Stats!$F$26))))</f>
        <v/>
      </c>
      <c r="AV73" s="11">
        <f>IF(AU73="","",1)</f>
        <v/>
      </c>
      <c r="AW73" s="15">
        <f>IF((IF(AO73="",0,5)+IF(AQ73="",0,5)+IF(AS73="",0,5)+IF(AU73="",0,4))=0,"",(IF(AO73="",0,AO73*5)+IF(AQ73="",0,AQ73*5)+IF(AS73="",0,AS73*5)+IF(AU73="",0,AU73*4))/(IF(AO73="",0,5)+IF(AQ73="",0,5)+IF(AS73="",0,5)+IF(AU73="",0,4)))</f>
        <v/>
      </c>
      <c r="AX73" s="14">
        <f>IF((IF(AP73="",0,5)+IF(AR73="",0,5)+IF(AT73="",0,5)+IF(AV73="",0,4))=0,"",(IF(AP73="",0,AP73*5)+IF(AR73="",0,AR73*5)+IF(AT73="",0,AT73*5)+IF(AV73="",0,AV73*4))/19)</f>
        <v/>
      </c>
      <c r="AY73" s="11">
        <f>IF(OR(City_Inputs!$AE73="",Norm_Stats!$F$20="",Norm_Stats!$G$20="",Norm_Stats!$G$20=Norm_Stats!$F$20),"",MAX(0,MIN(100,100*(MIN(MAX(City_Inputs!$AE73,Norm_Stats!$F$20),Norm_Stats!$G$20)-Norm_Stats!$F$20)/(Norm_Stats!$G$20-Norm_Stats!$F$20))))</f>
        <v/>
      </c>
      <c r="AZ73" s="14">
        <f>IF(AY73="","",1)</f>
        <v/>
      </c>
      <c r="BA73" s="11">
        <f>IF(OR(City_Inputs!$AF73="",Norm_Stats!$F$21="",Norm_Stats!$G$21="",Norm_Stats!$G$21=Norm_Stats!$F$21),"",MAX(0,MIN(100,100*(MIN(MAX(City_Inputs!$AF73,Norm_Stats!$F$21),Norm_Stats!$G$21)-Norm_Stats!$F$21)/(Norm_Stats!$G$21-Norm_Stats!$F$21))))</f>
        <v/>
      </c>
      <c r="BB73" s="14">
        <f>IF(BA73="","",1)</f>
        <v/>
      </c>
      <c r="BC73" s="11">
        <f>IF((IF((IF(OR(City_Inputs!$AG73="",Norm_Stats!$F$22="",Norm_Stats!$G$22="",Norm_Stats!$G$22=Norm_Stats!$F$22),"",MAX(0,MIN(100,100*(MIN(MAX(City_Inputs!$AG73,Norm_Stats!$F$22),Norm_Stats!$G$22)-Norm_Stats!$F$22)/(Norm_Stats!$G$22-Norm_Stats!$F$22)))))="",0,0.5)+IF((IF(OR(City_Inputs!$AJ73="",Norm_Stats!$F$23="",Norm_Stats!$G$23="",Norm_Stats!$G$23=Norm_Stats!$F$23),"",MAX(0,MIN(100,100*(MIN(MAX(City_Inputs!$AJ73,Norm_Stats!$F$23),Norm_Stats!$G$23)-Norm_Stats!$F$23)/(Norm_Stats!$G$23-Norm_Stats!$F$23)))))="",0,0.3)+IF((IF(OR(City_Inputs!$AK73="",Norm_Stats!$F$24="",Norm_Stats!$G$24="",Norm_Stats!$G$24=Norm_Stats!$F$24),"",MAX(0,MIN(100,100*(MIN(MAX(City_Inputs!$AK73,Norm_Stats!$F$24),Norm_Stats!$G$24)-Norm_Stats!$F$24)/(Norm_Stats!$G$24-Norm_Stats!$F$24)))))="",0,0.2))=0,"",(IF((IF(OR(City_Inputs!$AG73="",Norm_Stats!$F$22="",Norm_Stats!$G$22="",Norm_Stats!$G$22=Norm_Stats!$F$22),"",MAX(0,MIN(100,100*(MIN(MAX(City_Inputs!$AG73,Norm_Stats!$F$22),Norm_Stats!$G$22)-Norm_Stats!$F$22)/(Norm_Stats!$G$22-Norm_Stats!$F$22)))))="",0,(IF(OR(City_Inputs!$AG73="",Norm_Stats!$F$22="",Norm_Stats!$G$22="",Norm_Stats!$G$22=Norm_Stats!$F$22),"",MAX(0,MIN(100,100*(MIN(MAX(City_Inputs!$AG73,Norm_Stats!$F$22),Norm_Stats!$G$22)-Norm_Stats!$F$22)/(Norm_Stats!$G$22-Norm_Stats!$F$22)))))*0.5)+IF((IF(OR(City_Inputs!$AJ73="",Norm_Stats!$F$23="",Norm_Stats!$G$23="",Norm_Stats!$G$23=Norm_Stats!$F$23),"",MAX(0,MIN(100,100*(MIN(MAX(City_Inputs!$AJ73,Norm_Stats!$F$23),Norm_Stats!$G$23)-Norm_Stats!$F$23)/(Norm_Stats!$G$23-Norm_Stats!$F$23)))))="",0,(IF(OR(City_Inputs!$AJ73="",Norm_Stats!$F$23="",Norm_Stats!$G$23="",Norm_Stats!$G$23=Norm_Stats!$F$23),"",MAX(0,MIN(100,100*(MIN(MAX(City_Inputs!$AJ73,Norm_Stats!$F$23),Norm_Stats!$G$23)-Norm_Stats!$F$23)/(Norm_Stats!$G$23-Norm_Stats!$F$23)))))*0.3)+IF((IF(OR(City_Inputs!$AK73="",Norm_Stats!$F$24="",Norm_Stats!$G$24="",Norm_Stats!$G$24=Norm_Stats!$F$24),"",MAX(0,MIN(100,100*(MIN(MAX(City_Inputs!$AK73,Norm_Stats!$F$24),Norm_Stats!$G$24)-Norm_Stats!$F$24)/(Norm_Stats!$G$24-Norm_Stats!$F$24)))))="",0,(IF(OR(City_Inputs!$AK73="",Norm_Stats!$F$24="",Norm_Stats!$G$24="",Norm_Stats!$G$24=Norm_Stats!$F$24),"",MAX(0,MIN(100,100*(MIN(MAX(City_Inputs!$AK73,Norm_Stats!$F$24),Norm_Stats!$G$24)-Norm_Stats!$F$24)/(Norm_Stats!$G$24-Norm_Stats!$F$24)))))*0.2))/(IF((IF(OR(City_Inputs!$AG73="",Norm_Stats!$F$22="",Norm_Stats!$G$22="",Norm_Stats!$G$22=Norm_Stats!$F$22),"",MAX(0,MIN(100,100*(MIN(MAX(City_Inputs!$AG73,Norm_Stats!$F$22),Norm_Stats!$G$22)-Norm_Stats!$F$22)/(Norm_Stats!$G$22-Norm_Stats!$F$22)))))="",0,0.5)+IF((IF(OR(City_Inputs!$AJ73="",Norm_Stats!$F$23="",Norm_Stats!$G$23="",Norm_Stats!$G$23=Norm_Stats!$F$23),"",MAX(0,MIN(100,100*(MIN(MAX(City_Inputs!$AJ73,Norm_Stats!$F$23),Norm_Stats!$G$23)-Norm_Stats!$F$23)/(Norm_Stats!$G$23-Norm_Stats!$F$23)))))="",0,0.3)+IF((IF(OR(City_Inputs!$AK73="",Norm_Stats!$F$24="",Norm_Stats!$G$24="",Norm_Stats!$G$24=Norm_Stats!$F$24),"",MAX(0,MIN(100,100*(MIN(MAX(City_Inputs!$AK73,Norm_Stats!$F$24),Norm_Stats!$G$24)-Norm_Stats!$F$24)/(Norm_Stats!$G$24-Norm_Stats!$F$24)))))="",0,0.2)))</f>
        <v/>
      </c>
      <c r="BD73" s="14">
        <f>IF((IF((IF(OR(City_Inputs!$AG73="",Norm_Stats!$F$22="",Norm_Stats!$G$22="",Norm_Stats!$G$22=Norm_Stats!$F$22),"",MAX(0,MIN(100,100*(MIN(MAX(City_Inputs!$AG73,Norm_Stats!$F$22),Norm_Stats!$G$22)-Norm_Stats!$F$22)/(Norm_Stats!$G$22-Norm_Stats!$F$22)))))="",0,0.5)+IF((IF(OR(City_Inputs!$AJ73="",Norm_Stats!$F$23="",Norm_Stats!$G$23="",Norm_Stats!$G$23=Norm_Stats!$F$23),"",MAX(0,MIN(100,100*(MIN(MAX(City_Inputs!$AJ73,Norm_Stats!$F$23),Norm_Stats!$G$23)-Norm_Stats!$F$23)/(Norm_Stats!$G$23-Norm_Stats!$F$23)))))="",0,0.3)+IF((IF(OR(City_Inputs!$AK73="",Norm_Stats!$F$24="",Norm_Stats!$G$24="",Norm_Stats!$G$24=Norm_Stats!$F$24),"",MAX(0,MIN(100,100*(MIN(MAX(City_Inputs!$AK73,Norm_Stats!$F$24),Norm_Stats!$G$24)-Norm_Stats!$F$24)/(Norm_Stats!$G$24-Norm_Stats!$F$24)))))="",0,0.2))=0,"",(IF((IF(OR(City_Inputs!$AG73="",Norm_Stats!$F$22="",Norm_Stats!$G$22="",Norm_Stats!$G$22=Norm_Stats!$F$22),"",MAX(0,MIN(100,100*(MIN(MAX(City_Inputs!$AG73,Norm_Stats!$F$22),Norm_Stats!$G$22)-Norm_Stats!$F$22)/(Norm_Stats!$G$22-Norm_Stats!$F$22)))))="",0,0.5)+IF((IF(OR(City_Inputs!$AJ73="",Norm_Stats!$F$23="",Norm_Stats!$G$23="",Norm_Stats!$G$23=Norm_Stats!$F$23),"",MAX(0,MIN(100,100*(MIN(MAX(City_Inputs!$AJ73,Norm_Stats!$F$23),Norm_Stats!$G$23)-Norm_Stats!$F$23)/(Norm_Stats!$G$23-Norm_Stats!$F$23)))))="",0,0.3)+IF((IF(OR(City_Inputs!$AK73="",Norm_Stats!$F$24="",Norm_Stats!$G$24="",Norm_Stats!$G$24=Norm_Stats!$F$24),"",MAX(0,MIN(100,100*(MIN(MAX(City_Inputs!$AK73,Norm_Stats!$F$24),Norm_Stats!$G$24)-Norm_Stats!$F$24)/(Norm_Stats!$G$24-Norm_Stats!$F$24)))))="",0,0.2)))</f>
        <v/>
      </c>
      <c r="BE73" s="11">
        <f>IF(OR(City_Inputs!$AH73="",Norm_Stats!$F$25="",Norm_Stats!$G$25="",Norm_Stats!$G$25=Norm_Stats!$F$25),"",MAX(0,MIN(100,100*(Norm_Stats!$G$25-MIN(MAX(City_Inputs!$AH73,Norm_Stats!$F$25),Norm_Stats!$G$25))/(Norm_Stats!$G$25-Norm_Stats!$F$25))))</f>
        <v/>
      </c>
      <c r="BF73" s="14">
        <f>IF(BE73="","",1)</f>
        <v/>
      </c>
      <c r="BG73" s="15">
        <f>IF((IF(AY73="",0,6)+IF(BA73="",0,5)+IF(BC73="",0,5)+IF(BE73="",0,4))=0,"",(IF(AY73="",0,AY73*6)+IF(BA73="",0,BA73*5)+IF(BC73="",0,BC73*5)+IF(BE73="",0,BE73*4))/(IF(AY73="",0,6)+IF(BA73="",0,5)+IF(BC73="",0,5)+IF(BE73="",0,4)))</f>
        <v/>
      </c>
      <c r="BH73" s="14">
        <f>IF((IF(AZ73="",0,6)+IF(BB73="",0,5)+IF(BD73="",0,5)+IF(BF73="",0,4))=0,"",(IF(AZ73="",0,AZ73*6)+IF(BB73="",0,BB73*5)+IF(BD73="",0,BD73*5)+IF(BF73="",0,BF73*4))/20)</f>
        <v/>
      </c>
      <c r="BI73" s="14">
        <f>IF(AND(R73="",AF73="",AN73="",AX73="",BH73=""),"",((R73*25)+(AF73*22)+(AN73*18)+(AX73*15)+(BH73*20))/100)</f>
        <v/>
      </c>
      <c r="BJ73" s="11">
        <f>IF(BI73="","",IF(BI73&gt;=0.75,"A",IF(BI73&gt;=0.5,"B",IF(BI73&gt;=0.35,"C","Watchlist"))))</f>
        <v/>
      </c>
      <c r="BK73" s="11">
        <f>IF(OR(BI73="",BI73&lt;0.5,R73="",R73&lt;0.35,AF73="",AF73&lt;0.35,AN73="",AN73&lt;0.35,AX73="",AX73&lt;0.35,BH73="",BH73&lt;0.35),"Watchlist","Ranked")</f>
        <v/>
      </c>
      <c r="BL73" s="15">
        <f>IF(AND(Q73="",AE73="",AM73="",AW73="",BG73=""),"",(IF(Q73="",0,Q73*25)+IF(AE73="",0,AE73*22)+IF(AM73="",0,AM73*18)+IF(AW73="",0,AW73*15)+IF(BG73="",0,BG73*20))/(IF(Q73="",0,25)+IF(AE73="",0,22)+IF(AM73="",0,18)+IF(AW73="",0,15)+IF(BG73="",0,20)))</f>
        <v/>
      </c>
      <c r="BM73" s="11">
        <f>IF(BK73="Ranked",1+COUNTIFS($BK$2:$BK$158,"Ranked",$BL$2:$BL$158,"&gt;"&amp;BL73),"")</f>
        <v/>
      </c>
      <c r="BN73" s="11">
        <f>City_Inputs!$AI73</f>
        <v/>
      </c>
    </row>
    <row r="74">
      <c r="A74" t="inlineStr">
        <is>
          <t>co-bogota</t>
        </is>
      </c>
      <c r="B74" t="inlineStr">
        <is>
          <t>Bogota</t>
        </is>
      </c>
      <c r="C74" t="inlineStr">
        <is>
          <t>Colombia</t>
        </is>
      </c>
      <c r="D74" t="inlineStr">
        <is>
          <t>Latin America</t>
        </is>
      </c>
      <c r="E74" t="inlineStr">
        <is>
          <t>locked</t>
        </is>
      </c>
      <c r="F74" t="inlineStr">
        <is>
          <t>primary</t>
        </is>
      </c>
      <c r="G74" s="11">
        <f>IF(OR(City_Inputs!$M74="",Norm_Stats!$F$2="",Norm_Stats!$G$2="",Norm_Stats!$G$2=Norm_Stats!$F$2),"",MAX(0,MIN(100,100*(MIN(MAX(City_Inputs!$M74,Norm_Stats!$F$2),Norm_Stats!$G$2)-Norm_Stats!$F$2)/(Norm_Stats!$G$2-Norm_Stats!$F$2))))</f>
        <v/>
      </c>
      <c r="H74" s="14">
        <f>IF(G74="","",1)</f>
        <v/>
      </c>
      <c r="I74" s="11">
        <f>IF(OR(City_Inputs!$N74="",Norm_Stats!$F$3="",Norm_Stats!$G$3="",Norm_Stats!$G$3=Norm_Stats!$F$3),"",MAX(0,MIN(100,100*(Norm_Stats!$G$3-MIN(MAX(City_Inputs!$N74,Norm_Stats!$F$3),Norm_Stats!$G$3))/(Norm_Stats!$G$3-Norm_Stats!$F$3))))</f>
        <v/>
      </c>
      <c r="J74" s="14">
        <f>IF(I74="","",1)</f>
        <v/>
      </c>
      <c r="K74" s="11">
        <f>IF(OR(City_Inputs!$P74="",Norm_Stats!$F$4="",Norm_Stats!$G$4="",Norm_Stats!$G$4=Norm_Stats!$F$4),"",MAX(0,MIN(100,100*(Norm_Stats!$G$4-MIN(MAX(City_Inputs!$P74,Norm_Stats!$F$4),Norm_Stats!$G$4))/(Norm_Stats!$G$4-Norm_Stats!$F$4))))</f>
        <v/>
      </c>
      <c r="L74" s="14">
        <f>IF(K74="","",1)</f>
        <v/>
      </c>
      <c r="M74" s="11">
        <f>IF(OR(City_Inputs!$Q74="",Norm_Stats!$F$5="",Norm_Stats!$G$5="",Norm_Stats!$G$5=Norm_Stats!$F$5),"",MAX(0,MIN(100,100*(Norm_Stats!$G$5-MIN(MAX(City_Inputs!$Q74,Norm_Stats!$F$5),Norm_Stats!$G$5))/(Norm_Stats!$G$5-Norm_Stats!$F$5))))</f>
        <v/>
      </c>
      <c r="N74" s="14">
        <f>IF(M74="","",1)</f>
        <v/>
      </c>
      <c r="O74" s="11">
        <f>IF(OR(City_Inputs!$R74="",Norm_Stats!$F$6="",Norm_Stats!$G$6="",Norm_Stats!$G$6=Norm_Stats!$F$6),"",MAX(0,MIN(100,100*(Norm_Stats!$G$6-MIN(MAX(City_Inputs!$R74,Norm_Stats!$F$6),Norm_Stats!$G$6))/(Norm_Stats!$G$6-Norm_Stats!$F$6))))</f>
        <v/>
      </c>
      <c r="P74" s="14">
        <f>IF(O74="","",1)</f>
        <v/>
      </c>
      <c r="Q74" s="15">
        <f>IF((IF(G74="",0,9)+IF(I74="",0,5)+IF(K74="",0,4)+IF(M74="",0,4)+IF(O74="",0,5))=0,"",(IF(G74="",0,G74*9)+IF(I74="",0,I74*5)+IF(K74="",0,K74*4)+IF(M74="",0,M74*4)+IF(O74="",0,O74*5))/(IF(G74="",0,9)+IF(I74="",0,5)+IF(K74="",0,4)+IF(M74="",0,4)+IF(O74="",0,5)))</f>
        <v/>
      </c>
      <c r="R74" s="14">
        <f>IF((IF(H74="",0,9)+IF(J74="",0,5)+IF(L74="",0,4)+IF(N74="",0,4)+IF(P74="",0,5))=0,"",(IF(H74="",0,H74*9)+IF(J74="",0,J74*5)+IF(L74="",0,L74*4)+IF(N74="",0,N74*4)+IF(P74="",0,P74*5))/27)</f>
        <v/>
      </c>
      <c r="S74" s="11">
        <f>IF(OR(City_Inputs!$S74="",Norm_Stats!$F$7="",Norm_Stats!$G$7="",Norm_Stats!$G$7=Norm_Stats!$F$7),"",MAX(0,MIN(100,100*(Norm_Stats!$G$7-MIN(MAX(City_Inputs!$S74,Norm_Stats!$F$7),Norm_Stats!$G$7))/(Norm_Stats!$G$7-Norm_Stats!$F$7))))</f>
        <v/>
      </c>
      <c r="T74" s="14">
        <f>IF(S74="","",1)</f>
        <v/>
      </c>
      <c r="U74" s="11">
        <f>IF(OR(City_Inputs!$T74="",Norm_Stats!$F$8="",Norm_Stats!$G$8="",Norm_Stats!$G$8=Norm_Stats!$F$8),"",MAX(0,MIN(100,100*(MIN(MAX(City_Inputs!$T74,Norm_Stats!$F$8),Norm_Stats!$G$8)-Norm_Stats!$F$8)/(Norm_Stats!$G$8-Norm_Stats!$F$8))))</f>
        <v/>
      </c>
      <c r="V74" s="14">
        <f>IF(U74="","",1)</f>
        <v/>
      </c>
      <c r="W74" s="11">
        <f>IF(OR(City_Inputs!$U74="",Norm_Stats!$F$9="",Norm_Stats!$G$9="",Norm_Stats!$G$9=Norm_Stats!$F$9),"",MAX(0,MIN(100,100*(Norm_Stats!$G$9-MIN(MAX(City_Inputs!$U74,Norm_Stats!$F$9),Norm_Stats!$G$9))/(Norm_Stats!$G$9-Norm_Stats!$F$9))))</f>
        <v/>
      </c>
      <c r="X74" s="14">
        <f>IF(W74="","",1)</f>
        <v/>
      </c>
      <c r="Y74" s="11">
        <f>IF(OR(City_Inputs!$V74="",Norm_Stats!$F$10="",Norm_Stats!$G$10="",Norm_Stats!$G$10=Norm_Stats!$F$10),"",MAX(0,MIN(100,100*(MIN(MAX(City_Inputs!$V74,Norm_Stats!$F$10),Norm_Stats!$G$10)-Norm_Stats!$F$10)/(Norm_Stats!$G$10-Norm_Stats!$F$10))))</f>
        <v/>
      </c>
      <c r="Z74" s="14">
        <f>IF(Y74="","",1)</f>
        <v/>
      </c>
      <c r="AA74" s="11">
        <f>IF(OR(City_Inputs!$W74="",Norm_Stats!$F$11="",Norm_Stats!$G$11="",Norm_Stats!$G$11=Norm_Stats!$F$11),"",MAX(0,MIN(100,100*(MIN(MAX(City_Inputs!$W74,Norm_Stats!$F$11),Norm_Stats!$G$11)-Norm_Stats!$F$11)/(Norm_Stats!$G$11-Norm_Stats!$F$11))))</f>
        <v/>
      </c>
      <c r="AB74" s="14">
        <f>IF(AA74="","",1)</f>
        <v/>
      </c>
      <c r="AC74" s="11">
        <f>IF(OR(City_Inputs!$X74="",Norm_Stats!$F$12="",Norm_Stats!$G$12="",Norm_Stats!$G$12=Norm_Stats!$F$12),"",MAX(0,MIN(100,100*(MIN(MAX(City_Inputs!$X74,Norm_Stats!$F$12),Norm_Stats!$G$12)-Norm_Stats!$F$12)/(Norm_Stats!$G$12-Norm_Stats!$F$12))))</f>
        <v/>
      </c>
      <c r="AD74" s="11">
        <f>IF(AC74="","",1)</f>
        <v/>
      </c>
      <c r="AE74" s="15">
        <f>IF((IF(S74="",0,5)+IF(U74="",0,5)+IF(W74="",0,4)+IF(Y74="",0,4)+IF(AA74="",0,4)+IF(AC74="",0,5))=0,"",(IF(S74="",0,S74*5)+IF(U74="",0,U74*5)+IF(W74="",0,W74*4)+IF(Y74="",0,Y74*4)+IF(AA74="",0,AA74*4)+IF(AC74="",0,AC74*5))/(IF(S74="",0,5)+IF(U74="",0,5)+IF(W74="",0,4)+IF(Y74="",0,4)+IF(AA74="",0,4)+IF(AC74="",0,5)))</f>
        <v/>
      </c>
      <c r="AF74" s="14">
        <f>IF((IF(T74="",0,5)+IF(V74="",0,5)+IF(X74="",0,4)+IF(Z74="",0,4)+IF(AB74="",0,4)+IF(AD74="",0,5))=0,"",(IF(T74="",0,T74*5)+IF(V74="",0,V74*5)+IF(X74="",0,X74*4)+IF(Z74="",0,Z74*4)+IF(AB74="",0,AB74*4)+IF(AD74="",0,AD74*5))/27)</f>
        <v/>
      </c>
      <c r="AG74" s="11">
        <f>IF(OR(City_Inputs!$Y74="",Norm_Stats!$F$13="",Norm_Stats!$G$13="",Norm_Stats!$G$13=Norm_Stats!$F$13),"",MAX(0,MIN(100,100*(MIN(MAX(City_Inputs!$Y74,Norm_Stats!$F$13),Norm_Stats!$G$13)-Norm_Stats!$F$13)/(Norm_Stats!$G$13-Norm_Stats!$F$13))))</f>
        <v/>
      </c>
      <c r="AH74" s="14">
        <f>IF(AG74="","",1)</f>
        <v/>
      </c>
      <c r="AI74" s="11">
        <f>IF(OR(City_Inputs!$Z74="",Norm_Stats!$F$14="",Norm_Stats!$G$14="",Norm_Stats!$G$14=Norm_Stats!$F$14),"",MAX(0,MIN(100,100*(MIN(MAX(City_Inputs!$Z74,Norm_Stats!$F$14),Norm_Stats!$G$14)-Norm_Stats!$F$14)/(Norm_Stats!$G$14-Norm_Stats!$F$14))))</f>
        <v/>
      </c>
      <c r="AJ74" s="14">
        <f>IF(AI74="","",1)</f>
        <v/>
      </c>
      <c r="AK74" s="11">
        <f>IF((IF((IF(OR(City_Inputs!$AA74="",Norm_Stats!$F$15="",Norm_Stats!$G$15="",Norm_Stats!$G$15=Norm_Stats!$F$15),"",MAX(0,MIN(100,100*(MIN(MAX(City_Inputs!$AA74,Norm_Stats!$F$15),Norm_Stats!$G$15)-Norm_Stats!$F$15)/(Norm_Stats!$G$15-Norm_Stats!$F$15)))))="",0,0.7)+IF((IF(OR(City_Inputs!$AL74="",Norm_Stats!$F$16="",Norm_Stats!$G$16="",Norm_Stats!$G$16=Norm_Stats!$F$16),"",MAX(0,MIN(100,100*(Norm_Stats!$G$16-MIN(MAX(City_Inputs!$AL74,Norm_Stats!$F$16),Norm_Stats!$G$16))/(Norm_Stats!$G$16-Norm_Stats!$F$16)))))="",0,0.3))=0,"",(IF((IF(OR(City_Inputs!$AA74="",Norm_Stats!$F$15="",Norm_Stats!$G$15="",Norm_Stats!$G$15=Norm_Stats!$F$15),"",MAX(0,MIN(100,100*(MIN(MAX(City_Inputs!$AA74,Norm_Stats!$F$15),Norm_Stats!$G$15)-Norm_Stats!$F$15)/(Norm_Stats!$G$15-Norm_Stats!$F$15)))))="",0,(IF(OR(City_Inputs!$AA74="",Norm_Stats!$F$15="",Norm_Stats!$G$15="",Norm_Stats!$G$15=Norm_Stats!$F$15),"",MAX(0,MIN(100,100*(MIN(MAX(City_Inputs!$AA74,Norm_Stats!$F$15),Norm_Stats!$G$15)-Norm_Stats!$F$15)/(Norm_Stats!$G$15-Norm_Stats!$F$15)))))*0.7)+IF((IF(OR(City_Inputs!$AL74="",Norm_Stats!$F$16="",Norm_Stats!$G$16="",Norm_Stats!$G$16=Norm_Stats!$F$16),"",MAX(0,MIN(100,100*(Norm_Stats!$G$16-MIN(MAX(City_Inputs!$AL74,Norm_Stats!$F$16),Norm_Stats!$G$16))/(Norm_Stats!$G$16-Norm_Stats!$F$16)))))="",0,(IF(OR(City_Inputs!$AL74="",Norm_Stats!$F$16="",Norm_Stats!$G$16="",Norm_Stats!$G$16=Norm_Stats!$F$16),"",MAX(0,MIN(100,100*(Norm_Stats!$G$16-MIN(MAX(City_Inputs!$AL74,Norm_Stats!$F$16),Norm_Stats!$G$16))/(Norm_Stats!$G$16-Norm_Stats!$F$16)))))*0.3))/(IF((IF(OR(City_Inputs!$AA74="",Norm_Stats!$F$15="",Norm_Stats!$G$15="",Norm_Stats!$G$15=Norm_Stats!$F$15),"",MAX(0,MIN(100,100*(MIN(MAX(City_Inputs!$AA74,Norm_Stats!$F$15),Norm_Stats!$G$15)-Norm_Stats!$F$15)/(Norm_Stats!$G$15-Norm_Stats!$F$15)))))="",0,0.7)+IF((IF(OR(City_Inputs!$AL74="",Norm_Stats!$F$16="",Norm_Stats!$G$16="",Norm_Stats!$G$16=Norm_Stats!$F$16),"",MAX(0,MIN(100,100*(Norm_Stats!$G$16-MIN(MAX(City_Inputs!$AL74,Norm_Stats!$F$16),Norm_Stats!$G$16))/(Norm_Stats!$G$16-Norm_Stats!$F$16)))))="",0,0.3)))</f>
        <v/>
      </c>
      <c r="AL74" s="14">
        <f>IF((IF((IF(OR(City_Inputs!$AA74="",Norm_Stats!$F$15="",Norm_Stats!$G$15="",Norm_Stats!$G$15=Norm_Stats!$F$15),"",MAX(0,MIN(100,100*(MIN(MAX(City_Inputs!$AA74,Norm_Stats!$F$15),Norm_Stats!$G$15)-Norm_Stats!$F$15)/(Norm_Stats!$G$15-Norm_Stats!$F$15)))))="",0,0.7)+IF((IF(OR(City_Inputs!$AL74="",Norm_Stats!$F$16="",Norm_Stats!$G$16="",Norm_Stats!$G$16=Norm_Stats!$F$16),"",MAX(0,MIN(100,100*(Norm_Stats!$G$16-MIN(MAX(City_Inputs!$AL74,Norm_Stats!$F$16),Norm_Stats!$G$16))/(Norm_Stats!$G$16-Norm_Stats!$F$16)))))="",0,0.3))=0,"",(IF((IF(OR(City_Inputs!$AA74="",Norm_Stats!$F$15="",Norm_Stats!$G$15="",Norm_Stats!$G$15=Norm_Stats!$F$15),"",MAX(0,MIN(100,100*(MIN(MAX(City_Inputs!$AA74,Norm_Stats!$F$15),Norm_Stats!$G$15)-Norm_Stats!$F$15)/(Norm_Stats!$G$15-Norm_Stats!$F$15)))))="",0,0.7)+IF((IF(OR(City_Inputs!$AL74="",Norm_Stats!$F$16="",Norm_Stats!$G$16="",Norm_Stats!$G$16=Norm_Stats!$F$16),"",MAX(0,MIN(100,100*(Norm_Stats!$G$16-MIN(MAX(City_Inputs!$AL74,Norm_Stats!$F$16),Norm_Stats!$G$16))/(Norm_Stats!$G$16-Norm_Stats!$F$16)))))="",0,0.3)))</f>
        <v/>
      </c>
      <c r="AM74" s="15">
        <f>IF((IF(AG74="",0,8)+IF(AI74="",0,6)+IF(AK74="",0,4))=0,"",(IF(AG74="",0,AG74*8)+IF(AI74="",0,AI74*6)+IF(AK74="",0,AK74*4))/(IF(AG74="",0,8)+IF(AI74="",0,6)+IF(AK74="",0,4)))</f>
        <v/>
      </c>
      <c r="AN74" s="14">
        <f>IF((IF(AH74="",0,8)+IF(AJ74="",0,6)+IF(AL74="",0,4))=0,"",(IF(AH74="",0,AH74*8)+IF(AJ74="",0,AJ74*6)+IF(AL74="",0,AL74*4))/18)</f>
        <v/>
      </c>
      <c r="AO74" s="11">
        <f>IF(OR(City_Inputs!$AB74="",Norm_Stats!$F$17="",Norm_Stats!$G$17="",Norm_Stats!$G$17=Norm_Stats!$F$17),"",MAX(0,MIN(100,100*(MIN(MAX(City_Inputs!$AB74,Norm_Stats!$F$17),Norm_Stats!$G$17)-Norm_Stats!$F$17)/(Norm_Stats!$G$17-Norm_Stats!$F$17))))</f>
        <v/>
      </c>
      <c r="AP74" s="14">
        <f>IF(AO74="","",1)</f>
        <v/>
      </c>
      <c r="AQ74" s="11">
        <f>IF(OR(City_Inputs!$AC74="",Norm_Stats!$F$18="",Norm_Stats!$G$18="",Norm_Stats!$G$18=Norm_Stats!$F$18),"",MAX(0,MIN(100,100*(MIN(MAX(City_Inputs!$AC74,Norm_Stats!$F$18),Norm_Stats!$G$18)-Norm_Stats!$F$18)/(Norm_Stats!$G$18-Norm_Stats!$F$18))))</f>
        <v/>
      </c>
      <c r="AR74" s="14">
        <f>IF(AQ74="","",1)</f>
        <v/>
      </c>
      <c r="AS74" s="11">
        <f>IF(OR(City_Inputs!$AD74="",Norm_Stats!$F$19="",Norm_Stats!$G$19="",Norm_Stats!$G$19=Norm_Stats!$F$19),"",MAX(0,MIN(100,100*(MIN(MAX(City_Inputs!$AD74,Norm_Stats!$F$19),Norm_Stats!$G$19)-Norm_Stats!$F$19)/(Norm_Stats!$G$19-Norm_Stats!$F$19))))</f>
        <v/>
      </c>
      <c r="AT74" s="14">
        <f>IF(AS74="","",1)</f>
        <v/>
      </c>
      <c r="AU74" s="11">
        <f>IF(OR(City_Inputs!$BJ74="",Norm_Stats!$F$26="",Norm_Stats!$G$26="",Norm_Stats!$G$26=Norm_Stats!$F$26),"",MAX(0,MIN(100,100*(MIN(MAX(City_Inputs!$BJ74,Norm_Stats!$F$26),Norm_Stats!$G$26)-Norm_Stats!$F$26)/(Norm_Stats!$G$26-Norm_Stats!$F$26))))</f>
        <v/>
      </c>
      <c r="AV74" s="11">
        <f>IF(AU74="","",1)</f>
        <v/>
      </c>
      <c r="AW74" s="15">
        <f>IF((IF(AO74="",0,5)+IF(AQ74="",0,5)+IF(AS74="",0,5)+IF(AU74="",0,4))=0,"",(IF(AO74="",0,AO74*5)+IF(AQ74="",0,AQ74*5)+IF(AS74="",0,AS74*5)+IF(AU74="",0,AU74*4))/(IF(AO74="",0,5)+IF(AQ74="",0,5)+IF(AS74="",0,5)+IF(AU74="",0,4)))</f>
        <v/>
      </c>
      <c r="AX74" s="14">
        <f>IF((IF(AP74="",0,5)+IF(AR74="",0,5)+IF(AT74="",0,5)+IF(AV74="",0,4))=0,"",(IF(AP74="",0,AP74*5)+IF(AR74="",0,AR74*5)+IF(AT74="",0,AT74*5)+IF(AV74="",0,AV74*4))/19)</f>
        <v/>
      </c>
      <c r="AY74" s="11">
        <f>IF(OR(City_Inputs!$AE74="",Norm_Stats!$F$20="",Norm_Stats!$G$20="",Norm_Stats!$G$20=Norm_Stats!$F$20),"",MAX(0,MIN(100,100*(MIN(MAX(City_Inputs!$AE74,Norm_Stats!$F$20),Norm_Stats!$G$20)-Norm_Stats!$F$20)/(Norm_Stats!$G$20-Norm_Stats!$F$20))))</f>
        <v/>
      </c>
      <c r="AZ74" s="14">
        <f>IF(AY74="","",1)</f>
        <v/>
      </c>
      <c r="BA74" s="11">
        <f>IF(OR(City_Inputs!$AF74="",Norm_Stats!$F$21="",Norm_Stats!$G$21="",Norm_Stats!$G$21=Norm_Stats!$F$21),"",MAX(0,MIN(100,100*(MIN(MAX(City_Inputs!$AF74,Norm_Stats!$F$21),Norm_Stats!$G$21)-Norm_Stats!$F$21)/(Norm_Stats!$G$21-Norm_Stats!$F$21))))</f>
        <v/>
      </c>
      <c r="BB74" s="14">
        <f>IF(BA74="","",1)</f>
        <v/>
      </c>
      <c r="BC74" s="11">
        <f>IF((IF((IF(OR(City_Inputs!$AG74="",Norm_Stats!$F$22="",Norm_Stats!$G$22="",Norm_Stats!$G$22=Norm_Stats!$F$22),"",MAX(0,MIN(100,100*(MIN(MAX(City_Inputs!$AG74,Norm_Stats!$F$22),Norm_Stats!$G$22)-Norm_Stats!$F$22)/(Norm_Stats!$G$22-Norm_Stats!$F$22)))))="",0,0.5)+IF((IF(OR(City_Inputs!$AJ74="",Norm_Stats!$F$23="",Norm_Stats!$G$23="",Norm_Stats!$G$23=Norm_Stats!$F$23),"",MAX(0,MIN(100,100*(MIN(MAX(City_Inputs!$AJ74,Norm_Stats!$F$23),Norm_Stats!$G$23)-Norm_Stats!$F$23)/(Norm_Stats!$G$23-Norm_Stats!$F$23)))))="",0,0.3)+IF((IF(OR(City_Inputs!$AK74="",Norm_Stats!$F$24="",Norm_Stats!$G$24="",Norm_Stats!$G$24=Norm_Stats!$F$24),"",MAX(0,MIN(100,100*(MIN(MAX(City_Inputs!$AK74,Norm_Stats!$F$24),Norm_Stats!$G$24)-Norm_Stats!$F$24)/(Norm_Stats!$G$24-Norm_Stats!$F$24)))))="",0,0.2))=0,"",(IF((IF(OR(City_Inputs!$AG74="",Norm_Stats!$F$22="",Norm_Stats!$G$22="",Norm_Stats!$G$22=Norm_Stats!$F$22),"",MAX(0,MIN(100,100*(MIN(MAX(City_Inputs!$AG74,Norm_Stats!$F$22),Norm_Stats!$G$22)-Norm_Stats!$F$22)/(Norm_Stats!$G$22-Norm_Stats!$F$22)))))="",0,(IF(OR(City_Inputs!$AG74="",Norm_Stats!$F$22="",Norm_Stats!$G$22="",Norm_Stats!$G$22=Norm_Stats!$F$22),"",MAX(0,MIN(100,100*(MIN(MAX(City_Inputs!$AG74,Norm_Stats!$F$22),Norm_Stats!$G$22)-Norm_Stats!$F$22)/(Norm_Stats!$G$22-Norm_Stats!$F$22)))))*0.5)+IF((IF(OR(City_Inputs!$AJ74="",Norm_Stats!$F$23="",Norm_Stats!$G$23="",Norm_Stats!$G$23=Norm_Stats!$F$23),"",MAX(0,MIN(100,100*(MIN(MAX(City_Inputs!$AJ74,Norm_Stats!$F$23),Norm_Stats!$G$23)-Norm_Stats!$F$23)/(Norm_Stats!$G$23-Norm_Stats!$F$23)))))="",0,(IF(OR(City_Inputs!$AJ74="",Norm_Stats!$F$23="",Norm_Stats!$G$23="",Norm_Stats!$G$23=Norm_Stats!$F$23),"",MAX(0,MIN(100,100*(MIN(MAX(City_Inputs!$AJ74,Norm_Stats!$F$23),Norm_Stats!$G$23)-Norm_Stats!$F$23)/(Norm_Stats!$G$23-Norm_Stats!$F$23)))))*0.3)+IF((IF(OR(City_Inputs!$AK74="",Norm_Stats!$F$24="",Norm_Stats!$G$24="",Norm_Stats!$G$24=Norm_Stats!$F$24),"",MAX(0,MIN(100,100*(MIN(MAX(City_Inputs!$AK74,Norm_Stats!$F$24),Norm_Stats!$G$24)-Norm_Stats!$F$24)/(Norm_Stats!$G$24-Norm_Stats!$F$24)))))="",0,(IF(OR(City_Inputs!$AK74="",Norm_Stats!$F$24="",Norm_Stats!$G$24="",Norm_Stats!$G$24=Norm_Stats!$F$24),"",MAX(0,MIN(100,100*(MIN(MAX(City_Inputs!$AK74,Norm_Stats!$F$24),Norm_Stats!$G$24)-Norm_Stats!$F$24)/(Norm_Stats!$G$24-Norm_Stats!$F$24)))))*0.2))/(IF((IF(OR(City_Inputs!$AG74="",Norm_Stats!$F$22="",Norm_Stats!$G$22="",Norm_Stats!$G$22=Norm_Stats!$F$22),"",MAX(0,MIN(100,100*(MIN(MAX(City_Inputs!$AG74,Norm_Stats!$F$22),Norm_Stats!$G$22)-Norm_Stats!$F$22)/(Norm_Stats!$G$22-Norm_Stats!$F$22)))))="",0,0.5)+IF((IF(OR(City_Inputs!$AJ74="",Norm_Stats!$F$23="",Norm_Stats!$G$23="",Norm_Stats!$G$23=Norm_Stats!$F$23),"",MAX(0,MIN(100,100*(MIN(MAX(City_Inputs!$AJ74,Norm_Stats!$F$23),Norm_Stats!$G$23)-Norm_Stats!$F$23)/(Norm_Stats!$G$23-Norm_Stats!$F$23)))))="",0,0.3)+IF((IF(OR(City_Inputs!$AK74="",Norm_Stats!$F$24="",Norm_Stats!$G$24="",Norm_Stats!$G$24=Norm_Stats!$F$24),"",MAX(0,MIN(100,100*(MIN(MAX(City_Inputs!$AK74,Norm_Stats!$F$24),Norm_Stats!$G$24)-Norm_Stats!$F$24)/(Norm_Stats!$G$24-Norm_Stats!$F$24)))))="",0,0.2)))</f>
        <v/>
      </c>
      <c r="BD74" s="14">
        <f>IF((IF((IF(OR(City_Inputs!$AG74="",Norm_Stats!$F$22="",Norm_Stats!$G$22="",Norm_Stats!$G$22=Norm_Stats!$F$22),"",MAX(0,MIN(100,100*(MIN(MAX(City_Inputs!$AG74,Norm_Stats!$F$22),Norm_Stats!$G$22)-Norm_Stats!$F$22)/(Norm_Stats!$G$22-Norm_Stats!$F$22)))))="",0,0.5)+IF((IF(OR(City_Inputs!$AJ74="",Norm_Stats!$F$23="",Norm_Stats!$G$23="",Norm_Stats!$G$23=Norm_Stats!$F$23),"",MAX(0,MIN(100,100*(MIN(MAX(City_Inputs!$AJ74,Norm_Stats!$F$23),Norm_Stats!$G$23)-Norm_Stats!$F$23)/(Norm_Stats!$G$23-Norm_Stats!$F$23)))))="",0,0.3)+IF((IF(OR(City_Inputs!$AK74="",Norm_Stats!$F$24="",Norm_Stats!$G$24="",Norm_Stats!$G$24=Norm_Stats!$F$24),"",MAX(0,MIN(100,100*(MIN(MAX(City_Inputs!$AK74,Norm_Stats!$F$24),Norm_Stats!$G$24)-Norm_Stats!$F$24)/(Norm_Stats!$G$24-Norm_Stats!$F$24)))))="",0,0.2))=0,"",(IF((IF(OR(City_Inputs!$AG74="",Norm_Stats!$F$22="",Norm_Stats!$G$22="",Norm_Stats!$G$22=Norm_Stats!$F$22),"",MAX(0,MIN(100,100*(MIN(MAX(City_Inputs!$AG74,Norm_Stats!$F$22),Norm_Stats!$G$22)-Norm_Stats!$F$22)/(Norm_Stats!$G$22-Norm_Stats!$F$22)))))="",0,0.5)+IF((IF(OR(City_Inputs!$AJ74="",Norm_Stats!$F$23="",Norm_Stats!$G$23="",Norm_Stats!$G$23=Norm_Stats!$F$23),"",MAX(0,MIN(100,100*(MIN(MAX(City_Inputs!$AJ74,Norm_Stats!$F$23),Norm_Stats!$G$23)-Norm_Stats!$F$23)/(Norm_Stats!$G$23-Norm_Stats!$F$23)))))="",0,0.3)+IF((IF(OR(City_Inputs!$AK74="",Norm_Stats!$F$24="",Norm_Stats!$G$24="",Norm_Stats!$G$24=Norm_Stats!$F$24),"",MAX(0,MIN(100,100*(MIN(MAX(City_Inputs!$AK74,Norm_Stats!$F$24),Norm_Stats!$G$24)-Norm_Stats!$F$24)/(Norm_Stats!$G$24-Norm_Stats!$F$24)))))="",0,0.2)))</f>
        <v/>
      </c>
      <c r="BE74" s="11">
        <f>IF(OR(City_Inputs!$AH74="",Norm_Stats!$F$25="",Norm_Stats!$G$25="",Norm_Stats!$G$25=Norm_Stats!$F$25),"",MAX(0,MIN(100,100*(Norm_Stats!$G$25-MIN(MAX(City_Inputs!$AH74,Norm_Stats!$F$25),Norm_Stats!$G$25))/(Norm_Stats!$G$25-Norm_Stats!$F$25))))</f>
        <v/>
      </c>
      <c r="BF74" s="14">
        <f>IF(BE74="","",1)</f>
        <v/>
      </c>
      <c r="BG74" s="15">
        <f>IF((IF(AY74="",0,6)+IF(BA74="",0,5)+IF(BC74="",0,5)+IF(BE74="",0,4))=0,"",(IF(AY74="",0,AY74*6)+IF(BA74="",0,BA74*5)+IF(BC74="",0,BC74*5)+IF(BE74="",0,BE74*4))/(IF(AY74="",0,6)+IF(BA74="",0,5)+IF(BC74="",0,5)+IF(BE74="",0,4)))</f>
        <v/>
      </c>
      <c r="BH74" s="14">
        <f>IF((IF(AZ74="",0,6)+IF(BB74="",0,5)+IF(BD74="",0,5)+IF(BF74="",0,4))=0,"",(IF(AZ74="",0,AZ74*6)+IF(BB74="",0,BB74*5)+IF(BD74="",0,BD74*5)+IF(BF74="",0,BF74*4))/20)</f>
        <v/>
      </c>
      <c r="BI74" s="14">
        <f>IF(AND(R74="",AF74="",AN74="",AX74="",BH74=""),"",((R74*25)+(AF74*22)+(AN74*18)+(AX74*15)+(BH74*20))/100)</f>
        <v/>
      </c>
      <c r="BJ74" s="11">
        <f>IF(BI74="","",IF(BI74&gt;=0.75,"A",IF(BI74&gt;=0.5,"B",IF(BI74&gt;=0.35,"C","Watchlist"))))</f>
        <v/>
      </c>
      <c r="BK74" s="11">
        <f>IF(OR(BI74="",BI74&lt;0.5,R74="",R74&lt;0.35,AF74="",AF74&lt;0.35,AN74="",AN74&lt;0.35,AX74="",AX74&lt;0.35,BH74="",BH74&lt;0.35),"Watchlist","Ranked")</f>
        <v/>
      </c>
      <c r="BL74" s="15">
        <f>IF(AND(Q74="",AE74="",AM74="",AW74="",BG74=""),"",(IF(Q74="",0,Q74*25)+IF(AE74="",0,AE74*22)+IF(AM74="",0,AM74*18)+IF(AW74="",0,AW74*15)+IF(BG74="",0,BG74*20))/(IF(Q74="",0,25)+IF(AE74="",0,22)+IF(AM74="",0,18)+IF(AW74="",0,15)+IF(BG74="",0,20)))</f>
        <v/>
      </c>
      <c r="BM74" s="11">
        <f>IF(BK74="Ranked",1+COUNTIFS($BK$2:$BK$158,"Ranked",$BL$2:$BL$158,"&gt;"&amp;BL74),"")</f>
        <v/>
      </c>
      <c r="BN74" s="11">
        <f>City_Inputs!$AI74</f>
        <v/>
      </c>
    </row>
    <row r="75">
      <c r="A75" t="inlineStr">
        <is>
          <t>pe-lima</t>
        </is>
      </c>
      <c r="B75" t="inlineStr">
        <is>
          <t>Lima</t>
        </is>
      </c>
      <c r="C75" t="inlineStr">
        <is>
          <t>Peru</t>
        </is>
      </c>
      <c r="D75" t="inlineStr">
        <is>
          <t>Latin America</t>
        </is>
      </c>
      <c r="E75" t="inlineStr">
        <is>
          <t>provisional</t>
        </is>
      </c>
      <c r="F75" t="inlineStr">
        <is>
          <t>primary</t>
        </is>
      </c>
      <c r="G75" s="11">
        <f>IF(OR(City_Inputs!$M75="",Norm_Stats!$F$2="",Norm_Stats!$G$2="",Norm_Stats!$G$2=Norm_Stats!$F$2),"",MAX(0,MIN(100,100*(MIN(MAX(City_Inputs!$M75,Norm_Stats!$F$2),Norm_Stats!$G$2)-Norm_Stats!$F$2)/(Norm_Stats!$G$2-Norm_Stats!$F$2))))</f>
        <v/>
      </c>
      <c r="H75" s="14">
        <f>IF(G75="","",1)</f>
        <v/>
      </c>
      <c r="I75" s="11">
        <f>IF(OR(City_Inputs!$N75="",Norm_Stats!$F$3="",Norm_Stats!$G$3="",Norm_Stats!$G$3=Norm_Stats!$F$3),"",MAX(0,MIN(100,100*(Norm_Stats!$G$3-MIN(MAX(City_Inputs!$N75,Norm_Stats!$F$3),Norm_Stats!$G$3))/(Norm_Stats!$G$3-Norm_Stats!$F$3))))</f>
        <v/>
      </c>
      <c r="J75" s="14">
        <f>IF(I75="","",1)</f>
        <v/>
      </c>
      <c r="K75" s="11">
        <f>IF(OR(City_Inputs!$P75="",Norm_Stats!$F$4="",Norm_Stats!$G$4="",Norm_Stats!$G$4=Norm_Stats!$F$4),"",MAX(0,MIN(100,100*(Norm_Stats!$G$4-MIN(MAX(City_Inputs!$P75,Norm_Stats!$F$4),Norm_Stats!$G$4))/(Norm_Stats!$G$4-Norm_Stats!$F$4))))</f>
        <v/>
      </c>
      <c r="L75" s="14">
        <f>IF(K75="","",1)</f>
        <v/>
      </c>
      <c r="M75" s="11">
        <f>IF(OR(City_Inputs!$Q75="",Norm_Stats!$F$5="",Norm_Stats!$G$5="",Norm_Stats!$G$5=Norm_Stats!$F$5),"",MAX(0,MIN(100,100*(Norm_Stats!$G$5-MIN(MAX(City_Inputs!$Q75,Norm_Stats!$F$5),Norm_Stats!$G$5))/(Norm_Stats!$G$5-Norm_Stats!$F$5))))</f>
        <v/>
      </c>
      <c r="N75" s="14">
        <f>IF(M75="","",1)</f>
        <v/>
      </c>
      <c r="O75" s="11">
        <f>IF(OR(City_Inputs!$R75="",Norm_Stats!$F$6="",Norm_Stats!$G$6="",Norm_Stats!$G$6=Norm_Stats!$F$6),"",MAX(0,MIN(100,100*(Norm_Stats!$G$6-MIN(MAX(City_Inputs!$R75,Norm_Stats!$F$6),Norm_Stats!$G$6))/(Norm_Stats!$G$6-Norm_Stats!$F$6))))</f>
        <v/>
      </c>
      <c r="P75" s="14">
        <f>IF(O75="","",1)</f>
        <v/>
      </c>
      <c r="Q75" s="15">
        <f>IF((IF(G75="",0,9)+IF(I75="",0,5)+IF(K75="",0,4)+IF(M75="",0,4)+IF(O75="",0,5))=0,"",(IF(G75="",0,G75*9)+IF(I75="",0,I75*5)+IF(K75="",0,K75*4)+IF(M75="",0,M75*4)+IF(O75="",0,O75*5))/(IF(G75="",0,9)+IF(I75="",0,5)+IF(K75="",0,4)+IF(M75="",0,4)+IF(O75="",0,5)))</f>
        <v/>
      </c>
      <c r="R75" s="14">
        <f>IF((IF(H75="",0,9)+IF(J75="",0,5)+IF(L75="",0,4)+IF(N75="",0,4)+IF(P75="",0,5))=0,"",(IF(H75="",0,H75*9)+IF(J75="",0,J75*5)+IF(L75="",0,L75*4)+IF(N75="",0,N75*4)+IF(P75="",0,P75*5))/27)</f>
        <v/>
      </c>
      <c r="S75" s="11">
        <f>IF(OR(City_Inputs!$S75="",Norm_Stats!$F$7="",Norm_Stats!$G$7="",Norm_Stats!$G$7=Norm_Stats!$F$7),"",MAX(0,MIN(100,100*(Norm_Stats!$G$7-MIN(MAX(City_Inputs!$S75,Norm_Stats!$F$7),Norm_Stats!$G$7))/(Norm_Stats!$G$7-Norm_Stats!$F$7))))</f>
        <v/>
      </c>
      <c r="T75" s="14">
        <f>IF(S75="","",1)</f>
        <v/>
      </c>
      <c r="U75" s="11">
        <f>IF(OR(City_Inputs!$T75="",Norm_Stats!$F$8="",Norm_Stats!$G$8="",Norm_Stats!$G$8=Norm_Stats!$F$8),"",MAX(0,MIN(100,100*(MIN(MAX(City_Inputs!$T75,Norm_Stats!$F$8),Norm_Stats!$G$8)-Norm_Stats!$F$8)/(Norm_Stats!$G$8-Norm_Stats!$F$8))))</f>
        <v/>
      </c>
      <c r="V75" s="14">
        <f>IF(U75="","",1)</f>
        <v/>
      </c>
      <c r="W75" s="11">
        <f>IF(OR(City_Inputs!$U75="",Norm_Stats!$F$9="",Norm_Stats!$G$9="",Norm_Stats!$G$9=Norm_Stats!$F$9),"",MAX(0,MIN(100,100*(Norm_Stats!$G$9-MIN(MAX(City_Inputs!$U75,Norm_Stats!$F$9),Norm_Stats!$G$9))/(Norm_Stats!$G$9-Norm_Stats!$F$9))))</f>
        <v/>
      </c>
      <c r="X75" s="14">
        <f>IF(W75="","",1)</f>
        <v/>
      </c>
      <c r="Y75" s="11">
        <f>IF(OR(City_Inputs!$V75="",Norm_Stats!$F$10="",Norm_Stats!$G$10="",Norm_Stats!$G$10=Norm_Stats!$F$10),"",MAX(0,MIN(100,100*(MIN(MAX(City_Inputs!$V75,Norm_Stats!$F$10),Norm_Stats!$G$10)-Norm_Stats!$F$10)/(Norm_Stats!$G$10-Norm_Stats!$F$10))))</f>
        <v/>
      </c>
      <c r="Z75" s="14">
        <f>IF(Y75="","",1)</f>
        <v/>
      </c>
      <c r="AA75" s="11">
        <f>IF(OR(City_Inputs!$W75="",Norm_Stats!$F$11="",Norm_Stats!$G$11="",Norm_Stats!$G$11=Norm_Stats!$F$11),"",MAX(0,MIN(100,100*(MIN(MAX(City_Inputs!$W75,Norm_Stats!$F$11),Norm_Stats!$G$11)-Norm_Stats!$F$11)/(Norm_Stats!$G$11-Norm_Stats!$F$11))))</f>
        <v/>
      </c>
      <c r="AB75" s="14">
        <f>IF(AA75="","",1)</f>
        <v/>
      </c>
      <c r="AC75" s="11">
        <f>IF(OR(City_Inputs!$X75="",Norm_Stats!$F$12="",Norm_Stats!$G$12="",Norm_Stats!$G$12=Norm_Stats!$F$12),"",MAX(0,MIN(100,100*(MIN(MAX(City_Inputs!$X75,Norm_Stats!$F$12),Norm_Stats!$G$12)-Norm_Stats!$F$12)/(Norm_Stats!$G$12-Norm_Stats!$F$12))))</f>
        <v/>
      </c>
      <c r="AD75" s="11">
        <f>IF(AC75="","",1)</f>
        <v/>
      </c>
      <c r="AE75" s="15">
        <f>IF((IF(S75="",0,5)+IF(U75="",0,5)+IF(W75="",0,4)+IF(Y75="",0,4)+IF(AA75="",0,4)+IF(AC75="",0,5))=0,"",(IF(S75="",0,S75*5)+IF(U75="",0,U75*5)+IF(W75="",0,W75*4)+IF(Y75="",0,Y75*4)+IF(AA75="",0,AA75*4)+IF(AC75="",0,AC75*5))/(IF(S75="",0,5)+IF(U75="",0,5)+IF(W75="",0,4)+IF(Y75="",0,4)+IF(AA75="",0,4)+IF(AC75="",0,5)))</f>
        <v/>
      </c>
      <c r="AF75" s="14">
        <f>IF((IF(T75="",0,5)+IF(V75="",0,5)+IF(X75="",0,4)+IF(Z75="",0,4)+IF(AB75="",0,4)+IF(AD75="",0,5))=0,"",(IF(T75="",0,T75*5)+IF(V75="",0,V75*5)+IF(X75="",0,X75*4)+IF(Z75="",0,Z75*4)+IF(AB75="",0,AB75*4)+IF(AD75="",0,AD75*5))/27)</f>
        <v/>
      </c>
      <c r="AG75" s="11">
        <f>IF(OR(City_Inputs!$Y75="",Norm_Stats!$F$13="",Norm_Stats!$G$13="",Norm_Stats!$G$13=Norm_Stats!$F$13),"",MAX(0,MIN(100,100*(MIN(MAX(City_Inputs!$Y75,Norm_Stats!$F$13),Norm_Stats!$G$13)-Norm_Stats!$F$13)/(Norm_Stats!$G$13-Norm_Stats!$F$13))))</f>
        <v/>
      </c>
      <c r="AH75" s="14">
        <f>IF(AG75="","",1)</f>
        <v/>
      </c>
      <c r="AI75" s="11">
        <f>IF(OR(City_Inputs!$Z75="",Norm_Stats!$F$14="",Norm_Stats!$G$14="",Norm_Stats!$G$14=Norm_Stats!$F$14),"",MAX(0,MIN(100,100*(MIN(MAX(City_Inputs!$Z75,Norm_Stats!$F$14),Norm_Stats!$G$14)-Norm_Stats!$F$14)/(Norm_Stats!$G$14-Norm_Stats!$F$14))))</f>
        <v/>
      </c>
      <c r="AJ75" s="14">
        <f>IF(AI75="","",1)</f>
        <v/>
      </c>
      <c r="AK75" s="11">
        <f>IF((IF((IF(OR(City_Inputs!$AA75="",Norm_Stats!$F$15="",Norm_Stats!$G$15="",Norm_Stats!$G$15=Norm_Stats!$F$15),"",MAX(0,MIN(100,100*(MIN(MAX(City_Inputs!$AA75,Norm_Stats!$F$15),Norm_Stats!$G$15)-Norm_Stats!$F$15)/(Norm_Stats!$G$15-Norm_Stats!$F$15)))))="",0,0.7)+IF((IF(OR(City_Inputs!$AL75="",Norm_Stats!$F$16="",Norm_Stats!$G$16="",Norm_Stats!$G$16=Norm_Stats!$F$16),"",MAX(0,MIN(100,100*(Norm_Stats!$G$16-MIN(MAX(City_Inputs!$AL75,Norm_Stats!$F$16),Norm_Stats!$G$16))/(Norm_Stats!$G$16-Norm_Stats!$F$16)))))="",0,0.3))=0,"",(IF((IF(OR(City_Inputs!$AA75="",Norm_Stats!$F$15="",Norm_Stats!$G$15="",Norm_Stats!$G$15=Norm_Stats!$F$15),"",MAX(0,MIN(100,100*(MIN(MAX(City_Inputs!$AA75,Norm_Stats!$F$15),Norm_Stats!$G$15)-Norm_Stats!$F$15)/(Norm_Stats!$G$15-Norm_Stats!$F$15)))))="",0,(IF(OR(City_Inputs!$AA75="",Norm_Stats!$F$15="",Norm_Stats!$G$15="",Norm_Stats!$G$15=Norm_Stats!$F$15),"",MAX(0,MIN(100,100*(MIN(MAX(City_Inputs!$AA75,Norm_Stats!$F$15),Norm_Stats!$G$15)-Norm_Stats!$F$15)/(Norm_Stats!$G$15-Norm_Stats!$F$15)))))*0.7)+IF((IF(OR(City_Inputs!$AL75="",Norm_Stats!$F$16="",Norm_Stats!$G$16="",Norm_Stats!$G$16=Norm_Stats!$F$16),"",MAX(0,MIN(100,100*(Norm_Stats!$G$16-MIN(MAX(City_Inputs!$AL75,Norm_Stats!$F$16),Norm_Stats!$G$16))/(Norm_Stats!$G$16-Norm_Stats!$F$16)))))="",0,(IF(OR(City_Inputs!$AL75="",Norm_Stats!$F$16="",Norm_Stats!$G$16="",Norm_Stats!$G$16=Norm_Stats!$F$16),"",MAX(0,MIN(100,100*(Norm_Stats!$G$16-MIN(MAX(City_Inputs!$AL75,Norm_Stats!$F$16),Norm_Stats!$G$16))/(Norm_Stats!$G$16-Norm_Stats!$F$16)))))*0.3))/(IF((IF(OR(City_Inputs!$AA75="",Norm_Stats!$F$15="",Norm_Stats!$G$15="",Norm_Stats!$G$15=Norm_Stats!$F$15),"",MAX(0,MIN(100,100*(MIN(MAX(City_Inputs!$AA75,Norm_Stats!$F$15),Norm_Stats!$G$15)-Norm_Stats!$F$15)/(Norm_Stats!$G$15-Norm_Stats!$F$15)))))="",0,0.7)+IF((IF(OR(City_Inputs!$AL75="",Norm_Stats!$F$16="",Norm_Stats!$G$16="",Norm_Stats!$G$16=Norm_Stats!$F$16),"",MAX(0,MIN(100,100*(Norm_Stats!$G$16-MIN(MAX(City_Inputs!$AL75,Norm_Stats!$F$16),Norm_Stats!$G$16))/(Norm_Stats!$G$16-Norm_Stats!$F$16)))))="",0,0.3)))</f>
        <v/>
      </c>
      <c r="AL75" s="14">
        <f>IF((IF((IF(OR(City_Inputs!$AA75="",Norm_Stats!$F$15="",Norm_Stats!$G$15="",Norm_Stats!$G$15=Norm_Stats!$F$15),"",MAX(0,MIN(100,100*(MIN(MAX(City_Inputs!$AA75,Norm_Stats!$F$15),Norm_Stats!$G$15)-Norm_Stats!$F$15)/(Norm_Stats!$G$15-Norm_Stats!$F$15)))))="",0,0.7)+IF((IF(OR(City_Inputs!$AL75="",Norm_Stats!$F$16="",Norm_Stats!$G$16="",Norm_Stats!$G$16=Norm_Stats!$F$16),"",MAX(0,MIN(100,100*(Norm_Stats!$G$16-MIN(MAX(City_Inputs!$AL75,Norm_Stats!$F$16),Norm_Stats!$G$16))/(Norm_Stats!$G$16-Norm_Stats!$F$16)))))="",0,0.3))=0,"",(IF((IF(OR(City_Inputs!$AA75="",Norm_Stats!$F$15="",Norm_Stats!$G$15="",Norm_Stats!$G$15=Norm_Stats!$F$15),"",MAX(0,MIN(100,100*(MIN(MAX(City_Inputs!$AA75,Norm_Stats!$F$15),Norm_Stats!$G$15)-Norm_Stats!$F$15)/(Norm_Stats!$G$15-Norm_Stats!$F$15)))))="",0,0.7)+IF((IF(OR(City_Inputs!$AL75="",Norm_Stats!$F$16="",Norm_Stats!$G$16="",Norm_Stats!$G$16=Norm_Stats!$F$16),"",MAX(0,MIN(100,100*(Norm_Stats!$G$16-MIN(MAX(City_Inputs!$AL75,Norm_Stats!$F$16),Norm_Stats!$G$16))/(Norm_Stats!$G$16-Norm_Stats!$F$16)))))="",0,0.3)))</f>
        <v/>
      </c>
      <c r="AM75" s="15">
        <f>IF((IF(AG75="",0,8)+IF(AI75="",0,6)+IF(AK75="",0,4))=0,"",(IF(AG75="",0,AG75*8)+IF(AI75="",0,AI75*6)+IF(AK75="",0,AK75*4))/(IF(AG75="",0,8)+IF(AI75="",0,6)+IF(AK75="",0,4)))</f>
        <v/>
      </c>
      <c r="AN75" s="14">
        <f>IF((IF(AH75="",0,8)+IF(AJ75="",0,6)+IF(AL75="",0,4))=0,"",(IF(AH75="",0,AH75*8)+IF(AJ75="",0,AJ75*6)+IF(AL75="",0,AL75*4))/18)</f>
        <v/>
      </c>
      <c r="AO75" s="11">
        <f>IF(OR(City_Inputs!$AB75="",Norm_Stats!$F$17="",Norm_Stats!$G$17="",Norm_Stats!$G$17=Norm_Stats!$F$17),"",MAX(0,MIN(100,100*(MIN(MAX(City_Inputs!$AB75,Norm_Stats!$F$17),Norm_Stats!$G$17)-Norm_Stats!$F$17)/(Norm_Stats!$G$17-Norm_Stats!$F$17))))</f>
        <v/>
      </c>
      <c r="AP75" s="14">
        <f>IF(AO75="","",1)</f>
        <v/>
      </c>
      <c r="AQ75" s="11">
        <f>IF(OR(City_Inputs!$AC75="",Norm_Stats!$F$18="",Norm_Stats!$G$18="",Norm_Stats!$G$18=Norm_Stats!$F$18),"",MAX(0,MIN(100,100*(MIN(MAX(City_Inputs!$AC75,Norm_Stats!$F$18),Norm_Stats!$G$18)-Norm_Stats!$F$18)/(Norm_Stats!$G$18-Norm_Stats!$F$18))))</f>
        <v/>
      </c>
      <c r="AR75" s="14">
        <f>IF(AQ75="","",1)</f>
        <v/>
      </c>
      <c r="AS75" s="11">
        <f>IF(OR(City_Inputs!$AD75="",Norm_Stats!$F$19="",Norm_Stats!$G$19="",Norm_Stats!$G$19=Norm_Stats!$F$19),"",MAX(0,MIN(100,100*(MIN(MAX(City_Inputs!$AD75,Norm_Stats!$F$19),Norm_Stats!$G$19)-Norm_Stats!$F$19)/(Norm_Stats!$G$19-Norm_Stats!$F$19))))</f>
        <v/>
      </c>
      <c r="AT75" s="14">
        <f>IF(AS75="","",1)</f>
        <v/>
      </c>
      <c r="AU75" s="11">
        <f>IF(OR(City_Inputs!$BJ75="",Norm_Stats!$F$26="",Norm_Stats!$G$26="",Norm_Stats!$G$26=Norm_Stats!$F$26),"",MAX(0,MIN(100,100*(MIN(MAX(City_Inputs!$BJ75,Norm_Stats!$F$26),Norm_Stats!$G$26)-Norm_Stats!$F$26)/(Norm_Stats!$G$26-Norm_Stats!$F$26))))</f>
        <v/>
      </c>
      <c r="AV75" s="11">
        <f>IF(AU75="","",1)</f>
        <v/>
      </c>
      <c r="AW75" s="15">
        <f>IF((IF(AO75="",0,5)+IF(AQ75="",0,5)+IF(AS75="",0,5)+IF(AU75="",0,4))=0,"",(IF(AO75="",0,AO75*5)+IF(AQ75="",0,AQ75*5)+IF(AS75="",0,AS75*5)+IF(AU75="",0,AU75*4))/(IF(AO75="",0,5)+IF(AQ75="",0,5)+IF(AS75="",0,5)+IF(AU75="",0,4)))</f>
        <v/>
      </c>
      <c r="AX75" s="14">
        <f>IF((IF(AP75="",0,5)+IF(AR75="",0,5)+IF(AT75="",0,5)+IF(AV75="",0,4))=0,"",(IF(AP75="",0,AP75*5)+IF(AR75="",0,AR75*5)+IF(AT75="",0,AT75*5)+IF(AV75="",0,AV75*4))/19)</f>
        <v/>
      </c>
      <c r="AY75" s="11">
        <f>IF(OR(City_Inputs!$AE75="",Norm_Stats!$F$20="",Norm_Stats!$G$20="",Norm_Stats!$G$20=Norm_Stats!$F$20),"",MAX(0,MIN(100,100*(MIN(MAX(City_Inputs!$AE75,Norm_Stats!$F$20),Norm_Stats!$G$20)-Norm_Stats!$F$20)/(Norm_Stats!$G$20-Norm_Stats!$F$20))))</f>
        <v/>
      </c>
      <c r="AZ75" s="14">
        <f>IF(AY75="","",1)</f>
        <v/>
      </c>
      <c r="BA75" s="11">
        <f>IF(OR(City_Inputs!$AF75="",Norm_Stats!$F$21="",Norm_Stats!$G$21="",Norm_Stats!$G$21=Norm_Stats!$F$21),"",MAX(0,MIN(100,100*(MIN(MAX(City_Inputs!$AF75,Norm_Stats!$F$21),Norm_Stats!$G$21)-Norm_Stats!$F$21)/(Norm_Stats!$G$21-Norm_Stats!$F$21))))</f>
        <v/>
      </c>
      <c r="BB75" s="14">
        <f>IF(BA75="","",1)</f>
        <v/>
      </c>
      <c r="BC75" s="11">
        <f>IF((IF((IF(OR(City_Inputs!$AG75="",Norm_Stats!$F$22="",Norm_Stats!$G$22="",Norm_Stats!$G$22=Norm_Stats!$F$22),"",MAX(0,MIN(100,100*(MIN(MAX(City_Inputs!$AG75,Norm_Stats!$F$22),Norm_Stats!$G$22)-Norm_Stats!$F$22)/(Norm_Stats!$G$22-Norm_Stats!$F$22)))))="",0,0.5)+IF((IF(OR(City_Inputs!$AJ75="",Norm_Stats!$F$23="",Norm_Stats!$G$23="",Norm_Stats!$G$23=Norm_Stats!$F$23),"",MAX(0,MIN(100,100*(MIN(MAX(City_Inputs!$AJ75,Norm_Stats!$F$23),Norm_Stats!$G$23)-Norm_Stats!$F$23)/(Norm_Stats!$G$23-Norm_Stats!$F$23)))))="",0,0.3)+IF((IF(OR(City_Inputs!$AK75="",Norm_Stats!$F$24="",Norm_Stats!$G$24="",Norm_Stats!$G$24=Norm_Stats!$F$24),"",MAX(0,MIN(100,100*(MIN(MAX(City_Inputs!$AK75,Norm_Stats!$F$24),Norm_Stats!$G$24)-Norm_Stats!$F$24)/(Norm_Stats!$G$24-Norm_Stats!$F$24)))))="",0,0.2))=0,"",(IF((IF(OR(City_Inputs!$AG75="",Norm_Stats!$F$22="",Norm_Stats!$G$22="",Norm_Stats!$G$22=Norm_Stats!$F$22),"",MAX(0,MIN(100,100*(MIN(MAX(City_Inputs!$AG75,Norm_Stats!$F$22),Norm_Stats!$G$22)-Norm_Stats!$F$22)/(Norm_Stats!$G$22-Norm_Stats!$F$22)))))="",0,(IF(OR(City_Inputs!$AG75="",Norm_Stats!$F$22="",Norm_Stats!$G$22="",Norm_Stats!$G$22=Norm_Stats!$F$22),"",MAX(0,MIN(100,100*(MIN(MAX(City_Inputs!$AG75,Norm_Stats!$F$22),Norm_Stats!$G$22)-Norm_Stats!$F$22)/(Norm_Stats!$G$22-Norm_Stats!$F$22)))))*0.5)+IF((IF(OR(City_Inputs!$AJ75="",Norm_Stats!$F$23="",Norm_Stats!$G$23="",Norm_Stats!$G$23=Norm_Stats!$F$23),"",MAX(0,MIN(100,100*(MIN(MAX(City_Inputs!$AJ75,Norm_Stats!$F$23),Norm_Stats!$G$23)-Norm_Stats!$F$23)/(Norm_Stats!$G$23-Norm_Stats!$F$23)))))="",0,(IF(OR(City_Inputs!$AJ75="",Norm_Stats!$F$23="",Norm_Stats!$G$23="",Norm_Stats!$G$23=Norm_Stats!$F$23),"",MAX(0,MIN(100,100*(MIN(MAX(City_Inputs!$AJ75,Norm_Stats!$F$23),Norm_Stats!$G$23)-Norm_Stats!$F$23)/(Norm_Stats!$G$23-Norm_Stats!$F$23)))))*0.3)+IF((IF(OR(City_Inputs!$AK75="",Norm_Stats!$F$24="",Norm_Stats!$G$24="",Norm_Stats!$G$24=Norm_Stats!$F$24),"",MAX(0,MIN(100,100*(MIN(MAX(City_Inputs!$AK75,Norm_Stats!$F$24),Norm_Stats!$G$24)-Norm_Stats!$F$24)/(Norm_Stats!$G$24-Norm_Stats!$F$24)))))="",0,(IF(OR(City_Inputs!$AK75="",Norm_Stats!$F$24="",Norm_Stats!$G$24="",Norm_Stats!$G$24=Norm_Stats!$F$24),"",MAX(0,MIN(100,100*(MIN(MAX(City_Inputs!$AK75,Norm_Stats!$F$24),Norm_Stats!$G$24)-Norm_Stats!$F$24)/(Norm_Stats!$G$24-Norm_Stats!$F$24)))))*0.2))/(IF((IF(OR(City_Inputs!$AG75="",Norm_Stats!$F$22="",Norm_Stats!$G$22="",Norm_Stats!$G$22=Norm_Stats!$F$22),"",MAX(0,MIN(100,100*(MIN(MAX(City_Inputs!$AG75,Norm_Stats!$F$22),Norm_Stats!$G$22)-Norm_Stats!$F$22)/(Norm_Stats!$G$22-Norm_Stats!$F$22)))))="",0,0.5)+IF((IF(OR(City_Inputs!$AJ75="",Norm_Stats!$F$23="",Norm_Stats!$G$23="",Norm_Stats!$G$23=Norm_Stats!$F$23),"",MAX(0,MIN(100,100*(MIN(MAX(City_Inputs!$AJ75,Norm_Stats!$F$23),Norm_Stats!$G$23)-Norm_Stats!$F$23)/(Norm_Stats!$G$23-Norm_Stats!$F$23)))))="",0,0.3)+IF((IF(OR(City_Inputs!$AK75="",Norm_Stats!$F$24="",Norm_Stats!$G$24="",Norm_Stats!$G$24=Norm_Stats!$F$24),"",MAX(0,MIN(100,100*(MIN(MAX(City_Inputs!$AK75,Norm_Stats!$F$24),Norm_Stats!$G$24)-Norm_Stats!$F$24)/(Norm_Stats!$G$24-Norm_Stats!$F$24)))))="",0,0.2)))</f>
        <v/>
      </c>
      <c r="BD75" s="14">
        <f>IF((IF((IF(OR(City_Inputs!$AG75="",Norm_Stats!$F$22="",Norm_Stats!$G$22="",Norm_Stats!$G$22=Norm_Stats!$F$22),"",MAX(0,MIN(100,100*(MIN(MAX(City_Inputs!$AG75,Norm_Stats!$F$22),Norm_Stats!$G$22)-Norm_Stats!$F$22)/(Norm_Stats!$G$22-Norm_Stats!$F$22)))))="",0,0.5)+IF((IF(OR(City_Inputs!$AJ75="",Norm_Stats!$F$23="",Norm_Stats!$G$23="",Norm_Stats!$G$23=Norm_Stats!$F$23),"",MAX(0,MIN(100,100*(MIN(MAX(City_Inputs!$AJ75,Norm_Stats!$F$23),Norm_Stats!$G$23)-Norm_Stats!$F$23)/(Norm_Stats!$G$23-Norm_Stats!$F$23)))))="",0,0.3)+IF((IF(OR(City_Inputs!$AK75="",Norm_Stats!$F$24="",Norm_Stats!$G$24="",Norm_Stats!$G$24=Norm_Stats!$F$24),"",MAX(0,MIN(100,100*(MIN(MAX(City_Inputs!$AK75,Norm_Stats!$F$24),Norm_Stats!$G$24)-Norm_Stats!$F$24)/(Norm_Stats!$G$24-Norm_Stats!$F$24)))))="",0,0.2))=0,"",(IF((IF(OR(City_Inputs!$AG75="",Norm_Stats!$F$22="",Norm_Stats!$G$22="",Norm_Stats!$G$22=Norm_Stats!$F$22),"",MAX(0,MIN(100,100*(MIN(MAX(City_Inputs!$AG75,Norm_Stats!$F$22),Norm_Stats!$G$22)-Norm_Stats!$F$22)/(Norm_Stats!$G$22-Norm_Stats!$F$22)))))="",0,0.5)+IF((IF(OR(City_Inputs!$AJ75="",Norm_Stats!$F$23="",Norm_Stats!$G$23="",Norm_Stats!$G$23=Norm_Stats!$F$23),"",MAX(0,MIN(100,100*(MIN(MAX(City_Inputs!$AJ75,Norm_Stats!$F$23),Norm_Stats!$G$23)-Norm_Stats!$F$23)/(Norm_Stats!$G$23-Norm_Stats!$F$23)))))="",0,0.3)+IF((IF(OR(City_Inputs!$AK75="",Norm_Stats!$F$24="",Norm_Stats!$G$24="",Norm_Stats!$G$24=Norm_Stats!$F$24),"",MAX(0,MIN(100,100*(MIN(MAX(City_Inputs!$AK75,Norm_Stats!$F$24),Norm_Stats!$G$24)-Norm_Stats!$F$24)/(Norm_Stats!$G$24-Norm_Stats!$F$24)))))="",0,0.2)))</f>
        <v/>
      </c>
      <c r="BE75" s="11">
        <f>IF(OR(City_Inputs!$AH75="",Norm_Stats!$F$25="",Norm_Stats!$G$25="",Norm_Stats!$G$25=Norm_Stats!$F$25),"",MAX(0,MIN(100,100*(Norm_Stats!$G$25-MIN(MAX(City_Inputs!$AH75,Norm_Stats!$F$25),Norm_Stats!$G$25))/(Norm_Stats!$G$25-Norm_Stats!$F$25))))</f>
        <v/>
      </c>
      <c r="BF75" s="14">
        <f>IF(BE75="","",1)</f>
        <v/>
      </c>
      <c r="BG75" s="15">
        <f>IF((IF(AY75="",0,6)+IF(BA75="",0,5)+IF(BC75="",0,5)+IF(BE75="",0,4))=0,"",(IF(AY75="",0,AY75*6)+IF(BA75="",0,BA75*5)+IF(BC75="",0,BC75*5)+IF(BE75="",0,BE75*4))/(IF(AY75="",0,6)+IF(BA75="",0,5)+IF(BC75="",0,5)+IF(BE75="",0,4)))</f>
        <v/>
      </c>
      <c r="BH75" s="14">
        <f>IF((IF(AZ75="",0,6)+IF(BB75="",0,5)+IF(BD75="",0,5)+IF(BF75="",0,4))=0,"",(IF(AZ75="",0,AZ75*6)+IF(BB75="",0,BB75*5)+IF(BD75="",0,BD75*5)+IF(BF75="",0,BF75*4))/20)</f>
        <v/>
      </c>
      <c r="BI75" s="14">
        <f>IF(AND(R75="",AF75="",AN75="",AX75="",BH75=""),"",((R75*25)+(AF75*22)+(AN75*18)+(AX75*15)+(BH75*20))/100)</f>
        <v/>
      </c>
      <c r="BJ75" s="11">
        <f>IF(BI75="","",IF(BI75&gt;=0.75,"A",IF(BI75&gt;=0.5,"B",IF(BI75&gt;=0.35,"C","Watchlist"))))</f>
        <v/>
      </c>
      <c r="BK75" s="11">
        <f>IF(OR(BI75="",BI75&lt;0.5,R75="",R75&lt;0.35,AF75="",AF75&lt;0.35,AN75="",AN75&lt;0.35,AX75="",AX75&lt;0.35,BH75="",BH75&lt;0.35),"Watchlist","Ranked")</f>
        <v/>
      </c>
      <c r="BL75" s="15">
        <f>IF(AND(Q75="",AE75="",AM75="",AW75="",BG75=""),"",(IF(Q75="",0,Q75*25)+IF(AE75="",0,AE75*22)+IF(AM75="",0,AM75*18)+IF(AW75="",0,AW75*15)+IF(BG75="",0,BG75*20))/(IF(Q75="",0,25)+IF(AE75="",0,22)+IF(AM75="",0,18)+IF(AW75="",0,15)+IF(BG75="",0,20)))</f>
        <v/>
      </c>
      <c r="BM75" s="11">
        <f>IF(BK75="Ranked",1+COUNTIFS($BK$2:$BK$158,"Ranked",$BL$2:$BL$158,"&gt;"&amp;BL75),"")</f>
        <v/>
      </c>
      <c r="BN75" s="11">
        <f>City_Inputs!$AI75</f>
        <v/>
      </c>
    </row>
    <row r="76">
      <c r="A76" t="inlineStr">
        <is>
          <t>br-curitiba</t>
        </is>
      </c>
      <c r="B76" t="inlineStr">
        <is>
          <t>Curitiba</t>
        </is>
      </c>
      <c r="C76" t="inlineStr">
        <is>
          <t>Brazil</t>
        </is>
      </c>
      <c r="D76" t="inlineStr">
        <is>
          <t>Latin America</t>
        </is>
      </c>
      <c r="E76" t="inlineStr">
        <is>
          <t>locked</t>
        </is>
      </c>
      <c r="F76" t="inlineStr">
        <is>
          <t>secondary</t>
        </is>
      </c>
      <c r="G76" s="11">
        <f>IF(OR(City_Inputs!$M76="",Norm_Stats!$F$2="",Norm_Stats!$G$2="",Norm_Stats!$G$2=Norm_Stats!$F$2),"",MAX(0,MIN(100,100*(MIN(MAX(City_Inputs!$M76,Norm_Stats!$F$2),Norm_Stats!$G$2)-Norm_Stats!$F$2)/(Norm_Stats!$G$2-Norm_Stats!$F$2))))</f>
        <v/>
      </c>
      <c r="H76" s="14">
        <f>IF(G76="","",1)</f>
        <v/>
      </c>
      <c r="I76" s="11">
        <f>IF(OR(City_Inputs!$N76="",Norm_Stats!$F$3="",Norm_Stats!$G$3="",Norm_Stats!$G$3=Norm_Stats!$F$3),"",MAX(0,MIN(100,100*(Norm_Stats!$G$3-MIN(MAX(City_Inputs!$N76,Norm_Stats!$F$3),Norm_Stats!$G$3))/(Norm_Stats!$G$3-Norm_Stats!$F$3))))</f>
        <v/>
      </c>
      <c r="J76" s="14">
        <f>IF(I76="","",1)</f>
        <v/>
      </c>
      <c r="K76" s="11">
        <f>IF(OR(City_Inputs!$P76="",Norm_Stats!$F$4="",Norm_Stats!$G$4="",Norm_Stats!$G$4=Norm_Stats!$F$4),"",MAX(0,MIN(100,100*(Norm_Stats!$G$4-MIN(MAX(City_Inputs!$P76,Norm_Stats!$F$4),Norm_Stats!$G$4))/(Norm_Stats!$G$4-Norm_Stats!$F$4))))</f>
        <v/>
      </c>
      <c r="L76" s="14">
        <f>IF(K76="","",1)</f>
        <v/>
      </c>
      <c r="M76" s="11">
        <f>IF(OR(City_Inputs!$Q76="",Norm_Stats!$F$5="",Norm_Stats!$G$5="",Norm_Stats!$G$5=Norm_Stats!$F$5),"",MAX(0,MIN(100,100*(Norm_Stats!$G$5-MIN(MAX(City_Inputs!$Q76,Norm_Stats!$F$5),Norm_Stats!$G$5))/(Norm_Stats!$G$5-Norm_Stats!$F$5))))</f>
        <v/>
      </c>
      <c r="N76" s="14">
        <f>IF(M76="","",1)</f>
        <v/>
      </c>
      <c r="O76" s="11">
        <f>IF(OR(City_Inputs!$R76="",Norm_Stats!$F$6="",Norm_Stats!$G$6="",Norm_Stats!$G$6=Norm_Stats!$F$6),"",MAX(0,MIN(100,100*(Norm_Stats!$G$6-MIN(MAX(City_Inputs!$R76,Norm_Stats!$F$6),Norm_Stats!$G$6))/(Norm_Stats!$G$6-Norm_Stats!$F$6))))</f>
        <v/>
      </c>
      <c r="P76" s="14">
        <f>IF(O76="","",1)</f>
        <v/>
      </c>
      <c r="Q76" s="15">
        <f>IF((IF(G76="",0,9)+IF(I76="",0,5)+IF(K76="",0,4)+IF(M76="",0,4)+IF(O76="",0,5))=0,"",(IF(G76="",0,G76*9)+IF(I76="",0,I76*5)+IF(K76="",0,K76*4)+IF(M76="",0,M76*4)+IF(O76="",0,O76*5))/(IF(G76="",0,9)+IF(I76="",0,5)+IF(K76="",0,4)+IF(M76="",0,4)+IF(O76="",0,5)))</f>
        <v/>
      </c>
      <c r="R76" s="14">
        <f>IF((IF(H76="",0,9)+IF(J76="",0,5)+IF(L76="",0,4)+IF(N76="",0,4)+IF(P76="",0,5))=0,"",(IF(H76="",0,H76*9)+IF(J76="",0,J76*5)+IF(L76="",0,L76*4)+IF(N76="",0,N76*4)+IF(P76="",0,P76*5))/27)</f>
        <v/>
      </c>
      <c r="S76" s="11">
        <f>IF(OR(City_Inputs!$S76="",Norm_Stats!$F$7="",Norm_Stats!$G$7="",Norm_Stats!$G$7=Norm_Stats!$F$7),"",MAX(0,MIN(100,100*(Norm_Stats!$G$7-MIN(MAX(City_Inputs!$S76,Norm_Stats!$F$7),Norm_Stats!$G$7))/(Norm_Stats!$G$7-Norm_Stats!$F$7))))</f>
        <v/>
      </c>
      <c r="T76" s="14">
        <f>IF(S76="","",1)</f>
        <v/>
      </c>
      <c r="U76" s="11">
        <f>IF(OR(City_Inputs!$T76="",Norm_Stats!$F$8="",Norm_Stats!$G$8="",Norm_Stats!$G$8=Norm_Stats!$F$8),"",MAX(0,MIN(100,100*(MIN(MAX(City_Inputs!$T76,Norm_Stats!$F$8),Norm_Stats!$G$8)-Norm_Stats!$F$8)/(Norm_Stats!$G$8-Norm_Stats!$F$8))))</f>
        <v/>
      </c>
      <c r="V76" s="14">
        <f>IF(U76="","",1)</f>
        <v/>
      </c>
      <c r="W76" s="11">
        <f>IF(OR(City_Inputs!$U76="",Norm_Stats!$F$9="",Norm_Stats!$G$9="",Norm_Stats!$G$9=Norm_Stats!$F$9),"",MAX(0,MIN(100,100*(Norm_Stats!$G$9-MIN(MAX(City_Inputs!$U76,Norm_Stats!$F$9),Norm_Stats!$G$9))/(Norm_Stats!$G$9-Norm_Stats!$F$9))))</f>
        <v/>
      </c>
      <c r="X76" s="14">
        <f>IF(W76="","",1)</f>
        <v/>
      </c>
      <c r="Y76" s="11">
        <f>IF(OR(City_Inputs!$V76="",Norm_Stats!$F$10="",Norm_Stats!$G$10="",Norm_Stats!$G$10=Norm_Stats!$F$10),"",MAX(0,MIN(100,100*(MIN(MAX(City_Inputs!$V76,Norm_Stats!$F$10),Norm_Stats!$G$10)-Norm_Stats!$F$10)/(Norm_Stats!$G$10-Norm_Stats!$F$10))))</f>
        <v/>
      </c>
      <c r="Z76" s="14">
        <f>IF(Y76="","",1)</f>
        <v/>
      </c>
      <c r="AA76" s="11">
        <f>IF(OR(City_Inputs!$W76="",Norm_Stats!$F$11="",Norm_Stats!$G$11="",Norm_Stats!$G$11=Norm_Stats!$F$11),"",MAX(0,MIN(100,100*(MIN(MAX(City_Inputs!$W76,Norm_Stats!$F$11),Norm_Stats!$G$11)-Norm_Stats!$F$11)/(Norm_Stats!$G$11-Norm_Stats!$F$11))))</f>
        <v/>
      </c>
      <c r="AB76" s="14">
        <f>IF(AA76="","",1)</f>
        <v/>
      </c>
      <c r="AC76" s="11">
        <f>IF(OR(City_Inputs!$X76="",Norm_Stats!$F$12="",Norm_Stats!$G$12="",Norm_Stats!$G$12=Norm_Stats!$F$12),"",MAX(0,MIN(100,100*(MIN(MAX(City_Inputs!$X76,Norm_Stats!$F$12),Norm_Stats!$G$12)-Norm_Stats!$F$12)/(Norm_Stats!$G$12-Norm_Stats!$F$12))))</f>
        <v/>
      </c>
      <c r="AD76" s="11">
        <f>IF(AC76="","",1)</f>
        <v/>
      </c>
      <c r="AE76" s="15">
        <f>IF((IF(S76="",0,5)+IF(U76="",0,5)+IF(W76="",0,4)+IF(Y76="",0,4)+IF(AA76="",0,4)+IF(AC76="",0,5))=0,"",(IF(S76="",0,S76*5)+IF(U76="",0,U76*5)+IF(W76="",0,W76*4)+IF(Y76="",0,Y76*4)+IF(AA76="",0,AA76*4)+IF(AC76="",0,AC76*5))/(IF(S76="",0,5)+IF(U76="",0,5)+IF(W76="",0,4)+IF(Y76="",0,4)+IF(AA76="",0,4)+IF(AC76="",0,5)))</f>
        <v/>
      </c>
      <c r="AF76" s="14">
        <f>IF((IF(T76="",0,5)+IF(V76="",0,5)+IF(X76="",0,4)+IF(Z76="",0,4)+IF(AB76="",0,4)+IF(AD76="",0,5))=0,"",(IF(T76="",0,T76*5)+IF(V76="",0,V76*5)+IF(X76="",0,X76*4)+IF(Z76="",0,Z76*4)+IF(AB76="",0,AB76*4)+IF(AD76="",0,AD76*5))/27)</f>
        <v/>
      </c>
      <c r="AG76" s="11">
        <f>IF(OR(City_Inputs!$Y76="",Norm_Stats!$F$13="",Norm_Stats!$G$13="",Norm_Stats!$G$13=Norm_Stats!$F$13),"",MAX(0,MIN(100,100*(MIN(MAX(City_Inputs!$Y76,Norm_Stats!$F$13),Norm_Stats!$G$13)-Norm_Stats!$F$13)/(Norm_Stats!$G$13-Norm_Stats!$F$13))))</f>
        <v/>
      </c>
      <c r="AH76" s="14">
        <f>IF(AG76="","",1)</f>
        <v/>
      </c>
      <c r="AI76" s="11">
        <f>IF(OR(City_Inputs!$Z76="",Norm_Stats!$F$14="",Norm_Stats!$G$14="",Norm_Stats!$G$14=Norm_Stats!$F$14),"",MAX(0,MIN(100,100*(MIN(MAX(City_Inputs!$Z76,Norm_Stats!$F$14),Norm_Stats!$G$14)-Norm_Stats!$F$14)/(Norm_Stats!$G$14-Norm_Stats!$F$14))))</f>
        <v/>
      </c>
      <c r="AJ76" s="14">
        <f>IF(AI76="","",1)</f>
        <v/>
      </c>
      <c r="AK76" s="11">
        <f>IF((IF((IF(OR(City_Inputs!$AA76="",Norm_Stats!$F$15="",Norm_Stats!$G$15="",Norm_Stats!$G$15=Norm_Stats!$F$15),"",MAX(0,MIN(100,100*(MIN(MAX(City_Inputs!$AA76,Norm_Stats!$F$15),Norm_Stats!$G$15)-Norm_Stats!$F$15)/(Norm_Stats!$G$15-Norm_Stats!$F$15)))))="",0,0.7)+IF((IF(OR(City_Inputs!$AL76="",Norm_Stats!$F$16="",Norm_Stats!$G$16="",Norm_Stats!$G$16=Norm_Stats!$F$16),"",MAX(0,MIN(100,100*(Norm_Stats!$G$16-MIN(MAX(City_Inputs!$AL76,Norm_Stats!$F$16),Norm_Stats!$G$16))/(Norm_Stats!$G$16-Norm_Stats!$F$16)))))="",0,0.3))=0,"",(IF((IF(OR(City_Inputs!$AA76="",Norm_Stats!$F$15="",Norm_Stats!$G$15="",Norm_Stats!$G$15=Norm_Stats!$F$15),"",MAX(0,MIN(100,100*(MIN(MAX(City_Inputs!$AA76,Norm_Stats!$F$15),Norm_Stats!$G$15)-Norm_Stats!$F$15)/(Norm_Stats!$G$15-Norm_Stats!$F$15)))))="",0,(IF(OR(City_Inputs!$AA76="",Norm_Stats!$F$15="",Norm_Stats!$G$15="",Norm_Stats!$G$15=Norm_Stats!$F$15),"",MAX(0,MIN(100,100*(MIN(MAX(City_Inputs!$AA76,Norm_Stats!$F$15),Norm_Stats!$G$15)-Norm_Stats!$F$15)/(Norm_Stats!$G$15-Norm_Stats!$F$15)))))*0.7)+IF((IF(OR(City_Inputs!$AL76="",Norm_Stats!$F$16="",Norm_Stats!$G$16="",Norm_Stats!$G$16=Norm_Stats!$F$16),"",MAX(0,MIN(100,100*(Norm_Stats!$G$16-MIN(MAX(City_Inputs!$AL76,Norm_Stats!$F$16),Norm_Stats!$G$16))/(Norm_Stats!$G$16-Norm_Stats!$F$16)))))="",0,(IF(OR(City_Inputs!$AL76="",Norm_Stats!$F$16="",Norm_Stats!$G$16="",Norm_Stats!$G$16=Norm_Stats!$F$16),"",MAX(0,MIN(100,100*(Norm_Stats!$G$16-MIN(MAX(City_Inputs!$AL76,Norm_Stats!$F$16),Norm_Stats!$G$16))/(Norm_Stats!$G$16-Norm_Stats!$F$16)))))*0.3))/(IF((IF(OR(City_Inputs!$AA76="",Norm_Stats!$F$15="",Norm_Stats!$G$15="",Norm_Stats!$G$15=Norm_Stats!$F$15),"",MAX(0,MIN(100,100*(MIN(MAX(City_Inputs!$AA76,Norm_Stats!$F$15),Norm_Stats!$G$15)-Norm_Stats!$F$15)/(Norm_Stats!$G$15-Norm_Stats!$F$15)))))="",0,0.7)+IF((IF(OR(City_Inputs!$AL76="",Norm_Stats!$F$16="",Norm_Stats!$G$16="",Norm_Stats!$G$16=Norm_Stats!$F$16),"",MAX(0,MIN(100,100*(Norm_Stats!$G$16-MIN(MAX(City_Inputs!$AL76,Norm_Stats!$F$16),Norm_Stats!$G$16))/(Norm_Stats!$G$16-Norm_Stats!$F$16)))))="",0,0.3)))</f>
        <v/>
      </c>
      <c r="AL76" s="14">
        <f>IF((IF((IF(OR(City_Inputs!$AA76="",Norm_Stats!$F$15="",Norm_Stats!$G$15="",Norm_Stats!$G$15=Norm_Stats!$F$15),"",MAX(0,MIN(100,100*(MIN(MAX(City_Inputs!$AA76,Norm_Stats!$F$15),Norm_Stats!$G$15)-Norm_Stats!$F$15)/(Norm_Stats!$G$15-Norm_Stats!$F$15)))))="",0,0.7)+IF((IF(OR(City_Inputs!$AL76="",Norm_Stats!$F$16="",Norm_Stats!$G$16="",Norm_Stats!$G$16=Norm_Stats!$F$16),"",MAX(0,MIN(100,100*(Norm_Stats!$G$16-MIN(MAX(City_Inputs!$AL76,Norm_Stats!$F$16),Norm_Stats!$G$16))/(Norm_Stats!$G$16-Norm_Stats!$F$16)))))="",0,0.3))=0,"",(IF((IF(OR(City_Inputs!$AA76="",Norm_Stats!$F$15="",Norm_Stats!$G$15="",Norm_Stats!$G$15=Norm_Stats!$F$15),"",MAX(0,MIN(100,100*(MIN(MAX(City_Inputs!$AA76,Norm_Stats!$F$15),Norm_Stats!$G$15)-Norm_Stats!$F$15)/(Norm_Stats!$G$15-Norm_Stats!$F$15)))))="",0,0.7)+IF((IF(OR(City_Inputs!$AL76="",Norm_Stats!$F$16="",Norm_Stats!$G$16="",Norm_Stats!$G$16=Norm_Stats!$F$16),"",MAX(0,MIN(100,100*(Norm_Stats!$G$16-MIN(MAX(City_Inputs!$AL76,Norm_Stats!$F$16),Norm_Stats!$G$16))/(Norm_Stats!$G$16-Norm_Stats!$F$16)))))="",0,0.3)))</f>
        <v/>
      </c>
      <c r="AM76" s="15">
        <f>IF((IF(AG76="",0,8)+IF(AI76="",0,6)+IF(AK76="",0,4))=0,"",(IF(AG76="",0,AG76*8)+IF(AI76="",0,AI76*6)+IF(AK76="",0,AK76*4))/(IF(AG76="",0,8)+IF(AI76="",0,6)+IF(AK76="",0,4)))</f>
        <v/>
      </c>
      <c r="AN76" s="14">
        <f>IF((IF(AH76="",0,8)+IF(AJ76="",0,6)+IF(AL76="",0,4))=0,"",(IF(AH76="",0,AH76*8)+IF(AJ76="",0,AJ76*6)+IF(AL76="",0,AL76*4))/18)</f>
        <v/>
      </c>
      <c r="AO76" s="11">
        <f>IF(OR(City_Inputs!$AB76="",Norm_Stats!$F$17="",Norm_Stats!$G$17="",Norm_Stats!$G$17=Norm_Stats!$F$17),"",MAX(0,MIN(100,100*(MIN(MAX(City_Inputs!$AB76,Norm_Stats!$F$17),Norm_Stats!$G$17)-Norm_Stats!$F$17)/(Norm_Stats!$G$17-Norm_Stats!$F$17))))</f>
        <v/>
      </c>
      <c r="AP76" s="14">
        <f>IF(AO76="","",1)</f>
        <v/>
      </c>
      <c r="AQ76" s="11">
        <f>IF(OR(City_Inputs!$AC76="",Norm_Stats!$F$18="",Norm_Stats!$G$18="",Norm_Stats!$G$18=Norm_Stats!$F$18),"",MAX(0,MIN(100,100*(MIN(MAX(City_Inputs!$AC76,Norm_Stats!$F$18),Norm_Stats!$G$18)-Norm_Stats!$F$18)/(Norm_Stats!$G$18-Norm_Stats!$F$18))))</f>
        <v/>
      </c>
      <c r="AR76" s="14">
        <f>IF(AQ76="","",1)</f>
        <v/>
      </c>
      <c r="AS76" s="11">
        <f>IF(OR(City_Inputs!$AD76="",Norm_Stats!$F$19="",Norm_Stats!$G$19="",Norm_Stats!$G$19=Norm_Stats!$F$19),"",MAX(0,MIN(100,100*(MIN(MAX(City_Inputs!$AD76,Norm_Stats!$F$19),Norm_Stats!$G$19)-Norm_Stats!$F$19)/(Norm_Stats!$G$19-Norm_Stats!$F$19))))</f>
        <v/>
      </c>
      <c r="AT76" s="14">
        <f>IF(AS76="","",1)</f>
        <v/>
      </c>
      <c r="AU76" s="11">
        <f>IF(OR(City_Inputs!$BJ76="",Norm_Stats!$F$26="",Norm_Stats!$G$26="",Norm_Stats!$G$26=Norm_Stats!$F$26),"",MAX(0,MIN(100,100*(MIN(MAX(City_Inputs!$BJ76,Norm_Stats!$F$26),Norm_Stats!$G$26)-Norm_Stats!$F$26)/(Norm_Stats!$G$26-Norm_Stats!$F$26))))</f>
        <v/>
      </c>
      <c r="AV76" s="11">
        <f>IF(AU76="","",1)</f>
        <v/>
      </c>
      <c r="AW76" s="15">
        <f>IF((IF(AO76="",0,5)+IF(AQ76="",0,5)+IF(AS76="",0,5)+IF(AU76="",0,4))=0,"",(IF(AO76="",0,AO76*5)+IF(AQ76="",0,AQ76*5)+IF(AS76="",0,AS76*5)+IF(AU76="",0,AU76*4))/(IF(AO76="",0,5)+IF(AQ76="",0,5)+IF(AS76="",0,5)+IF(AU76="",0,4)))</f>
        <v/>
      </c>
      <c r="AX76" s="14">
        <f>IF((IF(AP76="",0,5)+IF(AR76="",0,5)+IF(AT76="",0,5)+IF(AV76="",0,4))=0,"",(IF(AP76="",0,AP76*5)+IF(AR76="",0,AR76*5)+IF(AT76="",0,AT76*5)+IF(AV76="",0,AV76*4))/19)</f>
        <v/>
      </c>
      <c r="AY76" s="11">
        <f>IF(OR(City_Inputs!$AE76="",Norm_Stats!$F$20="",Norm_Stats!$G$20="",Norm_Stats!$G$20=Norm_Stats!$F$20),"",MAX(0,MIN(100,100*(MIN(MAX(City_Inputs!$AE76,Norm_Stats!$F$20),Norm_Stats!$G$20)-Norm_Stats!$F$20)/(Norm_Stats!$G$20-Norm_Stats!$F$20))))</f>
        <v/>
      </c>
      <c r="AZ76" s="14">
        <f>IF(AY76="","",1)</f>
        <v/>
      </c>
      <c r="BA76" s="11">
        <f>IF(OR(City_Inputs!$AF76="",Norm_Stats!$F$21="",Norm_Stats!$G$21="",Norm_Stats!$G$21=Norm_Stats!$F$21),"",MAX(0,MIN(100,100*(MIN(MAX(City_Inputs!$AF76,Norm_Stats!$F$21),Norm_Stats!$G$21)-Norm_Stats!$F$21)/(Norm_Stats!$G$21-Norm_Stats!$F$21))))</f>
        <v/>
      </c>
      <c r="BB76" s="14">
        <f>IF(BA76="","",1)</f>
        <v/>
      </c>
      <c r="BC76" s="11">
        <f>IF((IF((IF(OR(City_Inputs!$AG76="",Norm_Stats!$F$22="",Norm_Stats!$G$22="",Norm_Stats!$G$22=Norm_Stats!$F$22),"",MAX(0,MIN(100,100*(MIN(MAX(City_Inputs!$AG76,Norm_Stats!$F$22),Norm_Stats!$G$22)-Norm_Stats!$F$22)/(Norm_Stats!$G$22-Norm_Stats!$F$22)))))="",0,0.5)+IF((IF(OR(City_Inputs!$AJ76="",Norm_Stats!$F$23="",Norm_Stats!$G$23="",Norm_Stats!$G$23=Norm_Stats!$F$23),"",MAX(0,MIN(100,100*(MIN(MAX(City_Inputs!$AJ76,Norm_Stats!$F$23),Norm_Stats!$G$23)-Norm_Stats!$F$23)/(Norm_Stats!$G$23-Norm_Stats!$F$23)))))="",0,0.3)+IF((IF(OR(City_Inputs!$AK76="",Norm_Stats!$F$24="",Norm_Stats!$G$24="",Norm_Stats!$G$24=Norm_Stats!$F$24),"",MAX(0,MIN(100,100*(MIN(MAX(City_Inputs!$AK76,Norm_Stats!$F$24),Norm_Stats!$G$24)-Norm_Stats!$F$24)/(Norm_Stats!$G$24-Norm_Stats!$F$24)))))="",0,0.2))=0,"",(IF((IF(OR(City_Inputs!$AG76="",Norm_Stats!$F$22="",Norm_Stats!$G$22="",Norm_Stats!$G$22=Norm_Stats!$F$22),"",MAX(0,MIN(100,100*(MIN(MAX(City_Inputs!$AG76,Norm_Stats!$F$22),Norm_Stats!$G$22)-Norm_Stats!$F$22)/(Norm_Stats!$G$22-Norm_Stats!$F$22)))))="",0,(IF(OR(City_Inputs!$AG76="",Norm_Stats!$F$22="",Norm_Stats!$G$22="",Norm_Stats!$G$22=Norm_Stats!$F$22),"",MAX(0,MIN(100,100*(MIN(MAX(City_Inputs!$AG76,Norm_Stats!$F$22),Norm_Stats!$G$22)-Norm_Stats!$F$22)/(Norm_Stats!$G$22-Norm_Stats!$F$22)))))*0.5)+IF((IF(OR(City_Inputs!$AJ76="",Norm_Stats!$F$23="",Norm_Stats!$G$23="",Norm_Stats!$G$23=Norm_Stats!$F$23),"",MAX(0,MIN(100,100*(MIN(MAX(City_Inputs!$AJ76,Norm_Stats!$F$23),Norm_Stats!$G$23)-Norm_Stats!$F$23)/(Norm_Stats!$G$23-Norm_Stats!$F$23)))))="",0,(IF(OR(City_Inputs!$AJ76="",Norm_Stats!$F$23="",Norm_Stats!$G$23="",Norm_Stats!$G$23=Norm_Stats!$F$23),"",MAX(0,MIN(100,100*(MIN(MAX(City_Inputs!$AJ76,Norm_Stats!$F$23),Norm_Stats!$G$23)-Norm_Stats!$F$23)/(Norm_Stats!$G$23-Norm_Stats!$F$23)))))*0.3)+IF((IF(OR(City_Inputs!$AK76="",Norm_Stats!$F$24="",Norm_Stats!$G$24="",Norm_Stats!$G$24=Norm_Stats!$F$24),"",MAX(0,MIN(100,100*(MIN(MAX(City_Inputs!$AK76,Norm_Stats!$F$24),Norm_Stats!$G$24)-Norm_Stats!$F$24)/(Norm_Stats!$G$24-Norm_Stats!$F$24)))))="",0,(IF(OR(City_Inputs!$AK76="",Norm_Stats!$F$24="",Norm_Stats!$G$24="",Norm_Stats!$G$24=Norm_Stats!$F$24),"",MAX(0,MIN(100,100*(MIN(MAX(City_Inputs!$AK76,Norm_Stats!$F$24),Norm_Stats!$G$24)-Norm_Stats!$F$24)/(Norm_Stats!$G$24-Norm_Stats!$F$24)))))*0.2))/(IF((IF(OR(City_Inputs!$AG76="",Norm_Stats!$F$22="",Norm_Stats!$G$22="",Norm_Stats!$G$22=Norm_Stats!$F$22),"",MAX(0,MIN(100,100*(MIN(MAX(City_Inputs!$AG76,Norm_Stats!$F$22),Norm_Stats!$G$22)-Norm_Stats!$F$22)/(Norm_Stats!$G$22-Norm_Stats!$F$22)))))="",0,0.5)+IF((IF(OR(City_Inputs!$AJ76="",Norm_Stats!$F$23="",Norm_Stats!$G$23="",Norm_Stats!$G$23=Norm_Stats!$F$23),"",MAX(0,MIN(100,100*(MIN(MAX(City_Inputs!$AJ76,Norm_Stats!$F$23),Norm_Stats!$G$23)-Norm_Stats!$F$23)/(Norm_Stats!$G$23-Norm_Stats!$F$23)))))="",0,0.3)+IF((IF(OR(City_Inputs!$AK76="",Norm_Stats!$F$24="",Norm_Stats!$G$24="",Norm_Stats!$G$24=Norm_Stats!$F$24),"",MAX(0,MIN(100,100*(MIN(MAX(City_Inputs!$AK76,Norm_Stats!$F$24),Norm_Stats!$G$24)-Norm_Stats!$F$24)/(Norm_Stats!$G$24-Norm_Stats!$F$24)))))="",0,0.2)))</f>
        <v/>
      </c>
      <c r="BD76" s="14">
        <f>IF((IF((IF(OR(City_Inputs!$AG76="",Norm_Stats!$F$22="",Norm_Stats!$G$22="",Norm_Stats!$G$22=Norm_Stats!$F$22),"",MAX(0,MIN(100,100*(MIN(MAX(City_Inputs!$AG76,Norm_Stats!$F$22),Norm_Stats!$G$22)-Norm_Stats!$F$22)/(Norm_Stats!$G$22-Norm_Stats!$F$22)))))="",0,0.5)+IF((IF(OR(City_Inputs!$AJ76="",Norm_Stats!$F$23="",Norm_Stats!$G$23="",Norm_Stats!$G$23=Norm_Stats!$F$23),"",MAX(0,MIN(100,100*(MIN(MAX(City_Inputs!$AJ76,Norm_Stats!$F$23),Norm_Stats!$G$23)-Norm_Stats!$F$23)/(Norm_Stats!$G$23-Norm_Stats!$F$23)))))="",0,0.3)+IF((IF(OR(City_Inputs!$AK76="",Norm_Stats!$F$24="",Norm_Stats!$G$24="",Norm_Stats!$G$24=Norm_Stats!$F$24),"",MAX(0,MIN(100,100*(MIN(MAX(City_Inputs!$AK76,Norm_Stats!$F$24),Norm_Stats!$G$24)-Norm_Stats!$F$24)/(Norm_Stats!$G$24-Norm_Stats!$F$24)))))="",0,0.2))=0,"",(IF((IF(OR(City_Inputs!$AG76="",Norm_Stats!$F$22="",Norm_Stats!$G$22="",Norm_Stats!$G$22=Norm_Stats!$F$22),"",MAX(0,MIN(100,100*(MIN(MAX(City_Inputs!$AG76,Norm_Stats!$F$22),Norm_Stats!$G$22)-Norm_Stats!$F$22)/(Norm_Stats!$G$22-Norm_Stats!$F$22)))))="",0,0.5)+IF((IF(OR(City_Inputs!$AJ76="",Norm_Stats!$F$23="",Norm_Stats!$G$23="",Norm_Stats!$G$23=Norm_Stats!$F$23),"",MAX(0,MIN(100,100*(MIN(MAX(City_Inputs!$AJ76,Norm_Stats!$F$23),Norm_Stats!$G$23)-Norm_Stats!$F$23)/(Norm_Stats!$G$23-Norm_Stats!$F$23)))))="",0,0.3)+IF((IF(OR(City_Inputs!$AK76="",Norm_Stats!$F$24="",Norm_Stats!$G$24="",Norm_Stats!$G$24=Norm_Stats!$F$24),"",MAX(0,MIN(100,100*(MIN(MAX(City_Inputs!$AK76,Norm_Stats!$F$24),Norm_Stats!$G$24)-Norm_Stats!$F$24)/(Norm_Stats!$G$24-Norm_Stats!$F$24)))))="",0,0.2)))</f>
        <v/>
      </c>
      <c r="BE76" s="11">
        <f>IF(OR(City_Inputs!$AH76="",Norm_Stats!$F$25="",Norm_Stats!$G$25="",Norm_Stats!$G$25=Norm_Stats!$F$25),"",MAX(0,MIN(100,100*(Norm_Stats!$G$25-MIN(MAX(City_Inputs!$AH76,Norm_Stats!$F$25),Norm_Stats!$G$25))/(Norm_Stats!$G$25-Norm_Stats!$F$25))))</f>
        <v/>
      </c>
      <c r="BF76" s="14">
        <f>IF(BE76="","",1)</f>
        <v/>
      </c>
      <c r="BG76" s="15">
        <f>IF((IF(AY76="",0,6)+IF(BA76="",0,5)+IF(BC76="",0,5)+IF(BE76="",0,4))=0,"",(IF(AY76="",0,AY76*6)+IF(BA76="",0,BA76*5)+IF(BC76="",0,BC76*5)+IF(BE76="",0,BE76*4))/(IF(AY76="",0,6)+IF(BA76="",0,5)+IF(BC76="",0,5)+IF(BE76="",0,4)))</f>
        <v/>
      </c>
      <c r="BH76" s="14">
        <f>IF((IF(AZ76="",0,6)+IF(BB76="",0,5)+IF(BD76="",0,5)+IF(BF76="",0,4))=0,"",(IF(AZ76="",0,AZ76*6)+IF(BB76="",0,BB76*5)+IF(BD76="",0,BD76*5)+IF(BF76="",0,BF76*4))/20)</f>
        <v/>
      </c>
      <c r="BI76" s="14">
        <f>IF(AND(R76="",AF76="",AN76="",AX76="",BH76=""),"",((R76*25)+(AF76*22)+(AN76*18)+(AX76*15)+(BH76*20))/100)</f>
        <v/>
      </c>
      <c r="BJ76" s="11">
        <f>IF(BI76="","",IF(BI76&gt;=0.75,"A",IF(BI76&gt;=0.5,"B",IF(BI76&gt;=0.35,"C","Watchlist"))))</f>
        <v/>
      </c>
      <c r="BK76" s="11">
        <f>IF(OR(BI76="",BI76&lt;0.5,R76="",R76&lt;0.35,AF76="",AF76&lt;0.35,AN76="",AN76&lt;0.35,AX76="",AX76&lt;0.35,BH76="",BH76&lt;0.35),"Watchlist","Ranked")</f>
        <v/>
      </c>
      <c r="BL76" s="15">
        <f>IF(AND(Q76="",AE76="",AM76="",AW76="",BG76=""),"",(IF(Q76="",0,Q76*25)+IF(AE76="",0,AE76*22)+IF(AM76="",0,AM76*18)+IF(AW76="",0,AW76*15)+IF(BG76="",0,BG76*20))/(IF(Q76="",0,25)+IF(AE76="",0,22)+IF(AM76="",0,18)+IF(AW76="",0,15)+IF(BG76="",0,20)))</f>
        <v/>
      </c>
      <c r="BM76" s="11">
        <f>IF(BK76="Ranked",1+COUNTIFS($BK$2:$BK$158,"Ranked",$BL$2:$BL$158,"&gt;"&amp;BL76),"")</f>
        <v/>
      </c>
      <c r="BN76" s="11">
        <f>City_Inputs!$AI76</f>
        <v/>
      </c>
    </row>
    <row r="77">
      <c r="A77" t="inlineStr">
        <is>
          <t>co-medellin</t>
        </is>
      </c>
      <c r="B77" t="inlineStr">
        <is>
          <t>Medellin</t>
        </is>
      </c>
      <c r="C77" t="inlineStr">
        <is>
          <t>Colombia</t>
        </is>
      </c>
      <c r="D77" t="inlineStr">
        <is>
          <t>Latin America</t>
        </is>
      </c>
      <c r="E77" t="inlineStr">
        <is>
          <t>locked</t>
        </is>
      </c>
      <c r="F77" t="inlineStr">
        <is>
          <t>secondary</t>
        </is>
      </c>
      <c r="G77" s="11">
        <f>IF(OR(City_Inputs!$M77="",Norm_Stats!$F$2="",Norm_Stats!$G$2="",Norm_Stats!$G$2=Norm_Stats!$F$2),"",MAX(0,MIN(100,100*(MIN(MAX(City_Inputs!$M77,Norm_Stats!$F$2),Norm_Stats!$G$2)-Norm_Stats!$F$2)/(Norm_Stats!$G$2-Norm_Stats!$F$2))))</f>
        <v/>
      </c>
      <c r="H77" s="14">
        <f>IF(G77="","",1)</f>
        <v/>
      </c>
      <c r="I77" s="11">
        <f>IF(OR(City_Inputs!$N77="",Norm_Stats!$F$3="",Norm_Stats!$G$3="",Norm_Stats!$G$3=Norm_Stats!$F$3),"",MAX(0,MIN(100,100*(Norm_Stats!$G$3-MIN(MAX(City_Inputs!$N77,Norm_Stats!$F$3),Norm_Stats!$G$3))/(Norm_Stats!$G$3-Norm_Stats!$F$3))))</f>
        <v/>
      </c>
      <c r="J77" s="14">
        <f>IF(I77="","",1)</f>
        <v/>
      </c>
      <c r="K77" s="11">
        <f>IF(OR(City_Inputs!$P77="",Norm_Stats!$F$4="",Norm_Stats!$G$4="",Norm_Stats!$G$4=Norm_Stats!$F$4),"",MAX(0,MIN(100,100*(Norm_Stats!$G$4-MIN(MAX(City_Inputs!$P77,Norm_Stats!$F$4),Norm_Stats!$G$4))/(Norm_Stats!$G$4-Norm_Stats!$F$4))))</f>
        <v/>
      </c>
      <c r="L77" s="14">
        <f>IF(K77="","",1)</f>
        <v/>
      </c>
      <c r="M77" s="11">
        <f>IF(OR(City_Inputs!$Q77="",Norm_Stats!$F$5="",Norm_Stats!$G$5="",Norm_Stats!$G$5=Norm_Stats!$F$5),"",MAX(0,MIN(100,100*(Norm_Stats!$G$5-MIN(MAX(City_Inputs!$Q77,Norm_Stats!$F$5),Norm_Stats!$G$5))/(Norm_Stats!$G$5-Norm_Stats!$F$5))))</f>
        <v/>
      </c>
      <c r="N77" s="14">
        <f>IF(M77="","",1)</f>
        <v/>
      </c>
      <c r="O77" s="11">
        <f>IF(OR(City_Inputs!$R77="",Norm_Stats!$F$6="",Norm_Stats!$G$6="",Norm_Stats!$G$6=Norm_Stats!$F$6),"",MAX(0,MIN(100,100*(Norm_Stats!$G$6-MIN(MAX(City_Inputs!$R77,Norm_Stats!$F$6),Norm_Stats!$G$6))/(Norm_Stats!$G$6-Norm_Stats!$F$6))))</f>
        <v/>
      </c>
      <c r="P77" s="14">
        <f>IF(O77="","",1)</f>
        <v/>
      </c>
      <c r="Q77" s="15">
        <f>IF((IF(G77="",0,9)+IF(I77="",0,5)+IF(K77="",0,4)+IF(M77="",0,4)+IF(O77="",0,5))=0,"",(IF(G77="",0,G77*9)+IF(I77="",0,I77*5)+IF(K77="",0,K77*4)+IF(M77="",0,M77*4)+IF(O77="",0,O77*5))/(IF(G77="",0,9)+IF(I77="",0,5)+IF(K77="",0,4)+IF(M77="",0,4)+IF(O77="",0,5)))</f>
        <v/>
      </c>
      <c r="R77" s="14">
        <f>IF((IF(H77="",0,9)+IF(J77="",0,5)+IF(L77="",0,4)+IF(N77="",0,4)+IF(P77="",0,5))=0,"",(IF(H77="",0,H77*9)+IF(J77="",0,J77*5)+IF(L77="",0,L77*4)+IF(N77="",0,N77*4)+IF(P77="",0,P77*5))/27)</f>
        <v/>
      </c>
      <c r="S77" s="11">
        <f>IF(OR(City_Inputs!$S77="",Norm_Stats!$F$7="",Norm_Stats!$G$7="",Norm_Stats!$G$7=Norm_Stats!$F$7),"",MAX(0,MIN(100,100*(Norm_Stats!$G$7-MIN(MAX(City_Inputs!$S77,Norm_Stats!$F$7),Norm_Stats!$G$7))/(Norm_Stats!$G$7-Norm_Stats!$F$7))))</f>
        <v/>
      </c>
      <c r="T77" s="14">
        <f>IF(S77="","",1)</f>
        <v/>
      </c>
      <c r="U77" s="11">
        <f>IF(OR(City_Inputs!$T77="",Norm_Stats!$F$8="",Norm_Stats!$G$8="",Norm_Stats!$G$8=Norm_Stats!$F$8),"",MAX(0,MIN(100,100*(MIN(MAX(City_Inputs!$T77,Norm_Stats!$F$8),Norm_Stats!$G$8)-Norm_Stats!$F$8)/(Norm_Stats!$G$8-Norm_Stats!$F$8))))</f>
        <v/>
      </c>
      <c r="V77" s="14">
        <f>IF(U77="","",1)</f>
        <v/>
      </c>
      <c r="W77" s="11">
        <f>IF(OR(City_Inputs!$U77="",Norm_Stats!$F$9="",Norm_Stats!$G$9="",Norm_Stats!$G$9=Norm_Stats!$F$9),"",MAX(0,MIN(100,100*(Norm_Stats!$G$9-MIN(MAX(City_Inputs!$U77,Norm_Stats!$F$9),Norm_Stats!$G$9))/(Norm_Stats!$G$9-Norm_Stats!$F$9))))</f>
        <v/>
      </c>
      <c r="X77" s="14">
        <f>IF(W77="","",1)</f>
        <v/>
      </c>
      <c r="Y77" s="11">
        <f>IF(OR(City_Inputs!$V77="",Norm_Stats!$F$10="",Norm_Stats!$G$10="",Norm_Stats!$G$10=Norm_Stats!$F$10),"",MAX(0,MIN(100,100*(MIN(MAX(City_Inputs!$V77,Norm_Stats!$F$10),Norm_Stats!$G$10)-Norm_Stats!$F$10)/(Norm_Stats!$G$10-Norm_Stats!$F$10))))</f>
        <v/>
      </c>
      <c r="Z77" s="14">
        <f>IF(Y77="","",1)</f>
        <v/>
      </c>
      <c r="AA77" s="11">
        <f>IF(OR(City_Inputs!$W77="",Norm_Stats!$F$11="",Norm_Stats!$G$11="",Norm_Stats!$G$11=Norm_Stats!$F$11),"",MAX(0,MIN(100,100*(MIN(MAX(City_Inputs!$W77,Norm_Stats!$F$11),Norm_Stats!$G$11)-Norm_Stats!$F$11)/(Norm_Stats!$G$11-Norm_Stats!$F$11))))</f>
        <v/>
      </c>
      <c r="AB77" s="14">
        <f>IF(AA77="","",1)</f>
        <v/>
      </c>
      <c r="AC77" s="11">
        <f>IF(OR(City_Inputs!$X77="",Norm_Stats!$F$12="",Norm_Stats!$G$12="",Norm_Stats!$G$12=Norm_Stats!$F$12),"",MAX(0,MIN(100,100*(MIN(MAX(City_Inputs!$X77,Norm_Stats!$F$12),Norm_Stats!$G$12)-Norm_Stats!$F$12)/(Norm_Stats!$G$12-Norm_Stats!$F$12))))</f>
        <v/>
      </c>
      <c r="AD77" s="11">
        <f>IF(AC77="","",1)</f>
        <v/>
      </c>
      <c r="AE77" s="15">
        <f>IF((IF(S77="",0,5)+IF(U77="",0,5)+IF(W77="",0,4)+IF(Y77="",0,4)+IF(AA77="",0,4)+IF(AC77="",0,5))=0,"",(IF(S77="",0,S77*5)+IF(U77="",0,U77*5)+IF(W77="",0,W77*4)+IF(Y77="",0,Y77*4)+IF(AA77="",0,AA77*4)+IF(AC77="",0,AC77*5))/(IF(S77="",0,5)+IF(U77="",0,5)+IF(W77="",0,4)+IF(Y77="",0,4)+IF(AA77="",0,4)+IF(AC77="",0,5)))</f>
        <v/>
      </c>
      <c r="AF77" s="14">
        <f>IF((IF(T77="",0,5)+IF(V77="",0,5)+IF(X77="",0,4)+IF(Z77="",0,4)+IF(AB77="",0,4)+IF(AD77="",0,5))=0,"",(IF(T77="",0,T77*5)+IF(V77="",0,V77*5)+IF(X77="",0,X77*4)+IF(Z77="",0,Z77*4)+IF(AB77="",0,AB77*4)+IF(AD77="",0,AD77*5))/27)</f>
        <v/>
      </c>
      <c r="AG77" s="11">
        <f>IF(OR(City_Inputs!$Y77="",Norm_Stats!$F$13="",Norm_Stats!$G$13="",Norm_Stats!$G$13=Norm_Stats!$F$13),"",MAX(0,MIN(100,100*(MIN(MAX(City_Inputs!$Y77,Norm_Stats!$F$13),Norm_Stats!$G$13)-Norm_Stats!$F$13)/(Norm_Stats!$G$13-Norm_Stats!$F$13))))</f>
        <v/>
      </c>
      <c r="AH77" s="14">
        <f>IF(AG77="","",1)</f>
        <v/>
      </c>
      <c r="AI77" s="11">
        <f>IF(OR(City_Inputs!$Z77="",Norm_Stats!$F$14="",Norm_Stats!$G$14="",Norm_Stats!$G$14=Norm_Stats!$F$14),"",MAX(0,MIN(100,100*(MIN(MAX(City_Inputs!$Z77,Norm_Stats!$F$14),Norm_Stats!$G$14)-Norm_Stats!$F$14)/(Norm_Stats!$G$14-Norm_Stats!$F$14))))</f>
        <v/>
      </c>
      <c r="AJ77" s="14">
        <f>IF(AI77="","",1)</f>
        <v/>
      </c>
      <c r="AK77" s="11">
        <f>IF((IF((IF(OR(City_Inputs!$AA77="",Norm_Stats!$F$15="",Norm_Stats!$G$15="",Norm_Stats!$G$15=Norm_Stats!$F$15),"",MAX(0,MIN(100,100*(MIN(MAX(City_Inputs!$AA77,Norm_Stats!$F$15),Norm_Stats!$G$15)-Norm_Stats!$F$15)/(Norm_Stats!$G$15-Norm_Stats!$F$15)))))="",0,0.7)+IF((IF(OR(City_Inputs!$AL77="",Norm_Stats!$F$16="",Norm_Stats!$G$16="",Norm_Stats!$G$16=Norm_Stats!$F$16),"",MAX(0,MIN(100,100*(Norm_Stats!$G$16-MIN(MAX(City_Inputs!$AL77,Norm_Stats!$F$16),Norm_Stats!$G$16))/(Norm_Stats!$G$16-Norm_Stats!$F$16)))))="",0,0.3))=0,"",(IF((IF(OR(City_Inputs!$AA77="",Norm_Stats!$F$15="",Norm_Stats!$G$15="",Norm_Stats!$G$15=Norm_Stats!$F$15),"",MAX(0,MIN(100,100*(MIN(MAX(City_Inputs!$AA77,Norm_Stats!$F$15),Norm_Stats!$G$15)-Norm_Stats!$F$15)/(Norm_Stats!$G$15-Norm_Stats!$F$15)))))="",0,(IF(OR(City_Inputs!$AA77="",Norm_Stats!$F$15="",Norm_Stats!$G$15="",Norm_Stats!$G$15=Norm_Stats!$F$15),"",MAX(0,MIN(100,100*(MIN(MAX(City_Inputs!$AA77,Norm_Stats!$F$15),Norm_Stats!$G$15)-Norm_Stats!$F$15)/(Norm_Stats!$G$15-Norm_Stats!$F$15)))))*0.7)+IF((IF(OR(City_Inputs!$AL77="",Norm_Stats!$F$16="",Norm_Stats!$G$16="",Norm_Stats!$G$16=Norm_Stats!$F$16),"",MAX(0,MIN(100,100*(Norm_Stats!$G$16-MIN(MAX(City_Inputs!$AL77,Norm_Stats!$F$16),Norm_Stats!$G$16))/(Norm_Stats!$G$16-Norm_Stats!$F$16)))))="",0,(IF(OR(City_Inputs!$AL77="",Norm_Stats!$F$16="",Norm_Stats!$G$16="",Norm_Stats!$G$16=Norm_Stats!$F$16),"",MAX(0,MIN(100,100*(Norm_Stats!$G$16-MIN(MAX(City_Inputs!$AL77,Norm_Stats!$F$16),Norm_Stats!$G$16))/(Norm_Stats!$G$16-Norm_Stats!$F$16)))))*0.3))/(IF((IF(OR(City_Inputs!$AA77="",Norm_Stats!$F$15="",Norm_Stats!$G$15="",Norm_Stats!$G$15=Norm_Stats!$F$15),"",MAX(0,MIN(100,100*(MIN(MAX(City_Inputs!$AA77,Norm_Stats!$F$15),Norm_Stats!$G$15)-Norm_Stats!$F$15)/(Norm_Stats!$G$15-Norm_Stats!$F$15)))))="",0,0.7)+IF((IF(OR(City_Inputs!$AL77="",Norm_Stats!$F$16="",Norm_Stats!$G$16="",Norm_Stats!$G$16=Norm_Stats!$F$16),"",MAX(0,MIN(100,100*(Norm_Stats!$G$16-MIN(MAX(City_Inputs!$AL77,Norm_Stats!$F$16),Norm_Stats!$G$16))/(Norm_Stats!$G$16-Norm_Stats!$F$16)))))="",0,0.3)))</f>
        <v/>
      </c>
      <c r="AL77" s="14">
        <f>IF((IF((IF(OR(City_Inputs!$AA77="",Norm_Stats!$F$15="",Norm_Stats!$G$15="",Norm_Stats!$G$15=Norm_Stats!$F$15),"",MAX(0,MIN(100,100*(MIN(MAX(City_Inputs!$AA77,Norm_Stats!$F$15),Norm_Stats!$G$15)-Norm_Stats!$F$15)/(Norm_Stats!$G$15-Norm_Stats!$F$15)))))="",0,0.7)+IF((IF(OR(City_Inputs!$AL77="",Norm_Stats!$F$16="",Norm_Stats!$G$16="",Norm_Stats!$G$16=Norm_Stats!$F$16),"",MAX(0,MIN(100,100*(Norm_Stats!$G$16-MIN(MAX(City_Inputs!$AL77,Norm_Stats!$F$16),Norm_Stats!$G$16))/(Norm_Stats!$G$16-Norm_Stats!$F$16)))))="",0,0.3))=0,"",(IF((IF(OR(City_Inputs!$AA77="",Norm_Stats!$F$15="",Norm_Stats!$G$15="",Norm_Stats!$G$15=Norm_Stats!$F$15),"",MAX(0,MIN(100,100*(MIN(MAX(City_Inputs!$AA77,Norm_Stats!$F$15),Norm_Stats!$G$15)-Norm_Stats!$F$15)/(Norm_Stats!$G$15-Norm_Stats!$F$15)))))="",0,0.7)+IF((IF(OR(City_Inputs!$AL77="",Norm_Stats!$F$16="",Norm_Stats!$G$16="",Norm_Stats!$G$16=Norm_Stats!$F$16),"",MAX(0,MIN(100,100*(Norm_Stats!$G$16-MIN(MAX(City_Inputs!$AL77,Norm_Stats!$F$16),Norm_Stats!$G$16))/(Norm_Stats!$G$16-Norm_Stats!$F$16)))))="",0,0.3)))</f>
        <v/>
      </c>
      <c r="AM77" s="15">
        <f>IF((IF(AG77="",0,8)+IF(AI77="",0,6)+IF(AK77="",0,4))=0,"",(IF(AG77="",0,AG77*8)+IF(AI77="",0,AI77*6)+IF(AK77="",0,AK77*4))/(IF(AG77="",0,8)+IF(AI77="",0,6)+IF(AK77="",0,4)))</f>
        <v/>
      </c>
      <c r="AN77" s="14">
        <f>IF((IF(AH77="",0,8)+IF(AJ77="",0,6)+IF(AL77="",0,4))=0,"",(IF(AH77="",0,AH77*8)+IF(AJ77="",0,AJ77*6)+IF(AL77="",0,AL77*4))/18)</f>
        <v/>
      </c>
      <c r="AO77" s="11">
        <f>IF(OR(City_Inputs!$AB77="",Norm_Stats!$F$17="",Norm_Stats!$G$17="",Norm_Stats!$G$17=Norm_Stats!$F$17),"",MAX(0,MIN(100,100*(MIN(MAX(City_Inputs!$AB77,Norm_Stats!$F$17),Norm_Stats!$G$17)-Norm_Stats!$F$17)/(Norm_Stats!$G$17-Norm_Stats!$F$17))))</f>
        <v/>
      </c>
      <c r="AP77" s="14">
        <f>IF(AO77="","",1)</f>
        <v/>
      </c>
      <c r="AQ77" s="11">
        <f>IF(OR(City_Inputs!$AC77="",Norm_Stats!$F$18="",Norm_Stats!$G$18="",Norm_Stats!$G$18=Norm_Stats!$F$18),"",MAX(0,MIN(100,100*(MIN(MAX(City_Inputs!$AC77,Norm_Stats!$F$18),Norm_Stats!$G$18)-Norm_Stats!$F$18)/(Norm_Stats!$G$18-Norm_Stats!$F$18))))</f>
        <v/>
      </c>
      <c r="AR77" s="14">
        <f>IF(AQ77="","",1)</f>
        <v/>
      </c>
      <c r="AS77" s="11">
        <f>IF(OR(City_Inputs!$AD77="",Norm_Stats!$F$19="",Norm_Stats!$G$19="",Norm_Stats!$G$19=Norm_Stats!$F$19),"",MAX(0,MIN(100,100*(MIN(MAX(City_Inputs!$AD77,Norm_Stats!$F$19),Norm_Stats!$G$19)-Norm_Stats!$F$19)/(Norm_Stats!$G$19-Norm_Stats!$F$19))))</f>
        <v/>
      </c>
      <c r="AT77" s="14">
        <f>IF(AS77="","",1)</f>
        <v/>
      </c>
      <c r="AU77" s="11">
        <f>IF(OR(City_Inputs!$BJ77="",Norm_Stats!$F$26="",Norm_Stats!$G$26="",Norm_Stats!$G$26=Norm_Stats!$F$26),"",MAX(0,MIN(100,100*(MIN(MAX(City_Inputs!$BJ77,Norm_Stats!$F$26),Norm_Stats!$G$26)-Norm_Stats!$F$26)/(Norm_Stats!$G$26-Norm_Stats!$F$26))))</f>
        <v/>
      </c>
      <c r="AV77" s="11">
        <f>IF(AU77="","",1)</f>
        <v/>
      </c>
      <c r="AW77" s="15">
        <f>IF((IF(AO77="",0,5)+IF(AQ77="",0,5)+IF(AS77="",0,5)+IF(AU77="",0,4))=0,"",(IF(AO77="",0,AO77*5)+IF(AQ77="",0,AQ77*5)+IF(AS77="",0,AS77*5)+IF(AU77="",0,AU77*4))/(IF(AO77="",0,5)+IF(AQ77="",0,5)+IF(AS77="",0,5)+IF(AU77="",0,4)))</f>
        <v/>
      </c>
      <c r="AX77" s="14">
        <f>IF((IF(AP77="",0,5)+IF(AR77="",0,5)+IF(AT77="",0,5)+IF(AV77="",0,4))=0,"",(IF(AP77="",0,AP77*5)+IF(AR77="",0,AR77*5)+IF(AT77="",0,AT77*5)+IF(AV77="",0,AV77*4))/19)</f>
        <v/>
      </c>
      <c r="AY77" s="11">
        <f>IF(OR(City_Inputs!$AE77="",Norm_Stats!$F$20="",Norm_Stats!$G$20="",Norm_Stats!$G$20=Norm_Stats!$F$20),"",MAX(0,MIN(100,100*(MIN(MAX(City_Inputs!$AE77,Norm_Stats!$F$20),Norm_Stats!$G$20)-Norm_Stats!$F$20)/(Norm_Stats!$G$20-Norm_Stats!$F$20))))</f>
        <v/>
      </c>
      <c r="AZ77" s="14">
        <f>IF(AY77="","",1)</f>
        <v/>
      </c>
      <c r="BA77" s="11">
        <f>IF(OR(City_Inputs!$AF77="",Norm_Stats!$F$21="",Norm_Stats!$G$21="",Norm_Stats!$G$21=Norm_Stats!$F$21),"",MAX(0,MIN(100,100*(MIN(MAX(City_Inputs!$AF77,Norm_Stats!$F$21),Norm_Stats!$G$21)-Norm_Stats!$F$21)/(Norm_Stats!$G$21-Norm_Stats!$F$21))))</f>
        <v/>
      </c>
      <c r="BB77" s="14">
        <f>IF(BA77="","",1)</f>
        <v/>
      </c>
      <c r="BC77" s="11">
        <f>IF((IF((IF(OR(City_Inputs!$AG77="",Norm_Stats!$F$22="",Norm_Stats!$G$22="",Norm_Stats!$G$22=Norm_Stats!$F$22),"",MAX(0,MIN(100,100*(MIN(MAX(City_Inputs!$AG77,Norm_Stats!$F$22),Norm_Stats!$G$22)-Norm_Stats!$F$22)/(Norm_Stats!$G$22-Norm_Stats!$F$22)))))="",0,0.5)+IF((IF(OR(City_Inputs!$AJ77="",Norm_Stats!$F$23="",Norm_Stats!$G$23="",Norm_Stats!$G$23=Norm_Stats!$F$23),"",MAX(0,MIN(100,100*(MIN(MAX(City_Inputs!$AJ77,Norm_Stats!$F$23),Norm_Stats!$G$23)-Norm_Stats!$F$23)/(Norm_Stats!$G$23-Norm_Stats!$F$23)))))="",0,0.3)+IF((IF(OR(City_Inputs!$AK77="",Norm_Stats!$F$24="",Norm_Stats!$G$24="",Norm_Stats!$G$24=Norm_Stats!$F$24),"",MAX(0,MIN(100,100*(MIN(MAX(City_Inputs!$AK77,Norm_Stats!$F$24),Norm_Stats!$G$24)-Norm_Stats!$F$24)/(Norm_Stats!$G$24-Norm_Stats!$F$24)))))="",0,0.2))=0,"",(IF((IF(OR(City_Inputs!$AG77="",Norm_Stats!$F$22="",Norm_Stats!$G$22="",Norm_Stats!$G$22=Norm_Stats!$F$22),"",MAX(0,MIN(100,100*(MIN(MAX(City_Inputs!$AG77,Norm_Stats!$F$22),Norm_Stats!$G$22)-Norm_Stats!$F$22)/(Norm_Stats!$G$22-Norm_Stats!$F$22)))))="",0,(IF(OR(City_Inputs!$AG77="",Norm_Stats!$F$22="",Norm_Stats!$G$22="",Norm_Stats!$G$22=Norm_Stats!$F$22),"",MAX(0,MIN(100,100*(MIN(MAX(City_Inputs!$AG77,Norm_Stats!$F$22),Norm_Stats!$G$22)-Norm_Stats!$F$22)/(Norm_Stats!$G$22-Norm_Stats!$F$22)))))*0.5)+IF((IF(OR(City_Inputs!$AJ77="",Norm_Stats!$F$23="",Norm_Stats!$G$23="",Norm_Stats!$G$23=Norm_Stats!$F$23),"",MAX(0,MIN(100,100*(MIN(MAX(City_Inputs!$AJ77,Norm_Stats!$F$23),Norm_Stats!$G$23)-Norm_Stats!$F$23)/(Norm_Stats!$G$23-Norm_Stats!$F$23)))))="",0,(IF(OR(City_Inputs!$AJ77="",Norm_Stats!$F$23="",Norm_Stats!$G$23="",Norm_Stats!$G$23=Norm_Stats!$F$23),"",MAX(0,MIN(100,100*(MIN(MAX(City_Inputs!$AJ77,Norm_Stats!$F$23),Norm_Stats!$G$23)-Norm_Stats!$F$23)/(Norm_Stats!$G$23-Norm_Stats!$F$23)))))*0.3)+IF((IF(OR(City_Inputs!$AK77="",Norm_Stats!$F$24="",Norm_Stats!$G$24="",Norm_Stats!$G$24=Norm_Stats!$F$24),"",MAX(0,MIN(100,100*(MIN(MAX(City_Inputs!$AK77,Norm_Stats!$F$24),Norm_Stats!$G$24)-Norm_Stats!$F$24)/(Norm_Stats!$G$24-Norm_Stats!$F$24)))))="",0,(IF(OR(City_Inputs!$AK77="",Norm_Stats!$F$24="",Norm_Stats!$G$24="",Norm_Stats!$G$24=Norm_Stats!$F$24),"",MAX(0,MIN(100,100*(MIN(MAX(City_Inputs!$AK77,Norm_Stats!$F$24),Norm_Stats!$G$24)-Norm_Stats!$F$24)/(Norm_Stats!$G$24-Norm_Stats!$F$24)))))*0.2))/(IF((IF(OR(City_Inputs!$AG77="",Norm_Stats!$F$22="",Norm_Stats!$G$22="",Norm_Stats!$G$22=Norm_Stats!$F$22),"",MAX(0,MIN(100,100*(MIN(MAX(City_Inputs!$AG77,Norm_Stats!$F$22),Norm_Stats!$G$22)-Norm_Stats!$F$22)/(Norm_Stats!$G$22-Norm_Stats!$F$22)))))="",0,0.5)+IF((IF(OR(City_Inputs!$AJ77="",Norm_Stats!$F$23="",Norm_Stats!$G$23="",Norm_Stats!$G$23=Norm_Stats!$F$23),"",MAX(0,MIN(100,100*(MIN(MAX(City_Inputs!$AJ77,Norm_Stats!$F$23),Norm_Stats!$G$23)-Norm_Stats!$F$23)/(Norm_Stats!$G$23-Norm_Stats!$F$23)))))="",0,0.3)+IF((IF(OR(City_Inputs!$AK77="",Norm_Stats!$F$24="",Norm_Stats!$G$24="",Norm_Stats!$G$24=Norm_Stats!$F$24),"",MAX(0,MIN(100,100*(MIN(MAX(City_Inputs!$AK77,Norm_Stats!$F$24),Norm_Stats!$G$24)-Norm_Stats!$F$24)/(Norm_Stats!$G$24-Norm_Stats!$F$24)))))="",0,0.2)))</f>
        <v/>
      </c>
      <c r="BD77" s="14">
        <f>IF((IF((IF(OR(City_Inputs!$AG77="",Norm_Stats!$F$22="",Norm_Stats!$G$22="",Norm_Stats!$G$22=Norm_Stats!$F$22),"",MAX(0,MIN(100,100*(MIN(MAX(City_Inputs!$AG77,Norm_Stats!$F$22),Norm_Stats!$G$22)-Norm_Stats!$F$22)/(Norm_Stats!$G$22-Norm_Stats!$F$22)))))="",0,0.5)+IF((IF(OR(City_Inputs!$AJ77="",Norm_Stats!$F$23="",Norm_Stats!$G$23="",Norm_Stats!$G$23=Norm_Stats!$F$23),"",MAX(0,MIN(100,100*(MIN(MAX(City_Inputs!$AJ77,Norm_Stats!$F$23),Norm_Stats!$G$23)-Norm_Stats!$F$23)/(Norm_Stats!$G$23-Norm_Stats!$F$23)))))="",0,0.3)+IF((IF(OR(City_Inputs!$AK77="",Norm_Stats!$F$24="",Norm_Stats!$G$24="",Norm_Stats!$G$24=Norm_Stats!$F$24),"",MAX(0,MIN(100,100*(MIN(MAX(City_Inputs!$AK77,Norm_Stats!$F$24),Norm_Stats!$G$24)-Norm_Stats!$F$24)/(Norm_Stats!$G$24-Norm_Stats!$F$24)))))="",0,0.2))=0,"",(IF((IF(OR(City_Inputs!$AG77="",Norm_Stats!$F$22="",Norm_Stats!$G$22="",Norm_Stats!$G$22=Norm_Stats!$F$22),"",MAX(0,MIN(100,100*(MIN(MAX(City_Inputs!$AG77,Norm_Stats!$F$22),Norm_Stats!$G$22)-Norm_Stats!$F$22)/(Norm_Stats!$G$22-Norm_Stats!$F$22)))))="",0,0.5)+IF((IF(OR(City_Inputs!$AJ77="",Norm_Stats!$F$23="",Norm_Stats!$G$23="",Norm_Stats!$G$23=Norm_Stats!$F$23),"",MAX(0,MIN(100,100*(MIN(MAX(City_Inputs!$AJ77,Norm_Stats!$F$23),Norm_Stats!$G$23)-Norm_Stats!$F$23)/(Norm_Stats!$G$23-Norm_Stats!$F$23)))))="",0,0.3)+IF((IF(OR(City_Inputs!$AK77="",Norm_Stats!$F$24="",Norm_Stats!$G$24="",Norm_Stats!$G$24=Norm_Stats!$F$24),"",MAX(0,MIN(100,100*(MIN(MAX(City_Inputs!$AK77,Norm_Stats!$F$24),Norm_Stats!$G$24)-Norm_Stats!$F$24)/(Norm_Stats!$G$24-Norm_Stats!$F$24)))))="",0,0.2)))</f>
        <v/>
      </c>
      <c r="BE77" s="11">
        <f>IF(OR(City_Inputs!$AH77="",Norm_Stats!$F$25="",Norm_Stats!$G$25="",Norm_Stats!$G$25=Norm_Stats!$F$25),"",MAX(0,MIN(100,100*(Norm_Stats!$G$25-MIN(MAX(City_Inputs!$AH77,Norm_Stats!$F$25),Norm_Stats!$G$25))/(Norm_Stats!$G$25-Norm_Stats!$F$25))))</f>
        <v/>
      </c>
      <c r="BF77" s="14">
        <f>IF(BE77="","",1)</f>
        <v/>
      </c>
      <c r="BG77" s="15">
        <f>IF((IF(AY77="",0,6)+IF(BA77="",0,5)+IF(BC77="",0,5)+IF(BE77="",0,4))=0,"",(IF(AY77="",0,AY77*6)+IF(BA77="",0,BA77*5)+IF(BC77="",0,BC77*5)+IF(BE77="",0,BE77*4))/(IF(AY77="",0,6)+IF(BA77="",0,5)+IF(BC77="",0,5)+IF(BE77="",0,4)))</f>
        <v/>
      </c>
      <c r="BH77" s="14">
        <f>IF((IF(AZ77="",0,6)+IF(BB77="",0,5)+IF(BD77="",0,5)+IF(BF77="",0,4))=0,"",(IF(AZ77="",0,AZ77*6)+IF(BB77="",0,BB77*5)+IF(BD77="",0,BD77*5)+IF(BF77="",0,BF77*4))/20)</f>
        <v/>
      </c>
      <c r="BI77" s="14">
        <f>IF(AND(R77="",AF77="",AN77="",AX77="",BH77=""),"",((R77*25)+(AF77*22)+(AN77*18)+(AX77*15)+(BH77*20))/100)</f>
        <v/>
      </c>
      <c r="BJ77" s="11">
        <f>IF(BI77="","",IF(BI77&gt;=0.75,"A",IF(BI77&gt;=0.5,"B",IF(BI77&gt;=0.35,"C","Watchlist"))))</f>
        <v/>
      </c>
      <c r="BK77" s="11">
        <f>IF(OR(BI77="",BI77&lt;0.5,R77="",R77&lt;0.35,AF77="",AF77&lt;0.35,AN77="",AN77&lt;0.35,AX77="",AX77&lt;0.35,BH77="",BH77&lt;0.35),"Watchlist","Ranked")</f>
        <v/>
      </c>
      <c r="BL77" s="15">
        <f>IF(AND(Q77="",AE77="",AM77="",AW77="",BG77=""),"",(IF(Q77="",0,Q77*25)+IF(AE77="",0,AE77*22)+IF(AM77="",0,AM77*18)+IF(AW77="",0,AW77*15)+IF(BG77="",0,BG77*20))/(IF(Q77="",0,25)+IF(AE77="",0,22)+IF(AM77="",0,18)+IF(AW77="",0,15)+IF(BG77="",0,20)))</f>
        <v/>
      </c>
      <c r="BM77" s="11">
        <f>IF(BK77="Ranked",1+COUNTIFS($BK$2:$BK$158,"Ranked",$BL$2:$BL$158,"&gt;"&amp;BL77),"")</f>
        <v/>
      </c>
      <c r="BN77" s="11">
        <f>City_Inputs!$AI77</f>
        <v/>
      </c>
    </row>
    <row r="78">
      <c r="A78" t="inlineStr">
        <is>
          <t>uy-montevideo</t>
        </is>
      </c>
      <c r="B78" t="inlineStr">
        <is>
          <t>Montevideo</t>
        </is>
      </c>
      <c r="C78" t="inlineStr">
        <is>
          <t>Uruguay</t>
        </is>
      </c>
      <c r="D78" t="inlineStr">
        <is>
          <t>Latin America</t>
        </is>
      </c>
      <c r="E78" t="inlineStr">
        <is>
          <t>locked</t>
        </is>
      </c>
      <c r="F78" t="inlineStr">
        <is>
          <t>secondary</t>
        </is>
      </c>
      <c r="G78" s="11">
        <f>IF(OR(City_Inputs!$M78="",Norm_Stats!$F$2="",Norm_Stats!$G$2="",Norm_Stats!$G$2=Norm_Stats!$F$2),"",MAX(0,MIN(100,100*(MIN(MAX(City_Inputs!$M78,Norm_Stats!$F$2),Norm_Stats!$G$2)-Norm_Stats!$F$2)/(Norm_Stats!$G$2-Norm_Stats!$F$2))))</f>
        <v/>
      </c>
      <c r="H78" s="14">
        <f>IF(G78="","",1)</f>
        <v/>
      </c>
      <c r="I78" s="11">
        <f>IF(OR(City_Inputs!$N78="",Norm_Stats!$F$3="",Norm_Stats!$G$3="",Norm_Stats!$G$3=Norm_Stats!$F$3),"",MAX(0,MIN(100,100*(Norm_Stats!$G$3-MIN(MAX(City_Inputs!$N78,Norm_Stats!$F$3),Norm_Stats!$G$3))/(Norm_Stats!$G$3-Norm_Stats!$F$3))))</f>
        <v/>
      </c>
      <c r="J78" s="14">
        <f>IF(I78="","",1)</f>
        <v/>
      </c>
      <c r="K78" s="11">
        <f>IF(OR(City_Inputs!$P78="",Norm_Stats!$F$4="",Norm_Stats!$G$4="",Norm_Stats!$G$4=Norm_Stats!$F$4),"",MAX(0,MIN(100,100*(Norm_Stats!$G$4-MIN(MAX(City_Inputs!$P78,Norm_Stats!$F$4),Norm_Stats!$G$4))/(Norm_Stats!$G$4-Norm_Stats!$F$4))))</f>
        <v/>
      </c>
      <c r="L78" s="14">
        <f>IF(K78="","",1)</f>
        <v/>
      </c>
      <c r="M78" s="11">
        <f>IF(OR(City_Inputs!$Q78="",Norm_Stats!$F$5="",Norm_Stats!$G$5="",Norm_Stats!$G$5=Norm_Stats!$F$5),"",MAX(0,MIN(100,100*(Norm_Stats!$G$5-MIN(MAX(City_Inputs!$Q78,Norm_Stats!$F$5),Norm_Stats!$G$5))/(Norm_Stats!$G$5-Norm_Stats!$F$5))))</f>
        <v/>
      </c>
      <c r="N78" s="14">
        <f>IF(M78="","",1)</f>
        <v/>
      </c>
      <c r="O78" s="11">
        <f>IF(OR(City_Inputs!$R78="",Norm_Stats!$F$6="",Norm_Stats!$G$6="",Norm_Stats!$G$6=Norm_Stats!$F$6),"",MAX(0,MIN(100,100*(Norm_Stats!$G$6-MIN(MAX(City_Inputs!$R78,Norm_Stats!$F$6),Norm_Stats!$G$6))/(Norm_Stats!$G$6-Norm_Stats!$F$6))))</f>
        <v/>
      </c>
      <c r="P78" s="14">
        <f>IF(O78="","",1)</f>
        <v/>
      </c>
      <c r="Q78" s="15">
        <f>IF((IF(G78="",0,9)+IF(I78="",0,5)+IF(K78="",0,4)+IF(M78="",0,4)+IF(O78="",0,5))=0,"",(IF(G78="",0,G78*9)+IF(I78="",0,I78*5)+IF(K78="",0,K78*4)+IF(M78="",0,M78*4)+IF(O78="",0,O78*5))/(IF(G78="",0,9)+IF(I78="",0,5)+IF(K78="",0,4)+IF(M78="",0,4)+IF(O78="",0,5)))</f>
        <v/>
      </c>
      <c r="R78" s="14">
        <f>IF((IF(H78="",0,9)+IF(J78="",0,5)+IF(L78="",0,4)+IF(N78="",0,4)+IF(P78="",0,5))=0,"",(IF(H78="",0,H78*9)+IF(J78="",0,J78*5)+IF(L78="",0,L78*4)+IF(N78="",0,N78*4)+IF(P78="",0,P78*5))/27)</f>
        <v/>
      </c>
      <c r="S78" s="11">
        <f>IF(OR(City_Inputs!$S78="",Norm_Stats!$F$7="",Norm_Stats!$G$7="",Norm_Stats!$G$7=Norm_Stats!$F$7),"",MAX(0,MIN(100,100*(Norm_Stats!$G$7-MIN(MAX(City_Inputs!$S78,Norm_Stats!$F$7),Norm_Stats!$G$7))/(Norm_Stats!$G$7-Norm_Stats!$F$7))))</f>
        <v/>
      </c>
      <c r="T78" s="14">
        <f>IF(S78="","",1)</f>
        <v/>
      </c>
      <c r="U78" s="11">
        <f>IF(OR(City_Inputs!$T78="",Norm_Stats!$F$8="",Norm_Stats!$G$8="",Norm_Stats!$G$8=Norm_Stats!$F$8),"",MAX(0,MIN(100,100*(MIN(MAX(City_Inputs!$T78,Norm_Stats!$F$8),Norm_Stats!$G$8)-Norm_Stats!$F$8)/(Norm_Stats!$G$8-Norm_Stats!$F$8))))</f>
        <v/>
      </c>
      <c r="V78" s="14">
        <f>IF(U78="","",1)</f>
        <v/>
      </c>
      <c r="W78" s="11">
        <f>IF(OR(City_Inputs!$U78="",Norm_Stats!$F$9="",Norm_Stats!$G$9="",Norm_Stats!$G$9=Norm_Stats!$F$9),"",MAX(0,MIN(100,100*(Norm_Stats!$G$9-MIN(MAX(City_Inputs!$U78,Norm_Stats!$F$9),Norm_Stats!$G$9))/(Norm_Stats!$G$9-Norm_Stats!$F$9))))</f>
        <v/>
      </c>
      <c r="X78" s="14">
        <f>IF(W78="","",1)</f>
        <v/>
      </c>
      <c r="Y78" s="11">
        <f>IF(OR(City_Inputs!$V78="",Norm_Stats!$F$10="",Norm_Stats!$G$10="",Norm_Stats!$G$10=Norm_Stats!$F$10),"",MAX(0,MIN(100,100*(MIN(MAX(City_Inputs!$V78,Norm_Stats!$F$10),Norm_Stats!$G$10)-Norm_Stats!$F$10)/(Norm_Stats!$G$10-Norm_Stats!$F$10))))</f>
        <v/>
      </c>
      <c r="Z78" s="14">
        <f>IF(Y78="","",1)</f>
        <v/>
      </c>
      <c r="AA78" s="11">
        <f>IF(OR(City_Inputs!$W78="",Norm_Stats!$F$11="",Norm_Stats!$G$11="",Norm_Stats!$G$11=Norm_Stats!$F$11),"",MAX(0,MIN(100,100*(MIN(MAX(City_Inputs!$W78,Norm_Stats!$F$11),Norm_Stats!$G$11)-Norm_Stats!$F$11)/(Norm_Stats!$G$11-Norm_Stats!$F$11))))</f>
        <v/>
      </c>
      <c r="AB78" s="14">
        <f>IF(AA78="","",1)</f>
        <v/>
      </c>
      <c r="AC78" s="11">
        <f>IF(OR(City_Inputs!$X78="",Norm_Stats!$F$12="",Norm_Stats!$G$12="",Norm_Stats!$G$12=Norm_Stats!$F$12),"",MAX(0,MIN(100,100*(MIN(MAX(City_Inputs!$X78,Norm_Stats!$F$12),Norm_Stats!$G$12)-Norm_Stats!$F$12)/(Norm_Stats!$G$12-Norm_Stats!$F$12))))</f>
        <v/>
      </c>
      <c r="AD78" s="11">
        <f>IF(AC78="","",1)</f>
        <v/>
      </c>
      <c r="AE78" s="15">
        <f>IF((IF(S78="",0,5)+IF(U78="",0,5)+IF(W78="",0,4)+IF(Y78="",0,4)+IF(AA78="",0,4)+IF(AC78="",0,5))=0,"",(IF(S78="",0,S78*5)+IF(U78="",0,U78*5)+IF(W78="",0,W78*4)+IF(Y78="",0,Y78*4)+IF(AA78="",0,AA78*4)+IF(AC78="",0,AC78*5))/(IF(S78="",0,5)+IF(U78="",0,5)+IF(W78="",0,4)+IF(Y78="",0,4)+IF(AA78="",0,4)+IF(AC78="",0,5)))</f>
        <v/>
      </c>
      <c r="AF78" s="14">
        <f>IF((IF(T78="",0,5)+IF(V78="",0,5)+IF(X78="",0,4)+IF(Z78="",0,4)+IF(AB78="",0,4)+IF(AD78="",0,5))=0,"",(IF(T78="",0,T78*5)+IF(V78="",0,V78*5)+IF(X78="",0,X78*4)+IF(Z78="",0,Z78*4)+IF(AB78="",0,AB78*4)+IF(AD78="",0,AD78*5))/27)</f>
        <v/>
      </c>
      <c r="AG78" s="11">
        <f>IF(OR(City_Inputs!$Y78="",Norm_Stats!$F$13="",Norm_Stats!$G$13="",Norm_Stats!$G$13=Norm_Stats!$F$13),"",MAX(0,MIN(100,100*(MIN(MAX(City_Inputs!$Y78,Norm_Stats!$F$13),Norm_Stats!$G$13)-Norm_Stats!$F$13)/(Norm_Stats!$G$13-Norm_Stats!$F$13))))</f>
        <v/>
      </c>
      <c r="AH78" s="14">
        <f>IF(AG78="","",1)</f>
        <v/>
      </c>
      <c r="AI78" s="11">
        <f>IF(OR(City_Inputs!$Z78="",Norm_Stats!$F$14="",Norm_Stats!$G$14="",Norm_Stats!$G$14=Norm_Stats!$F$14),"",MAX(0,MIN(100,100*(MIN(MAX(City_Inputs!$Z78,Norm_Stats!$F$14),Norm_Stats!$G$14)-Norm_Stats!$F$14)/(Norm_Stats!$G$14-Norm_Stats!$F$14))))</f>
        <v/>
      </c>
      <c r="AJ78" s="14">
        <f>IF(AI78="","",1)</f>
        <v/>
      </c>
      <c r="AK78" s="11">
        <f>IF((IF((IF(OR(City_Inputs!$AA78="",Norm_Stats!$F$15="",Norm_Stats!$G$15="",Norm_Stats!$G$15=Norm_Stats!$F$15),"",MAX(0,MIN(100,100*(MIN(MAX(City_Inputs!$AA78,Norm_Stats!$F$15),Norm_Stats!$G$15)-Norm_Stats!$F$15)/(Norm_Stats!$G$15-Norm_Stats!$F$15)))))="",0,0.7)+IF((IF(OR(City_Inputs!$AL78="",Norm_Stats!$F$16="",Norm_Stats!$G$16="",Norm_Stats!$G$16=Norm_Stats!$F$16),"",MAX(0,MIN(100,100*(Norm_Stats!$G$16-MIN(MAX(City_Inputs!$AL78,Norm_Stats!$F$16),Norm_Stats!$G$16))/(Norm_Stats!$G$16-Norm_Stats!$F$16)))))="",0,0.3))=0,"",(IF((IF(OR(City_Inputs!$AA78="",Norm_Stats!$F$15="",Norm_Stats!$G$15="",Norm_Stats!$G$15=Norm_Stats!$F$15),"",MAX(0,MIN(100,100*(MIN(MAX(City_Inputs!$AA78,Norm_Stats!$F$15),Norm_Stats!$G$15)-Norm_Stats!$F$15)/(Norm_Stats!$G$15-Norm_Stats!$F$15)))))="",0,(IF(OR(City_Inputs!$AA78="",Norm_Stats!$F$15="",Norm_Stats!$G$15="",Norm_Stats!$G$15=Norm_Stats!$F$15),"",MAX(0,MIN(100,100*(MIN(MAX(City_Inputs!$AA78,Norm_Stats!$F$15),Norm_Stats!$G$15)-Norm_Stats!$F$15)/(Norm_Stats!$G$15-Norm_Stats!$F$15)))))*0.7)+IF((IF(OR(City_Inputs!$AL78="",Norm_Stats!$F$16="",Norm_Stats!$G$16="",Norm_Stats!$G$16=Norm_Stats!$F$16),"",MAX(0,MIN(100,100*(Norm_Stats!$G$16-MIN(MAX(City_Inputs!$AL78,Norm_Stats!$F$16),Norm_Stats!$G$16))/(Norm_Stats!$G$16-Norm_Stats!$F$16)))))="",0,(IF(OR(City_Inputs!$AL78="",Norm_Stats!$F$16="",Norm_Stats!$G$16="",Norm_Stats!$G$16=Norm_Stats!$F$16),"",MAX(0,MIN(100,100*(Norm_Stats!$G$16-MIN(MAX(City_Inputs!$AL78,Norm_Stats!$F$16),Norm_Stats!$G$16))/(Norm_Stats!$G$16-Norm_Stats!$F$16)))))*0.3))/(IF((IF(OR(City_Inputs!$AA78="",Norm_Stats!$F$15="",Norm_Stats!$G$15="",Norm_Stats!$G$15=Norm_Stats!$F$15),"",MAX(0,MIN(100,100*(MIN(MAX(City_Inputs!$AA78,Norm_Stats!$F$15),Norm_Stats!$G$15)-Norm_Stats!$F$15)/(Norm_Stats!$G$15-Norm_Stats!$F$15)))))="",0,0.7)+IF((IF(OR(City_Inputs!$AL78="",Norm_Stats!$F$16="",Norm_Stats!$G$16="",Norm_Stats!$G$16=Norm_Stats!$F$16),"",MAX(0,MIN(100,100*(Norm_Stats!$G$16-MIN(MAX(City_Inputs!$AL78,Norm_Stats!$F$16),Norm_Stats!$G$16))/(Norm_Stats!$G$16-Norm_Stats!$F$16)))))="",0,0.3)))</f>
        <v/>
      </c>
      <c r="AL78" s="14">
        <f>IF((IF((IF(OR(City_Inputs!$AA78="",Norm_Stats!$F$15="",Norm_Stats!$G$15="",Norm_Stats!$G$15=Norm_Stats!$F$15),"",MAX(0,MIN(100,100*(MIN(MAX(City_Inputs!$AA78,Norm_Stats!$F$15),Norm_Stats!$G$15)-Norm_Stats!$F$15)/(Norm_Stats!$G$15-Norm_Stats!$F$15)))))="",0,0.7)+IF((IF(OR(City_Inputs!$AL78="",Norm_Stats!$F$16="",Norm_Stats!$G$16="",Norm_Stats!$G$16=Norm_Stats!$F$16),"",MAX(0,MIN(100,100*(Norm_Stats!$G$16-MIN(MAX(City_Inputs!$AL78,Norm_Stats!$F$16),Norm_Stats!$G$16))/(Norm_Stats!$G$16-Norm_Stats!$F$16)))))="",0,0.3))=0,"",(IF((IF(OR(City_Inputs!$AA78="",Norm_Stats!$F$15="",Norm_Stats!$G$15="",Norm_Stats!$G$15=Norm_Stats!$F$15),"",MAX(0,MIN(100,100*(MIN(MAX(City_Inputs!$AA78,Norm_Stats!$F$15),Norm_Stats!$G$15)-Norm_Stats!$F$15)/(Norm_Stats!$G$15-Norm_Stats!$F$15)))))="",0,0.7)+IF((IF(OR(City_Inputs!$AL78="",Norm_Stats!$F$16="",Norm_Stats!$G$16="",Norm_Stats!$G$16=Norm_Stats!$F$16),"",MAX(0,MIN(100,100*(Norm_Stats!$G$16-MIN(MAX(City_Inputs!$AL78,Norm_Stats!$F$16),Norm_Stats!$G$16))/(Norm_Stats!$G$16-Norm_Stats!$F$16)))))="",0,0.3)))</f>
        <v/>
      </c>
      <c r="AM78" s="15">
        <f>IF((IF(AG78="",0,8)+IF(AI78="",0,6)+IF(AK78="",0,4))=0,"",(IF(AG78="",0,AG78*8)+IF(AI78="",0,AI78*6)+IF(AK78="",0,AK78*4))/(IF(AG78="",0,8)+IF(AI78="",0,6)+IF(AK78="",0,4)))</f>
        <v/>
      </c>
      <c r="AN78" s="14">
        <f>IF((IF(AH78="",0,8)+IF(AJ78="",0,6)+IF(AL78="",0,4))=0,"",(IF(AH78="",0,AH78*8)+IF(AJ78="",0,AJ78*6)+IF(AL78="",0,AL78*4))/18)</f>
        <v/>
      </c>
      <c r="AO78" s="11">
        <f>IF(OR(City_Inputs!$AB78="",Norm_Stats!$F$17="",Norm_Stats!$G$17="",Norm_Stats!$G$17=Norm_Stats!$F$17),"",MAX(0,MIN(100,100*(MIN(MAX(City_Inputs!$AB78,Norm_Stats!$F$17),Norm_Stats!$G$17)-Norm_Stats!$F$17)/(Norm_Stats!$G$17-Norm_Stats!$F$17))))</f>
        <v/>
      </c>
      <c r="AP78" s="14">
        <f>IF(AO78="","",1)</f>
        <v/>
      </c>
      <c r="AQ78" s="11">
        <f>IF(OR(City_Inputs!$AC78="",Norm_Stats!$F$18="",Norm_Stats!$G$18="",Norm_Stats!$G$18=Norm_Stats!$F$18),"",MAX(0,MIN(100,100*(MIN(MAX(City_Inputs!$AC78,Norm_Stats!$F$18),Norm_Stats!$G$18)-Norm_Stats!$F$18)/(Norm_Stats!$G$18-Norm_Stats!$F$18))))</f>
        <v/>
      </c>
      <c r="AR78" s="14">
        <f>IF(AQ78="","",1)</f>
        <v/>
      </c>
      <c r="AS78" s="11">
        <f>IF(OR(City_Inputs!$AD78="",Norm_Stats!$F$19="",Norm_Stats!$G$19="",Norm_Stats!$G$19=Norm_Stats!$F$19),"",MAX(0,MIN(100,100*(MIN(MAX(City_Inputs!$AD78,Norm_Stats!$F$19),Norm_Stats!$G$19)-Norm_Stats!$F$19)/(Norm_Stats!$G$19-Norm_Stats!$F$19))))</f>
        <v/>
      </c>
      <c r="AT78" s="14">
        <f>IF(AS78="","",1)</f>
        <v/>
      </c>
      <c r="AU78" s="11">
        <f>IF(OR(City_Inputs!$BJ78="",Norm_Stats!$F$26="",Norm_Stats!$G$26="",Norm_Stats!$G$26=Norm_Stats!$F$26),"",MAX(0,MIN(100,100*(MIN(MAX(City_Inputs!$BJ78,Norm_Stats!$F$26),Norm_Stats!$G$26)-Norm_Stats!$F$26)/(Norm_Stats!$G$26-Norm_Stats!$F$26))))</f>
        <v/>
      </c>
      <c r="AV78" s="11">
        <f>IF(AU78="","",1)</f>
        <v/>
      </c>
      <c r="AW78" s="15">
        <f>IF((IF(AO78="",0,5)+IF(AQ78="",0,5)+IF(AS78="",0,5)+IF(AU78="",0,4))=0,"",(IF(AO78="",0,AO78*5)+IF(AQ78="",0,AQ78*5)+IF(AS78="",0,AS78*5)+IF(AU78="",0,AU78*4))/(IF(AO78="",0,5)+IF(AQ78="",0,5)+IF(AS78="",0,5)+IF(AU78="",0,4)))</f>
        <v/>
      </c>
      <c r="AX78" s="14">
        <f>IF((IF(AP78="",0,5)+IF(AR78="",0,5)+IF(AT78="",0,5)+IF(AV78="",0,4))=0,"",(IF(AP78="",0,AP78*5)+IF(AR78="",0,AR78*5)+IF(AT78="",0,AT78*5)+IF(AV78="",0,AV78*4))/19)</f>
        <v/>
      </c>
      <c r="AY78" s="11">
        <f>IF(OR(City_Inputs!$AE78="",Norm_Stats!$F$20="",Norm_Stats!$G$20="",Norm_Stats!$G$20=Norm_Stats!$F$20),"",MAX(0,MIN(100,100*(MIN(MAX(City_Inputs!$AE78,Norm_Stats!$F$20),Norm_Stats!$G$20)-Norm_Stats!$F$20)/(Norm_Stats!$G$20-Norm_Stats!$F$20))))</f>
        <v/>
      </c>
      <c r="AZ78" s="14">
        <f>IF(AY78="","",1)</f>
        <v/>
      </c>
      <c r="BA78" s="11">
        <f>IF(OR(City_Inputs!$AF78="",Norm_Stats!$F$21="",Norm_Stats!$G$21="",Norm_Stats!$G$21=Norm_Stats!$F$21),"",MAX(0,MIN(100,100*(MIN(MAX(City_Inputs!$AF78,Norm_Stats!$F$21),Norm_Stats!$G$21)-Norm_Stats!$F$21)/(Norm_Stats!$G$21-Norm_Stats!$F$21))))</f>
        <v/>
      </c>
      <c r="BB78" s="14">
        <f>IF(BA78="","",1)</f>
        <v/>
      </c>
      <c r="BC78" s="11">
        <f>IF((IF((IF(OR(City_Inputs!$AG78="",Norm_Stats!$F$22="",Norm_Stats!$G$22="",Norm_Stats!$G$22=Norm_Stats!$F$22),"",MAX(0,MIN(100,100*(MIN(MAX(City_Inputs!$AG78,Norm_Stats!$F$22),Norm_Stats!$G$22)-Norm_Stats!$F$22)/(Norm_Stats!$G$22-Norm_Stats!$F$22)))))="",0,0.5)+IF((IF(OR(City_Inputs!$AJ78="",Norm_Stats!$F$23="",Norm_Stats!$G$23="",Norm_Stats!$G$23=Norm_Stats!$F$23),"",MAX(0,MIN(100,100*(MIN(MAX(City_Inputs!$AJ78,Norm_Stats!$F$23),Norm_Stats!$G$23)-Norm_Stats!$F$23)/(Norm_Stats!$G$23-Norm_Stats!$F$23)))))="",0,0.3)+IF((IF(OR(City_Inputs!$AK78="",Norm_Stats!$F$24="",Norm_Stats!$G$24="",Norm_Stats!$G$24=Norm_Stats!$F$24),"",MAX(0,MIN(100,100*(MIN(MAX(City_Inputs!$AK78,Norm_Stats!$F$24),Norm_Stats!$G$24)-Norm_Stats!$F$24)/(Norm_Stats!$G$24-Norm_Stats!$F$24)))))="",0,0.2))=0,"",(IF((IF(OR(City_Inputs!$AG78="",Norm_Stats!$F$22="",Norm_Stats!$G$22="",Norm_Stats!$G$22=Norm_Stats!$F$22),"",MAX(0,MIN(100,100*(MIN(MAX(City_Inputs!$AG78,Norm_Stats!$F$22),Norm_Stats!$G$22)-Norm_Stats!$F$22)/(Norm_Stats!$G$22-Norm_Stats!$F$22)))))="",0,(IF(OR(City_Inputs!$AG78="",Norm_Stats!$F$22="",Norm_Stats!$G$22="",Norm_Stats!$G$22=Norm_Stats!$F$22),"",MAX(0,MIN(100,100*(MIN(MAX(City_Inputs!$AG78,Norm_Stats!$F$22),Norm_Stats!$G$22)-Norm_Stats!$F$22)/(Norm_Stats!$G$22-Norm_Stats!$F$22)))))*0.5)+IF((IF(OR(City_Inputs!$AJ78="",Norm_Stats!$F$23="",Norm_Stats!$G$23="",Norm_Stats!$G$23=Norm_Stats!$F$23),"",MAX(0,MIN(100,100*(MIN(MAX(City_Inputs!$AJ78,Norm_Stats!$F$23),Norm_Stats!$G$23)-Norm_Stats!$F$23)/(Norm_Stats!$G$23-Norm_Stats!$F$23)))))="",0,(IF(OR(City_Inputs!$AJ78="",Norm_Stats!$F$23="",Norm_Stats!$G$23="",Norm_Stats!$G$23=Norm_Stats!$F$23),"",MAX(0,MIN(100,100*(MIN(MAX(City_Inputs!$AJ78,Norm_Stats!$F$23),Norm_Stats!$G$23)-Norm_Stats!$F$23)/(Norm_Stats!$G$23-Norm_Stats!$F$23)))))*0.3)+IF((IF(OR(City_Inputs!$AK78="",Norm_Stats!$F$24="",Norm_Stats!$G$24="",Norm_Stats!$G$24=Norm_Stats!$F$24),"",MAX(0,MIN(100,100*(MIN(MAX(City_Inputs!$AK78,Norm_Stats!$F$24),Norm_Stats!$G$24)-Norm_Stats!$F$24)/(Norm_Stats!$G$24-Norm_Stats!$F$24)))))="",0,(IF(OR(City_Inputs!$AK78="",Norm_Stats!$F$24="",Norm_Stats!$G$24="",Norm_Stats!$G$24=Norm_Stats!$F$24),"",MAX(0,MIN(100,100*(MIN(MAX(City_Inputs!$AK78,Norm_Stats!$F$24),Norm_Stats!$G$24)-Norm_Stats!$F$24)/(Norm_Stats!$G$24-Norm_Stats!$F$24)))))*0.2))/(IF((IF(OR(City_Inputs!$AG78="",Norm_Stats!$F$22="",Norm_Stats!$G$22="",Norm_Stats!$G$22=Norm_Stats!$F$22),"",MAX(0,MIN(100,100*(MIN(MAX(City_Inputs!$AG78,Norm_Stats!$F$22),Norm_Stats!$G$22)-Norm_Stats!$F$22)/(Norm_Stats!$G$22-Norm_Stats!$F$22)))))="",0,0.5)+IF((IF(OR(City_Inputs!$AJ78="",Norm_Stats!$F$23="",Norm_Stats!$G$23="",Norm_Stats!$G$23=Norm_Stats!$F$23),"",MAX(0,MIN(100,100*(MIN(MAX(City_Inputs!$AJ78,Norm_Stats!$F$23),Norm_Stats!$G$23)-Norm_Stats!$F$23)/(Norm_Stats!$G$23-Norm_Stats!$F$23)))))="",0,0.3)+IF((IF(OR(City_Inputs!$AK78="",Norm_Stats!$F$24="",Norm_Stats!$G$24="",Norm_Stats!$G$24=Norm_Stats!$F$24),"",MAX(0,MIN(100,100*(MIN(MAX(City_Inputs!$AK78,Norm_Stats!$F$24),Norm_Stats!$G$24)-Norm_Stats!$F$24)/(Norm_Stats!$G$24-Norm_Stats!$F$24)))))="",0,0.2)))</f>
        <v/>
      </c>
      <c r="BD78" s="14">
        <f>IF((IF((IF(OR(City_Inputs!$AG78="",Norm_Stats!$F$22="",Norm_Stats!$G$22="",Norm_Stats!$G$22=Norm_Stats!$F$22),"",MAX(0,MIN(100,100*(MIN(MAX(City_Inputs!$AG78,Norm_Stats!$F$22),Norm_Stats!$G$22)-Norm_Stats!$F$22)/(Norm_Stats!$G$22-Norm_Stats!$F$22)))))="",0,0.5)+IF((IF(OR(City_Inputs!$AJ78="",Norm_Stats!$F$23="",Norm_Stats!$G$23="",Norm_Stats!$G$23=Norm_Stats!$F$23),"",MAX(0,MIN(100,100*(MIN(MAX(City_Inputs!$AJ78,Norm_Stats!$F$23),Norm_Stats!$G$23)-Norm_Stats!$F$23)/(Norm_Stats!$G$23-Norm_Stats!$F$23)))))="",0,0.3)+IF((IF(OR(City_Inputs!$AK78="",Norm_Stats!$F$24="",Norm_Stats!$G$24="",Norm_Stats!$G$24=Norm_Stats!$F$24),"",MAX(0,MIN(100,100*(MIN(MAX(City_Inputs!$AK78,Norm_Stats!$F$24),Norm_Stats!$G$24)-Norm_Stats!$F$24)/(Norm_Stats!$G$24-Norm_Stats!$F$24)))))="",0,0.2))=0,"",(IF((IF(OR(City_Inputs!$AG78="",Norm_Stats!$F$22="",Norm_Stats!$G$22="",Norm_Stats!$G$22=Norm_Stats!$F$22),"",MAX(0,MIN(100,100*(MIN(MAX(City_Inputs!$AG78,Norm_Stats!$F$22),Norm_Stats!$G$22)-Norm_Stats!$F$22)/(Norm_Stats!$G$22-Norm_Stats!$F$22)))))="",0,0.5)+IF((IF(OR(City_Inputs!$AJ78="",Norm_Stats!$F$23="",Norm_Stats!$G$23="",Norm_Stats!$G$23=Norm_Stats!$F$23),"",MAX(0,MIN(100,100*(MIN(MAX(City_Inputs!$AJ78,Norm_Stats!$F$23),Norm_Stats!$G$23)-Norm_Stats!$F$23)/(Norm_Stats!$G$23-Norm_Stats!$F$23)))))="",0,0.3)+IF((IF(OR(City_Inputs!$AK78="",Norm_Stats!$F$24="",Norm_Stats!$G$24="",Norm_Stats!$G$24=Norm_Stats!$F$24),"",MAX(0,MIN(100,100*(MIN(MAX(City_Inputs!$AK78,Norm_Stats!$F$24),Norm_Stats!$G$24)-Norm_Stats!$F$24)/(Norm_Stats!$G$24-Norm_Stats!$F$24)))))="",0,0.2)))</f>
        <v/>
      </c>
      <c r="BE78" s="11">
        <f>IF(OR(City_Inputs!$AH78="",Norm_Stats!$F$25="",Norm_Stats!$G$25="",Norm_Stats!$G$25=Norm_Stats!$F$25),"",MAX(0,MIN(100,100*(Norm_Stats!$G$25-MIN(MAX(City_Inputs!$AH78,Norm_Stats!$F$25),Norm_Stats!$G$25))/(Norm_Stats!$G$25-Norm_Stats!$F$25))))</f>
        <v/>
      </c>
      <c r="BF78" s="14">
        <f>IF(BE78="","",1)</f>
        <v/>
      </c>
      <c r="BG78" s="15">
        <f>IF((IF(AY78="",0,6)+IF(BA78="",0,5)+IF(BC78="",0,5)+IF(BE78="",0,4))=0,"",(IF(AY78="",0,AY78*6)+IF(BA78="",0,BA78*5)+IF(BC78="",0,BC78*5)+IF(BE78="",0,BE78*4))/(IF(AY78="",0,6)+IF(BA78="",0,5)+IF(BC78="",0,5)+IF(BE78="",0,4)))</f>
        <v/>
      </c>
      <c r="BH78" s="14">
        <f>IF((IF(AZ78="",0,6)+IF(BB78="",0,5)+IF(BD78="",0,5)+IF(BF78="",0,4))=0,"",(IF(AZ78="",0,AZ78*6)+IF(BB78="",0,BB78*5)+IF(BD78="",0,BD78*5)+IF(BF78="",0,BF78*4))/20)</f>
        <v/>
      </c>
      <c r="BI78" s="14">
        <f>IF(AND(R78="",AF78="",AN78="",AX78="",BH78=""),"",((R78*25)+(AF78*22)+(AN78*18)+(AX78*15)+(BH78*20))/100)</f>
        <v/>
      </c>
      <c r="BJ78" s="11">
        <f>IF(BI78="","",IF(BI78&gt;=0.75,"A",IF(BI78&gt;=0.5,"B",IF(BI78&gt;=0.35,"C","Watchlist"))))</f>
        <v/>
      </c>
      <c r="BK78" s="11">
        <f>IF(OR(BI78="",BI78&lt;0.5,R78="",R78&lt;0.35,AF78="",AF78&lt;0.35,AN78="",AN78&lt;0.35,AX78="",AX78&lt;0.35,BH78="",BH78&lt;0.35),"Watchlist","Ranked")</f>
        <v/>
      </c>
      <c r="BL78" s="15">
        <f>IF(AND(Q78="",AE78="",AM78="",AW78="",BG78=""),"",(IF(Q78="",0,Q78*25)+IF(AE78="",0,AE78*22)+IF(AM78="",0,AM78*18)+IF(AW78="",0,AW78*15)+IF(BG78="",0,BG78*20))/(IF(Q78="",0,25)+IF(AE78="",0,22)+IF(AM78="",0,18)+IF(AW78="",0,15)+IF(BG78="",0,20)))</f>
        <v/>
      </c>
      <c r="BM78" s="11">
        <f>IF(BK78="Ranked",1+COUNTIFS($BK$2:$BK$158,"Ranked",$BL$2:$BL$158,"&gt;"&amp;BL78),"")</f>
        <v/>
      </c>
      <c r="BN78" s="11">
        <f>City_Inputs!$AI78</f>
        <v/>
      </c>
    </row>
    <row r="79">
      <c r="A79" t="inlineStr">
        <is>
          <t>ar-cordoba</t>
        </is>
      </c>
      <c r="B79" t="inlineStr">
        <is>
          <t>Cordoba</t>
        </is>
      </c>
      <c r="C79" t="inlineStr">
        <is>
          <t>Argentina</t>
        </is>
      </c>
      <c r="D79" t="inlineStr">
        <is>
          <t>Latin America</t>
        </is>
      </c>
      <c r="E79" t="inlineStr">
        <is>
          <t>provisional</t>
        </is>
      </c>
      <c r="F79" t="inlineStr">
        <is>
          <t>secondary</t>
        </is>
      </c>
      <c r="G79" s="11">
        <f>IF(OR(City_Inputs!$M79="",Norm_Stats!$F$2="",Norm_Stats!$G$2="",Norm_Stats!$G$2=Norm_Stats!$F$2),"",MAX(0,MIN(100,100*(MIN(MAX(City_Inputs!$M79,Norm_Stats!$F$2),Norm_Stats!$G$2)-Norm_Stats!$F$2)/(Norm_Stats!$G$2-Norm_Stats!$F$2))))</f>
        <v/>
      </c>
      <c r="H79" s="14">
        <f>IF(G79="","",1)</f>
        <v/>
      </c>
      <c r="I79" s="11">
        <f>IF(OR(City_Inputs!$N79="",Norm_Stats!$F$3="",Norm_Stats!$G$3="",Norm_Stats!$G$3=Norm_Stats!$F$3),"",MAX(0,MIN(100,100*(Norm_Stats!$G$3-MIN(MAX(City_Inputs!$N79,Norm_Stats!$F$3),Norm_Stats!$G$3))/(Norm_Stats!$G$3-Norm_Stats!$F$3))))</f>
        <v/>
      </c>
      <c r="J79" s="14">
        <f>IF(I79="","",1)</f>
        <v/>
      </c>
      <c r="K79" s="11">
        <f>IF(OR(City_Inputs!$P79="",Norm_Stats!$F$4="",Norm_Stats!$G$4="",Norm_Stats!$G$4=Norm_Stats!$F$4),"",MAX(0,MIN(100,100*(Norm_Stats!$G$4-MIN(MAX(City_Inputs!$P79,Norm_Stats!$F$4),Norm_Stats!$G$4))/(Norm_Stats!$G$4-Norm_Stats!$F$4))))</f>
        <v/>
      </c>
      <c r="L79" s="14">
        <f>IF(K79="","",1)</f>
        <v/>
      </c>
      <c r="M79" s="11">
        <f>IF(OR(City_Inputs!$Q79="",Norm_Stats!$F$5="",Norm_Stats!$G$5="",Norm_Stats!$G$5=Norm_Stats!$F$5),"",MAX(0,MIN(100,100*(Norm_Stats!$G$5-MIN(MAX(City_Inputs!$Q79,Norm_Stats!$F$5),Norm_Stats!$G$5))/(Norm_Stats!$G$5-Norm_Stats!$F$5))))</f>
        <v/>
      </c>
      <c r="N79" s="14">
        <f>IF(M79="","",1)</f>
        <v/>
      </c>
      <c r="O79" s="11">
        <f>IF(OR(City_Inputs!$R79="",Norm_Stats!$F$6="",Norm_Stats!$G$6="",Norm_Stats!$G$6=Norm_Stats!$F$6),"",MAX(0,MIN(100,100*(Norm_Stats!$G$6-MIN(MAX(City_Inputs!$R79,Norm_Stats!$F$6),Norm_Stats!$G$6))/(Norm_Stats!$G$6-Norm_Stats!$F$6))))</f>
        <v/>
      </c>
      <c r="P79" s="14">
        <f>IF(O79="","",1)</f>
        <v/>
      </c>
      <c r="Q79" s="15">
        <f>IF((IF(G79="",0,9)+IF(I79="",0,5)+IF(K79="",0,4)+IF(M79="",0,4)+IF(O79="",0,5))=0,"",(IF(G79="",0,G79*9)+IF(I79="",0,I79*5)+IF(K79="",0,K79*4)+IF(M79="",0,M79*4)+IF(O79="",0,O79*5))/(IF(G79="",0,9)+IF(I79="",0,5)+IF(K79="",0,4)+IF(M79="",0,4)+IF(O79="",0,5)))</f>
        <v/>
      </c>
      <c r="R79" s="14">
        <f>IF((IF(H79="",0,9)+IF(J79="",0,5)+IF(L79="",0,4)+IF(N79="",0,4)+IF(P79="",0,5))=0,"",(IF(H79="",0,H79*9)+IF(J79="",0,J79*5)+IF(L79="",0,L79*4)+IF(N79="",0,N79*4)+IF(P79="",0,P79*5))/27)</f>
        <v/>
      </c>
      <c r="S79" s="11">
        <f>IF(OR(City_Inputs!$S79="",Norm_Stats!$F$7="",Norm_Stats!$G$7="",Norm_Stats!$G$7=Norm_Stats!$F$7),"",MAX(0,MIN(100,100*(Norm_Stats!$G$7-MIN(MAX(City_Inputs!$S79,Norm_Stats!$F$7),Norm_Stats!$G$7))/(Norm_Stats!$G$7-Norm_Stats!$F$7))))</f>
        <v/>
      </c>
      <c r="T79" s="14">
        <f>IF(S79="","",1)</f>
        <v/>
      </c>
      <c r="U79" s="11">
        <f>IF(OR(City_Inputs!$T79="",Norm_Stats!$F$8="",Norm_Stats!$G$8="",Norm_Stats!$G$8=Norm_Stats!$F$8),"",MAX(0,MIN(100,100*(MIN(MAX(City_Inputs!$T79,Norm_Stats!$F$8),Norm_Stats!$G$8)-Norm_Stats!$F$8)/(Norm_Stats!$G$8-Norm_Stats!$F$8))))</f>
        <v/>
      </c>
      <c r="V79" s="14">
        <f>IF(U79="","",1)</f>
        <v/>
      </c>
      <c r="W79" s="11">
        <f>IF(OR(City_Inputs!$U79="",Norm_Stats!$F$9="",Norm_Stats!$G$9="",Norm_Stats!$G$9=Norm_Stats!$F$9),"",MAX(0,MIN(100,100*(Norm_Stats!$G$9-MIN(MAX(City_Inputs!$U79,Norm_Stats!$F$9),Norm_Stats!$G$9))/(Norm_Stats!$G$9-Norm_Stats!$F$9))))</f>
        <v/>
      </c>
      <c r="X79" s="14">
        <f>IF(W79="","",1)</f>
        <v/>
      </c>
      <c r="Y79" s="11">
        <f>IF(OR(City_Inputs!$V79="",Norm_Stats!$F$10="",Norm_Stats!$G$10="",Norm_Stats!$G$10=Norm_Stats!$F$10),"",MAX(0,MIN(100,100*(MIN(MAX(City_Inputs!$V79,Norm_Stats!$F$10),Norm_Stats!$G$10)-Norm_Stats!$F$10)/(Norm_Stats!$G$10-Norm_Stats!$F$10))))</f>
        <v/>
      </c>
      <c r="Z79" s="14">
        <f>IF(Y79="","",1)</f>
        <v/>
      </c>
      <c r="AA79" s="11">
        <f>IF(OR(City_Inputs!$W79="",Norm_Stats!$F$11="",Norm_Stats!$G$11="",Norm_Stats!$G$11=Norm_Stats!$F$11),"",MAX(0,MIN(100,100*(MIN(MAX(City_Inputs!$W79,Norm_Stats!$F$11),Norm_Stats!$G$11)-Norm_Stats!$F$11)/(Norm_Stats!$G$11-Norm_Stats!$F$11))))</f>
        <v/>
      </c>
      <c r="AB79" s="14">
        <f>IF(AA79="","",1)</f>
        <v/>
      </c>
      <c r="AC79" s="11">
        <f>IF(OR(City_Inputs!$X79="",Norm_Stats!$F$12="",Norm_Stats!$G$12="",Norm_Stats!$G$12=Norm_Stats!$F$12),"",MAX(0,MIN(100,100*(MIN(MAX(City_Inputs!$X79,Norm_Stats!$F$12),Norm_Stats!$G$12)-Norm_Stats!$F$12)/(Norm_Stats!$G$12-Norm_Stats!$F$12))))</f>
        <v/>
      </c>
      <c r="AD79" s="11">
        <f>IF(AC79="","",1)</f>
        <v/>
      </c>
      <c r="AE79" s="15">
        <f>IF((IF(S79="",0,5)+IF(U79="",0,5)+IF(W79="",0,4)+IF(Y79="",0,4)+IF(AA79="",0,4)+IF(AC79="",0,5))=0,"",(IF(S79="",0,S79*5)+IF(U79="",0,U79*5)+IF(W79="",0,W79*4)+IF(Y79="",0,Y79*4)+IF(AA79="",0,AA79*4)+IF(AC79="",0,AC79*5))/(IF(S79="",0,5)+IF(U79="",0,5)+IF(W79="",0,4)+IF(Y79="",0,4)+IF(AA79="",0,4)+IF(AC79="",0,5)))</f>
        <v/>
      </c>
      <c r="AF79" s="14">
        <f>IF((IF(T79="",0,5)+IF(V79="",0,5)+IF(X79="",0,4)+IF(Z79="",0,4)+IF(AB79="",0,4)+IF(AD79="",0,5))=0,"",(IF(T79="",0,T79*5)+IF(V79="",0,V79*5)+IF(X79="",0,X79*4)+IF(Z79="",0,Z79*4)+IF(AB79="",0,AB79*4)+IF(AD79="",0,AD79*5))/27)</f>
        <v/>
      </c>
      <c r="AG79" s="11">
        <f>IF(OR(City_Inputs!$Y79="",Norm_Stats!$F$13="",Norm_Stats!$G$13="",Norm_Stats!$G$13=Norm_Stats!$F$13),"",MAX(0,MIN(100,100*(MIN(MAX(City_Inputs!$Y79,Norm_Stats!$F$13),Norm_Stats!$G$13)-Norm_Stats!$F$13)/(Norm_Stats!$G$13-Norm_Stats!$F$13))))</f>
        <v/>
      </c>
      <c r="AH79" s="14">
        <f>IF(AG79="","",1)</f>
        <v/>
      </c>
      <c r="AI79" s="11">
        <f>IF(OR(City_Inputs!$Z79="",Norm_Stats!$F$14="",Norm_Stats!$G$14="",Norm_Stats!$G$14=Norm_Stats!$F$14),"",MAX(0,MIN(100,100*(MIN(MAX(City_Inputs!$Z79,Norm_Stats!$F$14),Norm_Stats!$G$14)-Norm_Stats!$F$14)/(Norm_Stats!$G$14-Norm_Stats!$F$14))))</f>
        <v/>
      </c>
      <c r="AJ79" s="14">
        <f>IF(AI79="","",1)</f>
        <v/>
      </c>
      <c r="AK79" s="11">
        <f>IF((IF((IF(OR(City_Inputs!$AA79="",Norm_Stats!$F$15="",Norm_Stats!$G$15="",Norm_Stats!$G$15=Norm_Stats!$F$15),"",MAX(0,MIN(100,100*(MIN(MAX(City_Inputs!$AA79,Norm_Stats!$F$15),Norm_Stats!$G$15)-Norm_Stats!$F$15)/(Norm_Stats!$G$15-Norm_Stats!$F$15)))))="",0,0.7)+IF((IF(OR(City_Inputs!$AL79="",Norm_Stats!$F$16="",Norm_Stats!$G$16="",Norm_Stats!$G$16=Norm_Stats!$F$16),"",MAX(0,MIN(100,100*(Norm_Stats!$G$16-MIN(MAX(City_Inputs!$AL79,Norm_Stats!$F$16),Norm_Stats!$G$16))/(Norm_Stats!$G$16-Norm_Stats!$F$16)))))="",0,0.3))=0,"",(IF((IF(OR(City_Inputs!$AA79="",Norm_Stats!$F$15="",Norm_Stats!$G$15="",Norm_Stats!$G$15=Norm_Stats!$F$15),"",MAX(0,MIN(100,100*(MIN(MAX(City_Inputs!$AA79,Norm_Stats!$F$15),Norm_Stats!$G$15)-Norm_Stats!$F$15)/(Norm_Stats!$G$15-Norm_Stats!$F$15)))))="",0,(IF(OR(City_Inputs!$AA79="",Norm_Stats!$F$15="",Norm_Stats!$G$15="",Norm_Stats!$G$15=Norm_Stats!$F$15),"",MAX(0,MIN(100,100*(MIN(MAX(City_Inputs!$AA79,Norm_Stats!$F$15),Norm_Stats!$G$15)-Norm_Stats!$F$15)/(Norm_Stats!$G$15-Norm_Stats!$F$15)))))*0.7)+IF((IF(OR(City_Inputs!$AL79="",Norm_Stats!$F$16="",Norm_Stats!$G$16="",Norm_Stats!$G$16=Norm_Stats!$F$16),"",MAX(0,MIN(100,100*(Norm_Stats!$G$16-MIN(MAX(City_Inputs!$AL79,Norm_Stats!$F$16),Norm_Stats!$G$16))/(Norm_Stats!$G$16-Norm_Stats!$F$16)))))="",0,(IF(OR(City_Inputs!$AL79="",Norm_Stats!$F$16="",Norm_Stats!$G$16="",Norm_Stats!$G$16=Norm_Stats!$F$16),"",MAX(0,MIN(100,100*(Norm_Stats!$G$16-MIN(MAX(City_Inputs!$AL79,Norm_Stats!$F$16),Norm_Stats!$G$16))/(Norm_Stats!$G$16-Norm_Stats!$F$16)))))*0.3))/(IF((IF(OR(City_Inputs!$AA79="",Norm_Stats!$F$15="",Norm_Stats!$G$15="",Norm_Stats!$G$15=Norm_Stats!$F$15),"",MAX(0,MIN(100,100*(MIN(MAX(City_Inputs!$AA79,Norm_Stats!$F$15),Norm_Stats!$G$15)-Norm_Stats!$F$15)/(Norm_Stats!$G$15-Norm_Stats!$F$15)))))="",0,0.7)+IF((IF(OR(City_Inputs!$AL79="",Norm_Stats!$F$16="",Norm_Stats!$G$16="",Norm_Stats!$G$16=Norm_Stats!$F$16),"",MAX(0,MIN(100,100*(Norm_Stats!$G$16-MIN(MAX(City_Inputs!$AL79,Norm_Stats!$F$16),Norm_Stats!$G$16))/(Norm_Stats!$G$16-Norm_Stats!$F$16)))))="",0,0.3)))</f>
        <v/>
      </c>
      <c r="AL79" s="14">
        <f>IF((IF((IF(OR(City_Inputs!$AA79="",Norm_Stats!$F$15="",Norm_Stats!$G$15="",Norm_Stats!$G$15=Norm_Stats!$F$15),"",MAX(0,MIN(100,100*(MIN(MAX(City_Inputs!$AA79,Norm_Stats!$F$15),Norm_Stats!$G$15)-Norm_Stats!$F$15)/(Norm_Stats!$G$15-Norm_Stats!$F$15)))))="",0,0.7)+IF((IF(OR(City_Inputs!$AL79="",Norm_Stats!$F$16="",Norm_Stats!$G$16="",Norm_Stats!$G$16=Norm_Stats!$F$16),"",MAX(0,MIN(100,100*(Norm_Stats!$G$16-MIN(MAX(City_Inputs!$AL79,Norm_Stats!$F$16),Norm_Stats!$G$16))/(Norm_Stats!$G$16-Norm_Stats!$F$16)))))="",0,0.3))=0,"",(IF((IF(OR(City_Inputs!$AA79="",Norm_Stats!$F$15="",Norm_Stats!$G$15="",Norm_Stats!$G$15=Norm_Stats!$F$15),"",MAX(0,MIN(100,100*(MIN(MAX(City_Inputs!$AA79,Norm_Stats!$F$15),Norm_Stats!$G$15)-Norm_Stats!$F$15)/(Norm_Stats!$G$15-Norm_Stats!$F$15)))))="",0,0.7)+IF((IF(OR(City_Inputs!$AL79="",Norm_Stats!$F$16="",Norm_Stats!$G$16="",Norm_Stats!$G$16=Norm_Stats!$F$16),"",MAX(0,MIN(100,100*(Norm_Stats!$G$16-MIN(MAX(City_Inputs!$AL79,Norm_Stats!$F$16),Norm_Stats!$G$16))/(Norm_Stats!$G$16-Norm_Stats!$F$16)))))="",0,0.3)))</f>
        <v/>
      </c>
      <c r="AM79" s="15">
        <f>IF((IF(AG79="",0,8)+IF(AI79="",0,6)+IF(AK79="",0,4))=0,"",(IF(AG79="",0,AG79*8)+IF(AI79="",0,AI79*6)+IF(AK79="",0,AK79*4))/(IF(AG79="",0,8)+IF(AI79="",0,6)+IF(AK79="",0,4)))</f>
        <v/>
      </c>
      <c r="AN79" s="14">
        <f>IF((IF(AH79="",0,8)+IF(AJ79="",0,6)+IF(AL79="",0,4))=0,"",(IF(AH79="",0,AH79*8)+IF(AJ79="",0,AJ79*6)+IF(AL79="",0,AL79*4))/18)</f>
        <v/>
      </c>
      <c r="AO79" s="11">
        <f>IF(OR(City_Inputs!$AB79="",Norm_Stats!$F$17="",Norm_Stats!$G$17="",Norm_Stats!$G$17=Norm_Stats!$F$17),"",MAX(0,MIN(100,100*(MIN(MAX(City_Inputs!$AB79,Norm_Stats!$F$17),Norm_Stats!$G$17)-Norm_Stats!$F$17)/(Norm_Stats!$G$17-Norm_Stats!$F$17))))</f>
        <v/>
      </c>
      <c r="AP79" s="14">
        <f>IF(AO79="","",1)</f>
        <v/>
      </c>
      <c r="AQ79" s="11">
        <f>IF(OR(City_Inputs!$AC79="",Norm_Stats!$F$18="",Norm_Stats!$G$18="",Norm_Stats!$G$18=Norm_Stats!$F$18),"",MAX(0,MIN(100,100*(MIN(MAX(City_Inputs!$AC79,Norm_Stats!$F$18),Norm_Stats!$G$18)-Norm_Stats!$F$18)/(Norm_Stats!$G$18-Norm_Stats!$F$18))))</f>
        <v/>
      </c>
      <c r="AR79" s="14">
        <f>IF(AQ79="","",1)</f>
        <v/>
      </c>
      <c r="AS79" s="11">
        <f>IF(OR(City_Inputs!$AD79="",Norm_Stats!$F$19="",Norm_Stats!$G$19="",Norm_Stats!$G$19=Norm_Stats!$F$19),"",MAX(0,MIN(100,100*(MIN(MAX(City_Inputs!$AD79,Norm_Stats!$F$19),Norm_Stats!$G$19)-Norm_Stats!$F$19)/(Norm_Stats!$G$19-Norm_Stats!$F$19))))</f>
        <v/>
      </c>
      <c r="AT79" s="14">
        <f>IF(AS79="","",1)</f>
        <v/>
      </c>
      <c r="AU79" s="11">
        <f>IF(OR(City_Inputs!$BJ79="",Norm_Stats!$F$26="",Norm_Stats!$G$26="",Norm_Stats!$G$26=Norm_Stats!$F$26),"",MAX(0,MIN(100,100*(MIN(MAX(City_Inputs!$BJ79,Norm_Stats!$F$26),Norm_Stats!$G$26)-Norm_Stats!$F$26)/(Norm_Stats!$G$26-Norm_Stats!$F$26))))</f>
        <v/>
      </c>
      <c r="AV79" s="11">
        <f>IF(AU79="","",1)</f>
        <v/>
      </c>
      <c r="AW79" s="15">
        <f>IF((IF(AO79="",0,5)+IF(AQ79="",0,5)+IF(AS79="",0,5)+IF(AU79="",0,4))=0,"",(IF(AO79="",0,AO79*5)+IF(AQ79="",0,AQ79*5)+IF(AS79="",0,AS79*5)+IF(AU79="",0,AU79*4))/(IF(AO79="",0,5)+IF(AQ79="",0,5)+IF(AS79="",0,5)+IF(AU79="",0,4)))</f>
        <v/>
      </c>
      <c r="AX79" s="14">
        <f>IF((IF(AP79="",0,5)+IF(AR79="",0,5)+IF(AT79="",0,5)+IF(AV79="",0,4))=0,"",(IF(AP79="",0,AP79*5)+IF(AR79="",0,AR79*5)+IF(AT79="",0,AT79*5)+IF(AV79="",0,AV79*4))/19)</f>
        <v/>
      </c>
      <c r="AY79" s="11">
        <f>IF(OR(City_Inputs!$AE79="",Norm_Stats!$F$20="",Norm_Stats!$G$20="",Norm_Stats!$G$20=Norm_Stats!$F$20),"",MAX(0,MIN(100,100*(MIN(MAX(City_Inputs!$AE79,Norm_Stats!$F$20),Norm_Stats!$G$20)-Norm_Stats!$F$20)/(Norm_Stats!$G$20-Norm_Stats!$F$20))))</f>
        <v/>
      </c>
      <c r="AZ79" s="14">
        <f>IF(AY79="","",1)</f>
        <v/>
      </c>
      <c r="BA79" s="11">
        <f>IF(OR(City_Inputs!$AF79="",Norm_Stats!$F$21="",Norm_Stats!$G$21="",Norm_Stats!$G$21=Norm_Stats!$F$21),"",MAX(0,MIN(100,100*(MIN(MAX(City_Inputs!$AF79,Norm_Stats!$F$21),Norm_Stats!$G$21)-Norm_Stats!$F$21)/(Norm_Stats!$G$21-Norm_Stats!$F$21))))</f>
        <v/>
      </c>
      <c r="BB79" s="14">
        <f>IF(BA79="","",1)</f>
        <v/>
      </c>
      <c r="BC79" s="11">
        <f>IF((IF((IF(OR(City_Inputs!$AG79="",Norm_Stats!$F$22="",Norm_Stats!$G$22="",Norm_Stats!$G$22=Norm_Stats!$F$22),"",MAX(0,MIN(100,100*(MIN(MAX(City_Inputs!$AG79,Norm_Stats!$F$22),Norm_Stats!$G$22)-Norm_Stats!$F$22)/(Norm_Stats!$G$22-Norm_Stats!$F$22)))))="",0,0.5)+IF((IF(OR(City_Inputs!$AJ79="",Norm_Stats!$F$23="",Norm_Stats!$G$23="",Norm_Stats!$G$23=Norm_Stats!$F$23),"",MAX(0,MIN(100,100*(MIN(MAX(City_Inputs!$AJ79,Norm_Stats!$F$23),Norm_Stats!$G$23)-Norm_Stats!$F$23)/(Norm_Stats!$G$23-Norm_Stats!$F$23)))))="",0,0.3)+IF((IF(OR(City_Inputs!$AK79="",Norm_Stats!$F$24="",Norm_Stats!$G$24="",Norm_Stats!$G$24=Norm_Stats!$F$24),"",MAX(0,MIN(100,100*(MIN(MAX(City_Inputs!$AK79,Norm_Stats!$F$24),Norm_Stats!$G$24)-Norm_Stats!$F$24)/(Norm_Stats!$G$24-Norm_Stats!$F$24)))))="",0,0.2))=0,"",(IF((IF(OR(City_Inputs!$AG79="",Norm_Stats!$F$22="",Norm_Stats!$G$22="",Norm_Stats!$G$22=Norm_Stats!$F$22),"",MAX(0,MIN(100,100*(MIN(MAX(City_Inputs!$AG79,Norm_Stats!$F$22),Norm_Stats!$G$22)-Norm_Stats!$F$22)/(Norm_Stats!$G$22-Norm_Stats!$F$22)))))="",0,(IF(OR(City_Inputs!$AG79="",Norm_Stats!$F$22="",Norm_Stats!$G$22="",Norm_Stats!$G$22=Norm_Stats!$F$22),"",MAX(0,MIN(100,100*(MIN(MAX(City_Inputs!$AG79,Norm_Stats!$F$22),Norm_Stats!$G$22)-Norm_Stats!$F$22)/(Norm_Stats!$G$22-Norm_Stats!$F$22)))))*0.5)+IF((IF(OR(City_Inputs!$AJ79="",Norm_Stats!$F$23="",Norm_Stats!$G$23="",Norm_Stats!$G$23=Norm_Stats!$F$23),"",MAX(0,MIN(100,100*(MIN(MAX(City_Inputs!$AJ79,Norm_Stats!$F$23),Norm_Stats!$G$23)-Norm_Stats!$F$23)/(Norm_Stats!$G$23-Norm_Stats!$F$23)))))="",0,(IF(OR(City_Inputs!$AJ79="",Norm_Stats!$F$23="",Norm_Stats!$G$23="",Norm_Stats!$G$23=Norm_Stats!$F$23),"",MAX(0,MIN(100,100*(MIN(MAX(City_Inputs!$AJ79,Norm_Stats!$F$23),Norm_Stats!$G$23)-Norm_Stats!$F$23)/(Norm_Stats!$G$23-Norm_Stats!$F$23)))))*0.3)+IF((IF(OR(City_Inputs!$AK79="",Norm_Stats!$F$24="",Norm_Stats!$G$24="",Norm_Stats!$G$24=Norm_Stats!$F$24),"",MAX(0,MIN(100,100*(MIN(MAX(City_Inputs!$AK79,Norm_Stats!$F$24),Norm_Stats!$G$24)-Norm_Stats!$F$24)/(Norm_Stats!$G$24-Norm_Stats!$F$24)))))="",0,(IF(OR(City_Inputs!$AK79="",Norm_Stats!$F$24="",Norm_Stats!$G$24="",Norm_Stats!$G$24=Norm_Stats!$F$24),"",MAX(0,MIN(100,100*(MIN(MAX(City_Inputs!$AK79,Norm_Stats!$F$24),Norm_Stats!$G$24)-Norm_Stats!$F$24)/(Norm_Stats!$G$24-Norm_Stats!$F$24)))))*0.2))/(IF((IF(OR(City_Inputs!$AG79="",Norm_Stats!$F$22="",Norm_Stats!$G$22="",Norm_Stats!$G$22=Norm_Stats!$F$22),"",MAX(0,MIN(100,100*(MIN(MAX(City_Inputs!$AG79,Norm_Stats!$F$22),Norm_Stats!$G$22)-Norm_Stats!$F$22)/(Norm_Stats!$G$22-Norm_Stats!$F$22)))))="",0,0.5)+IF((IF(OR(City_Inputs!$AJ79="",Norm_Stats!$F$23="",Norm_Stats!$G$23="",Norm_Stats!$G$23=Norm_Stats!$F$23),"",MAX(0,MIN(100,100*(MIN(MAX(City_Inputs!$AJ79,Norm_Stats!$F$23),Norm_Stats!$G$23)-Norm_Stats!$F$23)/(Norm_Stats!$G$23-Norm_Stats!$F$23)))))="",0,0.3)+IF((IF(OR(City_Inputs!$AK79="",Norm_Stats!$F$24="",Norm_Stats!$G$24="",Norm_Stats!$G$24=Norm_Stats!$F$24),"",MAX(0,MIN(100,100*(MIN(MAX(City_Inputs!$AK79,Norm_Stats!$F$24),Norm_Stats!$G$24)-Norm_Stats!$F$24)/(Norm_Stats!$G$24-Norm_Stats!$F$24)))))="",0,0.2)))</f>
        <v/>
      </c>
      <c r="BD79" s="14">
        <f>IF((IF((IF(OR(City_Inputs!$AG79="",Norm_Stats!$F$22="",Norm_Stats!$G$22="",Norm_Stats!$G$22=Norm_Stats!$F$22),"",MAX(0,MIN(100,100*(MIN(MAX(City_Inputs!$AG79,Norm_Stats!$F$22),Norm_Stats!$G$22)-Norm_Stats!$F$22)/(Norm_Stats!$G$22-Norm_Stats!$F$22)))))="",0,0.5)+IF((IF(OR(City_Inputs!$AJ79="",Norm_Stats!$F$23="",Norm_Stats!$G$23="",Norm_Stats!$G$23=Norm_Stats!$F$23),"",MAX(0,MIN(100,100*(MIN(MAX(City_Inputs!$AJ79,Norm_Stats!$F$23),Norm_Stats!$G$23)-Norm_Stats!$F$23)/(Norm_Stats!$G$23-Norm_Stats!$F$23)))))="",0,0.3)+IF((IF(OR(City_Inputs!$AK79="",Norm_Stats!$F$24="",Norm_Stats!$G$24="",Norm_Stats!$G$24=Norm_Stats!$F$24),"",MAX(0,MIN(100,100*(MIN(MAX(City_Inputs!$AK79,Norm_Stats!$F$24),Norm_Stats!$G$24)-Norm_Stats!$F$24)/(Norm_Stats!$G$24-Norm_Stats!$F$24)))))="",0,0.2))=0,"",(IF((IF(OR(City_Inputs!$AG79="",Norm_Stats!$F$22="",Norm_Stats!$G$22="",Norm_Stats!$G$22=Norm_Stats!$F$22),"",MAX(0,MIN(100,100*(MIN(MAX(City_Inputs!$AG79,Norm_Stats!$F$22),Norm_Stats!$G$22)-Norm_Stats!$F$22)/(Norm_Stats!$G$22-Norm_Stats!$F$22)))))="",0,0.5)+IF((IF(OR(City_Inputs!$AJ79="",Norm_Stats!$F$23="",Norm_Stats!$G$23="",Norm_Stats!$G$23=Norm_Stats!$F$23),"",MAX(0,MIN(100,100*(MIN(MAX(City_Inputs!$AJ79,Norm_Stats!$F$23),Norm_Stats!$G$23)-Norm_Stats!$F$23)/(Norm_Stats!$G$23-Norm_Stats!$F$23)))))="",0,0.3)+IF((IF(OR(City_Inputs!$AK79="",Norm_Stats!$F$24="",Norm_Stats!$G$24="",Norm_Stats!$G$24=Norm_Stats!$F$24),"",MAX(0,MIN(100,100*(MIN(MAX(City_Inputs!$AK79,Norm_Stats!$F$24),Norm_Stats!$G$24)-Norm_Stats!$F$24)/(Norm_Stats!$G$24-Norm_Stats!$F$24)))))="",0,0.2)))</f>
        <v/>
      </c>
      <c r="BE79" s="11">
        <f>IF(OR(City_Inputs!$AH79="",Norm_Stats!$F$25="",Norm_Stats!$G$25="",Norm_Stats!$G$25=Norm_Stats!$F$25),"",MAX(0,MIN(100,100*(Norm_Stats!$G$25-MIN(MAX(City_Inputs!$AH79,Norm_Stats!$F$25),Norm_Stats!$G$25))/(Norm_Stats!$G$25-Norm_Stats!$F$25))))</f>
        <v/>
      </c>
      <c r="BF79" s="14">
        <f>IF(BE79="","",1)</f>
        <v/>
      </c>
      <c r="BG79" s="15">
        <f>IF((IF(AY79="",0,6)+IF(BA79="",0,5)+IF(BC79="",0,5)+IF(BE79="",0,4))=0,"",(IF(AY79="",0,AY79*6)+IF(BA79="",0,BA79*5)+IF(BC79="",0,BC79*5)+IF(BE79="",0,BE79*4))/(IF(AY79="",0,6)+IF(BA79="",0,5)+IF(BC79="",0,5)+IF(BE79="",0,4)))</f>
        <v/>
      </c>
      <c r="BH79" s="14">
        <f>IF((IF(AZ79="",0,6)+IF(BB79="",0,5)+IF(BD79="",0,5)+IF(BF79="",0,4))=0,"",(IF(AZ79="",0,AZ79*6)+IF(BB79="",0,BB79*5)+IF(BD79="",0,BD79*5)+IF(BF79="",0,BF79*4))/20)</f>
        <v/>
      </c>
      <c r="BI79" s="14">
        <f>IF(AND(R79="",AF79="",AN79="",AX79="",BH79=""),"",((R79*25)+(AF79*22)+(AN79*18)+(AX79*15)+(BH79*20))/100)</f>
        <v/>
      </c>
      <c r="BJ79" s="11">
        <f>IF(BI79="","",IF(BI79&gt;=0.75,"A",IF(BI79&gt;=0.5,"B",IF(BI79&gt;=0.35,"C","Watchlist"))))</f>
        <v/>
      </c>
      <c r="BK79" s="11">
        <f>IF(OR(BI79="",BI79&lt;0.5,R79="",R79&lt;0.35,AF79="",AF79&lt;0.35,AN79="",AN79&lt;0.35,AX79="",AX79&lt;0.35,BH79="",BH79&lt;0.35),"Watchlist","Ranked")</f>
        <v/>
      </c>
      <c r="BL79" s="15">
        <f>IF(AND(Q79="",AE79="",AM79="",AW79="",BG79=""),"",(IF(Q79="",0,Q79*25)+IF(AE79="",0,AE79*22)+IF(AM79="",0,AM79*18)+IF(AW79="",0,AW79*15)+IF(BG79="",0,BG79*20))/(IF(Q79="",0,25)+IF(AE79="",0,22)+IF(AM79="",0,18)+IF(AW79="",0,15)+IF(BG79="",0,20)))</f>
        <v/>
      </c>
      <c r="BM79" s="11">
        <f>IF(BK79="Ranked",1+COUNTIFS($BK$2:$BK$158,"Ranked",$BL$2:$BL$158,"&gt;"&amp;BL79),"")</f>
        <v/>
      </c>
      <c r="BN79" s="11">
        <f>City_Inputs!$AI79</f>
        <v/>
      </c>
    </row>
    <row r="80">
      <c r="A80" t="inlineStr">
        <is>
          <t>cl-valparaiso</t>
        </is>
      </c>
      <c r="B80" t="inlineStr">
        <is>
          <t>Valparaiso</t>
        </is>
      </c>
      <c r="C80" t="inlineStr">
        <is>
          <t>Chile</t>
        </is>
      </c>
      <c r="D80" t="inlineStr">
        <is>
          <t>Latin America</t>
        </is>
      </c>
      <c r="E80" t="inlineStr">
        <is>
          <t>provisional</t>
        </is>
      </c>
      <c r="F80" t="inlineStr">
        <is>
          <t>secondary</t>
        </is>
      </c>
      <c r="G80" s="11">
        <f>IF(OR(City_Inputs!$M80="",Norm_Stats!$F$2="",Norm_Stats!$G$2="",Norm_Stats!$G$2=Norm_Stats!$F$2),"",MAX(0,MIN(100,100*(MIN(MAX(City_Inputs!$M80,Norm_Stats!$F$2),Norm_Stats!$G$2)-Norm_Stats!$F$2)/(Norm_Stats!$G$2-Norm_Stats!$F$2))))</f>
        <v/>
      </c>
      <c r="H80" s="14">
        <f>IF(G80="","",1)</f>
        <v/>
      </c>
      <c r="I80" s="11">
        <f>IF(OR(City_Inputs!$N80="",Norm_Stats!$F$3="",Norm_Stats!$G$3="",Norm_Stats!$G$3=Norm_Stats!$F$3),"",MAX(0,MIN(100,100*(Norm_Stats!$G$3-MIN(MAX(City_Inputs!$N80,Norm_Stats!$F$3),Norm_Stats!$G$3))/(Norm_Stats!$G$3-Norm_Stats!$F$3))))</f>
        <v/>
      </c>
      <c r="J80" s="14">
        <f>IF(I80="","",1)</f>
        <v/>
      </c>
      <c r="K80" s="11">
        <f>IF(OR(City_Inputs!$P80="",Norm_Stats!$F$4="",Norm_Stats!$G$4="",Norm_Stats!$G$4=Norm_Stats!$F$4),"",MAX(0,MIN(100,100*(Norm_Stats!$G$4-MIN(MAX(City_Inputs!$P80,Norm_Stats!$F$4),Norm_Stats!$G$4))/(Norm_Stats!$G$4-Norm_Stats!$F$4))))</f>
        <v/>
      </c>
      <c r="L80" s="14">
        <f>IF(K80="","",1)</f>
        <v/>
      </c>
      <c r="M80" s="11">
        <f>IF(OR(City_Inputs!$Q80="",Norm_Stats!$F$5="",Norm_Stats!$G$5="",Norm_Stats!$G$5=Norm_Stats!$F$5),"",MAX(0,MIN(100,100*(Norm_Stats!$G$5-MIN(MAX(City_Inputs!$Q80,Norm_Stats!$F$5),Norm_Stats!$G$5))/(Norm_Stats!$G$5-Norm_Stats!$F$5))))</f>
        <v/>
      </c>
      <c r="N80" s="14">
        <f>IF(M80="","",1)</f>
        <v/>
      </c>
      <c r="O80" s="11">
        <f>IF(OR(City_Inputs!$R80="",Norm_Stats!$F$6="",Norm_Stats!$G$6="",Norm_Stats!$G$6=Norm_Stats!$F$6),"",MAX(0,MIN(100,100*(Norm_Stats!$G$6-MIN(MAX(City_Inputs!$R80,Norm_Stats!$F$6),Norm_Stats!$G$6))/(Norm_Stats!$G$6-Norm_Stats!$F$6))))</f>
        <v/>
      </c>
      <c r="P80" s="14">
        <f>IF(O80="","",1)</f>
        <v/>
      </c>
      <c r="Q80" s="15">
        <f>IF((IF(G80="",0,9)+IF(I80="",0,5)+IF(K80="",0,4)+IF(M80="",0,4)+IF(O80="",0,5))=0,"",(IF(G80="",0,G80*9)+IF(I80="",0,I80*5)+IF(K80="",0,K80*4)+IF(M80="",0,M80*4)+IF(O80="",0,O80*5))/(IF(G80="",0,9)+IF(I80="",0,5)+IF(K80="",0,4)+IF(M80="",0,4)+IF(O80="",0,5)))</f>
        <v/>
      </c>
      <c r="R80" s="14">
        <f>IF((IF(H80="",0,9)+IF(J80="",0,5)+IF(L80="",0,4)+IF(N80="",0,4)+IF(P80="",0,5))=0,"",(IF(H80="",0,H80*9)+IF(J80="",0,J80*5)+IF(L80="",0,L80*4)+IF(N80="",0,N80*4)+IF(P80="",0,P80*5))/27)</f>
        <v/>
      </c>
      <c r="S80" s="11">
        <f>IF(OR(City_Inputs!$S80="",Norm_Stats!$F$7="",Norm_Stats!$G$7="",Norm_Stats!$G$7=Norm_Stats!$F$7),"",MAX(0,MIN(100,100*(Norm_Stats!$G$7-MIN(MAX(City_Inputs!$S80,Norm_Stats!$F$7),Norm_Stats!$G$7))/(Norm_Stats!$G$7-Norm_Stats!$F$7))))</f>
        <v/>
      </c>
      <c r="T80" s="14">
        <f>IF(S80="","",1)</f>
        <v/>
      </c>
      <c r="U80" s="11">
        <f>IF(OR(City_Inputs!$T80="",Norm_Stats!$F$8="",Norm_Stats!$G$8="",Norm_Stats!$G$8=Norm_Stats!$F$8),"",MAX(0,MIN(100,100*(MIN(MAX(City_Inputs!$T80,Norm_Stats!$F$8),Norm_Stats!$G$8)-Norm_Stats!$F$8)/(Norm_Stats!$G$8-Norm_Stats!$F$8))))</f>
        <v/>
      </c>
      <c r="V80" s="14">
        <f>IF(U80="","",1)</f>
        <v/>
      </c>
      <c r="W80" s="11">
        <f>IF(OR(City_Inputs!$U80="",Norm_Stats!$F$9="",Norm_Stats!$G$9="",Norm_Stats!$G$9=Norm_Stats!$F$9),"",MAX(0,MIN(100,100*(Norm_Stats!$G$9-MIN(MAX(City_Inputs!$U80,Norm_Stats!$F$9),Norm_Stats!$G$9))/(Norm_Stats!$G$9-Norm_Stats!$F$9))))</f>
        <v/>
      </c>
      <c r="X80" s="14">
        <f>IF(W80="","",1)</f>
        <v/>
      </c>
      <c r="Y80" s="11">
        <f>IF(OR(City_Inputs!$V80="",Norm_Stats!$F$10="",Norm_Stats!$G$10="",Norm_Stats!$G$10=Norm_Stats!$F$10),"",MAX(0,MIN(100,100*(MIN(MAX(City_Inputs!$V80,Norm_Stats!$F$10),Norm_Stats!$G$10)-Norm_Stats!$F$10)/(Norm_Stats!$G$10-Norm_Stats!$F$10))))</f>
        <v/>
      </c>
      <c r="Z80" s="14">
        <f>IF(Y80="","",1)</f>
        <v/>
      </c>
      <c r="AA80" s="11">
        <f>IF(OR(City_Inputs!$W80="",Norm_Stats!$F$11="",Norm_Stats!$G$11="",Norm_Stats!$G$11=Norm_Stats!$F$11),"",MAX(0,MIN(100,100*(MIN(MAX(City_Inputs!$W80,Norm_Stats!$F$11),Norm_Stats!$G$11)-Norm_Stats!$F$11)/(Norm_Stats!$G$11-Norm_Stats!$F$11))))</f>
        <v/>
      </c>
      <c r="AB80" s="14">
        <f>IF(AA80="","",1)</f>
        <v/>
      </c>
      <c r="AC80" s="11">
        <f>IF(OR(City_Inputs!$X80="",Norm_Stats!$F$12="",Norm_Stats!$G$12="",Norm_Stats!$G$12=Norm_Stats!$F$12),"",MAX(0,MIN(100,100*(MIN(MAX(City_Inputs!$X80,Norm_Stats!$F$12),Norm_Stats!$G$12)-Norm_Stats!$F$12)/(Norm_Stats!$G$12-Norm_Stats!$F$12))))</f>
        <v/>
      </c>
      <c r="AD80" s="11">
        <f>IF(AC80="","",1)</f>
        <v/>
      </c>
      <c r="AE80" s="15">
        <f>IF((IF(S80="",0,5)+IF(U80="",0,5)+IF(W80="",0,4)+IF(Y80="",0,4)+IF(AA80="",0,4)+IF(AC80="",0,5))=0,"",(IF(S80="",0,S80*5)+IF(U80="",0,U80*5)+IF(W80="",0,W80*4)+IF(Y80="",0,Y80*4)+IF(AA80="",0,AA80*4)+IF(AC80="",0,AC80*5))/(IF(S80="",0,5)+IF(U80="",0,5)+IF(W80="",0,4)+IF(Y80="",0,4)+IF(AA80="",0,4)+IF(AC80="",0,5)))</f>
        <v/>
      </c>
      <c r="AF80" s="14">
        <f>IF((IF(T80="",0,5)+IF(V80="",0,5)+IF(X80="",0,4)+IF(Z80="",0,4)+IF(AB80="",0,4)+IF(AD80="",0,5))=0,"",(IF(T80="",0,T80*5)+IF(V80="",0,V80*5)+IF(X80="",0,X80*4)+IF(Z80="",0,Z80*4)+IF(AB80="",0,AB80*4)+IF(AD80="",0,AD80*5))/27)</f>
        <v/>
      </c>
      <c r="AG80" s="11">
        <f>IF(OR(City_Inputs!$Y80="",Norm_Stats!$F$13="",Norm_Stats!$G$13="",Norm_Stats!$G$13=Norm_Stats!$F$13),"",MAX(0,MIN(100,100*(MIN(MAX(City_Inputs!$Y80,Norm_Stats!$F$13),Norm_Stats!$G$13)-Norm_Stats!$F$13)/(Norm_Stats!$G$13-Norm_Stats!$F$13))))</f>
        <v/>
      </c>
      <c r="AH80" s="14">
        <f>IF(AG80="","",1)</f>
        <v/>
      </c>
      <c r="AI80" s="11">
        <f>IF(OR(City_Inputs!$Z80="",Norm_Stats!$F$14="",Norm_Stats!$G$14="",Norm_Stats!$G$14=Norm_Stats!$F$14),"",MAX(0,MIN(100,100*(MIN(MAX(City_Inputs!$Z80,Norm_Stats!$F$14),Norm_Stats!$G$14)-Norm_Stats!$F$14)/(Norm_Stats!$G$14-Norm_Stats!$F$14))))</f>
        <v/>
      </c>
      <c r="AJ80" s="14">
        <f>IF(AI80="","",1)</f>
        <v/>
      </c>
      <c r="AK80" s="11">
        <f>IF((IF((IF(OR(City_Inputs!$AA80="",Norm_Stats!$F$15="",Norm_Stats!$G$15="",Norm_Stats!$G$15=Norm_Stats!$F$15),"",MAX(0,MIN(100,100*(MIN(MAX(City_Inputs!$AA80,Norm_Stats!$F$15),Norm_Stats!$G$15)-Norm_Stats!$F$15)/(Norm_Stats!$G$15-Norm_Stats!$F$15)))))="",0,0.7)+IF((IF(OR(City_Inputs!$AL80="",Norm_Stats!$F$16="",Norm_Stats!$G$16="",Norm_Stats!$G$16=Norm_Stats!$F$16),"",MAX(0,MIN(100,100*(Norm_Stats!$G$16-MIN(MAX(City_Inputs!$AL80,Norm_Stats!$F$16),Norm_Stats!$G$16))/(Norm_Stats!$G$16-Norm_Stats!$F$16)))))="",0,0.3))=0,"",(IF((IF(OR(City_Inputs!$AA80="",Norm_Stats!$F$15="",Norm_Stats!$G$15="",Norm_Stats!$G$15=Norm_Stats!$F$15),"",MAX(0,MIN(100,100*(MIN(MAX(City_Inputs!$AA80,Norm_Stats!$F$15),Norm_Stats!$G$15)-Norm_Stats!$F$15)/(Norm_Stats!$G$15-Norm_Stats!$F$15)))))="",0,(IF(OR(City_Inputs!$AA80="",Norm_Stats!$F$15="",Norm_Stats!$G$15="",Norm_Stats!$G$15=Norm_Stats!$F$15),"",MAX(0,MIN(100,100*(MIN(MAX(City_Inputs!$AA80,Norm_Stats!$F$15),Norm_Stats!$G$15)-Norm_Stats!$F$15)/(Norm_Stats!$G$15-Norm_Stats!$F$15)))))*0.7)+IF((IF(OR(City_Inputs!$AL80="",Norm_Stats!$F$16="",Norm_Stats!$G$16="",Norm_Stats!$G$16=Norm_Stats!$F$16),"",MAX(0,MIN(100,100*(Norm_Stats!$G$16-MIN(MAX(City_Inputs!$AL80,Norm_Stats!$F$16),Norm_Stats!$G$16))/(Norm_Stats!$G$16-Norm_Stats!$F$16)))))="",0,(IF(OR(City_Inputs!$AL80="",Norm_Stats!$F$16="",Norm_Stats!$G$16="",Norm_Stats!$G$16=Norm_Stats!$F$16),"",MAX(0,MIN(100,100*(Norm_Stats!$G$16-MIN(MAX(City_Inputs!$AL80,Norm_Stats!$F$16),Norm_Stats!$G$16))/(Norm_Stats!$G$16-Norm_Stats!$F$16)))))*0.3))/(IF((IF(OR(City_Inputs!$AA80="",Norm_Stats!$F$15="",Norm_Stats!$G$15="",Norm_Stats!$G$15=Norm_Stats!$F$15),"",MAX(0,MIN(100,100*(MIN(MAX(City_Inputs!$AA80,Norm_Stats!$F$15),Norm_Stats!$G$15)-Norm_Stats!$F$15)/(Norm_Stats!$G$15-Norm_Stats!$F$15)))))="",0,0.7)+IF((IF(OR(City_Inputs!$AL80="",Norm_Stats!$F$16="",Norm_Stats!$G$16="",Norm_Stats!$G$16=Norm_Stats!$F$16),"",MAX(0,MIN(100,100*(Norm_Stats!$G$16-MIN(MAX(City_Inputs!$AL80,Norm_Stats!$F$16),Norm_Stats!$G$16))/(Norm_Stats!$G$16-Norm_Stats!$F$16)))))="",0,0.3)))</f>
        <v/>
      </c>
      <c r="AL80" s="14">
        <f>IF((IF((IF(OR(City_Inputs!$AA80="",Norm_Stats!$F$15="",Norm_Stats!$G$15="",Norm_Stats!$G$15=Norm_Stats!$F$15),"",MAX(0,MIN(100,100*(MIN(MAX(City_Inputs!$AA80,Norm_Stats!$F$15),Norm_Stats!$G$15)-Norm_Stats!$F$15)/(Norm_Stats!$G$15-Norm_Stats!$F$15)))))="",0,0.7)+IF((IF(OR(City_Inputs!$AL80="",Norm_Stats!$F$16="",Norm_Stats!$G$16="",Norm_Stats!$G$16=Norm_Stats!$F$16),"",MAX(0,MIN(100,100*(Norm_Stats!$G$16-MIN(MAX(City_Inputs!$AL80,Norm_Stats!$F$16),Norm_Stats!$G$16))/(Norm_Stats!$G$16-Norm_Stats!$F$16)))))="",0,0.3))=0,"",(IF((IF(OR(City_Inputs!$AA80="",Norm_Stats!$F$15="",Norm_Stats!$G$15="",Norm_Stats!$G$15=Norm_Stats!$F$15),"",MAX(0,MIN(100,100*(MIN(MAX(City_Inputs!$AA80,Norm_Stats!$F$15),Norm_Stats!$G$15)-Norm_Stats!$F$15)/(Norm_Stats!$G$15-Norm_Stats!$F$15)))))="",0,0.7)+IF((IF(OR(City_Inputs!$AL80="",Norm_Stats!$F$16="",Norm_Stats!$G$16="",Norm_Stats!$G$16=Norm_Stats!$F$16),"",MAX(0,MIN(100,100*(Norm_Stats!$G$16-MIN(MAX(City_Inputs!$AL80,Norm_Stats!$F$16),Norm_Stats!$G$16))/(Norm_Stats!$G$16-Norm_Stats!$F$16)))))="",0,0.3)))</f>
        <v/>
      </c>
      <c r="AM80" s="15">
        <f>IF((IF(AG80="",0,8)+IF(AI80="",0,6)+IF(AK80="",0,4))=0,"",(IF(AG80="",0,AG80*8)+IF(AI80="",0,AI80*6)+IF(AK80="",0,AK80*4))/(IF(AG80="",0,8)+IF(AI80="",0,6)+IF(AK80="",0,4)))</f>
        <v/>
      </c>
      <c r="AN80" s="14">
        <f>IF((IF(AH80="",0,8)+IF(AJ80="",0,6)+IF(AL80="",0,4))=0,"",(IF(AH80="",0,AH80*8)+IF(AJ80="",0,AJ80*6)+IF(AL80="",0,AL80*4))/18)</f>
        <v/>
      </c>
      <c r="AO80" s="11">
        <f>IF(OR(City_Inputs!$AB80="",Norm_Stats!$F$17="",Norm_Stats!$G$17="",Norm_Stats!$G$17=Norm_Stats!$F$17),"",MAX(0,MIN(100,100*(MIN(MAX(City_Inputs!$AB80,Norm_Stats!$F$17),Norm_Stats!$G$17)-Norm_Stats!$F$17)/(Norm_Stats!$G$17-Norm_Stats!$F$17))))</f>
        <v/>
      </c>
      <c r="AP80" s="14">
        <f>IF(AO80="","",1)</f>
        <v/>
      </c>
      <c r="AQ80" s="11">
        <f>IF(OR(City_Inputs!$AC80="",Norm_Stats!$F$18="",Norm_Stats!$G$18="",Norm_Stats!$G$18=Norm_Stats!$F$18),"",MAX(0,MIN(100,100*(MIN(MAX(City_Inputs!$AC80,Norm_Stats!$F$18),Norm_Stats!$G$18)-Norm_Stats!$F$18)/(Norm_Stats!$G$18-Norm_Stats!$F$18))))</f>
        <v/>
      </c>
      <c r="AR80" s="14">
        <f>IF(AQ80="","",1)</f>
        <v/>
      </c>
      <c r="AS80" s="11">
        <f>IF(OR(City_Inputs!$AD80="",Norm_Stats!$F$19="",Norm_Stats!$G$19="",Norm_Stats!$G$19=Norm_Stats!$F$19),"",MAX(0,MIN(100,100*(MIN(MAX(City_Inputs!$AD80,Norm_Stats!$F$19),Norm_Stats!$G$19)-Norm_Stats!$F$19)/(Norm_Stats!$G$19-Norm_Stats!$F$19))))</f>
        <v/>
      </c>
      <c r="AT80" s="14">
        <f>IF(AS80="","",1)</f>
        <v/>
      </c>
      <c r="AU80" s="11">
        <f>IF(OR(City_Inputs!$BJ80="",Norm_Stats!$F$26="",Norm_Stats!$G$26="",Norm_Stats!$G$26=Norm_Stats!$F$26),"",MAX(0,MIN(100,100*(MIN(MAX(City_Inputs!$BJ80,Norm_Stats!$F$26),Norm_Stats!$G$26)-Norm_Stats!$F$26)/(Norm_Stats!$G$26-Norm_Stats!$F$26))))</f>
        <v/>
      </c>
      <c r="AV80" s="11">
        <f>IF(AU80="","",1)</f>
        <v/>
      </c>
      <c r="AW80" s="15">
        <f>IF((IF(AO80="",0,5)+IF(AQ80="",0,5)+IF(AS80="",0,5)+IF(AU80="",0,4))=0,"",(IF(AO80="",0,AO80*5)+IF(AQ80="",0,AQ80*5)+IF(AS80="",0,AS80*5)+IF(AU80="",0,AU80*4))/(IF(AO80="",0,5)+IF(AQ80="",0,5)+IF(AS80="",0,5)+IF(AU80="",0,4)))</f>
        <v/>
      </c>
      <c r="AX80" s="14">
        <f>IF((IF(AP80="",0,5)+IF(AR80="",0,5)+IF(AT80="",0,5)+IF(AV80="",0,4))=0,"",(IF(AP80="",0,AP80*5)+IF(AR80="",0,AR80*5)+IF(AT80="",0,AT80*5)+IF(AV80="",0,AV80*4))/19)</f>
        <v/>
      </c>
      <c r="AY80" s="11">
        <f>IF(OR(City_Inputs!$AE80="",Norm_Stats!$F$20="",Norm_Stats!$G$20="",Norm_Stats!$G$20=Norm_Stats!$F$20),"",MAX(0,MIN(100,100*(MIN(MAX(City_Inputs!$AE80,Norm_Stats!$F$20),Norm_Stats!$G$20)-Norm_Stats!$F$20)/(Norm_Stats!$G$20-Norm_Stats!$F$20))))</f>
        <v/>
      </c>
      <c r="AZ80" s="14">
        <f>IF(AY80="","",1)</f>
        <v/>
      </c>
      <c r="BA80" s="11">
        <f>IF(OR(City_Inputs!$AF80="",Norm_Stats!$F$21="",Norm_Stats!$G$21="",Norm_Stats!$G$21=Norm_Stats!$F$21),"",MAX(0,MIN(100,100*(MIN(MAX(City_Inputs!$AF80,Norm_Stats!$F$21),Norm_Stats!$G$21)-Norm_Stats!$F$21)/(Norm_Stats!$G$21-Norm_Stats!$F$21))))</f>
        <v/>
      </c>
      <c r="BB80" s="14">
        <f>IF(BA80="","",1)</f>
        <v/>
      </c>
      <c r="BC80" s="11">
        <f>IF((IF((IF(OR(City_Inputs!$AG80="",Norm_Stats!$F$22="",Norm_Stats!$G$22="",Norm_Stats!$G$22=Norm_Stats!$F$22),"",MAX(0,MIN(100,100*(MIN(MAX(City_Inputs!$AG80,Norm_Stats!$F$22),Norm_Stats!$G$22)-Norm_Stats!$F$22)/(Norm_Stats!$G$22-Norm_Stats!$F$22)))))="",0,0.5)+IF((IF(OR(City_Inputs!$AJ80="",Norm_Stats!$F$23="",Norm_Stats!$G$23="",Norm_Stats!$G$23=Norm_Stats!$F$23),"",MAX(0,MIN(100,100*(MIN(MAX(City_Inputs!$AJ80,Norm_Stats!$F$23),Norm_Stats!$G$23)-Norm_Stats!$F$23)/(Norm_Stats!$G$23-Norm_Stats!$F$23)))))="",0,0.3)+IF((IF(OR(City_Inputs!$AK80="",Norm_Stats!$F$24="",Norm_Stats!$G$24="",Norm_Stats!$G$24=Norm_Stats!$F$24),"",MAX(0,MIN(100,100*(MIN(MAX(City_Inputs!$AK80,Norm_Stats!$F$24),Norm_Stats!$G$24)-Norm_Stats!$F$24)/(Norm_Stats!$G$24-Norm_Stats!$F$24)))))="",0,0.2))=0,"",(IF((IF(OR(City_Inputs!$AG80="",Norm_Stats!$F$22="",Norm_Stats!$G$22="",Norm_Stats!$G$22=Norm_Stats!$F$22),"",MAX(0,MIN(100,100*(MIN(MAX(City_Inputs!$AG80,Norm_Stats!$F$22),Norm_Stats!$G$22)-Norm_Stats!$F$22)/(Norm_Stats!$G$22-Norm_Stats!$F$22)))))="",0,(IF(OR(City_Inputs!$AG80="",Norm_Stats!$F$22="",Norm_Stats!$G$22="",Norm_Stats!$G$22=Norm_Stats!$F$22),"",MAX(0,MIN(100,100*(MIN(MAX(City_Inputs!$AG80,Norm_Stats!$F$22),Norm_Stats!$G$22)-Norm_Stats!$F$22)/(Norm_Stats!$G$22-Norm_Stats!$F$22)))))*0.5)+IF((IF(OR(City_Inputs!$AJ80="",Norm_Stats!$F$23="",Norm_Stats!$G$23="",Norm_Stats!$G$23=Norm_Stats!$F$23),"",MAX(0,MIN(100,100*(MIN(MAX(City_Inputs!$AJ80,Norm_Stats!$F$23),Norm_Stats!$G$23)-Norm_Stats!$F$23)/(Norm_Stats!$G$23-Norm_Stats!$F$23)))))="",0,(IF(OR(City_Inputs!$AJ80="",Norm_Stats!$F$23="",Norm_Stats!$G$23="",Norm_Stats!$G$23=Norm_Stats!$F$23),"",MAX(0,MIN(100,100*(MIN(MAX(City_Inputs!$AJ80,Norm_Stats!$F$23),Norm_Stats!$G$23)-Norm_Stats!$F$23)/(Norm_Stats!$G$23-Norm_Stats!$F$23)))))*0.3)+IF((IF(OR(City_Inputs!$AK80="",Norm_Stats!$F$24="",Norm_Stats!$G$24="",Norm_Stats!$G$24=Norm_Stats!$F$24),"",MAX(0,MIN(100,100*(MIN(MAX(City_Inputs!$AK80,Norm_Stats!$F$24),Norm_Stats!$G$24)-Norm_Stats!$F$24)/(Norm_Stats!$G$24-Norm_Stats!$F$24)))))="",0,(IF(OR(City_Inputs!$AK80="",Norm_Stats!$F$24="",Norm_Stats!$G$24="",Norm_Stats!$G$24=Norm_Stats!$F$24),"",MAX(0,MIN(100,100*(MIN(MAX(City_Inputs!$AK80,Norm_Stats!$F$24),Norm_Stats!$G$24)-Norm_Stats!$F$24)/(Norm_Stats!$G$24-Norm_Stats!$F$24)))))*0.2))/(IF((IF(OR(City_Inputs!$AG80="",Norm_Stats!$F$22="",Norm_Stats!$G$22="",Norm_Stats!$G$22=Norm_Stats!$F$22),"",MAX(0,MIN(100,100*(MIN(MAX(City_Inputs!$AG80,Norm_Stats!$F$22),Norm_Stats!$G$22)-Norm_Stats!$F$22)/(Norm_Stats!$G$22-Norm_Stats!$F$22)))))="",0,0.5)+IF((IF(OR(City_Inputs!$AJ80="",Norm_Stats!$F$23="",Norm_Stats!$G$23="",Norm_Stats!$G$23=Norm_Stats!$F$23),"",MAX(0,MIN(100,100*(MIN(MAX(City_Inputs!$AJ80,Norm_Stats!$F$23),Norm_Stats!$G$23)-Norm_Stats!$F$23)/(Norm_Stats!$G$23-Norm_Stats!$F$23)))))="",0,0.3)+IF((IF(OR(City_Inputs!$AK80="",Norm_Stats!$F$24="",Norm_Stats!$G$24="",Norm_Stats!$G$24=Norm_Stats!$F$24),"",MAX(0,MIN(100,100*(MIN(MAX(City_Inputs!$AK80,Norm_Stats!$F$24),Norm_Stats!$G$24)-Norm_Stats!$F$24)/(Norm_Stats!$G$24-Norm_Stats!$F$24)))))="",0,0.2)))</f>
        <v/>
      </c>
      <c r="BD80" s="14">
        <f>IF((IF((IF(OR(City_Inputs!$AG80="",Norm_Stats!$F$22="",Norm_Stats!$G$22="",Norm_Stats!$G$22=Norm_Stats!$F$22),"",MAX(0,MIN(100,100*(MIN(MAX(City_Inputs!$AG80,Norm_Stats!$F$22),Norm_Stats!$G$22)-Norm_Stats!$F$22)/(Norm_Stats!$G$22-Norm_Stats!$F$22)))))="",0,0.5)+IF((IF(OR(City_Inputs!$AJ80="",Norm_Stats!$F$23="",Norm_Stats!$G$23="",Norm_Stats!$G$23=Norm_Stats!$F$23),"",MAX(0,MIN(100,100*(MIN(MAX(City_Inputs!$AJ80,Norm_Stats!$F$23),Norm_Stats!$G$23)-Norm_Stats!$F$23)/(Norm_Stats!$G$23-Norm_Stats!$F$23)))))="",0,0.3)+IF((IF(OR(City_Inputs!$AK80="",Norm_Stats!$F$24="",Norm_Stats!$G$24="",Norm_Stats!$G$24=Norm_Stats!$F$24),"",MAX(0,MIN(100,100*(MIN(MAX(City_Inputs!$AK80,Norm_Stats!$F$24),Norm_Stats!$G$24)-Norm_Stats!$F$24)/(Norm_Stats!$G$24-Norm_Stats!$F$24)))))="",0,0.2))=0,"",(IF((IF(OR(City_Inputs!$AG80="",Norm_Stats!$F$22="",Norm_Stats!$G$22="",Norm_Stats!$G$22=Norm_Stats!$F$22),"",MAX(0,MIN(100,100*(MIN(MAX(City_Inputs!$AG80,Norm_Stats!$F$22),Norm_Stats!$G$22)-Norm_Stats!$F$22)/(Norm_Stats!$G$22-Norm_Stats!$F$22)))))="",0,0.5)+IF((IF(OR(City_Inputs!$AJ80="",Norm_Stats!$F$23="",Norm_Stats!$G$23="",Norm_Stats!$G$23=Norm_Stats!$F$23),"",MAX(0,MIN(100,100*(MIN(MAX(City_Inputs!$AJ80,Norm_Stats!$F$23),Norm_Stats!$G$23)-Norm_Stats!$F$23)/(Norm_Stats!$G$23-Norm_Stats!$F$23)))))="",0,0.3)+IF((IF(OR(City_Inputs!$AK80="",Norm_Stats!$F$24="",Norm_Stats!$G$24="",Norm_Stats!$G$24=Norm_Stats!$F$24),"",MAX(0,MIN(100,100*(MIN(MAX(City_Inputs!$AK80,Norm_Stats!$F$24),Norm_Stats!$G$24)-Norm_Stats!$F$24)/(Norm_Stats!$G$24-Norm_Stats!$F$24)))))="",0,0.2)))</f>
        <v/>
      </c>
      <c r="BE80" s="11">
        <f>IF(OR(City_Inputs!$AH80="",Norm_Stats!$F$25="",Norm_Stats!$G$25="",Norm_Stats!$G$25=Norm_Stats!$F$25),"",MAX(0,MIN(100,100*(Norm_Stats!$G$25-MIN(MAX(City_Inputs!$AH80,Norm_Stats!$F$25),Norm_Stats!$G$25))/(Norm_Stats!$G$25-Norm_Stats!$F$25))))</f>
        <v/>
      </c>
      <c r="BF80" s="14">
        <f>IF(BE80="","",1)</f>
        <v/>
      </c>
      <c r="BG80" s="15">
        <f>IF((IF(AY80="",0,6)+IF(BA80="",0,5)+IF(BC80="",0,5)+IF(BE80="",0,4))=0,"",(IF(AY80="",0,AY80*6)+IF(BA80="",0,BA80*5)+IF(BC80="",0,BC80*5)+IF(BE80="",0,BE80*4))/(IF(AY80="",0,6)+IF(BA80="",0,5)+IF(BC80="",0,5)+IF(BE80="",0,4)))</f>
        <v/>
      </c>
      <c r="BH80" s="14">
        <f>IF((IF(AZ80="",0,6)+IF(BB80="",0,5)+IF(BD80="",0,5)+IF(BF80="",0,4))=0,"",(IF(AZ80="",0,AZ80*6)+IF(BB80="",0,BB80*5)+IF(BD80="",0,BD80*5)+IF(BF80="",0,BF80*4))/20)</f>
        <v/>
      </c>
      <c r="BI80" s="14">
        <f>IF(AND(R80="",AF80="",AN80="",AX80="",BH80=""),"",((R80*25)+(AF80*22)+(AN80*18)+(AX80*15)+(BH80*20))/100)</f>
        <v/>
      </c>
      <c r="BJ80" s="11">
        <f>IF(BI80="","",IF(BI80&gt;=0.75,"A",IF(BI80&gt;=0.5,"B",IF(BI80&gt;=0.35,"C","Watchlist"))))</f>
        <v/>
      </c>
      <c r="BK80" s="11">
        <f>IF(OR(BI80="",BI80&lt;0.5,R80="",R80&lt;0.35,AF80="",AF80&lt;0.35,AN80="",AN80&lt;0.35,AX80="",AX80&lt;0.35,BH80="",BH80&lt;0.35),"Watchlist","Ranked")</f>
        <v/>
      </c>
      <c r="BL80" s="15">
        <f>IF(AND(Q80="",AE80="",AM80="",AW80="",BG80=""),"",(IF(Q80="",0,Q80*25)+IF(AE80="",0,AE80*22)+IF(AM80="",0,AM80*18)+IF(AW80="",0,AW80*15)+IF(BG80="",0,BG80*20))/(IF(Q80="",0,25)+IF(AE80="",0,22)+IF(AM80="",0,18)+IF(AW80="",0,15)+IF(BG80="",0,20)))</f>
        <v/>
      </c>
      <c r="BM80" s="11">
        <f>IF(BK80="Ranked",1+COUNTIFS($BK$2:$BK$158,"Ranked",$BL$2:$BL$158,"&gt;"&amp;BL80),"")</f>
        <v/>
      </c>
      <c r="BN80" s="11">
        <f>City_Inputs!$AI80</f>
        <v/>
      </c>
    </row>
    <row r="81">
      <c r="A81" t="inlineStr">
        <is>
          <t>ae-dubai</t>
        </is>
      </c>
      <c r="B81" t="inlineStr">
        <is>
          <t>Dubai</t>
        </is>
      </c>
      <c r="C81" t="inlineStr">
        <is>
          <t>United Arab Emirates</t>
        </is>
      </c>
      <c r="D81" t="inlineStr">
        <is>
          <t>Middle East</t>
        </is>
      </c>
      <c r="E81" t="inlineStr">
        <is>
          <t>locked</t>
        </is>
      </c>
      <c r="F81" t="inlineStr">
        <is>
          <t>primary</t>
        </is>
      </c>
      <c r="G81" s="11">
        <f>IF(OR(City_Inputs!$M81="",Norm_Stats!$F$2="",Norm_Stats!$G$2="",Norm_Stats!$G$2=Norm_Stats!$F$2),"",MAX(0,MIN(100,100*(MIN(MAX(City_Inputs!$M81,Norm_Stats!$F$2),Norm_Stats!$G$2)-Norm_Stats!$F$2)/(Norm_Stats!$G$2-Norm_Stats!$F$2))))</f>
        <v/>
      </c>
      <c r="H81" s="14">
        <f>IF(G81="","",1)</f>
        <v/>
      </c>
      <c r="I81" s="11">
        <f>IF(OR(City_Inputs!$N81="",Norm_Stats!$F$3="",Norm_Stats!$G$3="",Norm_Stats!$G$3=Norm_Stats!$F$3),"",MAX(0,MIN(100,100*(Norm_Stats!$G$3-MIN(MAX(City_Inputs!$N81,Norm_Stats!$F$3),Norm_Stats!$G$3))/(Norm_Stats!$G$3-Norm_Stats!$F$3))))</f>
        <v/>
      </c>
      <c r="J81" s="14">
        <f>IF(I81="","",1)</f>
        <v/>
      </c>
      <c r="K81" s="11">
        <f>IF(OR(City_Inputs!$P81="",Norm_Stats!$F$4="",Norm_Stats!$G$4="",Norm_Stats!$G$4=Norm_Stats!$F$4),"",MAX(0,MIN(100,100*(Norm_Stats!$G$4-MIN(MAX(City_Inputs!$P81,Norm_Stats!$F$4),Norm_Stats!$G$4))/(Norm_Stats!$G$4-Norm_Stats!$F$4))))</f>
        <v/>
      </c>
      <c r="L81" s="14">
        <f>IF(K81="","",1)</f>
        <v/>
      </c>
      <c r="M81" s="11">
        <f>IF(OR(City_Inputs!$Q81="",Norm_Stats!$F$5="",Norm_Stats!$G$5="",Norm_Stats!$G$5=Norm_Stats!$F$5),"",MAX(0,MIN(100,100*(Norm_Stats!$G$5-MIN(MAX(City_Inputs!$Q81,Norm_Stats!$F$5),Norm_Stats!$G$5))/(Norm_Stats!$G$5-Norm_Stats!$F$5))))</f>
        <v/>
      </c>
      <c r="N81" s="14">
        <f>IF(M81="","",1)</f>
        <v/>
      </c>
      <c r="O81" s="11">
        <f>IF(OR(City_Inputs!$R81="",Norm_Stats!$F$6="",Norm_Stats!$G$6="",Norm_Stats!$G$6=Norm_Stats!$F$6),"",MAX(0,MIN(100,100*(Norm_Stats!$G$6-MIN(MAX(City_Inputs!$R81,Norm_Stats!$F$6),Norm_Stats!$G$6))/(Norm_Stats!$G$6-Norm_Stats!$F$6))))</f>
        <v/>
      </c>
      <c r="P81" s="14">
        <f>IF(O81="","",1)</f>
        <v/>
      </c>
      <c r="Q81" s="15">
        <f>IF((IF(G81="",0,9)+IF(I81="",0,5)+IF(K81="",0,4)+IF(M81="",0,4)+IF(O81="",0,5))=0,"",(IF(G81="",0,G81*9)+IF(I81="",0,I81*5)+IF(K81="",0,K81*4)+IF(M81="",0,M81*4)+IF(O81="",0,O81*5))/(IF(G81="",0,9)+IF(I81="",0,5)+IF(K81="",0,4)+IF(M81="",0,4)+IF(O81="",0,5)))</f>
        <v/>
      </c>
      <c r="R81" s="14">
        <f>IF((IF(H81="",0,9)+IF(J81="",0,5)+IF(L81="",0,4)+IF(N81="",0,4)+IF(P81="",0,5))=0,"",(IF(H81="",0,H81*9)+IF(J81="",0,J81*5)+IF(L81="",0,L81*4)+IF(N81="",0,N81*4)+IF(P81="",0,P81*5))/27)</f>
        <v/>
      </c>
      <c r="S81" s="11">
        <f>IF(OR(City_Inputs!$S81="",Norm_Stats!$F$7="",Norm_Stats!$G$7="",Norm_Stats!$G$7=Norm_Stats!$F$7),"",MAX(0,MIN(100,100*(Norm_Stats!$G$7-MIN(MAX(City_Inputs!$S81,Norm_Stats!$F$7),Norm_Stats!$G$7))/(Norm_Stats!$G$7-Norm_Stats!$F$7))))</f>
        <v/>
      </c>
      <c r="T81" s="14">
        <f>IF(S81="","",1)</f>
        <v/>
      </c>
      <c r="U81" s="11">
        <f>IF(OR(City_Inputs!$T81="",Norm_Stats!$F$8="",Norm_Stats!$G$8="",Norm_Stats!$G$8=Norm_Stats!$F$8),"",MAX(0,MIN(100,100*(MIN(MAX(City_Inputs!$T81,Norm_Stats!$F$8),Norm_Stats!$G$8)-Norm_Stats!$F$8)/(Norm_Stats!$G$8-Norm_Stats!$F$8))))</f>
        <v/>
      </c>
      <c r="V81" s="14">
        <f>IF(U81="","",1)</f>
        <v/>
      </c>
      <c r="W81" s="11">
        <f>IF(OR(City_Inputs!$U81="",Norm_Stats!$F$9="",Norm_Stats!$G$9="",Norm_Stats!$G$9=Norm_Stats!$F$9),"",MAX(0,MIN(100,100*(Norm_Stats!$G$9-MIN(MAX(City_Inputs!$U81,Norm_Stats!$F$9),Norm_Stats!$G$9))/(Norm_Stats!$G$9-Norm_Stats!$F$9))))</f>
        <v/>
      </c>
      <c r="X81" s="14">
        <f>IF(W81="","",1)</f>
        <v/>
      </c>
      <c r="Y81" s="11">
        <f>IF(OR(City_Inputs!$V81="",Norm_Stats!$F$10="",Norm_Stats!$G$10="",Norm_Stats!$G$10=Norm_Stats!$F$10),"",MAX(0,MIN(100,100*(MIN(MAX(City_Inputs!$V81,Norm_Stats!$F$10),Norm_Stats!$G$10)-Norm_Stats!$F$10)/(Norm_Stats!$G$10-Norm_Stats!$F$10))))</f>
        <v/>
      </c>
      <c r="Z81" s="14">
        <f>IF(Y81="","",1)</f>
        <v/>
      </c>
      <c r="AA81" s="11">
        <f>IF(OR(City_Inputs!$W81="",Norm_Stats!$F$11="",Norm_Stats!$G$11="",Norm_Stats!$G$11=Norm_Stats!$F$11),"",MAX(0,MIN(100,100*(MIN(MAX(City_Inputs!$W81,Norm_Stats!$F$11),Norm_Stats!$G$11)-Norm_Stats!$F$11)/(Norm_Stats!$G$11-Norm_Stats!$F$11))))</f>
        <v/>
      </c>
      <c r="AB81" s="14">
        <f>IF(AA81="","",1)</f>
        <v/>
      </c>
      <c r="AC81" s="11">
        <f>IF(OR(City_Inputs!$X81="",Norm_Stats!$F$12="",Norm_Stats!$G$12="",Norm_Stats!$G$12=Norm_Stats!$F$12),"",MAX(0,MIN(100,100*(MIN(MAX(City_Inputs!$X81,Norm_Stats!$F$12),Norm_Stats!$G$12)-Norm_Stats!$F$12)/(Norm_Stats!$G$12-Norm_Stats!$F$12))))</f>
        <v/>
      </c>
      <c r="AD81" s="11">
        <f>IF(AC81="","",1)</f>
        <v/>
      </c>
      <c r="AE81" s="15">
        <f>IF((IF(S81="",0,5)+IF(U81="",0,5)+IF(W81="",0,4)+IF(Y81="",0,4)+IF(AA81="",0,4)+IF(AC81="",0,5))=0,"",(IF(S81="",0,S81*5)+IF(U81="",0,U81*5)+IF(W81="",0,W81*4)+IF(Y81="",0,Y81*4)+IF(AA81="",0,AA81*4)+IF(AC81="",0,AC81*5))/(IF(S81="",0,5)+IF(U81="",0,5)+IF(W81="",0,4)+IF(Y81="",0,4)+IF(AA81="",0,4)+IF(AC81="",0,5)))</f>
        <v/>
      </c>
      <c r="AF81" s="14">
        <f>IF((IF(T81="",0,5)+IF(V81="",0,5)+IF(X81="",0,4)+IF(Z81="",0,4)+IF(AB81="",0,4)+IF(AD81="",0,5))=0,"",(IF(T81="",0,T81*5)+IF(V81="",0,V81*5)+IF(X81="",0,X81*4)+IF(Z81="",0,Z81*4)+IF(AB81="",0,AB81*4)+IF(AD81="",0,AD81*5))/27)</f>
        <v/>
      </c>
      <c r="AG81" s="11">
        <f>IF(OR(City_Inputs!$Y81="",Norm_Stats!$F$13="",Norm_Stats!$G$13="",Norm_Stats!$G$13=Norm_Stats!$F$13),"",MAX(0,MIN(100,100*(MIN(MAX(City_Inputs!$Y81,Norm_Stats!$F$13),Norm_Stats!$G$13)-Norm_Stats!$F$13)/(Norm_Stats!$G$13-Norm_Stats!$F$13))))</f>
        <v/>
      </c>
      <c r="AH81" s="14">
        <f>IF(AG81="","",1)</f>
        <v/>
      </c>
      <c r="AI81" s="11">
        <f>IF(OR(City_Inputs!$Z81="",Norm_Stats!$F$14="",Norm_Stats!$G$14="",Norm_Stats!$G$14=Norm_Stats!$F$14),"",MAX(0,MIN(100,100*(MIN(MAX(City_Inputs!$Z81,Norm_Stats!$F$14),Norm_Stats!$G$14)-Norm_Stats!$F$14)/(Norm_Stats!$G$14-Norm_Stats!$F$14))))</f>
        <v/>
      </c>
      <c r="AJ81" s="14">
        <f>IF(AI81="","",1)</f>
        <v/>
      </c>
      <c r="AK81" s="11">
        <f>IF((IF((IF(OR(City_Inputs!$AA81="",Norm_Stats!$F$15="",Norm_Stats!$G$15="",Norm_Stats!$G$15=Norm_Stats!$F$15),"",MAX(0,MIN(100,100*(MIN(MAX(City_Inputs!$AA81,Norm_Stats!$F$15),Norm_Stats!$G$15)-Norm_Stats!$F$15)/(Norm_Stats!$G$15-Norm_Stats!$F$15)))))="",0,0.7)+IF((IF(OR(City_Inputs!$AL81="",Norm_Stats!$F$16="",Norm_Stats!$G$16="",Norm_Stats!$G$16=Norm_Stats!$F$16),"",MAX(0,MIN(100,100*(Norm_Stats!$G$16-MIN(MAX(City_Inputs!$AL81,Norm_Stats!$F$16),Norm_Stats!$G$16))/(Norm_Stats!$G$16-Norm_Stats!$F$16)))))="",0,0.3))=0,"",(IF((IF(OR(City_Inputs!$AA81="",Norm_Stats!$F$15="",Norm_Stats!$G$15="",Norm_Stats!$G$15=Norm_Stats!$F$15),"",MAX(0,MIN(100,100*(MIN(MAX(City_Inputs!$AA81,Norm_Stats!$F$15),Norm_Stats!$G$15)-Norm_Stats!$F$15)/(Norm_Stats!$G$15-Norm_Stats!$F$15)))))="",0,(IF(OR(City_Inputs!$AA81="",Norm_Stats!$F$15="",Norm_Stats!$G$15="",Norm_Stats!$G$15=Norm_Stats!$F$15),"",MAX(0,MIN(100,100*(MIN(MAX(City_Inputs!$AA81,Norm_Stats!$F$15),Norm_Stats!$G$15)-Norm_Stats!$F$15)/(Norm_Stats!$G$15-Norm_Stats!$F$15)))))*0.7)+IF((IF(OR(City_Inputs!$AL81="",Norm_Stats!$F$16="",Norm_Stats!$G$16="",Norm_Stats!$G$16=Norm_Stats!$F$16),"",MAX(0,MIN(100,100*(Norm_Stats!$G$16-MIN(MAX(City_Inputs!$AL81,Norm_Stats!$F$16),Norm_Stats!$G$16))/(Norm_Stats!$G$16-Norm_Stats!$F$16)))))="",0,(IF(OR(City_Inputs!$AL81="",Norm_Stats!$F$16="",Norm_Stats!$G$16="",Norm_Stats!$G$16=Norm_Stats!$F$16),"",MAX(0,MIN(100,100*(Norm_Stats!$G$16-MIN(MAX(City_Inputs!$AL81,Norm_Stats!$F$16),Norm_Stats!$G$16))/(Norm_Stats!$G$16-Norm_Stats!$F$16)))))*0.3))/(IF((IF(OR(City_Inputs!$AA81="",Norm_Stats!$F$15="",Norm_Stats!$G$15="",Norm_Stats!$G$15=Norm_Stats!$F$15),"",MAX(0,MIN(100,100*(MIN(MAX(City_Inputs!$AA81,Norm_Stats!$F$15),Norm_Stats!$G$15)-Norm_Stats!$F$15)/(Norm_Stats!$G$15-Norm_Stats!$F$15)))))="",0,0.7)+IF((IF(OR(City_Inputs!$AL81="",Norm_Stats!$F$16="",Norm_Stats!$G$16="",Norm_Stats!$G$16=Norm_Stats!$F$16),"",MAX(0,MIN(100,100*(Norm_Stats!$G$16-MIN(MAX(City_Inputs!$AL81,Norm_Stats!$F$16),Norm_Stats!$G$16))/(Norm_Stats!$G$16-Norm_Stats!$F$16)))))="",0,0.3)))</f>
        <v/>
      </c>
      <c r="AL81" s="14">
        <f>IF((IF((IF(OR(City_Inputs!$AA81="",Norm_Stats!$F$15="",Norm_Stats!$G$15="",Norm_Stats!$G$15=Norm_Stats!$F$15),"",MAX(0,MIN(100,100*(MIN(MAX(City_Inputs!$AA81,Norm_Stats!$F$15),Norm_Stats!$G$15)-Norm_Stats!$F$15)/(Norm_Stats!$G$15-Norm_Stats!$F$15)))))="",0,0.7)+IF((IF(OR(City_Inputs!$AL81="",Norm_Stats!$F$16="",Norm_Stats!$G$16="",Norm_Stats!$G$16=Norm_Stats!$F$16),"",MAX(0,MIN(100,100*(Norm_Stats!$G$16-MIN(MAX(City_Inputs!$AL81,Norm_Stats!$F$16),Norm_Stats!$G$16))/(Norm_Stats!$G$16-Norm_Stats!$F$16)))))="",0,0.3))=0,"",(IF((IF(OR(City_Inputs!$AA81="",Norm_Stats!$F$15="",Norm_Stats!$G$15="",Norm_Stats!$G$15=Norm_Stats!$F$15),"",MAX(0,MIN(100,100*(MIN(MAX(City_Inputs!$AA81,Norm_Stats!$F$15),Norm_Stats!$G$15)-Norm_Stats!$F$15)/(Norm_Stats!$G$15-Norm_Stats!$F$15)))))="",0,0.7)+IF((IF(OR(City_Inputs!$AL81="",Norm_Stats!$F$16="",Norm_Stats!$G$16="",Norm_Stats!$G$16=Norm_Stats!$F$16),"",MAX(0,MIN(100,100*(Norm_Stats!$G$16-MIN(MAX(City_Inputs!$AL81,Norm_Stats!$F$16),Norm_Stats!$G$16))/(Norm_Stats!$G$16-Norm_Stats!$F$16)))))="",0,0.3)))</f>
        <v/>
      </c>
      <c r="AM81" s="15">
        <f>IF((IF(AG81="",0,8)+IF(AI81="",0,6)+IF(AK81="",0,4))=0,"",(IF(AG81="",0,AG81*8)+IF(AI81="",0,AI81*6)+IF(AK81="",0,AK81*4))/(IF(AG81="",0,8)+IF(AI81="",0,6)+IF(AK81="",0,4)))</f>
        <v/>
      </c>
      <c r="AN81" s="14">
        <f>IF((IF(AH81="",0,8)+IF(AJ81="",0,6)+IF(AL81="",0,4))=0,"",(IF(AH81="",0,AH81*8)+IF(AJ81="",0,AJ81*6)+IF(AL81="",0,AL81*4))/18)</f>
        <v/>
      </c>
      <c r="AO81" s="11">
        <f>IF(OR(City_Inputs!$AB81="",Norm_Stats!$F$17="",Norm_Stats!$G$17="",Norm_Stats!$G$17=Norm_Stats!$F$17),"",MAX(0,MIN(100,100*(MIN(MAX(City_Inputs!$AB81,Norm_Stats!$F$17),Norm_Stats!$G$17)-Norm_Stats!$F$17)/(Norm_Stats!$G$17-Norm_Stats!$F$17))))</f>
        <v/>
      </c>
      <c r="AP81" s="14">
        <f>IF(AO81="","",1)</f>
        <v/>
      </c>
      <c r="AQ81" s="11">
        <f>IF(OR(City_Inputs!$AC81="",Norm_Stats!$F$18="",Norm_Stats!$G$18="",Norm_Stats!$G$18=Norm_Stats!$F$18),"",MAX(0,MIN(100,100*(MIN(MAX(City_Inputs!$AC81,Norm_Stats!$F$18),Norm_Stats!$G$18)-Norm_Stats!$F$18)/(Norm_Stats!$G$18-Norm_Stats!$F$18))))</f>
        <v/>
      </c>
      <c r="AR81" s="14">
        <f>IF(AQ81="","",1)</f>
        <v/>
      </c>
      <c r="AS81" s="11">
        <f>IF(OR(City_Inputs!$AD81="",Norm_Stats!$F$19="",Norm_Stats!$G$19="",Norm_Stats!$G$19=Norm_Stats!$F$19),"",MAX(0,MIN(100,100*(MIN(MAX(City_Inputs!$AD81,Norm_Stats!$F$19),Norm_Stats!$G$19)-Norm_Stats!$F$19)/(Norm_Stats!$G$19-Norm_Stats!$F$19))))</f>
        <v/>
      </c>
      <c r="AT81" s="14">
        <f>IF(AS81="","",1)</f>
        <v/>
      </c>
      <c r="AU81" s="11">
        <f>IF(OR(City_Inputs!$BJ81="",Norm_Stats!$F$26="",Norm_Stats!$G$26="",Norm_Stats!$G$26=Norm_Stats!$F$26),"",MAX(0,MIN(100,100*(MIN(MAX(City_Inputs!$BJ81,Norm_Stats!$F$26),Norm_Stats!$G$26)-Norm_Stats!$F$26)/(Norm_Stats!$G$26-Norm_Stats!$F$26))))</f>
        <v/>
      </c>
      <c r="AV81" s="11">
        <f>IF(AU81="","",1)</f>
        <v/>
      </c>
      <c r="AW81" s="15">
        <f>IF((IF(AO81="",0,5)+IF(AQ81="",0,5)+IF(AS81="",0,5)+IF(AU81="",0,4))=0,"",(IF(AO81="",0,AO81*5)+IF(AQ81="",0,AQ81*5)+IF(AS81="",0,AS81*5)+IF(AU81="",0,AU81*4))/(IF(AO81="",0,5)+IF(AQ81="",0,5)+IF(AS81="",0,5)+IF(AU81="",0,4)))</f>
        <v/>
      </c>
      <c r="AX81" s="14">
        <f>IF((IF(AP81="",0,5)+IF(AR81="",0,5)+IF(AT81="",0,5)+IF(AV81="",0,4))=0,"",(IF(AP81="",0,AP81*5)+IF(AR81="",0,AR81*5)+IF(AT81="",0,AT81*5)+IF(AV81="",0,AV81*4))/19)</f>
        <v/>
      </c>
      <c r="AY81" s="11">
        <f>IF(OR(City_Inputs!$AE81="",Norm_Stats!$F$20="",Norm_Stats!$G$20="",Norm_Stats!$G$20=Norm_Stats!$F$20),"",MAX(0,MIN(100,100*(MIN(MAX(City_Inputs!$AE81,Norm_Stats!$F$20),Norm_Stats!$G$20)-Norm_Stats!$F$20)/(Norm_Stats!$G$20-Norm_Stats!$F$20))))</f>
        <v/>
      </c>
      <c r="AZ81" s="14">
        <f>IF(AY81="","",1)</f>
        <v/>
      </c>
      <c r="BA81" s="11">
        <f>IF(OR(City_Inputs!$AF81="",Norm_Stats!$F$21="",Norm_Stats!$G$21="",Norm_Stats!$G$21=Norm_Stats!$F$21),"",MAX(0,MIN(100,100*(MIN(MAX(City_Inputs!$AF81,Norm_Stats!$F$21),Norm_Stats!$G$21)-Norm_Stats!$F$21)/(Norm_Stats!$G$21-Norm_Stats!$F$21))))</f>
        <v/>
      </c>
      <c r="BB81" s="14">
        <f>IF(BA81="","",1)</f>
        <v/>
      </c>
      <c r="BC81" s="11">
        <f>IF((IF((IF(OR(City_Inputs!$AG81="",Norm_Stats!$F$22="",Norm_Stats!$G$22="",Norm_Stats!$G$22=Norm_Stats!$F$22),"",MAX(0,MIN(100,100*(MIN(MAX(City_Inputs!$AG81,Norm_Stats!$F$22),Norm_Stats!$G$22)-Norm_Stats!$F$22)/(Norm_Stats!$G$22-Norm_Stats!$F$22)))))="",0,0.5)+IF((IF(OR(City_Inputs!$AJ81="",Norm_Stats!$F$23="",Norm_Stats!$G$23="",Norm_Stats!$G$23=Norm_Stats!$F$23),"",MAX(0,MIN(100,100*(MIN(MAX(City_Inputs!$AJ81,Norm_Stats!$F$23),Norm_Stats!$G$23)-Norm_Stats!$F$23)/(Norm_Stats!$G$23-Norm_Stats!$F$23)))))="",0,0.3)+IF((IF(OR(City_Inputs!$AK81="",Norm_Stats!$F$24="",Norm_Stats!$G$24="",Norm_Stats!$G$24=Norm_Stats!$F$24),"",MAX(0,MIN(100,100*(MIN(MAX(City_Inputs!$AK81,Norm_Stats!$F$24),Norm_Stats!$G$24)-Norm_Stats!$F$24)/(Norm_Stats!$G$24-Norm_Stats!$F$24)))))="",0,0.2))=0,"",(IF((IF(OR(City_Inputs!$AG81="",Norm_Stats!$F$22="",Norm_Stats!$G$22="",Norm_Stats!$G$22=Norm_Stats!$F$22),"",MAX(0,MIN(100,100*(MIN(MAX(City_Inputs!$AG81,Norm_Stats!$F$22),Norm_Stats!$G$22)-Norm_Stats!$F$22)/(Norm_Stats!$G$22-Norm_Stats!$F$22)))))="",0,(IF(OR(City_Inputs!$AG81="",Norm_Stats!$F$22="",Norm_Stats!$G$22="",Norm_Stats!$G$22=Norm_Stats!$F$22),"",MAX(0,MIN(100,100*(MIN(MAX(City_Inputs!$AG81,Norm_Stats!$F$22),Norm_Stats!$G$22)-Norm_Stats!$F$22)/(Norm_Stats!$G$22-Norm_Stats!$F$22)))))*0.5)+IF((IF(OR(City_Inputs!$AJ81="",Norm_Stats!$F$23="",Norm_Stats!$G$23="",Norm_Stats!$G$23=Norm_Stats!$F$23),"",MAX(0,MIN(100,100*(MIN(MAX(City_Inputs!$AJ81,Norm_Stats!$F$23),Norm_Stats!$G$23)-Norm_Stats!$F$23)/(Norm_Stats!$G$23-Norm_Stats!$F$23)))))="",0,(IF(OR(City_Inputs!$AJ81="",Norm_Stats!$F$23="",Norm_Stats!$G$23="",Norm_Stats!$G$23=Norm_Stats!$F$23),"",MAX(0,MIN(100,100*(MIN(MAX(City_Inputs!$AJ81,Norm_Stats!$F$23),Norm_Stats!$G$23)-Norm_Stats!$F$23)/(Norm_Stats!$G$23-Norm_Stats!$F$23)))))*0.3)+IF((IF(OR(City_Inputs!$AK81="",Norm_Stats!$F$24="",Norm_Stats!$G$24="",Norm_Stats!$G$24=Norm_Stats!$F$24),"",MAX(0,MIN(100,100*(MIN(MAX(City_Inputs!$AK81,Norm_Stats!$F$24),Norm_Stats!$G$24)-Norm_Stats!$F$24)/(Norm_Stats!$G$24-Norm_Stats!$F$24)))))="",0,(IF(OR(City_Inputs!$AK81="",Norm_Stats!$F$24="",Norm_Stats!$G$24="",Norm_Stats!$G$24=Norm_Stats!$F$24),"",MAX(0,MIN(100,100*(MIN(MAX(City_Inputs!$AK81,Norm_Stats!$F$24),Norm_Stats!$G$24)-Norm_Stats!$F$24)/(Norm_Stats!$G$24-Norm_Stats!$F$24)))))*0.2))/(IF((IF(OR(City_Inputs!$AG81="",Norm_Stats!$F$22="",Norm_Stats!$G$22="",Norm_Stats!$G$22=Norm_Stats!$F$22),"",MAX(0,MIN(100,100*(MIN(MAX(City_Inputs!$AG81,Norm_Stats!$F$22),Norm_Stats!$G$22)-Norm_Stats!$F$22)/(Norm_Stats!$G$22-Norm_Stats!$F$22)))))="",0,0.5)+IF((IF(OR(City_Inputs!$AJ81="",Norm_Stats!$F$23="",Norm_Stats!$G$23="",Norm_Stats!$G$23=Norm_Stats!$F$23),"",MAX(0,MIN(100,100*(MIN(MAX(City_Inputs!$AJ81,Norm_Stats!$F$23),Norm_Stats!$G$23)-Norm_Stats!$F$23)/(Norm_Stats!$G$23-Norm_Stats!$F$23)))))="",0,0.3)+IF((IF(OR(City_Inputs!$AK81="",Norm_Stats!$F$24="",Norm_Stats!$G$24="",Norm_Stats!$G$24=Norm_Stats!$F$24),"",MAX(0,MIN(100,100*(MIN(MAX(City_Inputs!$AK81,Norm_Stats!$F$24),Norm_Stats!$G$24)-Norm_Stats!$F$24)/(Norm_Stats!$G$24-Norm_Stats!$F$24)))))="",0,0.2)))</f>
        <v/>
      </c>
      <c r="BD81" s="14">
        <f>IF((IF((IF(OR(City_Inputs!$AG81="",Norm_Stats!$F$22="",Norm_Stats!$G$22="",Norm_Stats!$G$22=Norm_Stats!$F$22),"",MAX(0,MIN(100,100*(MIN(MAX(City_Inputs!$AG81,Norm_Stats!$F$22),Norm_Stats!$G$22)-Norm_Stats!$F$22)/(Norm_Stats!$G$22-Norm_Stats!$F$22)))))="",0,0.5)+IF((IF(OR(City_Inputs!$AJ81="",Norm_Stats!$F$23="",Norm_Stats!$G$23="",Norm_Stats!$G$23=Norm_Stats!$F$23),"",MAX(0,MIN(100,100*(MIN(MAX(City_Inputs!$AJ81,Norm_Stats!$F$23),Norm_Stats!$G$23)-Norm_Stats!$F$23)/(Norm_Stats!$G$23-Norm_Stats!$F$23)))))="",0,0.3)+IF((IF(OR(City_Inputs!$AK81="",Norm_Stats!$F$24="",Norm_Stats!$G$24="",Norm_Stats!$G$24=Norm_Stats!$F$24),"",MAX(0,MIN(100,100*(MIN(MAX(City_Inputs!$AK81,Norm_Stats!$F$24),Norm_Stats!$G$24)-Norm_Stats!$F$24)/(Norm_Stats!$G$24-Norm_Stats!$F$24)))))="",0,0.2))=0,"",(IF((IF(OR(City_Inputs!$AG81="",Norm_Stats!$F$22="",Norm_Stats!$G$22="",Norm_Stats!$G$22=Norm_Stats!$F$22),"",MAX(0,MIN(100,100*(MIN(MAX(City_Inputs!$AG81,Norm_Stats!$F$22),Norm_Stats!$G$22)-Norm_Stats!$F$22)/(Norm_Stats!$G$22-Norm_Stats!$F$22)))))="",0,0.5)+IF((IF(OR(City_Inputs!$AJ81="",Norm_Stats!$F$23="",Norm_Stats!$G$23="",Norm_Stats!$G$23=Norm_Stats!$F$23),"",MAX(0,MIN(100,100*(MIN(MAX(City_Inputs!$AJ81,Norm_Stats!$F$23),Norm_Stats!$G$23)-Norm_Stats!$F$23)/(Norm_Stats!$G$23-Norm_Stats!$F$23)))))="",0,0.3)+IF((IF(OR(City_Inputs!$AK81="",Norm_Stats!$F$24="",Norm_Stats!$G$24="",Norm_Stats!$G$24=Norm_Stats!$F$24),"",MAX(0,MIN(100,100*(MIN(MAX(City_Inputs!$AK81,Norm_Stats!$F$24),Norm_Stats!$G$24)-Norm_Stats!$F$24)/(Norm_Stats!$G$24-Norm_Stats!$F$24)))))="",0,0.2)))</f>
        <v/>
      </c>
      <c r="BE81" s="11">
        <f>IF(OR(City_Inputs!$AH81="",Norm_Stats!$F$25="",Norm_Stats!$G$25="",Norm_Stats!$G$25=Norm_Stats!$F$25),"",MAX(0,MIN(100,100*(Norm_Stats!$G$25-MIN(MAX(City_Inputs!$AH81,Norm_Stats!$F$25),Norm_Stats!$G$25))/(Norm_Stats!$G$25-Norm_Stats!$F$25))))</f>
        <v/>
      </c>
      <c r="BF81" s="14">
        <f>IF(BE81="","",1)</f>
        <v/>
      </c>
      <c r="BG81" s="15">
        <f>IF((IF(AY81="",0,6)+IF(BA81="",0,5)+IF(BC81="",0,5)+IF(BE81="",0,4))=0,"",(IF(AY81="",0,AY81*6)+IF(BA81="",0,BA81*5)+IF(BC81="",0,BC81*5)+IF(BE81="",0,BE81*4))/(IF(AY81="",0,6)+IF(BA81="",0,5)+IF(BC81="",0,5)+IF(BE81="",0,4)))</f>
        <v/>
      </c>
      <c r="BH81" s="14">
        <f>IF((IF(AZ81="",0,6)+IF(BB81="",0,5)+IF(BD81="",0,5)+IF(BF81="",0,4))=0,"",(IF(AZ81="",0,AZ81*6)+IF(BB81="",0,BB81*5)+IF(BD81="",0,BD81*5)+IF(BF81="",0,BF81*4))/20)</f>
        <v/>
      </c>
      <c r="BI81" s="14">
        <f>IF(AND(R81="",AF81="",AN81="",AX81="",BH81=""),"",((R81*25)+(AF81*22)+(AN81*18)+(AX81*15)+(BH81*20))/100)</f>
        <v/>
      </c>
      <c r="BJ81" s="11">
        <f>IF(BI81="","",IF(BI81&gt;=0.75,"A",IF(BI81&gt;=0.5,"B",IF(BI81&gt;=0.35,"C","Watchlist"))))</f>
        <v/>
      </c>
      <c r="BK81" s="11">
        <f>IF(OR(BI81="",BI81&lt;0.5,R81="",R81&lt;0.35,AF81="",AF81&lt;0.35,AN81="",AN81&lt;0.35,AX81="",AX81&lt;0.35,BH81="",BH81&lt;0.35),"Watchlist","Ranked")</f>
        <v/>
      </c>
      <c r="BL81" s="15">
        <f>IF(AND(Q81="",AE81="",AM81="",AW81="",BG81=""),"",(IF(Q81="",0,Q81*25)+IF(AE81="",0,AE81*22)+IF(AM81="",0,AM81*18)+IF(AW81="",0,AW81*15)+IF(BG81="",0,BG81*20))/(IF(Q81="",0,25)+IF(AE81="",0,22)+IF(AM81="",0,18)+IF(AW81="",0,15)+IF(BG81="",0,20)))</f>
        <v/>
      </c>
      <c r="BM81" s="11">
        <f>IF(BK81="Ranked",1+COUNTIFS($BK$2:$BK$158,"Ranked",$BL$2:$BL$158,"&gt;"&amp;BL81),"")</f>
        <v/>
      </c>
      <c r="BN81" s="11">
        <f>City_Inputs!$AI81</f>
        <v/>
      </c>
    </row>
    <row r="82">
      <c r="A82" t="inlineStr">
        <is>
          <t>ae-abu-dhabi</t>
        </is>
      </c>
      <c r="B82" t="inlineStr">
        <is>
          <t>Abu Dhabi</t>
        </is>
      </c>
      <c r="C82" t="inlineStr">
        <is>
          <t>United Arab Emirates</t>
        </is>
      </c>
      <c r="D82" t="inlineStr">
        <is>
          <t>Middle East</t>
        </is>
      </c>
      <c r="E82" t="inlineStr">
        <is>
          <t>locked</t>
        </is>
      </c>
      <c r="F82" t="inlineStr">
        <is>
          <t>primary</t>
        </is>
      </c>
      <c r="G82" s="11">
        <f>IF(OR(City_Inputs!$M82="",Norm_Stats!$F$2="",Norm_Stats!$G$2="",Norm_Stats!$G$2=Norm_Stats!$F$2),"",MAX(0,MIN(100,100*(MIN(MAX(City_Inputs!$M82,Norm_Stats!$F$2),Norm_Stats!$G$2)-Norm_Stats!$F$2)/(Norm_Stats!$G$2-Norm_Stats!$F$2))))</f>
        <v/>
      </c>
      <c r="H82" s="14">
        <f>IF(G82="","",1)</f>
        <v/>
      </c>
      <c r="I82" s="11">
        <f>IF(OR(City_Inputs!$N82="",Norm_Stats!$F$3="",Norm_Stats!$G$3="",Norm_Stats!$G$3=Norm_Stats!$F$3),"",MAX(0,MIN(100,100*(Norm_Stats!$G$3-MIN(MAX(City_Inputs!$N82,Norm_Stats!$F$3),Norm_Stats!$G$3))/(Norm_Stats!$G$3-Norm_Stats!$F$3))))</f>
        <v/>
      </c>
      <c r="J82" s="14">
        <f>IF(I82="","",1)</f>
        <v/>
      </c>
      <c r="K82" s="11">
        <f>IF(OR(City_Inputs!$P82="",Norm_Stats!$F$4="",Norm_Stats!$G$4="",Norm_Stats!$G$4=Norm_Stats!$F$4),"",MAX(0,MIN(100,100*(Norm_Stats!$G$4-MIN(MAX(City_Inputs!$P82,Norm_Stats!$F$4),Norm_Stats!$G$4))/(Norm_Stats!$G$4-Norm_Stats!$F$4))))</f>
        <v/>
      </c>
      <c r="L82" s="14">
        <f>IF(K82="","",1)</f>
        <v/>
      </c>
      <c r="M82" s="11">
        <f>IF(OR(City_Inputs!$Q82="",Norm_Stats!$F$5="",Norm_Stats!$G$5="",Norm_Stats!$G$5=Norm_Stats!$F$5),"",MAX(0,MIN(100,100*(Norm_Stats!$G$5-MIN(MAX(City_Inputs!$Q82,Norm_Stats!$F$5),Norm_Stats!$G$5))/(Norm_Stats!$G$5-Norm_Stats!$F$5))))</f>
        <v/>
      </c>
      <c r="N82" s="14">
        <f>IF(M82="","",1)</f>
        <v/>
      </c>
      <c r="O82" s="11">
        <f>IF(OR(City_Inputs!$R82="",Norm_Stats!$F$6="",Norm_Stats!$G$6="",Norm_Stats!$G$6=Norm_Stats!$F$6),"",MAX(0,MIN(100,100*(Norm_Stats!$G$6-MIN(MAX(City_Inputs!$R82,Norm_Stats!$F$6),Norm_Stats!$G$6))/(Norm_Stats!$G$6-Norm_Stats!$F$6))))</f>
        <v/>
      </c>
      <c r="P82" s="14">
        <f>IF(O82="","",1)</f>
        <v/>
      </c>
      <c r="Q82" s="15">
        <f>IF((IF(G82="",0,9)+IF(I82="",0,5)+IF(K82="",0,4)+IF(M82="",0,4)+IF(O82="",0,5))=0,"",(IF(G82="",0,G82*9)+IF(I82="",0,I82*5)+IF(K82="",0,K82*4)+IF(M82="",0,M82*4)+IF(O82="",0,O82*5))/(IF(G82="",0,9)+IF(I82="",0,5)+IF(K82="",0,4)+IF(M82="",0,4)+IF(O82="",0,5)))</f>
        <v/>
      </c>
      <c r="R82" s="14">
        <f>IF((IF(H82="",0,9)+IF(J82="",0,5)+IF(L82="",0,4)+IF(N82="",0,4)+IF(P82="",0,5))=0,"",(IF(H82="",0,H82*9)+IF(J82="",0,J82*5)+IF(L82="",0,L82*4)+IF(N82="",0,N82*4)+IF(P82="",0,P82*5))/27)</f>
        <v/>
      </c>
      <c r="S82" s="11">
        <f>IF(OR(City_Inputs!$S82="",Norm_Stats!$F$7="",Norm_Stats!$G$7="",Norm_Stats!$G$7=Norm_Stats!$F$7),"",MAX(0,MIN(100,100*(Norm_Stats!$G$7-MIN(MAX(City_Inputs!$S82,Norm_Stats!$F$7),Norm_Stats!$G$7))/(Norm_Stats!$G$7-Norm_Stats!$F$7))))</f>
        <v/>
      </c>
      <c r="T82" s="14">
        <f>IF(S82="","",1)</f>
        <v/>
      </c>
      <c r="U82" s="11">
        <f>IF(OR(City_Inputs!$T82="",Norm_Stats!$F$8="",Norm_Stats!$G$8="",Norm_Stats!$G$8=Norm_Stats!$F$8),"",MAX(0,MIN(100,100*(MIN(MAX(City_Inputs!$T82,Norm_Stats!$F$8),Norm_Stats!$G$8)-Norm_Stats!$F$8)/(Norm_Stats!$G$8-Norm_Stats!$F$8))))</f>
        <v/>
      </c>
      <c r="V82" s="14">
        <f>IF(U82="","",1)</f>
        <v/>
      </c>
      <c r="W82" s="11">
        <f>IF(OR(City_Inputs!$U82="",Norm_Stats!$F$9="",Norm_Stats!$G$9="",Norm_Stats!$G$9=Norm_Stats!$F$9),"",MAX(0,MIN(100,100*(Norm_Stats!$G$9-MIN(MAX(City_Inputs!$U82,Norm_Stats!$F$9),Norm_Stats!$G$9))/(Norm_Stats!$G$9-Norm_Stats!$F$9))))</f>
        <v/>
      </c>
      <c r="X82" s="14">
        <f>IF(W82="","",1)</f>
        <v/>
      </c>
      <c r="Y82" s="11">
        <f>IF(OR(City_Inputs!$V82="",Norm_Stats!$F$10="",Norm_Stats!$G$10="",Norm_Stats!$G$10=Norm_Stats!$F$10),"",MAX(0,MIN(100,100*(MIN(MAX(City_Inputs!$V82,Norm_Stats!$F$10),Norm_Stats!$G$10)-Norm_Stats!$F$10)/(Norm_Stats!$G$10-Norm_Stats!$F$10))))</f>
        <v/>
      </c>
      <c r="Z82" s="14">
        <f>IF(Y82="","",1)</f>
        <v/>
      </c>
      <c r="AA82" s="11">
        <f>IF(OR(City_Inputs!$W82="",Norm_Stats!$F$11="",Norm_Stats!$G$11="",Norm_Stats!$G$11=Norm_Stats!$F$11),"",MAX(0,MIN(100,100*(MIN(MAX(City_Inputs!$W82,Norm_Stats!$F$11),Norm_Stats!$G$11)-Norm_Stats!$F$11)/(Norm_Stats!$G$11-Norm_Stats!$F$11))))</f>
        <v/>
      </c>
      <c r="AB82" s="14">
        <f>IF(AA82="","",1)</f>
        <v/>
      </c>
      <c r="AC82" s="11">
        <f>IF(OR(City_Inputs!$X82="",Norm_Stats!$F$12="",Norm_Stats!$G$12="",Norm_Stats!$G$12=Norm_Stats!$F$12),"",MAX(0,MIN(100,100*(MIN(MAX(City_Inputs!$X82,Norm_Stats!$F$12),Norm_Stats!$G$12)-Norm_Stats!$F$12)/(Norm_Stats!$G$12-Norm_Stats!$F$12))))</f>
        <v/>
      </c>
      <c r="AD82" s="11">
        <f>IF(AC82="","",1)</f>
        <v/>
      </c>
      <c r="AE82" s="15">
        <f>IF((IF(S82="",0,5)+IF(U82="",0,5)+IF(W82="",0,4)+IF(Y82="",0,4)+IF(AA82="",0,4)+IF(AC82="",0,5))=0,"",(IF(S82="",0,S82*5)+IF(U82="",0,U82*5)+IF(W82="",0,W82*4)+IF(Y82="",0,Y82*4)+IF(AA82="",0,AA82*4)+IF(AC82="",0,AC82*5))/(IF(S82="",0,5)+IF(U82="",0,5)+IF(W82="",0,4)+IF(Y82="",0,4)+IF(AA82="",0,4)+IF(AC82="",0,5)))</f>
        <v/>
      </c>
      <c r="AF82" s="14">
        <f>IF((IF(T82="",0,5)+IF(V82="",0,5)+IF(X82="",0,4)+IF(Z82="",0,4)+IF(AB82="",0,4)+IF(AD82="",0,5))=0,"",(IF(T82="",0,T82*5)+IF(V82="",0,V82*5)+IF(X82="",0,X82*4)+IF(Z82="",0,Z82*4)+IF(AB82="",0,AB82*4)+IF(AD82="",0,AD82*5))/27)</f>
        <v/>
      </c>
      <c r="AG82" s="11">
        <f>IF(OR(City_Inputs!$Y82="",Norm_Stats!$F$13="",Norm_Stats!$G$13="",Norm_Stats!$G$13=Norm_Stats!$F$13),"",MAX(0,MIN(100,100*(MIN(MAX(City_Inputs!$Y82,Norm_Stats!$F$13),Norm_Stats!$G$13)-Norm_Stats!$F$13)/(Norm_Stats!$G$13-Norm_Stats!$F$13))))</f>
        <v/>
      </c>
      <c r="AH82" s="14">
        <f>IF(AG82="","",1)</f>
        <v/>
      </c>
      <c r="AI82" s="11">
        <f>IF(OR(City_Inputs!$Z82="",Norm_Stats!$F$14="",Norm_Stats!$G$14="",Norm_Stats!$G$14=Norm_Stats!$F$14),"",MAX(0,MIN(100,100*(MIN(MAX(City_Inputs!$Z82,Norm_Stats!$F$14),Norm_Stats!$G$14)-Norm_Stats!$F$14)/(Norm_Stats!$G$14-Norm_Stats!$F$14))))</f>
        <v/>
      </c>
      <c r="AJ82" s="14">
        <f>IF(AI82="","",1)</f>
        <v/>
      </c>
      <c r="AK82" s="11">
        <f>IF((IF((IF(OR(City_Inputs!$AA82="",Norm_Stats!$F$15="",Norm_Stats!$G$15="",Norm_Stats!$G$15=Norm_Stats!$F$15),"",MAX(0,MIN(100,100*(MIN(MAX(City_Inputs!$AA82,Norm_Stats!$F$15),Norm_Stats!$G$15)-Norm_Stats!$F$15)/(Norm_Stats!$G$15-Norm_Stats!$F$15)))))="",0,0.7)+IF((IF(OR(City_Inputs!$AL82="",Norm_Stats!$F$16="",Norm_Stats!$G$16="",Norm_Stats!$G$16=Norm_Stats!$F$16),"",MAX(0,MIN(100,100*(Norm_Stats!$G$16-MIN(MAX(City_Inputs!$AL82,Norm_Stats!$F$16),Norm_Stats!$G$16))/(Norm_Stats!$G$16-Norm_Stats!$F$16)))))="",0,0.3))=0,"",(IF((IF(OR(City_Inputs!$AA82="",Norm_Stats!$F$15="",Norm_Stats!$G$15="",Norm_Stats!$G$15=Norm_Stats!$F$15),"",MAX(0,MIN(100,100*(MIN(MAX(City_Inputs!$AA82,Norm_Stats!$F$15),Norm_Stats!$G$15)-Norm_Stats!$F$15)/(Norm_Stats!$G$15-Norm_Stats!$F$15)))))="",0,(IF(OR(City_Inputs!$AA82="",Norm_Stats!$F$15="",Norm_Stats!$G$15="",Norm_Stats!$G$15=Norm_Stats!$F$15),"",MAX(0,MIN(100,100*(MIN(MAX(City_Inputs!$AA82,Norm_Stats!$F$15),Norm_Stats!$G$15)-Norm_Stats!$F$15)/(Norm_Stats!$G$15-Norm_Stats!$F$15)))))*0.7)+IF((IF(OR(City_Inputs!$AL82="",Norm_Stats!$F$16="",Norm_Stats!$G$16="",Norm_Stats!$G$16=Norm_Stats!$F$16),"",MAX(0,MIN(100,100*(Norm_Stats!$G$16-MIN(MAX(City_Inputs!$AL82,Norm_Stats!$F$16),Norm_Stats!$G$16))/(Norm_Stats!$G$16-Norm_Stats!$F$16)))))="",0,(IF(OR(City_Inputs!$AL82="",Norm_Stats!$F$16="",Norm_Stats!$G$16="",Norm_Stats!$G$16=Norm_Stats!$F$16),"",MAX(0,MIN(100,100*(Norm_Stats!$G$16-MIN(MAX(City_Inputs!$AL82,Norm_Stats!$F$16),Norm_Stats!$G$16))/(Norm_Stats!$G$16-Norm_Stats!$F$16)))))*0.3))/(IF((IF(OR(City_Inputs!$AA82="",Norm_Stats!$F$15="",Norm_Stats!$G$15="",Norm_Stats!$G$15=Norm_Stats!$F$15),"",MAX(0,MIN(100,100*(MIN(MAX(City_Inputs!$AA82,Norm_Stats!$F$15),Norm_Stats!$G$15)-Norm_Stats!$F$15)/(Norm_Stats!$G$15-Norm_Stats!$F$15)))))="",0,0.7)+IF((IF(OR(City_Inputs!$AL82="",Norm_Stats!$F$16="",Norm_Stats!$G$16="",Norm_Stats!$G$16=Norm_Stats!$F$16),"",MAX(0,MIN(100,100*(Norm_Stats!$G$16-MIN(MAX(City_Inputs!$AL82,Norm_Stats!$F$16),Norm_Stats!$G$16))/(Norm_Stats!$G$16-Norm_Stats!$F$16)))))="",0,0.3)))</f>
        <v/>
      </c>
      <c r="AL82" s="14">
        <f>IF((IF((IF(OR(City_Inputs!$AA82="",Norm_Stats!$F$15="",Norm_Stats!$G$15="",Norm_Stats!$G$15=Norm_Stats!$F$15),"",MAX(0,MIN(100,100*(MIN(MAX(City_Inputs!$AA82,Norm_Stats!$F$15),Norm_Stats!$G$15)-Norm_Stats!$F$15)/(Norm_Stats!$G$15-Norm_Stats!$F$15)))))="",0,0.7)+IF((IF(OR(City_Inputs!$AL82="",Norm_Stats!$F$16="",Norm_Stats!$G$16="",Norm_Stats!$G$16=Norm_Stats!$F$16),"",MAX(0,MIN(100,100*(Norm_Stats!$G$16-MIN(MAX(City_Inputs!$AL82,Norm_Stats!$F$16),Norm_Stats!$G$16))/(Norm_Stats!$G$16-Norm_Stats!$F$16)))))="",0,0.3))=0,"",(IF((IF(OR(City_Inputs!$AA82="",Norm_Stats!$F$15="",Norm_Stats!$G$15="",Norm_Stats!$G$15=Norm_Stats!$F$15),"",MAX(0,MIN(100,100*(MIN(MAX(City_Inputs!$AA82,Norm_Stats!$F$15),Norm_Stats!$G$15)-Norm_Stats!$F$15)/(Norm_Stats!$G$15-Norm_Stats!$F$15)))))="",0,0.7)+IF((IF(OR(City_Inputs!$AL82="",Norm_Stats!$F$16="",Norm_Stats!$G$16="",Norm_Stats!$G$16=Norm_Stats!$F$16),"",MAX(0,MIN(100,100*(Norm_Stats!$G$16-MIN(MAX(City_Inputs!$AL82,Norm_Stats!$F$16),Norm_Stats!$G$16))/(Norm_Stats!$G$16-Norm_Stats!$F$16)))))="",0,0.3)))</f>
        <v/>
      </c>
      <c r="AM82" s="15">
        <f>IF((IF(AG82="",0,8)+IF(AI82="",0,6)+IF(AK82="",0,4))=0,"",(IF(AG82="",0,AG82*8)+IF(AI82="",0,AI82*6)+IF(AK82="",0,AK82*4))/(IF(AG82="",0,8)+IF(AI82="",0,6)+IF(AK82="",0,4)))</f>
        <v/>
      </c>
      <c r="AN82" s="14">
        <f>IF((IF(AH82="",0,8)+IF(AJ82="",0,6)+IF(AL82="",0,4))=0,"",(IF(AH82="",0,AH82*8)+IF(AJ82="",0,AJ82*6)+IF(AL82="",0,AL82*4))/18)</f>
        <v/>
      </c>
      <c r="AO82" s="11">
        <f>IF(OR(City_Inputs!$AB82="",Norm_Stats!$F$17="",Norm_Stats!$G$17="",Norm_Stats!$G$17=Norm_Stats!$F$17),"",MAX(0,MIN(100,100*(MIN(MAX(City_Inputs!$AB82,Norm_Stats!$F$17),Norm_Stats!$G$17)-Norm_Stats!$F$17)/(Norm_Stats!$G$17-Norm_Stats!$F$17))))</f>
        <v/>
      </c>
      <c r="AP82" s="14">
        <f>IF(AO82="","",1)</f>
        <v/>
      </c>
      <c r="AQ82" s="11">
        <f>IF(OR(City_Inputs!$AC82="",Norm_Stats!$F$18="",Norm_Stats!$G$18="",Norm_Stats!$G$18=Norm_Stats!$F$18),"",MAX(0,MIN(100,100*(MIN(MAX(City_Inputs!$AC82,Norm_Stats!$F$18),Norm_Stats!$G$18)-Norm_Stats!$F$18)/(Norm_Stats!$G$18-Norm_Stats!$F$18))))</f>
        <v/>
      </c>
      <c r="AR82" s="14">
        <f>IF(AQ82="","",1)</f>
        <v/>
      </c>
      <c r="AS82" s="11">
        <f>IF(OR(City_Inputs!$AD82="",Norm_Stats!$F$19="",Norm_Stats!$G$19="",Norm_Stats!$G$19=Norm_Stats!$F$19),"",MAX(0,MIN(100,100*(MIN(MAX(City_Inputs!$AD82,Norm_Stats!$F$19),Norm_Stats!$G$19)-Norm_Stats!$F$19)/(Norm_Stats!$G$19-Norm_Stats!$F$19))))</f>
        <v/>
      </c>
      <c r="AT82" s="14">
        <f>IF(AS82="","",1)</f>
        <v/>
      </c>
      <c r="AU82" s="11">
        <f>IF(OR(City_Inputs!$BJ82="",Norm_Stats!$F$26="",Norm_Stats!$G$26="",Norm_Stats!$G$26=Norm_Stats!$F$26),"",MAX(0,MIN(100,100*(MIN(MAX(City_Inputs!$BJ82,Norm_Stats!$F$26),Norm_Stats!$G$26)-Norm_Stats!$F$26)/(Norm_Stats!$G$26-Norm_Stats!$F$26))))</f>
        <v/>
      </c>
      <c r="AV82" s="11">
        <f>IF(AU82="","",1)</f>
        <v/>
      </c>
      <c r="AW82" s="15">
        <f>IF((IF(AO82="",0,5)+IF(AQ82="",0,5)+IF(AS82="",0,5)+IF(AU82="",0,4))=0,"",(IF(AO82="",0,AO82*5)+IF(AQ82="",0,AQ82*5)+IF(AS82="",0,AS82*5)+IF(AU82="",0,AU82*4))/(IF(AO82="",0,5)+IF(AQ82="",0,5)+IF(AS82="",0,5)+IF(AU82="",0,4)))</f>
        <v/>
      </c>
      <c r="AX82" s="14">
        <f>IF((IF(AP82="",0,5)+IF(AR82="",0,5)+IF(AT82="",0,5)+IF(AV82="",0,4))=0,"",(IF(AP82="",0,AP82*5)+IF(AR82="",0,AR82*5)+IF(AT82="",0,AT82*5)+IF(AV82="",0,AV82*4))/19)</f>
        <v/>
      </c>
      <c r="AY82" s="11">
        <f>IF(OR(City_Inputs!$AE82="",Norm_Stats!$F$20="",Norm_Stats!$G$20="",Norm_Stats!$G$20=Norm_Stats!$F$20),"",MAX(0,MIN(100,100*(MIN(MAX(City_Inputs!$AE82,Norm_Stats!$F$20),Norm_Stats!$G$20)-Norm_Stats!$F$20)/(Norm_Stats!$G$20-Norm_Stats!$F$20))))</f>
        <v/>
      </c>
      <c r="AZ82" s="14">
        <f>IF(AY82="","",1)</f>
        <v/>
      </c>
      <c r="BA82" s="11">
        <f>IF(OR(City_Inputs!$AF82="",Norm_Stats!$F$21="",Norm_Stats!$G$21="",Norm_Stats!$G$21=Norm_Stats!$F$21),"",MAX(0,MIN(100,100*(MIN(MAX(City_Inputs!$AF82,Norm_Stats!$F$21),Norm_Stats!$G$21)-Norm_Stats!$F$21)/(Norm_Stats!$G$21-Norm_Stats!$F$21))))</f>
        <v/>
      </c>
      <c r="BB82" s="14">
        <f>IF(BA82="","",1)</f>
        <v/>
      </c>
      <c r="BC82" s="11">
        <f>IF((IF((IF(OR(City_Inputs!$AG82="",Norm_Stats!$F$22="",Norm_Stats!$G$22="",Norm_Stats!$G$22=Norm_Stats!$F$22),"",MAX(0,MIN(100,100*(MIN(MAX(City_Inputs!$AG82,Norm_Stats!$F$22),Norm_Stats!$G$22)-Norm_Stats!$F$22)/(Norm_Stats!$G$22-Norm_Stats!$F$22)))))="",0,0.5)+IF((IF(OR(City_Inputs!$AJ82="",Norm_Stats!$F$23="",Norm_Stats!$G$23="",Norm_Stats!$G$23=Norm_Stats!$F$23),"",MAX(0,MIN(100,100*(MIN(MAX(City_Inputs!$AJ82,Norm_Stats!$F$23),Norm_Stats!$G$23)-Norm_Stats!$F$23)/(Norm_Stats!$G$23-Norm_Stats!$F$23)))))="",0,0.3)+IF((IF(OR(City_Inputs!$AK82="",Norm_Stats!$F$24="",Norm_Stats!$G$24="",Norm_Stats!$G$24=Norm_Stats!$F$24),"",MAX(0,MIN(100,100*(MIN(MAX(City_Inputs!$AK82,Norm_Stats!$F$24),Norm_Stats!$G$24)-Norm_Stats!$F$24)/(Norm_Stats!$G$24-Norm_Stats!$F$24)))))="",0,0.2))=0,"",(IF((IF(OR(City_Inputs!$AG82="",Norm_Stats!$F$22="",Norm_Stats!$G$22="",Norm_Stats!$G$22=Norm_Stats!$F$22),"",MAX(0,MIN(100,100*(MIN(MAX(City_Inputs!$AG82,Norm_Stats!$F$22),Norm_Stats!$G$22)-Norm_Stats!$F$22)/(Norm_Stats!$G$22-Norm_Stats!$F$22)))))="",0,(IF(OR(City_Inputs!$AG82="",Norm_Stats!$F$22="",Norm_Stats!$G$22="",Norm_Stats!$G$22=Norm_Stats!$F$22),"",MAX(0,MIN(100,100*(MIN(MAX(City_Inputs!$AG82,Norm_Stats!$F$22),Norm_Stats!$G$22)-Norm_Stats!$F$22)/(Norm_Stats!$G$22-Norm_Stats!$F$22)))))*0.5)+IF((IF(OR(City_Inputs!$AJ82="",Norm_Stats!$F$23="",Norm_Stats!$G$23="",Norm_Stats!$G$23=Norm_Stats!$F$23),"",MAX(0,MIN(100,100*(MIN(MAX(City_Inputs!$AJ82,Norm_Stats!$F$23),Norm_Stats!$G$23)-Norm_Stats!$F$23)/(Norm_Stats!$G$23-Norm_Stats!$F$23)))))="",0,(IF(OR(City_Inputs!$AJ82="",Norm_Stats!$F$23="",Norm_Stats!$G$23="",Norm_Stats!$G$23=Norm_Stats!$F$23),"",MAX(0,MIN(100,100*(MIN(MAX(City_Inputs!$AJ82,Norm_Stats!$F$23),Norm_Stats!$G$23)-Norm_Stats!$F$23)/(Norm_Stats!$G$23-Norm_Stats!$F$23)))))*0.3)+IF((IF(OR(City_Inputs!$AK82="",Norm_Stats!$F$24="",Norm_Stats!$G$24="",Norm_Stats!$G$24=Norm_Stats!$F$24),"",MAX(0,MIN(100,100*(MIN(MAX(City_Inputs!$AK82,Norm_Stats!$F$24),Norm_Stats!$G$24)-Norm_Stats!$F$24)/(Norm_Stats!$G$24-Norm_Stats!$F$24)))))="",0,(IF(OR(City_Inputs!$AK82="",Norm_Stats!$F$24="",Norm_Stats!$G$24="",Norm_Stats!$G$24=Norm_Stats!$F$24),"",MAX(0,MIN(100,100*(MIN(MAX(City_Inputs!$AK82,Norm_Stats!$F$24),Norm_Stats!$G$24)-Norm_Stats!$F$24)/(Norm_Stats!$G$24-Norm_Stats!$F$24)))))*0.2))/(IF((IF(OR(City_Inputs!$AG82="",Norm_Stats!$F$22="",Norm_Stats!$G$22="",Norm_Stats!$G$22=Norm_Stats!$F$22),"",MAX(0,MIN(100,100*(MIN(MAX(City_Inputs!$AG82,Norm_Stats!$F$22),Norm_Stats!$G$22)-Norm_Stats!$F$22)/(Norm_Stats!$G$22-Norm_Stats!$F$22)))))="",0,0.5)+IF((IF(OR(City_Inputs!$AJ82="",Norm_Stats!$F$23="",Norm_Stats!$G$23="",Norm_Stats!$G$23=Norm_Stats!$F$23),"",MAX(0,MIN(100,100*(MIN(MAX(City_Inputs!$AJ82,Norm_Stats!$F$23),Norm_Stats!$G$23)-Norm_Stats!$F$23)/(Norm_Stats!$G$23-Norm_Stats!$F$23)))))="",0,0.3)+IF((IF(OR(City_Inputs!$AK82="",Norm_Stats!$F$24="",Norm_Stats!$G$24="",Norm_Stats!$G$24=Norm_Stats!$F$24),"",MAX(0,MIN(100,100*(MIN(MAX(City_Inputs!$AK82,Norm_Stats!$F$24),Norm_Stats!$G$24)-Norm_Stats!$F$24)/(Norm_Stats!$G$24-Norm_Stats!$F$24)))))="",0,0.2)))</f>
        <v/>
      </c>
      <c r="BD82" s="14">
        <f>IF((IF((IF(OR(City_Inputs!$AG82="",Norm_Stats!$F$22="",Norm_Stats!$G$22="",Norm_Stats!$G$22=Norm_Stats!$F$22),"",MAX(0,MIN(100,100*(MIN(MAX(City_Inputs!$AG82,Norm_Stats!$F$22),Norm_Stats!$G$22)-Norm_Stats!$F$22)/(Norm_Stats!$G$22-Norm_Stats!$F$22)))))="",0,0.5)+IF((IF(OR(City_Inputs!$AJ82="",Norm_Stats!$F$23="",Norm_Stats!$G$23="",Norm_Stats!$G$23=Norm_Stats!$F$23),"",MAX(0,MIN(100,100*(MIN(MAX(City_Inputs!$AJ82,Norm_Stats!$F$23),Norm_Stats!$G$23)-Norm_Stats!$F$23)/(Norm_Stats!$G$23-Norm_Stats!$F$23)))))="",0,0.3)+IF((IF(OR(City_Inputs!$AK82="",Norm_Stats!$F$24="",Norm_Stats!$G$24="",Norm_Stats!$G$24=Norm_Stats!$F$24),"",MAX(0,MIN(100,100*(MIN(MAX(City_Inputs!$AK82,Norm_Stats!$F$24),Norm_Stats!$G$24)-Norm_Stats!$F$24)/(Norm_Stats!$G$24-Norm_Stats!$F$24)))))="",0,0.2))=0,"",(IF((IF(OR(City_Inputs!$AG82="",Norm_Stats!$F$22="",Norm_Stats!$G$22="",Norm_Stats!$G$22=Norm_Stats!$F$22),"",MAX(0,MIN(100,100*(MIN(MAX(City_Inputs!$AG82,Norm_Stats!$F$22),Norm_Stats!$G$22)-Norm_Stats!$F$22)/(Norm_Stats!$G$22-Norm_Stats!$F$22)))))="",0,0.5)+IF((IF(OR(City_Inputs!$AJ82="",Norm_Stats!$F$23="",Norm_Stats!$G$23="",Norm_Stats!$G$23=Norm_Stats!$F$23),"",MAX(0,MIN(100,100*(MIN(MAX(City_Inputs!$AJ82,Norm_Stats!$F$23),Norm_Stats!$G$23)-Norm_Stats!$F$23)/(Norm_Stats!$G$23-Norm_Stats!$F$23)))))="",0,0.3)+IF((IF(OR(City_Inputs!$AK82="",Norm_Stats!$F$24="",Norm_Stats!$G$24="",Norm_Stats!$G$24=Norm_Stats!$F$24),"",MAX(0,MIN(100,100*(MIN(MAX(City_Inputs!$AK82,Norm_Stats!$F$24),Norm_Stats!$G$24)-Norm_Stats!$F$24)/(Norm_Stats!$G$24-Norm_Stats!$F$24)))))="",0,0.2)))</f>
        <v/>
      </c>
      <c r="BE82" s="11">
        <f>IF(OR(City_Inputs!$AH82="",Norm_Stats!$F$25="",Norm_Stats!$G$25="",Norm_Stats!$G$25=Norm_Stats!$F$25),"",MAX(0,MIN(100,100*(Norm_Stats!$G$25-MIN(MAX(City_Inputs!$AH82,Norm_Stats!$F$25),Norm_Stats!$G$25))/(Norm_Stats!$G$25-Norm_Stats!$F$25))))</f>
        <v/>
      </c>
      <c r="BF82" s="14">
        <f>IF(BE82="","",1)</f>
        <v/>
      </c>
      <c r="BG82" s="15">
        <f>IF((IF(AY82="",0,6)+IF(BA82="",0,5)+IF(BC82="",0,5)+IF(BE82="",0,4))=0,"",(IF(AY82="",0,AY82*6)+IF(BA82="",0,BA82*5)+IF(BC82="",0,BC82*5)+IF(BE82="",0,BE82*4))/(IF(AY82="",0,6)+IF(BA82="",0,5)+IF(BC82="",0,5)+IF(BE82="",0,4)))</f>
        <v/>
      </c>
      <c r="BH82" s="14">
        <f>IF((IF(AZ82="",0,6)+IF(BB82="",0,5)+IF(BD82="",0,5)+IF(BF82="",0,4))=0,"",(IF(AZ82="",0,AZ82*6)+IF(BB82="",0,BB82*5)+IF(BD82="",0,BD82*5)+IF(BF82="",0,BF82*4))/20)</f>
        <v/>
      </c>
      <c r="BI82" s="14">
        <f>IF(AND(R82="",AF82="",AN82="",AX82="",BH82=""),"",((R82*25)+(AF82*22)+(AN82*18)+(AX82*15)+(BH82*20))/100)</f>
        <v/>
      </c>
      <c r="BJ82" s="11">
        <f>IF(BI82="","",IF(BI82&gt;=0.75,"A",IF(BI82&gt;=0.5,"B",IF(BI82&gt;=0.35,"C","Watchlist"))))</f>
        <v/>
      </c>
      <c r="BK82" s="11">
        <f>IF(OR(BI82="",BI82&lt;0.5,R82="",R82&lt;0.35,AF82="",AF82&lt;0.35,AN82="",AN82&lt;0.35,AX82="",AX82&lt;0.35,BH82="",BH82&lt;0.35),"Watchlist","Ranked")</f>
        <v/>
      </c>
      <c r="BL82" s="15">
        <f>IF(AND(Q82="",AE82="",AM82="",AW82="",BG82=""),"",(IF(Q82="",0,Q82*25)+IF(AE82="",0,AE82*22)+IF(AM82="",0,AM82*18)+IF(AW82="",0,AW82*15)+IF(BG82="",0,BG82*20))/(IF(Q82="",0,25)+IF(AE82="",0,22)+IF(AM82="",0,18)+IF(AW82="",0,15)+IF(BG82="",0,20)))</f>
        <v/>
      </c>
      <c r="BM82" s="11">
        <f>IF(BK82="Ranked",1+COUNTIFS($BK$2:$BK$158,"Ranked",$BL$2:$BL$158,"&gt;"&amp;BL82),"")</f>
        <v/>
      </c>
      <c r="BN82" s="11">
        <f>City_Inputs!$AI82</f>
        <v/>
      </c>
    </row>
    <row r="83">
      <c r="A83" t="inlineStr">
        <is>
          <t>qa-doha</t>
        </is>
      </c>
      <c r="B83" t="inlineStr">
        <is>
          <t>Doha</t>
        </is>
      </c>
      <c r="C83" t="inlineStr">
        <is>
          <t>Qatar</t>
        </is>
      </c>
      <c r="D83" t="inlineStr">
        <is>
          <t>Middle East</t>
        </is>
      </c>
      <c r="E83" t="inlineStr">
        <is>
          <t>locked</t>
        </is>
      </c>
      <c r="F83" t="inlineStr">
        <is>
          <t>primary</t>
        </is>
      </c>
      <c r="G83" s="11">
        <f>IF(OR(City_Inputs!$M83="",Norm_Stats!$F$2="",Norm_Stats!$G$2="",Norm_Stats!$G$2=Norm_Stats!$F$2),"",MAX(0,MIN(100,100*(MIN(MAX(City_Inputs!$M83,Norm_Stats!$F$2),Norm_Stats!$G$2)-Norm_Stats!$F$2)/(Norm_Stats!$G$2-Norm_Stats!$F$2))))</f>
        <v/>
      </c>
      <c r="H83" s="14">
        <f>IF(G83="","",1)</f>
        <v/>
      </c>
      <c r="I83" s="11">
        <f>IF(OR(City_Inputs!$N83="",Norm_Stats!$F$3="",Norm_Stats!$G$3="",Norm_Stats!$G$3=Norm_Stats!$F$3),"",MAX(0,MIN(100,100*(Norm_Stats!$G$3-MIN(MAX(City_Inputs!$N83,Norm_Stats!$F$3),Norm_Stats!$G$3))/(Norm_Stats!$G$3-Norm_Stats!$F$3))))</f>
        <v/>
      </c>
      <c r="J83" s="14">
        <f>IF(I83="","",1)</f>
        <v/>
      </c>
      <c r="K83" s="11">
        <f>IF(OR(City_Inputs!$P83="",Norm_Stats!$F$4="",Norm_Stats!$G$4="",Norm_Stats!$G$4=Norm_Stats!$F$4),"",MAX(0,MIN(100,100*(Norm_Stats!$G$4-MIN(MAX(City_Inputs!$P83,Norm_Stats!$F$4),Norm_Stats!$G$4))/(Norm_Stats!$G$4-Norm_Stats!$F$4))))</f>
        <v/>
      </c>
      <c r="L83" s="14">
        <f>IF(K83="","",1)</f>
        <v/>
      </c>
      <c r="M83" s="11">
        <f>IF(OR(City_Inputs!$Q83="",Norm_Stats!$F$5="",Norm_Stats!$G$5="",Norm_Stats!$G$5=Norm_Stats!$F$5),"",MAX(0,MIN(100,100*(Norm_Stats!$G$5-MIN(MAX(City_Inputs!$Q83,Norm_Stats!$F$5),Norm_Stats!$G$5))/(Norm_Stats!$G$5-Norm_Stats!$F$5))))</f>
        <v/>
      </c>
      <c r="N83" s="14">
        <f>IF(M83="","",1)</f>
        <v/>
      </c>
      <c r="O83" s="11">
        <f>IF(OR(City_Inputs!$R83="",Norm_Stats!$F$6="",Norm_Stats!$G$6="",Norm_Stats!$G$6=Norm_Stats!$F$6),"",MAX(0,MIN(100,100*(Norm_Stats!$G$6-MIN(MAX(City_Inputs!$R83,Norm_Stats!$F$6),Norm_Stats!$G$6))/(Norm_Stats!$G$6-Norm_Stats!$F$6))))</f>
        <v/>
      </c>
      <c r="P83" s="14">
        <f>IF(O83="","",1)</f>
        <v/>
      </c>
      <c r="Q83" s="15">
        <f>IF((IF(G83="",0,9)+IF(I83="",0,5)+IF(K83="",0,4)+IF(M83="",0,4)+IF(O83="",0,5))=0,"",(IF(G83="",0,G83*9)+IF(I83="",0,I83*5)+IF(K83="",0,K83*4)+IF(M83="",0,M83*4)+IF(O83="",0,O83*5))/(IF(G83="",0,9)+IF(I83="",0,5)+IF(K83="",0,4)+IF(M83="",0,4)+IF(O83="",0,5)))</f>
        <v/>
      </c>
      <c r="R83" s="14">
        <f>IF((IF(H83="",0,9)+IF(J83="",0,5)+IF(L83="",0,4)+IF(N83="",0,4)+IF(P83="",0,5))=0,"",(IF(H83="",0,H83*9)+IF(J83="",0,J83*5)+IF(L83="",0,L83*4)+IF(N83="",0,N83*4)+IF(P83="",0,P83*5))/27)</f>
        <v/>
      </c>
      <c r="S83" s="11">
        <f>IF(OR(City_Inputs!$S83="",Norm_Stats!$F$7="",Norm_Stats!$G$7="",Norm_Stats!$G$7=Norm_Stats!$F$7),"",MAX(0,MIN(100,100*(Norm_Stats!$G$7-MIN(MAX(City_Inputs!$S83,Norm_Stats!$F$7),Norm_Stats!$G$7))/(Norm_Stats!$G$7-Norm_Stats!$F$7))))</f>
        <v/>
      </c>
      <c r="T83" s="14">
        <f>IF(S83="","",1)</f>
        <v/>
      </c>
      <c r="U83" s="11">
        <f>IF(OR(City_Inputs!$T83="",Norm_Stats!$F$8="",Norm_Stats!$G$8="",Norm_Stats!$G$8=Norm_Stats!$F$8),"",MAX(0,MIN(100,100*(MIN(MAX(City_Inputs!$T83,Norm_Stats!$F$8),Norm_Stats!$G$8)-Norm_Stats!$F$8)/(Norm_Stats!$G$8-Norm_Stats!$F$8))))</f>
        <v/>
      </c>
      <c r="V83" s="14">
        <f>IF(U83="","",1)</f>
        <v/>
      </c>
      <c r="W83" s="11">
        <f>IF(OR(City_Inputs!$U83="",Norm_Stats!$F$9="",Norm_Stats!$G$9="",Norm_Stats!$G$9=Norm_Stats!$F$9),"",MAX(0,MIN(100,100*(Norm_Stats!$G$9-MIN(MAX(City_Inputs!$U83,Norm_Stats!$F$9),Norm_Stats!$G$9))/(Norm_Stats!$G$9-Norm_Stats!$F$9))))</f>
        <v/>
      </c>
      <c r="X83" s="14">
        <f>IF(W83="","",1)</f>
        <v/>
      </c>
      <c r="Y83" s="11">
        <f>IF(OR(City_Inputs!$V83="",Norm_Stats!$F$10="",Norm_Stats!$G$10="",Norm_Stats!$G$10=Norm_Stats!$F$10),"",MAX(0,MIN(100,100*(MIN(MAX(City_Inputs!$V83,Norm_Stats!$F$10),Norm_Stats!$G$10)-Norm_Stats!$F$10)/(Norm_Stats!$G$10-Norm_Stats!$F$10))))</f>
        <v/>
      </c>
      <c r="Z83" s="14">
        <f>IF(Y83="","",1)</f>
        <v/>
      </c>
      <c r="AA83" s="11">
        <f>IF(OR(City_Inputs!$W83="",Norm_Stats!$F$11="",Norm_Stats!$G$11="",Norm_Stats!$G$11=Norm_Stats!$F$11),"",MAX(0,MIN(100,100*(MIN(MAX(City_Inputs!$W83,Norm_Stats!$F$11),Norm_Stats!$G$11)-Norm_Stats!$F$11)/(Norm_Stats!$G$11-Norm_Stats!$F$11))))</f>
        <v/>
      </c>
      <c r="AB83" s="14">
        <f>IF(AA83="","",1)</f>
        <v/>
      </c>
      <c r="AC83" s="11">
        <f>IF(OR(City_Inputs!$X83="",Norm_Stats!$F$12="",Norm_Stats!$G$12="",Norm_Stats!$G$12=Norm_Stats!$F$12),"",MAX(0,MIN(100,100*(MIN(MAX(City_Inputs!$X83,Norm_Stats!$F$12),Norm_Stats!$G$12)-Norm_Stats!$F$12)/(Norm_Stats!$G$12-Norm_Stats!$F$12))))</f>
        <v/>
      </c>
      <c r="AD83" s="11">
        <f>IF(AC83="","",1)</f>
        <v/>
      </c>
      <c r="AE83" s="15">
        <f>IF((IF(S83="",0,5)+IF(U83="",0,5)+IF(W83="",0,4)+IF(Y83="",0,4)+IF(AA83="",0,4)+IF(AC83="",0,5))=0,"",(IF(S83="",0,S83*5)+IF(U83="",0,U83*5)+IF(W83="",0,W83*4)+IF(Y83="",0,Y83*4)+IF(AA83="",0,AA83*4)+IF(AC83="",0,AC83*5))/(IF(S83="",0,5)+IF(U83="",0,5)+IF(W83="",0,4)+IF(Y83="",0,4)+IF(AA83="",0,4)+IF(AC83="",0,5)))</f>
        <v/>
      </c>
      <c r="AF83" s="14">
        <f>IF((IF(T83="",0,5)+IF(V83="",0,5)+IF(X83="",0,4)+IF(Z83="",0,4)+IF(AB83="",0,4)+IF(AD83="",0,5))=0,"",(IF(T83="",0,T83*5)+IF(V83="",0,V83*5)+IF(X83="",0,X83*4)+IF(Z83="",0,Z83*4)+IF(AB83="",0,AB83*4)+IF(AD83="",0,AD83*5))/27)</f>
        <v/>
      </c>
      <c r="AG83" s="11">
        <f>IF(OR(City_Inputs!$Y83="",Norm_Stats!$F$13="",Norm_Stats!$G$13="",Norm_Stats!$G$13=Norm_Stats!$F$13),"",MAX(0,MIN(100,100*(MIN(MAX(City_Inputs!$Y83,Norm_Stats!$F$13),Norm_Stats!$G$13)-Norm_Stats!$F$13)/(Norm_Stats!$G$13-Norm_Stats!$F$13))))</f>
        <v/>
      </c>
      <c r="AH83" s="14">
        <f>IF(AG83="","",1)</f>
        <v/>
      </c>
      <c r="AI83" s="11">
        <f>IF(OR(City_Inputs!$Z83="",Norm_Stats!$F$14="",Norm_Stats!$G$14="",Norm_Stats!$G$14=Norm_Stats!$F$14),"",MAX(0,MIN(100,100*(MIN(MAX(City_Inputs!$Z83,Norm_Stats!$F$14),Norm_Stats!$G$14)-Norm_Stats!$F$14)/(Norm_Stats!$G$14-Norm_Stats!$F$14))))</f>
        <v/>
      </c>
      <c r="AJ83" s="14">
        <f>IF(AI83="","",1)</f>
        <v/>
      </c>
      <c r="AK83" s="11">
        <f>IF((IF((IF(OR(City_Inputs!$AA83="",Norm_Stats!$F$15="",Norm_Stats!$G$15="",Norm_Stats!$G$15=Norm_Stats!$F$15),"",MAX(0,MIN(100,100*(MIN(MAX(City_Inputs!$AA83,Norm_Stats!$F$15),Norm_Stats!$G$15)-Norm_Stats!$F$15)/(Norm_Stats!$G$15-Norm_Stats!$F$15)))))="",0,0.7)+IF((IF(OR(City_Inputs!$AL83="",Norm_Stats!$F$16="",Norm_Stats!$G$16="",Norm_Stats!$G$16=Norm_Stats!$F$16),"",MAX(0,MIN(100,100*(Norm_Stats!$G$16-MIN(MAX(City_Inputs!$AL83,Norm_Stats!$F$16),Norm_Stats!$G$16))/(Norm_Stats!$G$16-Norm_Stats!$F$16)))))="",0,0.3))=0,"",(IF((IF(OR(City_Inputs!$AA83="",Norm_Stats!$F$15="",Norm_Stats!$G$15="",Norm_Stats!$G$15=Norm_Stats!$F$15),"",MAX(0,MIN(100,100*(MIN(MAX(City_Inputs!$AA83,Norm_Stats!$F$15),Norm_Stats!$G$15)-Norm_Stats!$F$15)/(Norm_Stats!$G$15-Norm_Stats!$F$15)))))="",0,(IF(OR(City_Inputs!$AA83="",Norm_Stats!$F$15="",Norm_Stats!$G$15="",Norm_Stats!$G$15=Norm_Stats!$F$15),"",MAX(0,MIN(100,100*(MIN(MAX(City_Inputs!$AA83,Norm_Stats!$F$15),Norm_Stats!$G$15)-Norm_Stats!$F$15)/(Norm_Stats!$G$15-Norm_Stats!$F$15)))))*0.7)+IF((IF(OR(City_Inputs!$AL83="",Norm_Stats!$F$16="",Norm_Stats!$G$16="",Norm_Stats!$G$16=Norm_Stats!$F$16),"",MAX(0,MIN(100,100*(Norm_Stats!$G$16-MIN(MAX(City_Inputs!$AL83,Norm_Stats!$F$16),Norm_Stats!$G$16))/(Norm_Stats!$G$16-Norm_Stats!$F$16)))))="",0,(IF(OR(City_Inputs!$AL83="",Norm_Stats!$F$16="",Norm_Stats!$G$16="",Norm_Stats!$G$16=Norm_Stats!$F$16),"",MAX(0,MIN(100,100*(Norm_Stats!$G$16-MIN(MAX(City_Inputs!$AL83,Norm_Stats!$F$16),Norm_Stats!$G$16))/(Norm_Stats!$G$16-Norm_Stats!$F$16)))))*0.3))/(IF((IF(OR(City_Inputs!$AA83="",Norm_Stats!$F$15="",Norm_Stats!$G$15="",Norm_Stats!$G$15=Norm_Stats!$F$15),"",MAX(0,MIN(100,100*(MIN(MAX(City_Inputs!$AA83,Norm_Stats!$F$15),Norm_Stats!$G$15)-Norm_Stats!$F$15)/(Norm_Stats!$G$15-Norm_Stats!$F$15)))))="",0,0.7)+IF((IF(OR(City_Inputs!$AL83="",Norm_Stats!$F$16="",Norm_Stats!$G$16="",Norm_Stats!$G$16=Norm_Stats!$F$16),"",MAX(0,MIN(100,100*(Norm_Stats!$G$16-MIN(MAX(City_Inputs!$AL83,Norm_Stats!$F$16),Norm_Stats!$G$16))/(Norm_Stats!$G$16-Norm_Stats!$F$16)))))="",0,0.3)))</f>
        <v/>
      </c>
      <c r="AL83" s="14">
        <f>IF((IF((IF(OR(City_Inputs!$AA83="",Norm_Stats!$F$15="",Norm_Stats!$G$15="",Norm_Stats!$G$15=Norm_Stats!$F$15),"",MAX(0,MIN(100,100*(MIN(MAX(City_Inputs!$AA83,Norm_Stats!$F$15),Norm_Stats!$G$15)-Norm_Stats!$F$15)/(Norm_Stats!$G$15-Norm_Stats!$F$15)))))="",0,0.7)+IF((IF(OR(City_Inputs!$AL83="",Norm_Stats!$F$16="",Norm_Stats!$G$16="",Norm_Stats!$G$16=Norm_Stats!$F$16),"",MAX(0,MIN(100,100*(Norm_Stats!$G$16-MIN(MAX(City_Inputs!$AL83,Norm_Stats!$F$16),Norm_Stats!$G$16))/(Norm_Stats!$G$16-Norm_Stats!$F$16)))))="",0,0.3))=0,"",(IF((IF(OR(City_Inputs!$AA83="",Norm_Stats!$F$15="",Norm_Stats!$G$15="",Norm_Stats!$G$15=Norm_Stats!$F$15),"",MAX(0,MIN(100,100*(MIN(MAX(City_Inputs!$AA83,Norm_Stats!$F$15),Norm_Stats!$G$15)-Norm_Stats!$F$15)/(Norm_Stats!$G$15-Norm_Stats!$F$15)))))="",0,0.7)+IF((IF(OR(City_Inputs!$AL83="",Norm_Stats!$F$16="",Norm_Stats!$G$16="",Norm_Stats!$G$16=Norm_Stats!$F$16),"",MAX(0,MIN(100,100*(Norm_Stats!$G$16-MIN(MAX(City_Inputs!$AL83,Norm_Stats!$F$16),Norm_Stats!$G$16))/(Norm_Stats!$G$16-Norm_Stats!$F$16)))))="",0,0.3)))</f>
        <v/>
      </c>
      <c r="AM83" s="15">
        <f>IF((IF(AG83="",0,8)+IF(AI83="",0,6)+IF(AK83="",0,4))=0,"",(IF(AG83="",0,AG83*8)+IF(AI83="",0,AI83*6)+IF(AK83="",0,AK83*4))/(IF(AG83="",0,8)+IF(AI83="",0,6)+IF(AK83="",0,4)))</f>
        <v/>
      </c>
      <c r="AN83" s="14">
        <f>IF((IF(AH83="",0,8)+IF(AJ83="",0,6)+IF(AL83="",0,4))=0,"",(IF(AH83="",0,AH83*8)+IF(AJ83="",0,AJ83*6)+IF(AL83="",0,AL83*4))/18)</f>
        <v/>
      </c>
      <c r="AO83" s="11">
        <f>IF(OR(City_Inputs!$AB83="",Norm_Stats!$F$17="",Norm_Stats!$G$17="",Norm_Stats!$G$17=Norm_Stats!$F$17),"",MAX(0,MIN(100,100*(MIN(MAX(City_Inputs!$AB83,Norm_Stats!$F$17),Norm_Stats!$G$17)-Norm_Stats!$F$17)/(Norm_Stats!$G$17-Norm_Stats!$F$17))))</f>
        <v/>
      </c>
      <c r="AP83" s="14">
        <f>IF(AO83="","",1)</f>
        <v/>
      </c>
      <c r="AQ83" s="11">
        <f>IF(OR(City_Inputs!$AC83="",Norm_Stats!$F$18="",Norm_Stats!$G$18="",Norm_Stats!$G$18=Norm_Stats!$F$18),"",MAX(0,MIN(100,100*(MIN(MAX(City_Inputs!$AC83,Norm_Stats!$F$18),Norm_Stats!$G$18)-Norm_Stats!$F$18)/(Norm_Stats!$G$18-Norm_Stats!$F$18))))</f>
        <v/>
      </c>
      <c r="AR83" s="14">
        <f>IF(AQ83="","",1)</f>
        <v/>
      </c>
      <c r="AS83" s="11">
        <f>IF(OR(City_Inputs!$AD83="",Norm_Stats!$F$19="",Norm_Stats!$G$19="",Norm_Stats!$G$19=Norm_Stats!$F$19),"",MAX(0,MIN(100,100*(MIN(MAX(City_Inputs!$AD83,Norm_Stats!$F$19),Norm_Stats!$G$19)-Norm_Stats!$F$19)/(Norm_Stats!$G$19-Norm_Stats!$F$19))))</f>
        <v/>
      </c>
      <c r="AT83" s="14">
        <f>IF(AS83="","",1)</f>
        <v/>
      </c>
      <c r="AU83" s="11">
        <f>IF(OR(City_Inputs!$BJ83="",Norm_Stats!$F$26="",Norm_Stats!$G$26="",Norm_Stats!$G$26=Norm_Stats!$F$26),"",MAX(0,MIN(100,100*(MIN(MAX(City_Inputs!$BJ83,Norm_Stats!$F$26),Norm_Stats!$G$26)-Norm_Stats!$F$26)/(Norm_Stats!$G$26-Norm_Stats!$F$26))))</f>
        <v/>
      </c>
      <c r="AV83" s="11">
        <f>IF(AU83="","",1)</f>
        <v/>
      </c>
      <c r="AW83" s="15">
        <f>IF((IF(AO83="",0,5)+IF(AQ83="",0,5)+IF(AS83="",0,5)+IF(AU83="",0,4))=0,"",(IF(AO83="",0,AO83*5)+IF(AQ83="",0,AQ83*5)+IF(AS83="",0,AS83*5)+IF(AU83="",0,AU83*4))/(IF(AO83="",0,5)+IF(AQ83="",0,5)+IF(AS83="",0,5)+IF(AU83="",0,4)))</f>
        <v/>
      </c>
      <c r="AX83" s="14">
        <f>IF((IF(AP83="",0,5)+IF(AR83="",0,5)+IF(AT83="",0,5)+IF(AV83="",0,4))=0,"",(IF(AP83="",0,AP83*5)+IF(AR83="",0,AR83*5)+IF(AT83="",0,AT83*5)+IF(AV83="",0,AV83*4))/19)</f>
        <v/>
      </c>
      <c r="AY83" s="11">
        <f>IF(OR(City_Inputs!$AE83="",Norm_Stats!$F$20="",Norm_Stats!$G$20="",Norm_Stats!$G$20=Norm_Stats!$F$20),"",MAX(0,MIN(100,100*(MIN(MAX(City_Inputs!$AE83,Norm_Stats!$F$20),Norm_Stats!$G$20)-Norm_Stats!$F$20)/(Norm_Stats!$G$20-Norm_Stats!$F$20))))</f>
        <v/>
      </c>
      <c r="AZ83" s="14">
        <f>IF(AY83="","",1)</f>
        <v/>
      </c>
      <c r="BA83" s="11">
        <f>IF(OR(City_Inputs!$AF83="",Norm_Stats!$F$21="",Norm_Stats!$G$21="",Norm_Stats!$G$21=Norm_Stats!$F$21),"",MAX(0,MIN(100,100*(MIN(MAX(City_Inputs!$AF83,Norm_Stats!$F$21),Norm_Stats!$G$21)-Norm_Stats!$F$21)/(Norm_Stats!$G$21-Norm_Stats!$F$21))))</f>
        <v/>
      </c>
      <c r="BB83" s="14">
        <f>IF(BA83="","",1)</f>
        <v/>
      </c>
      <c r="BC83" s="11">
        <f>IF((IF((IF(OR(City_Inputs!$AG83="",Norm_Stats!$F$22="",Norm_Stats!$G$22="",Norm_Stats!$G$22=Norm_Stats!$F$22),"",MAX(0,MIN(100,100*(MIN(MAX(City_Inputs!$AG83,Norm_Stats!$F$22),Norm_Stats!$G$22)-Norm_Stats!$F$22)/(Norm_Stats!$G$22-Norm_Stats!$F$22)))))="",0,0.5)+IF((IF(OR(City_Inputs!$AJ83="",Norm_Stats!$F$23="",Norm_Stats!$G$23="",Norm_Stats!$G$23=Norm_Stats!$F$23),"",MAX(0,MIN(100,100*(MIN(MAX(City_Inputs!$AJ83,Norm_Stats!$F$23),Norm_Stats!$G$23)-Norm_Stats!$F$23)/(Norm_Stats!$G$23-Norm_Stats!$F$23)))))="",0,0.3)+IF((IF(OR(City_Inputs!$AK83="",Norm_Stats!$F$24="",Norm_Stats!$G$24="",Norm_Stats!$G$24=Norm_Stats!$F$24),"",MAX(0,MIN(100,100*(MIN(MAX(City_Inputs!$AK83,Norm_Stats!$F$24),Norm_Stats!$G$24)-Norm_Stats!$F$24)/(Norm_Stats!$G$24-Norm_Stats!$F$24)))))="",0,0.2))=0,"",(IF((IF(OR(City_Inputs!$AG83="",Norm_Stats!$F$22="",Norm_Stats!$G$22="",Norm_Stats!$G$22=Norm_Stats!$F$22),"",MAX(0,MIN(100,100*(MIN(MAX(City_Inputs!$AG83,Norm_Stats!$F$22),Norm_Stats!$G$22)-Norm_Stats!$F$22)/(Norm_Stats!$G$22-Norm_Stats!$F$22)))))="",0,(IF(OR(City_Inputs!$AG83="",Norm_Stats!$F$22="",Norm_Stats!$G$22="",Norm_Stats!$G$22=Norm_Stats!$F$22),"",MAX(0,MIN(100,100*(MIN(MAX(City_Inputs!$AG83,Norm_Stats!$F$22),Norm_Stats!$G$22)-Norm_Stats!$F$22)/(Norm_Stats!$G$22-Norm_Stats!$F$22)))))*0.5)+IF((IF(OR(City_Inputs!$AJ83="",Norm_Stats!$F$23="",Norm_Stats!$G$23="",Norm_Stats!$G$23=Norm_Stats!$F$23),"",MAX(0,MIN(100,100*(MIN(MAX(City_Inputs!$AJ83,Norm_Stats!$F$23),Norm_Stats!$G$23)-Norm_Stats!$F$23)/(Norm_Stats!$G$23-Norm_Stats!$F$23)))))="",0,(IF(OR(City_Inputs!$AJ83="",Norm_Stats!$F$23="",Norm_Stats!$G$23="",Norm_Stats!$G$23=Norm_Stats!$F$23),"",MAX(0,MIN(100,100*(MIN(MAX(City_Inputs!$AJ83,Norm_Stats!$F$23),Norm_Stats!$G$23)-Norm_Stats!$F$23)/(Norm_Stats!$G$23-Norm_Stats!$F$23)))))*0.3)+IF((IF(OR(City_Inputs!$AK83="",Norm_Stats!$F$24="",Norm_Stats!$G$24="",Norm_Stats!$G$24=Norm_Stats!$F$24),"",MAX(0,MIN(100,100*(MIN(MAX(City_Inputs!$AK83,Norm_Stats!$F$24),Norm_Stats!$G$24)-Norm_Stats!$F$24)/(Norm_Stats!$G$24-Norm_Stats!$F$24)))))="",0,(IF(OR(City_Inputs!$AK83="",Norm_Stats!$F$24="",Norm_Stats!$G$24="",Norm_Stats!$G$24=Norm_Stats!$F$24),"",MAX(0,MIN(100,100*(MIN(MAX(City_Inputs!$AK83,Norm_Stats!$F$24),Norm_Stats!$G$24)-Norm_Stats!$F$24)/(Norm_Stats!$G$24-Norm_Stats!$F$24)))))*0.2))/(IF((IF(OR(City_Inputs!$AG83="",Norm_Stats!$F$22="",Norm_Stats!$G$22="",Norm_Stats!$G$22=Norm_Stats!$F$22),"",MAX(0,MIN(100,100*(MIN(MAX(City_Inputs!$AG83,Norm_Stats!$F$22),Norm_Stats!$G$22)-Norm_Stats!$F$22)/(Norm_Stats!$G$22-Norm_Stats!$F$22)))))="",0,0.5)+IF((IF(OR(City_Inputs!$AJ83="",Norm_Stats!$F$23="",Norm_Stats!$G$23="",Norm_Stats!$G$23=Norm_Stats!$F$23),"",MAX(0,MIN(100,100*(MIN(MAX(City_Inputs!$AJ83,Norm_Stats!$F$23),Norm_Stats!$G$23)-Norm_Stats!$F$23)/(Norm_Stats!$G$23-Norm_Stats!$F$23)))))="",0,0.3)+IF((IF(OR(City_Inputs!$AK83="",Norm_Stats!$F$24="",Norm_Stats!$G$24="",Norm_Stats!$G$24=Norm_Stats!$F$24),"",MAX(0,MIN(100,100*(MIN(MAX(City_Inputs!$AK83,Norm_Stats!$F$24),Norm_Stats!$G$24)-Norm_Stats!$F$24)/(Norm_Stats!$G$24-Norm_Stats!$F$24)))))="",0,0.2)))</f>
        <v/>
      </c>
      <c r="BD83" s="14">
        <f>IF((IF((IF(OR(City_Inputs!$AG83="",Norm_Stats!$F$22="",Norm_Stats!$G$22="",Norm_Stats!$G$22=Norm_Stats!$F$22),"",MAX(0,MIN(100,100*(MIN(MAX(City_Inputs!$AG83,Norm_Stats!$F$22),Norm_Stats!$G$22)-Norm_Stats!$F$22)/(Norm_Stats!$G$22-Norm_Stats!$F$22)))))="",0,0.5)+IF((IF(OR(City_Inputs!$AJ83="",Norm_Stats!$F$23="",Norm_Stats!$G$23="",Norm_Stats!$G$23=Norm_Stats!$F$23),"",MAX(0,MIN(100,100*(MIN(MAX(City_Inputs!$AJ83,Norm_Stats!$F$23),Norm_Stats!$G$23)-Norm_Stats!$F$23)/(Norm_Stats!$G$23-Norm_Stats!$F$23)))))="",0,0.3)+IF((IF(OR(City_Inputs!$AK83="",Norm_Stats!$F$24="",Norm_Stats!$G$24="",Norm_Stats!$G$24=Norm_Stats!$F$24),"",MAX(0,MIN(100,100*(MIN(MAX(City_Inputs!$AK83,Norm_Stats!$F$24),Norm_Stats!$G$24)-Norm_Stats!$F$24)/(Norm_Stats!$G$24-Norm_Stats!$F$24)))))="",0,0.2))=0,"",(IF((IF(OR(City_Inputs!$AG83="",Norm_Stats!$F$22="",Norm_Stats!$G$22="",Norm_Stats!$G$22=Norm_Stats!$F$22),"",MAX(0,MIN(100,100*(MIN(MAX(City_Inputs!$AG83,Norm_Stats!$F$22),Norm_Stats!$G$22)-Norm_Stats!$F$22)/(Norm_Stats!$G$22-Norm_Stats!$F$22)))))="",0,0.5)+IF((IF(OR(City_Inputs!$AJ83="",Norm_Stats!$F$23="",Norm_Stats!$G$23="",Norm_Stats!$G$23=Norm_Stats!$F$23),"",MAX(0,MIN(100,100*(MIN(MAX(City_Inputs!$AJ83,Norm_Stats!$F$23),Norm_Stats!$G$23)-Norm_Stats!$F$23)/(Norm_Stats!$G$23-Norm_Stats!$F$23)))))="",0,0.3)+IF((IF(OR(City_Inputs!$AK83="",Norm_Stats!$F$24="",Norm_Stats!$G$24="",Norm_Stats!$G$24=Norm_Stats!$F$24),"",MAX(0,MIN(100,100*(MIN(MAX(City_Inputs!$AK83,Norm_Stats!$F$24),Norm_Stats!$G$24)-Norm_Stats!$F$24)/(Norm_Stats!$G$24-Norm_Stats!$F$24)))))="",0,0.2)))</f>
        <v/>
      </c>
      <c r="BE83" s="11">
        <f>IF(OR(City_Inputs!$AH83="",Norm_Stats!$F$25="",Norm_Stats!$G$25="",Norm_Stats!$G$25=Norm_Stats!$F$25),"",MAX(0,MIN(100,100*(Norm_Stats!$G$25-MIN(MAX(City_Inputs!$AH83,Norm_Stats!$F$25),Norm_Stats!$G$25))/(Norm_Stats!$G$25-Norm_Stats!$F$25))))</f>
        <v/>
      </c>
      <c r="BF83" s="14">
        <f>IF(BE83="","",1)</f>
        <v/>
      </c>
      <c r="BG83" s="15">
        <f>IF((IF(AY83="",0,6)+IF(BA83="",0,5)+IF(BC83="",0,5)+IF(BE83="",0,4))=0,"",(IF(AY83="",0,AY83*6)+IF(BA83="",0,BA83*5)+IF(BC83="",0,BC83*5)+IF(BE83="",0,BE83*4))/(IF(AY83="",0,6)+IF(BA83="",0,5)+IF(BC83="",0,5)+IF(BE83="",0,4)))</f>
        <v/>
      </c>
      <c r="BH83" s="14">
        <f>IF((IF(AZ83="",0,6)+IF(BB83="",0,5)+IF(BD83="",0,5)+IF(BF83="",0,4))=0,"",(IF(AZ83="",0,AZ83*6)+IF(BB83="",0,BB83*5)+IF(BD83="",0,BD83*5)+IF(BF83="",0,BF83*4))/20)</f>
        <v/>
      </c>
      <c r="BI83" s="14">
        <f>IF(AND(R83="",AF83="",AN83="",AX83="",BH83=""),"",((R83*25)+(AF83*22)+(AN83*18)+(AX83*15)+(BH83*20))/100)</f>
        <v/>
      </c>
      <c r="BJ83" s="11">
        <f>IF(BI83="","",IF(BI83&gt;=0.75,"A",IF(BI83&gt;=0.5,"B",IF(BI83&gt;=0.35,"C","Watchlist"))))</f>
        <v/>
      </c>
      <c r="BK83" s="11">
        <f>IF(OR(BI83="",BI83&lt;0.5,R83="",R83&lt;0.35,AF83="",AF83&lt;0.35,AN83="",AN83&lt;0.35,AX83="",AX83&lt;0.35,BH83="",BH83&lt;0.35),"Watchlist","Ranked")</f>
        <v/>
      </c>
      <c r="BL83" s="15">
        <f>IF(AND(Q83="",AE83="",AM83="",AW83="",BG83=""),"",(IF(Q83="",0,Q83*25)+IF(AE83="",0,AE83*22)+IF(AM83="",0,AM83*18)+IF(AW83="",0,AW83*15)+IF(BG83="",0,BG83*20))/(IF(Q83="",0,25)+IF(AE83="",0,22)+IF(AM83="",0,18)+IF(AW83="",0,15)+IF(BG83="",0,20)))</f>
        <v/>
      </c>
      <c r="BM83" s="11">
        <f>IF(BK83="Ranked",1+COUNTIFS($BK$2:$BK$158,"Ranked",$BL$2:$BL$158,"&gt;"&amp;BL83),"")</f>
        <v/>
      </c>
      <c r="BN83" s="11">
        <f>City_Inputs!$AI83</f>
        <v/>
      </c>
    </row>
    <row r="84">
      <c r="A84" t="inlineStr">
        <is>
          <t>sa-riyadh</t>
        </is>
      </c>
      <c r="B84" t="inlineStr">
        <is>
          <t>Riyadh</t>
        </is>
      </c>
      <c r="C84" t="inlineStr">
        <is>
          <t>Saudi Arabia</t>
        </is>
      </c>
      <c r="D84" t="inlineStr">
        <is>
          <t>Middle East</t>
        </is>
      </c>
      <c r="E84" t="inlineStr">
        <is>
          <t>provisional</t>
        </is>
      </c>
      <c r="F84" t="inlineStr">
        <is>
          <t>primary</t>
        </is>
      </c>
      <c r="G84" s="11">
        <f>IF(OR(City_Inputs!$M84="",Norm_Stats!$F$2="",Norm_Stats!$G$2="",Norm_Stats!$G$2=Norm_Stats!$F$2),"",MAX(0,MIN(100,100*(MIN(MAX(City_Inputs!$M84,Norm_Stats!$F$2),Norm_Stats!$G$2)-Norm_Stats!$F$2)/(Norm_Stats!$G$2-Norm_Stats!$F$2))))</f>
        <v/>
      </c>
      <c r="H84" s="14">
        <f>IF(G84="","",1)</f>
        <v/>
      </c>
      <c r="I84" s="11">
        <f>IF(OR(City_Inputs!$N84="",Norm_Stats!$F$3="",Norm_Stats!$G$3="",Norm_Stats!$G$3=Norm_Stats!$F$3),"",MAX(0,MIN(100,100*(Norm_Stats!$G$3-MIN(MAX(City_Inputs!$N84,Norm_Stats!$F$3),Norm_Stats!$G$3))/(Norm_Stats!$G$3-Norm_Stats!$F$3))))</f>
        <v/>
      </c>
      <c r="J84" s="14">
        <f>IF(I84="","",1)</f>
        <v/>
      </c>
      <c r="K84" s="11">
        <f>IF(OR(City_Inputs!$P84="",Norm_Stats!$F$4="",Norm_Stats!$G$4="",Norm_Stats!$G$4=Norm_Stats!$F$4),"",MAX(0,MIN(100,100*(Norm_Stats!$G$4-MIN(MAX(City_Inputs!$P84,Norm_Stats!$F$4),Norm_Stats!$G$4))/(Norm_Stats!$G$4-Norm_Stats!$F$4))))</f>
        <v/>
      </c>
      <c r="L84" s="14">
        <f>IF(K84="","",1)</f>
        <v/>
      </c>
      <c r="M84" s="11">
        <f>IF(OR(City_Inputs!$Q84="",Norm_Stats!$F$5="",Norm_Stats!$G$5="",Norm_Stats!$G$5=Norm_Stats!$F$5),"",MAX(0,MIN(100,100*(Norm_Stats!$G$5-MIN(MAX(City_Inputs!$Q84,Norm_Stats!$F$5),Norm_Stats!$G$5))/(Norm_Stats!$G$5-Norm_Stats!$F$5))))</f>
        <v/>
      </c>
      <c r="N84" s="14">
        <f>IF(M84="","",1)</f>
        <v/>
      </c>
      <c r="O84" s="11">
        <f>IF(OR(City_Inputs!$R84="",Norm_Stats!$F$6="",Norm_Stats!$G$6="",Norm_Stats!$G$6=Norm_Stats!$F$6),"",MAX(0,MIN(100,100*(Norm_Stats!$G$6-MIN(MAX(City_Inputs!$R84,Norm_Stats!$F$6),Norm_Stats!$G$6))/(Norm_Stats!$G$6-Norm_Stats!$F$6))))</f>
        <v/>
      </c>
      <c r="P84" s="14">
        <f>IF(O84="","",1)</f>
        <v/>
      </c>
      <c r="Q84" s="15">
        <f>IF((IF(G84="",0,9)+IF(I84="",0,5)+IF(K84="",0,4)+IF(M84="",0,4)+IF(O84="",0,5))=0,"",(IF(G84="",0,G84*9)+IF(I84="",0,I84*5)+IF(K84="",0,K84*4)+IF(M84="",0,M84*4)+IF(O84="",0,O84*5))/(IF(G84="",0,9)+IF(I84="",0,5)+IF(K84="",0,4)+IF(M84="",0,4)+IF(O84="",0,5)))</f>
        <v/>
      </c>
      <c r="R84" s="14">
        <f>IF((IF(H84="",0,9)+IF(J84="",0,5)+IF(L84="",0,4)+IF(N84="",0,4)+IF(P84="",0,5))=0,"",(IF(H84="",0,H84*9)+IF(J84="",0,J84*5)+IF(L84="",0,L84*4)+IF(N84="",0,N84*4)+IF(P84="",0,P84*5))/27)</f>
        <v/>
      </c>
      <c r="S84" s="11">
        <f>IF(OR(City_Inputs!$S84="",Norm_Stats!$F$7="",Norm_Stats!$G$7="",Norm_Stats!$G$7=Norm_Stats!$F$7),"",MAX(0,MIN(100,100*(Norm_Stats!$G$7-MIN(MAX(City_Inputs!$S84,Norm_Stats!$F$7),Norm_Stats!$G$7))/(Norm_Stats!$G$7-Norm_Stats!$F$7))))</f>
        <v/>
      </c>
      <c r="T84" s="14">
        <f>IF(S84="","",1)</f>
        <v/>
      </c>
      <c r="U84" s="11">
        <f>IF(OR(City_Inputs!$T84="",Norm_Stats!$F$8="",Norm_Stats!$G$8="",Norm_Stats!$G$8=Norm_Stats!$F$8),"",MAX(0,MIN(100,100*(MIN(MAX(City_Inputs!$T84,Norm_Stats!$F$8),Norm_Stats!$G$8)-Norm_Stats!$F$8)/(Norm_Stats!$G$8-Norm_Stats!$F$8))))</f>
        <v/>
      </c>
      <c r="V84" s="14">
        <f>IF(U84="","",1)</f>
        <v/>
      </c>
      <c r="W84" s="11">
        <f>IF(OR(City_Inputs!$U84="",Norm_Stats!$F$9="",Norm_Stats!$G$9="",Norm_Stats!$G$9=Norm_Stats!$F$9),"",MAX(0,MIN(100,100*(Norm_Stats!$G$9-MIN(MAX(City_Inputs!$U84,Norm_Stats!$F$9),Norm_Stats!$G$9))/(Norm_Stats!$G$9-Norm_Stats!$F$9))))</f>
        <v/>
      </c>
      <c r="X84" s="14">
        <f>IF(W84="","",1)</f>
        <v/>
      </c>
      <c r="Y84" s="11">
        <f>IF(OR(City_Inputs!$V84="",Norm_Stats!$F$10="",Norm_Stats!$G$10="",Norm_Stats!$G$10=Norm_Stats!$F$10),"",MAX(0,MIN(100,100*(MIN(MAX(City_Inputs!$V84,Norm_Stats!$F$10),Norm_Stats!$G$10)-Norm_Stats!$F$10)/(Norm_Stats!$G$10-Norm_Stats!$F$10))))</f>
        <v/>
      </c>
      <c r="Z84" s="14">
        <f>IF(Y84="","",1)</f>
        <v/>
      </c>
      <c r="AA84" s="11">
        <f>IF(OR(City_Inputs!$W84="",Norm_Stats!$F$11="",Norm_Stats!$G$11="",Norm_Stats!$G$11=Norm_Stats!$F$11),"",MAX(0,MIN(100,100*(MIN(MAX(City_Inputs!$W84,Norm_Stats!$F$11),Norm_Stats!$G$11)-Norm_Stats!$F$11)/(Norm_Stats!$G$11-Norm_Stats!$F$11))))</f>
        <v/>
      </c>
      <c r="AB84" s="14">
        <f>IF(AA84="","",1)</f>
        <v/>
      </c>
      <c r="AC84" s="11">
        <f>IF(OR(City_Inputs!$X84="",Norm_Stats!$F$12="",Norm_Stats!$G$12="",Norm_Stats!$G$12=Norm_Stats!$F$12),"",MAX(0,MIN(100,100*(MIN(MAX(City_Inputs!$X84,Norm_Stats!$F$12),Norm_Stats!$G$12)-Norm_Stats!$F$12)/(Norm_Stats!$G$12-Norm_Stats!$F$12))))</f>
        <v/>
      </c>
      <c r="AD84" s="11">
        <f>IF(AC84="","",1)</f>
        <v/>
      </c>
      <c r="AE84" s="15">
        <f>IF((IF(S84="",0,5)+IF(U84="",0,5)+IF(W84="",0,4)+IF(Y84="",0,4)+IF(AA84="",0,4)+IF(AC84="",0,5))=0,"",(IF(S84="",0,S84*5)+IF(U84="",0,U84*5)+IF(W84="",0,W84*4)+IF(Y84="",0,Y84*4)+IF(AA84="",0,AA84*4)+IF(AC84="",0,AC84*5))/(IF(S84="",0,5)+IF(U84="",0,5)+IF(W84="",0,4)+IF(Y84="",0,4)+IF(AA84="",0,4)+IF(AC84="",0,5)))</f>
        <v/>
      </c>
      <c r="AF84" s="14">
        <f>IF((IF(T84="",0,5)+IF(V84="",0,5)+IF(X84="",0,4)+IF(Z84="",0,4)+IF(AB84="",0,4)+IF(AD84="",0,5))=0,"",(IF(T84="",0,T84*5)+IF(V84="",0,V84*5)+IF(X84="",0,X84*4)+IF(Z84="",0,Z84*4)+IF(AB84="",0,AB84*4)+IF(AD84="",0,AD84*5))/27)</f>
        <v/>
      </c>
      <c r="AG84" s="11">
        <f>IF(OR(City_Inputs!$Y84="",Norm_Stats!$F$13="",Norm_Stats!$G$13="",Norm_Stats!$G$13=Norm_Stats!$F$13),"",MAX(0,MIN(100,100*(MIN(MAX(City_Inputs!$Y84,Norm_Stats!$F$13),Norm_Stats!$G$13)-Norm_Stats!$F$13)/(Norm_Stats!$G$13-Norm_Stats!$F$13))))</f>
        <v/>
      </c>
      <c r="AH84" s="14">
        <f>IF(AG84="","",1)</f>
        <v/>
      </c>
      <c r="AI84" s="11">
        <f>IF(OR(City_Inputs!$Z84="",Norm_Stats!$F$14="",Norm_Stats!$G$14="",Norm_Stats!$G$14=Norm_Stats!$F$14),"",MAX(0,MIN(100,100*(MIN(MAX(City_Inputs!$Z84,Norm_Stats!$F$14),Norm_Stats!$G$14)-Norm_Stats!$F$14)/(Norm_Stats!$G$14-Norm_Stats!$F$14))))</f>
        <v/>
      </c>
      <c r="AJ84" s="14">
        <f>IF(AI84="","",1)</f>
        <v/>
      </c>
      <c r="AK84" s="11">
        <f>IF((IF((IF(OR(City_Inputs!$AA84="",Norm_Stats!$F$15="",Norm_Stats!$G$15="",Norm_Stats!$G$15=Norm_Stats!$F$15),"",MAX(0,MIN(100,100*(MIN(MAX(City_Inputs!$AA84,Norm_Stats!$F$15),Norm_Stats!$G$15)-Norm_Stats!$F$15)/(Norm_Stats!$G$15-Norm_Stats!$F$15)))))="",0,0.7)+IF((IF(OR(City_Inputs!$AL84="",Norm_Stats!$F$16="",Norm_Stats!$G$16="",Norm_Stats!$G$16=Norm_Stats!$F$16),"",MAX(0,MIN(100,100*(Norm_Stats!$G$16-MIN(MAX(City_Inputs!$AL84,Norm_Stats!$F$16),Norm_Stats!$G$16))/(Norm_Stats!$G$16-Norm_Stats!$F$16)))))="",0,0.3))=0,"",(IF((IF(OR(City_Inputs!$AA84="",Norm_Stats!$F$15="",Norm_Stats!$G$15="",Norm_Stats!$G$15=Norm_Stats!$F$15),"",MAX(0,MIN(100,100*(MIN(MAX(City_Inputs!$AA84,Norm_Stats!$F$15),Norm_Stats!$G$15)-Norm_Stats!$F$15)/(Norm_Stats!$G$15-Norm_Stats!$F$15)))))="",0,(IF(OR(City_Inputs!$AA84="",Norm_Stats!$F$15="",Norm_Stats!$G$15="",Norm_Stats!$G$15=Norm_Stats!$F$15),"",MAX(0,MIN(100,100*(MIN(MAX(City_Inputs!$AA84,Norm_Stats!$F$15),Norm_Stats!$G$15)-Norm_Stats!$F$15)/(Norm_Stats!$G$15-Norm_Stats!$F$15)))))*0.7)+IF((IF(OR(City_Inputs!$AL84="",Norm_Stats!$F$16="",Norm_Stats!$G$16="",Norm_Stats!$G$16=Norm_Stats!$F$16),"",MAX(0,MIN(100,100*(Norm_Stats!$G$16-MIN(MAX(City_Inputs!$AL84,Norm_Stats!$F$16),Norm_Stats!$G$16))/(Norm_Stats!$G$16-Norm_Stats!$F$16)))))="",0,(IF(OR(City_Inputs!$AL84="",Norm_Stats!$F$16="",Norm_Stats!$G$16="",Norm_Stats!$G$16=Norm_Stats!$F$16),"",MAX(0,MIN(100,100*(Norm_Stats!$G$16-MIN(MAX(City_Inputs!$AL84,Norm_Stats!$F$16),Norm_Stats!$G$16))/(Norm_Stats!$G$16-Norm_Stats!$F$16)))))*0.3))/(IF((IF(OR(City_Inputs!$AA84="",Norm_Stats!$F$15="",Norm_Stats!$G$15="",Norm_Stats!$G$15=Norm_Stats!$F$15),"",MAX(0,MIN(100,100*(MIN(MAX(City_Inputs!$AA84,Norm_Stats!$F$15),Norm_Stats!$G$15)-Norm_Stats!$F$15)/(Norm_Stats!$G$15-Norm_Stats!$F$15)))))="",0,0.7)+IF((IF(OR(City_Inputs!$AL84="",Norm_Stats!$F$16="",Norm_Stats!$G$16="",Norm_Stats!$G$16=Norm_Stats!$F$16),"",MAX(0,MIN(100,100*(Norm_Stats!$G$16-MIN(MAX(City_Inputs!$AL84,Norm_Stats!$F$16),Norm_Stats!$G$16))/(Norm_Stats!$G$16-Norm_Stats!$F$16)))))="",0,0.3)))</f>
        <v/>
      </c>
      <c r="AL84" s="14">
        <f>IF((IF((IF(OR(City_Inputs!$AA84="",Norm_Stats!$F$15="",Norm_Stats!$G$15="",Norm_Stats!$G$15=Norm_Stats!$F$15),"",MAX(0,MIN(100,100*(MIN(MAX(City_Inputs!$AA84,Norm_Stats!$F$15),Norm_Stats!$G$15)-Norm_Stats!$F$15)/(Norm_Stats!$G$15-Norm_Stats!$F$15)))))="",0,0.7)+IF((IF(OR(City_Inputs!$AL84="",Norm_Stats!$F$16="",Norm_Stats!$G$16="",Norm_Stats!$G$16=Norm_Stats!$F$16),"",MAX(0,MIN(100,100*(Norm_Stats!$G$16-MIN(MAX(City_Inputs!$AL84,Norm_Stats!$F$16),Norm_Stats!$G$16))/(Norm_Stats!$G$16-Norm_Stats!$F$16)))))="",0,0.3))=0,"",(IF((IF(OR(City_Inputs!$AA84="",Norm_Stats!$F$15="",Norm_Stats!$G$15="",Norm_Stats!$G$15=Norm_Stats!$F$15),"",MAX(0,MIN(100,100*(MIN(MAX(City_Inputs!$AA84,Norm_Stats!$F$15),Norm_Stats!$G$15)-Norm_Stats!$F$15)/(Norm_Stats!$G$15-Norm_Stats!$F$15)))))="",0,0.7)+IF((IF(OR(City_Inputs!$AL84="",Norm_Stats!$F$16="",Norm_Stats!$G$16="",Norm_Stats!$G$16=Norm_Stats!$F$16),"",MAX(0,MIN(100,100*(Norm_Stats!$G$16-MIN(MAX(City_Inputs!$AL84,Norm_Stats!$F$16),Norm_Stats!$G$16))/(Norm_Stats!$G$16-Norm_Stats!$F$16)))))="",0,0.3)))</f>
        <v/>
      </c>
      <c r="AM84" s="15">
        <f>IF((IF(AG84="",0,8)+IF(AI84="",0,6)+IF(AK84="",0,4))=0,"",(IF(AG84="",0,AG84*8)+IF(AI84="",0,AI84*6)+IF(AK84="",0,AK84*4))/(IF(AG84="",0,8)+IF(AI84="",0,6)+IF(AK84="",0,4)))</f>
        <v/>
      </c>
      <c r="AN84" s="14">
        <f>IF((IF(AH84="",0,8)+IF(AJ84="",0,6)+IF(AL84="",0,4))=0,"",(IF(AH84="",0,AH84*8)+IF(AJ84="",0,AJ84*6)+IF(AL84="",0,AL84*4))/18)</f>
        <v/>
      </c>
      <c r="AO84" s="11">
        <f>IF(OR(City_Inputs!$AB84="",Norm_Stats!$F$17="",Norm_Stats!$G$17="",Norm_Stats!$G$17=Norm_Stats!$F$17),"",MAX(0,MIN(100,100*(MIN(MAX(City_Inputs!$AB84,Norm_Stats!$F$17),Norm_Stats!$G$17)-Norm_Stats!$F$17)/(Norm_Stats!$G$17-Norm_Stats!$F$17))))</f>
        <v/>
      </c>
      <c r="AP84" s="14">
        <f>IF(AO84="","",1)</f>
        <v/>
      </c>
      <c r="AQ84" s="11">
        <f>IF(OR(City_Inputs!$AC84="",Norm_Stats!$F$18="",Norm_Stats!$G$18="",Norm_Stats!$G$18=Norm_Stats!$F$18),"",MAX(0,MIN(100,100*(MIN(MAX(City_Inputs!$AC84,Norm_Stats!$F$18),Norm_Stats!$G$18)-Norm_Stats!$F$18)/(Norm_Stats!$G$18-Norm_Stats!$F$18))))</f>
        <v/>
      </c>
      <c r="AR84" s="14">
        <f>IF(AQ84="","",1)</f>
        <v/>
      </c>
      <c r="AS84" s="11">
        <f>IF(OR(City_Inputs!$AD84="",Norm_Stats!$F$19="",Norm_Stats!$G$19="",Norm_Stats!$G$19=Norm_Stats!$F$19),"",MAX(0,MIN(100,100*(MIN(MAX(City_Inputs!$AD84,Norm_Stats!$F$19),Norm_Stats!$G$19)-Norm_Stats!$F$19)/(Norm_Stats!$G$19-Norm_Stats!$F$19))))</f>
        <v/>
      </c>
      <c r="AT84" s="14">
        <f>IF(AS84="","",1)</f>
        <v/>
      </c>
      <c r="AU84" s="11">
        <f>IF(OR(City_Inputs!$BJ84="",Norm_Stats!$F$26="",Norm_Stats!$G$26="",Norm_Stats!$G$26=Norm_Stats!$F$26),"",MAX(0,MIN(100,100*(MIN(MAX(City_Inputs!$BJ84,Norm_Stats!$F$26),Norm_Stats!$G$26)-Norm_Stats!$F$26)/(Norm_Stats!$G$26-Norm_Stats!$F$26))))</f>
        <v/>
      </c>
      <c r="AV84" s="11">
        <f>IF(AU84="","",1)</f>
        <v/>
      </c>
      <c r="AW84" s="15">
        <f>IF((IF(AO84="",0,5)+IF(AQ84="",0,5)+IF(AS84="",0,5)+IF(AU84="",0,4))=0,"",(IF(AO84="",0,AO84*5)+IF(AQ84="",0,AQ84*5)+IF(AS84="",0,AS84*5)+IF(AU84="",0,AU84*4))/(IF(AO84="",0,5)+IF(AQ84="",0,5)+IF(AS84="",0,5)+IF(AU84="",0,4)))</f>
        <v/>
      </c>
      <c r="AX84" s="14">
        <f>IF((IF(AP84="",0,5)+IF(AR84="",0,5)+IF(AT84="",0,5)+IF(AV84="",0,4))=0,"",(IF(AP84="",0,AP84*5)+IF(AR84="",0,AR84*5)+IF(AT84="",0,AT84*5)+IF(AV84="",0,AV84*4))/19)</f>
        <v/>
      </c>
      <c r="AY84" s="11">
        <f>IF(OR(City_Inputs!$AE84="",Norm_Stats!$F$20="",Norm_Stats!$G$20="",Norm_Stats!$G$20=Norm_Stats!$F$20),"",MAX(0,MIN(100,100*(MIN(MAX(City_Inputs!$AE84,Norm_Stats!$F$20),Norm_Stats!$G$20)-Norm_Stats!$F$20)/(Norm_Stats!$G$20-Norm_Stats!$F$20))))</f>
        <v/>
      </c>
      <c r="AZ84" s="14">
        <f>IF(AY84="","",1)</f>
        <v/>
      </c>
      <c r="BA84" s="11">
        <f>IF(OR(City_Inputs!$AF84="",Norm_Stats!$F$21="",Norm_Stats!$G$21="",Norm_Stats!$G$21=Norm_Stats!$F$21),"",MAX(0,MIN(100,100*(MIN(MAX(City_Inputs!$AF84,Norm_Stats!$F$21),Norm_Stats!$G$21)-Norm_Stats!$F$21)/(Norm_Stats!$G$21-Norm_Stats!$F$21))))</f>
        <v/>
      </c>
      <c r="BB84" s="14">
        <f>IF(BA84="","",1)</f>
        <v/>
      </c>
      <c r="BC84" s="11">
        <f>IF((IF((IF(OR(City_Inputs!$AG84="",Norm_Stats!$F$22="",Norm_Stats!$G$22="",Norm_Stats!$G$22=Norm_Stats!$F$22),"",MAX(0,MIN(100,100*(MIN(MAX(City_Inputs!$AG84,Norm_Stats!$F$22),Norm_Stats!$G$22)-Norm_Stats!$F$22)/(Norm_Stats!$G$22-Norm_Stats!$F$22)))))="",0,0.5)+IF((IF(OR(City_Inputs!$AJ84="",Norm_Stats!$F$23="",Norm_Stats!$G$23="",Norm_Stats!$G$23=Norm_Stats!$F$23),"",MAX(0,MIN(100,100*(MIN(MAX(City_Inputs!$AJ84,Norm_Stats!$F$23),Norm_Stats!$G$23)-Norm_Stats!$F$23)/(Norm_Stats!$G$23-Norm_Stats!$F$23)))))="",0,0.3)+IF((IF(OR(City_Inputs!$AK84="",Norm_Stats!$F$24="",Norm_Stats!$G$24="",Norm_Stats!$G$24=Norm_Stats!$F$24),"",MAX(0,MIN(100,100*(MIN(MAX(City_Inputs!$AK84,Norm_Stats!$F$24),Norm_Stats!$G$24)-Norm_Stats!$F$24)/(Norm_Stats!$G$24-Norm_Stats!$F$24)))))="",0,0.2))=0,"",(IF((IF(OR(City_Inputs!$AG84="",Norm_Stats!$F$22="",Norm_Stats!$G$22="",Norm_Stats!$G$22=Norm_Stats!$F$22),"",MAX(0,MIN(100,100*(MIN(MAX(City_Inputs!$AG84,Norm_Stats!$F$22),Norm_Stats!$G$22)-Norm_Stats!$F$22)/(Norm_Stats!$G$22-Norm_Stats!$F$22)))))="",0,(IF(OR(City_Inputs!$AG84="",Norm_Stats!$F$22="",Norm_Stats!$G$22="",Norm_Stats!$G$22=Norm_Stats!$F$22),"",MAX(0,MIN(100,100*(MIN(MAX(City_Inputs!$AG84,Norm_Stats!$F$22),Norm_Stats!$G$22)-Norm_Stats!$F$22)/(Norm_Stats!$G$22-Norm_Stats!$F$22)))))*0.5)+IF((IF(OR(City_Inputs!$AJ84="",Norm_Stats!$F$23="",Norm_Stats!$G$23="",Norm_Stats!$G$23=Norm_Stats!$F$23),"",MAX(0,MIN(100,100*(MIN(MAX(City_Inputs!$AJ84,Norm_Stats!$F$23),Norm_Stats!$G$23)-Norm_Stats!$F$23)/(Norm_Stats!$G$23-Norm_Stats!$F$23)))))="",0,(IF(OR(City_Inputs!$AJ84="",Norm_Stats!$F$23="",Norm_Stats!$G$23="",Norm_Stats!$G$23=Norm_Stats!$F$23),"",MAX(0,MIN(100,100*(MIN(MAX(City_Inputs!$AJ84,Norm_Stats!$F$23),Norm_Stats!$G$23)-Norm_Stats!$F$23)/(Norm_Stats!$G$23-Norm_Stats!$F$23)))))*0.3)+IF((IF(OR(City_Inputs!$AK84="",Norm_Stats!$F$24="",Norm_Stats!$G$24="",Norm_Stats!$G$24=Norm_Stats!$F$24),"",MAX(0,MIN(100,100*(MIN(MAX(City_Inputs!$AK84,Norm_Stats!$F$24),Norm_Stats!$G$24)-Norm_Stats!$F$24)/(Norm_Stats!$G$24-Norm_Stats!$F$24)))))="",0,(IF(OR(City_Inputs!$AK84="",Norm_Stats!$F$24="",Norm_Stats!$G$24="",Norm_Stats!$G$24=Norm_Stats!$F$24),"",MAX(0,MIN(100,100*(MIN(MAX(City_Inputs!$AK84,Norm_Stats!$F$24),Norm_Stats!$G$24)-Norm_Stats!$F$24)/(Norm_Stats!$G$24-Norm_Stats!$F$24)))))*0.2))/(IF((IF(OR(City_Inputs!$AG84="",Norm_Stats!$F$22="",Norm_Stats!$G$22="",Norm_Stats!$G$22=Norm_Stats!$F$22),"",MAX(0,MIN(100,100*(MIN(MAX(City_Inputs!$AG84,Norm_Stats!$F$22),Norm_Stats!$G$22)-Norm_Stats!$F$22)/(Norm_Stats!$G$22-Norm_Stats!$F$22)))))="",0,0.5)+IF((IF(OR(City_Inputs!$AJ84="",Norm_Stats!$F$23="",Norm_Stats!$G$23="",Norm_Stats!$G$23=Norm_Stats!$F$23),"",MAX(0,MIN(100,100*(MIN(MAX(City_Inputs!$AJ84,Norm_Stats!$F$23),Norm_Stats!$G$23)-Norm_Stats!$F$23)/(Norm_Stats!$G$23-Norm_Stats!$F$23)))))="",0,0.3)+IF((IF(OR(City_Inputs!$AK84="",Norm_Stats!$F$24="",Norm_Stats!$G$24="",Norm_Stats!$G$24=Norm_Stats!$F$24),"",MAX(0,MIN(100,100*(MIN(MAX(City_Inputs!$AK84,Norm_Stats!$F$24),Norm_Stats!$G$24)-Norm_Stats!$F$24)/(Norm_Stats!$G$24-Norm_Stats!$F$24)))))="",0,0.2)))</f>
        <v/>
      </c>
      <c r="BD84" s="14">
        <f>IF((IF((IF(OR(City_Inputs!$AG84="",Norm_Stats!$F$22="",Norm_Stats!$G$22="",Norm_Stats!$G$22=Norm_Stats!$F$22),"",MAX(0,MIN(100,100*(MIN(MAX(City_Inputs!$AG84,Norm_Stats!$F$22),Norm_Stats!$G$22)-Norm_Stats!$F$22)/(Norm_Stats!$G$22-Norm_Stats!$F$22)))))="",0,0.5)+IF((IF(OR(City_Inputs!$AJ84="",Norm_Stats!$F$23="",Norm_Stats!$G$23="",Norm_Stats!$G$23=Norm_Stats!$F$23),"",MAX(0,MIN(100,100*(MIN(MAX(City_Inputs!$AJ84,Norm_Stats!$F$23),Norm_Stats!$G$23)-Norm_Stats!$F$23)/(Norm_Stats!$G$23-Norm_Stats!$F$23)))))="",0,0.3)+IF((IF(OR(City_Inputs!$AK84="",Norm_Stats!$F$24="",Norm_Stats!$G$24="",Norm_Stats!$G$24=Norm_Stats!$F$24),"",MAX(0,MIN(100,100*(MIN(MAX(City_Inputs!$AK84,Norm_Stats!$F$24),Norm_Stats!$G$24)-Norm_Stats!$F$24)/(Norm_Stats!$G$24-Norm_Stats!$F$24)))))="",0,0.2))=0,"",(IF((IF(OR(City_Inputs!$AG84="",Norm_Stats!$F$22="",Norm_Stats!$G$22="",Norm_Stats!$G$22=Norm_Stats!$F$22),"",MAX(0,MIN(100,100*(MIN(MAX(City_Inputs!$AG84,Norm_Stats!$F$22),Norm_Stats!$G$22)-Norm_Stats!$F$22)/(Norm_Stats!$G$22-Norm_Stats!$F$22)))))="",0,0.5)+IF((IF(OR(City_Inputs!$AJ84="",Norm_Stats!$F$23="",Norm_Stats!$G$23="",Norm_Stats!$G$23=Norm_Stats!$F$23),"",MAX(0,MIN(100,100*(MIN(MAX(City_Inputs!$AJ84,Norm_Stats!$F$23),Norm_Stats!$G$23)-Norm_Stats!$F$23)/(Norm_Stats!$G$23-Norm_Stats!$F$23)))))="",0,0.3)+IF((IF(OR(City_Inputs!$AK84="",Norm_Stats!$F$24="",Norm_Stats!$G$24="",Norm_Stats!$G$24=Norm_Stats!$F$24),"",MAX(0,MIN(100,100*(MIN(MAX(City_Inputs!$AK84,Norm_Stats!$F$24),Norm_Stats!$G$24)-Norm_Stats!$F$24)/(Norm_Stats!$G$24-Norm_Stats!$F$24)))))="",0,0.2)))</f>
        <v/>
      </c>
      <c r="BE84" s="11">
        <f>IF(OR(City_Inputs!$AH84="",Norm_Stats!$F$25="",Norm_Stats!$G$25="",Norm_Stats!$G$25=Norm_Stats!$F$25),"",MAX(0,MIN(100,100*(Norm_Stats!$G$25-MIN(MAX(City_Inputs!$AH84,Norm_Stats!$F$25),Norm_Stats!$G$25))/(Norm_Stats!$G$25-Norm_Stats!$F$25))))</f>
        <v/>
      </c>
      <c r="BF84" s="14">
        <f>IF(BE84="","",1)</f>
        <v/>
      </c>
      <c r="BG84" s="15">
        <f>IF((IF(AY84="",0,6)+IF(BA84="",0,5)+IF(BC84="",0,5)+IF(BE84="",0,4))=0,"",(IF(AY84="",0,AY84*6)+IF(BA84="",0,BA84*5)+IF(BC84="",0,BC84*5)+IF(BE84="",0,BE84*4))/(IF(AY84="",0,6)+IF(BA84="",0,5)+IF(BC84="",0,5)+IF(BE84="",0,4)))</f>
        <v/>
      </c>
      <c r="BH84" s="14">
        <f>IF((IF(AZ84="",0,6)+IF(BB84="",0,5)+IF(BD84="",0,5)+IF(BF84="",0,4))=0,"",(IF(AZ84="",0,AZ84*6)+IF(BB84="",0,BB84*5)+IF(BD84="",0,BD84*5)+IF(BF84="",0,BF84*4))/20)</f>
        <v/>
      </c>
      <c r="BI84" s="14">
        <f>IF(AND(R84="",AF84="",AN84="",AX84="",BH84=""),"",((R84*25)+(AF84*22)+(AN84*18)+(AX84*15)+(BH84*20))/100)</f>
        <v/>
      </c>
      <c r="BJ84" s="11">
        <f>IF(BI84="","",IF(BI84&gt;=0.75,"A",IF(BI84&gt;=0.5,"B",IF(BI84&gt;=0.35,"C","Watchlist"))))</f>
        <v/>
      </c>
      <c r="BK84" s="11">
        <f>IF(OR(BI84="",BI84&lt;0.5,R84="",R84&lt;0.35,AF84="",AF84&lt;0.35,AN84="",AN84&lt;0.35,AX84="",AX84&lt;0.35,BH84="",BH84&lt;0.35),"Watchlist","Ranked")</f>
        <v/>
      </c>
      <c r="BL84" s="15">
        <f>IF(AND(Q84="",AE84="",AM84="",AW84="",BG84=""),"",(IF(Q84="",0,Q84*25)+IF(AE84="",0,AE84*22)+IF(AM84="",0,AM84*18)+IF(AW84="",0,AW84*15)+IF(BG84="",0,BG84*20))/(IF(Q84="",0,25)+IF(AE84="",0,22)+IF(AM84="",0,18)+IF(AW84="",0,15)+IF(BG84="",0,20)))</f>
        <v/>
      </c>
      <c r="BM84" s="11">
        <f>IF(BK84="Ranked",1+COUNTIFS($BK$2:$BK$158,"Ranked",$BL$2:$BL$158,"&gt;"&amp;BL84),"")</f>
        <v/>
      </c>
      <c r="BN84" s="11">
        <f>City_Inputs!$AI84</f>
        <v/>
      </c>
    </row>
    <row r="85">
      <c r="A85" t="inlineStr">
        <is>
          <t>il-tel-aviv</t>
        </is>
      </c>
      <c r="B85" t="inlineStr">
        <is>
          <t>Tel Aviv</t>
        </is>
      </c>
      <c r="C85" t="inlineStr">
        <is>
          <t>Israel</t>
        </is>
      </c>
      <c r="D85" t="inlineStr">
        <is>
          <t>Middle East</t>
        </is>
      </c>
      <c r="E85" t="inlineStr">
        <is>
          <t>provisional</t>
        </is>
      </c>
      <c r="F85" t="inlineStr">
        <is>
          <t>primary</t>
        </is>
      </c>
      <c r="G85" s="11">
        <f>IF(OR(City_Inputs!$M85="",Norm_Stats!$F$2="",Norm_Stats!$G$2="",Norm_Stats!$G$2=Norm_Stats!$F$2),"",MAX(0,MIN(100,100*(MIN(MAX(City_Inputs!$M85,Norm_Stats!$F$2),Norm_Stats!$G$2)-Norm_Stats!$F$2)/(Norm_Stats!$G$2-Norm_Stats!$F$2))))</f>
        <v/>
      </c>
      <c r="H85" s="14">
        <f>IF(G85="","",1)</f>
        <v/>
      </c>
      <c r="I85" s="11">
        <f>IF(OR(City_Inputs!$N85="",Norm_Stats!$F$3="",Norm_Stats!$G$3="",Norm_Stats!$G$3=Norm_Stats!$F$3),"",MAX(0,MIN(100,100*(Norm_Stats!$G$3-MIN(MAX(City_Inputs!$N85,Norm_Stats!$F$3),Norm_Stats!$G$3))/(Norm_Stats!$G$3-Norm_Stats!$F$3))))</f>
        <v/>
      </c>
      <c r="J85" s="14">
        <f>IF(I85="","",1)</f>
        <v/>
      </c>
      <c r="K85" s="11">
        <f>IF(OR(City_Inputs!$P85="",Norm_Stats!$F$4="",Norm_Stats!$G$4="",Norm_Stats!$G$4=Norm_Stats!$F$4),"",MAX(0,MIN(100,100*(Norm_Stats!$G$4-MIN(MAX(City_Inputs!$P85,Norm_Stats!$F$4),Norm_Stats!$G$4))/(Norm_Stats!$G$4-Norm_Stats!$F$4))))</f>
        <v/>
      </c>
      <c r="L85" s="14">
        <f>IF(K85="","",1)</f>
        <v/>
      </c>
      <c r="M85" s="11">
        <f>IF(OR(City_Inputs!$Q85="",Norm_Stats!$F$5="",Norm_Stats!$G$5="",Norm_Stats!$G$5=Norm_Stats!$F$5),"",MAX(0,MIN(100,100*(Norm_Stats!$G$5-MIN(MAX(City_Inputs!$Q85,Norm_Stats!$F$5),Norm_Stats!$G$5))/(Norm_Stats!$G$5-Norm_Stats!$F$5))))</f>
        <v/>
      </c>
      <c r="N85" s="14">
        <f>IF(M85="","",1)</f>
        <v/>
      </c>
      <c r="O85" s="11">
        <f>IF(OR(City_Inputs!$R85="",Norm_Stats!$F$6="",Norm_Stats!$G$6="",Norm_Stats!$G$6=Norm_Stats!$F$6),"",MAX(0,MIN(100,100*(Norm_Stats!$G$6-MIN(MAX(City_Inputs!$R85,Norm_Stats!$F$6),Norm_Stats!$G$6))/(Norm_Stats!$G$6-Norm_Stats!$F$6))))</f>
        <v/>
      </c>
      <c r="P85" s="14">
        <f>IF(O85="","",1)</f>
        <v/>
      </c>
      <c r="Q85" s="15">
        <f>IF((IF(G85="",0,9)+IF(I85="",0,5)+IF(K85="",0,4)+IF(M85="",0,4)+IF(O85="",0,5))=0,"",(IF(G85="",0,G85*9)+IF(I85="",0,I85*5)+IF(K85="",0,K85*4)+IF(M85="",0,M85*4)+IF(O85="",0,O85*5))/(IF(G85="",0,9)+IF(I85="",0,5)+IF(K85="",0,4)+IF(M85="",0,4)+IF(O85="",0,5)))</f>
        <v/>
      </c>
      <c r="R85" s="14">
        <f>IF((IF(H85="",0,9)+IF(J85="",0,5)+IF(L85="",0,4)+IF(N85="",0,4)+IF(P85="",0,5))=0,"",(IF(H85="",0,H85*9)+IF(J85="",0,J85*5)+IF(L85="",0,L85*4)+IF(N85="",0,N85*4)+IF(P85="",0,P85*5))/27)</f>
        <v/>
      </c>
      <c r="S85" s="11">
        <f>IF(OR(City_Inputs!$S85="",Norm_Stats!$F$7="",Norm_Stats!$G$7="",Norm_Stats!$G$7=Norm_Stats!$F$7),"",MAX(0,MIN(100,100*(Norm_Stats!$G$7-MIN(MAX(City_Inputs!$S85,Norm_Stats!$F$7),Norm_Stats!$G$7))/(Norm_Stats!$G$7-Norm_Stats!$F$7))))</f>
        <v/>
      </c>
      <c r="T85" s="14">
        <f>IF(S85="","",1)</f>
        <v/>
      </c>
      <c r="U85" s="11">
        <f>IF(OR(City_Inputs!$T85="",Norm_Stats!$F$8="",Norm_Stats!$G$8="",Norm_Stats!$G$8=Norm_Stats!$F$8),"",MAX(0,MIN(100,100*(MIN(MAX(City_Inputs!$T85,Norm_Stats!$F$8),Norm_Stats!$G$8)-Norm_Stats!$F$8)/(Norm_Stats!$G$8-Norm_Stats!$F$8))))</f>
        <v/>
      </c>
      <c r="V85" s="14">
        <f>IF(U85="","",1)</f>
        <v/>
      </c>
      <c r="W85" s="11">
        <f>IF(OR(City_Inputs!$U85="",Norm_Stats!$F$9="",Norm_Stats!$G$9="",Norm_Stats!$G$9=Norm_Stats!$F$9),"",MAX(0,MIN(100,100*(Norm_Stats!$G$9-MIN(MAX(City_Inputs!$U85,Norm_Stats!$F$9),Norm_Stats!$G$9))/(Norm_Stats!$G$9-Norm_Stats!$F$9))))</f>
        <v/>
      </c>
      <c r="X85" s="14">
        <f>IF(W85="","",1)</f>
        <v/>
      </c>
      <c r="Y85" s="11">
        <f>IF(OR(City_Inputs!$V85="",Norm_Stats!$F$10="",Norm_Stats!$G$10="",Norm_Stats!$G$10=Norm_Stats!$F$10),"",MAX(0,MIN(100,100*(MIN(MAX(City_Inputs!$V85,Norm_Stats!$F$10),Norm_Stats!$G$10)-Norm_Stats!$F$10)/(Norm_Stats!$G$10-Norm_Stats!$F$10))))</f>
        <v/>
      </c>
      <c r="Z85" s="14">
        <f>IF(Y85="","",1)</f>
        <v/>
      </c>
      <c r="AA85" s="11">
        <f>IF(OR(City_Inputs!$W85="",Norm_Stats!$F$11="",Norm_Stats!$G$11="",Norm_Stats!$G$11=Norm_Stats!$F$11),"",MAX(0,MIN(100,100*(MIN(MAX(City_Inputs!$W85,Norm_Stats!$F$11),Norm_Stats!$G$11)-Norm_Stats!$F$11)/(Norm_Stats!$G$11-Norm_Stats!$F$11))))</f>
        <v/>
      </c>
      <c r="AB85" s="14">
        <f>IF(AA85="","",1)</f>
        <v/>
      </c>
      <c r="AC85" s="11">
        <f>IF(OR(City_Inputs!$X85="",Norm_Stats!$F$12="",Norm_Stats!$G$12="",Norm_Stats!$G$12=Norm_Stats!$F$12),"",MAX(0,MIN(100,100*(MIN(MAX(City_Inputs!$X85,Norm_Stats!$F$12),Norm_Stats!$G$12)-Norm_Stats!$F$12)/(Norm_Stats!$G$12-Norm_Stats!$F$12))))</f>
        <v/>
      </c>
      <c r="AD85" s="11">
        <f>IF(AC85="","",1)</f>
        <v/>
      </c>
      <c r="AE85" s="15">
        <f>IF((IF(S85="",0,5)+IF(U85="",0,5)+IF(W85="",0,4)+IF(Y85="",0,4)+IF(AA85="",0,4)+IF(AC85="",0,5))=0,"",(IF(S85="",0,S85*5)+IF(U85="",0,U85*5)+IF(W85="",0,W85*4)+IF(Y85="",0,Y85*4)+IF(AA85="",0,AA85*4)+IF(AC85="",0,AC85*5))/(IF(S85="",0,5)+IF(U85="",0,5)+IF(W85="",0,4)+IF(Y85="",0,4)+IF(AA85="",0,4)+IF(AC85="",0,5)))</f>
        <v/>
      </c>
      <c r="AF85" s="14">
        <f>IF((IF(T85="",0,5)+IF(V85="",0,5)+IF(X85="",0,4)+IF(Z85="",0,4)+IF(AB85="",0,4)+IF(AD85="",0,5))=0,"",(IF(T85="",0,T85*5)+IF(V85="",0,V85*5)+IF(X85="",0,X85*4)+IF(Z85="",0,Z85*4)+IF(AB85="",0,AB85*4)+IF(AD85="",0,AD85*5))/27)</f>
        <v/>
      </c>
      <c r="AG85" s="11">
        <f>IF(OR(City_Inputs!$Y85="",Norm_Stats!$F$13="",Norm_Stats!$G$13="",Norm_Stats!$G$13=Norm_Stats!$F$13),"",MAX(0,MIN(100,100*(MIN(MAX(City_Inputs!$Y85,Norm_Stats!$F$13),Norm_Stats!$G$13)-Norm_Stats!$F$13)/(Norm_Stats!$G$13-Norm_Stats!$F$13))))</f>
        <v/>
      </c>
      <c r="AH85" s="14">
        <f>IF(AG85="","",1)</f>
        <v/>
      </c>
      <c r="AI85" s="11">
        <f>IF(OR(City_Inputs!$Z85="",Norm_Stats!$F$14="",Norm_Stats!$G$14="",Norm_Stats!$G$14=Norm_Stats!$F$14),"",MAX(0,MIN(100,100*(MIN(MAX(City_Inputs!$Z85,Norm_Stats!$F$14),Norm_Stats!$G$14)-Norm_Stats!$F$14)/(Norm_Stats!$G$14-Norm_Stats!$F$14))))</f>
        <v/>
      </c>
      <c r="AJ85" s="14">
        <f>IF(AI85="","",1)</f>
        <v/>
      </c>
      <c r="AK85" s="11">
        <f>IF((IF((IF(OR(City_Inputs!$AA85="",Norm_Stats!$F$15="",Norm_Stats!$G$15="",Norm_Stats!$G$15=Norm_Stats!$F$15),"",MAX(0,MIN(100,100*(MIN(MAX(City_Inputs!$AA85,Norm_Stats!$F$15),Norm_Stats!$G$15)-Norm_Stats!$F$15)/(Norm_Stats!$G$15-Norm_Stats!$F$15)))))="",0,0.7)+IF((IF(OR(City_Inputs!$AL85="",Norm_Stats!$F$16="",Norm_Stats!$G$16="",Norm_Stats!$G$16=Norm_Stats!$F$16),"",MAX(0,MIN(100,100*(Norm_Stats!$G$16-MIN(MAX(City_Inputs!$AL85,Norm_Stats!$F$16),Norm_Stats!$G$16))/(Norm_Stats!$G$16-Norm_Stats!$F$16)))))="",0,0.3))=0,"",(IF((IF(OR(City_Inputs!$AA85="",Norm_Stats!$F$15="",Norm_Stats!$G$15="",Norm_Stats!$G$15=Norm_Stats!$F$15),"",MAX(0,MIN(100,100*(MIN(MAX(City_Inputs!$AA85,Norm_Stats!$F$15),Norm_Stats!$G$15)-Norm_Stats!$F$15)/(Norm_Stats!$G$15-Norm_Stats!$F$15)))))="",0,(IF(OR(City_Inputs!$AA85="",Norm_Stats!$F$15="",Norm_Stats!$G$15="",Norm_Stats!$G$15=Norm_Stats!$F$15),"",MAX(0,MIN(100,100*(MIN(MAX(City_Inputs!$AA85,Norm_Stats!$F$15),Norm_Stats!$G$15)-Norm_Stats!$F$15)/(Norm_Stats!$G$15-Norm_Stats!$F$15)))))*0.7)+IF((IF(OR(City_Inputs!$AL85="",Norm_Stats!$F$16="",Norm_Stats!$G$16="",Norm_Stats!$G$16=Norm_Stats!$F$16),"",MAX(0,MIN(100,100*(Norm_Stats!$G$16-MIN(MAX(City_Inputs!$AL85,Norm_Stats!$F$16),Norm_Stats!$G$16))/(Norm_Stats!$G$16-Norm_Stats!$F$16)))))="",0,(IF(OR(City_Inputs!$AL85="",Norm_Stats!$F$16="",Norm_Stats!$G$16="",Norm_Stats!$G$16=Norm_Stats!$F$16),"",MAX(0,MIN(100,100*(Norm_Stats!$G$16-MIN(MAX(City_Inputs!$AL85,Norm_Stats!$F$16),Norm_Stats!$G$16))/(Norm_Stats!$G$16-Norm_Stats!$F$16)))))*0.3))/(IF((IF(OR(City_Inputs!$AA85="",Norm_Stats!$F$15="",Norm_Stats!$G$15="",Norm_Stats!$G$15=Norm_Stats!$F$15),"",MAX(0,MIN(100,100*(MIN(MAX(City_Inputs!$AA85,Norm_Stats!$F$15),Norm_Stats!$G$15)-Norm_Stats!$F$15)/(Norm_Stats!$G$15-Norm_Stats!$F$15)))))="",0,0.7)+IF((IF(OR(City_Inputs!$AL85="",Norm_Stats!$F$16="",Norm_Stats!$G$16="",Norm_Stats!$G$16=Norm_Stats!$F$16),"",MAX(0,MIN(100,100*(Norm_Stats!$G$16-MIN(MAX(City_Inputs!$AL85,Norm_Stats!$F$16),Norm_Stats!$G$16))/(Norm_Stats!$G$16-Norm_Stats!$F$16)))))="",0,0.3)))</f>
        <v/>
      </c>
      <c r="AL85" s="14">
        <f>IF((IF((IF(OR(City_Inputs!$AA85="",Norm_Stats!$F$15="",Norm_Stats!$G$15="",Norm_Stats!$G$15=Norm_Stats!$F$15),"",MAX(0,MIN(100,100*(MIN(MAX(City_Inputs!$AA85,Norm_Stats!$F$15),Norm_Stats!$G$15)-Norm_Stats!$F$15)/(Norm_Stats!$G$15-Norm_Stats!$F$15)))))="",0,0.7)+IF((IF(OR(City_Inputs!$AL85="",Norm_Stats!$F$16="",Norm_Stats!$G$16="",Norm_Stats!$G$16=Norm_Stats!$F$16),"",MAX(0,MIN(100,100*(Norm_Stats!$G$16-MIN(MAX(City_Inputs!$AL85,Norm_Stats!$F$16),Norm_Stats!$G$16))/(Norm_Stats!$G$16-Norm_Stats!$F$16)))))="",0,0.3))=0,"",(IF((IF(OR(City_Inputs!$AA85="",Norm_Stats!$F$15="",Norm_Stats!$G$15="",Norm_Stats!$G$15=Norm_Stats!$F$15),"",MAX(0,MIN(100,100*(MIN(MAX(City_Inputs!$AA85,Norm_Stats!$F$15),Norm_Stats!$G$15)-Norm_Stats!$F$15)/(Norm_Stats!$G$15-Norm_Stats!$F$15)))))="",0,0.7)+IF((IF(OR(City_Inputs!$AL85="",Norm_Stats!$F$16="",Norm_Stats!$G$16="",Norm_Stats!$G$16=Norm_Stats!$F$16),"",MAX(0,MIN(100,100*(Norm_Stats!$G$16-MIN(MAX(City_Inputs!$AL85,Norm_Stats!$F$16),Norm_Stats!$G$16))/(Norm_Stats!$G$16-Norm_Stats!$F$16)))))="",0,0.3)))</f>
        <v/>
      </c>
      <c r="AM85" s="15">
        <f>IF((IF(AG85="",0,8)+IF(AI85="",0,6)+IF(AK85="",0,4))=0,"",(IF(AG85="",0,AG85*8)+IF(AI85="",0,AI85*6)+IF(AK85="",0,AK85*4))/(IF(AG85="",0,8)+IF(AI85="",0,6)+IF(AK85="",0,4)))</f>
        <v/>
      </c>
      <c r="AN85" s="14">
        <f>IF((IF(AH85="",0,8)+IF(AJ85="",0,6)+IF(AL85="",0,4))=0,"",(IF(AH85="",0,AH85*8)+IF(AJ85="",0,AJ85*6)+IF(AL85="",0,AL85*4))/18)</f>
        <v/>
      </c>
      <c r="AO85" s="11">
        <f>IF(OR(City_Inputs!$AB85="",Norm_Stats!$F$17="",Norm_Stats!$G$17="",Norm_Stats!$G$17=Norm_Stats!$F$17),"",MAX(0,MIN(100,100*(MIN(MAX(City_Inputs!$AB85,Norm_Stats!$F$17),Norm_Stats!$G$17)-Norm_Stats!$F$17)/(Norm_Stats!$G$17-Norm_Stats!$F$17))))</f>
        <v/>
      </c>
      <c r="AP85" s="14">
        <f>IF(AO85="","",1)</f>
        <v/>
      </c>
      <c r="AQ85" s="11">
        <f>IF(OR(City_Inputs!$AC85="",Norm_Stats!$F$18="",Norm_Stats!$G$18="",Norm_Stats!$G$18=Norm_Stats!$F$18),"",MAX(0,MIN(100,100*(MIN(MAX(City_Inputs!$AC85,Norm_Stats!$F$18),Norm_Stats!$G$18)-Norm_Stats!$F$18)/(Norm_Stats!$G$18-Norm_Stats!$F$18))))</f>
        <v/>
      </c>
      <c r="AR85" s="14">
        <f>IF(AQ85="","",1)</f>
        <v/>
      </c>
      <c r="AS85" s="11">
        <f>IF(OR(City_Inputs!$AD85="",Norm_Stats!$F$19="",Norm_Stats!$G$19="",Norm_Stats!$G$19=Norm_Stats!$F$19),"",MAX(0,MIN(100,100*(MIN(MAX(City_Inputs!$AD85,Norm_Stats!$F$19),Norm_Stats!$G$19)-Norm_Stats!$F$19)/(Norm_Stats!$G$19-Norm_Stats!$F$19))))</f>
        <v/>
      </c>
      <c r="AT85" s="14">
        <f>IF(AS85="","",1)</f>
        <v/>
      </c>
      <c r="AU85" s="11">
        <f>IF(OR(City_Inputs!$BJ85="",Norm_Stats!$F$26="",Norm_Stats!$G$26="",Norm_Stats!$G$26=Norm_Stats!$F$26),"",MAX(0,MIN(100,100*(MIN(MAX(City_Inputs!$BJ85,Norm_Stats!$F$26),Norm_Stats!$G$26)-Norm_Stats!$F$26)/(Norm_Stats!$G$26-Norm_Stats!$F$26))))</f>
        <v/>
      </c>
      <c r="AV85" s="11">
        <f>IF(AU85="","",1)</f>
        <v/>
      </c>
      <c r="AW85" s="15">
        <f>IF((IF(AO85="",0,5)+IF(AQ85="",0,5)+IF(AS85="",0,5)+IF(AU85="",0,4))=0,"",(IF(AO85="",0,AO85*5)+IF(AQ85="",0,AQ85*5)+IF(AS85="",0,AS85*5)+IF(AU85="",0,AU85*4))/(IF(AO85="",0,5)+IF(AQ85="",0,5)+IF(AS85="",0,5)+IF(AU85="",0,4)))</f>
        <v/>
      </c>
      <c r="AX85" s="14">
        <f>IF((IF(AP85="",0,5)+IF(AR85="",0,5)+IF(AT85="",0,5)+IF(AV85="",0,4))=0,"",(IF(AP85="",0,AP85*5)+IF(AR85="",0,AR85*5)+IF(AT85="",0,AT85*5)+IF(AV85="",0,AV85*4))/19)</f>
        <v/>
      </c>
      <c r="AY85" s="11">
        <f>IF(OR(City_Inputs!$AE85="",Norm_Stats!$F$20="",Norm_Stats!$G$20="",Norm_Stats!$G$20=Norm_Stats!$F$20),"",MAX(0,MIN(100,100*(MIN(MAX(City_Inputs!$AE85,Norm_Stats!$F$20),Norm_Stats!$G$20)-Norm_Stats!$F$20)/(Norm_Stats!$G$20-Norm_Stats!$F$20))))</f>
        <v/>
      </c>
      <c r="AZ85" s="14">
        <f>IF(AY85="","",1)</f>
        <v/>
      </c>
      <c r="BA85" s="11">
        <f>IF(OR(City_Inputs!$AF85="",Norm_Stats!$F$21="",Norm_Stats!$G$21="",Norm_Stats!$G$21=Norm_Stats!$F$21),"",MAX(0,MIN(100,100*(MIN(MAX(City_Inputs!$AF85,Norm_Stats!$F$21),Norm_Stats!$G$21)-Norm_Stats!$F$21)/(Norm_Stats!$G$21-Norm_Stats!$F$21))))</f>
        <v/>
      </c>
      <c r="BB85" s="14">
        <f>IF(BA85="","",1)</f>
        <v/>
      </c>
      <c r="BC85" s="11">
        <f>IF((IF((IF(OR(City_Inputs!$AG85="",Norm_Stats!$F$22="",Norm_Stats!$G$22="",Norm_Stats!$G$22=Norm_Stats!$F$22),"",MAX(0,MIN(100,100*(MIN(MAX(City_Inputs!$AG85,Norm_Stats!$F$22),Norm_Stats!$G$22)-Norm_Stats!$F$22)/(Norm_Stats!$G$22-Norm_Stats!$F$22)))))="",0,0.5)+IF((IF(OR(City_Inputs!$AJ85="",Norm_Stats!$F$23="",Norm_Stats!$G$23="",Norm_Stats!$G$23=Norm_Stats!$F$23),"",MAX(0,MIN(100,100*(MIN(MAX(City_Inputs!$AJ85,Norm_Stats!$F$23),Norm_Stats!$G$23)-Norm_Stats!$F$23)/(Norm_Stats!$G$23-Norm_Stats!$F$23)))))="",0,0.3)+IF((IF(OR(City_Inputs!$AK85="",Norm_Stats!$F$24="",Norm_Stats!$G$24="",Norm_Stats!$G$24=Norm_Stats!$F$24),"",MAX(0,MIN(100,100*(MIN(MAX(City_Inputs!$AK85,Norm_Stats!$F$24),Norm_Stats!$G$24)-Norm_Stats!$F$24)/(Norm_Stats!$G$24-Norm_Stats!$F$24)))))="",0,0.2))=0,"",(IF((IF(OR(City_Inputs!$AG85="",Norm_Stats!$F$22="",Norm_Stats!$G$22="",Norm_Stats!$G$22=Norm_Stats!$F$22),"",MAX(0,MIN(100,100*(MIN(MAX(City_Inputs!$AG85,Norm_Stats!$F$22),Norm_Stats!$G$22)-Norm_Stats!$F$22)/(Norm_Stats!$G$22-Norm_Stats!$F$22)))))="",0,(IF(OR(City_Inputs!$AG85="",Norm_Stats!$F$22="",Norm_Stats!$G$22="",Norm_Stats!$G$22=Norm_Stats!$F$22),"",MAX(0,MIN(100,100*(MIN(MAX(City_Inputs!$AG85,Norm_Stats!$F$22),Norm_Stats!$G$22)-Norm_Stats!$F$22)/(Norm_Stats!$G$22-Norm_Stats!$F$22)))))*0.5)+IF((IF(OR(City_Inputs!$AJ85="",Norm_Stats!$F$23="",Norm_Stats!$G$23="",Norm_Stats!$G$23=Norm_Stats!$F$23),"",MAX(0,MIN(100,100*(MIN(MAX(City_Inputs!$AJ85,Norm_Stats!$F$23),Norm_Stats!$G$23)-Norm_Stats!$F$23)/(Norm_Stats!$G$23-Norm_Stats!$F$23)))))="",0,(IF(OR(City_Inputs!$AJ85="",Norm_Stats!$F$23="",Norm_Stats!$G$23="",Norm_Stats!$G$23=Norm_Stats!$F$23),"",MAX(0,MIN(100,100*(MIN(MAX(City_Inputs!$AJ85,Norm_Stats!$F$23),Norm_Stats!$G$23)-Norm_Stats!$F$23)/(Norm_Stats!$G$23-Norm_Stats!$F$23)))))*0.3)+IF((IF(OR(City_Inputs!$AK85="",Norm_Stats!$F$24="",Norm_Stats!$G$24="",Norm_Stats!$G$24=Norm_Stats!$F$24),"",MAX(0,MIN(100,100*(MIN(MAX(City_Inputs!$AK85,Norm_Stats!$F$24),Norm_Stats!$G$24)-Norm_Stats!$F$24)/(Norm_Stats!$G$24-Norm_Stats!$F$24)))))="",0,(IF(OR(City_Inputs!$AK85="",Norm_Stats!$F$24="",Norm_Stats!$G$24="",Norm_Stats!$G$24=Norm_Stats!$F$24),"",MAX(0,MIN(100,100*(MIN(MAX(City_Inputs!$AK85,Norm_Stats!$F$24),Norm_Stats!$G$24)-Norm_Stats!$F$24)/(Norm_Stats!$G$24-Norm_Stats!$F$24)))))*0.2))/(IF((IF(OR(City_Inputs!$AG85="",Norm_Stats!$F$22="",Norm_Stats!$G$22="",Norm_Stats!$G$22=Norm_Stats!$F$22),"",MAX(0,MIN(100,100*(MIN(MAX(City_Inputs!$AG85,Norm_Stats!$F$22),Norm_Stats!$G$22)-Norm_Stats!$F$22)/(Norm_Stats!$G$22-Norm_Stats!$F$22)))))="",0,0.5)+IF((IF(OR(City_Inputs!$AJ85="",Norm_Stats!$F$23="",Norm_Stats!$G$23="",Norm_Stats!$G$23=Norm_Stats!$F$23),"",MAX(0,MIN(100,100*(MIN(MAX(City_Inputs!$AJ85,Norm_Stats!$F$23),Norm_Stats!$G$23)-Norm_Stats!$F$23)/(Norm_Stats!$G$23-Norm_Stats!$F$23)))))="",0,0.3)+IF((IF(OR(City_Inputs!$AK85="",Norm_Stats!$F$24="",Norm_Stats!$G$24="",Norm_Stats!$G$24=Norm_Stats!$F$24),"",MAX(0,MIN(100,100*(MIN(MAX(City_Inputs!$AK85,Norm_Stats!$F$24),Norm_Stats!$G$24)-Norm_Stats!$F$24)/(Norm_Stats!$G$24-Norm_Stats!$F$24)))))="",0,0.2)))</f>
        <v/>
      </c>
      <c r="BD85" s="14">
        <f>IF((IF((IF(OR(City_Inputs!$AG85="",Norm_Stats!$F$22="",Norm_Stats!$G$22="",Norm_Stats!$G$22=Norm_Stats!$F$22),"",MAX(0,MIN(100,100*(MIN(MAX(City_Inputs!$AG85,Norm_Stats!$F$22),Norm_Stats!$G$22)-Norm_Stats!$F$22)/(Norm_Stats!$G$22-Norm_Stats!$F$22)))))="",0,0.5)+IF((IF(OR(City_Inputs!$AJ85="",Norm_Stats!$F$23="",Norm_Stats!$G$23="",Norm_Stats!$G$23=Norm_Stats!$F$23),"",MAX(0,MIN(100,100*(MIN(MAX(City_Inputs!$AJ85,Norm_Stats!$F$23),Norm_Stats!$G$23)-Norm_Stats!$F$23)/(Norm_Stats!$G$23-Norm_Stats!$F$23)))))="",0,0.3)+IF((IF(OR(City_Inputs!$AK85="",Norm_Stats!$F$24="",Norm_Stats!$G$24="",Norm_Stats!$G$24=Norm_Stats!$F$24),"",MAX(0,MIN(100,100*(MIN(MAX(City_Inputs!$AK85,Norm_Stats!$F$24),Norm_Stats!$G$24)-Norm_Stats!$F$24)/(Norm_Stats!$G$24-Norm_Stats!$F$24)))))="",0,0.2))=0,"",(IF((IF(OR(City_Inputs!$AG85="",Norm_Stats!$F$22="",Norm_Stats!$G$22="",Norm_Stats!$G$22=Norm_Stats!$F$22),"",MAX(0,MIN(100,100*(MIN(MAX(City_Inputs!$AG85,Norm_Stats!$F$22),Norm_Stats!$G$22)-Norm_Stats!$F$22)/(Norm_Stats!$G$22-Norm_Stats!$F$22)))))="",0,0.5)+IF((IF(OR(City_Inputs!$AJ85="",Norm_Stats!$F$23="",Norm_Stats!$G$23="",Norm_Stats!$G$23=Norm_Stats!$F$23),"",MAX(0,MIN(100,100*(MIN(MAX(City_Inputs!$AJ85,Norm_Stats!$F$23),Norm_Stats!$G$23)-Norm_Stats!$F$23)/(Norm_Stats!$G$23-Norm_Stats!$F$23)))))="",0,0.3)+IF((IF(OR(City_Inputs!$AK85="",Norm_Stats!$F$24="",Norm_Stats!$G$24="",Norm_Stats!$G$24=Norm_Stats!$F$24),"",MAX(0,MIN(100,100*(MIN(MAX(City_Inputs!$AK85,Norm_Stats!$F$24),Norm_Stats!$G$24)-Norm_Stats!$F$24)/(Norm_Stats!$G$24-Norm_Stats!$F$24)))))="",0,0.2)))</f>
        <v/>
      </c>
      <c r="BE85" s="11">
        <f>IF(OR(City_Inputs!$AH85="",Norm_Stats!$F$25="",Norm_Stats!$G$25="",Norm_Stats!$G$25=Norm_Stats!$F$25),"",MAX(0,MIN(100,100*(Norm_Stats!$G$25-MIN(MAX(City_Inputs!$AH85,Norm_Stats!$F$25),Norm_Stats!$G$25))/(Norm_Stats!$G$25-Norm_Stats!$F$25))))</f>
        <v/>
      </c>
      <c r="BF85" s="14">
        <f>IF(BE85="","",1)</f>
        <v/>
      </c>
      <c r="BG85" s="15">
        <f>IF((IF(AY85="",0,6)+IF(BA85="",0,5)+IF(BC85="",0,5)+IF(BE85="",0,4))=0,"",(IF(AY85="",0,AY85*6)+IF(BA85="",0,BA85*5)+IF(BC85="",0,BC85*5)+IF(BE85="",0,BE85*4))/(IF(AY85="",0,6)+IF(BA85="",0,5)+IF(BC85="",0,5)+IF(BE85="",0,4)))</f>
        <v/>
      </c>
      <c r="BH85" s="14">
        <f>IF((IF(AZ85="",0,6)+IF(BB85="",0,5)+IF(BD85="",0,5)+IF(BF85="",0,4))=0,"",(IF(AZ85="",0,AZ85*6)+IF(BB85="",0,BB85*5)+IF(BD85="",0,BD85*5)+IF(BF85="",0,BF85*4))/20)</f>
        <v/>
      </c>
      <c r="BI85" s="14">
        <f>IF(AND(R85="",AF85="",AN85="",AX85="",BH85=""),"",((R85*25)+(AF85*22)+(AN85*18)+(AX85*15)+(BH85*20))/100)</f>
        <v/>
      </c>
      <c r="BJ85" s="11">
        <f>IF(BI85="","",IF(BI85&gt;=0.75,"A",IF(BI85&gt;=0.5,"B",IF(BI85&gt;=0.35,"C","Watchlist"))))</f>
        <v/>
      </c>
      <c r="BK85" s="11">
        <f>IF(OR(BI85="",BI85&lt;0.5,R85="",R85&lt;0.35,AF85="",AF85&lt;0.35,AN85="",AN85&lt;0.35,AX85="",AX85&lt;0.35,BH85="",BH85&lt;0.35),"Watchlist","Ranked")</f>
        <v/>
      </c>
      <c r="BL85" s="15">
        <f>IF(AND(Q85="",AE85="",AM85="",AW85="",BG85=""),"",(IF(Q85="",0,Q85*25)+IF(AE85="",0,AE85*22)+IF(AM85="",0,AM85*18)+IF(AW85="",0,AW85*15)+IF(BG85="",0,BG85*20))/(IF(Q85="",0,25)+IF(AE85="",0,22)+IF(AM85="",0,18)+IF(AW85="",0,15)+IF(BG85="",0,20)))</f>
        <v/>
      </c>
      <c r="BM85" s="11">
        <f>IF(BK85="Ranked",1+COUNTIFS($BK$2:$BK$158,"Ranked",$BL$2:$BL$158,"&gt;"&amp;BL85),"")</f>
        <v/>
      </c>
      <c r="BN85" s="11">
        <f>City_Inputs!$AI85</f>
        <v/>
      </c>
    </row>
    <row r="86">
      <c r="A86" t="inlineStr">
        <is>
          <t>om-muscat</t>
        </is>
      </c>
      <c r="B86" t="inlineStr">
        <is>
          <t>Muscat</t>
        </is>
      </c>
      <c r="C86" t="inlineStr">
        <is>
          <t>Oman</t>
        </is>
      </c>
      <c r="D86" t="inlineStr">
        <is>
          <t>Middle East</t>
        </is>
      </c>
      <c r="E86" t="inlineStr">
        <is>
          <t>locked</t>
        </is>
      </c>
      <c r="F86" t="inlineStr">
        <is>
          <t>secondary</t>
        </is>
      </c>
      <c r="G86" s="11">
        <f>IF(OR(City_Inputs!$M86="",Norm_Stats!$F$2="",Norm_Stats!$G$2="",Norm_Stats!$G$2=Norm_Stats!$F$2),"",MAX(0,MIN(100,100*(MIN(MAX(City_Inputs!$M86,Norm_Stats!$F$2),Norm_Stats!$G$2)-Norm_Stats!$F$2)/(Norm_Stats!$G$2-Norm_Stats!$F$2))))</f>
        <v/>
      </c>
      <c r="H86" s="14">
        <f>IF(G86="","",1)</f>
        <v/>
      </c>
      <c r="I86" s="11">
        <f>IF(OR(City_Inputs!$N86="",Norm_Stats!$F$3="",Norm_Stats!$G$3="",Norm_Stats!$G$3=Norm_Stats!$F$3),"",MAX(0,MIN(100,100*(Norm_Stats!$G$3-MIN(MAX(City_Inputs!$N86,Norm_Stats!$F$3),Norm_Stats!$G$3))/(Norm_Stats!$G$3-Norm_Stats!$F$3))))</f>
        <v/>
      </c>
      <c r="J86" s="14">
        <f>IF(I86="","",1)</f>
        <v/>
      </c>
      <c r="K86" s="11">
        <f>IF(OR(City_Inputs!$P86="",Norm_Stats!$F$4="",Norm_Stats!$G$4="",Norm_Stats!$G$4=Norm_Stats!$F$4),"",MAX(0,MIN(100,100*(Norm_Stats!$G$4-MIN(MAX(City_Inputs!$P86,Norm_Stats!$F$4),Norm_Stats!$G$4))/(Norm_Stats!$G$4-Norm_Stats!$F$4))))</f>
        <v/>
      </c>
      <c r="L86" s="14">
        <f>IF(K86="","",1)</f>
        <v/>
      </c>
      <c r="M86" s="11">
        <f>IF(OR(City_Inputs!$Q86="",Norm_Stats!$F$5="",Norm_Stats!$G$5="",Norm_Stats!$G$5=Norm_Stats!$F$5),"",MAX(0,MIN(100,100*(Norm_Stats!$G$5-MIN(MAX(City_Inputs!$Q86,Norm_Stats!$F$5),Norm_Stats!$G$5))/(Norm_Stats!$G$5-Norm_Stats!$F$5))))</f>
        <v/>
      </c>
      <c r="N86" s="14">
        <f>IF(M86="","",1)</f>
        <v/>
      </c>
      <c r="O86" s="11">
        <f>IF(OR(City_Inputs!$R86="",Norm_Stats!$F$6="",Norm_Stats!$G$6="",Norm_Stats!$G$6=Norm_Stats!$F$6),"",MAX(0,MIN(100,100*(Norm_Stats!$G$6-MIN(MAX(City_Inputs!$R86,Norm_Stats!$F$6),Norm_Stats!$G$6))/(Norm_Stats!$G$6-Norm_Stats!$F$6))))</f>
        <v/>
      </c>
      <c r="P86" s="14">
        <f>IF(O86="","",1)</f>
        <v/>
      </c>
      <c r="Q86" s="15">
        <f>IF((IF(G86="",0,9)+IF(I86="",0,5)+IF(K86="",0,4)+IF(M86="",0,4)+IF(O86="",0,5))=0,"",(IF(G86="",0,G86*9)+IF(I86="",0,I86*5)+IF(K86="",0,K86*4)+IF(M86="",0,M86*4)+IF(O86="",0,O86*5))/(IF(G86="",0,9)+IF(I86="",0,5)+IF(K86="",0,4)+IF(M86="",0,4)+IF(O86="",0,5)))</f>
        <v/>
      </c>
      <c r="R86" s="14">
        <f>IF((IF(H86="",0,9)+IF(J86="",0,5)+IF(L86="",0,4)+IF(N86="",0,4)+IF(P86="",0,5))=0,"",(IF(H86="",0,H86*9)+IF(J86="",0,J86*5)+IF(L86="",0,L86*4)+IF(N86="",0,N86*4)+IF(P86="",0,P86*5))/27)</f>
        <v/>
      </c>
      <c r="S86" s="11">
        <f>IF(OR(City_Inputs!$S86="",Norm_Stats!$F$7="",Norm_Stats!$G$7="",Norm_Stats!$G$7=Norm_Stats!$F$7),"",MAX(0,MIN(100,100*(Norm_Stats!$G$7-MIN(MAX(City_Inputs!$S86,Norm_Stats!$F$7),Norm_Stats!$G$7))/(Norm_Stats!$G$7-Norm_Stats!$F$7))))</f>
        <v/>
      </c>
      <c r="T86" s="14">
        <f>IF(S86="","",1)</f>
        <v/>
      </c>
      <c r="U86" s="11">
        <f>IF(OR(City_Inputs!$T86="",Norm_Stats!$F$8="",Norm_Stats!$G$8="",Norm_Stats!$G$8=Norm_Stats!$F$8),"",MAX(0,MIN(100,100*(MIN(MAX(City_Inputs!$T86,Norm_Stats!$F$8),Norm_Stats!$G$8)-Norm_Stats!$F$8)/(Norm_Stats!$G$8-Norm_Stats!$F$8))))</f>
        <v/>
      </c>
      <c r="V86" s="14">
        <f>IF(U86="","",1)</f>
        <v/>
      </c>
      <c r="W86" s="11">
        <f>IF(OR(City_Inputs!$U86="",Norm_Stats!$F$9="",Norm_Stats!$G$9="",Norm_Stats!$G$9=Norm_Stats!$F$9),"",MAX(0,MIN(100,100*(Norm_Stats!$G$9-MIN(MAX(City_Inputs!$U86,Norm_Stats!$F$9),Norm_Stats!$G$9))/(Norm_Stats!$G$9-Norm_Stats!$F$9))))</f>
        <v/>
      </c>
      <c r="X86" s="14">
        <f>IF(W86="","",1)</f>
        <v/>
      </c>
      <c r="Y86" s="11">
        <f>IF(OR(City_Inputs!$V86="",Norm_Stats!$F$10="",Norm_Stats!$G$10="",Norm_Stats!$G$10=Norm_Stats!$F$10),"",MAX(0,MIN(100,100*(MIN(MAX(City_Inputs!$V86,Norm_Stats!$F$10),Norm_Stats!$G$10)-Norm_Stats!$F$10)/(Norm_Stats!$G$10-Norm_Stats!$F$10))))</f>
        <v/>
      </c>
      <c r="Z86" s="14">
        <f>IF(Y86="","",1)</f>
        <v/>
      </c>
      <c r="AA86" s="11">
        <f>IF(OR(City_Inputs!$W86="",Norm_Stats!$F$11="",Norm_Stats!$G$11="",Norm_Stats!$G$11=Norm_Stats!$F$11),"",MAX(0,MIN(100,100*(MIN(MAX(City_Inputs!$W86,Norm_Stats!$F$11),Norm_Stats!$G$11)-Norm_Stats!$F$11)/(Norm_Stats!$G$11-Norm_Stats!$F$11))))</f>
        <v/>
      </c>
      <c r="AB86" s="14">
        <f>IF(AA86="","",1)</f>
        <v/>
      </c>
      <c r="AC86" s="11">
        <f>IF(OR(City_Inputs!$X86="",Norm_Stats!$F$12="",Norm_Stats!$G$12="",Norm_Stats!$G$12=Norm_Stats!$F$12),"",MAX(0,MIN(100,100*(MIN(MAX(City_Inputs!$X86,Norm_Stats!$F$12),Norm_Stats!$G$12)-Norm_Stats!$F$12)/(Norm_Stats!$G$12-Norm_Stats!$F$12))))</f>
        <v/>
      </c>
      <c r="AD86" s="11">
        <f>IF(AC86="","",1)</f>
        <v/>
      </c>
      <c r="AE86" s="15">
        <f>IF((IF(S86="",0,5)+IF(U86="",0,5)+IF(W86="",0,4)+IF(Y86="",0,4)+IF(AA86="",0,4)+IF(AC86="",0,5))=0,"",(IF(S86="",0,S86*5)+IF(U86="",0,U86*5)+IF(W86="",0,W86*4)+IF(Y86="",0,Y86*4)+IF(AA86="",0,AA86*4)+IF(AC86="",0,AC86*5))/(IF(S86="",0,5)+IF(U86="",0,5)+IF(W86="",0,4)+IF(Y86="",0,4)+IF(AA86="",0,4)+IF(AC86="",0,5)))</f>
        <v/>
      </c>
      <c r="AF86" s="14">
        <f>IF((IF(T86="",0,5)+IF(V86="",0,5)+IF(X86="",0,4)+IF(Z86="",0,4)+IF(AB86="",0,4)+IF(AD86="",0,5))=0,"",(IF(T86="",0,T86*5)+IF(V86="",0,V86*5)+IF(X86="",0,X86*4)+IF(Z86="",0,Z86*4)+IF(AB86="",0,AB86*4)+IF(AD86="",0,AD86*5))/27)</f>
        <v/>
      </c>
      <c r="AG86" s="11">
        <f>IF(OR(City_Inputs!$Y86="",Norm_Stats!$F$13="",Norm_Stats!$G$13="",Norm_Stats!$G$13=Norm_Stats!$F$13),"",MAX(0,MIN(100,100*(MIN(MAX(City_Inputs!$Y86,Norm_Stats!$F$13),Norm_Stats!$G$13)-Norm_Stats!$F$13)/(Norm_Stats!$G$13-Norm_Stats!$F$13))))</f>
        <v/>
      </c>
      <c r="AH86" s="14">
        <f>IF(AG86="","",1)</f>
        <v/>
      </c>
      <c r="AI86" s="11">
        <f>IF(OR(City_Inputs!$Z86="",Norm_Stats!$F$14="",Norm_Stats!$G$14="",Norm_Stats!$G$14=Norm_Stats!$F$14),"",MAX(0,MIN(100,100*(MIN(MAX(City_Inputs!$Z86,Norm_Stats!$F$14),Norm_Stats!$G$14)-Norm_Stats!$F$14)/(Norm_Stats!$G$14-Norm_Stats!$F$14))))</f>
        <v/>
      </c>
      <c r="AJ86" s="14">
        <f>IF(AI86="","",1)</f>
        <v/>
      </c>
      <c r="AK86" s="11">
        <f>IF((IF((IF(OR(City_Inputs!$AA86="",Norm_Stats!$F$15="",Norm_Stats!$G$15="",Norm_Stats!$G$15=Norm_Stats!$F$15),"",MAX(0,MIN(100,100*(MIN(MAX(City_Inputs!$AA86,Norm_Stats!$F$15),Norm_Stats!$G$15)-Norm_Stats!$F$15)/(Norm_Stats!$G$15-Norm_Stats!$F$15)))))="",0,0.7)+IF((IF(OR(City_Inputs!$AL86="",Norm_Stats!$F$16="",Norm_Stats!$G$16="",Norm_Stats!$G$16=Norm_Stats!$F$16),"",MAX(0,MIN(100,100*(Norm_Stats!$G$16-MIN(MAX(City_Inputs!$AL86,Norm_Stats!$F$16),Norm_Stats!$G$16))/(Norm_Stats!$G$16-Norm_Stats!$F$16)))))="",0,0.3))=0,"",(IF((IF(OR(City_Inputs!$AA86="",Norm_Stats!$F$15="",Norm_Stats!$G$15="",Norm_Stats!$G$15=Norm_Stats!$F$15),"",MAX(0,MIN(100,100*(MIN(MAX(City_Inputs!$AA86,Norm_Stats!$F$15),Norm_Stats!$G$15)-Norm_Stats!$F$15)/(Norm_Stats!$G$15-Norm_Stats!$F$15)))))="",0,(IF(OR(City_Inputs!$AA86="",Norm_Stats!$F$15="",Norm_Stats!$G$15="",Norm_Stats!$G$15=Norm_Stats!$F$15),"",MAX(0,MIN(100,100*(MIN(MAX(City_Inputs!$AA86,Norm_Stats!$F$15),Norm_Stats!$G$15)-Norm_Stats!$F$15)/(Norm_Stats!$G$15-Norm_Stats!$F$15)))))*0.7)+IF((IF(OR(City_Inputs!$AL86="",Norm_Stats!$F$16="",Norm_Stats!$G$16="",Norm_Stats!$G$16=Norm_Stats!$F$16),"",MAX(0,MIN(100,100*(Norm_Stats!$G$16-MIN(MAX(City_Inputs!$AL86,Norm_Stats!$F$16),Norm_Stats!$G$16))/(Norm_Stats!$G$16-Norm_Stats!$F$16)))))="",0,(IF(OR(City_Inputs!$AL86="",Norm_Stats!$F$16="",Norm_Stats!$G$16="",Norm_Stats!$G$16=Norm_Stats!$F$16),"",MAX(0,MIN(100,100*(Norm_Stats!$G$16-MIN(MAX(City_Inputs!$AL86,Norm_Stats!$F$16),Norm_Stats!$G$16))/(Norm_Stats!$G$16-Norm_Stats!$F$16)))))*0.3))/(IF((IF(OR(City_Inputs!$AA86="",Norm_Stats!$F$15="",Norm_Stats!$G$15="",Norm_Stats!$G$15=Norm_Stats!$F$15),"",MAX(0,MIN(100,100*(MIN(MAX(City_Inputs!$AA86,Norm_Stats!$F$15),Norm_Stats!$G$15)-Norm_Stats!$F$15)/(Norm_Stats!$G$15-Norm_Stats!$F$15)))))="",0,0.7)+IF((IF(OR(City_Inputs!$AL86="",Norm_Stats!$F$16="",Norm_Stats!$G$16="",Norm_Stats!$G$16=Norm_Stats!$F$16),"",MAX(0,MIN(100,100*(Norm_Stats!$G$16-MIN(MAX(City_Inputs!$AL86,Norm_Stats!$F$16),Norm_Stats!$G$16))/(Norm_Stats!$G$16-Norm_Stats!$F$16)))))="",0,0.3)))</f>
        <v/>
      </c>
      <c r="AL86" s="14">
        <f>IF((IF((IF(OR(City_Inputs!$AA86="",Norm_Stats!$F$15="",Norm_Stats!$G$15="",Norm_Stats!$G$15=Norm_Stats!$F$15),"",MAX(0,MIN(100,100*(MIN(MAX(City_Inputs!$AA86,Norm_Stats!$F$15),Norm_Stats!$G$15)-Norm_Stats!$F$15)/(Norm_Stats!$G$15-Norm_Stats!$F$15)))))="",0,0.7)+IF((IF(OR(City_Inputs!$AL86="",Norm_Stats!$F$16="",Norm_Stats!$G$16="",Norm_Stats!$G$16=Norm_Stats!$F$16),"",MAX(0,MIN(100,100*(Norm_Stats!$G$16-MIN(MAX(City_Inputs!$AL86,Norm_Stats!$F$16),Norm_Stats!$G$16))/(Norm_Stats!$G$16-Norm_Stats!$F$16)))))="",0,0.3))=0,"",(IF((IF(OR(City_Inputs!$AA86="",Norm_Stats!$F$15="",Norm_Stats!$G$15="",Norm_Stats!$G$15=Norm_Stats!$F$15),"",MAX(0,MIN(100,100*(MIN(MAX(City_Inputs!$AA86,Norm_Stats!$F$15),Norm_Stats!$G$15)-Norm_Stats!$F$15)/(Norm_Stats!$G$15-Norm_Stats!$F$15)))))="",0,0.7)+IF((IF(OR(City_Inputs!$AL86="",Norm_Stats!$F$16="",Norm_Stats!$G$16="",Norm_Stats!$G$16=Norm_Stats!$F$16),"",MAX(0,MIN(100,100*(Norm_Stats!$G$16-MIN(MAX(City_Inputs!$AL86,Norm_Stats!$F$16),Norm_Stats!$G$16))/(Norm_Stats!$G$16-Norm_Stats!$F$16)))))="",0,0.3)))</f>
        <v/>
      </c>
      <c r="AM86" s="15">
        <f>IF((IF(AG86="",0,8)+IF(AI86="",0,6)+IF(AK86="",0,4))=0,"",(IF(AG86="",0,AG86*8)+IF(AI86="",0,AI86*6)+IF(AK86="",0,AK86*4))/(IF(AG86="",0,8)+IF(AI86="",0,6)+IF(AK86="",0,4)))</f>
        <v/>
      </c>
      <c r="AN86" s="14">
        <f>IF((IF(AH86="",0,8)+IF(AJ86="",0,6)+IF(AL86="",0,4))=0,"",(IF(AH86="",0,AH86*8)+IF(AJ86="",0,AJ86*6)+IF(AL86="",0,AL86*4))/18)</f>
        <v/>
      </c>
      <c r="AO86" s="11">
        <f>IF(OR(City_Inputs!$AB86="",Norm_Stats!$F$17="",Norm_Stats!$G$17="",Norm_Stats!$G$17=Norm_Stats!$F$17),"",MAX(0,MIN(100,100*(MIN(MAX(City_Inputs!$AB86,Norm_Stats!$F$17),Norm_Stats!$G$17)-Norm_Stats!$F$17)/(Norm_Stats!$G$17-Norm_Stats!$F$17))))</f>
        <v/>
      </c>
      <c r="AP86" s="14">
        <f>IF(AO86="","",1)</f>
        <v/>
      </c>
      <c r="AQ86" s="11">
        <f>IF(OR(City_Inputs!$AC86="",Norm_Stats!$F$18="",Norm_Stats!$G$18="",Norm_Stats!$G$18=Norm_Stats!$F$18),"",MAX(0,MIN(100,100*(MIN(MAX(City_Inputs!$AC86,Norm_Stats!$F$18),Norm_Stats!$G$18)-Norm_Stats!$F$18)/(Norm_Stats!$G$18-Norm_Stats!$F$18))))</f>
        <v/>
      </c>
      <c r="AR86" s="14">
        <f>IF(AQ86="","",1)</f>
        <v/>
      </c>
      <c r="AS86" s="11">
        <f>IF(OR(City_Inputs!$AD86="",Norm_Stats!$F$19="",Norm_Stats!$G$19="",Norm_Stats!$G$19=Norm_Stats!$F$19),"",MAX(0,MIN(100,100*(MIN(MAX(City_Inputs!$AD86,Norm_Stats!$F$19),Norm_Stats!$G$19)-Norm_Stats!$F$19)/(Norm_Stats!$G$19-Norm_Stats!$F$19))))</f>
        <v/>
      </c>
      <c r="AT86" s="14">
        <f>IF(AS86="","",1)</f>
        <v/>
      </c>
      <c r="AU86" s="11">
        <f>IF(OR(City_Inputs!$BJ86="",Norm_Stats!$F$26="",Norm_Stats!$G$26="",Norm_Stats!$G$26=Norm_Stats!$F$26),"",MAX(0,MIN(100,100*(MIN(MAX(City_Inputs!$BJ86,Norm_Stats!$F$26),Norm_Stats!$G$26)-Norm_Stats!$F$26)/(Norm_Stats!$G$26-Norm_Stats!$F$26))))</f>
        <v/>
      </c>
      <c r="AV86" s="11">
        <f>IF(AU86="","",1)</f>
        <v/>
      </c>
      <c r="AW86" s="15">
        <f>IF((IF(AO86="",0,5)+IF(AQ86="",0,5)+IF(AS86="",0,5)+IF(AU86="",0,4))=0,"",(IF(AO86="",0,AO86*5)+IF(AQ86="",0,AQ86*5)+IF(AS86="",0,AS86*5)+IF(AU86="",0,AU86*4))/(IF(AO86="",0,5)+IF(AQ86="",0,5)+IF(AS86="",0,5)+IF(AU86="",0,4)))</f>
        <v/>
      </c>
      <c r="AX86" s="14">
        <f>IF((IF(AP86="",0,5)+IF(AR86="",0,5)+IF(AT86="",0,5)+IF(AV86="",0,4))=0,"",(IF(AP86="",0,AP86*5)+IF(AR86="",0,AR86*5)+IF(AT86="",0,AT86*5)+IF(AV86="",0,AV86*4))/19)</f>
        <v/>
      </c>
      <c r="AY86" s="11">
        <f>IF(OR(City_Inputs!$AE86="",Norm_Stats!$F$20="",Norm_Stats!$G$20="",Norm_Stats!$G$20=Norm_Stats!$F$20),"",MAX(0,MIN(100,100*(MIN(MAX(City_Inputs!$AE86,Norm_Stats!$F$20),Norm_Stats!$G$20)-Norm_Stats!$F$20)/(Norm_Stats!$G$20-Norm_Stats!$F$20))))</f>
        <v/>
      </c>
      <c r="AZ86" s="14">
        <f>IF(AY86="","",1)</f>
        <v/>
      </c>
      <c r="BA86" s="11">
        <f>IF(OR(City_Inputs!$AF86="",Norm_Stats!$F$21="",Norm_Stats!$G$21="",Norm_Stats!$G$21=Norm_Stats!$F$21),"",MAX(0,MIN(100,100*(MIN(MAX(City_Inputs!$AF86,Norm_Stats!$F$21),Norm_Stats!$G$21)-Norm_Stats!$F$21)/(Norm_Stats!$G$21-Norm_Stats!$F$21))))</f>
        <v/>
      </c>
      <c r="BB86" s="14">
        <f>IF(BA86="","",1)</f>
        <v/>
      </c>
      <c r="BC86" s="11">
        <f>IF((IF((IF(OR(City_Inputs!$AG86="",Norm_Stats!$F$22="",Norm_Stats!$G$22="",Norm_Stats!$G$22=Norm_Stats!$F$22),"",MAX(0,MIN(100,100*(MIN(MAX(City_Inputs!$AG86,Norm_Stats!$F$22),Norm_Stats!$G$22)-Norm_Stats!$F$22)/(Norm_Stats!$G$22-Norm_Stats!$F$22)))))="",0,0.5)+IF((IF(OR(City_Inputs!$AJ86="",Norm_Stats!$F$23="",Norm_Stats!$G$23="",Norm_Stats!$G$23=Norm_Stats!$F$23),"",MAX(0,MIN(100,100*(MIN(MAX(City_Inputs!$AJ86,Norm_Stats!$F$23),Norm_Stats!$G$23)-Norm_Stats!$F$23)/(Norm_Stats!$G$23-Norm_Stats!$F$23)))))="",0,0.3)+IF((IF(OR(City_Inputs!$AK86="",Norm_Stats!$F$24="",Norm_Stats!$G$24="",Norm_Stats!$G$24=Norm_Stats!$F$24),"",MAX(0,MIN(100,100*(MIN(MAX(City_Inputs!$AK86,Norm_Stats!$F$24),Norm_Stats!$G$24)-Norm_Stats!$F$24)/(Norm_Stats!$G$24-Norm_Stats!$F$24)))))="",0,0.2))=0,"",(IF((IF(OR(City_Inputs!$AG86="",Norm_Stats!$F$22="",Norm_Stats!$G$22="",Norm_Stats!$G$22=Norm_Stats!$F$22),"",MAX(0,MIN(100,100*(MIN(MAX(City_Inputs!$AG86,Norm_Stats!$F$22),Norm_Stats!$G$22)-Norm_Stats!$F$22)/(Norm_Stats!$G$22-Norm_Stats!$F$22)))))="",0,(IF(OR(City_Inputs!$AG86="",Norm_Stats!$F$22="",Norm_Stats!$G$22="",Norm_Stats!$G$22=Norm_Stats!$F$22),"",MAX(0,MIN(100,100*(MIN(MAX(City_Inputs!$AG86,Norm_Stats!$F$22),Norm_Stats!$G$22)-Norm_Stats!$F$22)/(Norm_Stats!$G$22-Norm_Stats!$F$22)))))*0.5)+IF((IF(OR(City_Inputs!$AJ86="",Norm_Stats!$F$23="",Norm_Stats!$G$23="",Norm_Stats!$G$23=Norm_Stats!$F$23),"",MAX(0,MIN(100,100*(MIN(MAX(City_Inputs!$AJ86,Norm_Stats!$F$23),Norm_Stats!$G$23)-Norm_Stats!$F$23)/(Norm_Stats!$G$23-Norm_Stats!$F$23)))))="",0,(IF(OR(City_Inputs!$AJ86="",Norm_Stats!$F$23="",Norm_Stats!$G$23="",Norm_Stats!$G$23=Norm_Stats!$F$23),"",MAX(0,MIN(100,100*(MIN(MAX(City_Inputs!$AJ86,Norm_Stats!$F$23),Norm_Stats!$G$23)-Norm_Stats!$F$23)/(Norm_Stats!$G$23-Norm_Stats!$F$23)))))*0.3)+IF((IF(OR(City_Inputs!$AK86="",Norm_Stats!$F$24="",Norm_Stats!$G$24="",Norm_Stats!$G$24=Norm_Stats!$F$24),"",MAX(0,MIN(100,100*(MIN(MAX(City_Inputs!$AK86,Norm_Stats!$F$24),Norm_Stats!$G$24)-Norm_Stats!$F$24)/(Norm_Stats!$G$24-Norm_Stats!$F$24)))))="",0,(IF(OR(City_Inputs!$AK86="",Norm_Stats!$F$24="",Norm_Stats!$G$24="",Norm_Stats!$G$24=Norm_Stats!$F$24),"",MAX(0,MIN(100,100*(MIN(MAX(City_Inputs!$AK86,Norm_Stats!$F$24),Norm_Stats!$G$24)-Norm_Stats!$F$24)/(Norm_Stats!$G$24-Norm_Stats!$F$24)))))*0.2))/(IF((IF(OR(City_Inputs!$AG86="",Norm_Stats!$F$22="",Norm_Stats!$G$22="",Norm_Stats!$G$22=Norm_Stats!$F$22),"",MAX(0,MIN(100,100*(MIN(MAX(City_Inputs!$AG86,Norm_Stats!$F$22),Norm_Stats!$G$22)-Norm_Stats!$F$22)/(Norm_Stats!$G$22-Norm_Stats!$F$22)))))="",0,0.5)+IF((IF(OR(City_Inputs!$AJ86="",Norm_Stats!$F$23="",Norm_Stats!$G$23="",Norm_Stats!$G$23=Norm_Stats!$F$23),"",MAX(0,MIN(100,100*(MIN(MAX(City_Inputs!$AJ86,Norm_Stats!$F$23),Norm_Stats!$G$23)-Norm_Stats!$F$23)/(Norm_Stats!$G$23-Norm_Stats!$F$23)))))="",0,0.3)+IF((IF(OR(City_Inputs!$AK86="",Norm_Stats!$F$24="",Norm_Stats!$G$24="",Norm_Stats!$G$24=Norm_Stats!$F$24),"",MAX(0,MIN(100,100*(MIN(MAX(City_Inputs!$AK86,Norm_Stats!$F$24),Norm_Stats!$G$24)-Norm_Stats!$F$24)/(Norm_Stats!$G$24-Norm_Stats!$F$24)))))="",0,0.2)))</f>
        <v/>
      </c>
      <c r="BD86" s="14">
        <f>IF((IF((IF(OR(City_Inputs!$AG86="",Norm_Stats!$F$22="",Norm_Stats!$G$22="",Norm_Stats!$G$22=Norm_Stats!$F$22),"",MAX(0,MIN(100,100*(MIN(MAX(City_Inputs!$AG86,Norm_Stats!$F$22),Norm_Stats!$G$22)-Norm_Stats!$F$22)/(Norm_Stats!$G$22-Norm_Stats!$F$22)))))="",0,0.5)+IF((IF(OR(City_Inputs!$AJ86="",Norm_Stats!$F$23="",Norm_Stats!$G$23="",Norm_Stats!$G$23=Norm_Stats!$F$23),"",MAX(0,MIN(100,100*(MIN(MAX(City_Inputs!$AJ86,Norm_Stats!$F$23),Norm_Stats!$G$23)-Norm_Stats!$F$23)/(Norm_Stats!$G$23-Norm_Stats!$F$23)))))="",0,0.3)+IF((IF(OR(City_Inputs!$AK86="",Norm_Stats!$F$24="",Norm_Stats!$G$24="",Norm_Stats!$G$24=Norm_Stats!$F$24),"",MAX(0,MIN(100,100*(MIN(MAX(City_Inputs!$AK86,Norm_Stats!$F$24),Norm_Stats!$G$24)-Norm_Stats!$F$24)/(Norm_Stats!$G$24-Norm_Stats!$F$24)))))="",0,0.2))=0,"",(IF((IF(OR(City_Inputs!$AG86="",Norm_Stats!$F$22="",Norm_Stats!$G$22="",Norm_Stats!$G$22=Norm_Stats!$F$22),"",MAX(0,MIN(100,100*(MIN(MAX(City_Inputs!$AG86,Norm_Stats!$F$22),Norm_Stats!$G$22)-Norm_Stats!$F$22)/(Norm_Stats!$G$22-Norm_Stats!$F$22)))))="",0,0.5)+IF((IF(OR(City_Inputs!$AJ86="",Norm_Stats!$F$23="",Norm_Stats!$G$23="",Norm_Stats!$G$23=Norm_Stats!$F$23),"",MAX(0,MIN(100,100*(MIN(MAX(City_Inputs!$AJ86,Norm_Stats!$F$23),Norm_Stats!$G$23)-Norm_Stats!$F$23)/(Norm_Stats!$G$23-Norm_Stats!$F$23)))))="",0,0.3)+IF((IF(OR(City_Inputs!$AK86="",Norm_Stats!$F$24="",Norm_Stats!$G$24="",Norm_Stats!$G$24=Norm_Stats!$F$24),"",MAX(0,MIN(100,100*(MIN(MAX(City_Inputs!$AK86,Norm_Stats!$F$24),Norm_Stats!$G$24)-Norm_Stats!$F$24)/(Norm_Stats!$G$24-Norm_Stats!$F$24)))))="",0,0.2)))</f>
        <v/>
      </c>
      <c r="BE86" s="11">
        <f>IF(OR(City_Inputs!$AH86="",Norm_Stats!$F$25="",Norm_Stats!$G$25="",Norm_Stats!$G$25=Norm_Stats!$F$25),"",MAX(0,MIN(100,100*(Norm_Stats!$G$25-MIN(MAX(City_Inputs!$AH86,Norm_Stats!$F$25),Norm_Stats!$G$25))/(Norm_Stats!$G$25-Norm_Stats!$F$25))))</f>
        <v/>
      </c>
      <c r="BF86" s="14">
        <f>IF(BE86="","",1)</f>
        <v/>
      </c>
      <c r="BG86" s="15">
        <f>IF((IF(AY86="",0,6)+IF(BA86="",0,5)+IF(BC86="",0,5)+IF(BE86="",0,4))=0,"",(IF(AY86="",0,AY86*6)+IF(BA86="",0,BA86*5)+IF(BC86="",0,BC86*5)+IF(BE86="",0,BE86*4))/(IF(AY86="",0,6)+IF(BA86="",0,5)+IF(BC86="",0,5)+IF(BE86="",0,4)))</f>
        <v/>
      </c>
      <c r="BH86" s="14">
        <f>IF((IF(AZ86="",0,6)+IF(BB86="",0,5)+IF(BD86="",0,5)+IF(BF86="",0,4))=0,"",(IF(AZ86="",0,AZ86*6)+IF(BB86="",0,BB86*5)+IF(BD86="",0,BD86*5)+IF(BF86="",0,BF86*4))/20)</f>
        <v/>
      </c>
      <c r="BI86" s="14">
        <f>IF(AND(R86="",AF86="",AN86="",AX86="",BH86=""),"",((R86*25)+(AF86*22)+(AN86*18)+(AX86*15)+(BH86*20))/100)</f>
        <v/>
      </c>
      <c r="BJ86" s="11">
        <f>IF(BI86="","",IF(BI86&gt;=0.75,"A",IF(BI86&gt;=0.5,"B",IF(BI86&gt;=0.35,"C","Watchlist"))))</f>
        <v/>
      </c>
      <c r="BK86" s="11">
        <f>IF(OR(BI86="",BI86&lt;0.5,R86="",R86&lt;0.35,AF86="",AF86&lt;0.35,AN86="",AN86&lt;0.35,AX86="",AX86&lt;0.35,BH86="",BH86&lt;0.35),"Watchlist","Ranked")</f>
        <v/>
      </c>
      <c r="BL86" s="15">
        <f>IF(AND(Q86="",AE86="",AM86="",AW86="",BG86=""),"",(IF(Q86="",0,Q86*25)+IF(AE86="",0,AE86*22)+IF(AM86="",0,AM86*18)+IF(AW86="",0,AW86*15)+IF(BG86="",0,BG86*20))/(IF(Q86="",0,25)+IF(AE86="",0,22)+IF(AM86="",0,18)+IF(AW86="",0,15)+IF(BG86="",0,20)))</f>
        <v/>
      </c>
      <c r="BM86" s="11">
        <f>IF(BK86="Ranked",1+COUNTIFS($BK$2:$BK$158,"Ranked",$BL$2:$BL$158,"&gt;"&amp;BL86),"")</f>
        <v/>
      </c>
      <c r="BN86" s="11">
        <f>City_Inputs!$AI86</f>
        <v/>
      </c>
    </row>
    <row r="87">
      <c r="A87" t="inlineStr">
        <is>
          <t>bh-manama</t>
        </is>
      </c>
      <c r="B87" t="inlineStr">
        <is>
          <t>Manama</t>
        </is>
      </c>
      <c r="C87" t="inlineStr">
        <is>
          <t>Bahrain</t>
        </is>
      </c>
      <c r="D87" t="inlineStr">
        <is>
          <t>Middle East</t>
        </is>
      </c>
      <c r="E87" t="inlineStr">
        <is>
          <t>locked</t>
        </is>
      </c>
      <c r="F87" t="inlineStr">
        <is>
          <t>secondary</t>
        </is>
      </c>
      <c r="G87" s="11">
        <f>IF(OR(City_Inputs!$M87="",Norm_Stats!$F$2="",Norm_Stats!$G$2="",Norm_Stats!$G$2=Norm_Stats!$F$2),"",MAX(0,MIN(100,100*(MIN(MAX(City_Inputs!$M87,Norm_Stats!$F$2),Norm_Stats!$G$2)-Norm_Stats!$F$2)/(Norm_Stats!$G$2-Norm_Stats!$F$2))))</f>
        <v/>
      </c>
      <c r="H87" s="14">
        <f>IF(G87="","",1)</f>
        <v/>
      </c>
      <c r="I87" s="11">
        <f>IF(OR(City_Inputs!$N87="",Norm_Stats!$F$3="",Norm_Stats!$G$3="",Norm_Stats!$G$3=Norm_Stats!$F$3),"",MAX(0,MIN(100,100*(Norm_Stats!$G$3-MIN(MAX(City_Inputs!$N87,Norm_Stats!$F$3),Norm_Stats!$G$3))/(Norm_Stats!$G$3-Norm_Stats!$F$3))))</f>
        <v/>
      </c>
      <c r="J87" s="14">
        <f>IF(I87="","",1)</f>
        <v/>
      </c>
      <c r="K87" s="11">
        <f>IF(OR(City_Inputs!$P87="",Norm_Stats!$F$4="",Norm_Stats!$G$4="",Norm_Stats!$G$4=Norm_Stats!$F$4),"",MAX(0,MIN(100,100*(Norm_Stats!$G$4-MIN(MAX(City_Inputs!$P87,Norm_Stats!$F$4),Norm_Stats!$G$4))/(Norm_Stats!$G$4-Norm_Stats!$F$4))))</f>
        <v/>
      </c>
      <c r="L87" s="14">
        <f>IF(K87="","",1)</f>
        <v/>
      </c>
      <c r="M87" s="11">
        <f>IF(OR(City_Inputs!$Q87="",Norm_Stats!$F$5="",Norm_Stats!$G$5="",Norm_Stats!$G$5=Norm_Stats!$F$5),"",MAX(0,MIN(100,100*(Norm_Stats!$G$5-MIN(MAX(City_Inputs!$Q87,Norm_Stats!$F$5),Norm_Stats!$G$5))/(Norm_Stats!$G$5-Norm_Stats!$F$5))))</f>
        <v/>
      </c>
      <c r="N87" s="14">
        <f>IF(M87="","",1)</f>
        <v/>
      </c>
      <c r="O87" s="11">
        <f>IF(OR(City_Inputs!$R87="",Norm_Stats!$F$6="",Norm_Stats!$G$6="",Norm_Stats!$G$6=Norm_Stats!$F$6),"",MAX(0,MIN(100,100*(Norm_Stats!$G$6-MIN(MAX(City_Inputs!$R87,Norm_Stats!$F$6),Norm_Stats!$G$6))/(Norm_Stats!$G$6-Norm_Stats!$F$6))))</f>
        <v/>
      </c>
      <c r="P87" s="14">
        <f>IF(O87="","",1)</f>
        <v/>
      </c>
      <c r="Q87" s="15">
        <f>IF((IF(G87="",0,9)+IF(I87="",0,5)+IF(K87="",0,4)+IF(M87="",0,4)+IF(O87="",0,5))=0,"",(IF(G87="",0,G87*9)+IF(I87="",0,I87*5)+IF(K87="",0,K87*4)+IF(M87="",0,M87*4)+IF(O87="",0,O87*5))/(IF(G87="",0,9)+IF(I87="",0,5)+IF(K87="",0,4)+IF(M87="",0,4)+IF(O87="",0,5)))</f>
        <v/>
      </c>
      <c r="R87" s="14">
        <f>IF((IF(H87="",0,9)+IF(J87="",0,5)+IF(L87="",0,4)+IF(N87="",0,4)+IF(P87="",0,5))=0,"",(IF(H87="",0,H87*9)+IF(J87="",0,J87*5)+IF(L87="",0,L87*4)+IF(N87="",0,N87*4)+IF(P87="",0,P87*5))/27)</f>
        <v/>
      </c>
      <c r="S87" s="11">
        <f>IF(OR(City_Inputs!$S87="",Norm_Stats!$F$7="",Norm_Stats!$G$7="",Norm_Stats!$G$7=Norm_Stats!$F$7),"",MAX(0,MIN(100,100*(Norm_Stats!$G$7-MIN(MAX(City_Inputs!$S87,Norm_Stats!$F$7),Norm_Stats!$G$7))/(Norm_Stats!$G$7-Norm_Stats!$F$7))))</f>
        <v/>
      </c>
      <c r="T87" s="14">
        <f>IF(S87="","",1)</f>
        <v/>
      </c>
      <c r="U87" s="11">
        <f>IF(OR(City_Inputs!$T87="",Norm_Stats!$F$8="",Norm_Stats!$G$8="",Norm_Stats!$G$8=Norm_Stats!$F$8),"",MAX(0,MIN(100,100*(MIN(MAX(City_Inputs!$T87,Norm_Stats!$F$8),Norm_Stats!$G$8)-Norm_Stats!$F$8)/(Norm_Stats!$G$8-Norm_Stats!$F$8))))</f>
        <v/>
      </c>
      <c r="V87" s="14">
        <f>IF(U87="","",1)</f>
        <v/>
      </c>
      <c r="W87" s="11">
        <f>IF(OR(City_Inputs!$U87="",Norm_Stats!$F$9="",Norm_Stats!$G$9="",Norm_Stats!$G$9=Norm_Stats!$F$9),"",MAX(0,MIN(100,100*(Norm_Stats!$G$9-MIN(MAX(City_Inputs!$U87,Norm_Stats!$F$9),Norm_Stats!$G$9))/(Norm_Stats!$G$9-Norm_Stats!$F$9))))</f>
        <v/>
      </c>
      <c r="X87" s="14">
        <f>IF(W87="","",1)</f>
        <v/>
      </c>
      <c r="Y87" s="11">
        <f>IF(OR(City_Inputs!$V87="",Norm_Stats!$F$10="",Norm_Stats!$G$10="",Norm_Stats!$G$10=Norm_Stats!$F$10),"",MAX(0,MIN(100,100*(MIN(MAX(City_Inputs!$V87,Norm_Stats!$F$10),Norm_Stats!$G$10)-Norm_Stats!$F$10)/(Norm_Stats!$G$10-Norm_Stats!$F$10))))</f>
        <v/>
      </c>
      <c r="Z87" s="14">
        <f>IF(Y87="","",1)</f>
        <v/>
      </c>
      <c r="AA87" s="11">
        <f>IF(OR(City_Inputs!$W87="",Norm_Stats!$F$11="",Norm_Stats!$G$11="",Norm_Stats!$G$11=Norm_Stats!$F$11),"",MAX(0,MIN(100,100*(MIN(MAX(City_Inputs!$W87,Norm_Stats!$F$11),Norm_Stats!$G$11)-Norm_Stats!$F$11)/(Norm_Stats!$G$11-Norm_Stats!$F$11))))</f>
        <v/>
      </c>
      <c r="AB87" s="14">
        <f>IF(AA87="","",1)</f>
        <v/>
      </c>
      <c r="AC87" s="11">
        <f>IF(OR(City_Inputs!$X87="",Norm_Stats!$F$12="",Norm_Stats!$G$12="",Norm_Stats!$G$12=Norm_Stats!$F$12),"",MAX(0,MIN(100,100*(MIN(MAX(City_Inputs!$X87,Norm_Stats!$F$12),Norm_Stats!$G$12)-Norm_Stats!$F$12)/(Norm_Stats!$G$12-Norm_Stats!$F$12))))</f>
        <v/>
      </c>
      <c r="AD87" s="11">
        <f>IF(AC87="","",1)</f>
        <v/>
      </c>
      <c r="AE87" s="15">
        <f>IF((IF(S87="",0,5)+IF(U87="",0,5)+IF(W87="",0,4)+IF(Y87="",0,4)+IF(AA87="",0,4)+IF(AC87="",0,5))=0,"",(IF(S87="",0,S87*5)+IF(U87="",0,U87*5)+IF(W87="",0,W87*4)+IF(Y87="",0,Y87*4)+IF(AA87="",0,AA87*4)+IF(AC87="",0,AC87*5))/(IF(S87="",0,5)+IF(U87="",0,5)+IF(W87="",0,4)+IF(Y87="",0,4)+IF(AA87="",0,4)+IF(AC87="",0,5)))</f>
        <v/>
      </c>
      <c r="AF87" s="14">
        <f>IF((IF(T87="",0,5)+IF(V87="",0,5)+IF(X87="",0,4)+IF(Z87="",0,4)+IF(AB87="",0,4)+IF(AD87="",0,5))=0,"",(IF(T87="",0,T87*5)+IF(V87="",0,V87*5)+IF(X87="",0,X87*4)+IF(Z87="",0,Z87*4)+IF(AB87="",0,AB87*4)+IF(AD87="",0,AD87*5))/27)</f>
        <v/>
      </c>
      <c r="AG87" s="11">
        <f>IF(OR(City_Inputs!$Y87="",Norm_Stats!$F$13="",Norm_Stats!$G$13="",Norm_Stats!$G$13=Norm_Stats!$F$13),"",MAX(0,MIN(100,100*(MIN(MAX(City_Inputs!$Y87,Norm_Stats!$F$13),Norm_Stats!$G$13)-Norm_Stats!$F$13)/(Norm_Stats!$G$13-Norm_Stats!$F$13))))</f>
        <v/>
      </c>
      <c r="AH87" s="14">
        <f>IF(AG87="","",1)</f>
        <v/>
      </c>
      <c r="AI87" s="11">
        <f>IF(OR(City_Inputs!$Z87="",Norm_Stats!$F$14="",Norm_Stats!$G$14="",Norm_Stats!$G$14=Norm_Stats!$F$14),"",MAX(0,MIN(100,100*(MIN(MAX(City_Inputs!$Z87,Norm_Stats!$F$14),Norm_Stats!$G$14)-Norm_Stats!$F$14)/(Norm_Stats!$G$14-Norm_Stats!$F$14))))</f>
        <v/>
      </c>
      <c r="AJ87" s="14">
        <f>IF(AI87="","",1)</f>
        <v/>
      </c>
      <c r="AK87" s="11">
        <f>IF((IF((IF(OR(City_Inputs!$AA87="",Norm_Stats!$F$15="",Norm_Stats!$G$15="",Norm_Stats!$G$15=Norm_Stats!$F$15),"",MAX(0,MIN(100,100*(MIN(MAX(City_Inputs!$AA87,Norm_Stats!$F$15),Norm_Stats!$G$15)-Norm_Stats!$F$15)/(Norm_Stats!$G$15-Norm_Stats!$F$15)))))="",0,0.7)+IF((IF(OR(City_Inputs!$AL87="",Norm_Stats!$F$16="",Norm_Stats!$G$16="",Norm_Stats!$G$16=Norm_Stats!$F$16),"",MAX(0,MIN(100,100*(Norm_Stats!$G$16-MIN(MAX(City_Inputs!$AL87,Norm_Stats!$F$16),Norm_Stats!$G$16))/(Norm_Stats!$G$16-Norm_Stats!$F$16)))))="",0,0.3))=0,"",(IF((IF(OR(City_Inputs!$AA87="",Norm_Stats!$F$15="",Norm_Stats!$G$15="",Norm_Stats!$G$15=Norm_Stats!$F$15),"",MAX(0,MIN(100,100*(MIN(MAX(City_Inputs!$AA87,Norm_Stats!$F$15),Norm_Stats!$G$15)-Norm_Stats!$F$15)/(Norm_Stats!$G$15-Norm_Stats!$F$15)))))="",0,(IF(OR(City_Inputs!$AA87="",Norm_Stats!$F$15="",Norm_Stats!$G$15="",Norm_Stats!$G$15=Norm_Stats!$F$15),"",MAX(0,MIN(100,100*(MIN(MAX(City_Inputs!$AA87,Norm_Stats!$F$15),Norm_Stats!$G$15)-Norm_Stats!$F$15)/(Norm_Stats!$G$15-Norm_Stats!$F$15)))))*0.7)+IF((IF(OR(City_Inputs!$AL87="",Norm_Stats!$F$16="",Norm_Stats!$G$16="",Norm_Stats!$G$16=Norm_Stats!$F$16),"",MAX(0,MIN(100,100*(Norm_Stats!$G$16-MIN(MAX(City_Inputs!$AL87,Norm_Stats!$F$16),Norm_Stats!$G$16))/(Norm_Stats!$G$16-Norm_Stats!$F$16)))))="",0,(IF(OR(City_Inputs!$AL87="",Norm_Stats!$F$16="",Norm_Stats!$G$16="",Norm_Stats!$G$16=Norm_Stats!$F$16),"",MAX(0,MIN(100,100*(Norm_Stats!$G$16-MIN(MAX(City_Inputs!$AL87,Norm_Stats!$F$16),Norm_Stats!$G$16))/(Norm_Stats!$G$16-Norm_Stats!$F$16)))))*0.3))/(IF((IF(OR(City_Inputs!$AA87="",Norm_Stats!$F$15="",Norm_Stats!$G$15="",Norm_Stats!$G$15=Norm_Stats!$F$15),"",MAX(0,MIN(100,100*(MIN(MAX(City_Inputs!$AA87,Norm_Stats!$F$15),Norm_Stats!$G$15)-Norm_Stats!$F$15)/(Norm_Stats!$G$15-Norm_Stats!$F$15)))))="",0,0.7)+IF((IF(OR(City_Inputs!$AL87="",Norm_Stats!$F$16="",Norm_Stats!$G$16="",Norm_Stats!$G$16=Norm_Stats!$F$16),"",MAX(0,MIN(100,100*(Norm_Stats!$G$16-MIN(MAX(City_Inputs!$AL87,Norm_Stats!$F$16),Norm_Stats!$G$16))/(Norm_Stats!$G$16-Norm_Stats!$F$16)))))="",0,0.3)))</f>
        <v/>
      </c>
      <c r="AL87" s="14">
        <f>IF((IF((IF(OR(City_Inputs!$AA87="",Norm_Stats!$F$15="",Norm_Stats!$G$15="",Norm_Stats!$G$15=Norm_Stats!$F$15),"",MAX(0,MIN(100,100*(MIN(MAX(City_Inputs!$AA87,Norm_Stats!$F$15),Norm_Stats!$G$15)-Norm_Stats!$F$15)/(Norm_Stats!$G$15-Norm_Stats!$F$15)))))="",0,0.7)+IF((IF(OR(City_Inputs!$AL87="",Norm_Stats!$F$16="",Norm_Stats!$G$16="",Norm_Stats!$G$16=Norm_Stats!$F$16),"",MAX(0,MIN(100,100*(Norm_Stats!$G$16-MIN(MAX(City_Inputs!$AL87,Norm_Stats!$F$16),Norm_Stats!$G$16))/(Norm_Stats!$G$16-Norm_Stats!$F$16)))))="",0,0.3))=0,"",(IF((IF(OR(City_Inputs!$AA87="",Norm_Stats!$F$15="",Norm_Stats!$G$15="",Norm_Stats!$G$15=Norm_Stats!$F$15),"",MAX(0,MIN(100,100*(MIN(MAX(City_Inputs!$AA87,Norm_Stats!$F$15),Norm_Stats!$G$15)-Norm_Stats!$F$15)/(Norm_Stats!$G$15-Norm_Stats!$F$15)))))="",0,0.7)+IF((IF(OR(City_Inputs!$AL87="",Norm_Stats!$F$16="",Norm_Stats!$G$16="",Norm_Stats!$G$16=Norm_Stats!$F$16),"",MAX(0,MIN(100,100*(Norm_Stats!$G$16-MIN(MAX(City_Inputs!$AL87,Norm_Stats!$F$16),Norm_Stats!$G$16))/(Norm_Stats!$G$16-Norm_Stats!$F$16)))))="",0,0.3)))</f>
        <v/>
      </c>
      <c r="AM87" s="15">
        <f>IF((IF(AG87="",0,8)+IF(AI87="",0,6)+IF(AK87="",0,4))=0,"",(IF(AG87="",0,AG87*8)+IF(AI87="",0,AI87*6)+IF(AK87="",0,AK87*4))/(IF(AG87="",0,8)+IF(AI87="",0,6)+IF(AK87="",0,4)))</f>
        <v/>
      </c>
      <c r="AN87" s="14">
        <f>IF((IF(AH87="",0,8)+IF(AJ87="",0,6)+IF(AL87="",0,4))=0,"",(IF(AH87="",0,AH87*8)+IF(AJ87="",0,AJ87*6)+IF(AL87="",0,AL87*4))/18)</f>
        <v/>
      </c>
      <c r="AO87" s="11">
        <f>IF(OR(City_Inputs!$AB87="",Norm_Stats!$F$17="",Norm_Stats!$G$17="",Norm_Stats!$G$17=Norm_Stats!$F$17),"",MAX(0,MIN(100,100*(MIN(MAX(City_Inputs!$AB87,Norm_Stats!$F$17),Norm_Stats!$G$17)-Norm_Stats!$F$17)/(Norm_Stats!$G$17-Norm_Stats!$F$17))))</f>
        <v/>
      </c>
      <c r="AP87" s="14">
        <f>IF(AO87="","",1)</f>
        <v/>
      </c>
      <c r="AQ87" s="11">
        <f>IF(OR(City_Inputs!$AC87="",Norm_Stats!$F$18="",Norm_Stats!$G$18="",Norm_Stats!$G$18=Norm_Stats!$F$18),"",MAX(0,MIN(100,100*(MIN(MAX(City_Inputs!$AC87,Norm_Stats!$F$18),Norm_Stats!$G$18)-Norm_Stats!$F$18)/(Norm_Stats!$G$18-Norm_Stats!$F$18))))</f>
        <v/>
      </c>
      <c r="AR87" s="14">
        <f>IF(AQ87="","",1)</f>
        <v/>
      </c>
      <c r="AS87" s="11">
        <f>IF(OR(City_Inputs!$AD87="",Norm_Stats!$F$19="",Norm_Stats!$G$19="",Norm_Stats!$G$19=Norm_Stats!$F$19),"",MAX(0,MIN(100,100*(MIN(MAX(City_Inputs!$AD87,Norm_Stats!$F$19),Norm_Stats!$G$19)-Norm_Stats!$F$19)/(Norm_Stats!$G$19-Norm_Stats!$F$19))))</f>
        <v/>
      </c>
      <c r="AT87" s="14">
        <f>IF(AS87="","",1)</f>
        <v/>
      </c>
      <c r="AU87" s="11">
        <f>IF(OR(City_Inputs!$BJ87="",Norm_Stats!$F$26="",Norm_Stats!$G$26="",Norm_Stats!$G$26=Norm_Stats!$F$26),"",MAX(0,MIN(100,100*(MIN(MAX(City_Inputs!$BJ87,Norm_Stats!$F$26),Norm_Stats!$G$26)-Norm_Stats!$F$26)/(Norm_Stats!$G$26-Norm_Stats!$F$26))))</f>
        <v/>
      </c>
      <c r="AV87" s="11">
        <f>IF(AU87="","",1)</f>
        <v/>
      </c>
      <c r="AW87" s="15">
        <f>IF((IF(AO87="",0,5)+IF(AQ87="",0,5)+IF(AS87="",0,5)+IF(AU87="",0,4))=0,"",(IF(AO87="",0,AO87*5)+IF(AQ87="",0,AQ87*5)+IF(AS87="",0,AS87*5)+IF(AU87="",0,AU87*4))/(IF(AO87="",0,5)+IF(AQ87="",0,5)+IF(AS87="",0,5)+IF(AU87="",0,4)))</f>
        <v/>
      </c>
      <c r="AX87" s="14">
        <f>IF((IF(AP87="",0,5)+IF(AR87="",0,5)+IF(AT87="",0,5)+IF(AV87="",0,4))=0,"",(IF(AP87="",0,AP87*5)+IF(AR87="",0,AR87*5)+IF(AT87="",0,AT87*5)+IF(AV87="",0,AV87*4))/19)</f>
        <v/>
      </c>
      <c r="AY87" s="11">
        <f>IF(OR(City_Inputs!$AE87="",Norm_Stats!$F$20="",Norm_Stats!$G$20="",Norm_Stats!$G$20=Norm_Stats!$F$20),"",MAX(0,MIN(100,100*(MIN(MAX(City_Inputs!$AE87,Norm_Stats!$F$20),Norm_Stats!$G$20)-Norm_Stats!$F$20)/(Norm_Stats!$G$20-Norm_Stats!$F$20))))</f>
        <v/>
      </c>
      <c r="AZ87" s="14">
        <f>IF(AY87="","",1)</f>
        <v/>
      </c>
      <c r="BA87" s="11">
        <f>IF(OR(City_Inputs!$AF87="",Norm_Stats!$F$21="",Norm_Stats!$G$21="",Norm_Stats!$G$21=Norm_Stats!$F$21),"",MAX(0,MIN(100,100*(MIN(MAX(City_Inputs!$AF87,Norm_Stats!$F$21),Norm_Stats!$G$21)-Norm_Stats!$F$21)/(Norm_Stats!$G$21-Norm_Stats!$F$21))))</f>
        <v/>
      </c>
      <c r="BB87" s="14">
        <f>IF(BA87="","",1)</f>
        <v/>
      </c>
      <c r="BC87" s="11">
        <f>IF((IF((IF(OR(City_Inputs!$AG87="",Norm_Stats!$F$22="",Norm_Stats!$G$22="",Norm_Stats!$G$22=Norm_Stats!$F$22),"",MAX(0,MIN(100,100*(MIN(MAX(City_Inputs!$AG87,Norm_Stats!$F$22),Norm_Stats!$G$22)-Norm_Stats!$F$22)/(Norm_Stats!$G$22-Norm_Stats!$F$22)))))="",0,0.5)+IF((IF(OR(City_Inputs!$AJ87="",Norm_Stats!$F$23="",Norm_Stats!$G$23="",Norm_Stats!$G$23=Norm_Stats!$F$23),"",MAX(0,MIN(100,100*(MIN(MAX(City_Inputs!$AJ87,Norm_Stats!$F$23),Norm_Stats!$G$23)-Norm_Stats!$F$23)/(Norm_Stats!$G$23-Norm_Stats!$F$23)))))="",0,0.3)+IF((IF(OR(City_Inputs!$AK87="",Norm_Stats!$F$24="",Norm_Stats!$G$24="",Norm_Stats!$G$24=Norm_Stats!$F$24),"",MAX(0,MIN(100,100*(MIN(MAX(City_Inputs!$AK87,Norm_Stats!$F$24),Norm_Stats!$G$24)-Norm_Stats!$F$24)/(Norm_Stats!$G$24-Norm_Stats!$F$24)))))="",0,0.2))=0,"",(IF((IF(OR(City_Inputs!$AG87="",Norm_Stats!$F$22="",Norm_Stats!$G$22="",Norm_Stats!$G$22=Norm_Stats!$F$22),"",MAX(0,MIN(100,100*(MIN(MAX(City_Inputs!$AG87,Norm_Stats!$F$22),Norm_Stats!$G$22)-Norm_Stats!$F$22)/(Norm_Stats!$G$22-Norm_Stats!$F$22)))))="",0,(IF(OR(City_Inputs!$AG87="",Norm_Stats!$F$22="",Norm_Stats!$G$22="",Norm_Stats!$G$22=Norm_Stats!$F$22),"",MAX(0,MIN(100,100*(MIN(MAX(City_Inputs!$AG87,Norm_Stats!$F$22),Norm_Stats!$G$22)-Norm_Stats!$F$22)/(Norm_Stats!$G$22-Norm_Stats!$F$22)))))*0.5)+IF((IF(OR(City_Inputs!$AJ87="",Norm_Stats!$F$23="",Norm_Stats!$G$23="",Norm_Stats!$G$23=Norm_Stats!$F$23),"",MAX(0,MIN(100,100*(MIN(MAX(City_Inputs!$AJ87,Norm_Stats!$F$23),Norm_Stats!$G$23)-Norm_Stats!$F$23)/(Norm_Stats!$G$23-Norm_Stats!$F$23)))))="",0,(IF(OR(City_Inputs!$AJ87="",Norm_Stats!$F$23="",Norm_Stats!$G$23="",Norm_Stats!$G$23=Norm_Stats!$F$23),"",MAX(0,MIN(100,100*(MIN(MAX(City_Inputs!$AJ87,Norm_Stats!$F$23),Norm_Stats!$G$23)-Norm_Stats!$F$23)/(Norm_Stats!$G$23-Norm_Stats!$F$23)))))*0.3)+IF((IF(OR(City_Inputs!$AK87="",Norm_Stats!$F$24="",Norm_Stats!$G$24="",Norm_Stats!$G$24=Norm_Stats!$F$24),"",MAX(0,MIN(100,100*(MIN(MAX(City_Inputs!$AK87,Norm_Stats!$F$24),Norm_Stats!$G$24)-Norm_Stats!$F$24)/(Norm_Stats!$G$24-Norm_Stats!$F$24)))))="",0,(IF(OR(City_Inputs!$AK87="",Norm_Stats!$F$24="",Norm_Stats!$G$24="",Norm_Stats!$G$24=Norm_Stats!$F$24),"",MAX(0,MIN(100,100*(MIN(MAX(City_Inputs!$AK87,Norm_Stats!$F$24),Norm_Stats!$G$24)-Norm_Stats!$F$24)/(Norm_Stats!$G$24-Norm_Stats!$F$24)))))*0.2))/(IF((IF(OR(City_Inputs!$AG87="",Norm_Stats!$F$22="",Norm_Stats!$G$22="",Norm_Stats!$G$22=Norm_Stats!$F$22),"",MAX(0,MIN(100,100*(MIN(MAX(City_Inputs!$AG87,Norm_Stats!$F$22),Norm_Stats!$G$22)-Norm_Stats!$F$22)/(Norm_Stats!$G$22-Norm_Stats!$F$22)))))="",0,0.5)+IF((IF(OR(City_Inputs!$AJ87="",Norm_Stats!$F$23="",Norm_Stats!$G$23="",Norm_Stats!$G$23=Norm_Stats!$F$23),"",MAX(0,MIN(100,100*(MIN(MAX(City_Inputs!$AJ87,Norm_Stats!$F$23),Norm_Stats!$G$23)-Norm_Stats!$F$23)/(Norm_Stats!$G$23-Norm_Stats!$F$23)))))="",0,0.3)+IF((IF(OR(City_Inputs!$AK87="",Norm_Stats!$F$24="",Norm_Stats!$G$24="",Norm_Stats!$G$24=Norm_Stats!$F$24),"",MAX(0,MIN(100,100*(MIN(MAX(City_Inputs!$AK87,Norm_Stats!$F$24),Norm_Stats!$G$24)-Norm_Stats!$F$24)/(Norm_Stats!$G$24-Norm_Stats!$F$24)))))="",0,0.2)))</f>
        <v/>
      </c>
      <c r="BD87" s="14">
        <f>IF((IF((IF(OR(City_Inputs!$AG87="",Norm_Stats!$F$22="",Norm_Stats!$G$22="",Norm_Stats!$G$22=Norm_Stats!$F$22),"",MAX(0,MIN(100,100*(MIN(MAX(City_Inputs!$AG87,Norm_Stats!$F$22),Norm_Stats!$G$22)-Norm_Stats!$F$22)/(Norm_Stats!$G$22-Norm_Stats!$F$22)))))="",0,0.5)+IF((IF(OR(City_Inputs!$AJ87="",Norm_Stats!$F$23="",Norm_Stats!$G$23="",Norm_Stats!$G$23=Norm_Stats!$F$23),"",MAX(0,MIN(100,100*(MIN(MAX(City_Inputs!$AJ87,Norm_Stats!$F$23),Norm_Stats!$G$23)-Norm_Stats!$F$23)/(Norm_Stats!$G$23-Norm_Stats!$F$23)))))="",0,0.3)+IF((IF(OR(City_Inputs!$AK87="",Norm_Stats!$F$24="",Norm_Stats!$G$24="",Norm_Stats!$G$24=Norm_Stats!$F$24),"",MAX(0,MIN(100,100*(MIN(MAX(City_Inputs!$AK87,Norm_Stats!$F$24),Norm_Stats!$G$24)-Norm_Stats!$F$24)/(Norm_Stats!$G$24-Norm_Stats!$F$24)))))="",0,0.2))=0,"",(IF((IF(OR(City_Inputs!$AG87="",Norm_Stats!$F$22="",Norm_Stats!$G$22="",Norm_Stats!$G$22=Norm_Stats!$F$22),"",MAX(0,MIN(100,100*(MIN(MAX(City_Inputs!$AG87,Norm_Stats!$F$22),Norm_Stats!$G$22)-Norm_Stats!$F$22)/(Norm_Stats!$G$22-Norm_Stats!$F$22)))))="",0,0.5)+IF((IF(OR(City_Inputs!$AJ87="",Norm_Stats!$F$23="",Norm_Stats!$G$23="",Norm_Stats!$G$23=Norm_Stats!$F$23),"",MAX(0,MIN(100,100*(MIN(MAX(City_Inputs!$AJ87,Norm_Stats!$F$23),Norm_Stats!$G$23)-Norm_Stats!$F$23)/(Norm_Stats!$G$23-Norm_Stats!$F$23)))))="",0,0.3)+IF((IF(OR(City_Inputs!$AK87="",Norm_Stats!$F$24="",Norm_Stats!$G$24="",Norm_Stats!$G$24=Norm_Stats!$F$24),"",MAX(0,MIN(100,100*(MIN(MAX(City_Inputs!$AK87,Norm_Stats!$F$24),Norm_Stats!$G$24)-Norm_Stats!$F$24)/(Norm_Stats!$G$24-Norm_Stats!$F$24)))))="",0,0.2)))</f>
        <v/>
      </c>
      <c r="BE87" s="11">
        <f>IF(OR(City_Inputs!$AH87="",Norm_Stats!$F$25="",Norm_Stats!$G$25="",Norm_Stats!$G$25=Norm_Stats!$F$25),"",MAX(0,MIN(100,100*(Norm_Stats!$G$25-MIN(MAX(City_Inputs!$AH87,Norm_Stats!$F$25),Norm_Stats!$G$25))/(Norm_Stats!$G$25-Norm_Stats!$F$25))))</f>
        <v/>
      </c>
      <c r="BF87" s="14">
        <f>IF(BE87="","",1)</f>
        <v/>
      </c>
      <c r="BG87" s="15">
        <f>IF((IF(AY87="",0,6)+IF(BA87="",0,5)+IF(BC87="",0,5)+IF(BE87="",0,4))=0,"",(IF(AY87="",0,AY87*6)+IF(BA87="",0,BA87*5)+IF(BC87="",0,BC87*5)+IF(BE87="",0,BE87*4))/(IF(AY87="",0,6)+IF(BA87="",0,5)+IF(BC87="",0,5)+IF(BE87="",0,4)))</f>
        <v/>
      </c>
      <c r="BH87" s="14">
        <f>IF((IF(AZ87="",0,6)+IF(BB87="",0,5)+IF(BD87="",0,5)+IF(BF87="",0,4))=0,"",(IF(AZ87="",0,AZ87*6)+IF(BB87="",0,BB87*5)+IF(BD87="",0,BD87*5)+IF(BF87="",0,BF87*4))/20)</f>
        <v/>
      </c>
      <c r="BI87" s="14">
        <f>IF(AND(R87="",AF87="",AN87="",AX87="",BH87=""),"",((R87*25)+(AF87*22)+(AN87*18)+(AX87*15)+(BH87*20))/100)</f>
        <v/>
      </c>
      <c r="BJ87" s="11">
        <f>IF(BI87="","",IF(BI87&gt;=0.75,"A",IF(BI87&gt;=0.5,"B",IF(BI87&gt;=0.35,"C","Watchlist"))))</f>
        <v/>
      </c>
      <c r="BK87" s="11">
        <f>IF(OR(BI87="",BI87&lt;0.5,R87="",R87&lt;0.35,AF87="",AF87&lt;0.35,AN87="",AN87&lt;0.35,AX87="",AX87&lt;0.35,BH87="",BH87&lt;0.35),"Watchlist","Ranked")</f>
        <v/>
      </c>
      <c r="BL87" s="15">
        <f>IF(AND(Q87="",AE87="",AM87="",AW87="",BG87=""),"",(IF(Q87="",0,Q87*25)+IF(AE87="",0,AE87*22)+IF(AM87="",0,AM87*18)+IF(AW87="",0,AW87*15)+IF(BG87="",0,BG87*20))/(IF(Q87="",0,25)+IF(AE87="",0,22)+IF(AM87="",0,18)+IF(AW87="",0,15)+IF(BG87="",0,20)))</f>
        <v/>
      </c>
      <c r="BM87" s="11">
        <f>IF(BK87="Ranked",1+COUNTIFS($BK$2:$BK$158,"Ranked",$BL$2:$BL$158,"&gt;"&amp;BL87),"")</f>
        <v/>
      </c>
      <c r="BN87" s="11">
        <f>City_Inputs!$AI87</f>
        <v/>
      </c>
    </row>
    <row r="88">
      <c r="A88" t="inlineStr">
        <is>
          <t>sa-jeddah</t>
        </is>
      </c>
      <c r="B88" t="inlineStr">
        <is>
          <t>Jeddah</t>
        </is>
      </c>
      <c r="C88" t="inlineStr">
        <is>
          <t>Saudi Arabia</t>
        </is>
      </c>
      <c r="D88" t="inlineStr">
        <is>
          <t>Middle East</t>
        </is>
      </c>
      <c r="E88" t="inlineStr">
        <is>
          <t>locked</t>
        </is>
      </c>
      <c r="F88" t="inlineStr">
        <is>
          <t>secondary</t>
        </is>
      </c>
      <c r="G88" s="11">
        <f>IF(OR(City_Inputs!$M88="",Norm_Stats!$F$2="",Norm_Stats!$G$2="",Norm_Stats!$G$2=Norm_Stats!$F$2),"",MAX(0,MIN(100,100*(MIN(MAX(City_Inputs!$M88,Norm_Stats!$F$2),Norm_Stats!$G$2)-Norm_Stats!$F$2)/(Norm_Stats!$G$2-Norm_Stats!$F$2))))</f>
        <v/>
      </c>
      <c r="H88" s="14">
        <f>IF(G88="","",1)</f>
        <v/>
      </c>
      <c r="I88" s="11">
        <f>IF(OR(City_Inputs!$N88="",Norm_Stats!$F$3="",Norm_Stats!$G$3="",Norm_Stats!$G$3=Norm_Stats!$F$3),"",MAX(0,MIN(100,100*(Norm_Stats!$G$3-MIN(MAX(City_Inputs!$N88,Norm_Stats!$F$3),Norm_Stats!$G$3))/(Norm_Stats!$G$3-Norm_Stats!$F$3))))</f>
        <v/>
      </c>
      <c r="J88" s="14">
        <f>IF(I88="","",1)</f>
        <v/>
      </c>
      <c r="K88" s="11">
        <f>IF(OR(City_Inputs!$P88="",Norm_Stats!$F$4="",Norm_Stats!$G$4="",Norm_Stats!$G$4=Norm_Stats!$F$4),"",MAX(0,MIN(100,100*(Norm_Stats!$G$4-MIN(MAX(City_Inputs!$P88,Norm_Stats!$F$4),Norm_Stats!$G$4))/(Norm_Stats!$G$4-Norm_Stats!$F$4))))</f>
        <v/>
      </c>
      <c r="L88" s="14">
        <f>IF(K88="","",1)</f>
        <v/>
      </c>
      <c r="M88" s="11">
        <f>IF(OR(City_Inputs!$Q88="",Norm_Stats!$F$5="",Norm_Stats!$G$5="",Norm_Stats!$G$5=Norm_Stats!$F$5),"",MAX(0,MIN(100,100*(Norm_Stats!$G$5-MIN(MAX(City_Inputs!$Q88,Norm_Stats!$F$5),Norm_Stats!$G$5))/(Norm_Stats!$G$5-Norm_Stats!$F$5))))</f>
        <v/>
      </c>
      <c r="N88" s="14">
        <f>IF(M88="","",1)</f>
        <v/>
      </c>
      <c r="O88" s="11">
        <f>IF(OR(City_Inputs!$R88="",Norm_Stats!$F$6="",Norm_Stats!$G$6="",Norm_Stats!$G$6=Norm_Stats!$F$6),"",MAX(0,MIN(100,100*(Norm_Stats!$G$6-MIN(MAX(City_Inputs!$R88,Norm_Stats!$F$6),Norm_Stats!$G$6))/(Norm_Stats!$G$6-Norm_Stats!$F$6))))</f>
        <v/>
      </c>
      <c r="P88" s="14">
        <f>IF(O88="","",1)</f>
        <v/>
      </c>
      <c r="Q88" s="15">
        <f>IF((IF(G88="",0,9)+IF(I88="",0,5)+IF(K88="",0,4)+IF(M88="",0,4)+IF(O88="",0,5))=0,"",(IF(G88="",0,G88*9)+IF(I88="",0,I88*5)+IF(K88="",0,K88*4)+IF(M88="",0,M88*4)+IF(O88="",0,O88*5))/(IF(G88="",0,9)+IF(I88="",0,5)+IF(K88="",0,4)+IF(M88="",0,4)+IF(O88="",0,5)))</f>
        <v/>
      </c>
      <c r="R88" s="14">
        <f>IF((IF(H88="",0,9)+IF(J88="",0,5)+IF(L88="",0,4)+IF(N88="",0,4)+IF(P88="",0,5))=0,"",(IF(H88="",0,H88*9)+IF(J88="",0,J88*5)+IF(L88="",0,L88*4)+IF(N88="",0,N88*4)+IF(P88="",0,P88*5))/27)</f>
        <v/>
      </c>
      <c r="S88" s="11">
        <f>IF(OR(City_Inputs!$S88="",Norm_Stats!$F$7="",Norm_Stats!$G$7="",Norm_Stats!$G$7=Norm_Stats!$F$7),"",MAX(0,MIN(100,100*(Norm_Stats!$G$7-MIN(MAX(City_Inputs!$S88,Norm_Stats!$F$7),Norm_Stats!$G$7))/(Norm_Stats!$G$7-Norm_Stats!$F$7))))</f>
        <v/>
      </c>
      <c r="T88" s="14">
        <f>IF(S88="","",1)</f>
        <v/>
      </c>
      <c r="U88" s="11">
        <f>IF(OR(City_Inputs!$T88="",Norm_Stats!$F$8="",Norm_Stats!$G$8="",Norm_Stats!$G$8=Norm_Stats!$F$8),"",MAX(0,MIN(100,100*(MIN(MAX(City_Inputs!$T88,Norm_Stats!$F$8),Norm_Stats!$G$8)-Norm_Stats!$F$8)/(Norm_Stats!$G$8-Norm_Stats!$F$8))))</f>
        <v/>
      </c>
      <c r="V88" s="14">
        <f>IF(U88="","",1)</f>
        <v/>
      </c>
      <c r="W88" s="11">
        <f>IF(OR(City_Inputs!$U88="",Norm_Stats!$F$9="",Norm_Stats!$G$9="",Norm_Stats!$G$9=Norm_Stats!$F$9),"",MAX(0,MIN(100,100*(Norm_Stats!$G$9-MIN(MAX(City_Inputs!$U88,Norm_Stats!$F$9),Norm_Stats!$G$9))/(Norm_Stats!$G$9-Norm_Stats!$F$9))))</f>
        <v/>
      </c>
      <c r="X88" s="14">
        <f>IF(W88="","",1)</f>
        <v/>
      </c>
      <c r="Y88" s="11">
        <f>IF(OR(City_Inputs!$V88="",Norm_Stats!$F$10="",Norm_Stats!$G$10="",Norm_Stats!$G$10=Norm_Stats!$F$10),"",MAX(0,MIN(100,100*(MIN(MAX(City_Inputs!$V88,Norm_Stats!$F$10),Norm_Stats!$G$10)-Norm_Stats!$F$10)/(Norm_Stats!$G$10-Norm_Stats!$F$10))))</f>
        <v/>
      </c>
      <c r="Z88" s="14">
        <f>IF(Y88="","",1)</f>
        <v/>
      </c>
      <c r="AA88" s="11">
        <f>IF(OR(City_Inputs!$W88="",Norm_Stats!$F$11="",Norm_Stats!$G$11="",Norm_Stats!$G$11=Norm_Stats!$F$11),"",MAX(0,MIN(100,100*(MIN(MAX(City_Inputs!$W88,Norm_Stats!$F$11),Norm_Stats!$G$11)-Norm_Stats!$F$11)/(Norm_Stats!$G$11-Norm_Stats!$F$11))))</f>
        <v/>
      </c>
      <c r="AB88" s="14">
        <f>IF(AA88="","",1)</f>
        <v/>
      </c>
      <c r="AC88" s="11">
        <f>IF(OR(City_Inputs!$X88="",Norm_Stats!$F$12="",Norm_Stats!$G$12="",Norm_Stats!$G$12=Norm_Stats!$F$12),"",MAX(0,MIN(100,100*(MIN(MAX(City_Inputs!$X88,Norm_Stats!$F$12),Norm_Stats!$G$12)-Norm_Stats!$F$12)/(Norm_Stats!$G$12-Norm_Stats!$F$12))))</f>
        <v/>
      </c>
      <c r="AD88" s="11">
        <f>IF(AC88="","",1)</f>
        <v/>
      </c>
      <c r="AE88" s="15">
        <f>IF((IF(S88="",0,5)+IF(U88="",0,5)+IF(W88="",0,4)+IF(Y88="",0,4)+IF(AA88="",0,4)+IF(AC88="",0,5))=0,"",(IF(S88="",0,S88*5)+IF(U88="",0,U88*5)+IF(W88="",0,W88*4)+IF(Y88="",0,Y88*4)+IF(AA88="",0,AA88*4)+IF(AC88="",0,AC88*5))/(IF(S88="",0,5)+IF(U88="",0,5)+IF(W88="",0,4)+IF(Y88="",0,4)+IF(AA88="",0,4)+IF(AC88="",0,5)))</f>
        <v/>
      </c>
      <c r="AF88" s="14">
        <f>IF((IF(T88="",0,5)+IF(V88="",0,5)+IF(X88="",0,4)+IF(Z88="",0,4)+IF(AB88="",0,4)+IF(AD88="",0,5))=0,"",(IF(T88="",0,T88*5)+IF(V88="",0,V88*5)+IF(X88="",0,X88*4)+IF(Z88="",0,Z88*4)+IF(AB88="",0,AB88*4)+IF(AD88="",0,AD88*5))/27)</f>
        <v/>
      </c>
      <c r="AG88" s="11">
        <f>IF(OR(City_Inputs!$Y88="",Norm_Stats!$F$13="",Norm_Stats!$G$13="",Norm_Stats!$G$13=Norm_Stats!$F$13),"",MAX(0,MIN(100,100*(MIN(MAX(City_Inputs!$Y88,Norm_Stats!$F$13),Norm_Stats!$G$13)-Norm_Stats!$F$13)/(Norm_Stats!$G$13-Norm_Stats!$F$13))))</f>
        <v/>
      </c>
      <c r="AH88" s="14">
        <f>IF(AG88="","",1)</f>
        <v/>
      </c>
      <c r="AI88" s="11">
        <f>IF(OR(City_Inputs!$Z88="",Norm_Stats!$F$14="",Norm_Stats!$G$14="",Norm_Stats!$G$14=Norm_Stats!$F$14),"",MAX(0,MIN(100,100*(MIN(MAX(City_Inputs!$Z88,Norm_Stats!$F$14),Norm_Stats!$G$14)-Norm_Stats!$F$14)/(Norm_Stats!$G$14-Norm_Stats!$F$14))))</f>
        <v/>
      </c>
      <c r="AJ88" s="14">
        <f>IF(AI88="","",1)</f>
        <v/>
      </c>
      <c r="AK88" s="11">
        <f>IF((IF((IF(OR(City_Inputs!$AA88="",Norm_Stats!$F$15="",Norm_Stats!$G$15="",Norm_Stats!$G$15=Norm_Stats!$F$15),"",MAX(0,MIN(100,100*(MIN(MAX(City_Inputs!$AA88,Norm_Stats!$F$15),Norm_Stats!$G$15)-Norm_Stats!$F$15)/(Norm_Stats!$G$15-Norm_Stats!$F$15)))))="",0,0.7)+IF((IF(OR(City_Inputs!$AL88="",Norm_Stats!$F$16="",Norm_Stats!$G$16="",Norm_Stats!$G$16=Norm_Stats!$F$16),"",MAX(0,MIN(100,100*(Norm_Stats!$G$16-MIN(MAX(City_Inputs!$AL88,Norm_Stats!$F$16),Norm_Stats!$G$16))/(Norm_Stats!$G$16-Norm_Stats!$F$16)))))="",0,0.3))=0,"",(IF((IF(OR(City_Inputs!$AA88="",Norm_Stats!$F$15="",Norm_Stats!$G$15="",Norm_Stats!$G$15=Norm_Stats!$F$15),"",MAX(0,MIN(100,100*(MIN(MAX(City_Inputs!$AA88,Norm_Stats!$F$15),Norm_Stats!$G$15)-Norm_Stats!$F$15)/(Norm_Stats!$G$15-Norm_Stats!$F$15)))))="",0,(IF(OR(City_Inputs!$AA88="",Norm_Stats!$F$15="",Norm_Stats!$G$15="",Norm_Stats!$G$15=Norm_Stats!$F$15),"",MAX(0,MIN(100,100*(MIN(MAX(City_Inputs!$AA88,Norm_Stats!$F$15),Norm_Stats!$G$15)-Norm_Stats!$F$15)/(Norm_Stats!$G$15-Norm_Stats!$F$15)))))*0.7)+IF((IF(OR(City_Inputs!$AL88="",Norm_Stats!$F$16="",Norm_Stats!$G$16="",Norm_Stats!$G$16=Norm_Stats!$F$16),"",MAX(0,MIN(100,100*(Norm_Stats!$G$16-MIN(MAX(City_Inputs!$AL88,Norm_Stats!$F$16),Norm_Stats!$G$16))/(Norm_Stats!$G$16-Norm_Stats!$F$16)))))="",0,(IF(OR(City_Inputs!$AL88="",Norm_Stats!$F$16="",Norm_Stats!$G$16="",Norm_Stats!$G$16=Norm_Stats!$F$16),"",MAX(0,MIN(100,100*(Norm_Stats!$G$16-MIN(MAX(City_Inputs!$AL88,Norm_Stats!$F$16),Norm_Stats!$G$16))/(Norm_Stats!$G$16-Norm_Stats!$F$16)))))*0.3))/(IF((IF(OR(City_Inputs!$AA88="",Norm_Stats!$F$15="",Norm_Stats!$G$15="",Norm_Stats!$G$15=Norm_Stats!$F$15),"",MAX(0,MIN(100,100*(MIN(MAX(City_Inputs!$AA88,Norm_Stats!$F$15),Norm_Stats!$G$15)-Norm_Stats!$F$15)/(Norm_Stats!$G$15-Norm_Stats!$F$15)))))="",0,0.7)+IF((IF(OR(City_Inputs!$AL88="",Norm_Stats!$F$16="",Norm_Stats!$G$16="",Norm_Stats!$G$16=Norm_Stats!$F$16),"",MAX(0,MIN(100,100*(Norm_Stats!$G$16-MIN(MAX(City_Inputs!$AL88,Norm_Stats!$F$16),Norm_Stats!$G$16))/(Norm_Stats!$G$16-Norm_Stats!$F$16)))))="",0,0.3)))</f>
        <v/>
      </c>
      <c r="AL88" s="14">
        <f>IF((IF((IF(OR(City_Inputs!$AA88="",Norm_Stats!$F$15="",Norm_Stats!$G$15="",Norm_Stats!$G$15=Norm_Stats!$F$15),"",MAX(0,MIN(100,100*(MIN(MAX(City_Inputs!$AA88,Norm_Stats!$F$15),Norm_Stats!$G$15)-Norm_Stats!$F$15)/(Norm_Stats!$G$15-Norm_Stats!$F$15)))))="",0,0.7)+IF((IF(OR(City_Inputs!$AL88="",Norm_Stats!$F$16="",Norm_Stats!$G$16="",Norm_Stats!$G$16=Norm_Stats!$F$16),"",MAX(0,MIN(100,100*(Norm_Stats!$G$16-MIN(MAX(City_Inputs!$AL88,Norm_Stats!$F$16),Norm_Stats!$G$16))/(Norm_Stats!$G$16-Norm_Stats!$F$16)))))="",0,0.3))=0,"",(IF((IF(OR(City_Inputs!$AA88="",Norm_Stats!$F$15="",Norm_Stats!$G$15="",Norm_Stats!$G$15=Norm_Stats!$F$15),"",MAX(0,MIN(100,100*(MIN(MAX(City_Inputs!$AA88,Norm_Stats!$F$15),Norm_Stats!$G$15)-Norm_Stats!$F$15)/(Norm_Stats!$G$15-Norm_Stats!$F$15)))))="",0,0.7)+IF((IF(OR(City_Inputs!$AL88="",Norm_Stats!$F$16="",Norm_Stats!$G$16="",Norm_Stats!$G$16=Norm_Stats!$F$16),"",MAX(0,MIN(100,100*(Norm_Stats!$G$16-MIN(MAX(City_Inputs!$AL88,Norm_Stats!$F$16),Norm_Stats!$G$16))/(Norm_Stats!$G$16-Norm_Stats!$F$16)))))="",0,0.3)))</f>
        <v/>
      </c>
      <c r="AM88" s="15">
        <f>IF((IF(AG88="",0,8)+IF(AI88="",0,6)+IF(AK88="",0,4))=0,"",(IF(AG88="",0,AG88*8)+IF(AI88="",0,AI88*6)+IF(AK88="",0,AK88*4))/(IF(AG88="",0,8)+IF(AI88="",0,6)+IF(AK88="",0,4)))</f>
        <v/>
      </c>
      <c r="AN88" s="14">
        <f>IF((IF(AH88="",0,8)+IF(AJ88="",0,6)+IF(AL88="",0,4))=0,"",(IF(AH88="",0,AH88*8)+IF(AJ88="",0,AJ88*6)+IF(AL88="",0,AL88*4))/18)</f>
        <v/>
      </c>
      <c r="AO88" s="11">
        <f>IF(OR(City_Inputs!$AB88="",Norm_Stats!$F$17="",Norm_Stats!$G$17="",Norm_Stats!$G$17=Norm_Stats!$F$17),"",MAX(0,MIN(100,100*(MIN(MAX(City_Inputs!$AB88,Norm_Stats!$F$17),Norm_Stats!$G$17)-Norm_Stats!$F$17)/(Norm_Stats!$G$17-Norm_Stats!$F$17))))</f>
        <v/>
      </c>
      <c r="AP88" s="14">
        <f>IF(AO88="","",1)</f>
        <v/>
      </c>
      <c r="AQ88" s="11">
        <f>IF(OR(City_Inputs!$AC88="",Norm_Stats!$F$18="",Norm_Stats!$G$18="",Norm_Stats!$G$18=Norm_Stats!$F$18),"",MAX(0,MIN(100,100*(MIN(MAX(City_Inputs!$AC88,Norm_Stats!$F$18),Norm_Stats!$G$18)-Norm_Stats!$F$18)/(Norm_Stats!$G$18-Norm_Stats!$F$18))))</f>
        <v/>
      </c>
      <c r="AR88" s="14">
        <f>IF(AQ88="","",1)</f>
        <v/>
      </c>
      <c r="AS88" s="11">
        <f>IF(OR(City_Inputs!$AD88="",Norm_Stats!$F$19="",Norm_Stats!$G$19="",Norm_Stats!$G$19=Norm_Stats!$F$19),"",MAX(0,MIN(100,100*(MIN(MAX(City_Inputs!$AD88,Norm_Stats!$F$19),Norm_Stats!$G$19)-Norm_Stats!$F$19)/(Norm_Stats!$G$19-Norm_Stats!$F$19))))</f>
        <v/>
      </c>
      <c r="AT88" s="14">
        <f>IF(AS88="","",1)</f>
        <v/>
      </c>
      <c r="AU88" s="11">
        <f>IF(OR(City_Inputs!$BJ88="",Norm_Stats!$F$26="",Norm_Stats!$G$26="",Norm_Stats!$G$26=Norm_Stats!$F$26),"",MAX(0,MIN(100,100*(MIN(MAX(City_Inputs!$BJ88,Norm_Stats!$F$26),Norm_Stats!$G$26)-Norm_Stats!$F$26)/(Norm_Stats!$G$26-Norm_Stats!$F$26))))</f>
        <v/>
      </c>
      <c r="AV88" s="11">
        <f>IF(AU88="","",1)</f>
        <v/>
      </c>
      <c r="AW88" s="15">
        <f>IF((IF(AO88="",0,5)+IF(AQ88="",0,5)+IF(AS88="",0,5)+IF(AU88="",0,4))=0,"",(IF(AO88="",0,AO88*5)+IF(AQ88="",0,AQ88*5)+IF(AS88="",0,AS88*5)+IF(AU88="",0,AU88*4))/(IF(AO88="",0,5)+IF(AQ88="",0,5)+IF(AS88="",0,5)+IF(AU88="",0,4)))</f>
        <v/>
      </c>
      <c r="AX88" s="14">
        <f>IF((IF(AP88="",0,5)+IF(AR88="",0,5)+IF(AT88="",0,5)+IF(AV88="",0,4))=0,"",(IF(AP88="",0,AP88*5)+IF(AR88="",0,AR88*5)+IF(AT88="",0,AT88*5)+IF(AV88="",0,AV88*4))/19)</f>
        <v/>
      </c>
      <c r="AY88" s="11">
        <f>IF(OR(City_Inputs!$AE88="",Norm_Stats!$F$20="",Norm_Stats!$G$20="",Norm_Stats!$G$20=Norm_Stats!$F$20),"",MAX(0,MIN(100,100*(MIN(MAX(City_Inputs!$AE88,Norm_Stats!$F$20),Norm_Stats!$G$20)-Norm_Stats!$F$20)/(Norm_Stats!$G$20-Norm_Stats!$F$20))))</f>
        <v/>
      </c>
      <c r="AZ88" s="14">
        <f>IF(AY88="","",1)</f>
        <v/>
      </c>
      <c r="BA88" s="11">
        <f>IF(OR(City_Inputs!$AF88="",Norm_Stats!$F$21="",Norm_Stats!$G$21="",Norm_Stats!$G$21=Norm_Stats!$F$21),"",MAX(0,MIN(100,100*(MIN(MAX(City_Inputs!$AF88,Norm_Stats!$F$21),Norm_Stats!$G$21)-Norm_Stats!$F$21)/(Norm_Stats!$G$21-Norm_Stats!$F$21))))</f>
        <v/>
      </c>
      <c r="BB88" s="14">
        <f>IF(BA88="","",1)</f>
        <v/>
      </c>
      <c r="BC88" s="11">
        <f>IF((IF((IF(OR(City_Inputs!$AG88="",Norm_Stats!$F$22="",Norm_Stats!$G$22="",Norm_Stats!$G$22=Norm_Stats!$F$22),"",MAX(0,MIN(100,100*(MIN(MAX(City_Inputs!$AG88,Norm_Stats!$F$22),Norm_Stats!$G$22)-Norm_Stats!$F$22)/(Norm_Stats!$G$22-Norm_Stats!$F$22)))))="",0,0.5)+IF((IF(OR(City_Inputs!$AJ88="",Norm_Stats!$F$23="",Norm_Stats!$G$23="",Norm_Stats!$G$23=Norm_Stats!$F$23),"",MAX(0,MIN(100,100*(MIN(MAX(City_Inputs!$AJ88,Norm_Stats!$F$23),Norm_Stats!$G$23)-Norm_Stats!$F$23)/(Norm_Stats!$G$23-Norm_Stats!$F$23)))))="",0,0.3)+IF((IF(OR(City_Inputs!$AK88="",Norm_Stats!$F$24="",Norm_Stats!$G$24="",Norm_Stats!$G$24=Norm_Stats!$F$24),"",MAX(0,MIN(100,100*(MIN(MAX(City_Inputs!$AK88,Norm_Stats!$F$24),Norm_Stats!$G$24)-Norm_Stats!$F$24)/(Norm_Stats!$G$24-Norm_Stats!$F$24)))))="",0,0.2))=0,"",(IF((IF(OR(City_Inputs!$AG88="",Norm_Stats!$F$22="",Norm_Stats!$G$22="",Norm_Stats!$G$22=Norm_Stats!$F$22),"",MAX(0,MIN(100,100*(MIN(MAX(City_Inputs!$AG88,Norm_Stats!$F$22),Norm_Stats!$G$22)-Norm_Stats!$F$22)/(Norm_Stats!$G$22-Norm_Stats!$F$22)))))="",0,(IF(OR(City_Inputs!$AG88="",Norm_Stats!$F$22="",Norm_Stats!$G$22="",Norm_Stats!$G$22=Norm_Stats!$F$22),"",MAX(0,MIN(100,100*(MIN(MAX(City_Inputs!$AG88,Norm_Stats!$F$22),Norm_Stats!$G$22)-Norm_Stats!$F$22)/(Norm_Stats!$G$22-Norm_Stats!$F$22)))))*0.5)+IF((IF(OR(City_Inputs!$AJ88="",Norm_Stats!$F$23="",Norm_Stats!$G$23="",Norm_Stats!$G$23=Norm_Stats!$F$23),"",MAX(0,MIN(100,100*(MIN(MAX(City_Inputs!$AJ88,Norm_Stats!$F$23),Norm_Stats!$G$23)-Norm_Stats!$F$23)/(Norm_Stats!$G$23-Norm_Stats!$F$23)))))="",0,(IF(OR(City_Inputs!$AJ88="",Norm_Stats!$F$23="",Norm_Stats!$G$23="",Norm_Stats!$G$23=Norm_Stats!$F$23),"",MAX(0,MIN(100,100*(MIN(MAX(City_Inputs!$AJ88,Norm_Stats!$F$23),Norm_Stats!$G$23)-Norm_Stats!$F$23)/(Norm_Stats!$G$23-Norm_Stats!$F$23)))))*0.3)+IF((IF(OR(City_Inputs!$AK88="",Norm_Stats!$F$24="",Norm_Stats!$G$24="",Norm_Stats!$G$24=Norm_Stats!$F$24),"",MAX(0,MIN(100,100*(MIN(MAX(City_Inputs!$AK88,Norm_Stats!$F$24),Norm_Stats!$G$24)-Norm_Stats!$F$24)/(Norm_Stats!$G$24-Norm_Stats!$F$24)))))="",0,(IF(OR(City_Inputs!$AK88="",Norm_Stats!$F$24="",Norm_Stats!$G$24="",Norm_Stats!$G$24=Norm_Stats!$F$24),"",MAX(0,MIN(100,100*(MIN(MAX(City_Inputs!$AK88,Norm_Stats!$F$24),Norm_Stats!$G$24)-Norm_Stats!$F$24)/(Norm_Stats!$G$24-Norm_Stats!$F$24)))))*0.2))/(IF((IF(OR(City_Inputs!$AG88="",Norm_Stats!$F$22="",Norm_Stats!$G$22="",Norm_Stats!$G$22=Norm_Stats!$F$22),"",MAX(0,MIN(100,100*(MIN(MAX(City_Inputs!$AG88,Norm_Stats!$F$22),Norm_Stats!$G$22)-Norm_Stats!$F$22)/(Norm_Stats!$G$22-Norm_Stats!$F$22)))))="",0,0.5)+IF((IF(OR(City_Inputs!$AJ88="",Norm_Stats!$F$23="",Norm_Stats!$G$23="",Norm_Stats!$G$23=Norm_Stats!$F$23),"",MAX(0,MIN(100,100*(MIN(MAX(City_Inputs!$AJ88,Norm_Stats!$F$23),Norm_Stats!$G$23)-Norm_Stats!$F$23)/(Norm_Stats!$G$23-Norm_Stats!$F$23)))))="",0,0.3)+IF((IF(OR(City_Inputs!$AK88="",Norm_Stats!$F$24="",Norm_Stats!$G$24="",Norm_Stats!$G$24=Norm_Stats!$F$24),"",MAX(0,MIN(100,100*(MIN(MAX(City_Inputs!$AK88,Norm_Stats!$F$24),Norm_Stats!$G$24)-Norm_Stats!$F$24)/(Norm_Stats!$G$24-Norm_Stats!$F$24)))))="",0,0.2)))</f>
        <v/>
      </c>
      <c r="BD88" s="14">
        <f>IF((IF((IF(OR(City_Inputs!$AG88="",Norm_Stats!$F$22="",Norm_Stats!$G$22="",Norm_Stats!$G$22=Norm_Stats!$F$22),"",MAX(0,MIN(100,100*(MIN(MAX(City_Inputs!$AG88,Norm_Stats!$F$22),Norm_Stats!$G$22)-Norm_Stats!$F$22)/(Norm_Stats!$G$22-Norm_Stats!$F$22)))))="",0,0.5)+IF((IF(OR(City_Inputs!$AJ88="",Norm_Stats!$F$23="",Norm_Stats!$G$23="",Norm_Stats!$G$23=Norm_Stats!$F$23),"",MAX(0,MIN(100,100*(MIN(MAX(City_Inputs!$AJ88,Norm_Stats!$F$23),Norm_Stats!$G$23)-Norm_Stats!$F$23)/(Norm_Stats!$G$23-Norm_Stats!$F$23)))))="",0,0.3)+IF((IF(OR(City_Inputs!$AK88="",Norm_Stats!$F$24="",Norm_Stats!$G$24="",Norm_Stats!$G$24=Norm_Stats!$F$24),"",MAX(0,MIN(100,100*(MIN(MAX(City_Inputs!$AK88,Norm_Stats!$F$24),Norm_Stats!$G$24)-Norm_Stats!$F$24)/(Norm_Stats!$G$24-Norm_Stats!$F$24)))))="",0,0.2))=0,"",(IF((IF(OR(City_Inputs!$AG88="",Norm_Stats!$F$22="",Norm_Stats!$G$22="",Norm_Stats!$G$22=Norm_Stats!$F$22),"",MAX(0,MIN(100,100*(MIN(MAX(City_Inputs!$AG88,Norm_Stats!$F$22),Norm_Stats!$G$22)-Norm_Stats!$F$22)/(Norm_Stats!$G$22-Norm_Stats!$F$22)))))="",0,0.5)+IF((IF(OR(City_Inputs!$AJ88="",Norm_Stats!$F$23="",Norm_Stats!$G$23="",Norm_Stats!$G$23=Norm_Stats!$F$23),"",MAX(0,MIN(100,100*(MIN(MAX(City_Inputs!$AJ88,Norm_Stats!$F$23),Norm_Stats!$G$23)-Norm_Stats!$F$23)/(Norm_Stats!$G$23-Norm_Stats!$F$23)))))="",0,0.3)+IF((IF(OR(City_Inputs!$AK88="",Norm_Stats!$F$24="",Norm_Stats!$G$24="",Norm_Stats!$G$24=Norm_Stats!$F$24),"",MAX(0,MIN(100,100*(MIN(MAX(City_Inputs!$AK88,Norm_Stats!$F$24),Norm_Stats!$G$24)-Norm_Stats!$F$24)/(Norm_Stats!$G$24-Norm_Stats!$F$24)))))="",0,0.2)))</f>
        <v/>
      </c>
      <c r="BE88" s="11">
        <f>IF(OR(City_Inputs!$AH88="",Norm_Stats!$F$25="",Norm_Stats!$G$25="",Norm_Stats!$G$25=Norm_Stats!$F$25),"",MAX(0,MIN(100,100*(Norm_Stats!$G$25-MIN(MAX(City_Inputs!$AH88,Norm_Stats!$F$25),Norm_Stats!$G$25))/(Norm_Stats!$G$25-Norm_Stats!$F$25))))</f>
        <v/>
      </c>
      <c r="BF88" s="14">
        <f>IF(BE88="","",1)</f>
        <v/>
      </c>
      <c r="BG88" s="15">
        <f>IF((IF(AY88="",0,6)+IF(BA88="",0,5)+IF(BC88="",0,5)+IF(BE88="",0,4))=0,"",(IF(AY88="",0,AY88*6)+IF(BA88="",0,BA88*5)+IF(BC88="",0,BC88*5)+IF(BE88="",0,BE88*4))/(IF(AY88="",0,6)+IF(BA88="",0,5)+IF(BC88="",0,5)+IF(BE88="",0,4)))</f>
        <v/>
      </c>
      <c r="BH88" s="14">
        <f>IF((IF(AZ88="",0,6)+IF(BB88="",0,5)+IF(BD88="",0,5)+IF(BF88="",0,4))=0,"",(IF(AZ88="",0,AZ88*6)+IF(BB88="",0,BB88*5)+IF(BD88="",0,BD88*5)+IF(BF88="",0,BF88*4))/20)</f>
        <v/>
      </c>
      <c r="BI88" s="14">
        <f>IF(AND(R88="",AF88="",AN88="",AX88="",BH88=""),"",((R88*25)+(AF88*22)+(AN88*18)+(AX88*15)+(BH88*20))/100)</f>
        <v/>
      </c>
      <c r="BJ88" s="11">
        <f>IF(BI88="","",IF(BI88&gt;=0.75,"A",IF(BI88&gt;=0.5,"B",IF(BI88&gt;=0.35,"C","Watchlist"))))</f>
        <v/>
      </c>
      <c r="BK88" s="11">
        <f>IF(OR(BI88="",BI88&lt;0.5,R88="",R88&lt;0.35,AF88="",AF88&lt;0.35,AN88="",AN88&lt;0.35,AX88="",AX88&lt;0.35,BH88="",BH88&lt;0.35),"Watchlist","Ranked")</f>
        <v/>
      </c>
      <c r="BL88" s="15">
        <f>IF(AND(Q88="",AE88="",AM88="",AW88="",BG88=""),"",(IF(Q88="",0,Q88*25)+IF(AE88="",0,AE88*22)+IF(AM88="",0,AM88*18)+IF(AW88="",0,AW88*15)+IF(BG88="",0,BG88*20))/(IF(Q88="",0,25)+IF(AE88="",0,22)+IF(AM88="",0,18)+IF(AW88="",0,15)+IF(BG88="",0,20)))</f>
        <v/>
      </c>
      <c r="BM88" s="11">
        <f>IF(BK88="Ranked",1+COUNTIFS($BK$2:$BK$158,"Ranked",$BL$2:$BL$158,"&gt;"&amp;BL88),"")</f>
        <v/>
      </c>
      <c r="BN88" s="11">
        <f>City_Inputs!$AI88</f>
        <v/>
      </c>
    </row>
    <row r="89">
      <c r="A89" t="inlineStr">
        <is>
          <t>kw-kuwait-city</t>
        </is>
      </c>
      <c r="B89" t="inlineStr">
        <is>
          <t>Kuwait City</t>
        </is>
      </c>
      <c r="C89" t="inlineStr">
        <is>
          <t>Kuwait</t>
        </is>
      </c>
      <c r="D89" t="inlineStr">
        <is>
          <t>Middle East</t>
        </is>
      </c>
      <c r="E89" t="inlineStr">
        <is>
          <t>locked</t>
        </is>
      </c>
      <c r="F89" t="inlineStr">
        <is>
          <t>secondary</t>
        </is>
      </c>
      <c r="G89" s="11">
        <f>IF(OR(City_Inputs!$M89="",Norm_Stats!$F$2="",Norm_Stats!$G$2="",Norm_Stats!$G$2=Norm_Stats!$F$2),"",MAX(0,MIN(100,100*(MIN(MAX(City_Inputs!$M89,Norm_Stats!$F$2),Norm_Stats!$G$2)-Norm_Stats!$F$2)/(Norm_Stats!$G$2-Norm_Stats!$F$2))))</f>
        <v/>
      </c>
      <c r="H89" s="14">
        <f>IF(G89="","",1)</f>
        <v/>
      </c>
      <c r="I89" s="11">
        <f>IF(OR(City_Inputs!$N89="",Norm_Stats!$F$3="",Norm_Stats!$G$3="",Norm_Stats!$G$3=Norm_Stats!$F$3),"",MAX(0,MIN(100,100*(Norm_Stats!$G$3-MIN(MAX(City_Inputs!$N89,Norm_Stats!$F$3),Norm_Stats!$G$3))/(Norm_Stats!$G$3-Norm_Stats!$F$3))))</f>
        <v/>
      </c>
      <c r="J89" s="14">
        <f>IF(I89="","",1)</f>
        <v/>
      </c>
      <c r="K89" s="11">
        <f>IF(OR(City_Inputs!$P89="",Norm_Stats!$F$4="",Norm_Stats!$G$4="",Norm_Stats!$G$4=Norm_Stats!$F$4),"",MAX(0,MIN(100,100*(Norm_Stats!$G$4-MIN(MAX(City_Inputs!$P89,Norm_Stats!$F$4),Norm_Stats!$G$4))/(Norm_Stats!$G$4-Norm_Stats!$F$4))))</f>
        <v/>
      </c>
      <c r="L89" s="14">
        <f>IF(K89="","",1)</f>
        <v/>
      </c>
      <c r="M89" s="11">
        <f>IF(OR(City_Inputs!$Q89="",Norm_Stats!$F$5="",Norm_Stats!$G$5="",Norm_Stats!$G$5=Norm_Stats!$F$5),"",MAX(0,MIN(100,100*(Norm_Stats!$G$5-MIN(MAX(City_Inputs!$Q89,Norm_Stats!$F$5),Norm_Stats!$G$5))/(Norm_Stats!$G$5-Norm_Stats!$F$5))))</f>
        <v/>
      </c>
      <c r="N89" s="14">
        <f>IF(M89="","",1)</f>
        <v/>
      </c>
      <c r="O89" s="11">
        <f>IF(OR(City_Inputs!$R89="",Norm_Stats!$F$6="",Norm_Stats!$G$6="",Norm_Stats!$G$6=Norm_Stats!$F$6),"",MAX(0,MIN(100,100*(Norm_Stats!$G$6-MIN(MAX(City_Inputs!$R89,Norm_Stats!$F$6),Norm_Stats!$G$6))/(Norm_Stats!$G$6-Norm_Stats!$F$6))))</f>
        <v/>
      </c>
      <c r="P89" s="14">
        <f>IF(O89="","",1)</f>
        <v/>
      </c>
      <c r="Q89" s="15">
        <f>IF((IF(G89="",0,9)+IF(I89="",0,5)+IF(K89="",0,4)+IF(M89="",0,4)+IF(O89="",0,5))=0,"",(IF(G89="",0,G89*9)+IF(I89="",0,I89*5)+IF(K89="",0,K89*4)+IF(M89="",0,M89*4)+IF(O89="",0,O89*5))/(IF(G89="",0,9)+IF(I89="",0,5)+IF(K89="",0,4)+IF(M89="",0,4)+IF(O89="",0,5)))</f>
        <v/>
      </c>
      <c r="R89" s="14">
        <f>IF((IF(H89="",0,9)+IF(J89="",0,5)+IF(L89="",0,4)+IF(N89="",0,4)+IF(P89="",0,5))=0,"",(IF(H89="",0,H89*9)+IF(J89="",0,J89*5)+IF(L89="",0,L89*4)+IF(N89="",0,N89*4)+IF(P89="",0,P89*5))/27)</f>
        <v/>
      </c>
      <c r="S89" s="11">
        <f>IF(OR(City_Inputs!$S89="",Norm_Stats!$F$7="",Norm_Stats!$G$7="",Norm_Stats!$G$7=Norm_Stats!$F$7),"",MAX(0,MIN(100,100*(Norm_Stats!$G$7-MIN(MAX(City_Inputs!$S89,Norm_Stats!$F$7),Norm_Stats!$G$7))/(Norm_Stats!$G$7-Norm_Stats!$F$7))))</f>
        <v/>
      </c>
      <c r="T89" s="14">
        <f>IF(S89="","",1)</f>
        <v/>
      </c>
      <c r="U89" s="11">
        <f>IF(OR(City_Inputs!$T89="",Norm_Stats!$F$8="",Norm_Stats!$G$8="",Norm_Stats!$G$8=Norm_Stats!$F$8),"",MAX(0,MIN(100,100*(MIN(MAX(City_Inputs!$T89,Norm_Stats!$F$8),Norm_Stats!$G$8)-Norm_Stats!$F$8)/(Norm_Stats!$G$8-Norm_Stats!$F$8))))</f>
        <v/>
      </c>
      <c r="V89" s="14">
        <f>IF(U89="","",1)</f>
        <v/>
      </c>
      <c r="W89" s="11">
        <f>IF(OR(City_Inputs!$U89="",Norm_Stats!$F$9="",Norm_Stats!$G$9="",Norm_Stats!$G$9=Norm_Stats!$F$9),"",MAX(0,MIN(100,100*(Norm_Stats!$G$9-MIN(MAX(City_Inputs!$U89,Norm_Stats!$F$9),Norm_Stats!$G$9))/(Norm_Stats!$G$9-Norm_Stats!$F$9))))</f>
        <v/>
      </c>
      <c r="X89" s="14">
        <f>IF(W89="","",1)</f>
        <v/>
      </c>
      <c r="Y89" s="11">
        <f>IF(OR(City_Inputs!$V89="",Norm_Stats!$F$10="",Norm_Stats!$G$10="",Norm_Stats!$G$10=Norm_Stats!$F$10),"",MAX(0,MIN(100,100*(MIN(MAX(City_Inputs!$V89,Norm_Stats!$F$10),Norm_Stats!$G$10)-Norm_Stats!$F$10)/(Norm_Stats!$G$10-Norm_Stats!$F$10))))</f>
        <v/>
      </c>
      <c r="Z89" s="14">
        <f>IF(Y89="","",1)</f>
        <v/>
      </c>
      <c r="AA89" s="11">
        <f>IF(OR(City_Inputs!$W89="",Norm_Stats!$F$11="",Norm_Stats!$G$11="",Norm_Stats!$G$11=Norm_Stats!$F$11),"",MAX(0,MIN(100,100*(MIN(MAX(City_Inputs!$W89,Norm_Stats!$F$11),Norm_Stats!$G$11)-Norm_Stats!$F$11)/(Norm_Stats!$G$11-Norm_Stats!$F$11))))</f>
        <v/>
      </c>
      <c r="AB89" s="14">
        <f>IF(AA89="","",1)</f>
        <v/>
      </c>
      <c r="AC89" s="11">
        <f>IF(OR(City_Inputs!$X89="",Norm_Stats!$F$12="",Norm_Stats!$G$12="",Norm_Stats!$G$12=Norm_Stats!$F$12),"",MAX(0,MIN(100,100*(MIN(MAX(City_Inputs!$X89,Norm_Stats!$F$12),Norm_Stats!$G$12)-Norm_Stats!$F$12)/(Norm_Stats!$G$12-Norm_Stats!$F$12))))</f>
        <v/>
      </c>
      <c r="AD89" s="11">
        <f>IF(AC89="","",1)</f>
        <v/>
      </c>
      <c r="AE89" s="15">
        <f>IF((IF(S89="",0,5)+IF(U89="",0,5)+IF(W89="",0,4)+IF(Y89="",0,4)+IF(AA89="",0,4)+IF(AC89="",0,5))=0,"",(IF(S89="",0,S89*5)+IF(U89="",0,U89*5)+IF(W89="",0,W89*4)+IF(Y89="",0,Y89*4)+IF(AA89="",0,AA89*4)+IF(AC89="",0,AC89*5))/(IF(S89="",0,5)+IF(U89="",0,5)+IF(W89="",0,4)+IF(Y89="",0,4)+IF(AA89="",0,4)+IF(AC89="",0,5)))</f>
        <v/>
      </c>
      <c r="AF89" s="14">
        <f>IF((IF(T89="",0,5)+IF(V89="",0,5)+IF(X89="",0,4)+IF(Z89="",0,4)+IF(AB89="",0,4)+IF(AD89="",0,5))=0,"",(IF(T89="",0,T89*5)+IF(V89="",0,V89*5)+IF(X89="",0,X89*4)+IF(Z89="",0,Z89*4)+IF(AB89="",0,AB89*4)+IF(AD89="",0,AD89*5))/27)</f>
        <v/>
      </c>
      <c r="AG89" s="11">
        <f>IF(OR(City_Inputs!$Y89="",Norm_Stats!$F$13="",Norm_Stats!$G$13="",Norm_Stats!$G$13=Norm_Stats!$F$13),"",MAX(0,MIN(100,100*(MIN(MAX(City_Inputs!$Y89,Norm_Stats!$F$13),Norm_Stats!$G$13)-Norm_Stats!$F$13)/(Norm_Stats!$G$13-Norm_Stats!$F$13))))</f>
        <v/>
      </c>
      <c r="AH89" s="14">
        <f>IF(AG89="","",1)</f>
        <v/>
      </c>
      <c r="AI89" s="11">
        <f>IF(OR(City_Inputs!$Z89="",Norm_Stats!$F$14="",Norm_Stats!$G$14="",Norm_Stats!$G$14=Norm_Stats!$F$14),"",MAX(0,MIN(100,100*(MIN(MAX(City_Inputs!$Z89,Norm_Stats!$F$14),Norm_Stats!$G$14)-Norm_Stats!$F$14)/(Norm_Stats!$G$14-Norm_Stats!$F$14))))</f>
        <v/>
      </c>
      <c r="AJ89" s="14">
        <f>IF(AI89="","",1)</f>
        <v/>
      </c>
      <c r="AK89" s="11">
        <f>IF((IF((IF(OR(City_Inputs!$AA89="",Norm_Stats!$F$15="",Norm_Stats!$G$15="",Norm_Stats!$G$15=Norm_Stats!$F$15),"",MAX(0,MIN(100,100*(MIN(MAX(City_Inputs!$AA89,Norm_Stats!$F$15),Norm_Stats!$G$15)-Norm_Stats!$F$15)/(Norm_Stats!$G$15-Norm_Stats!$F$15)))))="",0,0.7)+IF((IF(OR(City_Inputs!$AL89="",Norm_Stats!$F$16="",Norm_Stats!$G$16="",Norm_Stats!$G$16=Norm_Stats!$F$16),"",MAX(0,MIN(100,100*(Norm_Stats!$G$16-MIN(MAX(City_Inputs!$AL89,Norm_Stats!$F$16),Norm_Stats!$G$16))/(Norm_Stats!$G$16-Norm_Stats!$F$16)))))="",0,0.3))=0,"",(IF((IF(OR(City_Inputs!$AA89="",Norm_Stats!$F$15="",Norm_Stats!$G$15="",Norm_Stats!$G$15=Norm_Stats!$F$15),"",MAX(0,MIN(100,100*(MIN(MAX(City_Inputs!$AA89,Norm_Stats!$F$15),Norm_Stats!$G$15)-Norm_Stats!$F$15)/(Norm_Stats!$G$15-Norm_Stats!$F$15)))))="",0,(IF(OR(City_Inputs!$AA89="",Norm_Stats!$F$15="",Norm_Stats!$G$15="",Norm_Stats!$G$15=Norm_Stats!$F$15),"",MAX(0,MIN(100,100*(MIN(MAX(City_Inputs!$AA89,Norm_Stats!$F$15),Norm_Stats!$G$15)-Norm_Stats!$F$15)/(Norm_Stats!$G$15-Norm_Stats!$F$15)))))*0.7)+IF((IF(OR(City_Inputs!$AL89="",Norm_Stats!$F$16="",Norm_Stats!$G$16="",Norm_Stats!$G$16=Norm_Stats!$F$16),"",MAX(0,MIN(100,100*(Norm_Stats!$G$16-MIN(MAX(City_Inputs!$AL89,Norm_Stats!$F$16),Norm_Stats!$G$16))/(Norm_Stats!$G$16-Norm_Stats!$F$16)))))="",0,(IF(OR(City_Inputs!$AL89="",Norm_Stats!$F$16="",Norm_Stats!$G$16="",Norm_Stats!$G$16=Norm_Stats!$F$16),"",MAX(0,MIN(100,100*(Norm_Stats!$G$16-MIN(MAX(City_Inputs!$AL89,Norm_Stats!$F$16),Norm_Stats!$G$16))/(Norm_Stats!$G$16-Norm_Stats!$F$16)))))*0.3))/(IF((IF(OR(City_Inputs!$AA89="",Norm_Stats!$F$15="",Norm_Stats!$G$15="",Norm_Stats!$G$15=Norm_Stats!$F$15),"",MAX(0,MIN(100,100*(MIN(MAX(City_Inputs!$AA89,Norm_Stats!$F$15),Norm_Stats!$G$15)-Norm_Stats!$F$15)/(Norm_Stats!$G$15-Norm_Stats!$F$15)))))="",0,0.7)+IF((IF(OR(City_Inputs!$AL89="",Norm_Stats!$F$16="",Norm_Stats!$G$16="",Norm_Stats!$G$16=Norm_Stats!$F$16),"",MAX(0,MIN(100,100*(Norm_Stats!$G$16-MIN(MAX(City_Inputs!$AL89,Norm_Stats!$F$16),Norm_Stats!$G$16))/(Norm_Stats!$G$16-Norm_Stats!$F$16)))))="",0,0.3)))</f>
        <v/>
      </c>
      <c r="AL89" s="14">
        <f>IF((IF((IF(OR(City_Inputs!$AA89="",Norm_Stats!$F$15="",Norm_Stats!$G$15="",Norm_Stats!$G$15=Norm_Stats!$F$15),"",MAX(0,MIN(100,100*(MIN(MAX(City_Inputs!$AA89,Norm_Stats!$F$15),Norm_Stats!$G$15)-Norm_Stats!$F$15)/(Norm_Stats!$G$15-Norm_Stats!$F$15)))))="",0,0.7)+IF((IF(OR(City_Inputs!$AL89="",Norm_Stats!$F$16="",Norm_Stats!$G$16="",Norm_Stats!$G$16=Norm_Stats!$F$16),"",MAX(0,MIN(100,100*(Norm_Stats!$G$16-MIN(MAX(City_Inputs!$AL89,Norm_Stats!$F$16),Norm_Stats!$G$16))/(Norm_Stats!$G$16-Norm_Stats!$F$16)))))="",0,0.3))=0,"",(IF((IF(OR(City_Inputs!$AA89="",Norm_Stats!$F$15="",Norm_Stats!$G$15="",Norm_Stats!$G$15=Norm_Stats!$F$15),"",MAX(0,MIN(100,100*(MIN(MAX(City_Inputs!$AA89,Norm_Stats!$F$15),Norm_Stats!$G$15)-Norm_Stats!$F$15)/(Norm_Stats!$G$15-Norm_Stats!$F$15)))))="",0,0.7)+IF((IF(OR(City_Inputs!$AL89="",Norm_Stats!$F$16="",Norm_Stats!$G$16="",Norm_Stats!$G$16=Norm_Stats!$F$16),"",MAX(0,MIN(100,100*(Norm_Stats!$G$16-MIN(MAX(City_Inputs!$AL89,Norm_Stats!$F$16),Norm_Stats!$G$16))/(Norm_Stats!$G$16-Norm_Stats!$F$16)))))="",0,0.3)))</f>
        <v/>
      </c>
      <c r="AM89" s="15">
        <f>IF((IF(AG89="",0,8)+IF(AI89="",0,6)+IF(AK89="",0,4))=0,"",(IF(AG89="",0,AG89*8)+IF(AI89="",0,AI89*6)+IF(AK89="",0,AK89*4))/(IF(AG89="",0,8)+IF(AI89="",0,6)+IF(AK89="",0,4)))</f>
        <v/>
      </c>
      <c r="AN89" s="14">
        <f>IF((IF(AH89="",0,8)+IF(AJ89="",0,6)+IF(AL89="",0,4))=0,"",(IF(AH89="",0,AH89*8)+IF(AJ89="",0,AJ89*6)+IF(AL89="",0,AL89*4))/18)</f>
        <v/>
      </c>
      <c r="AO89" s="11">
        <f>IF(OR(City_Inputs!$AB89="",Norm_Stats!$F$17="",Norm_Stats!$G$17="",Norm_Stats!$G$17=Norm_Stats!$F$17),"",MAX(0,MIN(100,100*(MIN(MAX(City_Inputs!$AB89,Norm_Stats!$F$17),Norm_Stats!$G$17)-Norm_Stats!$F$17)/(Norm_Stats!$G$17-Norm_Stats!$F$17))))</f>
        <v/>
      </c>
      <c r="AP89" s="14">
        <f>IF(AO89="","",1)</f>
        <v/>
      </c>
      <c r="AQ89" s="11">
        <f>IF(OR(City_Inputs!$AC89="",Norm_Stats!$F$18="",Norm_Stats!$G$18="",Norm_Stats!$G$18=Norm_Stats!$F$18),"",MAX(0,MIN(100,100*(MIN(MAX(City_Inputs!$AC89,Norm_Stats!$F$18),Norm_Stats!$G$18)-Norm_Stats!$F$18)/(Norm_Stats!$G$18-Norm_Stats!$F$18))))</f>
        <v/>
      </c>
      <c r="AR89" s="14">
        <f>IF(AQ89="","",1)</f>
        <v/>
      </c>
      <c r="AS89" s="11">
        <f>IF(OR(City_Inputs!$AD89="",Norm_Stats!$F$19="",Norm_Stats!$G$19="",Norm_Stats!$G$19=Norm_Stats!$F$19),"",MAX(0,MIN(100,100*(MIN(MAX(City_Inputs!$AD89,Norm_Stats!$F$19),Norm_Stats!$G$19)-Norm_Stats!$F$19)/(Norm_Stats!$G$19-Norm_Stats!$F$19))))</f>
        <v/>
      </c>
      <c r="AT89" s="14">
        <f>IF(AS89="","",1)</f>
        <v/>
      </c>
      <c r="AU89" s="11">
        <f>IF(OR(City_Inputs!$BJ89="",Norm_Stats!$F$26="",Norm_Stats!$G$26="",Norm_Stats!$G$26=Norm_Stats!$F$26),"",MAX(0,MIN(100,100*(MIN(MAX(City_Inputs!$BJ89,Norm_Stats!$F$26),Norm_Stats!$G$26)-Norm_Stats!$F$26)/(Norm_Stats!$G$26-Norm_Stats!$F$26))))</f>
        <v/>
      </c>
      <c r="AV89" s="11">
        <f>IF(AU89="","",1)</f>
        <v/>
      </c>
      <c r="AW89" s="15">
        <f>IF((IF(AO89="",0,5)+IF(AQ89="",0,5)+IF(AS89="",0,5)+IF(AU89="",0,4))=0,"",(IF(AO89="",0,AO89*5)+IF(AQ89="",0,AQ89*5)+IF(AS89="",0,AS89*5)+IF(AU89="",0,AU89*4))/(IF(AO89="",0,5)+IF(AQ89="",0,5)+IF(AS89="",0,5)+IF(AU89="",0,4)))</f>
        <v/>
      </c>
      <c r="AX89" s="14">
        <f>IF((IF(AP89="",0,5)+IF(AR89="",0,5)+IF(AT89="",0,5)+IF(AV89="",0,4))=0,"",(IF(AP89="",0,AP89*5)+IF(AR89="",0,AR89*5)+IF(AT89="",0,AT89*5)+IF(AV89="",0,AV89*4))/19)</f>
        <v/>
      </c>
      <c r="AY89" s="11">
        <f>IF(OR(City_Inputs!$AE89="",Norm_Stats!$F$20="",Norm_Stats!$G$20="",Norm_Stats!$G$20=Norm_Stats!$F$20),"",MAX(0,MIN(100,100*(MIN(MAX(City_Inputs!$AE89,Norm_Stats!$F$20),Norm_Stats!$G$20)-Norm_Stats!$F$20)/(Norm_Stats!$G$20-Norm_Stats!$F$20))))</f>
        <v/>
      </c>
      <c r="AZ89" s="14">
        <f>IF(AY89="","",1)</f>
        <v/>
      </c>
      <c r="BA89" s="11">
        <f>IF(OR(City_Inputs!$AF89="",Norm_Stats!$F$21="",Norm_Stats!$G$21="",Norm_Stats!$G$21=Norm_Stats!$F$21),"",MAX(0,MIN(100,100*(MIN(MAX(City_Inputs!$AF89,Norm_Stats!$F$21),Norm_Stats!$G$21)-Norm_Stats!$F$21)/(Norm_Stats!$G$21-Norm_Stats!$F$21))))</f>
        <v/>
      </c>
      <c r="BB89" s="14">
        <f>IF(BA89="","",1)</f>
        <v/>
      </c>
      <c r="BC89" s="11">
        <f>IF((IF((IF(OR(City_Inputs!$AG89="",Norm_Stats!$F$22="",Norm_Stats!$G$22="",Norm_Stats!$G$22=Norm_Stats!$F$22),"",MAX(0,MIN(100,100*(MIN(MAX(City_Inputs!$AG89,Norm_Stats!$F$22),Norm_Stats!$G$22)-Norm_Stats!$F$22)/(Norm_Stats!$G$22-Norm_Stats!$F$22)))))="",0,0.5)+IF((IF(OR(City_Inputs!$AJ89="",Norm_Stats!$F$23="",Norm_Stats!$G$23="",Norm_Stats!$G$23=Norm_Stats!$F$23),"",MAX(0,MIN(100,100*(MIN(MAX(City_Inputs!$AJ89,Norm_Stats!$F$23),Norm_Stats!$G$23)-Norm_Stats!$F$23)/(Norm_Stats!$G$23-Norm_Stats!$F$23)))))="",0,0.3)+IF((IF(OR(City_Inputs!$AK89="",Norm_Stats!$F$24="",Norm_Stats!$G$24="",Norm_Stats!$G$24=Norm_Stats!$F$24),"",MAX(0,MIN(100,100*(MIN(MAX(City_Inputs!$AK89,Norm_Stats!$F$24),Norm_Stats!$G$24)-Norm_Stats!$F$24)/(Norm_Stats!$G$24-Norm_Stats!$F$24)))))="",0,0.2))=0,"",(IF((IF(OR(City_Inputs!$AG89="",Norm_Stats!$F$22="",Norm_Stats!$G$22="",Norm_Stats!$G$22=Norm_Stats!$F$22),"",MAX(0,MIN(100,100*(MIN(MAX(City_Inputs!$AG89,Norm_Stats!$F$22),Norm_Stats!$G$22)-Norm_Stats!$F$22)/(Norm_Stats!$G$22-Norm_Stats!$F$22)))))="",0,(IF(OR(City_Inputs!$AG89="",Norm_Stats!$F$22="",Norm_Stats!$G$22="",Norm_Stats!$G$22=Norm_Stats!$F$22),"",MAX(0,MIN(100,100*(MIN(MAX(City_Inputs!$AG89,Norm_Stats!$F$22),Norm_Stats!$G$22)-Norm_Stats!$F$22)/(Norm_Stats!$G$22-Norm_Stats!$F$22)))))*0.5)+IF((IF(OR(City_Inputs!$AJ89="",Norm_Stats!$F$23="",Norm_Stats!$G$23="",Norm_Stats!$G$23=Norm_Stats!$F$23),"",MAX(0,MIN(100,100*(MIN(MAX(City_Inputs!$AJ89,Norm_Stats!$F$23),Norm_Stats!$G$23)-Norm_Stats!$F$23)/(Norm_Stats!$G$23-Norm_Stats!$F$23)))))="",0,(IF(OR(City_Inputs!$AJ89="",Norm_Stats!$F$23="",Norm_Stats!$G$23="",Norm_Stats!$G$23=Norm_Stats!$F$23),"",MAX(0,MIN(100,100*(MIN(MAX(City_Inputs!$AJ89,Norm_Stats!$F$23),Norm_Stats!$G$23)-Norm_Stats!$F$23)/(Norm_Stats!$G$23-Norm_Stats!$F$23)))))*0.3)+IF((IF(OR(City_Inputs!$AK89="",Norm_Stats!$F$24="",Norm_Stats!$G$24="",Norm_Stats!$G$24=Norm_Stats!$F$24),"",MAX(0,MIN(100,100*(MIN(MAX(City_Inputs!$AK89,Norm_Stats!$F$24),Norm_Stats!$G$24)-Norm_Stats!$F$24)/(Norm_Stats!$G$24-Norm_Stats!$F$24)))))="",0,(IF(OR(City_Inputs!$AK89="",Norm_Stats!$F$24="",Norm_Stats!$G$24="",Norm_Stats!$G$24=Norm_Stats!$F$24),"",MAX(0,MIN(100,100*(MIN(MAX(City_Inputs!$AK89,Norm_Stats!$F$24),Norm_Stats!$G$24)-Norm_Stats!$F$24)/(Norm_Stats!$G$24-Norm_Stats!$F$24)))))*0.2))/(IF((IF(OR(City_Inputs!$AG89="",Norm_Stats!$F$22="",Norm_Stats!$G$22="",Norm_Stats!$G$22=Norm_Stats!$F$22),"",MAX(0,MIN(100,100*(MIN(MAX(City_Inputs!$AG89,Norm_Stats!$F$22),Norm_Stats!$G$22)-Norm_Stats!$F$22)/(Norm_Stats!$G$22-Norm_Stats!$F$22)))))="",0,0.5)+IF((IF(OR(City_Inputs!$AJ89="",Norm_Stats!$F$23="",Norm_Stats!$G$23="",Norm_Stats!$G$23=Norm_Stats!$F$23),"",MAX(0,MIN(100,100*(MIN(MAX(City_Inputs!$AJ89,Norm_Stats!$F$23),Norm_Stats!$G$23)-Norm_Stats!$F$23)/(Norm_Stats!$G$23-Norm_Stats!$F$23)))))="",0,0.3)+IF((IF(OR(City_Inputs!$AK89="",Norm_Stats!$F$24="",Norm_Stats!$G$24="",Norm_Stats!$G$24=Norm_Stats!$F$24),"",MAX(0,MIN(100,100*(MIN(MAX(City_Inputs!$AK89,Norm_Stats!$F$24),Norm_Stats!$G$24)-Norm_Stats!$F$24)/(Norm_Stats!$G$24-Norm_Stats!$F$24)))))="",0,0.2)))</f>
        <v/>
      </c>
      <c r="BD89" s="14">
        <f>IF((IF((IF(OR(City_Inputs!$AG89="",Norm_Stats!$F$22="",Norm_Stats!$G$22="",Norm_Stats!$G$22=Norm_Stats!$F$22),"",MAX(0,MIN(100,100*(MIN(MAX(City_Inputs!$AG89,Norm_Stats!$F$22),Norm_Stats!$G$22)-Norm_Stats!$F$22)/(Norm_Stats!$G$22-Norm_Stats!$F$22)))))="",0,0.5)+IF((IF(OR(City_Inputs!$AJ89="",Norm_Stats!$F$23="",Norm_Stats!$G$23="",Norm_Stats!$G$23=Norm_Stats!$F$23),"",MAX(0,MIN(100,100*(MIN(MAX(City_Inputs!$AJ89,Norm_Stats!$F$23),Norm_Stats!$G$23)-Norm_Stats!$F$23)/(Norm_Stats!$G$23-Norm_Stats!$F$23)))))="",0,0.3)+IF((IF(OR(City_Inputs!$AK89="",Norm_Stats!$F$24="",Norm_Stats!$G$24="",Norm_Stats!$G$24=Norm_Stats!$F$24),"",MAX(0,MIN(100,100*(MIN(MAX(City_Inputs!$AK89,Norm_Stats!$F$24),Norm_Stats!$G$24)-Norm_Stats!$F$24)/(Norm_Stats!$G$24-Norm_Stats!$F$24)))))="",0,0.2))=0,"",(IF((IF(OR(City_Inputs!$AG89="",Norm_Stats!$F$22="",Norm_Stats!$G$22="",Norm_Stats!$G$22=Norm_Stats!$F$22),"",MAX(0,MIN(100,100*(MIN(MAX(City_Inputs!$AG89,Norm_Stats!$F$22),Norm_Stats!$G$22)-Norm_Stats!$F$22)/(Norm_Stats!$G$22-Norm_Stats!$F$22)))))="",0,0.5)+IF((IF(OR(City_Inputs!$AJ89="",Norm_Stats!$F$23="",Norm_Stats!$G$23="",Norm_Stats!$G$23=Norm_Stats!$F$23),"",MAX(0,MIN(100,100*(MIN(MAX(City_Inputs!$AJ89,Norm_Stats!$F$23),Norm_Stats!$G$23)-Norm_Stats!$F$23)/(Norm_Stats!$G$23-Norm_Stats!$F$23)))))="",0,0.3)+IF((IF(OR(City_Inputs!$AK89="",Norm_Stats!$F$24="",Norm_Stats!$G$24="",Norm_Stats!$G$24=Norm_Stats!$F$24),"",MAX(0,MIN(100,100*(MIN(MAX(City_Inputs!$AK89,Norm_Stats!$F$24),Norm_Stats!$G$24)-Norm_Stats!$F$24)/(Norm_Stats!$G$24-Norm_Stats!$F$24)))))="",0,0.2)))</f>
        <v/>
      </c>
      <c r="BE89" s="11">
        <f>IF(OR(City_Inputs!$AH89="",Norm_Stats!$F$25="",Norm_Stats!$G$25="",Norm_Stats!$G$25=Norm_Stats!$F$25),"",MAX(0,MIN(100,100*(Norm_Stats!$G$25-MIN(MAX(City_Inputs!$AH89,Norm_Stats!$F$25),Norm_Stats!$G$25))/(Norm_Stats!$G$25-Norm_Stats!$F$25))))</f>
        <v/>
      </c>
      <c r="BF89" s="14">
        <f>IF(BE89="","",1)</f>
        <v/>
      </c>
      <c r="BG89" s="15">
        <f>IF((IF(AY89="",0,6)+IF(BA89="",0,5)+IF(BC89="",0,5)+IF(BE89="",0,4))=0,"",(IF(AY89="",0,AY89*6)+IF(BA89="",0,BA89*5)+IF(BC89="",0,BC89*5)+IF(BE89="",0,BE89*4))/(IF(AY89="",0,6)+IF(BA89="",0,5)+IF(BC89="",0,5)+IF(BE89="",0,4)))</f>
        <v/>
      </c>
      <c r="BH89" s="14">
        <f>IF((IF(AZ89="",0,6)+IF(BB89="",0,5)+IF(BD89="",0,5)+IF(BF89="",0,4))=0,"",(IF(AZ89="",0,AZ89*6)+IF(BB89="",0,BB89*5)+IF(BD89="",0,BD89*5)+IF(BF89="",0,BF89*4))/20)</f>
        <v/>
      </c>
      <c r="BI89" s="14">
        <f>IF(AND(R89="",AF89="",AN89="",AX89="",BH89=""),"",((R89*25)+(AF89*22)+(AN89*18)+(AX89*15)+(BH89*20))/100)</f>
        <v/>
      </c>
      <c r="BJ89" s="11">
        <f>IF(BI89="","",IF(BI89&gt;=0.75,"A",IF(BI89&gt;=0.5,"B",IF(BI89&gt;=0.35,"C","Watchlist"))))</f>
        <v/>
      </c>
      <c r="BK89" s="11">
        <f>IF(OR(BI89="",BI89&lt;0.5,R89="",R89&lt;0.35,AF89="",AF89&lt;0.35,AN89="",AN89&lt;0.35,AX89="",AX89&lt;0.35,BH89="",BH89&lt;0.35),"Watchlist","Ranked")</f>
        <v/>
      </c>
      <c r="BL89" s="15">
        <f>IF(AND(Q89="",AE89="",AM89="",AW89="",BG89=""),"",(IF(Q89="",0,Q89*25)+IF(AE89="",0,AE89*22)+IF(AM89="",0,AM89*18)+IF(AW89="",0,AW89*15)+IF(BG89="",0,BG89*20))/(IF(Q89="",0,25)+IF(AE89="",0,22)+IF(AM89="",0,18)+IF(AW89="",0,15)+IF(BG89="",0,20)))</f>
        <v/>
      </c>
      <c r="BM89" s="11">
        <f>IF(BK89="Ranked",1+COUNTIFS($BK$2:$BK$158,"Ranked",$BL$2:$BL$158,"&gt;"&amp;BL89),"")</f>
        <v/>
      </c>
      <c r="BN89" s="11">
        <f>City_Inputs!$AI89</f>
        <v/>
      </c>
    </row>
    <row r="90">
      <c r="A90" t="inlineStr">
        <is>
          <t>jo-amman</t>
        </is>
      </c>
      <c r="B90" t="inlineStr">
        <is>
          <t>Amman</t>
        </is>
      </c>
      <c r="C90" t="inlineStr">
        <is>
          <t>Jordan</t>
        </is>
      </c>
      <c r="D90" t="inlineStr">
        <is>
          <t>Middle East</t>
        </is>
      </c>
      <c r="E90" t="inlineStr">
        <is>
          <t>provisional</t>
        </is>
      </c>
      <c r="F90" t="inlineStr">
        <is>
          <t>secondary</t>
        </is>
      </c>
      <c r="G90" s="11">
        <f>IF(OR(City_Inputs!$M90="",Norm_Stats!$F$2="",Norm_Stats!$G$2="",Norm_Stats!$G$2=Norm_Stats!$F$2),"",MAX(0,MIN(100,100*(MIN(MAX(City_Inputs!$M90,Norm_Stats!$F$2),Norm_Stats!$G$2)-Norm_Stats!$F$2)/(Norm_Stats!$G$2-Norm_Stats!$F$2))))</f>
        <v/>
      </c>
      <c r="H90" s="14">
        <f>IF(G90="","",1)</f>
        <v/>
      </c>
      <c r="I90" s="11">
        <f>IF(OR(City_Inputs!$N90="",Norm_Stats!$F$3="",Norm_Stats!$G$3="",Norm_Stats!$G$3=Norm_Stats!$F$3),"",MAX(0,MIN(100,100*(Norm_Stats!$G$3-MIN(MAX(City_Inputs!$N90,Norm_Stats!$F$3),Norm_Stats!$G$3))/(Norm_Stats!$G$3-Norm_Stats!$F$3))))</f>
        <v/>
      </c>
      <c r="J90" s="14">
        <f>IF(I90="","",1)</f>
        <v/>
      </c>
      <c r="K90" s="11">
        <f>IF(OR(City_Inputs!$P90="",Norm_Stats!$F$4="",Norm_Stats!$G$4="",Norm_Stats!$G$4=Norm_Stats!$F$4),"",MAX(0,MIN(100,100*(Norm_Stats!$G$4-MIN(MAX(City_Inputs!$P90,Norm_Stats!$F$4),Norm_Stats!$G$4))/(Norm_Stats!$G$4-Norm_Stats!$F$4))))</f>
        <v/>
      </c>
      <c r="L90" s="14">
        <f>IF(K90="","",1)</f>
        <v/>
      </c>
      <c r="M90" s="11">
        <f>IF(OR(City_Inputs!$Q90="",Norm_Stats!$F$5="",Norm_Stats!$G$5="",Norm_Stats!$G$5=Norm_Stats!$F$5),"",MAX(0,MIN(100,100*(Norm_Stats!$G$5-MIN(MAX(City_Inputs!$Q90,Norm_Stats!$F$5),Norm_Stats!$G$5))/(Norm_Stats!$G$5-Norm_Stats!$F$5))))</f>
        <v/>
      </c>
      <c r="N90" s="14">
        <f>IF(M90="","",1)</f>
        <v/>
      </c>
      <c r="O90" s="11">
        <f>IF(OR(City_Inputs!$R90="",Norm_Stats!$F$6="",Norm_Stats!$G$6="",Norm_Stats!$G$6=Norm_Stats!$F$6),"",MAX(0,MIN(100,100*(Norm_Stats!$G$6-MIN(MAX(City_Inputs!$R90,Norm_Stats!$F$6),Norm_Stats!$G$6))/(Norm_Stats!$G$6-Norm_Stats!$F$6))))</f>
        <v/>
      </c>
      <c r="P90" s="14">
        <f>IF(O90="","",1)</f>
        <v/>
      </c>
      <c r="Q90" s="15">
        <f>IF((IF(G90="",0,9)+IF(I90="",0,5)+IF(K90="",0,4)+IF(M90="",0,4)+IF(O90="",0,5))=0,"",(IF(G90="",0,G90*9)+IF(I90="",0,I90*5)+IF(K90="",0,K90*4)+IF(M90="",0,M90*4)+IF(O90="",0,O90*5))/(IF(G90="",0,9)+IF(I90="",0,5)+IF(K90="",0,4)+IF(M90="",0,4)+IF(O90="",0,5)))</f>
        <v/>
      </c>
      <c r="R90" s="14">
        <f>IF((IF(H90="",0,9)+IF(J90="",0,5)+IF(L90="",0,4)+IF(N90="",0,4)+IF(P90="",0,5))=0,"",(IF(H90="",0,H90*9)+IF(J90="",0,J90*5)+IF(L90="",0,L90*4)+IF(N90="",0,N90*4)+IF(P90="",0,P90*5))/27)</f>
        <v/>
      </c>
      <c r="S90" s="11">
        <f>IF(OR(City_Inputs!$S90="",Norm_Stats!$F$7="",Norm_Stats!$G$7="",Norm_Stats!$G$7=Norm_Stats!$F$7),"",MAX(0,MIN(100,100*(Norm_Stats!$G$7-MIN(MAX(City_Inputs!$S90,Norm_Stats!$F$7),Norm_Stats!$G$7))/(Norm_Stats!$G$7-Norm_Stats!$F$7))))</f>
        <v/>
      </c>
      <c r="T90" s="14">
        <f>IF(S90="","",1)</f>
        <v/>
      </c>
      <c r="U90" s="11">
        <f>IF(OR(City_Inputs!$T90="",Norm_Stats!$F$8="",Norm_Stats!$G$8="",Norm_Stats!$G$8=Norm_Stats!$F$8),"",MAX(0,MIN(100,100*(MIN(MAX(City_Inputs!$T90,Norm_Stats!$F$8),Norm_Stats!$G$8)-Norm_Stats!$F$8)/(Norm_Stats!$G$8-Norm_Stats!$F$8))))</f>
        <v/>
      </c>
      <c r="V90" s="14">
        <f>IF(U90="","",1)</f>
        <v/>
      </c>
      <c r="W90" s="11">
        <f>IF(OR(City_Inputs!$U90="",Norm_Stats!$F$9="",Norm_Stats!$G$9="",Norm_Stats!$G$9=Norm_Stats!$F$9),"",MAX(0,MIN(100,100*(Norm_Stats!$G$9-MIN(MAX(City_Inputs!$U90,Norm_Stats!$F$9),Norm_Stats!$G$9))/(Norm_Stats!$G$9-Norm_Stats!$F$9))))</f>
        <v/>
      </c>
      <c r="X90" s="14">
        <f>IF(W90="","",1)</f>
        <v/>
      </c>
      <c r="Y90" s="11">
        <f>IF(OR(City_Inputs!$V90="",Norm_Stats!$F$10="",Norm_Stats!$G$10="",Norm_Stats!$G$10=Norm_Stats!$F$10),"",MAX(0,MIN(100,100*(MIN(MAX(City_Inputs!$V90,Norm_Stats!$F$10),Norm_Stats!$G$10)-Norm_Stats!$F$10)/(Norm_Stats!$G$10-Norm_Stats!$F$10))))</f>
        <v/>
      </c>
      <c r="Z90" s="14">
        <f>IF(Y90="","",1)</f>
        <v/>
      </c>
      <c r="AA90" s="11">
        <f>IF(OR(City_Inputs!$W90="",Norm_Stats!$F$11="",Norm_Stats!$G$11="",Norm_Stats!$G$11=Norm_Stats!$F$11),"",MAX(0,MIN(100,100*(MIN(MAX(City_Inputs!$W90,Norm_Stats!$F$11),Norm_Stats!$G$11)-Norm_Stats!$F$11)/(Norm_Stats!$G$11-Norm_Stats!$F$11))))</f>
        <v/>
      </c>
      <c r="AB90" s="14">
        <f>IF(AA90="","",1)</f>
        <v/>
      </c>
      <c r="AC90" s="11">
        <f>IF(OR(City_Inputs!$X90="",Norm_Stats!$F$12="",Norm_Stats!$G$12="",Norm_Stats!$G$12=Norm_Stats!$F$12),"",MAX(0,MIN(100,100*(MIN(MAX(City_Inputs!$X90,Norm_Stats!$F$12),Norm_Stats!$G$12)-Norm_Stats!$F$12)/(Norm_Stats!$G$12-Norm_Stats!$F$12))))</f>
        <v/>
      </c>
      <c r="AD90" s="11">
        <f>IF(AC90="","",1)</f>
        <v/>
      </c>
      <c r="AE90" s="15">
        <f>IF((IF(S90="",0,5)+IF(U90="",0,5)+IF(W90="",0,4)+IF(Y90="",0,4)+IF(AA90="",0,4)+IF(AC90="",0,5))=0,"",(IF(S90="",0,S90*5)+IF(U90="",0,U90*5)+IF(W90="",0,W90*4)+IF(Y90="",0,Y90*4)+IF(AA90="",0,AA90*4)+IF(AC90="",0,AC90*5))/(IF(S90="",0,5)+IF(U90="",0,5)+IF(W90="",0,4)+IF(Y90="",0,4)+IF(AA90="",0,4)+IF(AC90="",0,5)))</f>
        <v/>
      </c>
      <c r="AF90" s="14">
        <f>IF((IF(T90="",0,5)+IF(V90="",0,5)+IF(X90="",0,4)+IF(Z90="",0,4)+IF(AB90="",0,4)+IF(AD90="",0,5))=0,"",(IF(T90="",0,T90*5)+IF(V90="",0,V90*5)+IF(X90="",0,X90*4)+IF(Z90="",0,Z90*4)+IF(AB90="",0,AB90*4)+IF(AD90="",0,AD90*5))/27)</f>
        <v/>
      </c>
      <c r="AG90" s="11">
        <f>IF(OR(City_Inputs!$Y90="",Norm_Stats!$F$13="",Norm_Stats!$G$13="",Norm_Stats!$G$13=Norm_Stats!$F$13),"",MAX(0,MIN(100,100*(MIN(MAX(City_Inputs!$Y90,Norm_Stats!$F$13),Norm_Stats!$G$13)-Norm_Stats!$F$13)/(Norm_Stats!$G$13-Norm_Stats!$F$13))))</f>
        <v/>
      </c>
      <c r="AH90" s="14">
        <f>IF(AG90="","",1)</f>
        <v/>
      </c>
      <c r="AI90" s="11">
        <f>IF(OR(City_Inputs!$Z90="",Norm_Stats!$F$14="",Norm_Stats!$G$14="",Norm_Stats!$G$14=Norm_Stats!$F$14),"",MAX(0,MIN(100,100*(MIN(MAX(City_Inputs!$Z90,Norm_Stats!$F$14),Norm_Stats!$G$14)-Norm_Stats!$F$14)/(Norm_Stats!$G$14-Norm_Stats!$F$14))))</f>
        <v/>
      </c>
      <c r="AJ90" s="14">
        <f>IF(AI90="","",1)</f>
        <v/>
      </c>
      <c r="AK90" s="11">
        <f>IF((IF((IF(OR(City_Inputs!$AA90="",Norm_Stats!$F$15="",Norm_Stats!$G$15="",Norm_Stats!$G$15=Norm_Stats!$F$15),"",MAX(0,MIN(100,100*(MIN(MAX(City_Inputs!$AA90,Norm_Stats!$F$15),Norm_Stats!$G$15)-Norm_Stats!$F$15)/(Norm_Stats!$G$15-Norm_Stats!$F$15)))))="",0,0.7)+IF((IF(OR(City_Inputs!$AL90="",Norm_Stats!$F$16="",Norm_Stats!$G$16="",Norm_Stats!$G$16=Norm_Stats!$F$16),"",MAX(0,MIN(100,100*(Norm_Stats!$G$16-MIN(MAX(City_Inputs!$AL90,Norm_Stats!$F$16),Norm_Stats!$G$16))/(Norm_Stats!$G$16-Norm_Stats!$F$16)))))="",0,0.3))=0,"",(IF((IF(OR(City_Inputs!$AA90="",Norm_Stats!$F$15="",Norm_Stats!$G$15="",Norm_Stats!$G$15=Norm_Stats!$F$15),"",MAX(0,MIN(100,100*(MIN(MAX(City_Inputs!$AA90,Norm_Stats!$F$15),Norm_Stats!$G$15)-Norm_Stats!$F$15)/(Norm_Stats!$G$15-Norm_Stats!$F$15)))))="",0,(IF(OR(City_Inputs!$AA90="",Norm_Stats!$F$15="",Norm_Stats!$G$15="",Norm_Stats!$G$15=Norm_Stats!$F$15),"",MAX(0,MIN(100,100*(MIN(MAX(City_Inputs!$AA90,Norm_Stats!$F$15),Norm_Stats!$G$15)-Norm_Stats!$F$15)/(Norm_Stats!$G$15-Norm_Stats!$F$15)))))*0.7)+IF((IF(OR(City_Inputs!$AL90="",Norm_Stats!$F$16="",Norm_Stats!$G$16="",Norm_Stats!$G$16=Norm_Stats!$F$16),"",MAX(0,MIN(100,100*(Norm_Stats!$G$16-MIN(MAX(City_Inputs!$AL90,Norm_Stats!$F$16),Norm_Stats!$G$16))/(Norm_Stats!$G$16-Norm_Stats!$F$16)))))="",0,(IF(OR(City_Inputs!$AL90="",Norm_Stats!$F$16="",Norm_Stats!$G$16="",Norm_Stats!$G$16=Norm_Stats!$F$16),"",MAX(0,MIN(100,100*(Norm_Stats!$G$16-MIN(MAX(City_Inputs!$AL90,Norm_Stats!$F$16),Norm_Stats!$G$16))/(Norm_Stats!$G$16-Norm_Stats!$F$16)))))*0.3))/(IF((IF(OR(City_Inputs!$AA90="",Norm_Stats!$F$15="",Norm_Stats!$G$15="",Norm_Stats!$G$15=Norm_Stats!$F$15),"",MAX(0,MIN(100,100*(MIN(MAX(City_Inputs!$AA90,Norm_Stats!$F$15),Norm_Stats!$G$15)-Norm_Stats!$F$15)/(Norm_Stats!$G$15-Norm_Stats!$F$15)))))="",0,0.7)+IF((IF(OR(City_Inputs!$AL90="",Norm_Stats!$F$16="",Norm_Stats!$G$16="",Norm_Stats!$G$16=Norm_Stats!$F$16),"",MAX(0,MIN(100,100*(Norm_Stats!$G$16-MIN(MAX(City_Inputs!$AL90,Norm_Stats!$F$16),Norm_Stats!$G$16))/(Norm_Stats!$G$16-Norm_Stats!$F$16)))))="",0,0.3)))</f>
        <v/>
      </c>
      <c r="AL90" s="14">
        <f>IF((IF((IF(OR(City_Inputs!$AA90="",Norm_Stats!$F$15="",Norm_Stats!$G$15="",Norm_Stats!$G$15=Norm_Stats!$F$15),"",MAX(0,MIN(100,100*(MIN(MAX(City_Inputs!$AA90,Norm_Stats!$F$15),Norm_Stats!$G$15)-Norm_Stats!$F$15)/(Norm_Stats!$G$15-Norm_Stats!$F$15)))))="",0,0.7)+IF((IF(OR(City_Inputs!$AL90="",Norm_Stats!$F$16="",Norm_Stats!$G$16="",Norm_Stats!$G$16=Norm_Stats!$F$16),"",MAX(0,MIN(100,100*(Norm_Stats!$G$16-MIN(MAX(City_Inputs!$AL90,Norm_Stats!$F$16),Norm_Stats!$G$16))/(Norm_Stats!$G$16-Norm_Stats!$F$16)))))="",0,0.3))=0,"",(IF((IF(OR(City_Inputs!$AA90="",Norm_Stats!$F$15="",Norm_Stats!$G$15="",Norm_Stats!$G$15=Norm_Stats!$F$15),"",MAX(0,MIN(100,100*(MIN(MAX(City_Inputs!$AA90,Norm_Stats!$F$15),Norm_Stats!$G$15)-Norm_Stats!$F$15)/(Norm_Stats!$G$15-Norm_Stats!$F$15)))))="",0,0.7)+IF((IF(OR(City_Inputs!$AL90="",Norm_Stats!$F$16="",Norm_Stats!$G$16="",Norm_Stats!$G$16=Norm_Stats!$F$16),"",MAX(0,MIN(100,100*(Norm_Stats!$G$16-MIN(MAX(City_Inputs!$AL90,Norm_Stats!$F$16),Norm_Stats!$G$16))/(Norm_Stats!$G$16-Norm_Stats!$F$16)))))="",0,0.3)))</f>
        <v/>
      </c>
      <c r="AM90" s="15">
        <f>IF((IF(AG90="",0,8)+IF(AI90="",0,6)+IF(AK90="",0,4))=0,"",(IF(AG90="",0,AG90*8)+IF(AI90="",0,AI90*6)+IF(AK90="",0,AK90*4))/(IF(AG90="",0,8)+IF(AI90="",0,6)+IF(AK90="",0,4)))</f>
        <v/>
      </c>
      <c r="AN90" s="14">
        <f>IF((IF(AH90="",0,8)+IF(AJ90="",0,6)+IF(AL90="",0,4))=0,"",(IF(AH90="",0,AH90*8)+IF(AJ90="",0,AJ90*6)+IF(AL90="",0,AL90*4))/18)</f>
        <v/>
      </c>
      <c r="AO90" s="11">
        <f>IF(OR(City_Inputs!$AB90="",Norm_Stats!$F$17="",Norm_Stats!$G$17="",Norm_Stats!$G$17=Norm_Stats!$F$17),"",MAX(0,MIN(100,100*(MIN(MAX(City_Inputs!$AB90,Norm_Stats!$F$17),Norm_Stats!$G$17)-Norm_Stats!$F$17)/(Norm_Stats!$G$17-Norm_Stats!$F$17))))</f>
        <v/>
      </c>
      <c r="AP90" s="14">
        <f>IF(AO90="","",1)</f>
        <v/>
      </c>
      <c r="AQ90" s="11">
        <f>IF(OR(City_Inputs!$AC90="",Norm_Stats!$F$18="",Norm_Stats!$G$18="",Norm_Stats!$G$18=Norm_Stats!$F$18),"",MAX(0,MIN(100,100*(MIN(MAX(City_Inputs!$AC90,Norm_Stats!$F$18),Norm_Stats!$G$18)-Norm_Stats!$F$18)/(Norm_Stats!$G$18-Norm_Stats!$F$18))))</f>
        <v/>
      </c>
      <c r="AR90" s="14">
        <f>IF(AQ90="","",1)</f>
        <v/>
      </c>
      <c r="AS90" s="11">
        <f>IF(OR(City_Inputs!$AD90="",Norm_Stats!$F$19="",Norm_Stats!$G$19="",Norm_Stats!$G$19=Norm_Stats!$F$19),"",MAX(0,MIN(100,100*(MIN(MAX(City_Inputs!$AD90,Norm_Stats!$F$19),Norm_Stats!$G$19)-Norm_Stats!$F$19)/(Norm_Stats!$G$19-Norm_Stats!$F$19))))</f>
        <v/>
      </c>
      <c r="AT90" s="14">
        <f>IF(AS90="","",1)</f>
        <v/>
      </c>
      <c r="AU90" s="11">
        <f>IF(OR(City_Inputs!$BJ90="",Norm_Stats!$F$26="",Norm_Stats!$G$26="",Norm_Stats!$G$26=Norm_Stats!$F$26),"",MAX(0,MIN(100,100*(MIN(MAX(City_Inputs!$BJ90,Norm_Stats!$F$26),Norm_Stats!$G$26)-Norm_Stats!$F$26)/(Norm_Stats!$G$26-Norm_Stats!$F$26))))</f>
        <v/>
      </c>
      <c r="AV90" s="11">
        <f>IF(AU90="","",1)</f>
        <v/>
      </c>
      <c r="AW90" s="15">
        <f>IF((IF(AO90="",0,5)+IF(AQ90="",0,5)+IF(AS90="",0,5)+IF(AU90="",0,4))=0,"",(IF(AO90="",0,AO90*5)+IF(AQ90="",0,AQ90*5)+IF(AS90="",0,AS90*5)+IF(AU90="",0,AU90*4))/(IF(AO90="",0,5)+IF(AQ90="",0,5)+IF(AS90="",0,5)+IF(AU90="",0,4)))</f>
        <v/>
      </c>
      <c r="AX90" s="14">
        <f>IF((IF(AP90="",0,5)+IF(AR90="",0,5)+IF(AT90="",0,5)+IF(AV90="",0,4))=0,"",(IF(AP90="",0,AP90*5)+IF(AR90="",0,AR90*5)+IF(AT90="",0,AT90*5)+IF(AV90="",0,AV90*4))/19)</f>
        <v/>
      </c>
      <c r="AY90" s="11">
        <f>IF(OR(City_Inputs!$AE90="",Norm_Stats!$F$20="",Norm_Stats!$G$20="",Norm_Stats!$G$20=Norm_Stats!$F$20),"",MAX(0,MIN(100,100*(MIN(MAX(City_Inputs!$AE90,Norm_Stats!$F$20),Norm_Stats!$G$20)-Norm_Stats!$F$20)/(Norm_Stats!$G$20-Norm_Stats!$F$20))))</f>
        <v/>
      </c>
      <c r="AZ90" s="14">
        <f>IF(AY90="","",1)</f>
        <v/>
      </c>
      <c r="BA90" s="11">
        <f>IF(OR(City_Inputs!$AF90="",Norm_Stats!$F$21="",Norm_Stats!$G$21="",Norm_Stats!$G$21=Norm_Stats!$F$21),"",MAX(0,MIN(100,100*(MIN(MAX(City_Inputs!$AF90,Norm_Stats!$F$21),Norm_Stats!$G$21)-Norm_Stats!$F$21)/(Norm_Stats!$G$21-Norm_Stats!$F$21))))</f>
        <v/>
      </c>
      <c r="BB90" s="14">
        <f>IF(BA90="","",1)</f>
        <v/>
      </c>
      <c r="BC90" s="11">
        <f>IF((IF((IF(OR(City_Inputs!$AG90="",Norm_Stats!$F$22="",Norm_Stats!$G$22="",Norm_Stats!$G$22=Norm_Stats!$F$22),"",MAX(0,MIN(100,100*(MIN(MAX(City_Inputs!$AG90,Norm_Stats!$F$22),Norm_Stats!$G$22)-Norm_Stats!$F$22)/(Norm_Stats!$G$22-Norm_Stats!$F$22)))))="",0,0.5)+IF((IF(OR(City_Inputs!$AJ90="",Norm_Stats!$F$23="",Norm_Stats!$G$23="",Norm_Stats!$G$23=Norm_Stats!$F$23),"",MAX(0,MIN(100,100*(MIN(MAX(City_Inputs!$AJ90,Norm_Stats!$F$23),Norm_Stats!$G$23)-Norm_Stats!$F$23)/(Norm_Stats!$G$23-Norm_Stats!$F$23)))))="",0,0.3)+IF((IF(OR(City_Inputs!$AK90="",Norm_Stats!$F$24="",Norm_Stats!$G$24="",Norm_Stats!$G$24=Norm_Stats!$F$24),"",MAX(0,MIN(100,100*(MIN(MAX(City_Inputs!$AK90,Norm_Stats!$F$24),Norm_Stats!$G$24)-Norm_Stats!$F$24)/(Norm_Stats!$G$24-Norm_Stats!$F$24)))))="",0,0.2))=0,"",(IF((IF(OR(City_Inputs!$AG90="",Norm_Stats!$F$22="",Norm_Stats!$G$22="",Norm_Stats!$G$22=Norm_Stats!$F$22),"",MAX(0,MIN(100,100*(MIN(MAX(City_Inputs!$AG90,Norm_Stats!$F$22),Norm_Stats!$G$22)-Norm_Stats!$F$22)/(Norm_Stats!$G$22-Norm_Stats!$F$22)))))="",0,(IF(OR(City_Inputs!$AG90="",Norm_Stats!$F$22="",Norm_Stats!$G$22="",Norm_Stats!$G$22=Norm_Stats!$F$22),"",MAX(0,MIN(100,100*(MIN(MAX(City_Inputs!$AG90,Norm_Stats!$F$22),Norm_Stats!$G$22)-Norm_Stats!$F$22)/(Norm_Stats!$G$22-Norm_Stats!$F$22)))))*0.5)+IF((IF(OR(City_Inputs!$AJ90="",Norm_Stats!$F$23="",Norm_Stats!$G$23="",Norm_Stats!$G$23=Norm_Stats!$F$23),"",MAX(0,MIN(100,100*(MIN(MAX(City_Inputs!$AJ90,Norm_Stats!$F$23),Norm_Stats!$G$23)-Norm_Stats!$F$23)/(Norm_Stats!$G$23-Norm_Stats!$F$23)))))="",0,(IF(OR(City_Inputs!$AJ90="",Norm_Stats!$F$23="",Norm_Stats!$G$23="",Norm_Stats!$G$23=Norm_Stats!$F$23),"",MAX(0,MIN(100,100*(MIN(MAX(City_Inputs!$AJ90,Norm_Stats!$F$23),Norm_Stats!$G$23)-Norm_Stats!$F$23)/(Norm_Stats!$G$23-Norm_Stats!$F$23)))))*0.3)+IF((IF(OR(City_Inputs!$AK90="",Norm_Stats!$F$24="",Norm_Stats!$G$24="",Norm_Stats!$G$24=Norm_Stats!$F$24),"",MAX(0,MIN(100,100*(MIN(MAX(City_Inputs!$AK90,Norm_Stats!$F$24),Norm_Stats!$G$24)-Norm_Stats!$F$24)/(Norm_Stats!$G$24-Norm_Stats!$F$24)))))="",0,(IF(OR(City_Inputs!$AK90="",Norm_Stats!$F$24="",Norm_Stats!$G$24="",Norm_Stats!$G$24=Norm_Stats!$F$24),"",MAX(0,MIN(100,100*(MIN(MAX(City_Inputs!$AK90,Norm_Stats!$F$24),Norm_Stats!$G$24)-Norm_Stats!$F$24)/(Norm_Stats!$G$24-Norm_Stats!$F$24)))))*0.2))/(IF((IF(OR(City_Inputs!$AG90="",Norm_Stats!$F$22="",Norm_Stats!$G$22="",Norm_Stats!$G$22=Norm_Stats!$F$22),"",MAX(0,MIN(100,100*(MIN(MAX(City_Inputs!$AG90,Norm_Stats!$F$22),Norm_Stats!$G$22)-Norm_Stats!$F$22)/(Norm_Stats!$G$22-Norm_Stats!$F$22)))))="",0,0.5)+IF((IF(OR(City_Inputs!$AJ90="",Norm_Stats!$F$23="",Norm_Stats!$G$23="",Norm_Stats!$G$23=Norm_Stats!$F$23),"",MAX(0,MIN(100,100*(MIN(MAX(City_Inputs!$AJ90,Norm_Stats!$F$23),Norm_Stats!$G$23)-Norm_Stats!$F$23)/(Norm_Stats!$G$23-Norm_Stats!$F$23)))))="",0,0.3)+IF((IF(OR(City_Inputs!$AK90="",Norm_Stats!$F$24="",Norm_Stats!$G$24="",Norm_Stats!$G$24=Norm_Stats!$F$24),"",MAX(0,MIN(100,100*(MIN(MAX(City_Inputs!$AK90,Norm_Stats!$F$24),Norm_Stats!$G$24)-Norm_Stats!$F$24)/(Norm_Stats!$G$24-Norm_Stats!$F$24)))))="",0,0.2)))</f>
        <v/>
      </c>
      <c r="BD90" s="14">
        <f>IF((IF((IF(OR(City_Inputs!$AG90="",Norm_Stats!$F$22="",Norm_Stats!$G$22="",Norm_Stats!$G$22=Norm_Stats!$F$22),"",MAX(0,MIN(100,100*(MIN(MAX(City_Inputs!$AG90,Norm_Stats!$F$22),Norm_Stats!$G$22)-Norm_Stats!$F$22)/(Norm_Stats!$G$22-Norm_Stats!$F$22)))))="",0,0.5)+IF((IF(OR(City_Inputs!$AJ90="",Norm_Stats!$F$23="",Norm_Stats!$G$23="",Norm_Stats!$G$23=Norm_Stats!$F$23),"",MAX(0,MIN(100,100*(MIN(MAX(City_Inputs!$AJ90,Norm_Stats!$F$23),Norm_Stats!$G$23)-Norm_Stats!$F$23)/(Norm_Stats!$G$23-Norm_Stats!$F$23)))))="",0,0.3)+IF((IF(OR(City_Inputs!$AK90="",Norm_Stats!$F$24="",Norm_Stats!$G$24="",Norm_Stats!$G$24=Norm_Stats!$F$24),"",MAX(0,MIN(100,100*(MIN(MAX(City_Inputs!$AK90,Norm_Stats!$F$24),Norm_Stats!$G$24)-Norm_Stats!$F$24)/(Norm_Stats!$G$24-Norm_Stats!$F$24)))))="",0,0.2))=0,"",(IF((IF(OR(City_Inputs!$AG90="",Norm_Stats!$F$22="",Norm_Stats!$G$22="",Norm_Stats!$G$22=Norm_Stats!$F$22),"",MAX(0,MIN(100,100*(MIN(MAX(City_Inputs!$AG90,Norm_Stats!$F$22),Norm_Stats!$G$22)-Norm_Stats!$F$22)/(Norm_Stats!$G$22-Norm_Stats!$F$22)))))="",0,0.5)+IF((IF(OR(City_Inputs!$AJ90="",Norm_Stats!$F$23="",Norm_Stats!$G$23="",Norm_Stats!$G$23=Norm_Stats!$F$23),"",MAX(0,MIN(100,100*(MIN(MAX(City_Inputs!$AJ90,Norm_Stats!$F$23),Norm_Stats!$G$23)-Norm_Stats!$F$23)/(Norm_Stats!$G$23-Norm_Stats!$F$23)))))="",0,0.3)+IF((IF(OR(City_Inputs!$AK90="",Norm_Stats!$F$24="",Norm_Stats!$G$24="",Norm_Stats!$G$24=Norm_Stats!$F$24),"",MAX(0,MIN(100,100*(MIN(MAX(City_Inputs!$AK90,Norm_Stats!$F$24),Norm_Stats!$G$24)-Norm_Stats!$F$24)/(Norm_Stats!$G$24-Norm_Stats!$F$24)))))="",0,0.2)))</f>
        <v/>
      </c>
      <c r="BE90" s="11">
        <f>IF(OR(City_Inputs!$AH90="",Norm_Stats!$F$25="",Norm_Stats!$G$25="",Norm_Stats!$G$25=Norm_Stats!$F$25),"",MAX(0,MIN(100,100*(Norm_Stats!$G$25-MIN(MAX(City_Inputs!$AH90,Norm_Stats!$F$25),Norm_Stats!$G$25))/(Norm_Stats!$G$25-Norm_Stats!$F$25))))</f>
        <v/>
      </c>
      <c r="BF90" s="14">
        <f>IF(BE90="","",1)</f>
        <v/>
      </c>
      <c r="BG90" s="15">
        <f>IF((IF(AY90="",0,6)+IF(BA90="",0,5)+IF(BC90="",0,5)+IF(BE90="",0,4))=0,"",(IF(AY90="",0,AY90*6)+IF(BA90="",0,BA90*5)+IF(BC90="",0,BC90*5)+IF(BE90="",0,BE90*4))/(IF(AY90="",0,6)+IF(BA90="",0,5)+IF(BC90="",0,5)+IF(BE90="",0,4)))</f>
        <v/>
      </c>
      <c r="BH90" s="14">
        <f>IF((IF(AZ90="",0,6)+IF(BB90="",0,5)+IF(BD90="",0,5)+IF(BF90="",0,4))=0,"",(IF(AZ90="",0,AZ90*6)+IF(BB90="",0,BB90*5)+IF(BD90="",0,BD90*5)+IF(BF90="",0,BF90*4))/20)</f>
        <v/>
      </c>
      <c r="BI90" s="14">
        <f>IF(AND(R90="",AF90="",AN90="",AX90="",BH90=""),"",((R90*25)+(AF90*22)+(AN90*18)+(AX90*15)+(BH90*20))/100)</f>
        <v/>
      </c>
      <c r="BJ90" s="11">
        <f>IF(BI90="","",IF(BI90&gt;=0.75,"A",IF(BI90&gt;=0.5,"B",IF(BI90&gt;=0.35,"C","Watchlist"))))</f>
        <v/>
      </c>
      <c r="BK90" s="11">
        <f>IF(OR(BI90="",BI90&lt;0.5,R90="",R90&lt;0.35,AF90="",AF90&lt;0.35,AN90="",AN90&lt;0.35,AX90="",AX90&lt;0.35,BH90="",BH90&lt;0.35),"Watchlist","Ranked")</f>
        <v/>
      </c>
      <c r="BL90" s="15">
        <f>IF(AND(Q90="",AE90="",AM90="",AW90="",BG90=""),"",(IF(Q90="",0,Q90*25)+IF(AE90="",0,AE90*22)+IF(AM90="",0,AM90*18)+IF(AW90="",0,AW90*15)+IF(BG90="",0,BG90*20))/(IF(Q90="",0,25)+IF(AE90="",0,22)+IF(AM90="",0,18)+IF(AW90="",0,15)+IF(BG90="",0,20)))</f>
        <v/>
      </c>
      <c r="BM90" s="11">
        <f>IF(BK90="Ranked",1+COUNTIFS($BK$2:$BK$158,"Ranked",$BL$2:$BL$158,"&gt;"&amp;BL90),"")</f>
        <v/>
      </c>
      <c r="BN90" s="11">
        <f>City_Inputs!$AI90</f>
        <v/>
      </c>
    </row>
    <row r="91">
      <c r="A91" t="inlineStr">
        <is>
          <t>za-cape-town</t>
        </is>
      </c>
      <c r="B91" t="inlineStr">
        <is>
          <t>Cape Town</t>
        </is>
      </c>
      <c r="C91" t="inlineStr">
        <is>
          <t>South Africa</t>
        </is>
      </c>
      <c r="D91" t="inlineStr">
        <is>
          <t>Africa</t>
        </is>
      </c>
      <c r="E91" t="inlineStr">
        <is>
          <t>locked</t>
        </is>
      </c>
      <c r="F91" t="inlineStr">
        <is>
          <t>primary</t>
        </is>
      </c>
      <c r="G91" s="11">
        <f>IF(OR(City_Inputs!$M91="",Norm_Stats!$F$2="",Norm_Stats!$G$2="",Norm_Stats!$G$2=Norm_Stats!$F$2),"",MAX(0,MIN(100,100*(MIN(MAX(City_Inputs!$M91,Norm_Stats!$F$2),Norm_Stats!$G$2)-Norm_Stats!$F$2)/(Norm_Stats!$G$2-Norm_Stats!$F$2))))</f>
        <v/>
      </c>
      <c r="H91" s="14">
        <f>IF(G91="","",1)</f>
        <v/>
      </c>
      <c r="I91" s="11">
        <f>IF(OR(City_Inputs!$N91="",Norm_Stats!$F$3="",Norm_Stats!$G$3="",Norm_Stats!$G$3=Norm_Stats!$F$3),"",MAX(0,MIN(100,100*(Norm_Stats!$G$3-MIN(MAX(City_Inputs!$N91,Norm_Stats!$F$3),Norm_Stats!$G$3))/(Norm_Stats!$G$3-Norm_Stats!$F$3))))</f>
        <v/>
      </c>
      <c r="J91" s="14">
        <f>IF(I91="","",1)</f>
        <v/>
      </c>
      <c r="K91" s="11">
        <f>IF(OR(City_Inputs!$P91="",Norm_Stats!$F$4="",Norm_Stats!$G$4="",Norm_Stats!$G$4=Norm_Stats!$F$4),"",MAX(0,MIN(100,100*(Norm_Stats!$G$4-MIN(MAX(City_Inputs!$P91,Norm_Stats!$F$4),Norm_Stats!$G$4))/(Norm_Stats!$G$4-Norm_Stats!$F$4))))</f>
        <v/>
      </c>
      <c r="L91" s="14">
        <f>IF(K91="","",1)</f>
        <v/>
      </c>
      <c r="M91" s="11">
        <f>IF(OR(City_Inputs!$Q91="",Norm_Stats!$F$5="",Norm_Stats!$G$5="",Norm_Stats!$G$5=Norm_Stats!$F$5),"",MAX(0,MIN(100,100*(Norm_Stats!$G$5-MIN(MAX(City_Inputs!$Q91,Norm_Stats!$F$5),Norm_Stats!$G$5))/(Norm_Stats!$G$5-Norm_Stats!$F$5))))</f>
        <v/>
      </c>
      <c r="N91" s="14">
        <f>IF(M91="","",1)</f>
        <v/>
      </c>
      <c r="O91" s="11">
        <f>IF(OR(City_Inputs!$R91="",Norm_Stats!$F$6="",Norm_Stats!$G$6="",Norm_Stats!$G$6=Norm_Stats!$F$6),"",MAX(0,MIN(100,100*(Norm_Stats!$G$6-MIN(MAX(City_Inputs!$R91,Norm_Stats!$F$6),Norm_Stats!$G$6))/(Norm_Stats!$G$6-Norm_Stats!$F$6))))</f>
        <v/>
      </c>
      <c r="P91" s="14">
        <f>IF(O91="","",1)</f>
        <v/>
      </c>
      <c r="Q91" s="15">
        <f>IF((IF(G91="",0,9)+IF(I91="",0,5)+IF(K91="",0,4)+IF(M91="",0,4)+IF(O91="",0,5))=0,"",(IF(G91="",0,G91*9)+IF(I91="",0,I91*5)+IF(K91="",0,K91*4)+IF(M91="",0,M91*4)+IF(O91="",0,O91*5))/(IF(G91="",0,9)+IF(I91="",0,5)+IF(K91="",0,4)+IF(M91="",0,4)+IF(O91="",0,5)))</f>
        <v/>
      </c>
      <c r="R91" s="14">
        <f>IF((IF(H91="",0,9)+IF(J91="",0,5)+IF(L91="",0,4)+IF(N91="",0,4)+IF(P91="",0,5))=0,"",(IF(H91="",0,H91*9)+IF(J91="",0,J91*5)+IF(L91="",0,L91*4)+IF(N91="",0,N91*4)+IF(P91="",0,P91*5))/27)</f>
        <v/>
      </c>
      <c r="S91" s="11">
        <f>IF(OR(City_Inputs!$S91="",Norm_Stats!$F$7="",Norm_Stats!$G$7="",Norm_Stats!$G$7=Norm_Stats!$F$7),"",MAX(0,MIN(100,100*(Norm_Stats!$G$7-MIN(MAX(City_Inputs!$S91,Norm_Stats!$F$7),Norm_Stats!$G$7))/(Norm_Stats!$G$7-Norm_Stats!$F$7))))</f>
        <v/>
      </c>
      <c r="T91" s="14">
        <f>IF(S91="","",1)</f>
        <v/>
      </c>
      <c r="U91" s="11">
        <f>IF(OR(City_Inputs!$T91="",Norm_Stats!$F$8="",Norm_Stats!$G$8="",Norm_Stats!$G$8=Norm_Stats!$F$8),"",MAX(0,MIN(100,100*(MIN(MAX(City_Inputs!$T91,Norm_Stats!$F$8),Norm_Stats!$G$8)-Norm_Stats!$F$8)/(Norm_Stats!$G$8-Norm_Stats!$F$8))))</f>
        <v/>
      </c>
      <c r="V91" s="14">
        <f>IF(U91="","",1)</f>
        <v/>
      </c>
      <c r="W91" s="11">
        <f>IF(OR(City_Inputs!$U91="",Norm_Stats!$F$9="",Norm_Stats!$G$9="",Norm_Stats!$G$9=Norm_Stats!$F$9),"",MAX(0,MIN(100,100*(Norm_Stats!$G$9-MIN(MAX(City_Inputs!$U91,Norm_Stats!$F$9),Norm_Stats!$G$9))/(Norm_Stats!$G$9-Norm_Stats!$F$9))))</f>
        <v/>
      </c>
      <c r="X91" s="14">
        <f>IF(W91="","",1)</f>
        <v/>
      </c>
      <c r="Y91" s="11">
        <f>IF(OR(City_Inputs!$V91="",Norm_Stats!$F$10="",Norm_Stats!$G$10="",Norm_Stats!$G$10=Norm_Stats!$F$10),"",MAX(0,MIN(100,100*(MIN(MAX(City_Inputs!$V91,Norm_Stats!$F$10),Norm_Stats!$G$10)-Norm_Stats!$F$10)/(Norm_Stats!$G$10-Norm_Stats!$F$10))))</f>
        <v/>
      </c>
      <c r="Z91" s="14">
        <f>IF(Y91="","",1)</f>
        <v/>
      </c>
      <c r="AA91" s="11">
        <f>IF(OR(City_Inputs!$W91="",Norm_Stats!$F$11="",Norm_Stats!$G$11="",Norm_Stats!$G$11=Norm_Stats!$F$11),"",MAX(0,MIN(100,100*(MIN(MAX(City_Inputs!$W91,Norm_Stats!$F$11),Norm_Stats!$G$11)-Norm_Stats!$F$11)/(Norm_Stats!$G$11-Norm_Stats!$F$11))))</f>
        <v/>
      </c>
      <c r="AB91" s="14">
        <f>IF(AA91="","",1)</f>
        <v/>
      </c>
      <c r="AC91" s="11">
        <f>IF(OR(City_Inputs!$X91="",Norm_Stats!$F$12="",Norm_Stats!$G$12="",Norm_Stats!$G$12=Norm_Stats!$F$12),"",MAX(0,MIN(100,100*(MIN(MAX(City_Inputs!$X91,Norm_Stats!$F$12),Norm_Stats!$G$12)-Norm_Stats!$F$12)/(Norm_Stats!$G$12-Norm_Stats!$F$12))))</f>
        <v/>
      </c>
      <c r="AD91" s="11">
        <f>IF(AC91="","",1)</f>
        <v/>
      </c>
      <c r="AE91" s="15">
        <f>IF((IF(S91="",0,5)+IF(U91="",0,5)+IF(W91="",0,4)+IF(Y91="",0,4)+IF(AA91="",0,4)+IF(AC91="",0,5))=0,"",(IF(S91="",0,S91*5)+IF(U91="",0,U91*5)+IF(W91="",0,W91*4)+IF(Y91="",0,Y91*4)+IF(AA91="",0,AA91*4)+IF(AC91="",0,AC91*5))/(IF(S91="",0,5)+IF(U91="",0,5)+IF(W91="",0,4)+IF(Y91="",0,4)+IF(AA91="",0,4)+IF(AC91="",0,5)))</f>
        <v/>
      </c>
      <c r="AF91" s="14">
        <f>IF((IF(T91="",0,5)+IF(V91="",0,5)+IF(X91="",0,4)+IF(Z91="",0,4)+IF(AB91="",0,4)+IF(AD91="",0,5))=0,"",(IF(T91="",0,T91*5)+IF(V91="",0,V91*5)+IF(X91="",0,X91*4)+IF(Z91="",0,Z91*4)+IF(AB91="",0,AB91*4)+IF(AD91="",0,AD91*5))/27)</f>
        <v/>
      </c>
      <c r="AG91" s="11">
        <f>IF(OR(City_Inputs!$Y91="",Norm_Stats!$F$13="",Norm_Stats!$G$13="",Norm_Stats!$G$13=Norm_Stats!$F$13),"",MAX(0,MIN(100,100*(MIN(MAX(City_Inputs!$Y91,Norm_Stats!$F$13),Norm_Stats!$G$13)-Norm_Stats!$F$13)/(Norm_Stats!$G$13-Norm_Stats!$F$13))))</f>
        <v/>
      </c>
      <c r="AH91" s="14">
        <f>IF(AG91="","",1)</f>
        <v/>
      </c>
      <c r="AI91" s="11">
        <f>IF(OR(City_Inputs!$Z91="",Norm_Stats!$F$14="",Norm_Stats!$G$14="",Norm_Stats!$G$14=Norm_Stats!$F$14),"",MAX(0,MIN(100,100*(MIN(MAX(City_Inputs!$Z91,Norm_Stats!$F$14),Norm_Stats!$G$14)-Norm_Stats!$F$14)/(Norm_Stats!$G$14-Norm_Stats!$F$14))))</f>
        <v/>
      </c>
      <c r="AJ91" s="14">
        <f>IF(AI91="","",1)</f>
        <v/>
      </c>
      <c r="AK91" s="11">
        <f>IF((IF((IF(OR(City_Inputs!$AA91="",Norm_Stats!$F$15="",Norm_Stats!$G$15="",Norm_Stats!$G$15=Norm_Stats!$F$15),"",MAX(0,MIN(100,100*(MIN(MAX(City_Inputs!$AA91,Norm_Stats!$F$15),Norm_Stats!$G$15)-Norm_Stats!$F$15)/(Norm_Stats!$G$15-Norm_Stats!$F$15)))))="",0,0.7)+IF((IF(OR(City_Inputs!$AL91="",Norm_Stats!$F$16="",Norm_Stats!$G$16="",Norm_Stats!$G$16=Norm_Stats!$F$16),"",MAX(0,MIN(100,100*(Norm_Stats!$G$16-MIN(MAX(City_Inputs!$AL91,Norm_Stats!$F$16),Norm_Stats!$G$16))/(Norm_Stats!$G$16-Norm_Stats!$F$16)))))="",0,0.3))=0,"",(IF((IF(OR(City_Inputs!$AA91="",Norm_Stats!$F$15="",Norm_Stats!$G$15="",Norm_Stats!$G$15=Norm_Stats!$F$15),"",MAX(0,MIN(100,100*(MIN(MAX(City_Inputs!$AA91,Norm_Stats!$F$15),Norm_Stats!$G$15)-Norm_Stats!$F$15)/(Norm_Stats!$G$15-Norm_Stats!$F$15)))))="",0,(IF(OR(City_Inputs!$AA91="",Norm_Stats!$F$15="",Norm_Stats!$G$15="",Norm_Stats!$G$15=Norm_Stats!$F$15),"",MAX(0,MIN(100,100*(MIN(MAX(City_Inputs!$AA91,Norm_Stats!$F$15),Norm_Stats!$G$15)-Norm_Stats!$F$15)/(Norm_Stats!$G$15-Norm_Stats!$F$15)))))*0.7)+IF((IF(OR(City_Inputs!$AL91="",Norm_Stats!$F$16="",Norm_Stats!$G$16="",Norm_Stats!$G$16=Norm_Stats!$F$16),"",MAX(0,MIN(100,100*(Norm_Stats!$G$16-MIN(MAX(City_Inputs!$AL91,Norm_Stats!$F$16),Norm_Stats!$G$16))/(Norm_Stats!$G$16-Norm_Stats!$F$16)))))="",0,(IF(OR(City_Inputs!$AL91="",Norm_Stats!$F$16="",Norm_Stats!$G$16="",Norm_Stats!$G$16=Norm_Stats!$F$16),"",MAX(0,MIN(100,100*(Norm_Stats!$G$16-MIN(MAX(City_Inputs!$AL91,Norm_Stats!$F$16),Norm_Stats!$G$16))/(Norm_Stats!$G$16-Norm_Stats!$F$16)))))*0.3))/(IF((IF(OR(City_Inputs!$AA91="",Norm_Stats!$F$15="",Norm_Stats!$G$15="",Norm_Stats!$G$15=Norm_Stats!$F$15),"",MAX(0,MIN(100,100*(MIN(MAX(City_Inputs!$AA91,Norm_Stats!$F$15),Norm_Stats!$G$15)-Norm_Stats!$F$15)/(Norm_Stats!$G$15-Norm_Stats!$F$15)))))="",0,0.7)+IF((IF(OR(City_Inputs!$AL91="",Norm_Stats!$F$16="",Norm_Stats!$G$16="",Norm_Stats!$G$16=Norm_Stats!$F$16),"",MAX(0,MIN(100,100*(Norm_Stats!$G$16-MIN(MAX(City_Inputs!$AL91,Norm_Stats!$F$16),Norm_Stats!$G$16))/(Norm_Stats!$G$16-Norm_Stats!$F$16)))))="",0,0.3)))</f>
        <v/>
      </c>
      <c r="AL91" s="14">
        <f>IF((IF((IF(OR(City_Inputs!$AA91="",Norm_Stats!$F$15="",Norm_Stats!$G$15="",Norm_Stats!$G$15=Norm_Stats!$F$15),"",MAX(0,MIN(100,100*(MIN(MAX(City_Inputs!$AA91,Norm_Stats!$F$15),Norm_Stats!$G$15)-Norm_Stats!$F$15)/(Norm_Stats!$G$15-Norm_Stats!$F$15)))))="",0,0.7)+IF((IF(OR(City_Inputs!$AL91="",Norm_Stats!$F$16="",Norm_Stats!$G$16="",Norm_Stats!$G$16=Norm_Stats!$F$16),"",MAX(0,MIN(100,100*(Norm_Stats!$G$16-MIN(MAX(City_Inputs!$AL91,Norm_Stats!$F$16),Norm_Stats!$G$16))/(Norm_Stats!$G$16-Norm_Stats!$F$16)))))="",0,0.3))=0,"",(IF((IF(OR(City_Inputs!$AA91="",Norm_Stats!$F$15="",Norm_Stats!$G$15="",Norm_Stats!$G$15=Norm_Stats!$F$15),"",MAX(0,MIN(100,100*(MIN(MAX(City_Inputs!$AA91,Norm_Stats!$F$15),Norm_Stats!$G$15)-Norm_Stats!$F$15)/(Norm_Stats!$G$15-Norm_Stats!$F$15)))))="",0,0.7)+IF((IF(OR(City_Inputs!$AL91="",Norm_Stats!$F$16="",Norm_Stats!$G$16="",Norm_Stats!$G$16=Norm_Stats!$F$16),"",MAX(0,MIN(100,100*(Norm_Stats!$G$16-MIN(MAX(City_Inputs!$AL91,Norm_Stats!$F$16),Norm_Stats!$G$16))/(Norm_Stats!$G$16-Norm_Stats!$F$16)))))="",0,0.3)))</f>
        <v/>
      </c>
      <c r="AM91" s="15">
        <f>IF((IF(AG91="",0,8)+IF(AI91="",0,6)+IF(AK91="",0,4))=0,"",(IF(AG91="",0,AG91*8)+IF(AI91="",0,AI91*6)+IF(AK91="",0,AK91*4))/(IF(AG91="",0,8)+IF(AI91="",0,6)+IF(AK91="",0,4)))</f>
        <v/>
      </c>
      <c r="AN91" s="14">
        <f>IF((IF(AH91="",0,8)+IF(AJ91="",0,6)+IF(AL91="",0,4))=0,"",(IF(AH91="",0,AH91*8)+IF(AJ91="",0,AJ91*6)+IF(AL91="",0,AL91*4))/18)</f>
        <v/>
      </c>
      <c r="AO91" s="11">
        <f>IF(OR(City_Inputs!$AB91="",Norm_Stats!$F$17="",Norm_Stats!$G$17="",Norm_Stats!$G$17=Norm_Stats!$F$17),"",MAX(0,MIN(100,100*(MIN(MAX(City_Inputs!$AB91,Norm_Stats!$F$17),Norm_Stats!$G$17)-Norm_Stats!$F$17)/(Norm_Stats!$G$17-Norm_Stats!$F$17))))</f>
        <v/>
      </c>
      <c r="AP91" s="14">
        <f>IF(AO91="","",1)</f>
        <v/>
      </c>
      <c r="AQ91" s="11">
        <f>IF(OR(City_Inputs!$AC91="",Norm_Stats!$F$18="",Norm_Stats!$G$18="",Norm_Stats!$G$18=Norm_Stats!$F$18),"",MAX(0,MIN(100,100*(MIN(MAX(City_Inputs!$AC91,Norm_Stats!$F$18),Norm_Stats!$G$18)-Norm_Stats!$F$18)/(Norm_Stats!$G$18-Norm_Stats!$F$18))))</f>
        <v/>
      </c>
      <c r="AR91" s="14">
        <f>IF(AQ91="","",1)</f>
        <v/>
      </c>
      <c r="AS91" s="11">
        <f>IF(OR(City_Inputs!$AD91="",Norm_Stats!$F$19="",Norm_Stats!$G$19="",Norm_Stats!$G$19=Norm_Stats!$F$19),"",MAX(0,MIN(100,100*(MIN(MAX(City_Inputs!$AD91,Norm_Stats!$F$19),Norm_Stats!$G$19)-Norm_Stats!$F$19)/(Norm_Stats!$G$19-Norm_Stats!$F$19))))</f>
        <v/>
      </c>
      <c r="AT91" s="14">
        <f>IF(AS91="","",1)</f>
        <v/>
      </c>
      <c r="AU91" s="11">
        <f>IF(OR(City_Inputs!$BJ91="",Norm_Stats!$F$26="",Norm_Stats!$G$26="",Norm_Stats!$G$26=Norm_Stats!$F$26),"",MAX(0,MIN(100,100*(MIN(MAX(City_Inputs!$BJ91,Norm_Stats!$F$26),Norm_Stats!$G$26)-Norm_Stats!$F$26)/(Norm_Stats!$G$26-Norm_Stats!$F$26))))</f>
        <v/>
      </c>
      <c r="AV91" s="11">
        <f>IF(AU91="","",1)</f>
        <v/>
      </c>
      <c r="AW91" s="15">
        <f>IF((IF(AO91="",0,5)+IF(AQ91="",0,5)+IF(AS91="",0,5)+IF(AU91="",0,4))=0,"",(IF(AO91="",0,AO91*5)+IF(AQ91="",0,AQ91*5)+IF(AS91="",0,AS91*5)+IF(AU91="",0,AU91*4))/(IF(AO91="",0,5)+IF(AQ91="",0,5)+IF(AS91="",0,5)+IF(AU91="",0,4)))</f>
        <v/>
      </c>
      <c r="AX91" s="14">
        <f>IF((IF(AP91="",0,5)+IF(AR91="",0,5)+IF(AT91="",0,5)+IF(AV91="",0,4))=0,"",(IF(AP91="",0,AP91*5)+IF(AR91="",0,AR91*5)+IF(AT91="",0,AT91*5)+IF(AV91="",0,AV91*4))/19)</f>
        <v/>
      </c>
      <c r="AY91" s="11">
        <f>IF(OR(City_Inputs!$AE91="",Norm_Stats!$F$20="",Norm_Stats!$G$20="",Norm_Stats!$G$20=Norm_Stats!$F$20),"",MAX(0,MIN(100,100*(MIN(MAX(City_Inputs!$AE91,Norm_Stats!$F$20),Norm_Stats!$G$20)-Norm_Stats!$F$20)/(Norm_Stats!$G$20-Norm_Stats!$F$20))))</f>
        <v/>
      </c>
      <c r="AZ91" s="14">
        <f>IF(AY91="","",1)</f>
        <v/>
      </c>
      <c r="BA91" s="11">
        <f>IF(OR(City_Inputs!$AF91="",Norm_Stats!$F$21="",Norm_Stats!$G$21="",Norm_Stats!$G$21=Norm_Stats!$F$21),"",MAX(0,MIN(100,100*(MIN(MAX(City_Inputs!$AF91,Norm_Stats!$F$21),Norm_Stats!$G$21)-Norm_Stats!$F$21)/(Norm_Stats!$G$21-Norm_Stats!$F$21))))</f>
        <v/>
      </c>
      <c r="BB91" s="14">
        <f>IF(BA91="","",1)</f>
        <v/>
      </c>
      <c r="BC91" s="11">
        <f>IF((IF((IF(OR(City_Inputs!$AG91="",Norm_Stats!$F$22="",Norm_Stats!$G$22="",Norm_Stats!$G$22=Norm_Stats!$F$22),"",MAX(0,MIN(100,100*(MIN(MAX(City_Inputs!$AG91,Norm_Stats!$F$22),Norm_Stats!$G$22)-Norm_Stats!$F$22)/(Norm_Stats!$G$22-Norm_Stats!$F$22)))))="",0,0.5)+IF((IF(OR(City_Inputs!$AJ91="",Norm_Stats!$F$23="",Norm_Stats!$G$23="",Norm_Stats!$G$23=Norm_Stats!$F$23),"",MAX(0,MIN(100,100*(MIN(MAX(City_Inputs!$AJ91,Norm_Stats!$F$23),Norm_Stats!$G$23)-Norm_Stats!$F$23)/(Norm_Stats!$G$23-Norm_Stats!$F$23)))))="",0,0.3)+IF((IF(OR(City_Inputs!$AK91="",Norm_Stats!$F$24="",Norm_Stats!$G$24="",Norm_Stats!$G$24=Norm_Stats!$F$24),"",MAX(0,MIN(100,100*(MIN(MAX(City_Inputs!$AK91,Norm_Stats!$F$24),Norm_Stats!$G$24)-Norm_Stats!$F$24)/(Norm_Stats!$G$24-Norm_Stats!$F$24)))))="",0,0.2))=0,"",(IF((IF(OR(City_Inputs!$AG91="",Norm_Stats!$F$22="",Norm_Stats!$G$22="",Norm_Stats!$G$22=Norm_Stats!$F$22),"",MAX(0,MIN(100,100*(MIN(MAX(City_Inputs!$AG91,Norm_Stats!$F$22),Norm_Stats!$G$22)-Norm_Stats!$F$22)/(Norm_Stats!$G$22-Norm_Stats!$F$22)))))="",0,(IF(OR(City_Inputs!$AG91="",Norm_Stats!$F$22="",Norm_Stats!$G$22="",Norm_Stats!$G$22=Norm_Stats!$F$22),"",MAX(0,MIN(100,100*(MIN(MAX(City_Inputs!$AG91,Norm_Stats!$F$22),Norm_Stats!$G$22)-Norm_Stats!$F$22)/(Norm_Stats!$G$22-Norm_Stats!$F$22)))))*0.5)+IF((IF(OR(City_Inputs!$AJ91="",Norm_Stats!$F$23="",Norm_Stats!$G$23="",Norm_Stats!$G$23=Norm_Stats!$F$23),"",MAX(0,MIN(100,100*(MIN(MAX(City_Inputs!$AJ91,Norm_Stats!$F$23),Norm_Stats!$G$23)-Norm_Stats!$F$23)/(Norm_Stats!$G$23-Norm_Stats!$F$23)))))="",0,(IF(OR(City_Inputs!$AJ91="",Norm_Stats!$F$23="",Norm_Stats!$G$23="",Norm_Stats!$G$23=Norm_Stats!$F$23),"",MAX(0,MIN(100,100*(MIN(MAX(City_Inputs!$AJ91,Norm_Stats!$F$23),Norm_Stats!$G$23)-Norm_Stats!$F$23)/(Norm_Stats!$G$23-Norm_Stats!$F$23)))))*0.3)+IF((IF(OR(City_Inputs!$AK91="",Norm_Stats!$F$24="",Norm_Stats!$G$24="",Norm_Stats!$G$24=Norm_Stats!$F$24),"",MAX(0,MIN(100,100*(MIN(MAX(City_Inputs!$AK91,Norm_Stats!$F$24),Norm_Stats!$G$24)-Norm_Stats!$F$24)/(Norm_Stats!$G$24-Norm_Stats!$F$24)))))="",0,(IF(OR(City_Inputs!$AK91="",Norm_Stats!$F$24="",Norm_Stats!$G$24="",Norm_Stats!$G$24=Norm_Stats!$F$24),"",MAX(0,MIN(100,100*(MIN(MAX(City_Inputs!$AK91,Norm_Stats!$F$24),Norm_Stats!$G$24)-Norm_Stats!$F$24)/(Norm_Stats!$G$24-Norm_Stats!$F$24)))))*0.2))/(IF((IF(OR(City_Inputs!$AG91="",Norm_Stats!$F$22="",Norm_Stats!$G$22="",Norm_Stats!$G$22=Norm_Stats!$F$22),"",MAX(0,MIN(100,100*(MIN(MAX(City_Inputs!$AG91,Norm_Stats!$F$22),Norm_Stats!$G$22)-Norm_Stats!$F$22)/(Norm_Stats!$G$22-Norm_Stats!$F$22)))))="",0,0.5)+IF((IF(OR(City_Inputs!$AJ91="",Norm_Stats!$F$23="",Norm_Stats!$G$23="",Norm_Stats!$G$23=Norm_Stats!$F$23),"",MAX(0,MIN(100,100*(MIN(MAX(City_Inputs!$AJ91,Norm_Stats!$F$23),Norm_Stats!$G$23)-Norm_Stats!$F$23)/(Norm_Stats!$G$23-Norm_Stats!$F$23)))))="",0,0.3)+IF((IF(OR(City_Inputs!$AK91="",Norm_Stats!$F$24="",Norm_Stats!$G$24="",Norm_Stats!$G$24=Norm_Stats!$F$24),"",MAX(0,MIN(100,100*(MIN(MAX(City_Inputs!$AK91,Norm_Stats!$F$24),Norm_Stats!$G$24)-Norm_Stats!$F$24)/(Norm_Stats!$G$24-Norm_Stats!$F$24)))))="",0,0.2)))</f>
        <v/>
      </c>
      <c r="BD91" s="14">
        <f>IF((IF((IF(OR(City_Inputs!$AG91="",Norm_Stats!$F$22="",Norm_Stats!$G$22="",Norm_Stats!$G$22=Norm_Stats!$F$22),"",MAX(0,MIN(100,100*(MIN(MAX(City_Inputs!$AG91,Norm_Stats!$F$22),Norm_Stats!$G$22)-Norm_Stats!$F$22)/(Norm_Stats!$G$22-Norm_Stats!$F$22)))))="",0,0.5)+IF((IF(OR(City_Inputs!$AJ91="",Norm_Stats!$F$23="",Norm_Stats!$G$23="",Norm_Stats!$G$23=Norm_Stats!$F$23),"",MAX(0,MIN(100,100*(MIN(MAX(City_Inputs!$AJ91,Norm_Stats!$F$23),Norm_Stats!$G$23)-Norm_Stats!$F$23)/(Norm_Stats!$G$23-Norm_Stats!$F$23)))))="",0,0.3)+IF((IF(OR(City_Inputs!$AK91="",Norm_Stats!$F$24="",Norm_Stats!$G$24="",Norm_Stats!$G$24=Norm_Stats!$F$24),"",MAX(0,MIN(100,100*(MIN(MAX(City_Inputs!$AK91,Norm_Stats!$F$24),Norm_Stats!$G$24)-Norm_Stats!$F$24)/(Norm_Stats!$G$24-Norm_Stats!$F$24)))))="",0,0.2))=0,"",(IF((IF(OR(City_Inputs!$AG91="",Norm_Stats!$F$22="",Norm_Stats!$G$22="",Norm_Stats!$G$22=Norm_Stats!$F$22),"",MAX(0,MIN(100,100*(MIN(MAX(City_Inputs!$AG91,Norm_Stats!$F$22),Norm_Stats!$G$22)-Norm_Stats!$F$22)/(Norm_Stats!$G$22-Norm_Stats!$F$22)))))="",0,0.5)+IF((IF(OR(City_Inputs!$AJ91="",Norm_Stats!$F$23="",Norm_Stats!$G$23="",Norm_Stats!$G$23=Norm_Stats!$F$23),"",MAX(0,MIN(100,100*(MIN(MAX(City_Inputs!$AJ91,Norm_Stats!$F$23),Norm_Stats!$G$23)-Norm_Stats!$F$23)/(Norm_Stats!$G$23-Norm_Stats!$F$23)))))="",0,0.3)+IF((IF(OR(City_Inputs!$AK91="",Norm_Stats!$F$24="",Norm_Stats!$G$24="",Norm_Stats!$G$24=Norm_Stats!$F$24),"",MAX(0,MIN(100,100*(MIN(MAX(City_Inputs!$AK91,Norm_Stats!$F$24),Norm_Stats!$G$24)-Norm_Stats!$F$24)/(Norm_Stats!$G$24-Norm_Stats!$F$24)))))="",0,0.2)))</f>
        <v/>
      </c>
      <c r="BE91" s="11">
        <f>IF(OR(City_Inputs!$AH91="",Norm_Stats!$F$25="",Norm_Stats!$G$25="",Norm_Stats!$G$25=Norm_Stats!$F$25),"",MAX(0,MIN(100,100*(Norm_Stats!$G$25-MIN(MAX(City_Inputs!$AH91,Norm_Stats!$F$25),Norm_Stats!$G$25))/(Norm_Stats!$G$25-Norm_Stats!$F$25))))</f>
        <v/>
      </c>
      <c r="BF91" s="14">
        <f>IF(BE91="","",1)</f>
        <v/>
      </c>
      <c r="BG91" s="15">
        <f>IF((IF(AY91="",0,6)+IF(BA91="",0,5)+IF(BC91="",0,5)+IF(BE91="",0,4))=0,"",(IF(AY91="",0,AY91*6)+IF(BA91="",0,BA91*5)+IF(BC91="",0,BC91*5)+IF(BE91="",0,BE91*4))/(IF(AY91="",0,6)+IF(BA91="",0,5)+IF(BC91="",0,5)+IF(BE91="",0,4)))</f>
        <v/>
      </c>
      <c r="BH91" s="14">
        <f>IF((IF(AZ91="",0,6)+IF(BB91="",0,5)+IF(BD91="",0,5)+IF(BF91="",0,4))=0,"",(IF(AZ91="",0,AZ91*6)+IF(BB91="",0,BB91*5)+IF(BD91="",0,BD91*5)+IF(BF91="",0,BF91*4))/20)</f>
        <v/>
      </c>
      <c r="BI91" s="14">
        <f>IF(AND(R91="",AF91="",AN91="",AX91="",BH91=""),"",((R91*25)+(AF91*22)+(AN91*18)+(AX91*15)+(BH91*20))/100)</f>
        <v/>
      </c>
      <c r="BJ91" s="11">
        <f>IF(BI91="","",IF(BI91&gt;=0.75,"A",IF(BI91&gt;=0.5,"B",IF(BI91&gt;=0.35,"C","Watchlist"))))</f>
        <v/>
      </c>
      <c r="BK91" s="11">
        <f>IF(OR(BI91="",BI91&lt;0.5,R91="",R91&lt;0.35,AF91="",AF91&lt;0.35,AN91="",AN91&lt;0.35,AX91="",AX91&lt;0.35,BH91="",BH91&lt;0.35),"Watchlist","Ranked")</f>
        <v/>
      </c>
      <c r="BL91" s="15">
        <f>IF(AND(Q91="",AE91="",AM91="",AW91="",BG91=""),"",(IF(Q91="",0,Q91*25)+IF(AE91="",0,AE91*22)+IF(AM91="",0,AM91*18)+IF(AW91="",0,AW91*15)+IF(BG91="",0,BG91*20))/(IF(Q91="",0,25)+IF(AE91="",0,22)+IF(AM91="",0,18)+IF(AW91="",0,15)+IF(BG91="",0,20)))</f>
        <v/>
      </c>
      <c r="BM91" s="11">
        <f>IF(BK91="Ranked",1+COUNTIFS($BK$2:$BK$158,"Ranked",$BL$2:$BL$158,"&gt;"&amp;BL91),"")</f>
        <v/>
      </c>
      <c r="BN91" s="11">
        <f>City_Inputs!$AI91</f>
        <v/>
      </c>
    </row>
    <row r="92">
      <c r="A92" t="inlineStr">
        <is>
          <t>za-johannesburg</t>
        </is>
      </c>
      <c r="B92" t="inlineStr">
        <is>
          <t>Johannesburg</t>
        </is>
      </c>
      <c r="C92" t="inlineStr">
        <is>
          <t>South Africa</t>
        </is>
      </c>
      <c r="D92" t="inlineStr">
        <is>
          <t>Africa</t>
        </is>
      </c>
      <c r="E92" t="inlineStr">
        <is>
          <t>provisional</t>
        </is>
      </c>
      <c r="F92" t="inlineStr">
        <is>
          <t>primary</t>
        </is>
      </c>
      <c r="G92" s="11">
        <f>IF(OR(City_Inputs!$M92="",Norm_Stats!$F$2="",Norm_Stats!$G$2="",Norm_Stats!$G$2=Norm_Stats!$F$2),"",MAX(0,MIN(100,100*(MIN(MAX(City_Inputs!$M92,Norm_Stats!$F$2),Norm_Stats!$G$2)-Norm_Stats!$F$2)/(Norm_Stats!$G$2-Norm_Stats!$F$2))))</f>
        <v/>
      </c>
      <c r="H92" s="14">
        <f>IF(G92="","",1)</f>
        <v/>
      </c>
      <c r="I92" s="11">
        <f>IF(OR(City_Inputs!$N92="",Norm_Stats!$F$3="",Norm_Stats!$G$3="",Norm_Stats!$G$3=Norm_Stats!$F$3),"",MAX(0,MIN(100,100*(Norm_Stats!$G$3-MIN(MAX(City_Inputs!$N92,Norm_Stats!$F$3),Norm_Stats!$G$3))/(Norm_Stats!$G$3-Norm_Stats!$F$3))))</f>
        <v/>
      </c>
      <c r="J92" s="14">
        <f>IF(I92="","",1)</f>
        <v/>
      </c>
      <c r="K92" s="11">
        <f>IF(OR(City_Inputs!$P92="",Norm_Stats!$F$4="",Norm_Stats!$G$4="",Norm_Stats!$G$4=Norm_Stats!$F$4),"",MAX(0,MIN(100,100*(Norm_Stats!$G$4-MIN(MAX(City_Inputs!$P92,Norm_Stats!$F$4),Norm_Stats!$G$4))/(Norm_Stats!$G$4-Norm_Stats!$F$4))))</f>
        <v/>
      </c>
      <c r="L92" s="14">
        <f>IF(K92="","",1)</f>
        <v/>
      </c>
      <c r="M92" s="11">
        <f>IF(OR(City_Inputs!$Q92="",Norm_Stats!$F$5="",Norm_Stats!$G$5="",Norm_Stats!$G$5=Norm_Stats!$F$5),"",MAX(0,MIN(100,100*(Norm_Stats!$G$5-MIN(MAX(City_Inputs!$Q92,Norm_Stats!$F$5),Norm_Stats!$G$5))/(Norm_Stats!$G$5-Norm_Stats!$F$5))))</f>
        <v/>
      </c>
      <c r="N92" s="14">
        <f>IF(M92="","",1)</f>
        <v/>
      </c>
      <c r="O92" s="11">
        <f>IF(OR(City_Inputs!$R92="",Norm_Stats!$F$6="",Norm_Stats!$G$6="",Norm_Stats!$G$6=Norm_Stats!$F$6),"",MAX(0,MIN(100,100*(Norm_Stats!$G$6-MIN(MAX(City_Inputs!$R92,Norm_Stats!$F$6),Norm_Stats!$G$6))/(Norm_Stats!$G$6-Norm_Stats!$F$6))))</f>
        <v/>
      </c>
      <c r="P92" s="14">
        <f>IF(O92="","",1)</f>
        <v/>
      </c>
      <c r="Q92" s="15">
        <f>IF((IF(G92="",0,9)+IF(I92="",0,5)+IF(K92="",0,4)+IF(M92="",0,4)+IF(O92="",0,5))=0,"",(IF(G92="",0,G92*9)+IF(I92="",0,I92*5)+IF(K92="",0,K92*4)+IF(M92="",0,M92*4)+IF(O92="",0,O92*5))/(IF(G92="",0,9)+IF(I92="",0,5)+IF(K92="",0,4)+IF(M92="",0,4)+IF(O92="",0,5)))</f>
        <v/>
      </c>
      <c r="R92" s="14">
        <f>IF((IF(H92="",0,9)+IF(J92="",0,5)+IF(L92="",0,4)+IF(N92="",0,4)+IF(P92="",0,5))=0,"",(IF(H92="",0,H92*9)+IF(J92="",0,J92*5)+IF(L92="",0,L92*4)+IF(N92="",0,N92*4)+IF(P92="",0,P92*5))/27)</f>
        <v/>
      </c>
      <c r="S92" s="11">
        <f>IF(OR(City_Inputs!$S92="",Norm_Stats!$F$7="",Norm_Stats!$G$7="",Norm_Stats!$G$7=Norm_Stats!$F$7),"",MAX(0,MIN(100,100*(Norm_Stats!$G$7-MIN(MAX(City_Inputs!$S92,Norm_Stats!$F$7),Norm_Stats!$G$7))/(Norm_Stats!$G$7-Norm_Stats!$F$7))))</f>
        <v/>
      </c>
      <c r="T92" s="14">
        <f>IF(S92="","",1)</f>
        <v/>
      </c>
      <c r="U92" s="11">
        <f>IF(OR(City_Inputs!$T92="",Norm_Stats!$F$8="",Norm_Stats!$G$8="",Norm_Stats!$G$8=Norm_Stats!$F$8),"",MAX(0,MIN(100,100*(MIN(MAX(City_Inputs!$T92,Norm_Stats!$F$8),Norm_Stats!$G$8)-Norm_Stats!$F$8)/(Norm_Stats!$G$8-Norm_Stats!$F$8))))</f>
        <v/>
      </c>
      <c r="V92" s="14">
        <f>IF(U92="","",1)</f>
        <v/>
      </c>
      <c r="W92" s="11">
        <f>IF(OR(City_Inputs!$U92="",Norm_Stats!$F$9="",Norm_Stats!$G$9="",Norm_Stats!$G$9=Norm_Stats!$F$9),"",MAX(0,MIN(100,100*(Norm_Stats!$G$9-MIN(MAX(City_Inputs!$U92,Norm_Stats!$F$9),Norm_Stats!$G$9))/(Norm_Stats!$G$9-Norm_Stats!$F$9))))</f>
        <v/>
      </c>
      <c r="X92" s="14">
        <f>IF(W92="","",1)</f>
        <v/>
      </c>
      <c r="Y92" s="11">
        <f>IF(OR(City_Inputs!$V92="",Norm_Stats!$F$10="",Norm_Stats!$G$10="",Norm_Stats!$G$10=Norm_Stats!$F$10),"",MAX(0,MIN(100,100*(MIN(MAX(City_Inputs!$V92,Norm_Stats!$F$10),Norm_Stats!$G$10)-Norm_Stats!$F$10)/(Norm_Stats!$G$10-Norm_Stats!$F$10))))</f>
        <v/>
      </c>
      <c r="Z92" s="14">
        <f>IF(Y92="","",1)</f>
        <v/>
      </c>
      <c r="AA92" s="11">
        <f>IF(OR(City_Inputs!$W92="",Norm_Stats!$F$11="",Norm_Stats!$G$11="",Norm_Stats!$G$11=Norm_Stats!$F$11),"",MAX(0,MIN(100,100*(MIN(MAX(City_Inputs!$W92,Norm_Stats!$F$11),Norm_Stats!$G$11)-Norm_Stats!$F$11)/(Norm_Stats!$G$11-Norm_Stats!$F$11))))</f>
        <v/>
      </c>
      <c r="AB92" s="14">
        <f>IF(AA92="","",1)</f>
        <v/>
      </c>
      <c r="AC92" s="11">
        <f>IF(OR(City_Inputs!$X92="",Norm_Stats!$F$12="",Norm_Stats!$G$12="",Norm_Stats!$G$12=Norm_Stats!$F$12),"",MAX(0,MIN(100,100*(MIN(MAX(City_Inputs!$X92,Norm_Stats!$F$12),Norm_Stats!$G$12)-Norm_Stats!$F$12)/(Norm_Stats!$G$12-Norm_Stats!$F$12))))</f>
        <v/>
      </c>
      <c r="AD92" s="11">
        <f>IF(AC92="","",1)</f>
        <v/>
      </c>
      <c r="AE92" s="15">
        <f>IF((IF(S92="",0,5)+IF(U92="",0,5)+IF(W92="",0,4)+IF(Y92="",0,4)+IF(AA92="",0,4)+IF(AC92="",0,5))=0,"",(IF(S92="",0,S92*5)+IF(U92="",0,U92*5)+IF(W92="",0,W92*4)+IF(Y92="",0,Y92*4)+IF(AA92="",0,AA92*4)+IF(AC92="",0,AC92*5))/(IF(S92="",0,5)+IF(U92="",0,5)+IF(W92="",0,4)+IF(Y92="",0,4)+IF(AA92="",0,4)+IF(AC92="",0,5)))</f>
        <v/>
      </c>
      <c r="AF92" s="14">
        <f>IF((IF(T92="",0,5)+IF(V92="",0,5)+IF(X92="",0,4)+IF(Z92="",0,4)+IF(AB92="",0,4)+IF(AD92="",0,5))=0,"",(IF(T92="",0,T92*5)+IF(V92="",0,V92*5)+IF(X92="",0,X92*4)+IF(Z92="",0,Z92*4)+IF(AB92="",0,AB92*4)+IF(AD92="",0,AD92*5))/27)</f>
        <v/>
      </c>
      <c r="AG92" s="11">
        <f>IF(OR(City_Inputs!$Y92="",Norm_Stats!$F$13="",Norm_Stats!$G$13="",Norm_Stats!$G$13=Norm_Stats!$F$13),"",MAX(0,MIN(100,100*(MIN(MAX(City_Inputs!$Y92,Norm_Stats!$F$13),Norm_Stats!$G$13)-Norm_Stats!$F$13)/(Norm_Stats!$G$13-Norm_Stats!$F$13))))</f>
        <v/>
      </c>
      <c r="AH92" s="14">
        <f>IF(AG92="","",1)</f>
        <v/>
      </c>
      <c r="AI92" s="11">
        <f>IF(OR(City_Inputs!$Z92="",Norm_Stats!$F$14="",Norm_Stats!$G$14="",Norm_Stats!$G$14=Norm_Stats!$F$14),"",MAX(0,MIN(100,100*(MIN(MAX(City_Inputs!$Z92,Norm_Stats!$F$14),Norm_Stats!$G$14)-Norm_Stats!$F$14)/(Norm_Stats!$G$14-Norm_Stats!$F$14))))</f>
        <v/>
      </c>
      <c r="AJ92" s="14">
        <f>IF(AI92="","",1)</f>
        <v/>
      </c>
      <c r="AK92" s="11">
        <f>IF((IF((IF(OR(City_Inputs!$AA92="",Norm_Stats!$F$15="",Norm_Stats!$G$15="",Norm_Stats!$G$15=Norm_Stats!$F$15),"",MAX(0,MIN(100,100*(MIN(MAX(City_Inputs!$AA92,Norm_Stats!$F$15),Norm_Stats!$G$15)-Norm_Stats!$F$15)/(Norm_Stats!$G$15-Norm_Stats!$F$15)))))="",0,0.7)+IF((IF(OR(City_Inputs!$AL92="",Norm_Stats!$F$16="",Norm_Stats!$G$16="",Norm_Stats!$G$16=Norm_Stats!$F$16),"",MAX(0,MIN(100,100*(Norm_Stats!$G$16-MIN(MAX(City_Inputs!$AL92,Norm_Stats!$F$16),Norm_Stats!$G$16))/(Norm_Stats!$G$16-Norm_Stats!$F$16)))))="",0,0.3))=0,"",(IF((IF(OR(City_Inputs!$AA92="",Norm_Stats!$F$15="",Norm_Stats!$G$15="",Norm_Stats!$G$15=Norm_Stats!$F$15),"",MAX(0,MIN(100,100*(MIN(MAX(City_Inputs!$AA92,Norm_Stats!$F$15),Norm_Stats!$G$15)-Norm_Stats!$F$15)/(Norm_Stats!$G$15-Norm_Stats!$F$15)))))="",0,(IF(OR(City_Inputs!$AA92="",Norm_Stats!$F$15="",Norm_Stats!$G$15="",Norm_Stats!$G$15=Norm_Stats!$F$15),"",MAX(0,MIN(100,100*(MIN(MAX(City_Inputs!$AA92,Norm_Stats!$F$15),Norm_Stats!$G$15)-Norm_Stats!$F$15)/(Norm_Stats!$G$15-Norm_Stats!$F$15)))))*0.7)+IF((IF(OR(City_Inputs!$AL92="",Norm_Stats!$F$16="",Norm_Stats!$G$16="",Norm_Stats!$G$16=Norm_Stats!$F$16),"",MAX(0,MIN(100,100*(Norm_Stats!$G$16-MIN(MAX(City_Inputs!$AL92,Norm_Stats!$F$16),Norm_Stats!$G$16))/(Norm_Stats!$G$16-Norm_Stats!$F$16)))))="",0,(IF(OR(City_Inputs!$AL92="",Norm_Stats!$F$16="",Norm_Stats!$G$16="",Norm_Stats!$G$16=Norm_Stats!$F$16),"",MAX(0,MIN(100,100*(Norm_Stats!$G$16-MIN(MAX(City_Inputs!$AL92,Norm_Stats!$F$16),Norm_Stats!$G$16))/(Norm_Stats!$G$16-Norm_Stats!$F$16)))))*0.3))/(IF((IF(OR(City_Inputs!$AA92="",Norm_Stats!$F$15="",Norm_Stats!$G$15="",Norm_Stats!$G$15=Norm_Stats!$F$15),"",MAX(0,MIN(100,100*(MIN(MAX(City_Inputs!$AA92,Norm_Stats!$F$15),Norm_Stats!$G$15)-Norm_Stats!$F$15)/(Norm_Stats!$G$15-Norm_Stats!$F$15)))))="",0,0.7)+IF((IF(OR(City_Inputs!$AL92="",Norm_Stats!$F$16="",Norm_Stats!$G$16="",Norm_Stats!$G$16=Norm_Stats!$F$16),"",MAX(0,MIN(100,100*(Norm_Stats!$G$16-MIN(MAX(City_Inputs!$AL92,Norm_Stats!$F$16),Norm_Stats!$G$16))/(Norm_Stats!$G$16-Norm_Stats!$F$16)))))="",0,0.3)))</f>
        <v/>
      </c>
      <c r="AL92" s="14">
        <f>IF((IF((IF(OR(City_Inputs!$AA92="",Norm_Stats!$F$15="",Norm_Stats!$G$15="",Norm_Stats!$G$15=Norm_Stats!$F$15),"",MAX(0,MIN(100,100*(MIN(MAX(City_Inputs!$AA92,Norm_Stats!$F$15),Norm_Stats!$G$15)-Norm_Stats!$F$15)/(Norm_Stats!$G$15-Norm_Stats!$F$15)))))="",0,0.7)+IF((IF(OR(City_Inputs!$AL92="",Norm_Stats!$F$16="",Norm_Stats!$G$16="",Norm_Stats!$G$16=Norm_Stats!$F$16),"",MAX(0,MIN(100,100*(Norm_Stats!$G$16-MIN(MAX(City_Inputs!$AL92,Norm_Stats!$F$16),Norm_Stats!$G$16))/(Norm_Stats!$G$16-Norm_Stats!$F$16)))))="",0,0.3))=0,"",(IF((IF(OR(City_Inputs!$AA92="",Norm_Stats!$F$15="",Norm_Stats!$G$15="",Norm_Stats!$G$15=Norm_Stats!$F$15),"",MAX(0,MIN(100,100*(MIN(MAX(City_Inputs!$AA92,Norm_Stats!$F$15),Norm_Stats!$G$15)-Norm_Stats!$F$15)/(Norm_Stats!$G$15-Norm_Stats!$F$15)))))="",0,0.7)+IF((IF(OR(City_Inputs!$AL92="",Norm_Stats!$F$16="",Norm_Stats!$G$16="",Norm_Stats!$G$16=Norm_Stats!$F$16),"",MAX(0,MIN(100,100*(Norm_Stats!$G$16-MIN(MAX(City_Inputs!$AL92,Norm_Stats!$F$16),Norm_Stats!$G$16))/(Norm_Stats!$G$16-Norm_Stats!$F$16)))))="",0,0.3)))</f>
        <v/>
      </c>
      <c r="AM92" s="15">
        <f>IF((IF(AG92="",0,8)+IF(AI92="",0,6)+IF(AK92="",0,4))=0,"",(IF(AG92="",0,AG92*8)+IF(AI92="",0,AI92*6)+IF(AK92="",0,AK92*4))/(IF(AG92="",0,8)+IF(AI92="",0,6)+IF(AK92="",0,4)))</f>
        <v/>
      </c>
      <c r="AN92" s="14">
        <f>IF((IF(AH92="",0,8)+IF(AJ92="",0,6)+IF(AL92="",0,4))=0,"",(IF(AH92="",0,AH92*8)+IF(AJ92="",0,AJ92*6)+IF(AL92="",0,AL92*4))/18)</f>
        <v/>
      </c>
      <c r="AO92" s="11">
        <f>IF(OR(City_Inputs!$AB92="",Norm_Stats!$F$17="",Norm_Stats!$G$17="",Norm_Stats!$G$17=Norm_Stats!$F$17),"",MAX(0,MIN(100,100*(MIN(MAX(City_Inputs!$AB92,Norm_Stats!$F$17),Norm_Stats!$G$17)-Norm_Stats!$F$17)/(Norm_Stats!$G$17-Norm_Stats!$F$17))))</f>
        <v/>
      </c>
      <c r="AP92" s="14">
        <f>IF(AO92="","",1)</f>
        <v/>
      </c>
      <c r="AQ92" s="11">
        <f>IF(OR(City_Inputs!$AC92="",Norm_Stats!$F$18="",Norm_Stats!$G$18="",Norm_Stats!$G$18=Norm_Stats!$F$18),"",MAX(0,MIN(100,100*(MIN(MAX(City_Inputs!$AC92,Norm_Stats!$F$18),Norm_Stats!$G$18)-Norm_Stats!$F$18)/(Norm_Stats!$G$18-Norm_Stats!$F$18))))</f>
        <v/>
      </c>
      <c r="AR92" s="14">
        <f>IF(AQ92="","",1)</f>
        <v/>
      </c>
      <c r="AS92" s="11">
        <f>IF(OR(City_Inputs!$AD92="",Norm_Stats!$F$19="",Norm_Stats!$G$19="",Norm_Stats!$G$19=Norm_Stats!$F$19),"",MAX(0,MIN(100,100*(MIN(MAX(City_Inputs!$AD92,Norm_Stats!$F$19),Norm_Stats!$G$19)-Norm_Stats!$F$19)/(Norm_Stats!$G$19-Norm_Stats!$F$19))))</f>
        <v/>
      </c>
      <c r="AT92" s="14">
        <f>IF(AS92="","",1)</f>
        <v/>
      </c>
      <c r="AU92" s="11">
        <f>IF(OR(City_Inputs!$BJ92="",Norm_Stats!$F$26="",Norm_Stats!$G$26="",Norm_Stats!$G$26=Norm_Stats!$F$26),"",MAX(0,MIN(100,100*(MIN(MAX(City_Inputs!$BJ92,Norm_Stats!$F$26),Norm_Stats!$G$26)-Norm_Stats!$F$26)/(Norm_Stats!$G$26-Norm_Stats!$F$26))))</f>
        <v/>
      </c>
      <c r="AV92" s="11">
        <f>IF(AU92="","",1)</f>
        <v/>
      </c>
      <c r="AW92" s="15">
        <f>IF((IF(AO92="",0,5)+IF(AQ92="",0,5)+IF(AS92="",0,5)+IF(AU92="",0,4))=0,"",(IF(AO92="",0,AO92*5)+IF(AQ92="",0,AQ92*5)+IF(AS92="",0,AS92*5)+IF(AU92="",0,AU92*4))/(IF(AO92="",0,5)+IF(AQ92="",0,5)+IF(AS92="",0,5)+IF(AU92="",0,4)))</f>
        <v/>
      </c>
      <c r="AX92" s="14">
        <f>IF((IF(AP92="",0,5)+IF(AR92="",0,5)+IF(AT92="",0,5)+IF(AV92="",0,4))=0,"",(IF(AP92="",0,AP92*5)+IF(AR92="",0,AR92*5)+IF(AT92="",0,AT92*5)+IF(AV92="",0,AV92*4))/19)</f>
        <v/>
      </c>
      <c r="AY92" s="11">
        <f>IF(OR(City_Inputs!$AE92="",Norm_Stats!$F$20="",Norm_Stats!$G$20="",Norm_Stats!$G$20=Norm_Stats!$F$20),"",MAX(0,MIN(100,100*(MIN(MAX(City_Inputs!$AE92,Norm_Stats!$F$20),Norm_Stats!$G$20)-Norm_Stats!$F$20)/(Norm_Stats!$G$20-Norm_Stats!$F$20))))</f>
        <v/>
      </c>
      <c r="AZ92" s="14">
        <f>IF(AY92="","",1)</f>
        <v/>
      </c>
      <c r="BA92" s="11">
        <f>IF(OR(City_Inputs!$AF92="",Norm_Stats!$F$21="",Norm_Stats!$G$21="",Norm_Stats!$G$21=Norm_Stats!$F$21),"",MAX(0,MIN(100,100*(MIN(MAX(City_Inputs!$AF92,Norm_Stats!$F$21),Norm_Stats!$G$21)-Norm_Stats!$F$21)/(Norm_Stats!$G$21-Norm_Stats!$F$21))))</f>
        <v/>
      </c>
      <c r="BB92" s="14">
        <f>IF(BA92="","",1)</f>
        <v/>
      </c>
      <c r="BC92" s="11">
        <f>IF((IF((IF(OR(City_Inputs!$AG92="",Norm_Stats!$F$22="",Norm_Stats!$G$22="",Norm_Stats!$G$22=Norm_Stats!$F$22),"",MAX(0,MIN(100,100*(MIN(MAX(City_Inputs!$AG92,Norm_Stats!$F$22),Norm_Stats!$G$22)-Norm_Stats!$F$22)/(Norm_Stats!$G$22-Norm_Stats!$F$22)))))="",0,0.5)+IF((IF(OR(City_Inputs!$AJ92="",Norm_Stats!$F$23="",Norm_Stats!$G$23="",Norm_Stats!$G$23=Norm_Stats!$F$23),"",MAX(0,MIN(100,100*(MIN(MAX(City_Inputs!$AJ92,Norm_Stats!$F$23),Norm_Stats!$G$23)-Norm_Stats!$F$23)/(Norm_Stats!$G$23-Norm_Stats!$F$23)))))="",0,0.3)+IF((IF(OR(City_Inputs!$AK92="",Norm_Stats!$F$24="",Norm_Stats!$G$24="",Norm_Stats!$G$24=Norm_Stats!$F$24),"",MAX(0,MIN(100,100*(MIN(MAX(City_Inputs!$AK92,Norm_Stats!$F$24),Norm_Stats!$G$24)-Norm_Stats!$F$24)/(Norm_Stats!$G$24-Norm_Stats!$F$24)))))="",0,0.2))=0,"",(IF((IF(OR(City_Inputs!$AG92="",Norm_Stats!$F$22="",Norm_Stats!$G$22="",Norm_Stats!$G$22=Norm_Stats!$F$22),"",MAX(0,MIN(100,100*(MIN(MAX(City_Inputs!$AG92,Norm_Stats!$F$22),Norm_Stats!$G$22)-Norm_Stats!$F$22)/(Norm_Stats!$G$22-Norm_Stats!$F$22)))))="",0,(IF(OR(City_Inputs!$AG92="",Norm_Stats!$F$22="",Norm_Stats!$G$22="",Norm_Stats!$G$22=Norm_Stats!$F$22),"",MAX(0,MIN(100,100*(MIN(MAX(City_Inputs!$AG92,Norm_Stats!$F$22),Norm_Stats!$G$22)-Norm_Stats!$F$22)/(Norm_Stats!$G$22-Norm_Stats!$F$22)))))*0.5)+IF((IF(OR(City_Inputs!$AJ92="",Norm_Stats!$F$23="",Norm_Stats!$G$23="",Norm_Stats!$G$23=Norm_Stats!$F$23),"",MAX(0,MIN(100,100*(MIN(MAX(City_Inputs!$AJ92,Norm_Stats!$F$23),Norm_Stats!$G$23)-Norm_Stats!$F$23)/(Norm_Stats!$G$23-Norm_Stats!$F$23)))))="",0,(IF(OR(City_Inputs!$AJ92="",Norm_Stats!$F$23="",Norm_Stats!$G$23="",Norm_Stats!$G$23=Norm_Stats!$F$23),"",MAX(0,MIN(100,100*(MIN(MAX(City_Inputs!$AJ92,Norm_Stats!$F$23),Norm_Stats!$G$23)-Norm_Stats!$F$23)/(Norm_Stats!$G$23-Norm_Stats!$F$23)))))*0.3)+IF((IF(OR(City_Inputs!$AK92="",Norm_Stats!$F$24="",Norm_Stats!$G$24="",Norm_Stats!$G$24=Norm_Stats!$F$24),"",MAX(0,MIN(100,100*(MIN(MAX(City_Inputs!$AK92,Norm_Stats!$F$24),Norm_Stats!$G$24)-Norm_Stats!$F$24)/(Norm_Stats!$G$24-Norm_Stats!$F$24)))))="",0,(IF(OR(City_Inputs!$AK92="",Norm_Stats!$F$24="",Norm_Stats!$G$24="",Norm_Stats!$G$24=Norm_Stats!$F$24),"",MAX(0,MIN(100,100*(MIN(MAX(City_Inputs!$AK92,Norm_Stats!$F$24),Norm_Stats!$G$24)-Norm_Stats!$F$24)/(Norm_Stats!$G$24-Norm_Stats!$F$24)))))*0.2))/(IF((IF(OR(City_Inputs!$AG92="",Norm_Stats!$F$22="",Norm_Stats!$G$22="",Norm_Stats!$G$22=Norm_Stats!$F$22),"",MAX(0,MIN(100,100*(MIN(MAX(City_Inputs!$AG92,Norm_Stats!$F$22),Norm_Stats!$G$22)-Norm_Stats!$F$22)/(Norm_Stats!$G$22-Norm_Stats!$F$22)))))="",0,0.5)+IF((IF(OR(City_Inputs!$AJ92="",Norm_Stats!$F$23="",Norm_Stats!$G$23="",Norm_Stats!$G$23=Norm_Stats!$F$23),"",MAX(0,MIN(100,100*(MIN(MAX(City_Inputs!$AJ92,Norm_Stats!$F$23),Norm_Stats!$G$23)-Norm_Stats!$F$23)/(Norm_Stats!$G$23-Norm_Stats!$F$23)))))="",0,0.3)+IF((IF(OR(City_Inputs!$AK92="",Norm_Stats!$F$24="",Norm_Stats!$G$24="",Norm_Stats!$G$24=Norm_Stats!$F$24),"",MAX(0,MIN(100,100*(MIN(MAX(City_Inputs!$AK92,Norm_Stats!$F$24),Norm_Stats!$G$24)-Norm_Stats!$F$24)/(Norm_Stats!$G$24-Norm_Stats!$F$24)))))="",0,0.2)))</f>
        <v/>
      </c>
      <c r="BD92" s="14">
        <f>IF((IF((IF(OR(City_Inputs!$AG92="",Norm_Stats!$F$22="",Norm_Stats!$G$22="",Norm_Stats!$G$22=Norm_Stats!$F$22),"",MAX(0,MIN(100,100*(MIN(MAX(City_Inputs!$AG92,Norm_Stats!$F$22),Norm_Stats!$G$22)-Norm_Stats!$F$22)/(Norm_Stats!$G$22-Norm_Stats!$F$22)))))="",0,0.5)+IF((IF(OR(City_Inputs!$AJ92="",Norm_Stats!$F$23="",Norm_Stats!$G$23="",Norm_Stats!$G$23=Norm_Stats!$F$23),"",MAX(0,MIN(100,100*(MIN(MAX(City_Inputs!$AJ92,Norm_Stats!$F$23),Norm_Stats!$G$23)-Norm_Stats!$F$23)/(Norm_Stats!$G$23-Norm_Stats!$F$23)))))="",0,0.3)+IF((IF(OR(City_Inputs!$AK92="",Norm_Stats!$F$24="",Norm_Stats!$G$24="",Norm_Stats!$G$24=Norm_Stats!$F$24),"",MAX(0,MIN(100,100*(MIN(MAX(City_Inputs!$AK92,Norm_Stats!$F$24),Norm_Stats!$G$24)-Norm_Stats!$F$24)/(Norm_Stats!$G$24-Norm_Stats!$F$24)))))="",0,0.2))=0,"",(IF((IF(OR(City_Inputs!$AG92="",Norm_Stats!$F$22="",Norm_Stats!$G$22="",Norm_Stats!$G$22=Norm_Stats!$F$22),"",MAX(0,MIN(100,100*(MIN(MAX(City_Inputs!$AG92,Norm_Stats!$F$22),Norm_Stats!$G$22)-Norm_Stats!$F$22)/(Norm_Stats!$G$22-Norm_Stats!$F$22)))))="",0,0.5)+IF((IF(OR(City_Inputs!$AJ92="",Norm_Stats!$F$23="",Norm_Stats!$G$23="",Norm_Stats!$G$23=Norm_Stats!$F$23),"",MAX(0,MIN(100,100*(MIN(MAX(City_Inputs!$AJ92,Norm_Stats!$F$23),Norm_Stats!$G$23)-Norm_Stats!$F$23)/(Norm_Stats!$G$23-Norm_Stats!$F$23)))))="",0,0.3)+IF((IF(OR(City_Inputs!$AK92="",Norm_Stats!$F$24="",Norm_Stats!$G$24="",Norm_Stats!$G$24=Norm_Stats!$F$24),"",MAX(0,MIN(100,100*(MIN(MAX(City_Inputs!$AK92,Norm_Stats!$F$24),Norm_Stats!$G$24)-Norm_Stats!$F$24)/(Norm_Stats!$G$24-Norm_Stats!$F$24)))))="",0,0.2)))</f>
        <v/>
      </c>
      <c r="BE92" s="11">
        <f>IF(OR(City_Inputs!$AH92="",Norm_Stats!$F$25="",Norm_Stats!$G$25="",Norm_Stats!$G$25=Norm_Stats!$F$25),"",MAX(0,MIN(100,100*(Norm_Stats!$G$25-MIN(MAX(City_Inputs!$AH92,Norm_Stats!$F$25),Norm_Stats!$G$25))/(Norm_Stats!$G$25-Norm_Stats!$F$25))))</f>
        <v/>
      </c>
      <c r="BF92" s="14">
        <f>IF(BE92="","",1)</f>
        <v/>
      </c>
      <c r="BG92" s="15">
        <f>IF((IF(AY92="",0,6)+IF(BA92="",0,5)+IF(BC92="",0,5)+IF(BE92="",0,4))=0,"",(IF(AY92="",0,AY92*6)+IF(BA92="",0,BA92*5)+IF(BC92="",0,BC92*5)+IF(BE92="",0,BE92*4))/(IF(AY92="",0,6)+IF(BA92="",0,5)+IF(BC92="",0,5)+IF(BE92="",0,4)))</f>
        <v/>
      </c>
      <c r="BH92" s="14">
        <f>IF((IF(AZ92="",0,6)+IF(BB92="",0,5)+IF(BD92="",0,5)+IF(BF92="",0,4))=0,"",(IF(AZ92="",0,AZ92*6)+IF(BB92="",0,BB92*5)+IF(BD92="",0,BD92*5)+IF(BF92="",0,BF92*4))/20)</f>
        <v/>
      </c>
      <c r="BI92" s="14">
        <f>IF(AND(R92="",AF92="",AN92="",AX92="",BH92=""),"",((R92*25)+(AF92*22)+(AN92*18)+(AX92*15)+(BH92*20))/100)</f>
        <v/>
      </c>
      <c r="BJ92" s="11">
        <f>IF(BI92="","",IF(BI92&gt;=0.75,"A",IF(BI92&gt;=0.5,"B",IF(BI92&gt;=0.35,"C","Watchlist"))))</f>
        <v/>
      </c>
      <c r="BK92" s="11">
        <f>IF(OR(BI92="",BI92&lt;0.5,R92="",R92&lt;0.35,AF92="",AF92&lt;0.35,AN92="",AN92&lt;0.35,AX92="",AX92&lt;0.35,BH92="",BH92&lt;0.35),"Watchlist","Ranked")</f>
        <v/>
      </c>
      <c r="BL92" s="15">
        <f>IF(AND(Q92="",AE92="",AM92="",AW92="",BG92=""),"",(IF(Q92="",0,Q92*25)+IF(AE92="",0,AE92*22)+IF(AM92="",0,AM92*18)+IF(AW92="",0,AW92*15)+IF(BG92="",0,BG92*20))/(IF(Q92="",0,25)+IF(AE92="",0,22)+IF(AM92="",0,18)+IF(AW92="",0,15)+IF(BG92="",0,20)))</f>
        <v/>
      </c>
      <c r="BM92" s="11">
        <f>IF(BK92="Ranked",1+COUNTIFS($BK$2:$BK$158,"Ranked",$BL$2:$BL$158,"&gt;"&amp;BL92),"")</f>
        <v/>
      </c>
      <c r="BN92" s="11">
        <f>City_Inputs!$AI92</f>
        <v/>
      </c>
    </row>
    <row r="93">
      <c r="A93" t="inlineStr">
        <is>
          <t>ke-nairobi</t>
        </is>
      </c>
      <c r="B93" t="inlineStr">
        <is>
          <t>Nairobi</t>
        </is>
      </c>
      <c r="C93" t="inlineStr">
        <is>
          <t>Kenya</t>
        </is>
      </c>
      <c r="D93" t="inlineStr">
        <is>
          <t>Africa</t>
        </is>
      </c>
      <c r="E93" t="inlineStr">
        <is>
          <t>locked</t>
        </is>
      </c>
      <c r="F93" t="inlineStr">
        <is>
          <t>primary</t>
        </is>
      </c>
      <c r="G93" s="11">
        <f>IF(OR(City_Inputs!$M93="",Norm_Stats!$F$2="",Norm_Stats!$G$2="",Norm_Stats!$G$2=Norm_Stats!$F$2),"",MAX(0,MIN(100,100*(MIN(MAX(City_Inputs!$M93,Norm_Stats!$F$2),Norm_Stats!$G$2)-Norm_Stats!$F$2)/(Norm_Stats!$G$2-Norm_Stats!$F$2))))</f>
        <v/>
      </c>
      <c r="H93" s="14">
        <f>IF(G93="","",1)</f>
        <v/>
      </c>
      <c r="I93" s="11">
        <f>IF(OR(City_Inputs!$N93="",Norm_Stats!$F$3="",Norm_Stats!$G$3="",Norm_Stats!$G$3=Norm_Stats!$F$3),"",MAX(0,MIN(100,100*(Norm_Stats!$G$3-MIN(MAX(City_Inputs!$N93,Norm_Stats!$F$3),Norm_Stats!$G$3))/(Norm_Stats!$G$3-Norm_Stats!$F$3))))</f>
        <v/>
      </c>
      <c r="J93" s="14">
        <f>IF(I93="","",1)</f>
        <v/>
      </c>
      <c r="K93" s="11">
        <f>IF(OR(City_Inputs!$P93="",Norm_Stats!$F$4="",Norm_Stats!$G$4="",Norm_Stats!$G$4=Norm_Stats!$F$4),"",MAX(0,MIN(100,100*(Norm_Stats!$G$4-MIN(MAX(City_Inputs!$P93,Norm_Stats!$F$4),Norm_Stats!$G$4))/(Norm_Stats!$G$4-Norm_Stats!$F$4))))</f>
        <v/>
      </c>
      <c r="L93" s="14">
        <f>IF(K93="","",1)</f>
        <v/>
      </c>
      <c r="M93" s="11">
        <f>IF(OR(City_Inputs!$Q93="",Norm_Stats!$F$5="",Norm_Stats!$G$5="",Norm_Stats!$G$5=Norm_Stats!$F$5),"",MAX(0,MIN(100,100*(Norm_Stats!$G$5-MIN(MAX(City_Inputs!$Q93,Norm_Stats!$F$5),Norm_Stats!$G$5))/(Norm_Stats!$G$5-Norm_Stats!$F$5))))</f>
        <v/>
      </c>
      <c r="N93" s="14">
        <f>IF(M93="","",1)</f>
        <v/>
      </c>
      <c r="O93" s="11">
        <f>IF(OR(City_Inputs!$R93="",Norm_Stats!$F$6="",Norm_Stats!$G$6="",Norm_Stats!$G$6=Norm_Stats!$F$6),"",MAX(0,MIN(100,100*(Norm_Stats!$G$6-MIN(MAX(City_Inputs!$R93,Norm_Stats!$F$6),Norm_Stats!$G$6))/(Norm_Stats!$G$6-Norm_Stats!$F$6))))</f>
        <v/>
      </c>
      <c r="P93" s="14">
        <f>IF(O93="","",1)</f>
        <v/>
      </c>
      <c r="Q93" s="15">
        <f>IF((IF(G93="",0,9)+IF(I93="",0,5)+IF(K93="",0,4)+IF(M93="",0,4)+IF(O93="",0,5))=0,"",(IF(G93="",0,G93*9)+IF(I93="",0,I93*5)+IF(K93="",0,K93*4)+IF(M93="",0,M93*4)+IF(O93="",0,O93*5))/(IF(G93="",0,9)+IF(I93="",0,5)+IF(K93="",0,4)+IF(M93="",0,4)+IF(O93="",0,5)))</f>
        <v/>
      </c>
      <c r="R93" s="14">
        <f>IF((IF(H93="",0,9)+IF(J93="",0,5)+IF(L93="",0,4)+IF(N93="",0,4)+IF(P93="",0,5))=0,"",(IF(H93="",0,H93*9)+IF(J93="",0,J93*5)+IF(L93="",0,L93*4)+IF(N93="",0,N93*4)+IF(P93="",0,P93*5))/27)</f>
        <v/>
      </c>
      <c r="S93" s="11">
        <f>IF(OR(City_Inputs!$S93="",Norm_Stats!$F$7="",Norm_Stats!$G$7="",Norm_Stats!$G$7=Norm_Stats!$F$7),"",MAX(0,MIN(100,100*(Norm_Stats!$G$7-MIN(MAX(City_Inputs!$S93,Norm_Stats!$F$7),Norm_Stats!$G$7))/(Norm_Stats!$G$7-Norm_Stats!$F$7))))</f>
        <v/>
      </c>
      <c r="T93" s="14">
        <f>IF(S93="","",1)</f>
        <v/>
      </c>
      <c r="U93" s="11">
        <f>IF(OR(City_Inputs!$T93="",Norm_Stats!$F$8="",Norm_Stats!$G$8="",Norm_Stats!$G$8=Norm_Stats!$F$8),"",MAX(0,MIN(100,100*(MIN(MAX(City_Inputs!$T93,Norm_Stats!$F$8),Norm_Stats!$G$8)-Norm_Stats!$F$8)/(Norm_Stats!$G$8-Norm_Stats!$F$8))))</f>
        <v/>
      </c>
      <c r="V93" s="14">
        <f>IF(U93="","",1)</f>
        <v/>
      </c>
      <c r="W93" s="11">
        <f>IF(OR(City_Inputs!$U93="",Norm_Stats!$F$9="",Norm_Stats!$G$9="",Norm_Stats!$G$9=Norm_Stats!$F$9),"",MAX(0,MIN(100,100*(Norm_Stats!$G$9-MIN(MAX(City_Inputs!$U93,Norm_Stats!$F$9),Norm_Stats!$G$9))/(Norm_Stats!$G$9-Norm_Stats!$F$9))))</f>
        <v/>
      </c>
      <c r="X93" s="14">
        <f>IF(W93="","",1)</f>
        <v/>
      </c>
      <c r="Y93" s="11">
        <f>IF(OR(City_Inputs!$V93="",Norm_Stats!$F$10="",Norm_Stats!$G$10="",Norm_Stats!$G$10=Norm_Stats!$F$10),"",MAX(0,MIN(100,100*(MIN(MAX(City_Inputs!$V93,Norm_Stats!$F$10),Norm_Stats!$G$10)-Norm_Stats!$F$10)/(Norm_Stats!$G$10-Norm_Stats!$F$10))))</f>
        <v/>
      </c>
      <c r="Z93" s="14">
        <f>IF(Y93="","",1)</f>
        <v/>
      </c>
      <c r="AA93" s="11">
        <f>IF(OR(City_Inputs!$W93="",Norm_Stats!$F$11="",Norm_Stats!$G$11="",Norm_Stats!$G$11=Norm_Stats!$F$11),"",MAX(0,MIN(100,100*(MIN(MAX(City_Inputs!$W93,Norm_Stats!$F$11),Norm_Stats!$G$11)-Norm_Stats!$F$11)/(Norm_Stats!$G$11-Norm_Stats!$F$11))))</f>
        <v/>
      </c>
      <c r="AB93" s="14">
        <f>IF(AA93="","",1)</f>
        <v/>
      </c>
      <c r="AC93" s="11">
        <f>IF(OR(City_Inputs!$X93="",Norm_Stats!$F$12="",Norm_Stats!$G$12="",Norm_Stats!$G$12=Norm_Stats!$F$12),"",MAX(0,MIN(100,100*(MIN(MAX(City_Inputs!$X93,Norm_Stats!$F$12),Norm_Stats!$G$12)-Norm_Stats!$F$12)/(Norm_Stats!$G$12-Norm_Stats!$F$12))))</f>
        <v/>
      </c>
      <c r="AD93" s="11">
        <f>IF(AC93="","",1)</f>
        <v/>
      </c>
      <c r="AE93" s="15">
        <f>IF((IF(S93="",0,5)+IF(U93="",0,5)+IF(W93="",0,4)+IF(Y93="",0,4)+IF(AA93="",0,4)+IF(AC93="",0,5))=0,"",(IF(S93="",0,S93*5)+IF(U93="",0,U93*5)+IF(W93="",0,W93*4)+IF(Y93="",0,Y93*4)+IF(AA93="",0,AA93*4)+IF(AC93="",0,AC93*5))/(IF(S93="",0,5)+IF(U93="",0,5)+IF(W93="",0,4)+IF(Y93="",0,4)+IF(AA93="",0,4)+IF(AC93="",0,5)))</f>
        <v/>
      </c>
      <c r="AF93" s="14">
        <f>IF((IF(T93="",0,5)+IF(V93="",0,5)+IF(X93="",0,4)+IF(Z93="",0,4)+IF(AB93="",0,4)+IF(AD93="",0,5))=0,"",(IF(T93="",0,T93*5)+IF(V93="",0,V93*5)+IF(X93="",0,X93*4)+IF(Z93="",0,Z93*4)+IF(AB93="",0,AB93*4)+IF(AD93="",0,AD93*5))/27)</f>
        <v/>
      </c>
      <c r="AG93" s="11">
        <f>IF(OR(City_Inputs!$Y93="",Norm_Stats!$F$13="",Norm_Stats!$G$13="",Norm_Stats!$G$13=Norm_Stats!$F$13),"",MAX(0,MIN(100,100*(MIN(MAX(City_Inputs!$Y93,Norm_Stats!$F$13),Norm_Stats!$G$13)-Norm_Stats!$F$13)/(Norm_Stats!$G$13-Norm_Stats!$F$13))))</f>
        <v/>
      </c>
      <c r="AH93" s="14">
        <f>IF(AG93="","",1)</f>
        <v/>
      </c>
      <c r="AI93" s="11">
        <f>IF(OR(City_Inputs!$Z93="",Norm_Stats!$F$14="",Norm_Stats!$G$14="",Norm_Stats!$G$14=Norm_Stats!$F$14),"",MAX(0,MIN(100,100*(MIN(MAX(City_Inputs!$Z93,Norm_Stats!$F$14),Norm_Stats!$G$14)-Norm_Stats!$F$14)/(Norm_Stats!$G$14-Norm_Stats!$F$14))))</f>
        <v/>
      </c>
      <c r="AJ93" s="14">
        <f>IF(AI93="","",1)</f>
        <v/>
      </c>
      <c r="AK93" s="11">
        <f>IF((IF((IF(OR(City_Inputs!$AA93="",Norm_Stats!$F$15="",Norm_Stats!$G$15="",Norm_Stats!$G$15=Norm_Stats!$F$15),"",MAX(0,MIN(100,100*(MIN(MAX(City_Inputs!$AA93,Norm_Stats!$F$15),Norm_Stats!$G$15)-Norm_Stats!$F$15)/(Norm_Stats!$G$15-Norm_Stats!$F$15)))))="",0,0.7)+IF((IF(OR(City_Inputs!$AL93="",Norm_Stats!$F$16="",Norm_Stats!$G$16="",Norm_Stats!$G$16=Norm_Stats!$F$16),"",MAX(0,MIN(100,100*(Norm_Stats!$G$16-MIN(MAX(City_Inputs!$AL93,Norm_Stats!$F$16),Norm_Stats!$G$16))/(Norm_Stats!$G$16-Norm_Stats!$F$16)))))="",0,0.3))=0,"",(IF((IF(OR(City_Inputs!$AA93="",Norm_Stats!$F$15="",Norm_Stats!$G$15="",Norm_Stats!$G$15=Norm_Stats!$F$15),"",MAX(0,MIN(100,100*(MIN(MAX(City_Inputs!$AA93,Norm_Stats!$F$15),Norm_Stats!$G$15)-Norm_Stats!$F$15)/(Norm_Stats!$G$15-Norm_Stats!$F$15)))))="",0,(IF(OR(City_Inputs!$AA93="",Norm_Stats!$F$15="",Norm_Stats!$G$15="",Norm_Stats!$G$15=Norm_Stats!$F$15),"",MAX(0,MIN(100,100*(MIN(MAX(City_Inputs!$AA93,Norm_Stats!$F$15),Norm_Stats!$G$15)-Norm_Stats!$F$15)/(Norm_Stats!$G$15-Norm_Stats!$F$15)))))*0.7)+IF((IF(OR(City_Inputs!$AL93="",Norm_Stats!$F$16="",Norm_Stats!$G$16="",Norm_Stats!$G$16=Norm_Stats!$F$16),"",MAX(0,MIN(100,100*(Norm_Stats!$G$16-MIN(MAX(City_Inputs!$AL93,Norm_Stats!$F$16),Norm_Stats!$G$16))/(Norm_Stats!$G$16-Norm_Stats!$F$16)))))="",0,(IF(OR(City_Inputs!$AL93="",Norm_Stats!$F$16="",Norm_Stats!$G$16="",Norm_Stats!$G$16=Norm_Stats!$F$16),"",MAX(0,MIN(100,100*(Norm_Stats!$G$16-MIN(MAX(City_Inputs!$AL93,Norm_Stats!$F$16),Norm_Stats!$G$16))/(Norm_Stats!$G$16-Norm_Stats!$F$16)))))*0.3))/(IF((IF(OR(City_Inputs!$AA93="",Norm_Stats!$F$15="",Norm_Stats!$G$15="",Norm_Stats!$G$15=Norm_Stats!$F$15),"",MAX(0,MIN(100,100*(MIN(MAX(City_Inputs!$AA93,Norm_Stats!$F$15),Norm_Stats!$G$15)-Norm_Stats!$F$15)/(Norm_Stats!$G$15-Norm_Stats!$F$15)))))="",0,0.7)+IF((IF(OR(City_Inputs!$AL93="",Norm_Stats!$F$16="",Norm_Stats!$G$16="",Norm_Stats!$G$16=Norm_Stats!$F$16),"",MAX(0,MIN(100,100*(Norm_Stats!$G$16-MIN(MAX(City_Inputs!$AL93,Norm_Stats!$F$16),Norm_Stats!$G$16))/(Norm_Stats!$G$16-Norm_Stats!$F$16)))))="",0,0.3)))</f>
        <v/>
      </c>
      <c r="AL93" s="14">
        <f>IF((IF((IF(OR(City_Inputs!$AA93="",Norm_Stats!$F$15="",Norm_Stats!$G$15="",Norm_Stats!$G$15=Norm_Stats!$F$15),"",MAX(0,MIN(100,100*(MIN(MAX(City_Inputs!$AA93,Norm_Stats!$F$15),Norm_Stats!$G$15)-Norm_Stats!$F$15)/(Norm_Stats!$G$15-Norm_Stats!$F$15)))))="",0,0.7)+IF((IF(OR(City_Inputs!$AL93="",Norm_Stats!$F$16="",Norm_Stats!$G$16="",Norm_Stats!$G$16=Norm_Stats!$F$16),"",MAX(0,MIN(100,100*(Norm_Stats!$G$16-MIN(MAX(City_Inputs!$AL93,Norm_Stats!$F$16),Norm_Stats!$G$16))/(Norm_Stats!$G$16-Norm_Stats!$F$16)))))="",0,0.3))=0,"",(IF((IF(OR(City_Inputs!$AA93="",Norm_Stats!$F$15="",Norm_Stats!$G$15="",Norm_Stats!$G$15=Norm_Stats!$F$15),"",MAX(0,MIN(100,100*(MIN(MAX(City_Inputs!$AA93,Norm_Stats!$F$15),Norm_Stats!$G$15)-Norm_Stats!$F$15)/(Norm_Stats!$G$15-Norm_Stats!$F$15)))))="",0,0.7)+IF((IF(OR(City_Inputs!$AL93="",Norm_Stats!$F$16="",Norm_Stats!$G$16="",Norm_Stats!$G$16=Norm_Stats!$F$16),"",MAX(0,MIN(100,100*(Norm_Stats!$G$16-MIN(MAX(City_Inputs!$AL93,Norm_Stats!$F$16),Norm_Stats!$G$16))/(Norm_Stats!$G$16-Norm_Stats!$F$16)))))="",0,0.3)))</f>
        <v/>
      </c>
      <c r="AM93" s="15">
        <f>IF((IF(AG93="",0,8)+IF(AI93="",0,6)+IF(AK93="",0,4))=0,"",(IF(AG93="",0,AG93*8)+IF(AI93="",0,AI93*6)+IF(AK93="",0,AK93*4))/(IF(AG93="",0,8)+IF(AI93="",0,6)+IF(AK93="",0,4)))</f>
        <v/>
      </c>
      <c r="AN93" s="14">
        <f>IF((IF(AH93="",0,8)+IF(AJ93="",0,6)+IF(AL93="",0,4))=0,"",(IF(AH93="",0,AH93*8)+IF(AJ93="",0,AJ93*6)+IF(AL93="",0,AL93*4))/18)</f>
        <v/>
      </c>
      <c r="AO93" s="11">
        <f>IF(OR(City_Inputs!$AB93="",Norm_Stats!$F$17="",Norm_Stats!$G$17="",Norm_Stats!$G$17=Norm_Stats!$F$17),"",MAX(0,MIN(100,100*(MIN(MAX(City_Inputs!$AB93,Norm_Stats!$F$17),Norm_Stats!$G$17)-Norm_Stats!$F$17)/(Norm_Stats!$G$17-Norm_Stats!$F$17))))</f>
        <v/>
      </c>
      <c r="AP93" s="14">
        <f>IF(AO93="","",1)</f>
        <v/>
      </c>
      <c r="AQ93" s="11">
        <f>IF(OR(City_Inputs!$AC93="",Norm_Stats!$F$18="",Norm_Stats!$G$18="",Norm_Stats!$G$18=Norm_Stats!$F$18),"",MAX(0,MIN(100,100*(MIN(MAX(City_Inputs!$AC93,Norm_Stats!$F$18),Norm_Stats!$G$18)-Norm_Stats!$F$18)/(Norm_Stats!$G$18-Norm_Stats!$F$18))))</f>
        <v/>
      </c>
      <c r="AR93" s="14">
        <f>IF(AQ93="","",1)</f>
        <v/>
      </c>
      <c r="AS93" s="11">
        <f>IF(OR(City_Inputs!$AD93="",Norm_Stats!$F$19="",Norm_Stats!$G$19="",Norm_Stats!$G$19=Norm_Stats!$F$19),"",MAX(0,MIN(100,100*(MIN(MAX(City_Inputs!$AD93,Norm_Stats!$F$19),Norm_Stats!$G$19)-Norm_Stats!$F$19)/(Norm_Stats!$G$19-Norm_Stats!$F$19))))</f>
        <v/>
      </c>
      <c r="AT93" s="14">
        <f>IF(AS93="","",1)</f>
        <v/>
      </c>
      <c r="AU93" s="11">
        <f>IF(OR(City_Inputs!$BJ93="",Norm_Stats!$F$26="",Norm_Stats!$G$26="",Norm_Stats!$G$26=Norm_Stats!$F$26),"",MAX(0,MIN(100,100*(MIN(MAX(City_Inputs!$BJ93,Norm_Stats!$F$26),Norm_Stats!$G$26)-Norm_Stats!$F$26)/(Norm_Stats!$G$26-Norm_Stats!$F$26))))</f>
        <v/>
      </c>
      <c r="AV93" s="11">
        <f>IF(AU93="","",1)</f>
        <v/>
      </c>
      <c r="AW93" s="15">
        <f>IF((IF(AO93="",0,5)+IF(AQ93="",0,5)+IF(AS93="",0,5)+IF(AU93="",0,4))=0,"",(IF(AO93="",0,AO93*5)+IF(AQ93="",0,AQ93*5)+IF(AS93="",0,AS93*5)+IF(AU93="",0,AU93*4))/(IF(AO93="",0,5)+IF(AQ93="",0,5)+IF(AS93="",0,5)+IF(AU93="",0,4)))</f>
        <v/>
      </c>
      <c r="AX93" s="14">
        <f>IF((IF(AP93="",0,5)+IF(AR93="",0,5)+IF(AT93="",0,5)+IF(AV93="",0,4))=0,"",(IF(AP93="",0,AP93*5)+IF(AR93="",0,AR93*5)+IF(AT93="",0,AT93*5)+IF(AV93="",0,AV93*4))/19)</f>
        <v/>
      </c>
      <c r="AY93" s="11">
        <f>IF(OR(City_Inputs!$AE93="",Norm_Stats!$F$20="",Norm_Stats!$G$20="",Norm_Stats!$G$20=Norm_Stats!$F$20),"",MAX(0,MIN(100,100*(MIN(MAX(City_Inputs!$AE93,Norm_Stats!$F$20),Norm_Stats!$G$20)-Norm_Stats!$F$20)/(Norm_Stats!$G$20-Norm_Stats!$F$20))))</f>
        <v/>
      </c>
      <c r="AZ93" s="14">
        <f>IF(AY93="","",1)</f>
        <v/>
      </c>
      <c r="BA93" s="11">
        <f>IF(OR(City_Inputs!$AF93="",Norm_Stats!$F$21="",Norm_Stats!$G$21="",Norm_Stats!$G$21=Norm_Stats!$F$21),"",MAX(0,MIN(100,100*(MIN(MAX(City_Inputs!$AF93,Norm_Stats!$F$21),Norm_Stats!$G$21)-Norm_Stats!$F$21)/(Norm_Stats!$G$21-Norm_Stats!$F$21))))</f>
        <v/>
      </c>
      <c r="BB93" s="14">
        <f>IF(BA93="","",1)</f>
        <v/>
      </c>
      <c r="BC93" s="11">
        <f>IF((IF((IF(OR(City_Inputs!$AG93="",Norm_Stats!$F$22="",Norm_Stats!$G$22="",Norm_Stats!$G$22=Norm_Stats!$F$22),"",MAX(0,MIN(100,100*(MIN(MAX(City_Inputs!$AG93,Norm_Stats!$F$22),Norm_Stats!$G$22)-Norm_Stats!$F$22)/(Norm_Stats!$G$22-Norm_Stats!$F$22)))))="",0,0.5)+IF((IF(OR(City_Inputs!$AJ93="",Norm_Stats!$F$23="",Norm_Stats!$G$23="",Norm_Stats!$G$23=Norm_Stats!$F$23),"",MAX(0,MIN(100,100*(MIN(MAX(City_Inputs!$AJ93,Norm_Stats!$F$23),Norm_Stats!$G$23)-Norm_Stats!$F$23)/(Norm_Stats!$G$23-Norm_Stats!$F$23)))))="",0,0.3)+IF((IF(OR(City_Inputs!$AK93="",Norm_Stats!$F$24="",Norm_Stats!$G$24="",Norm_Stats!$G$24=Norm_Stats!$F$24),"",MAX(0,MIN(100,100*(MIN(MAX(City_Inputs!$AK93,Norm_Stats!$F$24),Norm_Stats!$G$24)-Norm_Stats!$F$24)/(Norm_Stats!$G$24-Norm_Stats!$F$24)))))="",0,0.2))=0,"",(IF((IF(OR(City_Inputs!$AG93="",Norm_Stats!$F$22="",Norm_Stats!$G$22="",Norm_Stats!$G$22=Norm_Stats!$F$22),"",MAX(0,MIN(100,100*(MIN(MAX(City_Inputs!$AG93,Norm_Stats!$F$22),Norm_Stats!$G$22)-Norm_Stats!$F$22)/(Norm_Stats!$G$22-Norm_Stats!$F$22)))))="",0,(IF(OR(City_Inputs!$AG93="",Norm_Stats!$F$22="",Norm_Stats!$G$22="",Norm_Stats!$G$22=Norm_Stats!$F$22),"",MAX(0,MIN(100,100*(MIN(MAX(City_Inputs!$AG93,Norm_Stats!$F$22),Norm_Stats!$G$22)-Norm_Stats!$F$22)/(Norm_Stats!$G$22-Norm_Stats!$F$22)))))*0.5)+IF((IF(OR(City_Inputs!$AJ93="",Norm_Stats!$F$23="",Norm_Stats!$G$23="",Norm_Stats!$G$23=Norm_Stats!$F$23),"",MAX(0,MIN(100,100*(MIN(MAX(City_Inputs!$AJ93,Norm_Stats!$F$23),Norm_Stats!$G$23)-Norm_Stats!$F$23)/(Norm_Stats!$G$23-Norm_Stats!$F$23)))))="",0,(IF(OR(City_Inputs!$AJ93="",Norm_Stats!$F$23="",Norm_Stats!$G$23="",Norm_Stats!$G$23=Norm_Stats!$F$23),"",MAX(0,MIN(100,100*(MIN(MAX(City_Inputs!$AJ93,Norm_Stats!$F$23),Norm_Stats!$G$23)-Norm_Stats!$F$23)/(Norm_Stats!$G$23-Norm_Stats!$F$23)))))*0.3)+IF((IF(OR(City_Inputs!$AK93="",Norm_Stats!$F$24="",Norm_Stats!$G$24="",Norm_Stats!$G$24=Norm_Stats!$F$24),"",MAX(0,MIN(100,100*(MIN(MAX(City_Inputs!$AK93,Norm_Stats!$F$24),Norm_Stats!$G$24)-Norm_Stats!$F$24)/(Norm_Stats!$G$24-Norm_Stats!$F$24)))))="",0,(IF(OR(City_Inputs!$AK93="",Norm_Stats!$F$24="",Norm_Stats!$G$24="",Norm_Stats!$G$24=Norm_Stats!$F$24),"",MAX(0,MIN(100,100*(MIN(MAX(City_Inputs!$AK93,Norm_Stats!$F$24),Norm_Stats!$G$24)-Norm_Stats!$F$24)/(Norm_Stats!$G$24-Norm_Stats!$F$24)))))*0.2))/(IF((IF(OR(City_Inputs!$AG93="",Norm_Stats!$F$22="",Norm_Stats!$G$22="",Norm_Stats!$G$22=Norm_Stats!$F$22),"",MAX(0,MIN(100,100*(MIN(MAX(City_Inputs!$AG93,Norm_Stats!$F$22),Norm_Stats!$G$22)-Norm_Stats!$F$22)/(Norm_Stats!$G$22-Norm_Stats!$F$22)))))="",0,0.5)+IF((IF(OR(City_Inputs!$AJ93="",Norm_Stats!$F$23="",Norm_Stats!$G$23="",Norm_Stats!$G$23=Norm_Stats!$F$23),"",MAX(0,MIN(100,100*(MIN(MAX(City_Inputs!$AJ93,Norm_Stats!$F$23),Norm_Stats!$G$23)-Norm_Stats!$F$23)/(Norm_Stats!$G$23-Norm_Stats!$F$23)))))="",0,0.3)+IF((IF(OR(City_Inputs!$AK93="",Norm_Stats!$F$24="",Norm_Stats!$G$24="",Norm_Stats!$G$24=Norm_Stats!$F$24),"",MAX(0,MIN(100,100*(MIN(MAX(City_Inputs!$AK93,Norm_Stats!$F$24),Norm_Stats!$G$24)-Norm_Stats!$F$24)/(Norm_Stats!$G$24-Norm_Stats!$F$24)))))="",0,0.2)))</f>
        <v/>
      </c>
      <c r="BD93" s="14">
        <f>IF((IF((IF(OR(City_Inputs!$AG93="",Norm_Stats!$F$22="",Norm_Stats!$G$22="",Norm_Stats!$G$22=Norm_Stats!$F$22),"",MAX(0,MIN(100,100*(MIN(MAX(City_Inputs!$AG93,Norm_Stats!$F$22),Norm_Stats!$G$22)-Norm_Stats!$F$22)/(Norm_Stats!$G$22-Norm_Stats!$F$22)))))="",0,0.5)+IF((IF(OR(City_Inputs!$AJ93="",Norm_Stats!$F$23="",Norm_Stats!$G$23="",Norm_Stats!$G$23=Norm_Stats!$F$23),"",MAX(0,MIN(100,100*(MIN(MAX(City_Inputs!$AJ93,Norm_Stats!$F$23),Norm_Stats!$G$23)-Norm_Stats!$F$23)/(Norm_Stats!$G$23-Norm_Stats!$F$23)))))="",0,0.3)+IF((IF(OR(City_Inputs!$AK93="",Norm_Stats!$F$24="",Norm_Stats!$G$24="",Norm_Stats!$G$24=Norm_Stats!$F$24),"",MAX(0,MIN(100,100*(MIN(MAX(City_Inputs!$AK93,Norm_Stats!$F$24),Norm_Stats!$G$24)-Norm_Stats!$F$24)/(Norm_Stats!$G$24-Norm_Stats!$F$24)))))="",0,0.2))=0,"",(IF((IF(OR(City_Inputs!$AG93="",Norm_Stats!$F$22="",Norm_Stats!$G$22="",Norm_Stats!$G$22=Norm_Stats!$F$22),"",MAX(0,MIN(100,100*(MIN(MAX(City_Inputs!$AG93,Norm_Stats!$F$22),Norm_Stats!$G$22)-Norm_Stats!$F$22)/(Norm_Stats!$G$22-Norm_Stats!$F$22)))))="",0,0.5)+IF((IF(OR(City_Inputs!$AJ93="",Norm_Stats!$F$23="",Norm_Stats!$G$23="",Norm_Stats!$G$23=Norm_Stats!$F$23),"",MAX(0,MIN(100,100*(MIN(MAX(City_Inputs!$AJ93,Norm_Stats!$F$23),Norm_Stats!$G$23)-Norm_Stats!$F$23)/(Norm_Stats!$G$23-Norm_Stats!$F$23)))))="",0,0.3)+IF((IF(OR(City_Inputs!$AK93="",Norm_Stats!$F$24="",Norm_Stats!$G$24="",Norm_Stats!$G$24=Norm_Stats!$F$24),"",MAX(0,MIN(100,100*(MIN(MAX(City_Inputs!$AK93,Norm_Stats!$F$24),Norm_Stats!$G$24)-Norm_Stats!$F$24)/(Norm_Stats!$G$24-Norm_Stats!$F$24)))))="",0,0.2)))</f>
        <v/>
      </c>
      <c r="BE93" s="11">
        <f>IF(OR(City_Inputs!$AH93="",Norm_Stats!$F$25="",Norm_Stats!$G$25="",Norm_Stats!$G$25=Norm_Stats!$F$25),"",MAX(0,MIN(100,100*(Norm_Stats!$G$25-MIN(MAX(City_Inputs!$AH93,Norm_Stats!$F$25),Norm_Stats!$G$25))/(Norm_Stats!$G$25-Norm_Stats!$F$25))))</f>
        <v/>
      </c>
      <c r="BF93" s="14">
        <f>IF(BE93="","",1)</f>
        <v/>
      </c>
      <c r="BG93" s="15">
        <f>IF((IF(AY93="",0,6)+IF(BA93="",0,5)+IF(BC93="",0,5)+IF(BE93="",0,4))=0,"",(IF(AY93="",0,AY93*6)+IF(BA93="",0,BA93*5)+IF(BC93="",0,BC93*5)+IF(BE93="",0,BE93*4))/(IF(AY93="",0,6)+IF(BA93="",0,5)+IF(BC93="",0,5)+IF(BE93="",0,4)))</f>
        <v/>
      </c>
      <c r="BH93" s="14">
        <f>IF((IF(AZ93="",0,6)+IF(BB93="",0,5)+IF(BD93="",0,5)+IF(BF93="",0,4))=0,"",(IF(AZ93="",0,AZ93*6)+IF(BB93="",0,BB93*5)+IF(BD93="",0,BD93*5)+IF(BF93="",0,BF93*4))/20)</f>
        <v/>
      </c>
      <c r="BI93" s="14">
        <f>IF(AND(R93="",AF93="",AN93="",AX93="",BH93=""),"",((R93*25)+(AF93*22)+(AN93*18)+(AX93*15)+(BH93*20))/100)</f>
        <v/>
      </c>
      <c r="BJ93" s="11">
        <f>IF(BI93="","",IF(BI93&gt;=0.75,"A",IF(BI93&gt;=0.5,"B",IF(BI93&gt;=0.35,"C","Watchlist"))))</f>
        <v/>
      </c>
      <c r="BK93" s="11">
        <f>IF(OR(BI93="",BI93&lt;0.5,R93="",R93&lt;0.35,AF93="",AF93&lt;0.35,AN93="",AN93&lt;0.35,AX93="",AX93&lt;0.35,BH93="",BH93&lt;0.35),"Watchlist","Ranked")</f>
        <v/>
      </c>
      <c r="BL93" s="15">
        <f>IF(AND(Q93="",AE93="",AM93="",AW93="",BG93=""),"",(IF(Q93="",0,Q93*25)+IF(AE93="",0,AE93*22)+IF(AM93="",0,AM93*18)+IF(AW93="",0,AW93*15)+IF(BG93="",0,BG93*20))/(IF(Q93="",0,25)+IF(AE93="",0,22)+IF(AM93="",0,18)+IF(AW93="",0,15)+IF(BG93="",0,20)))</f>
        <v/>
      </c>
      <c r="BM93" s="11">
        <f>IF(BK93="Ranked",1+COUNTIFS($BK$2:$BK$158,"Ranked",$BL$2:$BL$158,"&gt;"&amp;BL93),"")</f>
        <v/>
      </c>
      <c r="BN93" s="11">
        <f>City_Inputs!$AI93</f>
        <v/>
      </c>
    </row>
    <row r="94">
      <c r="A94" t="inlineStr">
        <is>
          <t>rw-kigali</t>
        </is>
      </c>
      <c r="B94" t="inlineStr">
        <is>
          <t>Kigali</t>
        </is>
      </c>
      <c r="C94" t="inlineStr">
        <is>
          <t>Rwanda</t>
        </is>
      </c>
      <c r="D94" t="inlineStr">
        <is>
          <t>Africa</t>
        </is>
      </c>
      <c r="E94" t="inlineStr">
        <is>
          <t>locked</t>
        </is>
      </c>
      <c r="F94" t="inlineStr">
        <is>
          <t>primary</t>
        </is>
      </c>
      <c r="G94" s="11">
        <f>IF(OR(City_Inputs!$M94="",Norm_Stats!$F$2="",Norm_Stats!$G$2="",Norm_Stats!$G$2=Norm_Stats!$F$2),"",MAX(0,MIN(100,100*(MIN(MAX(City_Inputs!$M94,Norm_Stats!$F$2),Norm_Stats!$G$2)-Norm_Stats!$F$2)/(Norm_Stats!$G$2-Norm_Stats!$F$2))))</f>
        <v/>
      </c>
      <c r="H94" s="14">
        <f>IF(G94="","",1)</f>
        <v/>
      </c>
      <c r="I94" s="11">
        <f>IF(OR(City_Inputs!$N94="",Norm_Stats!$F$3="",Norm_Stats!$G$3="",Norm_Stats!$G$3=Norm_Stats!$F$3),"",MAX(0,MIN(100,100*(Norm_Stats!$G$3-MIN(MAX(City_Inputs!$N94,Norm_Stats!$F$3),Norm_Stats!$G$3))/(Norm_Stats!$G$3-Norm_Stats!$F$3))))</f>
        <v/>
      </c>
      <c r="J94" s="14">
        <f>IF(I94="","",1)</f>
        <v/>
      </c>
      <c r="K94" s="11">
        <f>IF(OR(City_Inputs!$P94="",Norm_Stats!$F$4="",Norm_Stats!$G$4="",Norm_Stats!$G$4=Norm_Stats!$F$4),"",MAX(0,MIN(100,100*(Norm_Stats!$G$4-MIN(MAX(City_Inputs!$P94,Norm_Stats!$F$4),Norm_Stats!$G$4))/(Norm_Stats!$G$4-Norm_Stats!$F$4))))</f>
        <v/>
      </c>
      <c r="L94" s="14">
        <f>IF(K94="","",1)</f>
        <v/>
      </c>
      <c r="M94" s="11">
        <f>IF(OR(City_Inputs!$Q94="",Norm_Stats!$F$5="",Norm_Stats!$G$5="",Norm_Stats!$G$5=Norm_Stats!$F$5),"",MAX(0,MIN(100,100*(Norm_Stats!$G$5-MIN(MAX(City_Inputs!$Q94,Norm_Stats!$F$5),Norm_Stats!$G$5))/(Norm_Stats!$G$5-Norm_Stats!$F$5))))</f>
        <v/>
      </c>
      <c r="N94" s="14">
        <f>IF(M94="","",1)</f>
        <v/>
      </c>
      <c r="O94" s="11">
        <f>IF(OR(City_Inputs!$R94="",Norm_Stats!$F$6="",Norm_Stats!$G$6="",Norm_Stats!$G$6=Norm_Stats!$F$6),"",MAX(0,MIN(100,100*(Norm_Stats!$G$6-MIN(MAX(City_Inputs!$R94,Norm_Stats!$F$6),Norm_Stats!$G$6))/(Norm_Stats!$G$6-Norm_Stats!$F$6))))</f>
        <v/>
      </c>
      <c r="P94" s="14">
        <f>IF(O94="","",1)</f>
        <v/>
      </c>
      <c r="Q94" s="15">
        <f>IF((IF(G94="",0,9)+IF(I94="",0,5)+IF(K94="",0,4)+IF(M94="",0,4)+IF(O94="",0,5))=0,"",(IF(G94="",0,G94*9)+IF(I94="",0,I94*5)+IF(K94="",0,K94*4)+IF(M94="",0,M94*4)+IF(O94="",0,O94*5))/(IF(G94="",0,9)+IF(I94="",0,5)+IF(K94="",0,4)+IF(M94="",0,4)+IF(O94="",0,5)))</f>
        <v/>
      </c>
      <c r="R94" s="14">
        <f>IF((IF(H94="",0,9)+IF(J94="",0,5)+IF(L94="",0,4)+IF(N94="",0,4)+IF(P94="",0,5))=0,"",(IF(H94="",0,H94*9)+IF(J94="",0,J94*5)+IF(L94="",0,L94*4)+IF(N94="",0,N94*4)+IF(P94="",0,P94*5))/27)</f>
        <v/>
      </c>
      <c r="S94" s="11">
        <f>IF(OR(City_Inputs!$S94="",Norm_Stats!$F$7="",Norm_Stats!$G$7="",Norm_Stats!$G$7=Norm_Stats!$F$7),"",MAX(0,MIN(100,100*(Norm_Stats!$G$7-MIN(MAX(City_Inputs!$S94,Norm_Stats!$F$7),Norm_Stats!$G$7))/(Norm_Stats!$G$7-Norm_Stats!$F$7))))</f>
        <v/>
      </c>
      <c r="T94" s="14">
        <f>IF(S94="","",1)</f>
        <v/>
      </c>
      <c r="U94" s="11">
        <f>IF(OR(City_Inputs!$T94="",Norm_Stats!$F$8="",Norm_Stats!$G$8="",Norm_Stats!$G$8=Norm_Stats!$F$8),"",MAX(0,MIN(100,100*(MIN(MAX(City_Inputs!$T94,Norm_Stats!$F$8),Norm_Stats!$G$8)-Norm_Stats!$F$8)/(Norm_Stats!$G$8-Norm_Stats!$F$8))))</f>
        <v/>
      </c>
      <c r="V94" s="14">
        <f>IF(U94="","",1)</f>
        <v/>
      </c>
      <c r="W94" s="11">
        <f>IF(OR(City_Inputs!$U94="",Norm_Stats!$F$9="",Norm_Stats!$G$9="",Norm_Stats!$G$9=Norm_Stats!$F$9),"",MAX(0,MIN(100,100*(Norm_Stats!$G$9-MIN(MAX(City_Inputs!$U94,Norm_Stats!$F$9),Norm_Stats!$G$9))/(Norm_Stats!$G$9-Norm_Stats!$F$9))))</f>
        <v/>
      </c>
      <c r="X94" s="14">
        <f>IF(W94="","",1)</f>
        <v/>
      </c>
      <c r="Y94" s="11">
        <f>IF(OR(City_Inputs!$V94="",Norm_Stats!$F$10="",Norm_Stats!$G$10="",Norm_Stats!$G$10=Norm_Stats!$F$10),"",MAX(0,MIN(100,100*(MIN(MAX(City_Inputs!$V94,Norm_Stats!$F$10),Norm_Stats!$G$10)-Norm_Stats!$F$10)/(Norm_Stats!$G$10-Norm_Stats!$F$10))))</f>
        <v/>
      </c>
      <c r="Z94" s="14">
        <f>IF(Y94="","",1)</f>
        <v/>
      </c>
      <c r="AA94" s="11">
        <f>IF(OR(City_Inputs!$W94="",Norm_Stats!$F$11="",Norm_Stats!$G$11="",Norm_Stats!$G$11=Norm_Stats!$F$11),"",MAX(0,MIN(100,100*(MIN(MAX(City_Inputs!$W94,Norm_Stats!$F$11),Norm_Stats!$G$11)-Norm_Stats!$F$11)/(Norm_Stats!$G$11-Norm_Stats!$F$11))))</f>
        <v/>
      </c>
      <c r="AB94" s="14">
        <f>IF(AA94="","",1)</f>
        <v/>
      </c>
      <c r="AC94" s="11">
        <f>IF(OR(City_Inputs!$X94="",Norm_Stats!$F$12="",Norm_Stats!$G$12="",Norm_Stats!$G$12=Norm_Stats!$F$12),"",MAX(0,MIN(100,100*(MIN(MAX(City_Inputs!$X94,Norm_Stats!$F$12),Norm_Stats!$G$12)-Norm_Stats!$F$12)/(Norm_Stats!$G$12-Norm_Stats!$F$12))))</f>
        <v/>
      </c>
      <c r="AD94" s="11">
        <f>IF(AC94="","",1)</f>
        <v/>
      </c>
      <c r="AE94" s="15">
        <f>IF((IF(S94="",0,5)+IF(U94="",0,5)+IF(W94="",0,4)+IF(Y94="",0,4)+IF(AA94="",0,4)+IF(AC94="",0,5))=0,"",(IF(S94="",0,S94*5)+IF(U94="",0,U94*5)+IF(W94="",0,W94*4)+IF(Y94="",0,Y94*4)+IF(AA94="",0,AA94*4)+IF(AC94="",0,AC94*5))/(IF(S94="",0,5)+IF(U94="",0,5)+IF(W94="",0,4)+IF(Y94="",0,4)+IF(AA94="",0,4)+IF(AC94="",0,5)))</f>
        <v/>
      </c>
      <c r="AF94" s="14">
        <f>IF((IF(T94="",0,5)+IF(V94="",0,5)+IF(X94="",0,4)+IF(Z94="",0,4)+IF(AB94="",0,4)+IF(AD94="",0,5))=0,"",(IF(T94="",0,T94*5)+IF(V94="",0,V94*5)+IF(X94="",0,X94*4)+IF(Z94="",0,Z94*4)+IF(AB94="",0,AB94*4)+IF(AD94="",0,AD94*5))/27)</f>
        <v/>
      </c>
      <c r="AG94" s="11">
        <f>IF(OR(City_Inputs!$Y94="",Norm_Stats!$F$13="",Norm_Stats!$G$13="",Norm_Stats!$G$13=Norm_Stats!$F$13),"",MAX(0,MIN(100,100*(MIN(MAX(City_Inputs!$Y94,Norm_Stats!$F$13),Norm_Stats!$G$13)-Norm_Stats!$F$13)/(Norm_Stats!$G$13-Norm_Stats!$F$13))))</f>
        <v/>
      </c>
      <c r="AH94" s="14">
        <f>IF(AG94="","",1)</f>
        <v/>
      </c>
      <c r="AI94" s="11">
        <f>IF(OR(City_Inputs!$Z94="",Norm_Stats!$F$14="",Norm_Stats!$G$14="",Norm_Stats!$G$14=Norm_Stats!$F$14),"",MAX(0,MIN(100,100*(MIN(MAX(City_Inputs!$Z94,Norm_Stats!$F$14),Norm_Stats!$G$14)-Norm_Stats!$F$14)/(Norm_Stats!$G$14-Norm_Stats!$F$14))))</f>
        <v/>
      </c>
      <c r="AJ94" s="14">
        <f>IF(AI94="","",1)</f>
        <v/>
      </c>
      <c r="AK94" s="11">
        <f>IF((IF((IF(OR(City_Inputs!$AA94="",Norm_Stats!$F$15="",Norm_Stats!$G$15="",Norm_Stats!$G$15=Norm_Stats!$F$15),"",MAX(0,MIN(100,100*(MIN(MAX(City_Inputs!$AA94,Norm_Stats!$F$15),Norm_Stats!$G$15)-Norm_Stats!$F$15)/(Norm_Stats!$G$15-Norm_Stats!$F$15)))))="",0,0.7)+IF((IF(OR(City_Inputs!$AL94="",Norm_Stats!$F$16="",Norm_Stats!$G$16="",Norm_Stats!$G$16=Norm_Stats!$F$16),"",MAX(0,MIN(100,100*(Norm_Stats!$G$16-MIN(MAX(City_Inputs!$AL94,Norm_Stats!$F$16),Norm_Stats!$G$16))/(Norm_Stats!$G$16-Norm_Stats!$F$16)))))="",0,0.3))=0,"",(IF((IF(OR(City_Inputs!$AA94="",Norm_Stats!$F$15="",Norm_Stats!$G$15="",Norm_Stats!$G$15=Norm_Stats!$F$15),"",MAX(0,MIN(100,100*(MIN(MAX(City_Inputs!$AA94,Norm_Stats!$F$15),Norm_Stats!$G$15)-Norm_Stats!$F$15)/(Norm_Stats!$G$15-Norm_Stats!$F$15)))))="",0,(IF(OR(City_Inputs!$AA94="",Norm_Stats!$F$15="",Norm_Stats!$G$15="",Norm_Stats!$G$15=Norm_Stats!$F$15),"",MAX(0,MIN(100,100*(MIN(MAX(City_Inputs!$AA94,Norm_Stats!$F$15),Norm_Stats!$G$15)-Norm_Stats!$F$15)/(Norm_Stats!$G$15-Norm_Stats!$F$15)))))*0.7)+IF((IF(OR(City_Inputs!$AL94="",Norm_Stats!$F$16="",Norm_Stats!$G$16="",Norm_Stats!$G$16=Norm_Stats!$F$16),"",MAX(0,MIN(100,100*(Norm_Stats!$G$16-MIN(MAX(City_Inputs!$AL94,Norm_Stats!$F$16),Norm_Stats!$G$16))/(Norm_Stats!$G$16-Norm_Stats!$F$16)))))="",0,(IF(OR(City_Inputs!$AL94="",Norm_Stats!$F$16="",Norm_Stats!$G$16="",Norm_Stats!$G$16=Norm_Stats!$F$16),"",MAX(0,MIN(100,100*(Norm_Stats!$G$16-MIN(MAX(City_Inputs!$AL94,Norm_Stats!$F$16),Norm_Stats!$G$16))/(Norm_Stats!$G$16-Norm_Stats!$F$16)))))*0.3))/(IF((IF(OR(City_Inputs!$AA94="",Norm_Stats!$F$15="",Norm_Stats!$G$15="",Norm_Stats!$G$15=Norm_Stats!$F$15),"",MAX(0,MIN(100,100*(MIN(MAX(City_Inputs!$AA94,Norm_Stats!$F$15),Norm_Stats!$G$15)-Norm_Stats!$F$15)/(Norm_Stats!$G$15-Norm_Stats!$F$15)))))="",0,0.7)+IF((IF(OR(City_Inputs!$AL94="",Norm_Stats!$F$16="",Norm_Stats!$G$16="",Norm_Stats!$G$16=Norm_Stats!$F$16),"",MAX(0,MIN(100,100*(Norm_Stats!$G$16-MIN(MAX(City_Inputs!$AL94,Norm_Stats!$F$16),Norm_Stats!$G$16))/(Norm_Stats!$G$16-Norm_Stats!$F$16)))))="",0,0.3)))</f>
        <v/>
      </c>
      <c r="AL94" s="14">
        <f>IF((IF((IF(OR(City_Inputs!$AA94="",Norm_Stats!$F$15="",Norm_Stats!$G$15="",Norm_Stats!$G$15=Norm_Stats!$F$15),"",MAX(0,MIN(100,100*(MIN(MAX(City_Inputs!$AA94,Norm_Stats!$F$15),Norm_Stats!$G$15)-Norm_Stats!$F$15)/(Norm_Stats!$G$15-Norm_Stats!$F$15)))))="",0,0.7)+IF((IF(OR(City_Inputs!$AL94="",Norm_Stats!$F$16="",Norm_Stats!$G$16="",Norm_Stats!$G$16=Norm_Stats!$F$16),"",MAX(0,MIN(100,100*(Norm_Stats!$G$16-MIN(MAX(City_Inputs!$AL94,Norm_Stats!$F$16),Norm_Stats!$G$16))/(Norm_Stats!$G$16-Norm_Stats!$F$16)))))="",0,0.3))=0,"",(IF((IF(OR(City_Inputs!$AA94="",Norm_Stats!$F$15="",Norm_Stats!$G$15="",Norm_Stats!$G$15=Norm_Stats!$F$15),"",MAX(0,MIN(100,100*(MIN(MAX(City_Inputs!$AA94,Norm_Stats!$F$15),Norm_Stats!$G$15)-Norm_Stats!$F$15)/(Norm_Stats!$G$15-Norm_Stats!$F$15)))))="",0,0.7)+IF((IF(OR(City_Inputs!$AL94="",Norm_Stats!$F$16="",Norm_Stats!$G$16="",Norm_Stats!$G$16=Norm_Stats!$F$16),"",MAX(0,MIN(100,100*(Norm_Stats!$G$16-MIN(MAX(City_Inputs!$AL94,Norm_Stats!$F$16),Norm_Stats!$G$16))/(Norm_Stats!$G$16-Norm_Stats!$F$16)))))="",0,0.3)))</f>
        <v/>
      </c>
      <c r="AM94" s="15">
        <f>IF((IF(AG94="",0,8)+IF(AI94="",0,6)+IF(AK94="",0,4))=0,"",(IF(AG94="",0,AG94*8)+IF(AI94="",0,AI94*6)+IF(AK94="",0,AK94*4))/(IF(AG94="",0,8)+IF(AI94="",0,6)+IF(AK94="",0,4)))</f>
        <v/>
      </c>
      <c r="AN94" s="14">
        <f>IF((IF(AH94="",0,8)+IF(AJ94="",0,6)+IF(AL94="",0,4))=0,"",(IF(AH94="",0,AH94*8)+IF(AJ94="",0,AJ94*6)+IF(AL94="",0,AL94*4))/18)</f>
        <v/>
      </c>
      <c r="AO94" s="11">
        <f>IF(OR(City_Inputs!$AB94="",Norm_Stats!$F$17="",Norm_Stats!$G$17="",Norm_Stats!$G$17=Norm_Stats!$F$17),"",MAX(0,MIN(100,100*(MIN(MAX(City_Inputs!$AB94,Norm_Stats!$F$17),Norm_Stats!$G$17)-Norm_Stats!$F$17)/(Norm_Stats!$G$17-Norm_Stats!$F$17))))</f>
        <v/>
      </c>
      <c r="AP94" s="14">
        <f>IF(AO94="","",1)</f>
        <v/>
      </c>
      <c r="AQ94" s="11">
        <f>IF(OR(City_Inputs!$AC94="",Norm_Stats!$F$18="",Norm_Stats!$G$18="",Norm_Stats!$G$18=Norm_Stats!$F$18),"",MAX(0,MIN(100,100*(MIN(MAX(City_Inputs!$AC94,Norm_Stats!$F$18),Norm_Stats!$G$18)-Norm_Stats!$F$18)/(Norm_Stats!$G$18-Norm_Stats!$F$18))))</f>
        <v/>
      </c>
      <c r="AR94" s="14">
        <f>IF(AQ94="","",1)</f>
        <v/>
      </c>
      <c r="AS94" s="11">
        <f>IF(OR(City_Inputs!$AD94="",Norm_Stats!$F$19="",Norm_Stats!$G$19="",Norm_Stats!$G$19=Norm_Stats!$F$19),"",MAX(0,MIN(100,100*(MIN(MAX(City_Inputs!$AD94,Norm_Stats!$F$19),Norm_Stats!$G$19)-Norm_Stats!$F$19)/(Norm_Stats!$G$19-Norm_Stats!$F$19))))</f>
        <v/>
      </c>
      <c r="AT94" s="14">
        <f>IF(AS94="","",1)</f>
        <v/>
      </c>
      <c r="AU94" s="11">
        <f>IF(OR(City_Inputs!$BJ94="",Norm_Stats!$F$26="",Norm_Stats!$G$26="",Norm_Stats!$G$26=Norm_Stats!$F$26),"",MAX(0,MIN(100,100*(MIN(MAX(City_Inputs!$BJ94,Norm_Stats!$F$26),Norm_Stats!$G$26)-Norm_Stats!$F$26)/(Norm_Stats!$G$26-Norm_Stats!$F$26))))</f>
        <v/>
      </c>
      <c r="AV94" s="11">
        <f>IF(AU94="","",1)</f>
        <v/>
      </c>
      <c r="AW94" s="15">
        <f>IF((IF(AO94="",0,5)+IF(AQ94="",0,5)+IF(AS94="",0,5)+IF(AU94="",0,4))=0,"",(IF(AO94="",0,AO94*5)+IF(AQ94="",0,AQ94*5)+IF(AS94="",0,AS94*5)+IF(AU94="",0,AU94*4))/(IF(AO94="",0,5)+IF(AQ94="",0,5)+IF(AS94="",0,5)+IF(AU94="",0,4)))</f>
        <v/>
      </c>
      <c r="AX94" s="14">
        <f>IF((IF(AP94="",0,5)+IF(AR94="",0,5)+IF(AT94="",0,5)+IF(AV94="",0,4))=0,"",(IF(AP94="",0,AP94*5)+IF(AR94="",0,AR94*5)+IF(AT94="",0,AT94*5)+IF(AV94="",0,AV94*4))/19)</f>
        <v/>
      </c>
      <c r="AY94" s="11">
        <f>IF(OR(City_Inputs!$AE94="",Norm_Stats!$F$20="",Norm_Stats!$G$20="",Norm_Stats!$G$20=Norm_Stats!$F$20),"",MAX(0,MIN(100,100*(MIN(MAX(City_Inputs!$AE94,Norm_Stats!$F$20),Norm_Stats!$G$20)-Norm_Stats!$F$20)/(Norm_Stats!$G$20-Norm_Stats!$F$20))))</f>
        <v/>
      </c>
      <c r="AZ94" s="14">
        <f>IF(AY94="","",1)</f>
        <v/>
      </c>
      <c r="BA94" s="11">
        <f>IF(OR(City_Inputs!$AF94="",Norm_Stats!$F$21="",Norm_Stats!$G$21="",Norm_Stats!$G$21=Norm_Stats!$F$21),"",MAX(0,MIN(100,100*(MIN(MAX(City_Inputs!$AF94,Norm_Stats!$F$21),Norm_Stats!$G$21)-Norm_Stats!$F$21)/(Norm_Stats!$G$21-Norm_Stats!$F$21))))</f>
        <v/>
      </c>
      <c r="BB94" s="14">
        <f>IF(BA94="","",1)</f>
        <v/>
      </c>
      <c r="BC94" s="11">
        <f>IF((IF((IF(OR(City_Inputs!$AG94="",Norm_Stats!$F$22="",Norm_Stats!$G$22="",Norm_Stats!$G$22=Norm_Stats!$F$22),"",MAX(0,MIN(100,100*(MIN(MAX(City_Inputs!$AG94,Norm_Stats!$F$22),Norm_Stats!$G$22)-Norm_Stats!$F$22)/(Norm_Stats!$G$22-Norm_Stats!$F$22)))))="",0,0.5)+IF((IF(OR(City_Inputs!$AJ94="",Norm_Stats!$F$23="",Norm_Stats!$G$23="",Norm_Stats!$G$23=Norm_Stats!$F$23),"",MAX(0,MIN(100,100*(MIN(MAX(City_Inputs!$AJ94,Norm_Stats!$F$23),Norm_Stats!$G$23)-Norm_Stats!$F$23)/(Norm_Stats!$G$23-Norm_Stats!$F$23)))))="",0,0.3)+IF((IF(OR(City_Inputs!$AK94="",Norm_Stats!$F$24="",Norm_Stats!$G$24="",Norm_Stats!$G$24=Norm_Stats!$F$24),"",MAX(0,MIN(100,100*(MIN(MAX(City_Inputs!$AK94,Norm_Stats!$F$24),Norm_Stats!$G$24)-Norm_Stats!$F$24)/(Norm_Stats!$G$24-Norm_Stats!$F$24)))))="",0,0.2))=0,"",(IF((IF(OR(City_Inputs!$AG94="",Norm_Stats!$F$22="",Norm_Stats!$G$22="",Norm_Stats!$G$22=Norm_Stats!$F$22),"",MAX(0,MIN(100,100*(MIN(MAX(City_Inputs!$AG94,Norm_Stats!$F$22),Norm_Stats!$G$22)-Norm_Stats!$F$22)/(Norm_Stats!$G$22-Norm_Stats!$F$22)))))="",0,(IF(OR(City_Inputs!$AG94="",Norm_Stats!$F$22="",Norm_Stats!$G$22="",Norm_Stats!$G$22=Norm_Stats!$F$22),"",MAX(0,MIN(100,100*(MIN(MAX(City_Inputs!$AG94,Norm_Stats!$F$22),Norm_Stats!$G$22)-Norm_Stats!$F$22)/(Norm_Stats!$G$22-Norm_Stats!$F$22)))))*0.5)+IF((IF(OR(City_Inputs!$AJ94="",Norm_Stats!$F$23="",Norm_Stats!$G$23="",Norm_Stats!$G$23=Norm_Stats!$F$23),"",MAX(0,MIN(100,100*(MIN(MAX(City_Inputs!$AJ94,Norm_Stats!$F$23),Norm_Stats!$G$23)-Norm_Stats!$F$23)/(Norm_Stats!$G$23-Norm_Stats!$F$23)))))="",0,(IF(OR(City_Inputs!$AJ94="",Norm_Stats!$F$23="",Norm_Stats!$G$23="",Norm_Stats!$G$23=Norm_Stats!$F$23),"",MAX(0,MIN(100,100*(MIN(MAX(City_Inputs!$AJ94,Norm_Stats!$F$23),Norm_Stats!$G$23)-Norm_Stats!$F$23)/(Norm_Stats!$G$23-Norm_Stats!$F$23)))))*0.3)+IF((IF(OR(City_Inputs!$AK94="",Norm_Stats!$F$24="",Norm_Stats!$G$24="",Norm_Stats!$G$24=Norm_Stats!$F$24),"",MAX(0,MIN(100,100*(MIN(MAX(City_Inputs!$AK94,Norm_Stats!$F$24),Norm_Stats!$G$24)-Norm_Stats!$F$24)/(Norm_Stats!$G$24-Norm_Stats!$F$24)))))="",0,(IF(OR(City_Inputs!$AK94="",Norm_Stats!$F$24="",Norm_Stats!$G$24="",Norm_Stats!$G$24=Norm_Stats!$F$24),"",MAX(0,MIN(100,100*(MIN(MAX(City_Inputs!$AK94,Norm_Stats!$F$24),Norm_Stats!$G$24)-Norm_Stats!$F$24)/(Norm_Stats!$G$24-Norm_Stats!$F$24)))))*0.2))/(IF((IF(OR(City_Inputs!$AG94="",Norm_Stats!$F$22="",Norm_Stats!$G$22="",Norm_Stats!$G$22=Norm_Stats!$F$22),"",MAX(0,MIN(100,100*(MIN(MAX(City_Inputs!$AG94,Norm_Stats!$F$22),Norm_Stats!$G$22)-Norm_Stats!$F$22)/(Norm_Stats!$G$22-Norm_Stats!$F$22)))))="",0,0.5)+IF((IF(OR(City_Inputs!$AJ94="",Norm_Stats!$F$23="",Norm_Stats!$G$23="",Norm_Stats!$G$23=Norm_Stats!$F$23),"",MAX(0,MIN(100,100*(MIN(MAX(City_Inputs!$AJ94,Norm_Stats!$F$23),Norm_Stats!$G$23)-Norm_Stats!$F$23)/(Norm_Stats!$G$23-Norm_Stats!$F$23)))))="",0,0.3)+IF((IF(OR(City_Inputs!$AK94="",Norm_Stats!$F$24="",Norm_Stats!$G$24="",Norm_Stats!$G$24=Norm_Stats!$F$24),"",MAX(0,MIN(100,100*(MIN(MAX(City_Inputs!$AK94,Norm_Stats!$F$24),Norm_Stats!$G$24)-Norm_Stats!$F$24)/(Norm_Stats!$G$24-Norm_Stats!$F$24)))))="",0,0.2)))</f>
        <v/>
      </c>
      <c r="BD94" s="14">
        <f>IF((IF((IF(OR(City_Inputs!$AG94="",Norm_Stats!$F$22="",Norm_Stats!$G$22="",Norm_Stats!$G$22=Norm_Stats!$F$22),"",MAX(0,MIN(100,100*(MIN(MAX(City_Inputs!$AG94,Norm_Stats!$F$22),Norm_Stats!$G$22)-Norm_Stats!$F$22)/(Norm_Stats!$G$22-Norm_Stats!$F$22)))))="",0,0.5)+IF((IF(OR(City_Inputs!$AJ94="",Norm_Stats!$F$23="",Norm_Stats!$G$23="",Norm_Stats!$G$23=Norm_Stats!$F$23),"",MAX(0,MIN(100,100*(MIN(MAX(City_Inputs!$AJ94,Norm_Stats!$F$23),Norm_Stats!$G$23)-Norm_Stats!$F$23)/(Norm_Stats!$G$23-Norm_Stats!$F$23)))))="",0,0.3)+IF((IF(OR(City_Inputs!$AK94="",Norm_Stats!$F$24="",Norm_Stats!$G$24="",Norm_Stats!$G$24=Norm_Stats!$F$24),"",MAX(0,MIN(100,100*(MIN(MAX(City_Inputs!$AK94,Norm_Stats!$F$24),Norm_Stats!$G$24)-Norm_Stats!$F$24)/(Norm_Stats!$G$24-Norm_Stats!$F$24)))))="",0,0.2))=0,"",(IF((IF(OR(City_Inputs!$AG94="",Norm_Stats!$F$22="",Norm_Stats!$G$22="",Norm_Stats!$G$22=Norm_Stats!$F$22),"",MAX(0,MIN(100,100*(MIN(MAX(City_Inputs!$AG94,Norm_Stats!$F$22),Norm_Stats!$G$22)-Norm_Stats!$F$22)/(Norm_Stats!$G$22-Norm_Stats!$F$22)))))="",0,0.5)+IF((IF(OR(City_Inputs!$AJ94="",Norm_Stats!$F$23="",Norm_Stats!$G$23="",Norm_Stats!$G$23=Norm_Stats!$F$23),"",MAX(0,MIN(100,100*(MIN(MAX(City_Inputs!$AJ94,Norm_Stats!$F$23),Norm_Stats!$G$23)-Norm_Stats!$F$23)/(Norm_Stats!$G$23-Norm_Stats!$F$23)))))="",0,0.3)+IF((IF(OR(City_Inputs!$AK94="",Norm_Stats!$F$24="",Norm_Stats!$G$24="",Norm_Stats!$G$24=Norm_Stats!$F$24),"",MAX(0,MIN(100,100*(MIN(MAX(City_Inputs!$AK94,Norm_Stats!$F$24),Norm_Stats!$G$24)-Norm_Stats!$F$24)/(Norm_Stats!$G$24-Norm_Stats!$F$24)))))="",0,0.2)))</f>
        <v/>
      </c>
      <c r="BE94" s="11">
        <f>IF(OR(City_Inputs!$AH94="",Norm_Stats!$F$25="",Norm_Stats!$G$25="",Norm_Stats!$G$25=Norm_Stats!$F$25),"",MAX(0,MIN(100,100*(Norm_Stats!$G$25-MIN(MAX(City_Inputs!$AH94,Norm_Stats!$F$25),Norm_Stats!$G$25))/(Norm_Stats!$G$25-Norm_Stats!$F$25))))</f>
        <v/>
      </c>
      <c r="BF94" s="14">
        <f>IF(BE94="","",1)</f>
        <v/>
      </c>
      <c r="BG94" s="15">
        <f>IF((IF(AY94="",0,6)+IF(BA94="",0,5)+IF(BC94="",0,5)+IF(BE94="",0,4))=0,"",(IF(AY94="",0,AY94*6)+IF(BA94="",0,BA94*5)+IF(BC94="",0,BC94*5)+IF(BE94="",0,BE94*4))/(IF(AY94="",0,6)+IF(BA94="",0,5)+IF(BC94="",0,5)+IF(BE94="",0,4)))</f>
        <v/>
      </c>
      <c r="BH94" s="14">
        <f>IF((IF(AZ94="",0,6)+IF(BB94="",0,5)+IF(BD94="",0,5)+IF(BF94="",0,4))=0,"",(IF(AZ94="",0,AZ94*6)+IF(BB94="",0,BB94*5)+IF(BD94="",0,BD94*5)+IF(BF94="",0,BF94*4))/20)</f>
        <v/>
      </c>
      <c r="BI94" s="14">
        <f>IF(AND(R94="",AF94="",AN94="",AX94="",BH94=""),"",((R94*25)+(AF94*22)+(AN94*18)+(AX94*15)+(BH94*20))/100)</f>
        <v/>
      </c>
      <c r="BJ94" s="11">
        <f>IF(BI94="","",IF(BI94&gt;=0.75,"A",IF(BI94&gt;=0.5,"B",IF(BI94&gt;=0.35,"C","Watchlist"))))</f>
        <v/>
      </c>
      <c r="BK94" s="11">
        <f>IF(OR(BI94="",BI94&lt;0.5,R94="",R94&lt;0.35,AF94="",AF94&lt;0.35,AN94="",AN94&lt;0.35,AX94="",AX94&lt;0.35,BH94="",BH94&lt;0.35),"Watchlist","Ranked")</f>
        <v/>
      </c>
      <c r="BL94" s="15">
        <f>IF(AND(Q94="",AE94="",AM94="",AW94="",BG94=""),"",(IF(Q94="",0,Q94*25)+IF(AE94="",0,AE94*22)+IF(AM94="",0,AM94*18)+IF(AW94="",0,AW94*15)+IF(BG94="",0,BG94*20))/(IF(Q94="",0,25)+IF(AE94="",0,22)+IF(AM94="",0,18)+IF(AW94="",0,15)+IF(BG94="",0,20)))</f>
        <v/>
      </c>
      <c r="BM94" s="11">
        <f>IF(BK94="Ranked",1+COUNTIFS($BK$2:$BK$158,"Ranked",$BL$2:$BL$158,"&gt;"&amp;BL94),"")</f>
        <v/>
      </c>
      <c r="BN94" s="11">
        <f>City_Inputs!$AI94</f>
        <v/>
      </c>
    </row>
    <row r="95">
      <c r="A95" t="inlineStr">
        <is>
          <t>ma-casablanca</t>
        </is>
      </c>
      <c r="B95" t="inlineStr">
        <is>
          <t>Casablanca</t>
        </is>
      </c>
      <c r="C95" t="inlineStr">
        <is>
          <t>Morocco</t>
        </is>
      </c>
      <c r="D95" t="inlineStr">
        <is>
          <t>Africa</t>
        </is>
      </c>
      <c r="E95" t="inlineStr">
        <is>
          <t>provisional</t>
        </is>
      </c>
      <c r="F95" t="inlineStr">
        <is>
          <t>primary</t>
        </is>
      </c>
      <c r="G95" s="11">
        <f>IF(OR(City_Inputs!$M95="",Norm_Stats!$F$2="",Norm_Stats!$G$2="",Norm_Stats!$G$2=Norm_Stats!$F$2),"",MAX(0,MIN(100,100*(MIN(MAX(City_Inputs!$M95,Norm_Stats!$F$2),Norm_Stats!$G$2)-Norm_Stats!$F$2)/(Norm_Stats!$G$2-Norm_Stats!$F$2))))</f>
        <v/>
      </c>
      <c r="H95" s="14">
        <f>IF(G95="","",1)</f>
        <v/>
      </c>
      <c r="I95" s="11">
        <f>IF(OR(City_Inputs!$N95="",Norm_Stats!$F$3="",Norm_Stats!$G$3="",Norm_Stats!$G$3=Norm_Stats!$F$3),"",MAX(0,MIN(100,100*(Norm_Stats!$G$3-MIN(MAX(City_Inputs!$N95,Norm_Stats!$F$3),Norm_Stats!$G$3))/(Norm_Stats!$G$3-Norm_Stats!$F$3))))</f>
        <v/>
      </c>
      <c r="J95" s="14">
        <f>IF(I95="","",1)</f>
        <v/>
      </c>
      <c r="K95" s="11">
        <f>IF(OR(City_Inputs!$P95="",Norm_Stats!$F$4="",Norm_Stats!$G$4="",Norm_Stats!$G$4=Norm_Stats!$F$4),"",MAX(0,MIN(100,100*(Norm_Stats!$G$4-MIN(MAX(City_Inputs!$P95,Norm_Stats!$F$4),Norm_Stats!$G$4))/(Norm_Stats!$G$4-Norm_Stats!$F$4))))</f>
        <v/>
      </c>
      <c r="L95" s="14">
        <f>IF(K95="","",1)</f>
        <v/>
      </c>
      <c r="M95" s="11">
        <f>IF(OR(City_Inputs!$Q95="",Norm_Stats!$F$5="",Norm_Stats!$G$5="",Norm_Stats!$G$5=Norm_Stats!$F$5),"",MAX(0,MIN(100,100*(Norm_Stats!$G$5-MIN(MAX(City_Inputs!$Q95,Norm_Stats!$F$5),Norm_Stats!$G$5))/(Norm_Stats!$G$5-Norm_Stats!$F$5))))</f>
        <v/>
      </c>
      <c r="N95" s="14">
        <f>IF(M95="","",1)</f>
        <v/>
      </c>
      <c r="O95" s="11">
        <f>IF(OR(City_Inputs!$R95="",Norm_Stats!$F$6="",Norm_Stats!$G$6="",Norm_Stats!$G$6=Norm_Stats!$F$6),"",MAX(0,MIN(100,100*(Norm_Stats!$G$6-MIN(MAX(City_Inputs!$R95,Norm_Stats!$F$6),Norm_Stats!$G$6))/(Norm_Stats!$G$6-Norm_Stats!$F$6))))</f>
        <v/>
      </c>
      <c r="P95" s="14">
        <f>IF(O95="","",1)</f>
        <v/>
      </c>
      <c r="Q95" s="15">
        <f>IF((IF(G95="",0,9)+IF(I95="",0,5)+IF(K95="",0,4)+IF(M95="",0,4)+IF(O95="",0,5))=0,"",(IF(G95="",0,G95*9)+IF(I95="",0,I95*5)+IF(K95="",0,K95*4)+IF(M95="",0,M95*4)+IF(O95="",0,O95*5))/(IF(G95="",0,9)+IF(I95="",0,5)+IF(K95="",0,4)+IF(M95="",0,4)+IF(O95="",0,5)))</f>
        <v/>
      </c>
      <c r="R95" s="14">
        <f>IF((IF(H95="",0,9)+IF(J95="",0,5)+IF(L95="",0,4)+IF(N95="",0,4)+IF(P95="",0,5))=0,"",(IF(H95="",0,H95*9)+IF(J95="",0,J95*5)+IF(L95="",0,L95*4)+IF(N95="",0,N95*4)+IF(P95="",0,P95*5))/27)</f>
        <v/>
      </c>
      <c r="S95" s="11">
        <f>IF(OR(City_Inputs!$S95="",Norm_Stats!$F$7="",Norm_Stats!$G$7="",Norm_Stats!$G$7=Norm_Stats!$F$7),"",MAX(0,MIN(100,100*(Norm_Stats!$G$7-MIN(MAX(City_Inputs!$S95,Norm_Stats!$F$7),Norm_Stats!$G$7))/(Norm_Stats!$G$7-Norm_Stats!$F$7))))</f>
        <v/>
      </c>
      <c r="T95" s="14">
        <f>IF(S95="","",1)</f>
        <v/>
      </c>
      <c r="U95" s="11">
        <f>IF(OR(City_Inputs!$T95="",Norm_Stats!$F$8="",Norm_Stats!$G$8="",Norm_Stats!$G$8=Norm_Stats!$F$8),"",MAX(0,MIN(100,100*(MIN(MAX(City_Inputs!$T95,Norm_Stats!$F$8),Norm_Stats!$G$8)-Norm_Stats!$F$8)/(Norm_Stats!$G$8-Norm_Stats!$F$8))))</f>
        <v/>
      </c>
      <c r="V95" s="14">
        <f>IF(U95="","",1)</f>
        <v/>
      </c>
      <c r="W95" s="11">
        <f>IF(OR(City_Inputs!$U95="",Norm_Stats!$F$9="",Norm_Stats!$G$9="",Norm_Stats!$G$9=Norm_Stats!$F$9),"",MAX(0,MIN(100,100*(Norm_Stats!$G$9-MIN(MAX(City_Inputs!$U95,Norm_Stats!$F$9),Norm_Stats!$G$9))/(Norm_Stats!$G$9-Norm_Stats!$F$9))))</f>
        <v/>
      </c>
      <c r="X95" s="14">
        <f>IF(W95="","",1)</f>
        <v/>
      </c>
      <c r="Y95" s="11">
        <f>IF(OR(City_Inputs!$V95="",Norm_Stats!$F$10="",Norm_Stats!$G$10="",Norm_Stats!$G$10=Norm_Stats!$F$10),"",MAX(0,MIN(100,100*(MIN(MAX(City_Inputs!$V95,Norm_Stats!$F$10),Norm_Stats!$G$10)-Norm_Stats!$F$10)/(Norm_Stats!$G$10-Norm_Stats!$F$10))))</f>
        <v/>
      </c>
      <c r="Z95" s="14">
        <f>IF(Y95="","",1)</f>
        <v/>
      </c>
      <c r="AA95" s="11">
        <f>IF(OR(City_Inputs!$W95="",Norm_Stats!$F$11="",Norm_Stats!$G$11="",Norm_Stats!$G$11=Norm_Stats!$F$11),"",MAX(0,MIN(100,100*(MIN(MAX(City_Inputs!$W95,Norm_Stats!$F$11),Norm_Stats!$G$11)-Norm_Stats!$F$11)/(Norm_Stats!$G$11-Norm_Stats!$F$11))))</f>
        <v/>
      </c>
      <c r="AB95" s="14">
        <f>IF(AA95="","",1)</f>
        <v/>
      </c>
      <c r="AC95" s="11">
        <f>IF(OR(City_Inputs!$X95="",Norm_Stats!$F$12="",Norm_Stats!$G$12="",Norm_Stats!$G$12=Norm_Stats!$F$12),"",MAX(0,MIN(100,100*(MIN(MAX(City_Inputs!$X95,Norm_Stats!$F$12),Norm_Stats!$G$12)-Norm_Stats!$F$12)/(Norm_Stats!$G$12-Norm_Stats!$F$12))))</f>
        <v/>
      </c>
      <c r="AD95" s="11">
        <f>IF(AC95="","",1)</f>
        <v/>
      </c>
      <c r="AE95" s="15">
        <f>IF((IF(S95="",0,5)+IF(U95="",0,5)+IF(W95="",0,4)+IF(Y95="",0,4)+IF(AA95="",0,4)+IF(AC95="",0,5))=0,"",(IF(S95="",0,S95*5)+IF(U95="",0,U95*5)+IF(W95="",0,W95*4)+IF(Y95="",0,Y95*4)+IF(AA95="",0,AA95*4)+IF(AC95="",0,AC95*5))/(IF(S95="",0,5)+IF(U95="",0,5)+IF(W95="",0,4)+IF(Y95="",0,4)+IF(AA95="",0,4)+IF(AC95="",0,5)))</f>
        <v/>
      </c>
      <c r="AF95" s="14">
        <f>IF((IF(T95="",0,5)+IF(V95="",0,5)+IF(X95="",0,4)+IF(Z95="",0,4)+IF(AB95="",0,4)+IF(AD95="",0,5))=0,"",(IF(T95="",0,T95*5)+IF(V95="",0,V95*5)+IF(X95="",0,X95*4)+IF(Z95="",0,Z95*4)+IF(AB95="",0,AB95*4)+IF(AD95="",0,AD95*5))/27)</f>
        <v/>
      </c>
      <c r="AG95" s="11">
        <f>IF(OR(City_Inputs!$Y95="",Norm_Stats!$F$13="",Norm_Stats!$G$13="",Norm_Stats!$G$13=Norm_Stats!$F$13),"",MAX(0,MIN(100,100*(MIN(MAX(City_Inputs!$Y95,Norm_Stats!$F$13),Norm_Stats!$G$13)-Norm_Stats!$F$13)/(Norm_Stats!$G$13-Norm_Stats!$F$13))))</f>
        <v/>
      </c>
      <c r="AH95" s="14">
        <f>IF(AG95="","",1)</f>
        <v/>
      </c>
      <c r="AI95" s="11">
        <f>IF(OR(City_Inputs!$Z95="",Norm_Stats!$F$14="",Norm_Stats!$G$14="",Norm_Stats!$G$14=Norm_Stats!$F$14),"",MAX(0,MIN(100,100*(MIN(MAX(City_Inputs!$Z95,Norm_Stats!$F$14),Norm_Stats!$G$14)-Norm_Stats!$F$14)/(Norm_Stats!$G$14-Norm_Stats!$F$14))))</f>
        <v/>
      </c>
      <c r="AJ95" s="14">
        <f>IF(AI95="","",1)</f>
        <v/>
      </c>
      <c r="AK95" s="11">
        <f>IF((IF((IF(OR(City_Inputs!$AA95="",Norm_Stats!$F$15="",Norm_Stats!$G$15="",Norm_Stats!$G$15=Norm_Stats!$F$15),"",MAX(0,MIN(100,100*(MIN(MAX(City_Inputs!$AA95,Norm_Stats!$F$15),Norm_Stats!$G$15)-Norm_Stats!$F$15)/(Norm_Stats!$G$15-Norm_Stats!$F$15)))))="",0,0.7)+IF((IF(OR(City_Inputs!$AL95="",Norm_Stats!$F$16="",Norm_Stats!$G$16="",Norm_Stats!$G$16=Norm_Stats!$F$16),"",MAX(0,MIN(100,100*(Norm_Stats!$G$16-MIN(MAX(City_Inputs!$AL95,Norm_Stats!$F$16),Norm_Stats!$G$16))/(Norm_Stats!$G$16-Norm_Stats!$F$16)))))="",0,0.3))=0,"",(IF((IF(OR(City_Inputs!$AA95="",Norm_Stats!$F$15="",Norm_Stats!$G$15="",Norm_Stats!$G$15=Norm_Stats!$F$15),"",MAX(0,MIN(100,100*(MIN(MAX(City_Inputs!$AA95,Norm_Stats!$F$15),Norm_Stats!$G$15)-Norm_Stats!$F$15)/(Norm_Stats!$G$15-Norm_Stats!$F$15)))))="",0,(IF(OR(City_Inputs!$AA95="",Norm_Stats!$F$15="",Norm_Stats!$G$15="",Norm_Stats!$G$15=Norm_Stats!$F$15),"",MAX(0,MIN(100,100*(MIN(MAX(City_Inputs!$AA95,Norm_Stats!$F$15),Norm_Stats!$G$15)-Norm_Stats!$F$15)/(Norm_Stats!$G$15-Norm_Stats!$F$15)))))*0.7)+IF((IF(OR(City_Inputs!$AL95="",Norm_Stats!$F$16="",Norm_Stats!$G$16="",Norm_Stats!$G$16=Norm_Stats!$F$16),"",MAX(0,MIN(100,100*(Norm_Stats!$G$16-MIN(MAX(City_Inputs!$AL95,Norm_Stats!$F$16),Norm_Stats!$G$16))/(Norm_Stats!$G$16-Norm_Stats!$F$16)))))="",0,(IF(OR(City_Inputs!$AL95="",Norm_Stats!$F$16="",Norm_Stats!$G$16="",Norm_Stats!$G$16=Norm_Stats!$F$16),"",MAX(0,MIN(100,100*(Norm_Stats!$G$16-MIN(MAX(City_Inputs!$AL95,Norm_Stats!$F$16),Norm_Stats!$G$16))/(Norm_Stats!$G$16-Norm_Stats!$F$16)))))*0.3))/(IF((IF(OR(City_Inputs!$AA95="",Norm_Stats!$F$15="",Norm_Stats!$G$15="",Norm_Stats!$G$15=Norm_Stats!$F$15),"",MAX(0,MIN(100,100*(MIN(MAX(City_Inputs!$AA95,Norm_Stats!$F$15),Norm_Stats!$G$15)-Norm_Stats!$F$15)/(Norm_Stats!$G$15-Norm_Stats!$F$15)))))="",0,0.7)+IF((IF(OR(City_Inputs!$AL95="",Norm_Stats!$F$16="",Norm_Stats!$G$16="",Norm_Stats!$G$16=Norm_Stats!$F$16),"",MAX(0,MIN(100,100*(Norm_Stats!$G$16-MIN(MAX(City_Inputs!$AL95,Norm_Stats!$F$16),Norm_Stats!$G$16))/(Norm_Stats!$G$16-Norm_Stats!$F$16)))))="",0,0.3)))</f>
        <v/>
      </c>
      <c r="AL95" s="14">
        <f>IF((IF((IF(OR(City_Inputs!$AA95="",Norm_Stats!$F$15="",Norm_Stats!$G$15="",Norm_Stats!$G$15=Norm_Stats!$F$15),"",MAX(0,MIN(100,100*(MIN(MAX(City_Inputs!$AA95,Norm_Stats!$F$15),Norm_Stats!$G$15)-Norm_Stats!$F$15)/(Norm_Stats!$G$15-Norm_Stats!$F$15)))))="",0,0.7)+IF((IF(OR(City_Inputs!$AL95="",Norm_Stats!$F$16="",Norm_Stats!$G$16="",Norm_Stats!$G$16=Norm_Stats!$F$16),"",MAX(0,MIN(100,100*(Norm_Stats!$G$16-MIN(MAX(City_Inputs!$AL95,Norm_Stats!$F$16),Norm_Stats!$G$16))/(Norm_Stats!$G$16-Norm_Stats!$F$16)))))="",0,0.3))=0,"",(IF((IF(OR(City_Inputs!$AA95="",Norm_Stats!$F$15="",Norm_Stats!$G$15="",Norm_Stats!$G$15=Norm_Stats!$F$15),"",MAX(0,MIN(100,100*(MIN(MAX(City_Inputs!$AA95,Norm_Stats!$F$15),Norm_Stats!$G$15)-Norm_Stats!$F$15)/(Norm_Stats!$G$15-Norm_Stats!$F$15)))))="",0,0.7)+IF((IF(OR(City_Inputs!$AL95="",Norm_Stats!$F$16="",Norm_Stats!$G$16="",Norm_Stats!$G$16=Norm_Stats!$F$16),"",MAX(0,MIN(100,100*(Norm_Stats!$G$16-MIN(MAX(City_Inputs!$AL95,Norm_Stats!$F$16),Norm_Stats!$G$16))/(Norm_Stats!$G$16-Norm_Stats!$F$16)))))="",0,0.3)))</f>
        <v/>
      </c>
      <c r="AM95" s="15">
        <f>IF((IF(AG95="",0,8)+IF(AI95="",0,6)+IF(AK95="",0,4))=0,"",(IF(AG95="",0,AG95*8)+IF(AI95="",0,AI95*6)+IF(AK95="",0,AK95*4))/(IF(AG95="",0,8)+IF(AI95="",0,6)+IF(AK95="",0,4)))</f>
        <v/>
      </c>
      <c r="AN95" s="14">
        <f>IF((IF(AH95="",0,8)+IF(AJ95="",0,6)+IF(AL95="",0,4))=0,"",(IF(AH95="",0,AH95*8)+IF(AJ95="",0,AJ95*6)+IF(AL95="",0,AL95*4))/18)</f>
        <v/>
      </c>
      <c r="AO95" s="11">
        <f>IF(OR(City_Inputs!$AB95="",Norm_Stats!$F$17="",Norm_Stats!$G$17="",Norm_Stats!$G$17=Norm_Stats!$F$17),"",MAX(0,MIN(100,100*(MIN(MAX(City_Inputs!$AB95,Norm_Stats!$F$17),Norm_Stats!$G$17)-Norm_Stats!$F$17)/(Norm_Stats!$G$17-Norm_Stats!$F$17))))</f>
        <v/>
      </c>
      <c r="AP95" s="14">
        <f>IF(AO95="","",1)</f>
        <v/>
      </c>
      <c r="AQ95" s="11">
        <f>IF(OR(City_Inputs!$AC95="",Norm_Stats!$F$18="",Norm_Stats!$G$18="",Norm_Stats!$G$18=Norm_Stats!$F$18),"",MAX(0,MIN(100,100*(MIN(MAX(City_Inputs!$AC95,Norm_Stats!$F$18),Norm_Stats!$G$18)-Norm_Stats!$F$18)/(Norm_Stats!$G$18-Norm_Stats!$F$18))))</f>
        <v/>
      </c>
      <c r="AR95" s="14">
        <f>IF(AQ95="","",1)</f>
        <v/>
      </c>
      <c r="AS95" s="11">
        <f>IF(OR(City_Inputs!$AD95="",Norm_Stats!$F$19="",Norm_Stats!$G$19="",Norm_Stats!$G$19=Norm_Stats!$F$19),"",MAX(0,MIN(100,100*(MIN(MAX(City_Inputs!$AD95,Norm_Stats!$F$19),Norm_Stats!$G$19)-Norm_Stats!$F$19)/(Norm_Stats!$G$19-Norm_Stats!$F$19))))</f>
        <v/>
      </c>
      <c r="AT95" s="14">
        <f>IF(AS95="","",1)</f>
        <v/>
      </c>
      <c r="AU95" s="11">
        <f>IF(OR(City_Inputs!$BJ95="",Norm_Stats!$F$26="",Norm_Stats!$G$26="",Norm_Stats!$G$26=Norm_Stats!$F$26),"",MAX(0,MIN(100,100*(MIN(MAX(City_Inputs!$BJ95,Norm_Stats!$F$26),Norm_Stats!$G$26)-Norm_Stats!$F$26)/(Norm_Stats!$G$26-Norm_Stats!$F$26))))</f>
        <v/>
      </c>
      <c r="AV95" s="11">
        <f>IF(AU95="","",1)</f>
        <v/>
      </c>
      <c r="AW95" s="15">
        <f>IF((IF(AO95="",0,5)+IF(AQ95="",0,5)+IF(AS95="",0,5)+IF(AU95="",0,4))=0,"",(IF(AO95="",0,AO95*5)+IF(AQ95="",0,AQ95*5)+IF(AS95="",0,AS95*5)+IF(AU95="",0,AU95*4))/(IF(AO95="",0,5)+IF(AQ95="",0,5)+IF(AS95="",0,5)+IF(AU95="",0,4)))</f>
        <v/>
      </c>
      <c r="AX95" s="14">
        <f>IF((IF(AP95="",0,5)+IF(AR95="",0,5)+IF(AT95="",0,5)+IF(AV95="",0,4))=0,"",(IF(AP95="",0,AP95*5)+IF(AR95="",0,AR95*5)+IF(AT95="",0,AT95*5)+IF(AV95="",0,AV95*4))/19)</f>
        <v/>
      </c>
      <c r="AY95" s="11">
        <f>IF(OR(City_Inputs!$AE95="",Norm_Stats!$F$20="",Norm_Stats!$G$20="",Norm_Stats!$G$20=Norm_Stats!$F$20),"",MAX(0,MIN(100,100*(MIN(MAX(City_Inputs!$AE95,Norm_Stats!$F$20),Norm_Stats!$G$20)-Norm_Stats!$F$20)/(Norm_Stats!$G$20-Norm_Stats!$F$20))))</f>
        <v/>
      </c>
      <c r="AZ95" s="14">
        <f>IF(AY95="","",1)</f>
        <v/>
      </c>
      <c r="BA95" s="11">
        <f>IF(OR(City_Inputs!$AF95="",Norm_Stats!$F$21="",Norm_Stats!$G$21="",Norm_Stats!$G$21=Norm_Stats!$F$21),"",MAX(0,MIN(100,100*(MIN(MAX(City_Inputs!$AF95,Norm_Stats!$F$21),Norm_Stats!$G$21)-Norm_Stats!$F$21)/(Norm_Stats!$G$21-Norm_Stats!$F$21))))</f>
        <v/>
      </c>
      <c r="BB95" s="14">
        <f>IF(BA95="","",1)</f>
        <v/>
      </c>
      <c r="BC95" s="11">
        <f>IF((IF((IF(OR(City_Inputs!$AG95="",Norm_Stats!$F$22="",Norm_Stats!$G$22="",Norm_Stats!$G$22=Norm_Stats!$F$22),"",MAX(0,MIN(100,100*(MIN(MAX(City_Inputs!$AG95,Norm_Stats!$F$22),Norm_Stats!$G$22)-Norm_Stats!$F$22)/(Norm_Stats!$G$22-Norm_Stats!$F$22)))))="",0,0.5)+IF((IF(OR(City_Inputs!$AJ95="",Norm_Stats!$F$23="",Norm_Stats!$G$23="",Norm_Stats!$G$23=Norm_Stats!$F$23),"",MAX(0,MIN(100,100*(MIN(MAX(City_Inputs!$AJ95,Norm_Stats!$F$23),Norm_Stats!$G$23)-Norm_Stats!$F$23)/(Norm_Stats!$G$23-Norm_Stats!$F$23)))))="",0,0.3)+IF((IF(OR(City_Inputs!$AK95="",Norm_Stats!$F$24="",Norm_Stats!$G$24="",Norm_Stats!$G$24=Norm_Stats!$F$24),"",MAX(0,MIN(100,100*(MIN(MAX(City_Inputs!$AK95,Norm_Stats!$F$24),Norm_Stats!$G$24)-Norm_Stats!$F$24)/(Norm_Stats!$G$24-Norm_Stats!$F$24)))))="",0,0.2))=0,"",(IF((IF(OR(City_Inputs!$AG95="",Norm_Stats!$F$22="",Norm_Stats!$G$22="",Norm_Stats!$G$22=Norm_Stats!$F$22),"",MAX(0,MIN(100,100*(MIN(MAX(City_Inputs!$AG95,Norm_Stats!$F$22),Norm_Stats!$G$22)-Norm_Stats!$F$22)/(Norm_Stats!$G$22-Norm_Stats!$F$22)))))="",0,(IF(OR(City_Inputs!$AG95="",Norm_Stats!$F$22="",Norm_Stats!$G$22="",Norm_Stats!$G$22=Norm_Stats!$F$22),"",MAX(0,MIN(100,100*(MIN(MAX(City_Inputs!$AG95,Norm_Stats!$F$22),Norm_Stats!$G$22)-Norm_Stats!$F$22)/(Norm_Stats!$G$22-Norm_Stats!$F$22)))))*0.5)+IF((IF(OR(City_Inputs!$AJ95="",Norm_Stats!$F$23="",Norm_Stats!$G$23="",Norm_Stats!$G$23=Norm_Stats!$F$23),"",MAX(0,MIN(100,100*(MIN(MAX(City_Inputs!$AJ95,Norm_Stats!$F$23),Norm_Stats!$G$23)-Norm_Stats!$F$23)/(Norm_Stats!$G$23-Norm_Stats!$F$23)))))="",0,(IF(OR(City_Inputs!$AJ95="",Norm_Stats!$F$23="",Norm_Stats!$G$23="",Norm_Stats!$G$23=Norm_Stats!$F$23),"",MAX(0,MIN(100,100*(MIN(MAX(City_Inputs!$AJ95,Norm_Stats!$F$23),Norm_Stats!$G$23)-Norm_Stats!$F$23)/(Norm_Stats!$G$23-Norm_Stats!$F$23)))))*0.3)+IF((IF(OR(City_Inputs!$AK95="",Norm_Stats!$F$24="",Norm_Stats!$G$24="",Norm_Stats!$G$24=Norm_Stats!$F$24),"",MAX(0,MIN(100,100*(MIN(MAX(City_Inputs!$AK95,Norm_Stats!$F$24),Norm_Stats!$G$24)-Norm_Stats!$F$24)/(Norm_Stats!$G$24-Norm_Stats!$F$24)))))="",0,(IF(OR(City_Inputs!$AK95="",Norm_Stats!$F$24="",Norm_Stats!$G$24="",Norm_Stats!$G$24=Norm_Stats!$F$24),"",MAX(0,MIN(100,100*(MIN(MAX(City_Inputs!$AK95,Norm_Stats!$F$24),Norm_Stats!$G$24)-Norm_Stats!$F$24)/(Norm_Stats!$G$24-Norm_Stats!$F$24)))))*0.2))/(IF((IF(OR(City_Inputs!$AG95="",Norm_Stats!$F$22="",Norm_Stats!$G$22="",Norm_Stats!$G$22=Norm_Stats!$F$22),"",MAX(0,MIN(100,100*(MIN(MAX(City_Inputs!$AG95,Norm_Stats!$F$22),Norm_Stats!$G$22)-Norm_Stats!$F$22)/(Norm_Stats!$G$22-Norm_Stats!$F$22)))))="",0,0.5)+IF((IF(OR(City_Inputs!$AJ95="",Norm_Stats!$F$23="",Norm_Stats!$G$23="",Norm_Stats!$G$23=Norm_Stats!$F$23),"",MAX(0,MIN(100,100*(MIN(MAX(City_Inputs!$AJ95,Norm_Stats!$F$23),Norm_Stats!$G$23)-Norm_Stats!$F$23)/(Norm_Stats!$G$23-Norm_Stats!$F$23)))))="",0,0.3)+IF((IF(OR(City_Inputs!$AK95="",Norm_Stats!$F$24="",Norm_Stats!$G$24="",Norm_Stats!$G$24=Norm_Stats!$F$24),"",MAX(0,MIN(100,100*(MIN(MAX(City_Inputs!$AK95,Norm_Stats!$F$24),Norm_Stats!$G$24)-Norm_Stats!$F$24)/(Norm_Stats!$G$24-Norm_Stats!$F$24)))))="",0,0.2)))</f>
        <v/>
      </c>
      <c r="BD95" s="14">
        <f>IF((IF((IF(OR(City_Inputs!$AG95="",Norm_Stats!$F$22="",Norm_Stats!$G$22="",Norm_Stats!$G$22=Norm_Stats!$F$22),"",MAX(0,MIN(100,100*(MIN(MAX(City_Inputs!$AG95,Norm_Stats!$F$22),Norm_Stats!$G$22)-Norm_Stats!$F$22)/(Norm_Stats!$G$22-Norm_Stats!$F$22)))))="",0,0.5)+IF((IF(OR(City_Inputs!$AJ95="",Norm_Stats!$F$23="",Norm_Stats!$G$23="",Norm_Stats!$G$23=Norm_Stats!$F$23),"",MAX(0,MIN(100,100*(MIN(MAX(City_Inputs!$AJ95,Norm_Stats!$F$23),Norm_Stats!$G$23)-Norm_Stats!$F$23)/(Norm_Stats!$G$23-Norm_Stats!$F$23)))))="",0,0.3)+IF((IF(OR(City_Inputs!$AK95="",Norm_Stats!$F$24="",Norm_Stats!$G$24="",Norm_Stats!$G$24=Norm_Stats!$F$24),"",MAX(0,MIN(100,100*(MIN(MAX(City_Inputs!$AK95,Norm_Stats!$F$24),Norm_Stats!$G$24)-Norm_Stats!$F$24)/(Norm_Stats!$G$24-Norm_Stats!$F$24)))))="",0,0.2))=0,"",(IF((IF(OR(City_Inputs!$AG95="",Norm_Stats!$F$22="",Norm_Stats!$G$22="",Norm_Stats!$G$22=Norm_Stats!$F$22),"",MAX(0,MIN(100,100*(MIN(MAX(City_Inputs!$AG95,Norm_Stats!$F$22),Norm_Stats!$G$22)-Norm_Stats!$F$22)/(Norm_Stats!$G$22-Norm_Stats!$F$22)))))="",0,0.5)+IF((IF(OR(City_Inputs!$AJ95="",Norm_Stats!$F$23="",Norm_Stats!$G$23="",Norm_Stats!$G$23=Norm_Stats!$F$23),"",MAX(0,MIN(100,100*(MIN(MAX(City_Inputs!$AJ95,Norm_Stats!$F$23),Norm_Stats!$G$23)-Norm_Stats!$F$23)/(Norm_Stats!$G$23-Norm_Stats!$F$23)))))="",0,0.3)+IF((IF(OR(City_Inputs!$AK95="",Norm_Stats!$F$24="",Norm_Stats!$G$24="",Norm_Stats!$G$24=Norm_Stats!$F$24),"",MAX(0,MIN(100,100*(MIN(MAX(City_Inputs!$AK95,Norm_Stats!$F$24),Norm_Stats!$G$24)-Norm_Stats!$F$24)/(Norm_Stats!$G$24-Norm_Stats!$F$24)))))="",0,0.2)))</f>
        <v/>
      </c>
      <c r="BE95" s="11">
        <f>IF(OR(City_Inputs!$AH95="",Norm_Stats!$F$25="",Norm_Stats!$G$25="",Norm_Stats!$G$25=Norm_Stats!$F$25),"",MAX(0,MIN(100,100*(Norm_Stats!$G$25-MIN(MAX(City_Inputs!$AH95,Norm_Stats!$F$25),Norm_Stats!$G$25))/(Norm_Stats!$G$25-Norm_Stats!$F$25))))</f>
        <v/>
      </c>
      <c r="BF95" s="14">
        <f>IF(BE95="","",1)</f>
        <v/>
      </c>
      <c r="BG95" s="15">
        <f>IF((IF(AY95="",0,6)+IF(BA95="",0,5)+IF(BC95="",0,5)+IF(BE95="",0,4))=0,"",(IF(AY95="",0,AY95*6)+IF(BA95="",0,BA95*5)+IF(BC95="",0,BC95*5)+IF(BE95="",0,BE95*4))/(IF(AY95="",0,6)+IF(BA95="",0,5)+IF(BC95="",0,5)+IF(BE95="",0,4)))</f>
        <v/>
      </c>
      <c r="BH95" s="14">
        <f>IF((IF(AZ95="",0,6)+IF(BB95="",0,5)+IF(BD95="",0,5)+IF(BF95="",0,4))=0,"",(IF(AZ95="",0,AZ95*6)+IF(BB95="",0,BB95*5)+IF(BD95="",0,BD95*5)+IF(BF95="",0,BF95*4))/20)</f>
        <v/>
      </c>
      <c r="BI95" s="14">
        <f>IF(AND(R95="",AF95="",AN95="",AX95="",BH95=""),"",((R95*25)+(AF95*22)+(AN95*18)+(AX95*15)+(BH95*20))/100)</f>
        <v/>
      </c>
      <c r="BJ95" s="11">
        <f>IF(BI95="","",IF(BI95&gt;=0.75,"A",IF(BI95&gt;=0.5,"B",IF(BI95&gt;=0.35,"C","Watchlist"))))</f>
        <v/>
      </c>
      <c r="BK95" s="11">
        <f>IF(OR(BI95="",BI95&lt;0.5,R95="",R95&lt;0.35,AF95="",AF95&lt;0.35,AN95="",AN95&lt;0.35,AX95="",AX95&lt;0.35,BH95="",BH95&lt;0.35),"Watchlist","Ranked")</f>
        <v/>
      </c>
      <c r="BL95" s="15">
        <f>IF(AND(Q95="",AE95="",AM95="",AW95="",BG95=""),"",(IF(Q95="",0,Q95*25)+IF(AE95="",0,AE95*22)+IF(AM95="",0,AM95*18)+IF(AW95="",0,AW95*15)+IF(BG95="",0,BG95*20))/(IF(Q95="",0,25)+IF(AE95="",0,22)+IF(AM95="",0,18)+IF(AW95="",0,15)+IF(BG95="",0,20)))</f>
        <v/>
      </c>
      <c r="BM95" s="11">
        <f>IF(BK95="Ranked",1+COUNTIFS($BK$2:$BK$158,"Ranked",$BL$2:$BL$158,"&gt;"&amp;BL95),"")</f>
        <v/>
      </c>
      <c r="BN95" s="11">
        <f>City_Inputs!$AI95</f>
        <v/>
      </c>
    </row>
    <row r="96">
      <c r="A96" t="inlineStr">
        <is>
          <t>mu-port-louis</t>
        </is>
      </c>
      <c r="B96" t="inlineStr">
        <is>
          <t>Port Louis</t>
        </is>
      </c>
      <c r="C96" t="inlineStr">
        <is>
          <t>Mauritius</t>
        </is>
      </c>
      <c r="D96" t="inlineStr">
        <is>
          <t>Africa</t>
        </is>
      </c>
      <c r="E96" t="inlineStr">
        <is>
          <t>locked</t>
        </is>
      </c>
      <c r="F96" t="inlineStr">
        <is>
          <t>secondary</t>
        </is>
      </c>
      <c r="G96" s="11">
        <f>IF(OR(City_Inputs!$M96="",Norm_Stats!$F$2="",Norm_Stats!$G$2="",Norm_Stats!$G$2=Norm_Stats!$F$2),"",MAX(0,MIN(100,100*(MIN(MAX(City_Inputs!$M96,Norm_Stats!$F$2),Norm_Stats!$G$2)-Norm_Stats!$F$2)/(Norm_Stats!$G$2-Norm_Stats!$F$2))))</f>
        <v/>
      </c>
      <c r="H96" s="14">
        <f>IF(G96="","",1)</f>
        <v/>
      </c>
      <c r="I96" s="11">
        <f>IF(OR(City_Inputs!$N96="",Norm_Stats!$F$3="",Norm_Stats!$G$3="",Norm_Stats!$G$3=Norm_Stats!$F$3),"",MAX(0,MIN(100,100*(Norm_Stats!$G$3-MIN(MAX(City_Inputs!$N96,Norm_Stats!$F$3),Norm_Stats!$G$3))/(Norm_Stats!$G$3-Norm_Stats!$F$3))))</f>
        <v/>
      </c>
      <c r="J96" s="14">
        <f>IF(I96="","",1)</f>
        <v/>
      </c>
      <c r="K96" s="11">
        <f>IF(OR(City_Inputs!$P96="",Norm_Stats!$F$4="",Norm_Stats!$G$4="",Norm_Stats!$G$4=Norm_Stats!$F$4),"",MAX(0,MIN(100,100*(Norm_Stats!$G$4-MIN(MAX(City_Inputs!$P96,Norm_Stats!$F$4),Norm_Stats!$G$4))/(Norm_Stats!$G$4-Norm_Stats!$F$4))))</f>
        <v/>
      </c>
      <c r="L96" s="14">
        <f>IF(K96="","",1)</f>
        <v/>
      </c>
      <c r="M96" s="11">
        <f>IF(OR(City_Inputs!$Q96="",Norm_Stats!$F$5="",Norm_Stats!$G$5="",Norm_Stats!$G$5=Norm_Stats!$F$5),"",MAX(0,MIN(100,100*(Norm_Stats!$G$5-MIN(MAX(City_Inputs!$Q96,Norm_Stats!$F$5),Norm_Stats!$G$5))/(Norm_Stats!$G$5-Norm_Stats!$F$5))))</f>
        <v/>
      </c>
      <c r="N96" s="14">
        <f>IF(M96="","",1)</f>
        <v/>
      </c>
      <c r="O96" s="11">
        <f>IF(OR(City_Inputs!$R96="",Norm_Stats!$F$6="",Norm_Stats!$G$6="",Norm_Stats!$G$6=Norm_Stats!$F$6),"",MAX(0,MIN(100,100*(Norm_Stats!$G$6-MIN(MAX(City_Inputs!$R96,Norm_Stats!$F$6),Norm_Stats!$G$6))/(Norm_Stats!$G$6-Norm_Stats!$F$6))))</f>
        <v/>
      </c>
      <c r="P96" s="14">
        <f>IF(O96="","",1)</f>
        <v/>
      </c>
      <c r="Q96" s="15">
        <f>IF((IF(G96="",0,9)+IF(I96="",0,5)+IF(K96="",0,4)+IF(M96="",0,4)+IF(O96="",0,5))=0,"",(IF(G96="",0,G96*9)+IF(I96="",0,I96*5)+IF(K96="",0,K96*4)+IF(M96="",0,M96*4)+IF(O96="",0,O96*5))/(IF(G96="",0,9)+IF(I96="",0,5)+IF(K96="",0,4)+IF(M96="",0,4)+IF(O96="",0,5)))</f>
        <v/>
      </c>
      <c r="R96" s="14">
        <f>IF((IF(H96="",0,9)+IF(J96="",0,5)+IF(L96="",0,4)+IF(N96="",0,4)+IF(P96="",0,5))=0,"",(IF(H96="",0,H96*9)+IF(J96="",0,J96*5)+IF(L96="",0,L96*4)+IF(N96="",0,N96*4)+IF(P96="",0,P96*5))/27)</f>
        <v/>
      </c>
      <c r="S96" s="11">
        <f>IF(OR(City_Inputs!$S96="",Norm_Stats!$F$7="",Norm_Stats!$G$7="",Norm_Stats!$G$7=Norm_Stats!$F$7),"",MAX(0,MIN(100,100*(Norm_Stats!$G$7-MIN(MAX(City_Inputs!$S96,Norm_Stats!$F$7),Norm_Stats!$G$7))/(Norm_Stats!$G$7-Norm_Stats!$F$7))))</f>
        <v/>
      </c>
      <c r="T96" s="14">
        <f>IF(S96="","",1)</f>
        <v/>
      </c>
      <c r="U96" s="11">
        <f>IF(OR(City_Inputs!$T96="",Norm_Stats!$F$8="",Norm_Stats!$G$8="",Norm_Stats!$G$8=Norm_Stats!$F$8),"",MAX(0,MIN(100,100*(MIN(MAX(City_Inputs!$T96,Norm_Stats!$F$8),Norm_Stats!$G$8)-Norm_Stats!$F$8)/(Norm_Stats!$G$8-Norm_Stats!$F$8))))</f>
        <v/>
      </c>
      <c r="V96" s="14">
        <f>IF(U96="","",1)</f>
        <v/>
      </c>
      <c r="W96" s="11">
        <f>IF(OR(City_Inputs!$U96="",Norm_Stats!$F$9="",Norm_Stats!$G$9="",Norm_Stats!$G$9=Norm_Stats!$F$9),"",MAX(0,MIN(100,100*(Norm_Stats!$G$9-MIN(MAX(City_Inputs!$U96,Norm_Stats!$F$9),Norm_Stats!$G$9))/(Norm_Stats!$G$9-Norm_Stats!$F$9))))</f>
        <v/>
      </c>
      <c r="X96" s="14">
        <f>IF(W96="","",1)</f>
        <v/>
      </c>
      <c r="Y96" s="11">
        <f>IF(OR(City_Inputs!$V96="",Norm_Stats!$F$10="",Norm_Stats!$G$10="",Norm_Stats!$G$10=Norm_Stats!$F$10),"",MAX(0,MIN(100,100*(MIN(MAX(City_Inputs!$V96,Norm_Stats!$F$10),Norm_Stats!$G$10)-Norm_Stats!$F$10)/(Norm_Stats!$G$10-Norm_Stats!$F$10))))</f>
        <v/>
      </c>
      <c r="Z96" s="14">
        <f>IF(Y96="","",1)</f>
        <v/>
      </c>
      <c r="AA96" s="11">
        <f>IF(OR(City_Inputs!$W96="",Norm_Stats!$F$11="",Norm_Stats!$G$11="",Norm_Stats!$G$11=Norm_Stats!$F$11),"",MAX(0,MIN(100,100*(MIN(MAX(City_Inputs!$W96,Norm_Stats!$F$11),Norm_Stats!$G$11)-Norm_Stats!$F$11)/(Norm_Stats!$G$11-Norm_Stats!$F$11))))</f>
        <v/>
      </c>
      <c r="AB96" s="14">
        <f>IF(AA96="","",1)</f>
        <v/>
      </c>
      <c r="AC96" s="11">
        <f>IF(OR(City_Inputs!$X96="",Norm_Stats!$F$12="",Norm_Stats!$G$12="",Norm_Stats!$G$12=Norm_Stats!$F$12),"",MAX(0,MIN(100,100*(MIN(MAX(City_Inputs!$X96,Norm_Stats!$F$12),Norm_Stats!$G$12)-Norm_Stats!$F$12)/(Norm_Stats!$G$12-Norm_Stats!$F$12))))</f>
        <v/>
      </c>
      <c r="AD96" s="11">
        <f>IF(AC96="","",1)</f>
        <v/>
      </c>
      <c r="AE96" s="15">
        <f>IF((IF(S96="",0,5)+IF(U96="",0,5)+IF(W96="",0,4)+IF(Y96="",0,4)+IF(AA96="",0,4)+IF(AC96="",0,5))=0,"",(IF(S96="",0,S96*5)+IF(U96="",0,U96*5)+IF(W96="",0,W96*4)+IF(Y96="",0,Y96*4)+IF(AA96="",0,AA96*4)+IF(AC96="",0,AC96*5))/(IF(S96="",0,5)+IF(U96="",0,5)+IF(W96="",0,4)+IF(Y96="",0,4)+IF(AA96="",0,4)+IF(AC96="",0,5)))</f>
        <v/>
      </c>
      <c r="AF96" s="14">
        <f>IF((IF(T96="",0,5)+IF(V96="",0,5)+IF(X96="",0,4)+IF(Z96="",0,4)+IF(AB96="",0,4)+IF(AD96="",0,5))=0,"",(IF(T96="",0,T96*5)+IF(V96="",0,V96*5)+IF(X96="",0,X96*4)+IF(Z96="",0,Z96*4)+IF(AB96="",0,AB96*4)+IF(AD96="",0,AD96*5))/27)</f>
        <v/>
      </c>
      <c r="AG96" s="11">
        <f>IF(OR(City_Inputs!$Y96="",Norm_Stats!$F$13="",Norm_Stats!$G$13="",Norm_Stats!$G$13=Norm_Stats!$F$13),"",MAX(0,MIN(100,100*(MIN(MAX(City_Inputs!$Y96,Norm_Stats!$F$13),Norm_Stats!$G$13)-Norm_Stats!$F$13)/(Norm_Stats!$G$13-Norm_Stats!$F$13))))</f>
        <v/>
      </c>
      <c r="AH96" s="14">
        <f>IF(AG96="","",1)</f>
        <v/>
      </c>
      <c r="AI96" s="11">
        <f>IF(OR(City_Inputs!$Z96="",Norm_Stats!$F$14="",Norm_Stats!$G$14="",Norm_Stats!$G$14=Norm_Stats!$F$14),"",MAX(0,MIN(100,100*(MIN(MAX(City_Inputs!$Z96,Norm_Stats!$F$14),Norm_Stats!$G$14)-Norm_Stats!$F$14)/(Norm_Stats!$G$14-Norm_Stats!$F$14))))</f>
        <v/>
      </c>
      <c r="AJ96" s="14">
        <f>IF(AI96="","",1)</f>
        <v/>
      </c>
      <c r="AK96" s="11">
        <f>IF((IF((IF(OR(City_Inputs!$AA96="",Norm_Stats!$F$15="",Norm_Stats!$G$15="",Norm_Stats!$G$15=Norm_Stats!$F$15),"",MAX(0,MIN(100,100*(MIN(MAX(City_Inputs!$AA96,Norm_Stats!$F$15),Norm_Stats!$G$15)-Norm_Stats!$F$15)/(Norm_Stats!$G$15-Norm_Stats!$F$15)))))="",0,0.7)+IF((IF(OR(City_Inputs!$AL96="",Norm_Stats!$F$16="",Norm_Stats!$G$16="",Norm_Stats!$G$16=Norm_Stats!$F$16),"",MAX(0,MIN(100,100*(Norm_Stats!$G$16-MIN(MAX(City_Inputs!$AL96,Norm_Stats!$F$16),Norm_Stats!$G$16))/(Norm_Stats!$G$16-Norm_Stats!$F$16)))))="",0,0.3))=0,"",(IF((IF(OR(City_Inputs!$AA96="",Norm_Stats!$F$15="",Norm_Stats!$G$15="",Norm_Stats!$G$15=Norm_Stats!$F$15),"",MAX(0,MIN(100,100*(MIN(MAX(City_Inputs!$AA96,Norm_Stats!$F$15),Norm_Stats!$G$15)-Norm_Stats!$F$15)/(Norm_Stats!$G$15-Norm_Stats!$F$15)))))="",0,(IF(OR(City_Inputs!$AA96="",Norm_Stats!$F$15="",Norm_Stats!$G$15="",Norm_Stats!$G$15=Norm_Stats!$F$15),"",MAX(0,MIN(100,100*(MIN(MAX(City_Inputs!$AA96,Norm_Stats!$F$15),Norm_Stats!$G$15)-Norm_Stats!$F$15)/(Norm_Stats!$G$15-Norm_Stats!$F$15)))))*0.7)+IF((IF(OR(City_Inputs!$AL96="",Norm_Stats!$F$16="",Norm_Stats!$G$16="",Norm_Stats!$G$16=Norm_Stats!$F$16),"",MAX(0,MIN(100,100*(Norm_Stats!$G$16-MIN(MAX(City_Inputs!$AL96,Norm_Stats!$F$16),Norm_Stats!$G$16))/(Norm_Stats!$G$16-Norm_Stats!$F$16)))))="",0,(IF(OR(City_Inputs!$AL96="",Norm_Stats!$F$16="",Norm_Stats!$G$16="",Norm_Stats!$G$16=Norm_Stats!$F$16),"",MAX(0,MIN(100,100*(Norm_Stats!$G$16-MIN(MAX(City_Inputs!$AL96,Norm_Stats!$F$16),Norm_Stats!$G$16))/(Norm_Stats!$G$16-Norm_Stats!$F$16)))))*0.3))/(IF((IF(OR(City_Inputs!$AA96="",Norm_Stats!$F$15="",Norm_Stats!$G$15="",Norm_Stats!$G$15=Norm_Stats!$F$15),"",MAX(0,MIN(100,100*(MIN(MAX(City_Inputs!$AA96,Norm_Stats!$F$15),Norm_Stats!$G$15)-Norm_Stats!$F$15)/(Norm_Stats!$G$15-Norm_Stats!$F$15)))))="",0,0.7)+IF((IF(OR(City_Inputs!$AL96="",Norm_Stats!$F$16="",Norm_Stats!$G$16="",Norm_Stats!$G$16=Norm_Stats!$F$16),"",MAX(0,MIN(100,100*(Norm_Stats!$G$16-MIN(MAX(City_Inputs!$AL96,Norm_Stats!$F$16),Norm_Stats!$G$16))/(Norm_Stats!$G$16-Norm_Stats!$F$16)))))="",0,0.3)))</f>
        <v/>
      </c>
      <c r="AL96" s="14">
        <f>IF((IF((IF(OR(City_Inputs!$AA96="",Norm_Stats!$F$15="",Norm_Stats!$G$15="",Norm_Stats!$G$15=Norm_Stats!$F$15),"",MAX(0,MIN(100,100*(MIN(MAX(City_Inputs!$AA96,Norm_Stats!$F$15),Norm_Stats!$G$15)-Norm_Stats!$F$15)/(Norm_Stats!$G$15-Norm_Stats!$F$15)))))="",0,0.7)+IF((IF(OR(City_Inputs!$AL96="",Norm_Stats!$F$16="",Norm_Stats!$G$16="",Norm_Stats!$G$16=Norm_Stats!$F$16),"",MAX(0,MIN(100,100*(Norm_Stats!$G$16-MIN(MAX(City_Inputs!$AL96,Norm_Stats!$F$16),Norm_Stats!$G$16))/(Norm_Stats!$G$16-Norm_Stats!$F$16)))))="",0,0.3))=0,"",(IF((IF(OR(City_Inputs!$AA96="",Norm_Stats!$F$15="",Norm_Stats!$G$15="",Norm_Stats!$G$15=Norm_Stats!$F$15),"",MAX(0,MIN(100,100*(MIN(MAX(City_Inputs!$AA96,Norm_Stats!$F$15),Norm_Stats!$G$15)-Norm_Stats!$F$15)/(Norm_Stats!$G$15-Norm_Stats!$F$15)))))="",0,0.7)+IF((IF(OR(City_Inputs!$AL96="",Norm_Stats!$F$16="",Norm_Stats!$G$16="",Norm_Stats!$G$16=Norm_Stats!$F$16),"",MAX(0,MIN(100,100*(Norm_Stats!$G$16-MIN(MAX(City_Inputs!$AL96,Norm_Stats!$F$16),Norm_Stats!$G$16))/(Norm_Stats!$G$16-Norm_Stats!$F$16)))))="",0,0.3)))</f>
        <v/>
      </c>
      <c r="AM96" s="15">
        <f>IF((IF(AG96="",0,8)+IF(AI96="",0,6)+IF(AK96="",0,4))=0,"",(IF(AG96="",0,AG96*8)+IF(AI96="",0,AI96*6)+IF(AK96="",0,AK96*4))/(IF(AG96="",0,8)+IF(AI96="",0,6)+IF(AK96="",0,4)))</f>
        <v/>
      </c>
      <c r="AN96" s="14">
        <f>IF((IF(AH96="",0,8)+IF(AJ96="",0,6)+IF(AL96="",0,4))=0,"",(IF(AH96="",0,AH96*8)+IF(AJ96="",0,AJ96*6)+IF(AL96="",0,AL96*4))/18)</f>
        <v/>
      </c>
      <c r="AO96" s="11">
        <f>IF(OR(City_Inputs!$AB96="",Norm_Stats!$F$17="",Norm_Stats!$G$17="",Norm_Stats!$G$17=Norm_Stats!$F$17),"",MAX(0,MIN(100,100*(MIN(MAX(City_Inputs!$AB96,Norm_Stats!$F$17),Norm_Stats!$G$17)-Norm_Stats!$F$17)/(Norm_Stats!$G$17-Norm_Stats!$F$17))))</f>
        <v/>
      </c>
      <c r="AP96" s="14">
        <f>IF(AO96="","",1)</f>
        <v/>
      </c>
      <c r="AQ96" s="11">
        <f>IF(OR(City_Inputs!$AC96="",Norm_Stats!$F$18="",Norm_Stats!$G$18="",Norm_Stats!$G$18=Norm_Stats!$F$18),"",MAX(0,MIN(100,100*(MIN(MAX(City_Inputs!$AC96,Norm_Stats!$F$18),Norm_Stats!$G$18)-Norm_Stats!$F$18)/(Norm_Stats!$G$18-Norm_Stats!$F$18))))</f>
        <v/>
      </c>
      <c r="AR96" s="14">
        <f>IF(AQ96="","",1)</f>
        <v/>
      </c>
      <c r="AS96" s="11">
        <f>IF(OR(City_Inputs!$AD96="",Norm_Stats!$F$19="",Norm_Stats!$G$19="",Norm_Stats!$G$19=Norm_Stats!$F$19),"",MAX(0,MIN(100,100*(MIN(MAX(City_Inputs!$AD96,Norm_Stats!$F$19),Norm_Stats!$G$19)-Norm_Stats!$F$19)/(Norm_Stats!$G$19-Norm_Stats!$F$19))))</f>
        <v/>
      </c>
      <c r="AT96" s="14">
        <f>IF(AS96="","",1)</f>
        <v/>
      </c>
      <c r="AU96" s="11">
        <f>IF(OR(City_Inputs!$BJ96="",Norm_Stats!$F$26="",Norm_Stats!$G$26="",Norm_Stats!$G$26=Norm_Stats!$F$26),"",MAX(0,MIN(100,100*(MIN(MAX(City_Inputs!$BJ96,Norm_Stats!$F$26),Norm_Stats!$G$26)-Norm_Stats!$F$26)/(Norm_Stats!$G$26-Norm_Stats!$F$26))))</f>
        <v/>
      </c>
      <c r="AV96" s="11">
        <f>IF(AU96="","",1)</f>
        <v/>
      </c>
      <c r="AW96" s="15">
        <f>IF((IF(AO96="",0,5)+IF(AQ96="",0,5)+IF(AS96="",0,5)+IF(AU96="",0,4))=0,"",(IF(AO96="",0,AO96*5)+IF(AQ96="",0,AQ96*5)+IF(AS96="",0,AS96*5)+IF(AU96="",0,AU96*4))/(IF(AO96="",0,5)+IF(AQ96="",0,5)+IF(AS96="",0,5)+IF(AU96="",0,4)))</f>
        <v/>
      </c>
      <c r="AX96" s="14">
        <f>IF((IF(AP96="",0,5)+IF(AR96="",0,5)+IF(AT96="",0,5)+IF(AV96="",0,4))=0,"",(IF(AP96="",0,AP96*5)+IF(AR96="",0,AR96*5)+IF(AT96="",0,AT96*5)+IF(AV96="",0,AV96*4))/19)</f>
        <v/>
      </c>
      <c r="AY96" s="11">
        <f>IF(OR(City_Inputs!$AE96="",Norm_Stats!$F$20="",Norm_Stats!$G$20="",Norm_Stats!$G$20=Norm_Stats!$F$20),"",MAX(0,MIN(100,100*(MIN(MAX(City_Inputs!$AE96,Norm_Stats!$F$20),Norm_Stats!$G$20)-Norm_Stats!$F$20)/(Norm_Stats!$G$20-Norm_Stats!$F$20))))</f>
        <v/>
      </c>
      <c r="AZ96" s="14">
        <f>IF(AY96="","",1)</f>
        <v/>
      </c>
      <c r="BA96" s="11">
        <f>IF(OR(City_Inputs!$AF96="",Norm_Stats!$F$21="",Norm_Stats!$G$21="",Norm_Stats!$G$21=Norm_Stats!$F$21),"",MAX(0,MIN(100,100*(MIN(MAX(City_Inputs!$AF96,Norm_Stats!$F$21),Norm_Stats!$G$21)-Norm_Stats!$F$21)/(Norm_Stats!$G$21-Norm_Stats!$F$21))))</f>
        <v/>
      </c>
      <c r="BB96" s="14">
        <f>IF(BA96="","",1)</f>
        <v/>
      </c>
      <c r="BC96" s="11">
        <f>IF((IF((IF(OR(City_Inputs!$AG96="",Norm_Stats!$F$22="",Norm_Stats!$G$22="",Norm_Stats!$G$22=Norm_Stats!$F$22),"",MAX(0,MIN(100,100*(MIN(MAX(City_Inputs!$AG96,Norm_Stats!$F$22),Norm_Stats!$G$22)-Norm_Stats!$F$22)/(Norm_Stats!$G$22-Norm_Stats!$F$22)))))="",0,0.5)+IF((IF(OR(City_Inputs!$AJ96="",Norm_Stats!$F$23="",Norm_Stats!$G$23="",Norm_Stats!$G$23=Norm_Stats!$F$23),"",MAX(0,MIN(100,100*(MIN(MAX(City_Inputs!$AJ96,Norm_Stats!$F$23),Norm_Stats!$G$23)-Norm_Stats!$F$23)/(Norm_Stats!$G$23-Norm_Stats!$F$23)))))="",0,0.3)+IF((IF(OR(City_Inputs!$AK96="",Norm_Stats!$F$24="",Norm_Stats!$G$24="",Norm_Stats!$G$24=Norm_Stats!$F$24),"",MAX(0,MIN(100,100*(MIN(MAX(City_Inputs!$AK96,Norm_Stats!$F$24),Norm_Stats!$G$24)-Norm_Stats!$F$24)/(Norm_Stats!$G$24-Norm_Stats!$F$24)))))="",0,0.2))=0,"",(IF((IF(OR(City_Inputs!$AG96="",Norm_Stats!$F$22="",Norm_Stats!$G$22="",Norm_Stats!$G$22=Norm_Stats!$F$22),"",MAX(0,MIN(100,100*(MIN(MAX(City_Inputs!$AG96,Norm_Stats!$F$22),Norm_Stats!$G$22)-Norm_Stats!$F$22)/(Norm_Stats!$G$22-Norm_Stats!$F$22)))))="",0,(IF(OR(City_Inputs!$AG96="",Norm_Stats!$F$22="",Norm_Stats!$G$22="",Norm_Stats!$G$22=Norm_Stats!$F$22),"",MAX(0,MIN(100,100*(MIN(MAX(City_Inputs!$AG96,Norm_Stats!$F$22),Norm_Stats!$G$22)-Norm_Stats!$F$22)/(Norm_Stats!$G$22-Norm_Stats!$F$22)))))*0.5)+IF((IF(OR(City_Inputs!$AJ96="",Norm_Stats!$F$23="",Norm_Stats!$G$23="",Norm_Stats!$G$23=Norm_Stats!$F$23),"",MAX(0,MIN(100,100*(MIN(MAX(City_Inputs!$AJ96,Norm_Stats!$F$23),Norm_Stats!$G$23)-Norm_Stats!$F$23)/(Norm_Stats!$G$23-Norm_Stats!$F$23)))))="",0,(IF(OR(City_Inputs!$AJ96="",Norm_Stats!$F$23="",Norm_Stats!$G$23="",Norm_Stats!$G$23=Norm_Stats!$F$23),"",MAX(0,MIN(100,100*(MIN(MAX(City_Inputs!$AJ96,Norm_Stats!$F$23),Norm_Stats!$G$23)-Norm_Stats!$F$23)/(Norm_Stats!$G$23-Norm_Stats!$F$23)))))*0.3)+IF((IF(OR(City_Inputs!$AK96="",Norm_Stats!$F$24="",Norm_Stats!$G$24="",Norm_Stats!$G$24=Norm_Stats!$F$24),"",MAX(0,MIN(100,100*(MIN(MAX(City_Inputs!$AK96,Norm_Stats!$F$24),Norm_Stats!$G$24)-Norm_Stats!$F$24)/(Norm_Stats!$G$24-Norm_Stats!$F$24)))))="",0,(IF(OR(City_Inputs!$AK96="",Norm_Stats!$F$24="",Norm_Stats!$G$24="",Norm_Stats!$G$24=Norm_Stats!$F$24),"",MAX(0,MIN(100,100*(MIN(MAX(City_Inputs!$AK96,Norm_Stats!$F$24),Norm_Stats!$G$24)-Norm_Stats!$F$24)/(Norm_Stats!$G$24-Norm_Stats!$F$24)))))*0.2))/(IF((IF(OR(City_Inputs!$AG96="",Norm_Stats!$F$22="",Norm_Stats!$G$22="",Norm_Stats!$G$22=Norm_Stats!$F$22),"",MAX(0,MIN(100,100*(MIN(MAX(City_Inputs!$AG96,Norm_Stats!$F$22),Norm_Stats!$G$22)-Norm_Stats!$F$22)/(Norm_Stats!$G$22-Norm_Stats!$F$22)))))="",0,0.5)+IF((IF(OR(City_Inputs!$AJ96="",Norm_Stats!$F$23="",Norm_Stats!$G$23="",Norm_Stats!$G$23=Norm_Stats!$F$23),"",MAX(0,MIN(100,100*(MIN(MAX(City_Inputs!$AJ96,Norm_Stats!$F$23),Norm_Stats!$G$23)-Norm_Stats!$F$23)/(Norm_Stats!$G$23-Norm_Stats!$F$23)))))="",0,0.3)+IF((IF(OR(City_Inputs!$AK96="",Norm_Stats!$F$24="",Norm_Stats!$G$24="",Norm_Stats!$G$24=Norm_Stats!$F$24),"",MAX(0,MIN(100,100*(MIN(MAX(City_Inputs!$AK96,Norm_Stats!$F$24),Norm_Stats!$G$24)-Norm_Stats!$F$24)/(Norm_Stats!$G$24-Norm_Stats!$F$24)))))="",0,0.2)))</f>
        <v/>
      </c>
      <c r="BD96" s="14">
        <f>IF((IF((IF(OR(City_Inputs!$AG96="",Norm_Stats!$F$22="",Norm_Stats!$G$22="",Norm_Stats!$G$22=Norm_Stats!$F$22),"",MAX(0,MIN(100,100*(MIN(MAX(City_Inputs!$AG96,Norm_Stats!$F$22),Norm_Stats!$G$22)-Norm_Stats!$F$22)/(Norm_Stats!$G$22-Norm_Stats!$F$22)))))="",0,0.5)+IF((IF(OR(City_Inputs!$AJ96="",Norm_Stats!$F$23="",Norm_Stats!$G$23="",Norm_Stats!$G$23=Norm_Stats!$F$23),"",MAX(0,MIN(100,100*(MIN(MAX(City_Inputs!$AJ96,Norm_Stats!$F$23),Norm_Stats!$G$23)-Norm_Stats!$F$23)/(Norm_Stats!$G$23-Norm_Stats!$F$23)))))="",0,0.3)+IF((IF(OR(City_Inputs!$AK96="",Norm_Stats!$F$24="",Norm_Stats!$G$24="",Norm_Stats!$G$24=Norm_Stats!$F$24),"",MAX(0,MIN(100,100*(MIN(MAX(City_Inputs!$AK96,Norm_Stats!$F$24),Norm_Stats!$G$24)-Norm_Stats!$F$24)/(Norm_Stats!$G$24-Norm_Stats!$F$24)))))="",0,0.2))=0,"",(IF((IF(OR(City_Inputs!$AG96="",Norm_Stats!$F$22="",Norm_Stats!$G$22="",Norm_Stats!$G$22=Norm_Stats!$F$22),"",MAX(0,MIN(100,100*(MIN(MAX(City_Inputs!$AG96,Norm_Stats!$F$22),Norm_Stats!$G$22)-Norm_Stats!$F$22)/(Norm_Stats!$G$22-Norm_Stats!$F$22)))))="",0,0.5)+IF((IF(OR(City_Inputs!$AJ96="",Norm_Stats!$F$23="",Norm_Stats!$G$23="",Norm_Stats!$G$23=Norm_Stats!$F$23),"",MAX(0,MIN(100,100*(MIN(MAX(City_Inputs!$AJ96,Norm_Stats!$F$23),Norm_Stats!$G$23)-Norm_Stats!$F$23)/(Norm_Stats!$G$23-Norm_Stats!$F$23)))))="",0,0.3)+IF((IF(OR(City_Inputs!$AK96="",Norm_Stats!$F$24="",Norm_Stats!$G$24="",Norm_Stats!$G$24=Norm_Stats!$F$24),"",MAX(0,MIN(100,100*(MIN(MAX(City_Inputs!$AK96,Norm_Stats!$F$24),Norm_Stats!$G$24)-Norm_Stats!$F$24)/(Norm_Stats!$G$24-Norm_Stats!$F$24)))))="",0,0.2)))</f>
        <v/>
      </c>
      <c r="BE96" s="11">
        <f>IF(OR(City_Inputs!$AH96="",Norm_Stats!$F$25="",Norm_Stats!$G$25="",Norm_Stats!$G$25=Norm_Stats!$F$25),"",MAX(0,MIN(100,100*(Norm_Stats!$G$25-MIN(MAX(City_Inputs!$AH96,Norm_Stats!$F$25),Norm_Stats!$G$25))/(Norm_Stats!$G$25-Norm_Stats!$F$25))))</f>
        <v/>
      </c>
      <c r="BF96" s="14">
        <f>IF(BE96="","",1)</f>
        <v/>
      </c>
      <c r="BG96" s="15">
        <f>IF((IF(AY96="",0,6)+IF(BA96="",0,5)+IF(BC96="",0,5)+IF(BE96="",0,4))=0,"",(IF(AY96="",0,AY96*6)+IF(BA96="",0,BA96*5)+IF(BC96="",0,BC96*5)+IF(BE96="",0,BE96*4))/(IF(AY96="",0,6)+IF(BA96="",0,5)+IF(BC96="",0,5)+IF(BE96="",0,4)))</f>
        <v/>
      </c>
      <c r="BH96" s="14">
        <f>IF((IF(AZ96="",0,6)+IF(BB96="",0,5)+IF(BD96="",0,5)+IF(BF96="",0,4))=0,"",(IF(AZ96="",0,AZ96*6)+IF(BB96="",0,BB96*5)+IF(BD96="",0,BD96*5)+IF(BF96="",0,BF96*4))/20)</f>
        <v/>
      </c>
      <c r="BI96" s="14">
        <f>IF(AND(R96="",AF96="",AN96="",AX96="",BH96=""),"",((R96*25)+(AF96*22)+(AN96*18)+(AX96*15)+(BH96*20))/100)</f>
        <v/>
      </c>
      <c r="BJ96" s="11">
        <f>IF(BI96="","",IF(BI96&gt;=0.75,"A",IF(BI96&gt;=0.5,"B",IF(BI96&gt;=0.35,"C","Watchlist"))))</f>
        <v/>
      </c>
      <c r="BK96" s="11">
        <f>IF(OR(BI96="",BI96&lt;0.5,R96="",R96&lt;0.35,AF96="",AF96&lt;0.35,AN96="",AN96&lt;0.35,AX96="",AX96&lt;0.35,BH96="",BH96&lt;0.35),"Watchlist","Ranked")</f>
        <v/>
      </c>
      <c r="BL96" s="15">
        <f>IF(AND(Q96="",AE96="",AM96="",AW96="",BG96=""),"",(IF(Q96="",0,Q96*25)+IF(AE96="",0,AE96*22)+IF(AM96="",0,AM96*18)+IF(AW96="",0,AW96*15)+IF(BG96="",0,BG96*20))/(IF(Q96="",0,25)+IF(AE96="",0,22)+IF(AM96="",0,18)+IF(AW96="",0,15)+IF(BG96="",0,20)))</f>
        <v/>
      </c>
      <c r="BM96" s="11">
        <f>IF(BK96="Ranked",1+COUNTIFS($BK$2:$BK$158,"Ranked",$BL$2:$BL$158,"&gt;"&amp;BL96),"")</f>
        <v/>
      </c>
      <c r="BN96" s="11">
        <f>City_Inputs!$AI96</f>
        <v/>
      </c>
    </row>
    <row r="97">
      <c r="A97" t="inlineStr">
        <is>
          <t>bw-gaborone</t>
        </is>
      </c>
      <c r="B97" t="inlineStr">
        <is>
          <t>Gaborone</t>
        </is>
      </c>
      <c r="C97" t="inlineStr">
        <is>
          <t>Botswana</t>
        </is>
      </c>
      <c r="D97" t="inlineStr">
        <is>
          <t>Africa</t>
        </is>
      </c>
      <c r="E97" t="inlineStr">
        <is>
          <t>locked</t>
        </is>
      </c>
      <c r="F97" t="inlineStr">
        <is>
          <t>secondary</t>
        </is>
      </c>
      <c r="G97" s="11">
        <f>IF(OR(City_Inputs!$M97="",Norm_Stats!$F$2="",Norm_Stats!$G$2="",Norm_Stats!$G$2=Norm_Stats!$F$2),"",MAX(0,MIN(100,100*(MIN(MAX(City_Inputs!$M97,Norm_Stats!$F$2),Norm_Stats!$G$2)-Norm_Stats!$F$2)/(Norm_Stats!$G$2-Norm_Stats!$F$2))))</f>
        <v/>
      </c>
      <c r="H97" s="14">
        <f>IF(G97="","",1)</f>
        <v/>
      </c>
      <c r="I97" s="11">
        <f>IF(OR(City_Inputs!$N97="",Norm_Stats!$F$3="",Norm_Stats!$G$3="",Norm_Stats!$G$3=Norm_Stats!$F$3),"",MAX(0,MIN(100,100*(Norm_Stats!$G$3-MIN(MAX(City_Inputs!$N97,Norm_Stats!$F$3),Norm_Stats!$G$3))/(Norm_Stats!$G$3-Norm_Stats!$F$3))))</f>
        <v/>
      </c>
      <c r="J97" s="14">
        <f>IF(I97="","",1)</f>
        <v/>
      </c>
      <c r="K97" s="11">
        <f>IF(OR(City_Inputs!$P97="",Norm_Stats!$F$4="",Norm_Stats!$G$4="",Norm_Stats!$G$4=Norm_Stats!$F$4),"",MAX(0,MIN(100,100*(Norm_Stats!$G$4-MIN(MAX(City_Inputs!$P97,Norm_Stats!$F$4),Norm_Stats!$G$4))/(Norm_Stats!$G$4-Norm_Stats!$F$4))))</f>
        <v/>
      </c>
      <c r="L97" s="14">
        <f>IF(K97="","",1)</f>
        <v/>
      </c>
      <c r="M97" s="11">
        <f>IF(OR(City_Inputs!$Q97="",Norm_Stats!$F$5="",Norm_Stats!$G$5="",Norm_Stats!$G$5=Norm_Stats!$F$5),"",MAX(0,MIN(100,100*(Norm_Stats!$G$5-MIN(MAX(City_Inputs!$Q97,Norm_Stats!$F$5),Norm_Stats!$G$5))/(Norm_Stats!$G$5-Norm_Stats!$F$5))))</f>
        <v/>
      </c>
      <c r="N97" s="14">
        <f>IF(M97="","",1)</f>
        <v/>
      </c>
      <c r="O97" s="11">
        <f>IF(OR(City_Inputs!$R97="",Norm_Stats!$F$6="",Norm_Stats!$G$6="",Norm_Stats!$G$6=Norm_Stats!$F$6),"",MAX(0,MIN(100,100*(Norm_Stats!$G$6-MIN(MAX(City_Inputs!$R97,Norm_Stats!$F$6),Norm_Stats!$G$6))/(Norm_Stats!$G$6-Norm_Stats!$F$6))))</f>
        <v/>
      </c>
      <c r="P97" s="14">
        <f>IF(O97="","",1)</f>
        <v/>
      </c>
      <c r="Q97" s="15">
        <f>IF((IF(G97="",0,9)+IF(I97="",0,5)+IF(K97="",0,4)+IF(M97="",0,4)+IF(O97="",0,5))=0,"",(IF(G97="",0,G97*9)+IF(I97="",0,I97*5)+IF(K97="",0,K97*4)+IF(M97="",0,M97*4)+IF(O97="",0,O97*5))/(IF(G97="",0,9)+IF(I97="",0,5)+IF(K97="",0,4)+IF(M97="",0,4)+IF(O97="",0,5)))</f>
        <v/>
      </c>
      <c r="R97" s="14">
        <f>IF((IF(H97="",0,9)+IF(J97="",0,5)+IF(L97="",0,4)+IF(N97="",0,4)+IF(P97="",0,5))=0,"",(IF(H97="",0,H97*9)+IF(J97="",0,J97*5)+IF(L97="",0,L97*4)+IF(N97="",0,N97*4)+IF(P97="",0,P97*5))/27)</f>
        <v/>
      </c>
      <c r="S97" s="11">
        <f>IF(OR(City_Inputs!$S97="",Norm_Stats!$F$7="",Norm_Stats!$G$7="",Norm_Stats!$G$7=Norm_Stats!$F$7),"",MAX(0,MIN(100,100*(Norm_Stats!$G$7-MIN(MAX(City_Inputs!$S97,Norm_Stats!$F$7),Norm_Stats!$G$7))/(Norm_Stats!$G$7-Norm_Stats!$F$7))))</f>
        <v/>
      </c>
      <c r="T97" s="14">
        <f>IF(S97="","",1)</f>
        <v/>
      </c>
      <c r="U97" s="11">
        <f>IF(OR(City_Inputs!$T97="",Norm_Stats!$F$8="",Norm_Stats!$G$8="",Norm_Stats!$G$8=Norm_Stats!$F$8),"",MAX(0,MIN(100,100*(MIN(MAX(City_Inputs!$T97,Norm_Stats!$F$8),Norm_Stats!$G$8)-Norm_Stats!$F$8)/(Norm_Stats!$G$8-Norm_Stats!$F$8))))</f>
        <v/>
      </c>
      <c r="V97" s="14">
        <f>IF(U97="","",1)</f>
        <v/>
      </c>
      <c r="W97" s="11">
        <f>IF(OR(City_Inputs!$U97="",Norm_Stats!$F$9="",Norm_Stats!$G$9="",Norm_Stats!$G$9=Norm_Stats!$F$9),"",MAX(0,MIN(100,100*(Norm_Stats!$G$9-MIN(MAX(City_Inputs!$U97,Norm_Stats!$F$9),Norm_Stats!$G$9))/(Norm_Stats!$G$9-Norm_Stats!$F$9))))</f>
        <v/>
      </c>
      <c r="X97" s="14">
        <f>IF(W97="","",1)</f>
        <v/>
      </c>
      <c r="Y97" s="11">
        <f>IF(OR(City_Inputs!$V97="",Norm_Stats!$F$10="",Norm_Stats!$G$10="",Norm_Stats!$G$10=Norm_Stats!$F$10),"",MAX(0,MIN(100,100*(MIN(MAX(City_Inputs!$V97,Norm_Stats!$F$10),Norm_Stats!$G$10)-Norm_Stats!$F$10)/(Norm_Stats!$G$10-Norm_Stats!$F$10))))</f>
        <v/>
      </c>
      <c r="Z97" s="14">
        <f>IF(Y97="","",1)</f>
        <v/>
      </c>
      <c r="AA97" s="11">
        <f>IF(OR(City_Inputs!$W97="",Norm_Stats!$F$11="",Norm_Stats!$G$11="",Norm_Stats!$G$11=Norm_Stats!$F$11),"",MAX(0,MIN(100,100*(MIN(MAX(City_Inputs!$W97,Norm_Stats!$F$11),Norm_Stats!$G$11)-Norm_Stats!$F$11)/(Norm_Stats!$G$11-Norm_Stats!$F$11))))</f>
        <v/>
      </c>
      <c r="AB97" s="14">
        <f>IF(AA97="","",1)</f>
        <v/>
      </c>
      <c r="AC97" s="11">
        <f>IF(OR(City_Inputs!$X97="",Norm_Stats!$F$12="",Norm_Stats!$G$12="",Norm_Stats!$G$12=Norm_Stats!$F$12),"",MAX(0,MIN(100,100*(MIN(MAX(City_Inputs!$X97,Norm_Stats!$F$12),Norm_Stats!$G$12)-Norm_Stats!$F$12)/(Norm_Stats!$G$12-Norm_Stats!$F$12))))</f>
        <v/>
      </c>
      <c r="AD97" s="11">
        <f>IF(AC97="","",1)</f>
        <v/>
      </c>
      <c r="AE97" s="15">
        <f>IF((IF(S97="",0,5)+IF(U97="",0,5)+IF(W97="",0,4)+IF(Y97="",0,4)+IF(AA97="",0,4)+IF(AC97="",0,5))=0,"",(IF(S97="",0,S97*5)+IF(U97="",0,U97*5)+IF(W97="",0,W97*4)+IF(Y97="",0,Y97*4)+IF(AA97="",0,AA97*4)+IF(AC97="",0,AC97*5))/(IF(S97="",0,5)+IF(U97="",0,5)+IF(W97="",0,4)+IF(Y97="",0,4)+IF(AA97="",0,4)+IF(AC97="",0,5)))</f>
        <v/>
      </c>
      <c r="AF97" s="14">
        <f>IF((IF(T97="",0,5)+IF(V97="",0,5)+IF(X97="",0,4)+IF(Z97="",0,4)+IF(AB97="",0,4)+IF(AD97="",0,5))=0,"",(IF(T97="",0,T97*5)+IF(V97="",0,V97*5)+IF(X97="",0,X97*4)+IF(Z97="",0,Z97*4)+IF(AB97="",0,AB97*4)+IF(AD97="",0,AD97*5))/27)</f>
        <v/>
      </c>
      <c r="AG97" s="11">
        <f>IF(OR(City_Inputs!$Y97="",Norm_Stats!$F$13="",Norm_Stats!$G$13="",Norm_Stats!$G$13=Norm_Stats!$F$13),"",MAX(0,MIN(100,100*(MIN(MAX(City_Inputs!$Y97,Norm_Stats!$F$13),Norm_Stats!$G$13)-Norm_Stats!$F$13)/(Norm_Stats!$G$13-Norm_Stats!$F$13))))</f>
        <v/>
      </c>
      <c r="AH97" s="14">
        <f>IF(AG97="","",1)</f>
        <v/>
      </c>
      <c r="AI97" s="11">
        <f>IF(OR(City_Inputs!$Z97="",Norm_Stats!$F$14="",Norm_Stats!$G$14="",Norm_Stats!$G$14=Norm_Stats!$F$14),"",MAX(0,MIN(100,100*(MIN(MAX(City_Inputs!$Z97,Norm_Stats!$F$14),Norm_Stats!$G$14)-Norm_Stats!$F$14)/(Norm_Stats!$G$14-Norm_Stats!$F$14))))</f>
        <v/>
      </c>
      <c r="AJ97" s="14">
        <f>IF(AI97="","",1)</f>
        <v/>
      </c>
      <c r="AK97" s="11">
        <f>IF((IF((IF(OR(City_Inputs!$AA97="",Norm_Stats!$F$15="",Norm_Stats!$G$15="",Norm_Stats!$G$15=Norm_Stats!$F$15),"",MAX(0,MIN(100,100*(MIN(MAX(City_Inputs!$AA97,Norm_Stats!$F$15),Norm_Stats!$G$15)-Norm_Stats!$F$15)/(Norm_Stats!$G$15-Norm_Stats!$F$15)))))="",0,0.7)+IF((IF(OR(City_Inputs!$AL97="",Norm_Stats!$F$16="",Norm_Stats!$G$16="",Norm_Stats!$G$16=Norm_Stats!$F$16),"",MAX(0,MIN(100,100*(Norm_Stats!$G$16-MIN(MAX(City_Inputs!$AL97,Norm_Stats!$F$16),Norm_Stats!$G$16))/(Norm_Stats!$G$16-Norm_Stats!$F$16)))))="",0,0.3))=0,"",(IF((IF(OR(City_Inputs!$AA97="",Norm_Stats!$F$15="",Norm_Stats!$G$15="",Norm_Stats!$G$15=Norm_Stats!$F$15),"",MAX(0,MIN(100,100*(MIN(MAX(City_Inputs!$AA97,Norm_Stats!$F$15),Norm_Stats!$G$15)-Norm_Stats!$F$15)/(Norm_Stats!$G$15-Norm_Stats!$F$15)))))="",0,(IF(OR(City_Inputs!$AA97="",Norm_Stats!$F$15="",Norm_Stats!$G$15="",Norm_Stats!$G$15=Norm_Stats!$F$15),"",MAX(0,MIN(100,100*(MIN(MAX(City_Inputs!$AA97,Norm_Stats!$F$15),Norm_Stats!$G$15)-Norm_Stats!$F$15)/(Norm_Stats!$G$15-Norm_Stats!$F$15)))))*0.7)+IF((IF(OR(City_Inputs!$AL97="",Norm_Stats!$F$16="",Norm_Stats!$G$16="",Norm_Stats!$G$16=Norm_Stats!$F$16),"",MAX(0,MIN(100,100*(Norm_Stats!$G$16-MIN(MAX(City_Inputs!$AL97,Norm_Stats!$F$16),Norm_Stats!$G$16))/(Norm_Stats!$G$16-Norm_Stats!$F$16)))))="",0,(IF(OR(City_Inputs!$AL97="",Norm_Stats!$F$16="",Norm_Stats!$G$16="",Norm_Stats!$G$16=Norm_Stats!$F$16),"",MAX(0,MIN(100,100*(Norm_Stats!$G$16-MIN(MAX(City_Inputs!$AL97,Norm_Stats!$F$16),Norm_Stats!$G$16))/(Norm_Stats!$G$16-Norm_Stats!$F$16)))))*0.3))/(IF((IF(OR(City_Inputs!$AA97="",Norm_Stats!$F$15="",Norm_Stats!$G$15="",Norm_Stats!$G$15=Norm_Stats!$F$15),"",MAX(0,MIN(100,100*(MIN(MAX(City_Inputs!$AA97,Norm_Stats!$F$15),Norm_Stats!$G$15)-Norm_Stats!$F$15)/(Norm_Stats!$G$15-Norm_Stats!$F$15)))))="",0,0.7)+IF((IF(OR(City_Inputs!$AL97="",Norm_Stats!$F$16="",Norm_Stats!$G$16="",Norm_Stats!$G$16=Norm_Stats!$F$16),"",MAX(0,MIN(100,100*(Norm_Stats!$G$16-MIN(MAX(City_Inputs!$AL97,Norm_Stats!$F$16),Norm_Stats!$G$16))/(Norm_Stats!$G$16-Norm_Stats!$F$16)))))="",0,0.3)))</f>
        <v/>
      </c>
      <c r="AL97" s="14">
        <f>IF((IF((IF(OR(City_Inputs!$AA97="",Norm_Stats!$F$15="",Norm_Stats!$G$15="",Norm_Stats!$G$15=Norm_Stats!$F$15),"",MAX(0,MIN(100,100*(MIN(MAX(City_Inputs!$AA97,Norm_Stats!$F$15),Norm_Stats!$G$15)-Norm_Stats!$F$15)/(Norm_Stats!$G$15-Norm_Stats!$F$15)))))="",0,0.7)+IF((IF(OR(City_Inputs!$AL97="",Norm_Stats!$F$16="",Norm_Stats!$G$16="",Norm_Stats!$G$16=Norm_Stats!$F$16),"",MAX(0,MIN(100,100*(Norm_Stats!$G$16-MIN(MAX(City_Inputs!$AL97,Norm_Stats!$F$16),Norm_Stats!$G$16))/(Norm_Stats!$G$16-Norm_Stats!$F$16)))))="",0,0.3))=0,"",(IF((IF(OR(City_Inputs!$AA97="",Norm_Stats!$F$15="",Norm_Stats!$G$15="",Norm_Stats!$G$15=Norm_Stats!$F$15),"",MAX(0,MIN(100,100*(MIN(MAX(City_Inputs!$AA97,Norm_Stats!$F$15),Norm_Stats!$G$15)-Norm_Stats!$F$15)/(Norm_Stats!$G$15-Norm_Stats!$F$15)))))="",0,0.7)+IF((IF(OR(City_Inputs!$AL97="",Norm_Stats!$F$16="",Norm_Stats!$G$16="",Norm_Stats!$G$16=Norm_Stats!$F$16),"",MAX(0,MIN(100,100*(Norm_Stats!$G$16-MIN(MAX(City_Inputs!$AL97,Norm_Stats!$F$16),Norm_Stats!$G$16))/(Norm_Stats!$G$16-Norm_Stats!$F$16)))))="",0,0.3)))</f>
        <v/>
      </c>
      <c r="AM97" s="15">
        <f>IF((IF(AG97="",0,8)+IF(AI97="",0,6)+IF(AK97="",0,4))=0,"",(IF(AG97="",0,AG97*8)+IF(AI97="",0,AI97*6)+IF(AK97="",0,AK97*4))/(IF(AG97="",0,8)+IF(AI97="",0,6)+IF(AK97="",0,4)))</f>
        <v/>
      </c>
      <c r="AN97" s="14">
        <f>IF((IF(AH97="",0,8)+IF(AJ97="",0,6)+IF(AL97="",0,4))=0,"",(IF(AH97="",0,AH97*8)+IF(AJ97="",0,AJ97*6)+IF(AL97="",0,AL97*4))/18)</f>
        <v/>
      </c>
      <c r="AO97" s="11">
        <f>IF(OR(City_Inputs!$AB97="",Norm_Stats!$F$17="",Norm_Stats!$G$17="",Norm_Stats!$G$17=Norm_Stats!$F$17),"",MAX(0,MIN(100,100*(MIN(MAX(City_Inputs!$AB97,Norm_Stats!$F$17),Norm_Stats!$G$17)-Norm_Stats!$F$17)/(Norm_Stats!$G$17-Norm_Stats!$F$17))))</f>
        <v/>
      </c>
      <c r="AP97" s="14">
        <f>IF(AO97="","",1)</f>
        <v/>
      </c>
      <c r="AQ97" s="11">
        <f>IF(OR(City_Inputs!$AC97="",Norm_Stats!$F$18="",Norm_Stats!$G$18="",Norm_Stats!$G$18=Norm_Stats!$F$18),"",MAX(0,MIN(100,100*(MIN(MAX(City_Inputs!$AC97,Norm_Stats!$F$18),Norm_Stats!$G$18)-Norm_Stats!$F$18)/(Norm_Stats!$G$18-Norm_Stats!$F$18))))</f>
        <v/>
      </c>
      <c r="AR97" s="14">
        <f>IF(AQ97="","",1)</f>
        <v/>
      </c>
      <c r="AS97" s="11">
        <f>IF(OR(City_Inputs!$AD97="",Norm_Stats!$F$19="",Norm_Stats!$G$19="",Norm_Stats!$G$19=Norm_Stats!$F$19),"",MAX(0,MIN(100,100*(MIN(MAX(City_Inputs!$AD97,Norm_Stats!$F$19),Norm_Stats!$G$19)-Norm_Stats!$F$19)/(Norm_Stats!$G$19-Norm_Stats!$F$19))))</f>
        <v/>
      </c>
      <c r="AT97" s="14">
        <f>IF(AS97="","",1)</f>
        <v/>
      </c>
      <c r="AU97" s="11">
        <f>IF(OR(City_Inputs!$BJ97="",Norm_Stats!$F$26="",Norm_Stats!$G$26="",Norm_Stats!$G$26=Norm_Stats!$F$26),"",MAX(0,MIN(100,100*(MIN(MAX(City_Inputs!$BJ97,Norm_Stats!$F$26),Norm_Stats!$G$26)-Norm_Stats!$F$26)/(Norm_Stats!$G$26-Norm_Stats!$F$26))))</f>
        <v/>
      </c>
      <c r="AV97" s="11">
        <f>IF(AU97="","",1)</f>
        <v/>
      </c>
      <c r="AW97" s="15">
        <f>IF((IF(AO97="",0,5)+IF(AQ97="",0,5)+IF(AS97="",0,5)+IF(AU97="",0,4))=0,"",(IF(AO97="",0,AO97*5)+IF(AQ97="",0,AQ97*5)+IF(AS97="",0,AS97*5)+IF(AU97="",0,AU97*4))/(IF(AO97="",0,5)+IF(AQ97="",0,5)+IF(AS97="",0,5)+IF(AU97="",0,4)))</f>
        <v/>
      </c>
      <c r="AX97" s="14">
        <f>IF((IF(AP97="",0,5)+IF(AR97="",0,5)+IF(AT97="",0,5)+IF(AV97="",0,4))=0,"",(IF(AP97="",0,AP97*5)+IF(AR97="",0,AR97*5)+IF(AT97="",0,AT97*5)+IF(AV97="",0,AV97*4))/19)</f>
        <v/>
      </c>
      <c r="AY97" s="11">
        <f>IF(OR(City_Inputs!$AE97="",Norm_Stats!$F$20="",Norm_Stats!$G$20="",Norm_Stats!$G$20=Norm_Stats!$F$20),"",MAX(0,MIN(100,100*(MIN(MAX(City_Inputs!$AE97,Norm_Stats!$F$20),Norm_Stats!$G$20)-Norm_Stats!$F$20)/(Norm_Stats!$G$20-Norm_Stats!$F$20))))</f>
        <v/>
      </c>
      <c r="AZ97" s="14">
        <f>IF(AY97="","",1)</f>
        <v/>
      </c>
      <c r="BA97" s="11">
        <f>IF(OR(City_Inputs!$AF97="",Norm_Stats!$F$21="",Norm_Stats!$G$21="",Norm_Stats!$G$21=Norm_Stats!$F$21),"",MAX(0,MIN(100,100*(MIN(MAX(City_Inputs!$AF97,Norm_Stats!$F$21),Norm_Stats!$G$21)-Norm_Stats!$F$21)/(Norm_Stats!$G$21-Norm_Stats!$F$21))))</f>
        <v/>
      </c>
      <c r="BB97" s="14">
        <f>IF(BA97="","",1)</f>
        <v/>
      </c>
      <c r="BC97" s="11">
        <f>IF((IF((IF(OR(City_Inputs!$AG97="",Norm_Stats!$F$22="",Norm_Stats!$G$22="",Norm_Stats!$G$22=Norm_Stats!$F$22),"",MAX(0,MIN(100,100*(MIN(MAX(City_Inputs!$AG97,Norm_Stats!$F$22),Norm_Stats!$G$22)-Norm_Stats!$F$22)/(Norm_Stats!$G$22-Norm_Stats!$F$22)))))="",0,0.5)+IF((IF(OR(City_Inputs!$AJ97="",Norm_Stats!$F$23="",Norm_Stats!$G$23="",Norm_Stats!$G$23=Norm_Stats!$F$23),"",MAX(0,MIN(100,100*(MIN(MAX(City_Inputs!$AJ97,Norm_Stats!$F$23),Norm_Stats!$G$23)-Norm_Stats!$F$23)/(Norm_Stats!$G$23-Norm_Stats!$F$23)))))="",0,0.3)+IF((IF(OR(City_Inputs!$AK97="",Norm_Stats!$F$24="",Norm_Stats!$G$24="",Norm_Stats!$G$24=Norm_Stats!$F$24),"",MAX(0,MIN(100,100*(MIN(MAX(City_Inputs!$AK97,Norm_Stats!$F$24),Norm_Stats!$G$24)-Norm_Stats!$F$24)/(Norm_Stats!$G$24-Norm_Stats!$F$24)))))="",0,0.2))=0,"",(IF((IF(OR(City_Inputs!$AG97="",Norm_Stats!$F$22="",Norm_Stats!$G$22="",Norm_Stats!$G$22=Norm_Stats!$F$22),"",MAX(0,MIN(100,100*(MIN(MAX(City_Inputs!$AG97,Norm_Stats!$F$22),Norm_Stats!$G$22)-Norm_Stats!$F$22)/(Norm_Stats!$G$22-Norm_Stats!$F$22)))))="",0,(IF(OR(City_Inputs!$AG97="",Norm_Stats!$F$22="",Norm_Stats!$G$22="",Norm_Stats!$G$22=Norm_Stats!$F$22),"",MAX(0,MIN(100,100*(MIN(MAX(City_Inputs!$AG97,Norm_Stats!$F$22),Norm_Stats!$G$22)-Norm_Stats!$F$22)/(Norm_Stats!$G$22-Norm_Stats!$F$22)))))*0.5)+IF((IF(OR(City_Inputs!$AJ97="",Norm_Stats!$F$23="",Norm_Stats!$G$23="",Norm_Stats!$G$23=Norm_Stats!$F$23),"",MAX(0,MIN(100,100*(MIN(MAX(City_Inputs!$AJ97,Norm_Stats!$F$23),Norm_Stats!$G$23)-Norm_Stats!$F$23)/(Norm_Stats!$G$23-Norm_Stats!$F$23)))))="",0,(IF(OR(City_Inputs!$AJ97="",Norm_Stats!$F$23="",Norm_Stats!$G$23="",Norm_Stats!$G$23=Norm_Stats!$F$23),"",MAX(0,MIN(100,100*(MIN(MAX(City_Inputs!$AJ97,Norm_Stats!$F$23),Norm_Stats!$G$23)-Norm_Stats!$F$23)/(Norm_Stats!$G$23-Norm_Stats!$F$23)))))*0.3)+IF((IF(OR(City_Inputs!$AK97="",Norm_Stats!$F$24="",Norm_Stats!$G$24="",Norm_Stats!$G$24=Norm_Stats!$F$24),"",MAX(0,MIN(100,100*(MIN(MAX(City_Inputs!$AK97,Norm_Stats!$F$24),Norm_Stats!$G$24)-Norm_Stats!$F$24)/(Norm_Stats!$G$24-Norm_Stats!$F$24)))))="",0,(IF(OR(City_Inputs!$AK97="",Norm_Stats!$F$24="",Norm_Stats!$G$24="",Norm_Stats!$G$24=Norm_Stats!$F$24),"",MAX(0,MIN(100,100*(MIN(MAX(City_Inputs!$AK97,Norm_Stats!$F$24),Norm_Stats!$G$24)-Norm_Stats!$F$24)/(Norm_Stats!$G$24-Norm_Stats!$F$24)))))*0.2))/(IF((IF(OR(City_Inputs!$AG97="",Norm_Stats!$F$22="",Norm_Stats!$G$22="",Norm_Stats!$G$22=Norm_Stats!$F$22),"",MAX(0,MIN(100,100*(MIN(MAX(City_Inputs!$AG97,Norm_Stats!$F$22),Norm_Stats!$G$22)-Norm_Stats!$F$22)/(Norm_Stats!$G$22-Norm_Stats!$F$22)))))="",0,0.5)+IF((IF(OR(City_Inputs!$AJ97="",Norm_Stats!$F$23="",Norm_Stats!$G$23="",Norm_Stats!$G$23=Norm_Stats!$F$23),"",MAX(0,MIN(100,100*(MIN(MAX(City_Inputs!$AJ97,Norm_Stats!$F$23),Norm_Stats!$G$23)-Norm_Stats!$F$23)/(Norm_Stats!$G$23-Norm_Stats!$F$23)))))="",0,0.3)+IF((IF(OR(City_Inputs!$AK97="",Norm_Stats!$F$24="",Norm_Stats!$G$24="",Norm_Stats!$G$24=Norm_Stats!$F$24),"",MAX(0,MIN(100,100*(MIN(MAX(City_Inputs!$AK97,Norm_Stats!$F$24),Norm_Stats!$G$24)-Norm_Stats!$F$24)/(Norm_Stats!$G$24-Norm_Stats!$F$24)))))="",0,0.2)))</f>
        <v/>
      </c>
      <c r="BD97" s="14">
        <f>IF((IF((IF(OR(City_Inputs!$AG97="",Norm_Stats!$F$22="",Norm_Stats!$G$22="",Norm_Stats!$G$22=Norm_Stats!$F$22),"",MAX(0,MIN(100,100*(MIN(MAX(City_Inputs!$AG97,Norm_Stats!$F$22),Norm_Stats!$G$22)-Norm_Stats!$F$22)/(Norm_Stats!$G$22-Norm_Stats!$F$22)))))="",0,0.5)+IF((IF(OR(City_Inputs!$AJ97="",Norm_Stats!$F$23="",Norm_Stats!$G$23="",Norm_Stats!$G$23=Norm_Stats!$F$23),"",MAX(0,MIN(100,100*(MIN(MAX(City_Inputs!$AJ97,Norm_Stats!$F$23),Norm_Stats!$G$23)-Norm_Stats!$F$23)/(Norm_Stats!$G$23-Norm_Stats!$F$23)))))="",0,0.3)+IF((IF(OR(City_Inputs!$AK97="",Norm_Stats!$F$24="",Norm_Stats!$G$24="",Norm_Stats!$G$24=Norm_Stats!$F$24),"",MAX(0,MIN(100,100*(MIN(MAX(City_Inputs!$AK97,Norm_Stats!$F$24),Norm_Stats!$G$24)-Norm_Stats!$F$24)/(Norm_Stats!$G$24-Norm_Stats!$F$24)))))="",0,0.2))=0,"",(IF((IF(OR(City_Inputs!$AG97="",Norm_Stats!$F$22="",Norm_Stats!$G$22="",Norm_Stats!$G$22=Norm_Stats!$F$22),"",MAX(0,MIN(100,100*(MIN(MAX(City_Inputs!$AG97,Norm_Stats!$F$22),Norm_Stats!$G$22)-Norm_Stats!$F$22)/(Norm_Stats!$G$22-Norm_Stats!$F$22)))))="",0,0.5)+IF((IF(OR(City_Inputs!$AJ97="",Norm_Stats!$F$23="",Norm_Stats!$G$23="",Norm_Stats!$G$23=Norm_Stats!$F$23),"",MAX(0,MIN(100,100*(MIN(MAX(City_Inputs!$AJ97,Norm_Stats!$F$23),Norm_Stats!$G$23)-Norm_Stats!$F$23)/(Norm_Stats!$G$23-Norm_Stats!$F$23)))))="",0,0.3)+IF((IF(OR(City_Inputs!$AK97="",Norm_Stats!$F$24="",Norm_Stats!$G$24="",Norm_Stats!$G$24=Norm_Stats!$F$24),"",MAX(0,MIN(100,100*(MIN(MAX(City_Inputs!$AK97,Norm_Stats!$F$24),Norm_Stats!$G$24)-Norm_Stats!$F$24)/(Norm_Stats!$G$24-Norm_Stats!$F$24)))))="",0,0.2)))</f>
        <v/>
      </c>
      <c r="BE97" s="11">
        <f>IF(OR(City_Inputs!$AH97="",Norm_Stats!$F$25="",Norm_Stats!$G$25="",Norm_Stats!$G$25=Norm_Stats!$F$25),"",MAX(0,MIN(100,100*(Norm_Stats!$G$25-MIN(MAX(City_Inputs!$AH97,Norm_Stats!$F$25),Norm_Stats!$G$25))/(Norm_Stats!$G$25-Norm_Stats!$F$25))))</f>
        <v/>
      </c>
      <c r="BF97" s="14">
        <f>IF(BE97="","",1)</f>
        <v/>
      </c>
      <c r="BG97" s="15">
        <f>IF((IF(AY97="",0,6)+IF(BA97="",0,5)+IF(BC97="",0,5)+IF(BE97="",0,4))=0,"",(IF(AY97="",0,AY97*6)+IF(BA97="",0,BA97*5)+IF(BC97="",0,BC97*5)+IF(BE97="",0,BE97*4))/(IF(AY97="",0,6)+IF(BA97="",0,5)+IF(BC97="",0,5)+IF(BE97="",0,4)))</f>
        <v/>
      </c>
      <c r="BH97" s="14">
        <f>IF((IF(AZ97="",0,6)+IF(BB97="",0,5)+IF(BD97="",0,5)+IF(BF97="",0,4))=0,"",(IF(AZ97="",0,AZ97*6)+IF(BB97="",0,BB97*5)+IF(BD97="",0,BD97*5)+IF(BF97="",0,BF97*4))/20)</f>
        <v/>
      </c>
      <c r="BI97" s="14">
        <f>IF(AND(R97="",AF97="",AN97="",AX97="",BH97=""),"",((R97*25)+(AF97*22)+(AN97*18)+(AX97*15)+(BH97*20))/100)</f>
        <v/>
      </c>
      <c r="BJ97" s="11">
        <f>IF(BI97="","",IF(BI97&gt;=0.75,"A",IF(BI97&gt;=0.5,"B",IF(BI97&gt;=0.35,"C","Watchlist"))))</f>
        <v/>
      </c>
      <c r="BK97" s="11">
        <f>IF(OR(BI97="",BI97&lt;0.5,R97="",R97&lt;0.35,AF97="",AF97&lt;0.35,AN97="",AN97&lt;0.35,AX97="",AX97&lt;0.35,BH97="",BH97&lt;0.35),"Watchlist","Ranked")</f>
        <v/>
      </c>
      <c r="BL97" s="15">
        <f>IF(AND(Q97="",AE97="",AM97="",AW97="",BG97=""),"",(IF(Q97="",0,Q97*25)+IF(AE97="",0,AE97*22)+IF(AM97="",0,AM97*18)+IF(AW97="",0,AW97*15)+IF(BG97="",0,BG97*20))/(IF(Q97="",0,25)+IF(AE97="",0,22)+IF(AM97="",0,18)+IF(AW97="",0,15)+IF(BG97="",0,20)))</f>
        <v/>
      </c>
      <c r="BM97" s="11">
        <f>IF(BK97="Ranked",1+COUNTIFS($BK$2:$BK$158,"Ranked",$BL$2:$BL$158,"&gt;"&amp;BL97),"")</f>
        <v/>
      </c>
      <c r="BN97" s="11">
        <f>City_Inputs!$AI97</f>
        <v/>
      </c>
    </row>
    <row r="98">
      <c r="A98" t="inlineStr">
        <is>
          <t>na-windhoek</t>
        </is>
      </c>
      <c r="B98" t="inlineStr">
        <is>
          <t>Windhoek</t>
        </is>
      </c>
      <c r="C98" t="inlineStr">
        <is>
          <t>Namibia</t>
        </is>
      </c>
      <c r="D98" t="inlineStr">
        <is>
          <t>Africa</t>
        </is>
      </c>
      <c r="E98" t="inlineStr">
        <is>
          <t>locked</t>
        </is>
      </c>
      <c r="F98" t="inlineStr">
        <is>
          <t>secondary</t>
        </is>
      </c>
      <c r="G98" s="11">
        <f>IF(OR(City_Inputs!$M98="",Norm_Stats!$F$2="",Norm_Stats!$G$2="",Norm_Stats!$G$2=Norm_Stats!$F$2),"",MAX(0,MIN(100,100*(MIN(MAX(City_Inputs!$M98,Norm_Stats!$F$2),Norm_Stats!$G$2)-Norm_Stats!$F$2)/(Norm_Stats!$G$2-Norm_Stats!$F$2))))</f>
        <v/>
      </c>
      <c r="H98" s="14">
        <f>IF(G98="","",1)</f>
        <v/>
      </c>
      <c r="I98" s="11">
        <f>IF(OR(City_Inputs!$N98="",Norm_Stats!$F$3="",Norm_Stats!$G$3="",Norm_Stats!$G$3=Norm_Stats!$F$3),"",MAX(0,MIN(100,100*(Norm_Stats!$G$3-MIN(MAX(City_Inputs!$N98,Norm_Stats!$F$3),Norm_Stats!$G$3))/(Norm_Stats!$G$3-Norm_Stats!$F$3))))</f>
        <v/>
      </c>
      <c r="J98" s="14">
        <f>IF(I98="","",1)</f>
        <v/>
      </c>
      <c r="K98" s="11">
        <f>IF(OR(City_Inputs!$P98="",Norm_Stats!$F$4="",Norm_Stats!$G$4="",Norm_Stats!$G$4=Norm_Stats!$F$4),"",MAX(0,MIN(100,100*(Norm_Stats!$G$4-MIN(MAX(City_Inputs!$P98,Norm_Stats!$F$4),Norm_Stats!$G$4))/(Norm_Stats!$G$4-Norm_Stats!$F$4))))</f>
        <v/>
      </c>
      <c r="L98" s="14">
        <f>IF(K98="","",1)</f>
        <v/>
      </c>
      <c r="M98" s="11">
        <f>IF(OR(City_Inputs!$Q98="",Norm_Stats!$F$5="",Norm_Stats!$G$5="",Norm_Stats!$G$5=Norm_Stats!$F$5),"",MAX(0,MIN(100,100*(Norm_Stats!$G$5-MIN(MAX(City_Inputs!$Q98,Norm_Stats!$F$5),Norm_Stats!$G$5))/(Norm_Stats!$G$5-Norm_Stats!$F$5))))</f>
        <v/>
      </c>
      <c r="N98" s="14">
        <f>IF(M98="","",1)</f>
        <v/>
      </c>
      <c r="O98" s="11">
        <f>IF(OR(City_Inputs!$R98="",Norm_Stats!$F$6="",Norm_Stats!$G$6="",Norm_Stats!$G$6=Norm_Stats!$F$6),"",MAX(0,MIN(100,100*(Norm_Stats!$G$6-MIN(MAX(City_Inputs!$R98,Norm_Stats!$F$6),Norm_Stats!$G$6))/(Norm_Stats!$G$6-Norm_Stats!$F$6))))</f>
        <v/>
      </c>
      <c r="P98" s="14">
        <f>IF(O98="","",1)</f>
        <v/>
      </c>
      <c r="Q98" s="15">
        <f>IF((IF(G98="",0,9)+IF(I98="",0,5)+IF(K98="",0,4)+IF(M98="",0,4)+IF(O98="",0,5))=0,"",(IF(G98="",0,G98*9)+IF(I98="",0,I98*5)+IF(K98="",0,K98*4)+IF(M98="",0,M98*4)+IF(O98="",0,O98*5))/(IF(G98="",0,9)+IF(I98="",0,5)+IF(K98="",0,4)+IF(M98="",0,4)+IF(O98="",0,5)))</f>
        <v/>
      </c>
      <c r="R98" s="14">
        <f>IF((IF(H98="",0,9)+IF(J98="",0,5)+IF(L98="",0,4)+IF(N98="",0,4)+IF(P98="",0,5))=0,"",(IF(H98="",0,H98*9)+IF(J98="",0,J98*5)+IF(L98="",0,L98*4)+IF(N98="",0,N98*4)+IF(P98="",0,P98*5))/27)</f>
        <v/>
      </c>
      <c r="S98" s="11">
        <f>IF(OR(City_Inputs!$S98="",Norm_Stats!$F$7="",Norm_Stats!$G$7="",Norm_Stats!$G$7=Norm_Stats!$F$7),"",MAX(0,MIN(100,100*(Norm_Stats!$G$7-MIN(MAX(City_Inputs!$S98,Norm_Stats!$F$7),Norm_Stats!$G$7))/(Norm_Stats!$G$7-Norm_Stats!$F$7))))</f>
        <v/>
      </c>
      <c r="T98" s="14">
        <f>IF(S98="","",1)</f>
        <v/>
      </c>
      <c r="U98" s="11">
        <f>IF(OR(City_Inputs!$T98="",Norm_Stats!$F$8="",Norm_Stats!$G$8="",Norm_Stats!$G$8=Norm_Stats!$F$8),"",MAX(0,MIN(100,100*(MIN(MAX(City_Inputs!$T98,Norm_Stats!$F$8),Norm_Stats!$G$8)-Norm_Stats!$F$8)/(Norm_Stats!$G$8-Norm_Stats!$F$8))))</f>
        <v/>
      </c>
      <c r="V98" s="14">
        <f>IF(U98="","",1)</f>
        <v/>
      </c>
      <c r="W98" s="11">
        <f>IF(OR(City_Inputs!$U98="",Norm_Stats!$F$9="",Norm_Stats!$G$9="",Norm_Stats!$G$9=Norm_Stats!$F$9),"",MAX(0,MIN(100,100*(Norm_Stats!$G$9-MIN(MAX(City_Inputs!$U98,Norm_Stats!$F$9),Norm_Stats!$G$9))/(Norm_Stats!$G$9-Norm_Stats!$F$9))))</f>
        <v/>
      </c>
      <c r="X98" s="14">
        <f>IF(W98="","",1)</f>
        <v/>
      </c>
      <c r="Y98" s="11">
        <f>IF(OR(City_Inputs!$V98="",Norm_Stats!$F$10="",Norm_Stats!$G$10="",Norm_Stats!$G$10=Norm_Stats!$F$10),"",MAX(0,MIN(100,100*(MIN(MAX(City_Inputs!$V98,Norm_Stats!$F$10),Norm_Stats!$G$10)-Norm_Stats!$F$10)/(Norm_Stats!$G$10-Norm_Stats!$F$10))))</f>
        <v/>
      </c>
      <c r="Z98" s="14">
        <f>IF(Y98="","",1)</f>
        <v/>
      </c>
      <c r="AA98" s="11">
        <f>IF(OR(City_Inputs!$W98="",Norm_Stats!$F$11="",Norm_Stats!$G$11="",Norm_Stats!$G$11=Norm_Stats!$F$11),"",MAX(0,MIN(100,100*(MIN(MAX(City_Inputs!$W98,Norm_Stats!$F$11),Norm_Stats!$G$11)-Norm_Stats!$F$11)/(Norm_Stats!$G$11-Norm_Stats!$F$11))))</f>
        <v/>
      </c>
      <c r="AB98" s="14">
        <f>IF(AA98="","",1)</f>
        <v/>
      </c>
      <c r="AC98" s="11">
        <f>IF(OR(City_Inputs!$X98="",Norm_Stats!$F$12="",Norm_Stats!$G$12="",Norm_Stats!$G$12=Norm_Stats!$F$12),"",MAX(0,MIN(100,100*(MIN(MAX(City_Inputs!$X98,Norm_Stats!$F$12),Norm_Stats!$G$12)-Norm_Stats!$F$12)/(Norm_Stats!$G$12-Norm_Stats!$F$12))))</f>
        <v/>
      </c>
      <c r="AD98" s="11">
        <f>IF(AC98="","",1)</f>
        <v/>
      </c>
      <c r="AE98" s="15">
        <f>IF((IF(S98="",0,5)+IF(U98="",0,5)+IF(W98="",0,4)+IF(Y98="",0,4)+IF(AA98="",0,4)+IF(AC98="",0,5))=0,"",(IF(S98="",0,S98*5)+IF(U98="",0,U98*5)+IF(W98="",0,W98*4)+IF(Y98="",0,Y98*4)+IF(AA98="",0,AA98*4)+IF(AC98="",0,AC98*5))/(IF(S98="",0,5)+IF(U98="",0,5)+IF(W98="",0,4)+IF(Y98="",0,4)+IF(AA98="",0,4)+IF(AC98="",0,5)))</f>
        <v/>
      </c>
      <c r="AF98" s="14">
        <f>IF((IF(T98="",0,5)+IF(V98="",0,5)+IF(X98="",0,4)+IF(Z98="",0,4)+IF(AB98="",0,4)+IF(AD98="",0,5))=0,"",(IF(T98="",0,T98*5)+IF(V98="",0,V98*5)+IF(X98="",0,X98*4)+IF(Z98="",0,Z98*4)+IF(AB98="",0,AB98*4)+IF(AD98="",0,AD98*5))/27)</f>
        <v/>
      </c>
      <c r="AG98" s="11">
        <f>IF(OR(City_Inputs!$Y98="",Norm_Stats!$F$13="",Norm_Stats!$G$13="",Norm_Stats!$G$13=Norm_Stats!$F$13),"",MAX(0,MIN(100,100*(MIN(MAX(City_Inputs!$Y98,Norm_Stats!$F$13),Norm_Stats!$G$13)-Norm_Stats!$F$13)/(Norm_Stats!$G$13-Norm_Stats!$F$13))))</f>
        <v/>
      </c>
      <c r="AH98" s="14">
        <f>IF(AG98="","",1)</f>
        <v/>
      </c>
      <c r="AI98" s="11">
        <f>IF(OR(City_Inputs!$Z98="",Norm_Stats!$F$14="",Norm_Stats!$G$14="",Norm_Stats!$G$14=Norm_Stats!$F$14),"",MAX(0,MIN(100,100*(MIN(MAX(City_Inputs!$Z98,Norm_Stats!$F$14),Norm_Stats!$G$14)-Norm_Stats!$F$14)/(Norm_Stats!$G$14-Norm_Stats!$F$14))))</f>
        <v/>
      </c>
      <c r="AJ98" s="14">
        <f>IF(AI98="","",1)</f>
        <v/>
      </c>
      <c r="AK98" s="11">
        <f>IF((IF((IF(OR(City_Inputs!$AA98="",Norm_Stats!$F$15="",Norm_Stats!$G$15="",Norm_Stats!$G$15=Norm_Stats!$F$15),"",MAX(0,MIN(100,100*(MIN(MAX(City_Inputs!$AA98,Norm_Stats!$F$15),Norm_Stats!$G$15)-Norm_Stats!$F$15)/(Norm_Stats!$G$15-Norm_Stats!$F$15)))))="",0,0.7)+IF((IF(OR(City_Inputs!$AL98="",Norm_Stats!$F$16="",Norm_Stats!$G$16="",Norm_Stats!$G$16=Norm_Stats!$F$16),"",MAX(0,MIN(100,100*(Norm_Stats!$G$16-MIN(MAX(City_Inputs!$AL98,Norm_Stats!$F$16),Norm_Stats!$G$16))/(Norm_Stats!$G$16-Norm_Stats!$F$16)))))="",0,0.3))=0,"",(IF((IF(OR(City_Inputs!$AA98="",Norm_Stats!$F$15="",Norm_Stats!$G$15="",Norm_Stats!$G$15=Norm_Stats!$F$15),"",MAX(0,MIN(100,100*(MIN(MAX(City_Inputs!$AA98,Norm_Stats!$F$15),Norm_Stats!$G$15)-Norm_Stats!$F$15)/(Norm_Stats!$G$15-Norm_Stats!$F$15)))))="",0,(IF(OR(City_Inputs!$AA98="",Norm_Stats!$F$15="",Norm_Stats!$G$15="",Norm_Stats!$G$15=Norm_Stats!$F$15),"",MAX(0,MIN(100,100*(MIN(MAX(City_Inputs!$AA98,Norm_Stats!$F$15),Norm_Stats!$G$15)-Norm_Stats!$F$15)/(Norm_Stats!$G$15-Norm_Stats!$F$15)))))*0.7)+IF((IF(OR(City_Inputs!$AL98="",Norm_Stats!$F$16="",Norm_Stats!$G$16="",Norm_Stats!$G$16=Norm_Stats!$F$16),"",MAX(0,MIN(100,100*(Norm_Stats!$G$16-MIN(MAX(City_Inputs!$AL98,Norm_Stats!$F$16),Norm_Stats!$G$16))/(Norm_Stats!$G$16-Norm_Stats!$F$16)))))="",0,(IF(OR(City_Inputs!$AL98="",Norm_Stats!$F$16="",Norm_Stats!$G$16="",Norm_Stats!$G$16=Norm_Stats!$F$16),"",MAX(0,MIN(100,100*(Norm_Stats!$G$16-MIN(MAX(City_Inputs!$AL98,Norm_Stats!$F$16),Norm_Stats!$G$16))/(Norm_Stats!$G$16-Norm_Stats!$F$16)))))*0.3))/(IF((IF(OR(City_Inputs!$AA98="",Norm_Stats!$F$15="",Norm_Stats!$G$15="",Norm_Stats!$G$15=Norm_Stats!$F$15),"",MAX(0,MIN(100,100*(MIN(MAX(City_Inputs!$AA98,Norm_Stats!$F$15),Norm_Stats!$G$15)-Norm_Stats!$F$15)/(Norm_Stats!$G$15-Norm_Stats!$F$15)))))="",0,0.7)+IF((IF(OR(City_Inputs!$AL98="",Norm_Stats!$F$16="",Norm_Stats!$G$16="",Norm_Stats!$G$16=Norm_Stats!$F$16),"",MAX(0,MIN(100,100*(Norm_Stats!$G$16-MIN(MAX(City_Inputs!$AL98,Norm_Stats!$F$16),Norm_Stats!$G$16))/(Norm_Stats!$G$16-Norm_Stats!$F$16)))))="",0,0.3)))</f>
        <v/>
      </c>
      <c r="AL98" s="14">
        <f>IF((IF((IF(OR(City_Inputs!$AA98="",Norm_Stats!$F$15="",Norm_Stats!$G$15="",Norm_Stats!$G$15=Norm_Stats!$F$15),"",MAX(0,MIN(100,100*(MIN(MAX(City_Inputs!$AA98,Norm_Stats!$F$15),Norm_Stats!$G$15)-Norm_Stats!$F$15)/(Norm_Stats!$G$15-Norm_Stats!$F$15)))))="",0,0.7)+IF((IF(OR(City_Inputs!$AL98="",Norm_Stats!$F$16="",Norm_Stats!$G$16="",Norm_Stats!$G$16=Norm_Stats!$F$16),"",MAX(0,MIN(100,100*(Norm_Stats!$G$16-MIN(MAX(City_Inputs!$AL98,Norm_Stats!$F$16),Norm_Stats!$G$16))/(Norm_Stats!$G$16-Norm_Stats!$F$16)))))="",0,0.3))=0,"",(IF((IF(OR(City_Inputs!$AA98="",Norm_Stats!$F$15="",Norm_Stats!$G$15="",Norm_Stats!$G$15=Norm_Stats!$F$15),"",MAX(0,MIN(100,100*(MIN(MAX(City_Inputs!$AA98,Norm_Stats!$F$15),Norm_Stats!$G$15)-Norm_Stats!$F$15)/(Norm_Stats!$G$15-Norm_Stats!$F$15)))))="",0,0.7)+IF((IF(OR(City_Inputs!$AL98="",Norm_Stats!$F$16="",Norm_Stats!$G$16="",Norm_Stats!$G$16=Norm_Stats!$F$16),"",MAX(0,MIN(100,100*(Norm_Stats!$G$16-MIN(MAX(City_Inputs!$AL98,Norm_Stats!$F$16),Norm_Stats!$G$16))/(Norm_Stats!$G$16-Norm_Stats!$F$16)))))="",0,0.3)))</f>
        <v/>
      </c>
      <c r="AM98" s="15">
        <f>IF((IF(AG98="",0,8)+IF(AI98="",0,6)+IF(AK98="",0,4))=0,"",(IF(AG98="",0,AG98*8)+IF(AI98="",0,AI98*6)+IF(AK98="",0,AK98*4))/(IF(AG98="",0,8)+IF(AI98="",0,6)+IF(AK98="",0,4)))</f>
        <v/>
      </c>
      <c r="AN98" s="14">
        <f>IF((IF(AH98="",0,8)+IF(AJ98="",0,6)+IF(AL98="",0,4))=0,"",(IF(AH98="",0,AH98*8)+IF(AJ98="",0,AJ98*6)+IF(AL98="",0,AL98*4))/18)</f>
        <v/>
      </c>
      <c r="AO98" s="11">
        <f>IF(OR(City_Inputs!$AB98="",Norm_Stats!$F$17="",Norm_Stats!$G$17="",Norm_Stats!$G$17=Norm_Stats!$F$17),"",MAX(0,MIN(100,100*(MIN(MAX(City_Inputs!$AB98,Norm_Stats!$F$17),Norm_Stats!$G$17)-Norm_Stats!$F$17)/(Norm_Stats!$G$17-Norm_Stats!$F$17))))</f>
        <v/>
      </c>
      <c r="AP98" s="14">
        <f>IF(AO98="","",1)</f>
        <v/>
      </c>
      <c r="AQ98" s="11">
        <f>IF(OR(City_Inputs!$AC98="",Norm_Stats!$F$18="",Norm_Stats!$G$18="",Norm_Stats!$G$18=Norm_Stats!$F$18),"",MAX(0,MIN(100,100*(MIN(MAX(City_Inputs!$AC98,Norm_Stats!$F$18),Norm_Stats!$G$18)-Norm_Stats!$F$18)/(Norm_Stats!$G$18-Norm_Stats!$F$18))))</f>
        <v/>
      </c>
      <c r="AR98" s="14">
        <f>IF(AQ98="","",1)</f>
        <v/>
      </c>
      <c r="AS98" s="11">
        <f>IF(OR(City_Inputs!$AD98="",Norm_Stats!$F$19="",Norm_Stats!$G$19="",Norm_Stats!$G$19=Norm_Stats!$F$19),"",MAX(0,MIN(100,100*(MIN(MAX(City_Inputs!$AD98,Norm_Stats!$F$19),Norm_Stats!$G$19)-Norm_Stats!$F$19)/(Norm_Stats!$G$19-Norm_Stats!$F$19))))</f>
        <v/>
      </c>
      <c r="AT98" s="14">
        <f>IF(AS98="","",1)</f>
        <v/>
      </c>
      <c r="AU98" s="11">
        <f>IF(OR(City_Inputs!$BJ98="",Norm_Stats!$F$26="",Norm_Stats!$G$26="",Norm_Stats!$G$26=Norm_Stats!$F$26),"",MAX(0,MIN(100,100*(MIN(MAX(City_Inputs!$BJ98,Norm_Stats!$F$26),Norm_Stats!$G$26)-Norm_Stats!$F$26)/(Norm_Stats!$G$26-Norm_Stats!$F$26))))</f>
        <v/>
      </c>
      <c r="AV98" s="11">
        <f>IF(AU98="","",1)</f>
        <v/>
      </c>
      <c r="AW98" s="15">
        <f>IF((IF(AO98="",0,5)+IF(AQ98="",0,5)+IF(AS98="",0,5)+IF(AU98="",0,4))=0,"",(IF(AO98="",0,AO98*5)+IF(AQ98="",0,AQ98*5)+IF(AS98="",0,AS98*5)+IF(AU98="",0,AU98*4))/(IF(AO98="",0,5)+IF(AQ98="",0,5)+IF(AS98="",0,5)+IF(AU98="",0,4)))</f>
        <v/>
      </c>
      <c r="AX98" s="14">
        <f>IF((IF(AP98="",0,5)+IF(AR98="",0,5)+IF(AT98="",0,5)+IF(AV98="",0,4))=0,"",(IF(AP98="",0,AP98*5)+IF(AR98="",0,AR98*5)+IF(AT98="",0,AT98*5)+IF(AV98="",0,AV98*4))/19)</f>
        <v/>
      </c>
      <c r="AY98" s="11">
        <f>IF(OR(City_Inputs!$AE98="",Norm_Stats!$F$20="",Norm_Stats!$G$20="",Norm_Stats!$G$20=Norm_Stats!$F$20),"",MAX(0,MIN(100,100*(MIN(MAX(City_Inputs!$AE98,Norm_Stats!$F$20),Norm_Stats!$G$20)-Norm_Stats!$F$20)/(Norm_Stats!$G$20-Norm_Stats!$F$20))))</f>
        <v/>
      </c>
      <c r="AZ98" s="14">
        <f>IF(AY98="","",1)</f>
        <v/>
      </c>
      <c r="BA98" s="11">
        <f>IF(OR(City_Inputs!$AF98="",Norm_Stats!$F$21="",Norm_Stats!$G$21="",Norm_Stats!$G$21=Norm_Stats!$F$21),"",MAX(0,MIN(100,100*(MIN(MAX(City_Inputs!$AF98,Norm_Stats!$F$21),Norm_Stats!$G$21)-Norm_Stats!$F$21)/(Norm_Stats!$G$21-Norm_Stats!$F$21))))</f>
        <v/>
      </c>
      <c r="BB98" s="14">
        <f>IF(BA98="","",1)</f>
        <v/>
      </c>
      <c r="BC98" s="11">
        <f>IF((IF((IF(OR(City_Inputs!$AG98="",Norm_Stats!$F$22="",Norm_Stats!$G$22="",Norm_Stats!$G$22=Norm_Stats!$F$22),"",MAX(0,MIN(100,100*(MIN(MAX(City_Inputs!$AG98,Norm_Stats!$F$22),Norm_Stats!$G$22)-Norm_Stats!$F$22)/(Norm_Stats!$G$22-Norm_Stats!$F$22)))))="",0,0.5)+IF((IF(OR(City_Inputs!$AJ98="",Norm_Stats!$F$23="",Norm_Stats!$G$23="",Norm_Stats!$G$23=Norm_Stats!$F$23),"",MAX(0,MIN(100,100*(MIN(MAX(City_Inputs!$AJ98,Norm_Stats!$F$23),Norm_Stats!$G$23)-Norm_Stats!$F$23)/(Norm_Stats!$G$23-Norm_Stats!$F$23)))))="",0,0.3)+IF((IF(OR(City_Inputs!$AK98="",Norm_Stats!$F$24="",Norm_Stats!$G$24="",Norm_Stats!$G$24=Norm_Stats!$F$24),"",MAX(0,MIN(100,100*(MIN(MAX(City_Inputs!$AK98,Norm_Stats!$F$24),Norm_Stats!$G$24)-Norm_Stats!$F$24)/(Norm_Stats!$G$24-Norm_Stats!$F$24)))))="",0,0.2))=0,"",(IF((IF(OR(City_Inputs!$AG98="",Norm_Stats!$F$22="",Norm_Stats!$G$22="",Norm_Stats!$G$22=Norm_Stats!$F$22),"",MAX(0,MIN(100,100*(MIN(MAX(City_Inputs!$AG98,Norm_Stats!$F$22),Norm_Stats!$G$22)-Norm_Stats!$F$22)/(Norm_Stats!$G$22-Norm_Stats!$F$22)))))="",0,(IF(OR(City_Inputs!$AG98="",Norm_Stats!$F$22="",Norm_Stats!$G$22="",Norm_Stats!$G$22=Norm_Stats!$F$22),"",MAX(0,MIN(100,100*(MIN(MAX(City_Inputs!$AG98,Norm_Stats!$F$22),Norm_Stats!$G$22)-Norm_Stats!$F$22)/(Norm_Stats!$G$22-Norm_Stats!$F$22)))))*0.5)+IF((IF(OR(City_Inputs!$AJ98="",Norm_Stats!$F$23="",Norm_Stats!$G$23="",Norm_Stats!$G$23=Norm_Stats!$F$23),"",MAX(0,MIN(100,100*(MIN(MAX(City_Inputs!$AJ98,Norm_Stats!$F$23),Norm_Stats!$G$23)-Norm_Stats!$F$23)/(Norm_Stats!$G$23-Norm_Stats!$F$23)))))="",0,(IF(OR(City_Inputs!$AJ98="",Norm_Stats!$F$23="",Norm_Stats!$G$23="",Norm_Stats!$G$23=Norm_Stats!$F$23),"",MAX(0,MIN(100,100*(MIN(MAX(City_Inputs!$AJ98,Norm_Stats!$F$23),Norm_Stats!$G$23)-Norm_Stats!$F$23)/(Norm_Stats!$G$23-Norm_Stats!$F$23)))))*0.3)+IF((IF(OR(City_Inputs!$AK98="",Norm_Stats!$F$24="",Norm_Stats!$G$24="",Norm_Stats!$G$24=Norm_Stats!$F$24),"",MAX(0,MIN(100,100*(MIN(MAX(City_Inputs!$AK98,Norm_Stats!$F$24),Norm_Stats!$G$24)-Norm_Stats!$F$24)/(Norm_Stats!$G$24-Norm_Stats!$F$24)))))="",0,(IF(OR(City_Inputs!$AK98="",Norm_Stats!$F$24="",Norm_Stats!$G$24="",Norm_Stats!$G$24=Norm_Stats!$F$24),"",MAX(0,MIN(100,100*(MIN(MAX(City_Inputs!$AK98,Norm_Stats!$F$24),Norm_Stats!$G$24)-Norm_Stats!$F$24)/(Norm_Stats!$G$24-Norm_Stats!$F$24)))))*0.2))/(IF((IF(OR(City_Inputs!$AG98="",Norm_Stats!$F$22="",Norm_Stats!$G$22="",Norm_Stats!$G$22=Norm_Stats!$F$22),"",MAX(0,MIN(100,100*(MIN(MAX(City_Inputs!$AG98,Norm_Stats!$F$22),Norm_Stats!$G$22)-Norm_Stats!$F$22)/(Norm_Stats!$G$22-Norm_Stats!$F$22)))))="",0,0.5)+IF((IF(OR(City_Inputs!$AJ98="",Norm_Stats!$F$23="",Norm_Stats!$G$23="",Norm_Stats!$G$23=Norm_Stats!$F$23),"",MAX(0,MIN(100,100*(MIN(MAX(City_Inputs!$AJ98,Norm_Stats!$F$23),Norm_Stats!$G$23)-Norm_Stats!$F$23)/(Norm_Stats!$G$23-Norm_Stats!$F$23)))))="",0,0.3)+IF((IF(OR(City_Inputs!$AK98="",Norm_Stats!$F$24="",Norm_Stats!$G$24="",Norm_Stats!$G$24=Norm_Stats!$F$24),"",MAX(0,MIN(100,100*(MIN(MAX(City_Inputs!$AK98,Norm_Stats!$F$24),Norm_Stats!$G$24)-Norm_Stats!$F$24)/(Norm_Stats!$G$24-Norm_Stats!$F$24)))))="",0,0.2)))</f>
        <v/>
      </c>
      <c r="BD98" s="14">
        <f>IF((IF((IF(OR(City_Inputs!$AG98="",Norm_Stats!$F$22="",Norm_Stats!$G$22="",Norm_Stats!$G$22=Norm_Stats!$F$22),"",MAX(0,MIN(100,100*(MIN(MAX(City_Inputs!$AG98,Norm_Stats!$F$22),Norm_Stats!$G$22)-Norm_Stats!$F$22)/(Norm_Stats!$G$22-Norm_Stats!$F$22)))))="",0,0.5)+IF((IF(OR(City_Inputs!$AJ98="",Norm_Stats!$F$23="",Norm_Stats!$G$23="",Norm_Stats!$G$23=Norm_Stats!$F$23),"",MAX(0,MIN(100,100*(MIN(MAX(City_Inputs!$AJ98,Norm_Stats!$F$23),Norm_Stats!$G$23)-Norm_Stats!$F$23)/(Norm_Stats!$G$23-Norm_Stats!$F$23)))))="",0,0.3)+IF((IF(OR(City_Inputs!$AK98="",Norm_Stats!$F$24="",Norm_Stats!$G$24="",Norm_Stats!$G$24=Norm_Stats!$F$24),"",MAX(0,MIN(100,100*(MIN(MAX(City_Inputs!$AK98,Norm_Stats!$F$24),Norm_Stats!$G$24)-Norm_Stats!$F$24)/(Norm_Stats!$G$24-Norm_Stats!$F$24)))))="",0,0.2))=0,"",(IF((IF(OR(City_Inputs!$AG98="",Norm_Stats!$F$22="",Norm_Stats!$G$22="",Norm_Stats!$G$22=Norm_Stats!$F$22),"",MAX(0,MIN(100,100*(MIN(MAX(City_Inputs!$AG98,Norm_Stats!$F$22),Norm_Stats!$G$22)-Norm_Stats!$F$22)/(Norm_Stats!$G$22-Norm_Stats!$F$22)))))="",0,0.5)+IF((IF(OR(City_Inputs!$AJ98="",Norm_Stats!$F$23="",Norm_Stats!$G$23="",Norm_Stats!$G$23=Norm_Stats!$F$23),"",MAX(0,MIN(100,100*(MIN(MAX(City_Inputs!$AJ98,Norm_Stats!$F$23),Norm_Stats!$G$23)-Norm_Stats!$F$23)/(Norm_Stats!$G$23-Norm_Stats!$F$23)))))="",0,0.3)+IF((IF(OR(City_Inputs!$AK98="",Norm_Stats!$F$24="",Norm_Stats!$G$24="",Norm_Stats!$G$24=Norm_Stats!$F$24),"",MAX(0,MIN(100,100*(MIN(MAX(City_Inputs!$AK98,Norm_Stats!$F$24),Norm_Stats!$G$24)-Norm_Stats!$F$24)/(Norm_Stats!$G$24-Norm_Stats!$F$24)))))="",0,0.2)))</f>
        <v/>
      </c>
      <c r="BE98" s="11">
        <f>IF(OR(City_Inputs!$AH98="",Norm_Stats!$F$25="",Norm_Stats!$G$25="",Norm_Stats!$G$25=Norm_Stats!$F$25),"",MAX(0,MIN(100,100*(Norm_Stats!$G$25-MIN(MAX(City_Inputs!$AH98,Norm_Stats!$F$25),Norm_Stats!$G$25))/(Norm_Stats!$G$25-Norm_Stats!$F$25))))</f>
        <v/>
      </c>
      <c r="BF98" s="14">
        <f>IF(BE98="","",1)</f>
        <v/>
      </c>
      <c r="BG98" s="15">
        <f>IF((IF(AY98="",0,6)+IF(BA98="",0,5)+IF(BC98="",0,5)+IF(BE98="",0,4))=0,"",(IF(AY98="",0,AY98*6)+IF(BA98="",0,BA98*5)+IF(BC98="",0,BC98*5)+IF(BE98="",0,BE98*4))/(IF(AY98="",0,6)+IF(BA98="",0,5)+IF(BC98="",0,5)+IF(BE98="",0,4)))</f>
        <v/>
      </c>
      <c r="BH98" s="14">
        <f>IF((IF(AZ98="",0,6)+IF(BB98="",0,5)+IF(BD98="",0,5)+IF(BF98="",0,4))=0,"",(IF(AZ98="",0,AZ98*6)+IF(BB98="",0,BB98*5)+IF(BD98="",0,BD98*5)+IF(BF98="",0,BF98*4))/20)</f>
        <v/>
      </c>
      <c r="BI98" s="14">
        <f>IF(AND(R98="",AF98="",AN98="",AX98="",BH98=""),"",((R98*25)+(AF98*22)+(AN98*18)+(AX98*15)+(BH98*20))/100)</f>
        <v/>
      </c>
      <c r="BJ98" s="11">
        <f>IF(BI98="","",IF(BI98&gt;=0.75,"A",IF(BI98&gt;=0.5,"B",IF(BI98&gt;=0.35,"C","Watchlist"))))</f>
        <v/>
      </c>
      <c r="BK98" s="11">
        <f>IF(OR(BI98="",BI98&lt;0.5,R98="",R98&lt;0.35,AF98="",AF98&lt;0.35,AN98="",AN98&lt;0.35,AX98="",AX98&lt;0.35,BH98="",BH98&lt;0.35),"Watchlist","Ranked")</f>
        <v/>
      </c>
      <c r="BL98" s="15">
        <f>IF(AND(Q98="",AE98="",AM98="",AW98="",BG98=""),"",(IF(Q98="",0,Q98*25)+IF(AE98="",0,AE98*22)+IF(AM98="",0,AM98*18)+IF(AW98="",0,AW98*15)+IF(BG98="",0,BG98*20))/(IF(Q98="",0,25)+IF(AE98="",0,22)+IF(AM98="",0,18)+IF(AW98="",0,15)+IF(BG98="",0,20)))</f>
        <v/>
      </c>
      <c r="BM98" s="11">
        <f>IF(BK98="Ranked",1+COUNTIFS($BK$2:$BK$158,"Ranked",$BL$2:$BL$158,"&gt;"&amp;BL98),"")</f>
        <v/>
      </c>
      <c r="BN98" s="11">
        <f>City_Inputs!$AI98</f>
        <v/>
      </c>
    </row>
    <row r="99">
      <c r="A99" t="inlineStr">
        <is>
          <t>gh-accra</t>
        </is>
      </c>
      <c r="B99" t="inlineStr">
        <is>
          <t>Accra</t>
        </is>
      </c>
      <c r="C99" t="inlineStr">
        <is>
          <t>Ghana</t>
        </is>
      </c>
      <c r="D99" t="inlineStr">
        <is>
          <t>Africa</t>
        </is>
      </c>
      <c r="E99" t="inlineStr">
        <is>
          <t>locked</t>
        </is>
      </c>
      <c r="F99" t="inlineStr">
        <is>
          <t>secondary</t>
        </is>
      </c>
      <c r="G99" s="11">
        <f>IF(OR(City_Inputs!$M99="",Norm_Stats!$F$2="",Norm_Stats!$G$2="",Norm_Stats!$G$2=Norm_Stats!$F$2),"",MAX(0,MIN(100,100*(MIN(MAX(City_Inputs!$M99,Norm_Stats!$F$2),Norm_Stats!$G$2)-Norm_Stats!$F$2)/(Norm_Stats!$G$2-Norm_Stats!$F$2))))</f>
        <v/>
      </c>
      <c r="H99" s="14">
        <f>IF(G99="","",1)</f>
        <v/>
      </c>
      <c r="I99" s="11">
        <f>IF(OR(City_Inputs!$N99="",Norm_Stats!$F$3="",Norm_Stats!$G$3="",Norm_Stats!$G$3=Norm_Stats!$F$3),"",MAX(0,MIN(100,100*(Norm_Stats!$G$3-MIN(MAX(City_Inputs!$N99,Norm_Stats!$F$3),Norm_Stats!$G$3))/(Norm_Stats!$G$3-Norm_Stats!$F$3))))</f>
        <v/>
      </c>
      <c r="J99" s="14">
        <f>IF(I99="","",1)</f>
        <v/>
      </c>
      <c r="K99" s="11">
        <f>IF(OR(City_Inputs!$P99="",Norm_Stats!$F$4="",Norm_Stats!$G$4="",Norm_Stats!$G$4=Norm_Stats!$F$4),"",MAX(0,MIN(100,100*(Norm_Stats!$G$4-MIN(MAX(City_Inputs!$P99,Norm_Stats!$F$4),Norm_Stats!$G$4))/(Norm_Stats!$G$4-Norm_Stats!$F$4))))</f>
        <v/>
      </c>
      <c r="L99" s="14">
        <f>IF(K99="","",1)</f>
        <v/>
      </c>
      <c r="M99" s="11">
        <f>IF(OR(City_Inputs!$Q99="",Norm_Stats!$F$5="",Norm_Stats!$G$5="",Norm_Stats!$G$5=Norm_Stats!$F$5),"",MAX(0,MIN(100,100*(Norm_Stats!$G$5-MIN(MAX(City_Inputs!$Q99,Norm_Stats!$F$5),Norm_Stats!$G$5))/(Norm_Stats!$G$5-Norm_Stats!$F$5))))</f>
        <v/>
      </c>
      <c r="N99" s="14">
        <f>IF(M99="","",1)</f>
        <v/>
      </c>
      <c r="O99" s="11">
        <f>IF(OR(City_Inputs!$R99="",Norm_Stats!$F$6="",Norm_Stats!$G$6="",Norm_Stats!$G$6=Norm_Stats!$F$6),"",MAX(0,MIN(100,100*(Norm_Stats!$G$6-MIN(MAX(City_Inputs!$R99,Norm_Stats!$F$6),Norm_Stats!$G$6))/(Norm_Stats!$G$6-Norm_Stats!$F$6))))</f>
        <v/>
      </c>
      <c r="P99" s="14">
        <f>IF(O99="","",1)</f>
        <v/>
      </c>
      <c r="Q99" s="15">
        <f>IF((IF(G99="",0,9)+IF(I99="",0,5)+IF(K99="",0,4)+IF(M99="",0,4)+IF(O99="",0,5))=0,"",(IF(G99="",0,G99*9)+IF(I99="",0,I99*5)+IF(K99="",0,K99*4)+IF(M99="",0,M99*4)+IF(O99="",0,O99*5))/(IF(G99="",0,9)+IF(I99="",0,5)+IF(K99="",0,4)+IF(M99="",0,4)+IF(O99="",0,5)))</f>
        <v/>
      </c>
      <c r="R99" s="14">
        <f>IF((IF(H99="",0,9)+IF(J99="",0,5)+IF(L99="",0,4)+IF(N99="",0,4)+IF(P99="",0,5))=0,"",(IF(H99="",0,H99*9)+IF(J99="",0,J99*5)+IF(L99="",0,L99*4)+IF(N99="",0,N99*4)+IF(P99="",0,P99*5))/27)</f>
        <v/>
      </c>
      <c r="S99" s="11">
        <f>IF(OR(City_Inputs!$S99="",Norm_Stats!$F$7="",Norm_Stats!$G$7="",Norm_Stats!$G$7=Norm_Stats!$F$7),"",MAX(0,MIN(100,100*(Norm_Stats!$G$7-MIN(MAX(City_Inputs!$S99,Norm_Stats!$F$7),Norm_Stats!$G$7))/(Norm_Stats!$G$7-Norm_Stats!$F$7))))</f>
        <v/>
      </c>
      <c r="T99" s="14">
        <f>IF(S99="","",1)</f>
        <v/>
      </c>
      <c r="U99" s="11">
        <f>IF(OR(City_Inputs!$T99="",Norm_Stats!$F$8="",Norm_Stats!$G$8="",Norm_Stats!$G$8=Norm_Stats!$F$8),"",MAX(0,MIN(100,100*(MIN(MAX(City_Inputs!$T99,Norm_Stats!$F$8),Norm_Stats!$G$8)-Norm_Stats!$F$8)/(Norm_Stats!$G$8-Norm_Stats!$F$8))))</f>
        <v/>
      </c>
      <c r="V99" s="14">
        <f>IF(U99="","",1)</f>
        <v/>
      </c>
      <c r="W99" s="11">
        <f>IF(OR(City_Inputs!$U99="",Norm_Stats!$F$9="",Norm_Stats!$G$9="",Norm_Stats!$G$9=Norm_Stats!$F$9),"",MAX(0,MIN(100,100*(Norm_Stats!$G$9-MIN(MAX(City_Inputs!$U99,Norm_Stats!$F$9),Norm_Stats!$G$9))/(Norm_Stats!$G$9-Norm_Stats!$F$9))))</f>
        <v/>
      </c>
      <c r="X99" s="14">
        <f>IF(W99="","",1)</f>
        <v/>
      </c>
      <c r="Y99" s="11">
        <f>IF(OR(City_Inputs!$V99="",Norm_Stats!$F$10="",Norm_Stats!$G$10="",Norm_Stats!$G$10=Norm_Stats!$F$10),"",MAX(0,MIN(100,100*(MIN(MAX(City_Inputs!$V99,Norm_Stats!$F$10),Norm_Stats!$G$10)-Norm_Stats!$F$10)/(Norm_Stats!$G$10-Norm_Stats!$F$10))))</f>
        <v/>
      </c>
      <c r="Z99" s="14">
        <f>IF(Y99="","",1)</f>
        <v/>
      </c>
      <c r="AA99" s="11">
        <f>IF(OR(City_Inputs!$W99="",Norm_Stats!$F$11="",Norm_Stats!$G$11="",Norm_Stats!$G$11=Norm_Stats!$F$11),"",MAX(0,MIN(100,100*(MIN(MAX(City_Inputs!$W99,Norm_Stats!$F$11),Norm_Stats!$G$11)-Norm_Stats!$F$11)/(Norm_Stats!$G$11-Norm_Stats!$F$11))))</f>
        <v/>
      </c>
      <c r="AB99" s="14">
        <f>IF(AA99="","",1)</f>
        <v/>
      </c>
      <c r="AC99" s="11">
        <f>IF(OR(City_Inputs!$X99="",Norm_Stats!$F$12="",Norm_Stats!$G$12="",Norm_Stats!$G$12=Norm_Stats!$F$12),"",MAX(0,MIN(100,100*(MIN(MAX(City_Inputs!$X99,Norm_Stats!$F$12),Norm_Stats!$G$12)-Norm_Stats!$F$12)/(Norm_Stats!$G$12-Norm_Stats!$F$12))))</f>
        <v/>
      </c>
      <c r="AD99" s="11">
        <f>IF(AC99="","",1)</f>
        <v/>
      </c>
      <c r="AE99" s="15">
        <f>IF((IF(S99="",0,5)+IF(U99="",0,5)+IF(W99="",0,4)+IF(Y99="",0,4)+IF(AA99="",0,4)+IF(AC99="",0,5))=0,"",(IF(S99="",0,S99*5)+IF(U99="",0,U99*5)+IF(W99="",0,W99*4)+IF(Y99="",0,Y99*4)+IF(AA99="",0,AA99*4)+IF(AC99="",0,AC99*5))/(IF(S99="",0,5)+IF(U99="",0,5)+IF(W99="",0,4)+IF(Y99="",0,4)+IF(AA99="",0,4)+IF(AC99="",0,5)))</f>
        <v/>
      </c>
      <c r="AF99" s="14">
        <f>IF((IF(T99="",0,5)+IF(V99="",0,5)+IF(X99="",0,4)+IF(Z99="",0,4)+IF(AB99="",0,4)+IF(AD99="",0,5))=0,"",(IF(T99="",0,T99*5)+IF(V99="",0,V99*5)+IF(X99="",0,X99*4)+IF(Z99="",0,Z99*4)+IF(AB99="",0,AB99*4)+IF(AD99="",0,AD99*5))/27)</f>
        <v/>
      </c>
      <c r="AG99" s="11">
        <f>IF(OR(City_Inputs!$Y99="",Norm_Stats!$F$13="",Norm_Stats!$G$13="",Norm_Stats!$G$13=Norm_Stats!$F$13),"",MAX(0,MIN(100,100*(MIN(MAX(City_Inputs!$Y99,Norm_Stats!$F$13),Norm_Stats!$G$13)-Norm_Stats!$F$13)/(Norm_Stats!$G$13-Norm_Stats!$F$13))))</f>
        <v/>
      </c>
      <c r="AH99" s="14">
        <f>IF(AG99="","",1)</f>
        <v/>
      </c>
      <c r="AI99" s="11">
        <f>IF(OR(City_Inputs!$Z99="",Norm_Stats!$F$14="",Norm_Stats!$G$14="",Norm_Stats!$G$14=Norm_Stats!$F$14),"",MAX(0,MIN(100,100*(MIN(MAX(City_Inputs!$Z99,Norm_Stats!$F$14),Norm_Stats!$G$14)-Norm_Stats!$F$14)/(Norm_Stats!$G$14-Norm_Stats!$F$14))))</f>
        <v/>
      </c>
      <c r="AJ99" s="14">
        <f>IF(AI99="","",1)</f>
        <v/>
      </c>
      <c r="AK99" s="11">
        <f>IF((IF((IF(OR(City_Inputs!$AA99="",Norm_Stats!$F$15="",Norm_Stats!$G$15="",Norm_Stats!$G$15=Norm_Stats!$F$15),"",MAX(0,MIN(100,100*(MIN(MAX(City_Inputs!$AA99,Norm_Stats!$F$15),Norm_Stats!$G$15)-Norm_Stats!$F$15)/(Norm_Stats!$G$15-Norm_Stats!$F$15)))))="",0,0.7)+IF((IF(OR(City_Inputs!$AL99="",Norm_Stats!$F$16="",Norm_Stats!$G$16="",Norm_Stats!$G$16=Norm_Stats!$F$16),"",MAX(0,MIN(100,100*(Norm_Stats!$G$16-MIN(MAX(City_Inputs!$AL99,Norm_Stats!$F$16),Norm_Stats!$G$16))/(Norm_Stats!$G$16-Norm_Stats!$F$16)))))="",0,0.3))=0,"",(IF((IF(OR(City_Inputs!$AA99="",Norm_Stats!$F$15="",Norm_Stats!$G$15="",Norm_Stats!$G$15=Norm_Stats!$F$15),"",MAX(0,MIN(100,100*(MIN(MAX(City_Inputs!$AA99,Norm_Stats!$F$15),Norm_Stats!$G$15)-Norm_Stats!$F$15)/(Norm_Stats!$G$15-Norm_Stats!$F$15)))))="",0,(IF(OR(City_Inputs!$AA99="",Norm_Stats!$F$15="",Norm_Stats!$G$15="",Norm_Stats!$G$15=Norm_Stats!$F$15),"",MAX(0,MIN(100,100*(MIN(MAX(City_Inputs!$AA99,Norm_Stats!$F$15),Norm_Stats!$G$15)-Norm_Stats!$F$15)/(Norm_Stats!$G$15-Norm_Stats!$F$15)))))*0.7)+IF((IF(OR(City_Inputs!$AL99="",Norm_Stats!$F$16="",Norm_Stats!$G$16="",Norm_Stats!$G$16=Norm_Stats!$F$16),"",MAX(0,MIN(100,100*(Norm_Stats!$G$16-MIN(MAX(City_Inputs!$AL99,Norm_Stats!$F$16),Norm_Stats!$G$16))/(Norm_Stats!$G$16-Norm_Stats!$F$16)))))="",0,(IF(OR(City_Inputs!$AL99="",Norm_Stats!$F$16="",Norm_Stats!$G$16="",Norm_Stats!$G$16=Norm_Stats!$F$16),"",MAX(0,MIN(100,100*(Norm_Stats!$G$16-MIN(MAX(City_Inputs!$AL99,Norm_Stats!$F$16),Norm_Stats!$G$16))/(Norm_Stats!$G$16-Norm_Stats!$F$16)))))*0.3))/(IF((IF(OR(City_Inputs!$AA99="",Norm_Stats!$F$15="",Norm_Stats!$G$15="",Norm_Stats!$G$15=Norm_Stats!$F$15),"",MAX(0,MIN(100,100*(MIN(MAX(City_Inputs!$AA99,Norm_Stats!$F$15),Norm_Stats!$G$15)-Norm_Stats!$F$15)/(Norm_Stats!$G$15-Norm_Stats!$F$15)))))="",0,0.7)+IF((IF(OR(City_Inputs!$AL99="",Norm_Stats!$F$16="",Norm_Stats!$G$16="",Norm_Stats!$G$16=Norm_Stats!$F$16),"",MAX(0,MIN(100,100*(Norm_Stats!$G$16-MIN(MAX(City_Inputs!$AL99,Norm_Stats!$F$16),Norm_Stats!$G$16))/(Norm_Stats!$G$16-Norm_Stats!$F$16)))))="",0,0.3)))</f>
        <v/>
      </c>
      <c r="AL99" s="14">
        <f>IF((IF((IF(OR(City_Inputs!$AA99="",Norm_Stats!$F$15="",Norm_Stats!$G$15="",Norm_Stats!$G$15=Norm_Stats!$F$15),"",MAX(0,MIN(100,100*(MIN(MAX(City_Inputs!$AA99,Norm_Stats!$F$15),Norm_Stats!$G$15)-Norm_Stats!$F$15)/(Norm_Stats!$G$15-Norm_Stats!$F$15)))))="",0,0.7)+IF((IF(OR(City_Inputs!$AL99="",Norm_Stats!$F$16="",Norm_Stats!$G$16="",Norm_Stats!$G$16=Norm_Stats!$F$16),"",MAX(0,MIN(100,100*(Norm_Stats!$G$16-MIN(MAX(City_Inputs!$AL99,Norm_Stats!$F$16),Norm_Stats!$G$16))/(Norm_Stats!$G$16-Norm_Stats!$F$16)))))="",0,0.3))=0,"",(IF((IF(OR(City_Inputs!$AA99="",Norm_Stats!$F$15="",Norm_Stats!$G$15="",Norm_Stats!$G$15=Norm_Stats!$F$15),"",MAX(0,MIN(100,100*(MIN(MAX(City_Inputs!$AA99,Norm_Stats!$F$15),Norm_Stats!$G$15)-Norm_Stats!$F$15)/(Norm_Stats!$G$15-Norm_Stats!$F$15)))))="",0,0.7)+IF((IF(OR(City_Inputs!$AL99="",Norm_Stats!$F$16="",Norm_Stats!$G$16="",Norm_Stats!$G$16=Norm_Stats!$F$16),"",MAX(0,MIN(100,100*(Norm_Stats!$G$16-MIN(MAX(City_Inputs!$AL99,Norm_Stats!$F$16),Norm_Stats!$G$16))/(Norm_Stats!$G$16-Norm_Stats!$F$16)))))="",0,0.3)))</f>
        <v/>
      </c>
      <c r="AM99" s="15">
        <f>IF((IF(AG99="",0,8)+IF(AI99="",0,6)+IF(AK99="",0,4))=0,"",(IF(AG99="",0,AG99*8)+IF(AI99="",0,AI99*6)+IF(AK99="",0,AK99*4))/(IF(AG99="",0,8)+IF(AI99="",0,6)+IF(AK99="",0,4)))</f>
        <v/>
      </c>
      <c r="AN99" s="14">
        <f>IF((IF(AH99="",0,8)+IF(AJ99="",0,6)+IF(AL99="",0,4))=0,"",(IF(AH99="",0,AH99*8)+IF(AJ99="",0,AJ99*6)+IF(AL99="",0,AL99*4))/18)</f>
        <v/>
      </c>
      <c r="AO99" s="11">
        <f>IF(OR(City_Inputs!$AB99="",Norm_Stats!$F$17="",Norm_Stats!$G$17="",Norm_Stats!$G$17=Norm_Stats!$F$17),"",MAX(0,MIN(100,100*(MIN(MAX(City_Inputs!$AB99,Norm_Stats!$F$17),Norm_Stats!$G$17)-Norm_Stats!$F$17)/(Norm_Stats!$G$17-Norm_Stats!$F$17))))</f>
        <v/>
      </c>
      <c r="AP99" s="14">
        <f>IF(AO99="","",1)</f>
        <v/>
      </c>
      <c r="AQ99" s="11">
        <f>IF(OR(City_Inputs!$AC99="",Norm_Stats!$F$18="",Norm_Stats!$G$18="",Norm_Stats!$G$18=Norm_Stats!$F$18),"",MAX(0,MIN(100,100*(MIN(MAX(City_Inputs!$AC99,Norm_Stats!$F$18),Norm_Stats!$G$18)-Norm_Stats!$F$18)/(Norm_Stats!$G$18-Norm_Stats!$F$18))))</f>
        <v/>
      </c>
      <c r="AR99" s="14">
        <f>IF(AQ99="","",1)</f>
        <v/>
      </c>
      <c r="AS99" s="11">
        <f>IF(OR(City_Inputs!$AD99="",Norm_Stats!$F$19="",Norm_Stats!$G$19="",Norm_Stats!$G$19=Norm_Stats!$F$19),"",MAX(0,MIN(100,100*(MIN(MAX(City_Inputs!$AD99,Norm_Stats!$F$19),Norm_Stats!$G$19)-Norm_Stats!$F$19)/(Norm_Stats!$G$19-Norm_Stats!$F$19))))</f>
        <v/>
      </c>
      <c r="AT99" s="14">
        <f>IF(AS99="","",1)</f>
        <v/>
      </c>
      <c r="AU99" s="11">
        <f>IF(OR(City_Inputs!$BJ99="",Norm_Stats!$F$26="",Norm_Stats!$G$26="",Norm_Stats!$G$26=Norm_Stats!$F$26),"",MAX(0,MIN(100,100*(MIN(MAX(City_Inputs!$BJ99,Norm_Stats!$F$26),Norm_Stats!$G$26)-Norm_Stats!$F$26)/(Norm_Stats!$G$26-Norm_Stats!$F$26))))</f>
        <v/>
      </c>
      <c r="AV99" s="11">
        <f>IF(AU99="","",1)</f>
        <v/>
      </c>
      <c r="AW99" s="15">
        <f>IF((IF(AO99="",0,5)+IF(AQ99="",0,5)+IF(AS99="",0,5)+IF(AU99="",0,4))=0,"",(IF(AO99="",0,AO99*5)+IF(AQ99="",0,AQ99*5)+IF(AS99="",0,AS99*5)+IF(AU99="",0,AU99*4))/(IF(AO99="",0,5)+IF(AQ99="",0,5)+IF(AS99="",0,5)+IF(AU99="",0,4)))</f>
        <v/>
      </c>
      <c r="AX99" s="14">
        <f>IF((IF(AP99="",0,5)+IF(AR99="",0,5)+IF(AT99="",0,5)+IF(AV99="",0,4))=0,"",(IF(AP99="",0,AP99*5)+IF(AR99="",0,AR99*5)+IF(AT99="",0,AT99*5)+IF(AV99="",0,AV99*4))/19)</f>
        <v/>
      </c>
      <c r="AY99" s="11">
        <f>IF(OR(City_Inputs!$AE99="",Norm_Stats!$F$20="",Norm_Stats!$G$20="",Norm_Stats!$G$20=Norm_Stats!$F$20),"",MAX(0,MIN(100,100*(MIN(MAX(City_Inputs!$AE99,Norm_Stats!$F$20),Norm_Stats!$G$20)-Norm_Stats!$F$20)/(Norm_Stats!$G$20-Norm_Stats!$F$20))))</f>
        <v/>
      </c>
      <c r="AZ99" s="14">
        <f>IF(AY99="","",1)</f>
        <v/>
      </c>
      <c r="BA99" s="11">
        <f>IF(OR(City_Inputs!$AF99="",Norm_Stats!$F$21="",Norm_Stats!$G$21="",Norm_Stats!$G$21=Norm_Stats!$F$21),"",MAX(0,MIN(100,100*(MIN(MAX(City_Inputs!$AF99,Norm_Stats!$F$21),Norm_Stats!$G$21)-Norm_Stats!$F$21)/(Norm_Stats!$G$21-Norm_Stats!$F$21))))</f>
        <v/>
      </c>
      <c r="BB99" s="14">
        <f>IF(BA99="","",1)</f>
        <v/>
      </c>
      <c r="BC99" s="11">
        <f>IF((IF((IF(OR(City_Inputs!$AG99="",Norm_Stats!$F$22="",Norm_Stats!$G$22="",Norm_Stats!$G$22=Norm_Stats!$F$22),"",MAX(0,MIN(100,100*(MIN(MAX(City_Inputs!$AG99,Norm_Stats!$F$22),Norm_Stats!$G$22)-Norm_Stats!$F$22)/(Norm_Stats!$G$22-Norm_Stats!$F$22)))))="",0,0.5)+IF((IF(OR(City_Inputs!$AJ99="",Norm_Stats!$F$23="",Norm_Stats!$G$23="",Norm_Stats!$G$23=Norm_Stats!$F$23),"",MAX(0,MIN(100,100*(MIN(MAX(City_Inputs!$AJ99,Norm_Stats!$F$23),Norm_Stats!$G$23)-Norm_Stats!$F$23)/(Norm_Stats!$G$23-Norm_Stats!$F$23)))))="",0,0.3)+IF((IF(OR(City_Inputs!$AK99="",Norm_Stats!$F$24="",Norm_Stats!$G$24="",Norm_Stats!$G$24=Norm_Stats!$F$24),"",MAX(0,MIN(100,100*(MIN(MAX(City_Inputs!$AK99,Norm_Stats!$F$24),Norm_Stats!$G$24)-Norm_Stats!$F$24)/(Norm_Stats!$G$24-Norm_Stats!$F$24)))))="",0,0.2))=0,"",(IF((IF(OR(City_Inputs!$AG99="",Norm_Stats!$F$22="",Norm_Stats!$G$22="",Norm_Stats!$G$22=Norm_Stats!$F$22),"",MAX(0,MIN(100,100*(MIN(MAX(City_Inputs!$AG99,Norm_Stats!$F$22),Norm_Stats!$G$22)-Norm_Stats!$F$22)/(Norm_Stats!$G$22-Norm_Stats!$F$22)))))="",0,(IF(OR(City_Inputs!$AG99="",Norm_Stats!$F$22="",Norm_Stats!$G$22="",Norm_Stats!$G$22=Norm_Stats!$F$22),"",MAX(0,MIN(100,100*(MIN(MAX(City_Inputs!$AG99,Norm_Stats!$F$22),Norm_Stats!$G$22)-Norm_Stats!$F$22)/(Norm_Stats!$G$22-Norm_Stats!$F$22)))))*0.5)+IF((IF(OR(City_Inputs!$AJ99="",Norm_Stats!$F$23="",Norm_Stats!$G$23="",Norm_Stats!$G$23=Norm_Stats!$F$23),"",MAX(0,MIN(100,100*(MIN(MAX(City_Inputs!$AJ99,Norm_Stats!$F$23),Norm_Stats!$G$23)-Norm_Stats!$F$23)/(Norm_Stats!$G$23-Norm_Stats!$F$23)))))="",0,(IF(OR(City_Inputs!$AJ99="",Norm_Stats!$F$23="",Norm_Stats!$G$23="",Norm_Stats!$G$23=Norm_Stats!$F$23),"",MAX(0,MIN(100,100*(MIN(MAX(City_Inputs!$AJ99,Norm_Stats!$F$23),Norm_Stats!$G$23)-Norm_Stats!$F$23)/(Norm_Stats!$G$23-Norm_Stats!$F$23)))))*0.3)+IF((IF(OR(City_Inputs!$AK99="",Norm_Stats!$F$24="",Norm_Stats!$G$24="",Norm_Stats!$G$24=Norm_Stats!$F$24),"",MAX(0,MIN(100,100*(MIN(MAX(City_Inputs!$AK99,Norm_Stats!$F$24),Norm_Stats!$G$24)-Norm_Stats!$F$24)/(Norm_Stats!$G$24-Norm_Stats!$F$24)))))="",0,(IF(OR(City_Inputs!$AK99="",Norm_Stats!$F$24="",Norm_Stats!$G$24="",Norm_Stats!$G$24=Norm_Stats!$F$24),"",MAX(0,MIN(100,100*(MIN(MAX(City_Inputs!$AK99,Norm_Stats!$F$24),Norm_Stats!$G$24)-Norm_Stats!$F$24)/(Norm_Stats!$G$24-Norm_Stats!$F$24)))))*0.2))/(IF((IF(OR(City_Inputs!$AG99="",Norm_Stats!$F$22="",Norm_Stats!$G$22="",Norm_Stats!$G$22=Norm_Stats!$F$22),"",MAX(0,MIN(100,100*(MIN(MAX(City_Inputs!$AG99,Norm_Stats!$F$22),Norm_Stats!$G$22)-Norm_Stats!$F$22)/(Norm_Stats!$G$22-Norm_Stats!$F$22)))))="",0,0.5)+IF((IF(OR(City_Inputs!$AJ99="",Norm_Stats!$F$23="",Norm_Stats!$G$23="",Norm_Stats!$G$23=Norm_Stats!$F$23),"",MAX(0,MIN(100,100*(MIN(MAX(City_Inputs!$AJ99,Norm_Stats!$F$23),Norm_Stats!$G$23)-Norm_Stats!$F$23)/(Norm_Stats!$G$23-Norm_Stats!$F$23)))))="",0,0.3)+IF((IF(OR(City_Inputs!$AK99="",Norm_Stats!$F$24="",Norm_Stats!$G$24="",Norm_Stats!$G$24=Norm_Stats!$F$24),"",MAX(0,MIN(100,100*(MIN(MAX(City_Inputs!$AK99,Norm_Stats!$F$24),Norm_Stats!$G$24)-Norm_Stats!$F$24)/(Norm_Stats!$G$24-Norm_Stats!$F$24)))))="",0,0.2)))</f>
        <v/>
      </c>
      <c r="BD99" s="14">
        <f>IF((IF((IF(OR(City_Inputs!$AG99="",Norm_Stats!$F$22="",Norm_Stats!$G$22="",Norm_Stats!$G$22=Norm_Stats!$F$22),"",MAX(0,MIN(100,100*(MIN(MAX(City_Inputs!$AG99,Norm_Stats!$F$22),Norm_Stats!$G$22)-Norm_Stats!$F$22)/(Norm_Stats!$G$22-Norm_Stats!$F$22)))))="",0,0.5)+IF((IF(OR(City_Inputs!$AJ99="",Norm_Stats!$F$23="",Norm_Stats!$G$23="",Norm_Stats!$G$23=Norm_Stats!$F$23),"",MAX(0,MIN(100,100*(MIN(MAX(City_Inputs!$AJ99,Norm_Stats!$F$23),Norm_Stats!$G$23)-Norm_Stats!$F$23)/(Norm_Stats!$G$23-Norm_Stats!$F$23)))))="",0,0.3)+IF((IF(OR(City_Inputs!$AK99="",Norm_Stats!$F$24="",Norm_Stats!$G$24="",Norm_Stats!$G$24=Norm_Stats!$F$24),"",MAX(0,MIN(100,100*(MIN(MAX(City_Inputs!$AK99,Norm_Stats!$F$24),Norm_Stats!$G$24)-Norm_Stats!$F$24)/(Norm_Stats!$G$24-Norm_Stats!$F$24)))))="",0,0.2))=0,"",(IF((IF(OR(City_Inputs!$AG99="",Norm_Stats!$F$22="",Norm_Stats!$G$22="",Norm_Stats!$G$22=Norm_Stats!$F$22),"",MAX(0,MIN(100,100*(MIN(MAX(City_Inputs!$AG99,Norm_Stats!$F$22),Norm_Stats!$G$22)-Norm_Stats!$F$22)/(Norm_Stats!$G$22-Norm_Stats!$F$22)))))="",0,0.5)+IF((IF(OR(City_Inputs!$AJ99="",Norm_Stats!$F$23="",Norm_Stats!$G$23="",Norm_Stats!$G$23=Norm_Stats!$F$23),"",MAX(0,MIN(100,100*(MIN(MAX(City_Inputs!$AJ99,Norm_Stats!$F$23),Norm_Stats!$G$23)-Norm_Stats!$F$23)/(Norm_Stats!$G$23-Norm_Stats!$F$23)))))="",0,0.3)+IF((IF(OR(City_Inputs!$AK99="",Norm_Stats!$F$24="",Norm_Stats!$G$24="",Norm_Stats!$G$24=Norm_Stats!$F$24),"",MAX(0,MIN(100,100*(MIN(MAX(City_Inputs!$AK99,Norm_Stats!$F$24),Norm_Stats!$G$24)-Norm_Stats!$F$24)/(Norm_Stats!$G$24-Norm_Stats!$F$24)))))="",0,0.2)))</f>
        <v/>
      </c>
      <c r="BE99" s="11">
        <f>IF(OR(City_Inputs!$AH99="",Norm_Stats!$F$25="",Norm_Stats!$G$25="",Norm_Stats!$G$25=Norm_Stats!$F$25),"",MAX(0,MIN(100,100*(Norm_Stats!$G$25-MIN(MAX(City_Inputs!$AH99,Norm_Stats!$F$25),Norm_Stats!$G$25))/(Norm_Stats!$G$25-Norm_Stats!$F$25))))</f>
        <v/>
      </c>
      <c r="BF99" s="14">
        <f>IF(BE99="","",1)</f>
        <v/>
      </c>
      <c r="BG99" s="15">
        <f>IF((IF(AY99="",0,6)+IF(BA99="",0,5)+IF(BC99="",0,5)+IF(BE99="",0,4))=0,"",(IF(AY99="",0,AY99*6)+IF(BA99="",0,BA99*5)+IF(BC99="",0,BC99*5)+IF(BE99="",0,BE99*4))/(IF(AY99="",0,6)+IF(BA99="",0,5)+IF(BC99="",0,5)+IF(BE99="",0,4)))</f>
        <v/>
      </c>
      <c r="BH99" s="14">
        <f>IF((IF(AZ99="",0,6)+IF(BB99="",0,5)+IF(BD99="",0,5)+IF(BF99="",0,4))=0,"",(IF(AZ99="",0,AZ99*6)+IF(BB99="",0,BB99*5)+IF(BD99="",0,BD99*5)+IF(BF99="",0,BF99*4))/20)</f>
        <v/>
      </c>
      <c r="BI99" s="14">
        <f>IF(AND(R99="",AF99="",AN99="",AX99="",BH99=""),"",((R99*25)+(AF99*22)+(AN99*18)+(AX99*15)+(BH99*20))/100)</f>
        <v/>
      </c>
      <c r="BJ99" s="11">
        <f>IF(BI99="","",IF(BI99&gt;=0.75,"A",IF(BI99&gt;=0.5,"B",IF(BI99&gt;=0.35,"C","Watchlist"))))</f>
        <v/>
      </c>
      <c r="BK99" s="11">
        <f>IF(OR(BI99="",BI99&lt;0.5,R99="",R99&lt;0.35,AF99="",AF99&lt;0.35,AN99="",AN99&lt;0.35,AX99="",AX99&lt;0.35,BH99="",BH99&lt;0.35),"Watchlist","Ranked")</f>
        <v/>
      </c>
      <c r="BL99" s="15">
        <f>IF(AND(Q99="",AE99="",AM99="",AW99="",BG99=""),"",(IF(Q99="",0,Q99*25)+IF(AE99="",0,AE99*22)+IF(AM99="",0,AM99*18)+IF(AW99="",0,AW99*15)+IF(BG99="",0,BG99*20))/(IF(Q99="",0,25)+IF(AE99="",0,22)+IF(AM99="",0,18)+IF(AW99="",0,15)+IF(BG99="",0,20)))</f>
        <v/>
      </c>
      <c r="BM99" s="11">
        <f>IF(BK99="Ranked",1+COUNTIFS($BK$2:$BK$158,"Ranked",$BL$2:$BL$158,"&gt;"&amp;BL99),"")</f>
        <v/>
      </c>
      <c r="BN99" s="11">
        <f>City_Inputs!$AI99</f>
        <v/>
      </c>
    </row>
    <row r="100">
      <c r="A100" t="inlineStr">
        <is>
          <t>sn-dakar</t>
        </is>
      </c>
      <c r="B100" t="inlineStr">
        <is>
          <t>Dakar</t>
        </is>
      </c>
      <c r="C100" t="inlineStr">
        <is>
          <t>Senegal</t>
        </is>
      </c>
      <c r="D100" t="inlineStr">
        <is>
          <t>Africa</t>
        </is>
      </c>
      <c r="E100" t="inlineStr">
        <is>
          <t>provisional</t>
        </is>
      </c>
      <c r="F100" t="inlineStr">
        <is>
          <t>secondary</t>
        </is>
      </c>
      <c r="G100" s="11">
        <f>IF(OR(City_Inputs!$M100="",Norm_Stats!$F$2="",Norm_Stats!$G$2="",Norm_Stats!$G$2=Norm_Stats!$F$2),"",MAX(0,MIN(100,100*(MIN(MAX(City_Inputs!$M100,Norm_Stats!$F$2),Norm_Stats!$G$2)-Norm_Stats!$F$2)/(Norm_Stats!$G$2-Norm_Stats!$F$2))))</f>
        <v/>
      </c>
      <c r="H100" s="14">
        <f>IF(G100="","",1)</f>
        <v/>
      </c>
      <c r="I100" s="11">
        <f>IF(OR(City_Inputs!$N100="",Norm_Stats!$F$3="",Norm_Stats!$G$3="",Norm_Stats!$G$3=Norm_Stats!$F$3),"",MAX(0,MIN(100,100*(Norm_Stats!$G$3-MIN(MAX(City_Inputs!$N100,Norm_Stats!$F$3),Norm_Stats!$G$3))/(Norm_Stats!$G$3-Norm_Stats!$F$3))))</f>
        <v/>
      </c>
      <c r="J100" s="14">
        <f>IF(I100="","",1)</f>
        <v/>
      </c>
      <c r="K100" s="11">
        <f>IF(OR(City_Inputs!$P100="",Norm_Stats!$F$4="",Norm_Stats!$G$4="",Norm_Stats!$G$4=Norm_Stats!$F$4),"",MAX(0,MIN(100,100*(Norm_Stats!$G$4-MIN(MAX(City_Inputs!$P100,Norm_Stats!$F$4),Norm_Stats!$G$4))/(Norm_Stats!$G$4-Norm_Stats!$F$4))))</f>
        <v/>
      </c>
      <c r="L100" s="14">
        <f>IF(K100="","",1)</f>
        <v/>
      </c>
      <c r="M100" s="11">
        <f>IF(OR(City_Inputs!$Q100="",Norm_Stats!$F$5="",Norm_Stats!$G$5="",Norm_Stats!$G$5=Norm_Stats!$F$5),"",MAX(0,MIN(100,100*(Norm_Stats!$G$5-MIN(MAX(City_Inputs!$Q100,Norm_Stats!$F$5),Norm_Stats!$G$5))/(Norm_Stats!$G$5-Norm_Stats!$F$5))))</f>
        <v/>
      </c>
      <c r="N100" s="14">
        <f>IF(M100="","",1)</f>
        <v/>
      </c>
      <c r="O100" s="11">
        <f>IF(OR(City_Inputs!$R100="",Norm_Stats!$F$6="",Norm_Stats!$G$6="",Norm_Stats!$G$6=Norm_Stats!$F$6),"",MAX(0,MIN(100,100*(Norm_Stats!$G$6-MIN(MAX(City_Inputs!$R100,Norm_Stats!$F$6),Norm_Stats!$G$6))/(Norm_Stats!$G$6-Norm_Stats!$F$6))))</f>
        <v/>
      </c>
      <c r="P100" s="14">
        <f>IF(O100="","",1)</f>
        <v/>
      </c>
      <c r="Q100" s="15">
        <f>IF((IF(G100="",0,9)+IF(I100="",0,5)+IF(K100="",0,4)+IF(M100="",0,4)+IF(O100="",0,5))=0,"",(IF(G100="",0,G100*9)+IF(I100="",0,I100*5)+IF(K100="",0,K100*4)+IF(M100="",0,M100*4)+IF(O100="",0,O100*5))/(IF(G100="",0,9)+IF(I100="",0,5)+IF(K100="",0,4)+IF(M100="",0,4)+IF(O100="",0,5)))</f>
        <v/>
      </c>
      <c r="R100" s="14">
        <f>IF((IF(H100="",0,9)+IF(J100="",0,5)+IF(L100="",0,4)+IF(N100="",0,4)+IF(P100="",0,5))=0,"",(IF(H100="",0,H100*9)+IF(J100="",0,J100*5)+IF(L100="",0,L100*4)+IF(N100="",0,N100*4)+IF(P100="",0,P100*5))/27)</f>
        <v/>
      </c>
      <c r="S100" s="11">
        <f>IF(OR(City_Inputs!$S100="",Norm_Stats!$F$7="",Norm_Stats!$G$7="",Norm_Stats!$G$7=Norm_Stats!$F$7),"",MAX(0,MIN(100,100*(Norm_Stats!$G$7-MIN(MAX(City_Inputs!$S100,Norm_Stats!$F$7),Norm_Stats!$G$7))/(Norm_Stats!$G$7-Norm_Stats!$F$7))))</f>
        <v/>
      </c>
      <c r="T100" s="14">
        <f>IF(S100="","",1)</f>
        <v/>
      </c>
      <c r="U100" s="11">
        <f>IF(OR(City_Inputs!$T100="",Norm_Stats!$F$8="",Norm_Stats!$G$8="",Norm_Stats!$G$8=Norm_Stats!$F$8),"",MAX(0,MIN(100,100*(MIN(MAX(City_Inputs!$T100,Norm_Stats!$F$8),Norm_Stats!$G$8)-Norm_Stats!$F$8)/(Norm_Stats!$G$8-Norm_Stats!$F$8))))</f>
        <v/>
      </c>
      <c r="V100" s="14">
        <f>IF(U100="","",1)</f>
        <v/>
      </c>
      <c r="W100" s="11">
        <f>IF(OR(City_Inputs!$U100="",Norm_Stats!$F$9="",Norm_Stats!$G$9="",Norm_Stats!$G$9=Norm_Stats!$F$9),"",MAX(0,MIN(100,100*(Norm_Stats!$G$9-MIN(MAX(City_Inputs!$U100,Norm_Stats!$F$9),Norm_Stats!$G$9))/(Norm_Stats!$G$9-Norm_Stats!$F$9))))</f>
        <v/>
      </c>
      <c r="X100" s="14">
        <f>IF(W100="","",1)</f>
        <v/>
      </c>
      <c r="Y100" s="11">
        <f>IF(OR(City_Inputs!$V100="",Norm_Stats!$F$10="",Norm_Stats!$G$10="",Norm_Stats!$G$10=Norm_Stats!$F$10),"",MAX(0,MIN(100,100*(MIN(MAX(City_Inputs!$V100,Norm_Stats!$F$10),Norm_Stats!$G$10)-Norm_Stats!$F$10)/(Norm_Stats!$G$10-Norm_Stats!$F$10))))</f>
        <v/>
      </c>
      <c r="Z100" s="14">
        <f>IF(Y100="","",1)</f>
        <v/>
      </c>
      <c r="AA100" s="11">
        <f>IF(OR(City_Inputs!$W100="",Norm_Stats!$F$11="",Norm_Stats!$G$11="",Norm_Stats!$G$11=Norm_Stats!$F$11),"",MAX(0,MIN(100,100*(MIN(MAX(City_Inputs!$W100,Norm_Stats!$F$11),Norm_Stats!$G$11)-Norm_Stats!$F$11)/(Norm_Stats!$G$11-Norm_Stats!$F$11))))</f>
        <v/>
      </c>
      <c r="AB100" s="14">
        <f>IF(AA100="","",1)</f>
        <v/>
      </c>
      <c r="AC100" s="11">
        <f>IF(OR(City_Inputs!$X100="",Norm_Stats!$F$12="",Norm_Stats!$G$12="",Norm_Stats!$G$12=Norm_Stats!$F$12),"",MAX(0,MIN(100,100*(MIN(MAX(City_Inputs!$X100,Norm_Stats!$F$12),Norm_Stats!$G$12)-Norm_Stats!$F$12)/(Norm_Stats!$G$12-Norm_Stats!$F$12))))</f>
        <v/>
      </c>
      <c r="AD100" s="11">
        <f>IF(AC100="","",1)</f>
        <v/>
      </c>
      <c r="AE100" s="15">
        <f>IF((IF(S100="",0,5)+IF(U100="",0,5)+IF(W100="",0,4)+IF(Y100="",0,4)+IF(AA100="",0,4)+IF(AC100="",0,5))=0,"",(IF(S100="",0,S100*5)+IF(U100="",0,U100*5)+IF(W100="",0,W100*4)+IF(Y100="",0,Y100*4)+IF(AA100="",0,AA100*4)+IF(AC100="",0,AC100*5))/(IF(S100="",0,5)+IF(U100="",0,5)+IF(W100="",0,4)+IF(Y100="",0,4)+IF(AA100="",0,4)+IF(AC100="",0,5)))</f>
        <v/>
      </c>
      <c r="AF100" s="14">
        <f>IF((IF(T100="",0,5)+IF(V100="",0,5)+IF(X100="",0,4)+IF(Z100="",0,4)+IF(AB100="",0,4)+IF(AD100="",0,5))=0,"",(IF(T100="",0,T100*5)+IF(V100="",0,V100*5)+IF(X100="",0,X100*4)+IF(Z100="",0,Z100*4)+IF(AB100="",0,AB100*4)+IF(AD100="",0,AD100*5))/27)</f>
        <v/>
      </c>
      <c r="AG100" s="11">
        <f>IF(OR(City_Inputs!$Y100="",Norm_Stats!$F$13="",Norm_Stats!$G$13="",Norm_Stats!$G$13=Norm_Stats!$F$13),"",MAX(0,MIN(100,100*(MIN(MAX(City_Inputs!$Y100,Norm_Stats!$F$13),Norm_Stats!$G$13)-Norm_Stats!$F$13)/(Norm_Stats!$G$13-Norm_Stats!$F$13))))</f>
        <v/>
      </c>
      <c r="AH100" s="14">
        <f>IF(AG100="","",1)</f>
        <v/>
      </c>
      <c r="AI100" s="11">
        <f>IF(OR(City_Inputs!$Z100="",Norm_Stats!$F$14="",Norm_Stats!$G$14="",Norm_Stats!$G$14=Norm_Stats!$F$14),"",MAX(0,MIN(100,100*(MIN(MAX(City_Inputs!$Z100,Norm_Stats!$F$14),Norm_Stats!$G$14)-Norm_Stats!$F$14)/(Norm_Stats!$G$14-Norm_Stats!$F$14))))</f>
        <v/>
      </c>
      <c r="AJ100" s="14">
        <f>IF(AI100="","",1)</f>
        <v/>
      </c>
      <c r="AK100" s="11">
        <f>IF((IF((IF(OR(City_Inputs!$AA100="",Norm_Stats!$F$15="",Norm_Stats!$G$15="",Norm_Stats!$G$15=Norm_Stats!$F$15),"",MAX(0,MIN(100,100*(MIN(MAX(City_Inputs!$AA100,Norm_Stats!$F$15),Norm_Stats!$G$15)-Norm_Stats!$F$15)/(Norm_Stats!$G$15-Norm_Stats!$F$15)))))="",0,0.7)+IF((IF(OR(City_Inputs!$AL100="",Norm_Stats!$F$16="",Norm_Stats!$G$16="",Norm_Stats!$G$16=Norm_Stats!$F$16),"",MAX(0,MIN(100,100*(Norm_Stats!$G$16-MIN(MAX(City_Inputs!$AL100,Norm_Stats!$F$16),Norm_Stats!$G$16))/(Norm_Stats!$G$16-Norm_Stats!$F$16)))))="",0,0.3))=0,"",(IF((IF(OR(City_Inputs!$AA100="",Norm_Stats!$F$15="",Norm_Stats!$G$15="",Norm_Stats!$G$15=Norm_Stats!$F$15),"",MAX(0,MIN(100,100*(MIN(MAX(City_Inputs!$AA100,Norm_Stats!$F$15),Norm_Stats!$G$15)-Norm_Stats!$F$15)/(Norm_Stats!$G$15-Norm_Stats!$F$15)))))="",0,(IF(OR(City_Inputs!$AA100="",Norm_Stats!$F$15="",Norm_Stats!$G$15="",Norm_Stats!$G$15=Norm_Stats!$F$15),"",MAX(0,MIN(100,100*(MIN(MAX(City_Inputs!$AA100,Norm_Stats!$F$15),Norm_Stats!$G$15)-Norm_Stats!$F$15)/(Norm_Stats!$G$15-Norm_Stats!$F$15)))))*0.7)+IF((IF(OR(City_Inputs!$AL100="",Norm_Stats!$F$16="",Norm_Stats!$G$16="",Norm_Stats!$G$16=Norm_Stats!$F$16),"",MAX(0,MIN(100,100*(Norm_Stats!$G$16-MIN(MAX(City_Inputs!$AL100,Norm_Stats!$F$16),Norm_Stats!$G$16))/(Norm_Stats!$G$16-Norm_Stats!$F$16)))))="",0,(IF(OR(City_Inputs!$AL100="",Norm_Stats!$F$16="",Norm_Stats!$G$16="",Norm_Stats!$G$16=Norm_Stats!$F$16),"",MAX(0,MIN(100,100*(Norm_Stats!$G$16-MIN(MAX(City_Inputs!$AL100,Norm_Stats!$F$16),Norm_Stats!$G$16))/(Norm_Stats!$G$16-Norm_Stats!$F$16)))))*0.3))/(IF((IF(OR(City_Inputs!$AA100="",Norm_Stats!$F$15="",Norm_Stats!$G$15="",Norm_Stats!$G$15=Norm_Stats!$F$15),"",MAX(0,MIN(100,100*(MIN(MAX(City_Inputs!$AA100,Norm_Stats!$F$15),Norm_Stats!$G$15)-Norm_Stats!$F$15)/(Norm_Stats!$G$15-Norm_Stats!$F$15)))))="",0,0.7)+IF((IF(OR(City_Inputs!$AL100="",Norm_Stats!$F$16="",Norm_Stats!$G$16="",Norm_Stats!$G$16=Norm_Stats!$F$16),"",MAX(0,MIN(100,100*(Norm_Stats!$G$16-MIN(MAX(City_Inputs!$AL100,Norm_Stats!$F$16),Norm_Stats!$G$16))/(Norm_Stats!$G$16-Norm_Stats!$F$16)))))="",0,0.3)))</f>
        <v/>
      </c>
      <c r="AL100" s="14">
        <f>IF((IF((IF(OR(City_Inputs!$AA100="",Norm_Stats!$F$15="",Norm_Stats!$G$15="",Norm_Stats!$G$15=Norm_Stats!$F$15),"",MAX(0,MIN(100,100*(MIN(MAX(City_Inputs!$AA100,Norm_Stats!$F$15),Norm_Stats!$G$15)-Norm_Stats!$F$15)/(Norm_Stats!$G$15-Norm_Stats!$F$15)))))="",0,0.7)+IF((IF(OR(City_Inputs!$AL100="",Norm_Stats!$F$16="",Norm_Stats!$G$16="",Norm_Stats!$G$16=Norm_Stats!$F$16),"",MAX(0,MIN(100,100*(Norm_Stats!$G$16-MIN(MAX(City_Inputs!$AL100,Norm_Stats!$F$16),Norm_Stats!$G$16))/(Norm_Stats!$G$16-Norm_Stats!$F$16)))))="",0,0.3))=0,"",(IF((IF(OR(City_Inputs!$AA100="",Norm_Stats!$F$15="",Norm_Stats!$G$15="",Norm_Stats!$G$15=Norm_Stats!$F$15),"",MAX(0,MIN(100,100*(MIN(MAX(City_Inputs!$AA100,Norm_Stats!$F$15),Norm_Stats!$G$15)-Norm_Stats!$F$15)/(Norm_Stats!$G$15-Norm_Stats!$F$15)))))="",0,0.7)+IF((IF(OR(City_Inputs!$AL100="",Norm_Stats!$F$16="",Norm_Stats!$G$16="",Norm_Stats!$G$16=Norm_Stats!$F$16),"",MAX(0,MIN(100,100*(Norm_Stats!$G$16-MIN(MAX(City_Inputs!$AL100,Norm_Stats!$F$16),Norm_Stats!$G$16))/(Norm_Stats!$G$16-Norm_Stats!$F$16)))))="",0,0.3)))</f>
        <v/>
      </c>
      <c r="AM100" s="15">
        <f>IF((IF(AG100="",0,8)+IF(AI100="",0,6)+IF(AK100="",0,4))=0,"",(IF(AG100="",0,AG100*8)+IF(AI100="",0,AI100*6)+IF(AK100="",0,AK100*4))/(IF(AG100="",0,8)+IF(AI100="",0,6)+IF(AK100="",0,4)))</f>
        <v/>
      </c>
      <c r="AN100" s="14">
        <f>IF((IF(AH100="",0,8)+IF(AJ100="",0,6)+IF(AL100="",0,4))=0,"",(IF(AH100="",0,AH100*8)+IF(AJ100="",0,AJ100*6)+IF(AL100="",0,AL100*4))/18)</f>
        <v/>
      </c>
      <c r="AO100" s="11">
        <f>IF(OR(City_Inputs!$AB100="",Norm_Stats!$F$17="",Norm_Stats!$G$17="",Norm_Stats!$G$17=Norm_Stats!$F$17),"",MAX(0,MIN(100,100*(MIN(MAX(City_Inputs!$AB100,Norm_Stats!$F$17),Norm_Stats!$G$17)-Norm_Stats!$F$17)/(Norm_Stats!$G$17-Norm_Stats!$F$17))))</f>
        <v/>
      </c>
      <c r="AP100" s="14">
        <f>IF(AO100="","",1)</f>
        <v/>
      </c>
      <c r="AQ100" s="11">
        <f>IF(OR(City_Inputs!$AC100="",Norm_Stats!$F$18="",Norm_Stats!$G$18="",Norm_Stats!$G$18=Norm_Stats!$F$18),"",MAX(0,MIN(100,100*(MIN(MAX(City_Inputs!$AC100,Norm_Stats!$F$18),Norm_Stats!$G$18)-Norm_Stats!$F$18)/(Norm_Stats!$G$18-Norm_Stats!$F$18))))</f>
        <v/>
      </c>
      <c r="AR100" s="14">
        <f>IF(AQ100="","",1)</f>
        <v/>
      </c>
      <c r="AS100" s="11">
        <f>IF(OR(City_Inputs!$AD100="",Norm_Stats!$F$19="",Norm_Stats!$G$19="",Norm_Stats!$G$19=Norm_Stats!$F$19),"",MAX(0,MIN(100,100*(MIN(MAX(City_Inputs!$AD100,Norm_Stats!$F$19),Norm_Stats!$G$19)-Norm_Stats!$F$19)/(Norm_Stats!$G$19-Norm_Stats!$F$19))))</f>
        <v/>
      </c>
      <c r="AT100" s="14">
        <f>IF(AS100="","",1)</f>
        <v/>
      </c>
      <c r="AU100" s="11">
        <f>IF(OR(City_Inputs!$BJ100="",Norm_Stats!$F$26="",Norm_Stats!$G$26="",Norm_Stats!$G$26=Norm_Stats!$F$26),"",MAX(0,MIN(100,100*(MIN(MAX(City_Inputs!$BJ100,Norm_Stats!$F$26),Norm_Stats!$G$26)-Norm_Stats!$F$26)/(Norm_Stats!$G$26-Norm_Stats!$F$26))))</f>
        <v/>
      </c>
      <c r="AV100" s="11">
        <f>IF(AU100="","",1)</f>
        <v/>
      </c>
      <c r="AW100" s="15">
        <f>IF((IF(AO100="",0,5)+IF(AQ100="",0,5)+IF(AS100="",0,5)+IF(AU100="",0,4))=0,"",(IF(AO100="",0,AO100*5)+IF(AQ100="",0,AQ100*5)+IF(AS100="",0,AS100*5)+IF(AU100="",0,AU100*4))/(IF(AO100="",0,5)+IF(AQ100="",0,5)+IF(AS100="",0,5)+IF(AU100="",0,4)))</f>
        <v/>
      </c>
      <c r="AX100" s="14">
        <f>IF((IF(AP100="",0,5)+IF(AR100="",0,5)+IF(AT100="",0,5)+IF(AV100="",0,4))=0,"",(IF(AP100="",0,AP100*5)+IF(AR100="",0,AR100*5)+IF(AT100="",0,AT100*5)+IF(AV100="",0,AV100*4))/19)</f>
        <v/>
      </c>
      <c r="AY100" s="11">
        <f>IF(OR(City_Inputs!$AE100="",Norm_Stats!$F$20="",Norm_Stats!$G$20="",Norm_Stats!$G$20=Norm_Stats!$F$20),"",MAX(0,MIN(100,100*(MIN(MAX(City_Inputs!$AE100,Norm_Stats!$F$20),Norm_Stats!$G$20)-Norm_Stats!$F$20)/(Norm_Stats!$G$20-Norm_Stats!$F$20))))</f>
        <v/>
      </c>
      <c r="AZ100" s="14">
        <f>IF(AY100="","",1)</f>
        <v/>
      </c>
      <c r="BA100" s="11">
        <f>IF(OR(City_Inputs!$AF100="",Norm_Stats!$F$21="",Norm_Stats!$G$21="",Norm_Stats!$G$21=Norm_Stats!$F$21),"",MAX(0,MIN(100,100*(MIN(MAX(City_Inputs!$AF100,Norm_Stats!$F$21),Norm_Stats!$G$21)-Norm_Stats!$F$21)/(Norm_Stats!$G$21-Norm_Stats!$F$21))))</f>
        <v/>
      </c>
      <c r="BB100" s="14">
        <f>IF(BA100="","",1)</f>
        <v/>
      </c>
      <c r="BC100" s="11">
        <f>IF((IF((IF(OR(City_Inputs!$AG100="",Norm_Stats!$F$22="",Norm_Stats!$G$22="",Norm_Stats!$G$22=Norm_Stats!$F$22),"",MAX(0,MIN(100,100*(MIN(MAX(City_Inputs!$AG100,Norm_Stats!$F$22),Norm_Stats!$G$22)-Norm_Stats!$F$22)/(Norm_Stats!$G$22-Norm_Stats!$F$22)))))="",0,0.5)+IF((IF(OR(City_Inputs!$AJ100="",Norm_Stats!$F$23="",Norm_Stats!$G$23="",Norm_Stats!$G$23=Norm_Stats!$F$23),"",MAX(0,MIN(100,100*(MIN(MAX(City_Inputs!$AJ100,Norm_Stats!$F$23),Norm_Stats!$G$23)-Norm_Stats!$F$23)/(Norm_Stats!$G$23-Norm_Stats!$F$23)))))="",0,0.3)+IF((IF(OR(City_Inputs!$AK100="",Norm_Stats!$F$24="",Norm_Stats!$G$24="",Norm_Stats!$G$24=Norm_Stats!$F$24),"",MAX(0,MIN(100,100*(MIN(MAX(City_Inputs!$AK100,Norm_Stats!$F$24),Norm_Stats!$G$24)-Norm_Stats!$F$24)/(Norm_Stats!$G$24-Norm_Stats!$F$24)))))="",0,0.2))=0,"",(IF((IF(OR(City_Inputs!$AG100="",Norm_Stats!$F$22="",Norm_Stats!$G$22="",Norm_Stats!$G$22=Norm_Stats!$F$22),"",MAX(0,MIN(100,100*(MIN(MAX(City_Inputs!$AG100,Norm_Stats!$F$22),Norm_Stats!$G$22)-Norm_Stats!$F$22)/(Norm_Stats!$G$22-Norm_Stats!$F$22)))))="",0,(IF(OR(City_Inputs!$AG100="",Norm_Stats!$F$22="",Norm_Stats!$G$22="",Norm_Stats!$G$22=Norm_Stats!$F$22),"",MAX(0,MIN(100,100*(MIN(MAX(City_Inputs!$AG100,Norm_Stats!$F$22),Norm_Stats!$G$22)-Norm_Stats!$F$22)/(Norm_Stats!$G$22-Norm_Stats!$F$22)))))*0.5)+IF((IF(OR(City_Inputs!$AJ100="",Norm_Stats!$F$23="",Norm_Stats!$G$23="",Norm_Stats!$G$23=Norm_Stats!$F$23),"",MAX(0,MIN(100,100*(MIN(MAX(City_Inputs!$AJ100,Norm_Stats!$F$23),Norm_Stats!$G$23)-Norm_Stats!$F$23)/(Norm_Stats!$G$23-Norm_Stats!$F$23)))))="",0,(IF(OR(City_Inputs!$AJ100="",Norm_Stats!$F$23="",Norm_Stats!$G$23="",Norm_Stats!$G$23=Norm_Stats!$F$23),"",MAX(0,MIN(100,100*(MIN(MAX(City_Inputs!$AJ100,Norm_Stats!$F$23),Norm_Stats!$G$23)-Norm_Stats!$F$23)/(Norm_Stats!$G$23-Norm_Stats!$F$23)))))*0.3)+IF((IF(OR(City_Inputs!$AK100="",Norm_Stats!$F$24="",Norm_Stats!$G$24="",Norm_Stats!$G$24=Norm_Stats!$F$24),"",MAX(0,MIN(100,100*(MIN(MAX(City_Inputs!$AK100,Norm_Stats!$F$24),Norm_Stats!$G$24)-Norm_Stats!$F$24)/(Norm_Stats!$G$24-Norm_Stats!$F$24)))))="",0,(IF(OR(City_Inputs!$AK100="",Norm_Stats!$F$24="",Norm_Stats!$G$24="",Norm_Stats!$G$24=Norm_Stats!$F$24),"",MAX(0,MIN(100,100*(MIN(MAX(City_Inputs!$AK100,Norm_Stats!$F$24),Norm_Stats!$G$24)-Norm_Stats!$F$24)/(Norm_Stats!$G$24-Norm_Stats!$F$24)))))*0.2))/(IF((IF(OR(City_Inputs!$AG100="",Norm_Stats!$F$22="",Norm_Stats!$G$22="",Norm_Stats!$G$22=Norm_Stats!$F$22),"",MAX(0,MIN(100,100*(MIN(MAX(City_Inputs!$AG100,Norm_Stats!$F$22),Norm_Stats!$G$22)-Norm_Stats!$F$22)/(Norm_Stats!$G$22-Norm_Stats!$F$22)))))="",0,0.5)+IF((IF(OR(City_Inputs!$AJ100="",Norm_Stats!$F$23="",Norm_Stats!$G$23="",Norm_Stats!$G$23=Norm_Stats!$F$23),"",MAX(0,MIN(100,100*(MIN(MAX(City_Inputs!$AJ100,Norm_Stats!$F$23),Norm_Stats!$G$23)-Norm_Stats!$F$23)/(Norm_Stats!$G$23-Norm_Stats!$F$23)))))="",0,0.3)+IF((IF(OR(City_Inputs!$AK100="",Norm_Stats!$F$24="",Norm_Stats!$G$24="",Norm_Stats!$G$24=Norm_Stats!$F$24),"",MAX(0,MIN(100,100*(MIN(MAX(City_Inputs!$AK100,Norm_Stats!$F$24),Norm_Stats!$G$24)-Norm_Stats!$F$24)/(Norm_Stats!$G$24-Norm_Stats!$F$24)))))="",0,0.2)))</f>
        <v/>
      </c>
      <c r="BD100" s="14">
        <f>IF((IF((IF(OR(City_Inputs!$AG100="",Norm_Stats!$F$22="",Norm_Stats!$G$22="",Norm_Stats!$G$22=Norm_Stats!$F$22),"",MAX(0,MIN(100,100*(MIN(MAX(City_Inputs!$AG100,Norm_Stats!$F$22),Norm_Stats!$G$22)-Norm_Stats!$F$22)/(Norm_Stats!$G$22-Norm_Stats!$F$22)))))="",0,0.5)+IF((IF(OR(City_Inputs!$AJ100="",Norm_Stats!$F$23="",Norm_Stats!$G$23="",Norm_Stats!$G$23=Norm_Stats!$F$23),"",MAX(0,MIN(100,100*(MIN(MAX(City_Inputs!$AJ100,Norm_Stats!$F$23),Norm_Stats!$G$23)-Norm_Stats!$F$23)/(Norm_Stats!$G$23-Norm_Stats!$F$23)))))="",0,0.3)+IF((IF(OR(City_Inputs!$AK100="",Norm_Stats!$F$24="",Norm_Stats!$G$24="",Norm_Stats!$G$24=Norm_Stats!$F$24),"",MAX(0,MIN(100,100*(MIN(MAX(City_Inputs!$AK100,Norm_Stats!$F$24),Norm_Stats!$G$24)-Norm_Stats!$F$24)/(Norm_Stats!$G$24-Norm_Stats!$F$24)))))="",0,0.2))=0,"",(IF((IF(OR(City_Inputs!$AG100="",Norm_Stats!$F$22="",Norm_Stats!$G$22="",Norm_Stats!$G$22=Norm_Stats!$F$22),"",MAX(0,MIN(100,100*(MIN(MAX(City_Inputs!$AG100,Norm_Stats!$F$22),Norm_Stats!$G$22)-Norm_Stats!$F$22)/(Norm_Stats!$G$22-Norm_Stats!$F$22)))))="",0,0.5)+IF((IF(OR(City_Inputs!$AJ100="",Norm_Stats!$F$23="",Norm_Stats!$G$23="",Norm_Stats!$G$23=Norm_Stats!$F$23),"",MAX(0,MIN(100,100*(MIN(MAX(City_Inputs!$AJ100,Norm_Stats!$F$23),Norm_Stats!$G$23)-Norm_Stats!$F$23)/(Norm_Stats!$G$23-Norm_Stats!$F$23)))))="",0,0.3)+IF((IF(OR(City_Inputs!$AK100="",Norm_Stats!$F$24="",Norm_Stats!$G$24="",Norm_Stats!$G$24=Norm_Stats!$F$24),"",MAX(0,MIN(100,100*(MIN(MAX(City_Inputs!$AK100,Norm_Stats!$F$24),Norm_Stats!$G$24)-Norm_Stats!$F$24)/(Norm_Stats!$G$24-Norm_Stats!$F$24)))))="",0,0.2)))</f>
        <v/>
      </c>
      <c r="BE100" s="11">
        <f>IF(OR(City_Inputs!$AH100="",Norm_Stats!$F$25="",Norm_Stats!$G$25="",Norm_Stats!$G$25=Norm_Stats!$F$25),"",MAX(0,MIN(100,100*(Norm_Stats!$G$25-MIN(MAX(City_Inputs!$AH100,Norm_Stats!$F$25),Norm_Stats!$G$25))/(Norm_Stats!$G$25-Norm_Stats!$F$25))))</f>
        <v/>
      </c>
      <c r="BF100" s="14">
        <f>IF(BE100="","",1)</f>
        <v/>
      </c>
      <c r="BG100" s="15">
        <f>IF((IF(AY100="",0,6)+IF(BA100="",0,5)+IF(BC100="",0,5)+IF(BE100="",0,4))=0,"",(IF(AY100="",0,AY100*6)+IF(BA100="",0,BA100*5)+IF(BC100="",0,BC100*5)+IF(BE100="",0,BE100*4))/(IF(AY100="",0,6)+IF(BA100="",0,5)+IF(BC100="",0,5)+IF(BE100="",0,4)))</f>
        <v/>
      </c>
      <c r="BH100" s="14">
        <f>IF((IF(AZ100="",0,6)+IF(BB100="",0,5)+IF(BD100="",0,5)+IF(BF100="",0,4))=0,"",(IF(AZ100="",0,AZ100*6)+IF(BB100="",0,BB100*5)+IF(BD100="",0,BD100*5)+IF(BF100="",0,BF100*4))/20)</f>
        <v/>
      </c>
      <c r="BI100" s="14">
        <f>IF(AND(R100="",AF100="",AN100="",AX100="",BH100=""),"",((R100*25)+(AF100*22)+(AN100*18)+(AX100*15)+(BH100*20))/100)</f>
        <v/>
      </c>
      <c r="BJ100" s="11">
        <f>IF(BI100="","",IF(BI100&gt;=0.75,"A",IF(BI100&gt;=0.5,"B",IF(BI100&gt;=0.35,"C","Watchlist"))))</f>
        <v/>
      </c>
      <c r="BK100" s="11">
        <f>IF(OR(BI100="",BI100&lt;0.5,R100="",R100&lt;0.35,AF100="",AF100&lt;0.35,AN100="",AN100&lt;0.35,AX100="",AX100&lt;0.35,BH100="",BH100&lt;0.35),"Watchlist","Ranked")</f>
        <v/>
      </c>
      <c r="BL100" s="15">
        <f>IF(AND(Q100="",AE100="",AM100="",AW100="",BG100=""),"",(IF(Q100="",0,Q100*25)+IF(AE100="",0,AE100*22)+IF(AM100="",0,AM100*18)+IF(AW100="",0,AW100*15)+IF(BG100="",0,BG100*20))/(IF(Q100="",0,25)+IF(AE100="",0,22)+IF(AM100="",0,18)+IF(AW100="",0,15)+IF(BG100="",0,20)))</f>
        <v/>
      </c>
      <c r="BM100" s="11">
        <f>IF(BK100="Ranked",1+COUNTIFS($BK$2:$BK$158,"Ranked",$BL$2:$BL$158,"&gt;"&amp;BL100),"")</f>
        <v/>
      </c>
      <c r="BN100" s="11">
        <f>City_Inputs!$AI100</f>
        <v/>
      </c>
    </row>
    <row r="101">
      <c r="A101" t="inlineStr">
        <is>
          <t>nz-auckland</t>
        </is>
      </c>
      <c r="B101" t="inlineStr">
        <is>
          <t>Auckland</t>
        </is>
      </c>
      <c r="C101" t="inlineStr">
        <is>
          <t>New Zealand</t>
        </is>
      </c>
      <c r="D101" t="inlineStr">
        <is>
          <t>Oceania</t>
        </is>
      </c>
      <c r="E101" t="inlineStr">
        <is>
          <t>locked</t>
        </is>
      </c>
      <c r="F101" t="inlineStr">
        <is>
          <t>primary</t>
        </is>
      </c>
      <c r="G101" s="11">
        <f>IF(OR(City_Inputs!$M101="",Norm_Stats!$F$2="",Norm_Stats!$G$2="",Norm_Stats!$G$2=Norm_Stats!$F$2),"",MAX(0,MIN(100,100*(MIN(MAX(City_Inputs!$M101,Norm_Stats!$F$2),Norm_Stats!$G$2)-Norm_Stats!$F$2)/(Norm_Stats!$G$2-Norm_Stats!$F$2))))</f>
        <v/>
      </c>
      <c r="H101" s="14">
        <f>IF(G101="","",1)</f>
        <v/>
      </c>
      <c r="I101" s="11">
        <f>IF(OR(City_Inputs!$N101="",Norm_Stats!$F$3="",Norm_Stats!$G$3="",Norm_Stats!$G$3=Norm_Stats!$F$3),"",MAX(0,MIN(100,100*(Norm_Stats!$G$3-MIN(MAX(City_Inputs!$N101,Norm_Stats!$F$3),Norm_Stats!$G$3))/(Norm_Stats!$G$3-Norm_Stats!$F$3))))</f>
        <v/>
      </c>
      <c r="J101" s="14">
        <f>IF(I101="","",1)</f>
        <v/>
      </c>
      <c r="K101" s="11">
        <f>IF(OR(City_Inputs!$P101="",Norm_Stats!$F$4="",Norm_Stats!$G$4="",Norm_Stats!$G$4=Norm_Stats!$F$4),"",MAX(0,MIN(100,100*(Norm_Stats!$G$4-MIN(MAX(City_Inputs!$P101,Norm_Stats!$F$4),Norm_Stats!$G$4))/(Norm_Stats!$G$4-Norm_Stats!$F$4))))</f>
        <v/>
      </c>
      <c r="L101" s="14">
        <f>IF(K101="","",1)</f>
        <v/>
      </c>
      <c r="M101" s="11">
        <f>IF(OR(City_Inputs!$Q101="",Norm_Stats!$F$5="",Norm_Stats!$G$5="",Norm_Stats!$G$5=Norm_Stats!$F$5),"",MAX(0,MIN(100,100*(Norm_Stats!$G$5-MIN(MAX(City_Inputs!$Q101,Norm_Stats!$F$5),Norm_Stats!$G$5))/(Norm_Stats!$G$5-Norm_Stats!$F$5))))</f>
        <v/>
      </c>
      <c r="N101" s="14">
        <f>IF(M101="","",1)</f>
        <v/>
      </c>
      <c r="O101" s="11">
        <f>IF(OR(City_Inputs!$R101="",Norm_Stats!$F$6="",Norm_Stats!$G$6="",Norm_Stats!$G$6=Norm_Stats!$F$6),"",MAX(0,MIN(100,100*(Norm_Stats!$G$6-MIN(MAX(City_Inputs!$R101,Norm_Stats!$F$6),Norm_Stats!$G$6))/(Norm_Stats!$G$6-Norm_Stats!$F$6))))</f>
        <v/>
      </c>
      <c r="P101" s="14">
        <f>IF(O101="","",1)</f>
        <v/>
      </c>
      <c r="Q101" s="15">
        <f>IF((IF(G101="",0,9)+IF(I101="",0,5)+IF(K101="",0,4)+IF(M101="",0,4)+IF(O101="",0,5))=0,"",(IF(G101="",0,G101*9)+IF(I101="",0,I101*5)+IF(K101="",0,K101*4)+IF(M101="",0,M101*4)+IF(O101="",0,O101*5))/(IF(G101="",0,9)+IF(I101="",0,5)+IF(K101="",0,4)+IF(M101="",0,4)+IF(O101="",0,5)))</f>
        <v/>
      </c>
      <c r="R101" s="14">
        <f>IF((IF(H101="",0,9)+IF(J101="",0,5)+IF(L101="",0,4)+IF(N101="",0,4)+IF(P101="",0,5))=0,"",(IF(H101="",0,H101*9)+IF(J101="",0,J101*5)+IF(L101="",0,L101*4)+IF(N101="",0,N101*4)+IF(P101="",0,P101*5))/27)</f>
        <v/>
      </c>
      <c r="S101" s="11">
        <f>IF(OR(City_Inputs!$S101="",Norm_Stats!$F$7="",Norm_Stats!$G$7="",Norm_Stats!$G$7=Norm_Stats!$F$7),"",MAX(0,MIN(100,100*(Norm_Stats!$G$7-MIN(MAX(City_Inputs!$S101,Norm_Stats!$F$7),Norm_Stats!$G$7))/(Norm_Stats!$G$7-Norm_Stats!$F$7))))</f>
        <v/>
      </c>
      <c r="T101" s="14">
        <f>IF(S101="","",1)</f>
        <v/>
      </c>
      <c r="U101" s="11">
        <f>IF(OR(City_Inputs!$T101="",Norm_Stats!$F$8="",Norm_Stats!$G$8="",Norm_Stats!$G$8=Norm_Stats!$F$8),"",MAX(0,MIN(100,100*(MIN(MAX(City_Inputs!$T101,Norm_Stats!$F$8),Norm_Stats!$G$8)-Norm_Stats!$F$8)/(Norm_Stats!$G$8-Norm_Stats!$F$8))))</f>
        <v/>
      </c>
      <c r="V101" s="14">
        <f>IF(U101="","",1)</f>
        <v/>
      </c>
      <c r="W101" s="11">
        <f>IF(OR(City_Inputs!$U101="",Norm_Stats!$F$9="",Norm_Stats!$G$9="",Norm_Stats!$G$9=Norm_Stats!$F$9),"",MAX(0,MIN(100,100*(Norm_Stats!$G$9-MIN(MAX(City_Inputs!$U101,Norm_Stats!$F$9),Norm_Stats!$G$9))/(Norm_Stats!$G$9-Norm_Stats!$F$9))))</f>
        <v/>
      </c>
      <c r="X101" s="14">
        <f>IF(W101="","",1)</f>
        <v/>
      </c>
      <c r="Y101" s="11">
        <f>IF(OR(City_Inputs!$V101="",Norm_Stats!$F$10="",Norm_Stats!$G$10="",Norm_Stats!$G$10=Norm_Stats!$F$10),"",MAX(0,MIN(100,100*(MIN(MAX(City_Inputs!$V101,Norm_Stats!$F$10),Norm_Stats!$G$10)-Norm_Stats!$F$10)/(Norm_Stats!$G$10-Norm_Stats!$F$10))))</f>
        <v/>
      </c>
      <c r="Z101" s="14">
        <f>IF(Y101="","",1)</f>
        <v/>
      </c>
      <c r="AA101" s="11">
        <f>IF(OR(City_Inputs!$W101="",Norm_Stats!$F$11="",Norm_Stats!$G$11="",Norm_Stats!$G$11=Norm_Stats!$F$11),"",MAX(0,MIN(100,100*(MIN(MAX(City_Inputs!$W101,Norm_Stats!$F$11),Norm_Stats!$G$11)-Norm_Stats!$F$11)/(Norm_Stats!$G$11-Norm_Stats!$F$11))))</f>
        <v/>
      </c>
      <c r="AB101" s="14">
        <f>IF(AA101="","",1)</f>
        <v/>
      </c>
      <c r="AC101" s="11">
        <f>IF(OR(City_Inputs!$X101="",Norm_Stats!$F$12="",Norm_Stats!$G$12="",Norm_Stats!$G$12=Norm_Stats!$F$12),"",MAX(0,MIN(100,100*(MIN(MAX(City_Inputs!$X101,Norm_Stats!$F$12),Norm_Stats!$G$12)-Norm_Stats!$F$12)/(Norm_Stats!$G$12-Norm_Stats!$F$12))))</f>
        <v/>
      </c>
      <c r="AD101" s="11">
        <f>IF(AC101="","",1)</f>
        <v/>
      </c>
      <c r="AE101" s="15">
        <f>IF((IF(S101="",0,5)+IF(U101="",0,5)+IF(W101="",0,4)+IF(Y101="",0,4)+IF(AA101="",0,4)+IF(AC101="",0,5))=0,"",(IF(S101="",0,S101*5)+IF(U101="",0,U101*5)+IF(W101="",0,W101*4)+IF(Y101="",0,Y101*4)+IF(AA101="",0,AA101*4)+IF(AC101="",0,AC101*5))/(IF(S101="",0,5)+IF(U101="",0,5)+IF(W101="",0,4)+IF(Y101="",0,4)+IF(AA101="",0,4)+IF(AC101="",0,5)))</f>
        <v/>
      </c>
      <c r="AF101" s="14">
        <f>IF((IF(T101="",0,5)+IF(V101="",0,5)+IF(X101="",0,4)+IF(Z101="",0,4)+IF(AB101="",0,4)+IF(AD101="",0,5))=0,"",(IF(T101="",0,T101*5)+IF(V101="",0,V101*5)+IF(X101="",0,X101*4)+IF(Z101="",0,Z101*4)+IF(AB101="",0,AB101*4)+IF(AD101="",0,AD101*5))/27)</f>
        <v/>
      </c>
      <c r="AG101" s="11">
        <f>IF(OR(City_Inputs!$Y101="",Norm_Stats!$F$13="",Norm_Stats!$G$13="",Norm_Stats!$G$13=Norm_Stats!$F$13),"",MAX(0,MIN(100,100*(MIN(MAX(City_Inputs!$Y101,Norm_Stats!$F$13),Norm_Stats!$G$13)-Norm_Stats!$F$13)/(Norm_Stats!$G$13-Norm_Stats!$F$13))))</f>
        <v/>
      </c>
      <c r="AH101" s="14">
        <f>IF(AG101="","",1)</f>
        <v/>
      </c>
      <c r="AI101" s="11">
        <f>IF(OR(City_Inputs!$Z101="",Norm_Stats!$F$14="",Norm_Stats!$G$14="",Norm_Stats!$G$14=Norm_Stats!$F$14),"",MAX(0,MIN(100,100*(MIN(MAX(City_Inputs!$Z101,Norm_Stats!$F$14),Norm_Stats!$G$14)-Norm_Stats!$F$14)/(Norm_Stats!$G$14-Norm_Stats!$F$14))))</f>
        <v/>
      </c>
      <c r="AJ101" s="14">
        <f>IF(AI101="","",1)</f>
        <v/>
      </c>
      <c r="AK101" s="11">
        <f>IF((IF((IF(OR(City_Inputs!$AA101="",Norm_Stats!$F$15="",Norm_Stats!$G$15="",Norm_Stats!$G$15=Norm_Stats!$F$15),"",MAX(0,MIN(100,100*(MIN(MAX(City_Inputs!$AA101,Norm_Stats!$F$15),Norm_Stats!$G$15)-Norm_Stats!$F$15)/(Norm_Stats!$G$15-Norm_Stats!$F$15)))))="",0,0.7)+IF((IF(OR(City_Inputs!$AL101="",Norm_Stats!$F$16="",Norm_Stats!$G$16="",Norm_Stats!$G$16=Norm_Stats!$F$16),"",MAX(0,MIN(100,100*(Norm_Stats!$G$16-MIN(MAX(City_Inputs!$AL101,Norm_Stats!$F$16),Norm_Stats!$G$16))/(Norm_Stats!$G$16-Norm_Stats!$F$16)))))="",0,0.3))=0,"",(IF((IF(OR(City_Inputs!$AA101="",Norm_Stats!$F$15="",Norm_Stats!$G$15="",Norm_Stats!$G$15=Norm_Stats!$F$15),"",MAX(0,MIN(100,100*(MIN(MAX(City_Inputs!$AA101,Norm_Stats!$F$15),Norm_Stats!$G$15)-Norm_Stats!$F$15)/(Norm_Stats!$G$15-Norm_Stats!$F$15)))))="",0,(IF(OR(City_Inputs!$AA101="",Norm_Stats!$F$15="",Norm_Stats!$G$15="",Norm_Stats!$G$15=Norm_Stats!$F$15),"",MAX(0,MIN(100,100*(MIN(MAX(City_Inputs!$AA101,Norm_Stats!$F$15),Norm_Stats!$G$15)-Norm_Stats!$F$15)/(Norm_Stats!$G$15-Norm_Stats!$F$15)))))*0.7)+IF((IF(OR(City_Inputs!$AL101="",Norm_Stats!$F$16="",Norm_Stats!$G$16="",Norm_Stats!$G$16=Norm_Stats!$F$16),"",MAX(0,MIN(100,100*(Norm_Stats!$G$16-MIN(MAX(City_Inputs!$AL101,Norm_Stats!$F$16),Norm_Stats!$G$16))/(Norm_Stats!$G$16-Norm_Stats!$F$16)))))="",0,(IF(OR(City_Inputs!$AL101="",Norm_Stats!$F$16="",Norm_Stats!$G$16="",Norm_Stats!$G$16=Norm_Stats!$F$16),"",MAX(0,MIN(100,100*(Norm_Stats!$G$16-MIN(MAX(City_Inputs!$AL101,Norm_Stats!$F$16),Norm_Stats!$G$16))/(Norm_Stats!$G$16-Norm_Stats!$F$16)))))*0.3))/(IF((IF(OR(City_Inputs!$AA101="",Norm_Stats!$F$15="",Norm_Stats!$G$15="",Norm_Stats!$G$15=Norm_Stats!$F$15),"",MAX(0,MIN(100,100*(MIN(MAX(City_Inputs!$AA101,Norm_Stats!$F$15),Norm_Stats!$G$15)-Norm_Stats!$F$15)/(Norm_Stats!$G$15-Norm_Stats!$F$15)))))="",0,0.7)+IF((IF(OR(City_Inputs!$AL101="",Norm_Stats!$F$16="",Norm_Stats!$G$16="",Norm_Stats!$G$16=Norm_Stats!$F$16),"",MAX(0,MIN(100,100*(Norm_Stats!$G$16-MIN(MAX(City_Inputs!$AL101,Norm_Stats!$F$16),Norm_Stats!$G$16))/(Norm_Stats!$G$16-Norm_Stats!$F$16)))))="",0,0.3)))</f>
        <v/>
      </c>
      <c r="AL101" s="14">
        <f>IF((IF((IF(OR(City_Inputs!$AA101="",Norm_Stats!$F$15="",Norm_Stats!$G$15="",Norm_Stats!$G$15=Norm_Stats!$F$15),"",MAX(0,MIN(100,100*(MIN(MAX(City_Inputs!$AA101,Norm_Stats!$F$15),Norm_Stats!$G$15)-Norm_Stats!$F$15)/(Norm_Stats!$G$15-Norm_Stats!$F$15)))))="",0,0.7)+IF((IF(OR(City_Inputs!$AL101="",Norm_Stats!$F$16="",Norm_Stats!$G$16="",Norm_Stats!$G$16=Norm_Stats!$F$16),"",MAX(0,MIN(100,100*(Norm_Stats!$G$16-MIN(MAX(City_Inputs!$AL101,Norm_Stats!$F$16),Norm_Stats!$G$16))/(Norm_Stats!$G$16-Norm_Stats!$F$16)))))="",0,0.3))=0,"",(IF((IF(OR(City_Inputs!$AA101="",Norm_Stats!$F$15="",Norm_Stats!$G$15="",Norm_Stats!$G$15=Norm_Stats!$F$15),"",MAX(0,MIN(100,100*(MIN(MAX(City_Inputs!$AA101,Norm_Stats!$F$15),Norm_Stats!$G$15)-Norm_Stats!$F$15)/(Norm_Stats!$G$15-Norm_Stats!$F$15)))))="",0,0.7)+IF((IF(OR(City_Inputs!$AL101="",Norm_Stats!$F$16="",Norm_Stats!$G$16="",Norm_Stats!$G$16=Norm_Stats!$F$16),"",MAX(0,MIN(100,100*(Norm_Stats!$G$16-MIN(MAX(City_Inputs!$AL101,Norm_Stats!$F$16),Norm_Stats!$G$16))/(Norm_Stats!$G$16-Norm_Stats!$F$16)))))="",0,0.3)))</f>
        <v/>
      </c>
      <c r="AM101" s="15">
        <f>IF((IF(AG101="",0,8)+IF(AI101="",0,6)+IF(AK101="",0,4))=0,"",(IF(AG101="",0,AG101*8)+IF(AI101="",0,AI101*6)+IF(AK101="",0,AK101*4))/(IF(AG101="",0,8)+IF(AI101="",0,6)+IF(AK101="",0,4)))</f>
        <v/>
      </c>
      <c r="AN101" s="14">
        <f>IF((IF(AH101="",0,8)+IF(AJ101="",0,6)+IF(AL101="",0,4))=0,"",(IF(AH101="",0,AH101*8)+IF(AJ101="",0,AJ101*6)+IF(AL101="",0,AL101*4))/18)</f>
        <v/>
      </c>
      <c r="AO101" s="11">
        <f>IF(OR(City_Inputs!$AB101="",Norm_Stats!$F$17="",Norm_Stats!$G$17="",Norm_Stats!$G$17=Norm_Stats!$F$17),"",MAX(0,MIN(100,100*(MIN(MAX(City_Inputs!$AB101,Norm_Stats!$F$17),Norm_Stats!$G$17)-Norm_Stats!$F$17)/(Norm_Stats!$G$17-Norm_Stats!$F$17))))</f>
        <v/>
      </c>
      <c r="AP101" s="14">
        <f>IF(AO101="","",1)</f>
        <v/>
      </c>
      <c r="AQ101" s="11">
        <f>IF(OR(City_Inputs!$AC101="",Norm_Stats!$F$18="",Norm_Stats!$G$18="",Norm_Stats!$G$18=Norm_Stats!$F$18),"",MAX(0,MIN(100,100*(MIN(MAX(City_Inputs!$AC101,Norm_Stats!$F$18),Norm_Stats!$G$18)-Norm_Stats!$F$18)/(Norm_Stats!$G$18-Norm_Stats!$F$18))))</f>
        <v/>
      </c>
      <c r="AR101" s="14">
        <f>IF(AQ101="","",1)</f>
        <v/>
      </c>
      <c r="AS101" s="11">
        <f>IF(OR(City_Inputs!$AD101="",Norm_Stats!$F$19="",Norm_Stats!$G$19="",Norm_Stats!$G$19=Norm_Stats!$F$19),"",MAX(0,MIN(100,100*(MIN(MAX(City_Inputs!$AD101,Norm_Stats!$F$19),Norm_Stats!$G$19)-Norm_Stats!$F$19)/(Norm_Stats!$G$19-Norm_Stats!$F$19))))</f>
        <v/>
      </c>
      <c r="AT101" s="14">
        <f>IF(AS101="","",1)</f>
        <v/>
      </c>
      <c r="AU101" s="11">
        <f>IF(OR(City_Inputs!$BJ101="",Norm_Stats!$F$26="",Norm_Stats!$G$26="",Norm_Stats!$G$26=Norm_Stats!$F$26),"",MAX(0,MIN(100,100*(MIN(MAX(City_Inputs!$BJ101,Norm_Stats!$F$26),Norm_Stats!$G$26)-Norm_Stats!$F$26)/(Norm_Stats!$G$26-Norm_Stats!$F$26))))</f>
        <v/>
      </c>
      <c r="AV101" s="11">
        <f>IF(AU101="","",1)</f>
        <v/>
      </c>
      <c r="AW101" s="15">
        <f>IF((IF(AO101="",0,5)+IF(AQ101="",0,5)+IF(AS101="",0,5)+IF(AU101="",0,4))=0,"",(IF(AO101="",0,AO101*5)+IF(AQ101="",0,AQ101*5)+IF(AS101="",0,AS101*5)+IF(AU101="",0,AU101*4))/(IF(AO101="",0,5)+IF(AQ101="",0,5)+IF(AS101="",0,5)+IF(AU101="",0,4)))</f>
        <v/>
      </c>
      <c r="AX101" s="14">
        <f>IF((IF(AP101="",0,5)+IF(AR101="",0,5)+IF(AT101="",0,5)+IF(AV101="",0,4))=0,"",(IF(AP101="",0,AP101*5)+IF(AR101="",0,AR101*5)+IF(AT101="",0,AT101*5)+IF(AV101="",0,AV101*4))/19)</f>
        <v/>
      </c>
      <c r="AY101" s="11">
        <f>IF(OR(City_Inputs!$AE101="",Norm_Stats!$F$20="",Norm_Stats!$G$20="",Norm_Stats!$G$20=Norm_Stats!$F$20),"",MAX(0,MIN(100,100*(MIN(MAX(City_Inputs!$AE101,Norm_Stats!$F$20),Norm_Stats!$G$20)-Norm_Stats!$F$20)/(Norm_Stats!$G$20-Norm_Stats!$F$20))))</f>
        <v/>
      </c>
      <c r="AZ101" s="14">
        <f>IF(AY101="","",1)</f>
        <v/>
      </c>
      <c r="BA101" s="11">
        <f>IF(OR(City_Inputs!$AF101="",Norm_Stats!$F$21="",Norm_Stats!$G$21="",Norm_Stats!$G$21=Norm_Stats!$F$21),"",MAX(0,MIN(100,100*(MIN(MAX(City_Inputs!$AF101,Norm_Stats!$F$21),Norm_Stats!$G$21)-Norm_Stats!$F$21)/(Norm_Stats!$G$21-Norm_Stats!$F$21))))</f>
        <v/>
      </c>
      <c r="BB101" s="14">
        <f>IF(BA101="","",1)</f>
        <v/>
      </c>
      <c r="BC101" s="11">
        <f>IF((IF((IF(OR(City_Inputs!$AG101="",Norm_Stats!$F$22="",Norm_Stats!$G$22="",Norm_Stats!$G$22=Norm_Stats!$F$22),"",MAX(0,MIN(100,100*(MIN(MAX(City_Inputs!$AG101,Norm_Stats!$F$22),Norm_Stats!$G$22)-Norm_Stats!$F$22)/(Norm_Stats!$G$22-Norm_Stats!$F$22)))))="",0,0.5)+IF((IF(OR(City_Inputs!$AJ101="",Norm_Stats!$F$23="",Norm_Stats!$G$23="",Norm_Stats!$G$23=Norm_Stats!$F$23),"",MAX(0,MIN(100,100*(MIN(MAX(City_Inputs!$AJ101,Norm_Stats!$F$23),Norm_Stats!$G$23)-Norm_Stats!$F$23)/(Norm_Stats!$G$23-Norm_Stats!$F$23)))))="",0,0.3)+IF((IF(OR(City_Inputs!$AK101="",Norm_Stats!$F$24="",Norm_Stats!$G$24="",Norm_Stats!$G$24=Norm_Stats!$F$24),"",MAX(0,MIN(100,100*(MIN(MAX(City_Inputs!$AK101,Norm_Stats!$F$24),Norm_Stats!$G$24)-Norm_Stats!$F$24)/(Norm_Stats!$G$24-Norm_Stats!$F$24)))))="",0,0.2))=0,"",(IF((IF(OR(City_Inputs!$AG101="",Norm_Stats!$F$22="",Norm_Stats!$G$22="",Norm_Stats!$G$22=Norm_Stats!$F$22),"",MAX(0,MIN(100,100*(MIN(MAX(City_Inputs!$AG101,Norm_Stats!$F$22),Norm_Stats!$G$22)-Norm_Stats!$F$22)/(Norm_Stats!$G$22-Norm_Stats!$F$22)))))="",0,(IF(OR(City_Inputs!$AG101="",Norm_Stats!$F$22="",Norm_Stats!$G$22="",Norm_Stats!$G$22=Norm_Stats!$F$22),"",MAX(0,MIN(100,100*(MIN(MAX(City_Inputs!$AG101,Norm_Stats!$F$22),Norm_Stats!$G$22)-Norm_Stats!$F$22)/(Norm_Stats!$G$22-Norm_Stats!$F$22)))))*0.5)+IF((IF(OR(City_Inputs!$AJ101="",Norm_Stats!$F$23="",Norm_Stats!$G$23="",Norm_Stats!$G$23=Norm_Stats!$F$23),"",MAX(0,MIN(100,100*(MIN(MAX(City_Inputs!$AJ101,Norm_Stats!$F$23),Norm_Stats!$G$23)-Norm_Stats!$F$23)/(Norm_Stats!$G$23-Norm_Stats!$F$23)))))="",0,(IF(OR(City_Inputs!$AJ101="",Norm_Stats!$F$23="",Norm_Stats!$G$23="",Norm_Stats!$G$23=Norm_Stats!$F$23),"",MAX(0,MIN(100,100*(MIN(MAX(City_Inputs!$AJ101,Norm_Stats!$F$23),Norm_Stats!$G$23)-Norm_Stats!$F$23)/(Norm_Stats!$G$23-Norm_Stats!$F$23)))))*0.3)+IF((IF(OR(City_Inputs!$AK101="",Norm_Stats!$F$24="",Norm_Stats!$G$24="",Norm_Stats!$G$24=Norm_Stats!$F$24),"",MAX(0,MIN(100,100*(MIN(MAX(City_Inputs!$AK101,Norm_Stats!$F$24),Norm_Stats!$G$24)-Norm_Stats!$F$24)/(Norm_Stats!$G$24-Norm_Stats!$F$24)))))="",0,(IF(OR(City_Inputs!$AK101="",Norm_Stats!$F$24="",Norm_Stats!$G$24="",Norm_Stats!$G$24=Norm_Stats!$F$24),"",MAX(0,MIN(100,100*(MIN(MAX(City_Inputs!$AK101,Norm_Stats!$F$24),Norm_Stats!$G$24)-Norm_Stats!$F$24)/(Norm_Stats!$G$24-Norm_Stats!$F$24)))))*0.2))/(IF((IF(OR(City_Inputs!$AG101="",Norm_Stats!$F$22="",Norm_Stats!$G$22="",Norm_Stats!$G$22=Norm_Stats!$F$22),"",MAX(0,MIN(100,100*(MIN(MAX(City_Inputs!$AG101,Norm_Stats!$F$22),Norm_Stats!$G$22)-Norm_Stats!$F$22)/(Norm_Stats!$G$22-Norm_Stats!$F$22)))))="",0,0.5)+IF((IF(OR(City_Inputs!$AJ101="",Norm_Stats!$F$23="",Norm_Stats!$G$23="",Norm_Stats!$G$23=Norm_Stats!$F$23),"",MAX(0,MIN(100,100*(MIN(MAX(City_Inputs!$AJ101,Norm_Stats!$F$23),Norm_Stats!$G$23)-Norm_Stats!$F$23)/(Norm_Stats!$G$23-Norm_Stats!$F$23)))))="",0,0.3)+IF((IF(OR(City_Inputs!$AK101="",Norm_Stats!$F$24="",Norm_Stats!$G$24="",Norm_Stats!$G$24=Norm_Stats!$F$24),"",MAX(0,MIN(100,100*(MIN(MAX(City_Inputs!$AK101,Norm_Stats!$F$24),Norm_Stats!$G$24)-Norm_Stats!$F$24)/(Norm_Stats!$G$24-Norm_Stats!$F$24)))))="",0,0.2)))</f>
        <v/>
      </c>
      <c r="BD101" s="14">
        <f>IF((IF((IF(OR(City_Inputs!$AG101="",Norm_Stats!$F$22="",Norm_Stats!$G$22="",Norm_Stats!$G$22=Norm_Stats!$F$22),"",MAX(0,MIN(100,100*(MIN(MAX(City_Inputs!$AG101,Norm_Stats!$F$22),Norm_Stats!$G$22)-Norm_Stats!$F$22)/(Norm_Stats!$G$22-Norm_Stats!$F$22)))))="",0,0.5)+IF((IF(OR(City_Inputs!$AJ101="",Norm_Stats!$F$23="",Norm_Stats!$G$23="",Norm_Stats!$G$23=Norm_Stats!$F$23),"",MAX(0,MIN(100,100*(MIN(MAX(City_Inputs!$AJ101,Norm_Stats!$F$23),Norm_Stats!$G$23)-Norm_Stats!$F$23)/(Norm_Stats!$G$23-Norm_Stats!$F$23)))))="",0,0.3)+IF((IF(OR(City_Inputs!$AK101="",Norm_Stats!$F$24="",Norm_Stats!$G$24="",Norm_Stats!$G$24=Norm_Stats!$F$24),"",MAX(0,MIN(100,100*(MIN(MAX(City_Inputs!$AK101,Norm_Stats!$F$24),Norm_Stats!$G$24)-Norm_Stats!$F$24)/(Norm_Stats!$G$24-Norm_Stats!$F$24)))))="",0,0.2))=0,"",(IF((IF(OR(City_Inputs!$AG101="",Norm_Stats!$F$22="",Norm_Stats!$G$22="",Norm_Stats!$G$22=Norm_Stats!$F$22),"",MAX(0,MIN(100,100*(MIN(MAX(City_Inputs!$AG101,Norm_Stats!$F$22),Norm_Stats!$G$22)-Norm_Stats!$F$22)/(Norm_Stats!$G$22-Norm_Stats!$F$22)))))="",0,0.5)+IF((IF(OR(City_Inputs!$AJ101="",Norm_Stats!$F$23="",Norm_Stats!$G$23="",Norm_Stats!$G$23=Norm_Stats!$F$23),"",MAX(0,MIN(100,100*(MIN(MAX(City_Inputs!$AJ101,Norm_Stats!$F$23),Norm_Stats!$G$23)-Norm_Stats!$F$23)/(Norm_Stats!$G$23-Norm_Stats!$F$23)))))="",0,0.3)+IF((IF(OR(City_Inputs!$AK101="",Norm_Stats!$F$24="",Norm_Stats!$G$24="",Norm_Stats!$G$24=Norm_Stats!$F$24),"",MAX(0,MIN(100,100*(MIN(MAX(City_Inputs!$AK101,Norm_Stats!$F$24),Norm_Stats!$G$24)-Norm_Stats!$F$24)/(Norm_Stats!$G$24-Norm_Stats!$F$24)))))="",0,0.2)))</f>
        <v/>
      </c>
      <c r="BE101" s="11">
        <f>IF(OR(City_Inputs!$AH101="",Norm_Stats!$F$25="",Norm_Stats!$G$25="",Norm_Stats!$G$25=Norm_Stats!$F$25),"",MAX(0,MIN(100,100*(Norm_Stats!$G$25-MIN(MAX(City_Inputs!$AH101,Norm_Stats!$F$25),Norm_Stats!$G$25))/(Norm_Stats!$G$25-Norm_Stats!$F$25))))</f>
        <v/>
      </c>
      <c r="BF101" s="14">
        <f>IF(BE101="","",1)</f>
        <v/>
      </c>
      <c r="BG101" s="15">
        <f>IF((IF(AY101="",0,6)+IF(BA101="",0,5)+IF(BC101="",0,5)+IF(BE101="",0,4))=0,"",(IF(AY101="",0,AY101*6)+IF(BA101="",0,BA101*5)+IF(BC101="",0,BC101*5)+IF(BE101="",0,BE101*4))/(IF(AY101="",0,6)+IF(BA101="",0,5)+IF(BC101="",0,5)+IF(BE101="",0,4)))</f>
        <v/>
      </c>
      <c r="BH101" s="14">
        <f>IF((IF(AZ101="",0,6)+IF(BB101="",0,5)+IF(BD101="",0,5)+IF(BF101="",0,4))=0,"",(IF(AZ101="",0,AZ101*6)+IF(BB101="",0,BB101*5)+IF(BD101="",0,BD101*5)+IF(BF101="",0,BF101*4))/20)</f>
        <v/>
      </c>
      <c r="BI101" s="14">
        <f>IF(AND(R101="",AF101="",AN101="",AX101="",BH101=""),"",((R101*25)+(AF101*22)+(AN101*18)+(AX101*15)+(BH101*20))/100)</f>
        <v/>
      </c>
      <c r="BJ101" s="11">
        <f>IF(BI101="","",IF(BI101&gt;=0.75,"A",IF(BI101&gt;=0.5,"B",IF(BI101&gt;=0.35,"C","Watchlist"))))</f>
        <v/>
      </c>
      <c r="BK101" s="11">
        <f>IF(OR(BI101="",BI101&lt;0.5,R101="",R101&lt;0.35,AF101="",AF101&lt;0.35,AN101="",AN101&lt;0.35,AX101="",AX101&lt;0.35,BH101="",BH101&lt;0.35),"Watchlist","Ranked")</f>
        <v/>
      </c>
      <c r="BL101" s="15">
        <f>IF(AND(Q101="",AE101="",AM101="",AW101="",BG101=""),"",(IF(Q101="",0,Q101*25)+IF(AE101="",0,AE101*22)+IF(AM101="",0,AM101*18)+IF(AW101="",0,AW101*15)+IF(BG101="",0,BG101*20))/(IF(Q101="",0,25)+IF(AE101="",0,22)+IF(AM101="",0,18)+IF(AW101="",0,15)+IF(BG101="",0,20)))</f>
        <v/>
      </c>
      <c r="BM101" s="11">
        <f>IF(BK101="Ranked",1+COUNTIFS($BK$2:$BK$158,"Ranked",$BL$2:$BL$158,"&gt;"&amp;BL101),"")</f>
        <v/>
      </c>
      <c r="BN101" s="11">
        <f>City_Inputs!$AI101</f>
        <v/>
      </c>
    </row>
    <row r="102">
      <c r="A102" t="inlineStr">
        <is>
          <t>au-sydney</t>
        </is>
      </c>
      <c r="B102" t="inlineStr">
        <is>
          <t>Sydney</t>
        </is>
      </c>
      <c r="C102" t="inlineStr">
        <is>
          <t>Australia</t>
        </is>
      </c>
      <c r="D102" t="inlineStr">
        <is>
          <t>Oceania</t>
        </is>
      </c>
      <c r="E102" t="inlineStr">
        <is>
          <t>provisional</t>
        </is>
      </c>
      <c r="F102" t="inlineStr">
        <is>
          <t>primary</t>
        </is>
      </c>
      <c r="G102" s="11">
        <f>IF(OR(City_Inputs!$M102="",Norm_Stats!$F$2="",Norm_Stats!$G$2="",Norm_Stats!$G$2=Norm_Stats!$F$2),"",MAX(0,MIN(100,100*(MIN(MAX(City_Inputs!$M102,Norm_Stats!$F$2),Norm_Stats!$G$2)-Norm_Stats!$F$2)/(Norm_Stats!$G$2-Norm_Stats!$F$2))))</f>
        <v/>
      </c>
      <c r="H102" s="14">
        <f>IF(G102="","",1)</f>
        <v/>
      </c>
      <c r="I102" s="11">
        <f>IF(OR(City_Inputs!$N102="",Norm_Stats!$F$3="",Norm_Stats!$G$3="",Norm_Stats!$G$3=Norm_Stats!$F$3),"",MAX(0,MIN(100,100*(Norm_Stats!$G$3-MIN(MAX(City_Inputs!$N102,Norm_Stats!$F$3),Norm_Stats!$G$3))/(Norm_Stats!$G$3-Norm_Stats!$F$3))))</f>
        <v/>
      </c>
      <c r="J102" s="14">
        <f>IF(I102="","",1)</f>
        <v/>
      </c>
      <c r="K102" s="11">
        <f>IF(OR(City_Inputs!$P102="",Norm_Stats!$F$4="",Norm_Stats!$G$4="",Norm_Stats!$G$4=Norm_Stats!$F$4),"",MAX(0,MIN(100,100*(Norm_Stats!$G$4-MIN(MAX(City_Inputs!$P102,Norm_Stats!$F$4),Norm_Stats!$G$4))/(Norm_Stats!$G$4-Norm_Stats!$F$4))))</f>
        <v/>
      </c>
      <c r="L102" s="14">
        <f>IF(K102="","",1)</f>
        <v/>
      </c>
      <c r="M102" s="11">
        <f>IF(OR(City_Inputs!$Q102="",Norm_Stats!$F$5="",Norm_Stats!$G$5="",Norm_Stats!$G$5=Norm_Stats!$F$5),"",MAX(0,MIN(100,100*(Norm_Stats!$G$5-MIN(MAX(City_Inputs!$Q102,Norm_Stats!$F$5),Norm_Stats!$G$5))/(Norm_Stats!$G$5-Norm_Stats!$F$5))))</f>
        <v/>
      </c>
      <c r="N102" s="14">
        <f>IF(M102="","",1)</f>
        <v/>
      </c>
      <c r="O102" s="11">
        <f>IF(OR(City_Inputs!$R102="",Norm_Stats!$F$6="",Norm_Stats!$G$6="",Norm_Stats!$G$6=Norm_Stats!$F$6),"",MAX(0,MIN(100,100*(Norm_Stats!$G$6-MIN(MAX(City_Inputs!$R102,Norm_Stats!$F$6),Norm_Stats!$G$6))/(Norm_Stats!$G$6-Norm_Stats!$F$6))))</f>
        <v/>
      </c>
      <c r="P102" s="14">
        <f>IF(O102="","",1)</f>
        <v/>
      </c>
      <c r="Q102" s="15">
        <f>IF((IF(G102="",0,9)+IF(I102="",0,5)+IF(K102="",0,4)+IF(M102="",0,4)+IF(O102="",0,5))=0,"",(IF(G102="",0,G102*9)+IF(I102="",0,I102*5)+IF(K102="",0,K102*4)+IF(M102="",0,M102*4)+IF(O102="",0,O102*5))/(IF(G102="",0,9)+IF(I102="",0,5)+IF(K102="",0,4)+IF(M102="",0,4)+IF(O102="",0,5)))</f>
        <v/>
      </c>
      <c r="R102" s="14">
        <f>IF((IF(H102="",0,9)+IF(J102="",0,5)+IF(L102="",0,4)+IF(N102="",0,4)+IF(P102="",0,5))=0,"",(IF(H102="",0,H102*9)+IF(J102="",0,J102*5)+IF(L102="",0,L102*4)+IF(N102="",0,N102*4)+IF(P102="",0,P102*5))/27)</f>
        <v/>
      </c>
      <c r="S102" s="11">
        <f>IF(OR(City_Inputs!$S102="",Norm_Stats!$F$7="",Norm_Stats!$G$7="",Norm_Stats!$G$7=Norm_Stats!$F$7),"",MAX(0,MIN(100,100*(Norm_Stats!$G$7-MIN(MAX(City_Inputs!$S102,Norm_Stats!$F$7),Norm_Stats!$G$7))/(Norm_Stats!$G$7-Norm_Stats!$F$7))))</f>
        <v/>
      </c>
      <c r="T102" s="14">
        <f>IF(S102="","",1)</f>
        <v/>
      </c>
      <c r="U102" s="11">
        <f>IF(OR(City_Inputs!$T102="",Norm_Stats!$F$8="",Norm_Stats!$G$8="",Norm_Stats!$G$8=Norm_Stats!$F$8),"",MAX(0,MIN(100,100*(MIN(MAX(City_Inputs!$T102,Norm_Stats!$F$8),Norm_Stats!$G$8)-Norm_Stats!$F$8)/(Norm_Stats!$G$8-Norm_Stats!$F$8))))</f>
        <v/>
      </c>
      <c r="V102" s="14">
        <f>IF(U102="","",1)</f>
        <v/>
      </c>
      <c r="W102" s="11">
        <f>IF(OR(City_Inputs!$U102="",Norm_Stats!$F$9="",Norm_Stats!$G$9="",Norm_Stats!$G$9=Norm_Stats!$F$9),"",MAX(0,MIN(100,100*(Norm_Stats!$G$9-MIN(MAX(City_Inputs!$U102,Norm_Stats!$F$9),Norm_Stats!$G$9))/(Norm_Stats!$G$9-Norm_Stats!$F$9))))</f>
        <v/>
      </c>
      <c r="X102" s="14">
        <f>IF(W102="","",1)</f>
        <v/>
      </c>
      <c r="Y102" s="11">
        <f>IF(OR(City_Inputs!$V102="",Norm_Stats!$F$10="",Norm_Stats!$G$10="",Norm_Stats!$G$10=Norm_Stats!$F$10),"",MAX(0,MIN(100,100*(MIN(MAX(City_Inputs!$V102,Norm_Stats!$F$10),Norm_Stats!$G$10)-Norm_Stats!$F$10)/(Norm_Stats!$G$10-Norm_Stats!$F$10))))</f>
        <v/>
      </c>
      <c r="Z102" s="14">
        <f>IF(Y102="","",1)</f>
        <v/>
      </c>
      <c r="AA102" s="11">
        <f>IF(OR(City_Inputs!$W102="",Norm_Stats!$F$11="",Norm_Stats!$G$11="",Norm_Stats!$G$11=Norm_Stats!$F$11),"",MAX(0,MIN(100,100*(MIN(MAX(City_Inputs!$W102,Norm_Stats!$F$11),Norm_Stats!$G$11)-Norm_Stats!$F$11)/(Norm_Stats!$G$11-Norm_Stats!$F$11))))</f>
        <v/>
      </c>
      <c r="AB102" s="14">
        <f>IF(AA102="","",1)</f>
        <v/>
      </c>
      <c r="AC102" s="11">
        <f>IF(OR(City_Inputs!$X102="",Norm_Stats!$F$12="",Norm_Stats!$G$12="",Norm_Stats!$G$12=Norm_Stats!$F$12),"",MAX(0,MIN(100,100*(MIN(MAX(City_Inputs!$X102,Norm_Stats!$F$12),Norm_Stats!$G$12)-Norm_Stats!$F$12)/(Norm_Stats!$G$12-Norm_Stats!$F$12))))</f>
        <v/>
      </c>
      <c r="AD102" s="11">
        <f>IF(AC102="","",1)</f>
        <v/>
      </c>
      <c r="AE102" s="15">
        <f>IF((IF(S102="",0,5)+IF(U102="",0,5)+IF(W102="",0,4)+IF(Y102="",0,4)+IF(AA102="",0,4)+IF(AC102="",0,5))=0,"",(IF(S102="",0,S102*5)+IF(U102="",0,U102*5)+IF(W102="",0,W102*4)+IF(Y102="",0,Y102*4)+IF(AA102="",0,AA102*4)+IF(AC102="",0,AC102*5))/(IF(S102="",0,5)+IF(U102="",0,5)+IF(W102="",0,4)+IF(Y102="",0,4)+IF(AA102="",0,4)+IF(AC102="",0,5)))</f>
        <v/>
      </c>
      <c r="AF102" s="14">
        <f>IF((IF(T102="",0,5)+IF(V102="",0,5)+IF(X102="",0,4)+IF(Z102="",0,4)+IF(AB102="",0,4)+IF(AD102="",0,5))=0,"",(IF(T102="",0,T102*5)+IF(V102="",0,V102*5)+IF(X102="",0,X102*4)+IF(Z102="",0,Z102*4)+IF(AB102="",0,AB102*4)+IF(AD102="",0,AD102*5))/27)</f>
        <v/>
      </c>
      <c r="AG102" s="11">
        <f>IF(OR(City_Inputs!$Y102="",Norm_Stats!$F$13="",Norm_Stats!$G$13="",Norm_Stats!$G$13=Norm_Stats!$F$13),"",MAX(0,MIN(100,100*(MIN(MAX(City_Inputs!$Y102,Norm_Stats!$F$13),Norm_Stats!$G$13)-Norm_Stats!$F$13)/(Norm_Stats!$G$13-Norm_Stats!$F$13))))</f>
        <v/>
      </c>
      <c r="AH102" s="14">
        <f>IF(AG102="","",1)</f>
        <v/>
      </c>
      <c r="AI102" s="11">
        <f>IF(OR(City_Inputs!$Z102="",Norm_Stats!$F$14="",Norm_Stats!$G$14="",Norm_Stats!$G$14=Norm_Stats!$F$14),"",MAX(0,MIN(100,100*(MIN(MAX(City_Inputs!$Z102,Norm_Stats!$F$14),Norm_Stats!$G$14)-Norm_Stats!$F$14)/(Norm_Stats!$G$14-Norm_Stats!$F$14))))</f>
        <v/>
      </c>
      <c r="AJ102" s="14">
        <f>IF(AI102="","",1)</f>
        <v/>
      </c>
      <c r="AK102" s="11">
        <f>IF((IF((IF(OR(City_Inputs!$AA102="",Norm_Stats!$F$15="",Norm_Stats!$G$15="",Norm_Stats!$G$15=Norm_Stats!$F$15),"",MAX(0,MIN(100,100*(MIN(MAX(City_Inputs!$AA102,Norm_Stats!$F$15),Norm_Stats!$G$15)-Norm_Stats!$F$15)/(Norm_Stats!$G$15-Norm_Stats!$F$15)))))="",0,0.7)+IF((IF(OR(City_Inputs!$AL102="",Norm_Stats!$F$16="",Norm_Stats!$G$16="",Norm_Stats!$G$16=Norm_Stats!$F$16),"",MAX(0,MIN(100,100*(Norm_Stats!$G$16-MIN(MAX(City_Inputs!$AL102,Norm_Stats!$F$16),Norm_Stats!$G$16))/(Norm_Stats!$G$16-Norm_Stats!$F$16)))))="",0,0.3))=0,"",(IF((IF(OR(City_Inputs!$AA102="",Norm_Stats!$F$15="",Norm_Stats!$G$15="",Norm_Stats!$G$15=Norm_Stats!$F$15),"",MAX(0,MIN(100,100*(MIN(MAX(City_Inputs!$AA102,Norm_Stats!$F$15),Norm_Stats!$G$15)-Norm_Stats!$F$15)/(Norm_Stats!$G$15-Norm_Stats!$F$15)))))="",0,(IF(OR(City_Inputs!$AA102="",Norm_Stats!$F$15="",Norm_Stats!$G$15="",Norm_Stats!$G$15=Norm_Stats!$F$15),"",MAX(0,MIN(100,100*(MIN(MAX(City_Inputs!$AA102,Norm_Stats!$F$15),Norm_Stats!$G$15)-Norm_Stats!$F$15)/(Norm_Stats!$G$15-Norm_Stats!$F$15)))))*0.7)+IF((IF(OR(City_Inputs!$AL102="",Norm_Stats!$F$16="",Norm_Stats!$G$16="",Norm_Stats!$G$16=Norm_Stats!$F$16),"",MAX(0,MIN(100,100*(Norm_Stats!$G$16-MIN(MAX(City_Inputs!$AL102,Norm_Stats!$F$16),Norm_Stats!$G$16))/(Norm_Stats!$G$16-Norm_Stats!$F$16)))))="",0,(IF(OR(City_Inputs!$AL102="",Norm_Stats!$F$16="",Norm_Stats!$G$16="",Norm_Stats!$G$16=Norm_Stats!$F$16),"",MAX(0,MIN(100,100*(Norm_Stats!$G$16-MIN(MAX(City_Inputs!$AL102,Norm_Stats!$F$16),Norm_Stats!$G$16))/(Norm_Stats!$G$16-Norm_Stats!$F$16)))))*0.3))/(IF((IF(OR(City_Inputs!$AA102="",Norm_Stats!$F$15="",Norm_Stats!$G$15="",Norm_Stats!$G$15=Norm_Stats!$F$15),"",MAX(0,MIN(100,100*(MIN(MAX(City_Inputs!$AA102,Norm_Stats!$F$15),Norm_Stats!$G$15)-Norm_Stats!$F$15)/(Norm_Stats!$G$15-Norm_Stats!$F$15)))))="",0,0.7)+IF((IF(OR(City_Inputs!$AL102="",Norm_Stats!$F$16="",Norm_Stats!$G$16="",Norm_Stats!$G$16=Norm_Stats!$F$16),"",MAX(0,MIN(100,100*(Norm_Stats!$G$16-MIN(MAX(City_Inputs!$AL102,Norm_Stats!$F$16),Norm_Stats!$G$16))/(Norm_Stats!$G$16-Norm_Stats!$F$16)))))="",0,0.3)))</f>
        <v/>
      </c>
      <c r="AL102" s="14">
        <f>IF((IF((IF(OR(City_Inputs!$AA102="",Norm_Stats!$F$15="",Norm_Stats!$G$15="",Norm_Stats!$G$15=Norm_Stats!$F$15),"",MAX(0,MIN(100,100*(MIN(MAX(City_Inputs!$AA102,Norm_Stats!$F$15),Norm_Stats!$G$15)-Norm_Stats!$F$15)/(Norm_Stats!$G$15-Norm_Stats!$F$15)))))="",0,0.7)+IF((IF(OR(City_Inputs!$AL102="",Norm_Stats!$F$16="",Norm_Stats!$G$16="",Norm_Stats!$G$16=Norm_Stats!$F$16),"",MAX(0,MIN(100,100*(Norm_Stats!$G$16-MIN(MAX(City_Inputs!$AL102,Norm_Stats!$F$16),Norm_Stats!$G$16))/(Norm_Stats!$G$16-Norm_Stats!$F$16)))))="",0,0.3))=0,"",(IF((IF(OR(City_Inputs!$AA102="",Norm_Stats!$F$15="",Norm_Stats!$G$15="",Norm_Stats!$G$15=Norm_Stats!$F$15),"",MAX(0,MIN(100,100*(MIN(MAX(City_Inputs!$AA102,Norm_Stats!$F$15),Norm_Stats!$G$15)-Norm_Stats!$F$15)/(Norm_Stats!$G$15-Norm_Stats!$F$15)))))="",0,0.7)+IF((IF(OR(City_Inputs!$AL102="",Norm_Stats!$F$16="",Norm_Stats!$G$16="",Norm_Stats!$G$16=Norm_Stats!$F$16),"",MAX(0,MIN(100,100*(Norm_Stats!$G$16-MIN(MAX(City_Inputs!$AL102,Norm_Stats!$F$16),Norm_Stats!$G$16))/(Norm_Stats!$G$16-Norm_Stats!$F$16)))))="",0,0.3)))</f>
        <v/>
      </c>
      <c r="AM102" s="15">
        <f>IF((IF(AG102="",0,8)+IF(AI102="",0,6)+IF(AK102="",0,4))=0,"",(IF(AG102="",0,AG102*8)+IF(AI102="",0,AI102*6)+IF(AK102="",0,AK102*4))/(IF(AG102="",0,8)+IF(AI102="",0,6)+IF(AK102="",0,4)))</f>
        <v/>
      </c>
      <c r="AN102" s="14">
        <f>IF((IF(AH102="",0,8)+IF(AJ102="",0,6)+IF(AL102="",0,4))=0,"",(IF(AH102="",0,AH102*8)+IF(AJ102="",0,AJ102*6)+IF(AL102="",0,AL102*4))/18)</f>
        <v/>
      </c>
      <c r="AO102" s="11">
        <f>IF(OR(City_Inputs!$AB102="",Norm_Stats!$F$17="",Norm_Stats!$G$17="",Norm_Stats!$G$17=Norm_Stats!$F$17),"",MAX(0,MIN(100,100*(MIN(MAX(City_Inputs!$AB102,Norm_Stats!$F$17),Norm_Stats!$G$17)-Norm_Stats!$F$17)/(Norm_Stats!$G$17-Norm_Stats!$F$17))))</f>
        <v/>
      </c>
      <c r="AP102" s="14">
        <f>IF(AO102="","",1)</f>
        <v/>
      </c>
      <c r="AQ102" s="11">
        <f>IF(OR(City_Inputs!$AC102="",Norm_Stats!$F$18="",Norm_Stats!$G$18="",Norm_Stats!$G$18=Norm_Stats!$F$18),"",MAX(0,MIN(100,100*(MIN(MAX(City_Inputs!$AC102,Norm_Stats!$F$18),Norm_Stats!$G$18)-Norm_Stats!$F$18)/(Norm_Stats!$G$18-Norm_Stats!$F$18))))</f>
        <v/>
      </c>
      <c r="AR102" s="14">
        <f>IF(AQ102="","",1)</f>
        <v/>
      </c>
      <c r="AS102" s="11">
        <f>IF(OR(City_Inputs!$AD102="",Norm_Stats!$F$19="",Norm_Stats!$G$19="",Norm_Stats!$G$19=Norm_Stats!$F$19),"",MAX(0,MIN(100,100*(MIN(MAX(City_Inputs!$AD102,Norm_Stats!$F$19),Norm_Stats!$G$19)-Norm_Stats!$F$19)/(Norm_Stats!$G$19-Norm_Stats!$F$19))))</f>
        <v/>
      </c>
      <c r="AT102" s="14">
        <f>IF(AS102="","",1)</f>
        <v/>
      </c>
      <c r="AU102" s="11">
        <f>IF(OR(City_Inputs!$BJ102="",Norm_Stats!$F$26="",Norm_Stats!$G$26="",Norm_Stats!$G$26=Norm_Stats!$F$26),"",MAX(0,MIN(100,100*(MIN(MAX(City_Inputs!$BJ102,Norm_Stats!$F$26),Norm_Stats!$G$26)-Norm_Stats!$F$26)/(Norm_Stats!$G$26-Norm_Stats!$F$26))))</f>
        <v/>
      </c>
      <c r="AV102" s="11">
        <f>IF(AU102="","",1)</f>
        <v/>
      </c>
      <c r="AW102" s="15">
        <f>IF((IF(AO102="",0,5)+IF(AQ102="",0,5)+IF(AS102="",0,5)+IF(AU102="",0,4))=0,"",(IF(AO102="",0,AO102*5)+IF(AQ102="",0,AQ102*5)+IF(AS102="",0,AS102*5)+IF(AU102="",0,AU102*4))/(IF(AO102="",0,5)+IF(AQ102="",0,5)+IF(AS102="",0,5)+IF(AU102="",0,4)))</f>
        <v/>
      </c>
      <c r="AX102" s="14">
        <f>IF((IF(AP102="",0,5)+IF(AR102="",0,5)+IF(AT102="",0,5)+IF(AV102="",0,4))=0,"",(IF(AP102="",0,AP102*5)+IF(AR102="",0,AR102*5)+IF(AT102="",0,AT102*5)+IF(AV102="",0,AV102*4))/19)</f>
        <v/>
      </c>
      <c r="AY102" s="11">
        <f>IF(OR(City_Inputs!$AE102="",Norm_Stats!$F$20="",Norm_Stats!$G$20="",Norm_Stats!$G$20=Norm_Stats!$F$20),"",MAX(0,MIN(100,100*(MIN(MAX(City_Inputs!$AE102,Norm_Stats!$F$20),Norm_Stats!$G$20)-Norm_Stats!$F$20)/(Norm_Stats!$G$20-Norm_Stats!$F$20))))</f>
        <v/>
      </c>
      <c r="AZ102" s="14">
        <f>IF(AY102="","",1)</f>
        <v/>
      </c>
      <c r="BA102" s="11">
        <f>IF(OR(City_Inputs!$AF102="",Norm_Stats!$F$21="",Norm_Stats!$G$21="",Norm_Stats!$G$21=Norm_Stats!$F$21),"",MAX(0,MIN(100,100*(MIN(MAX(City_Inputs!$AF102,Norm_Stats!$F$21),Norm_Stats!$G$21)-Norm_Stats!$F$21)/(Norm_Stats!$G$21-Norm_Stats!$F$21))))</f>
        <v/>
      </c>
      <c r="BB102" s="14">
        <f>IF(BA102="","",1)</f>
        <v/>
      </c>
      <c r="BC102" s="11">
        <f>IF((IF((IF(OR(City_Inputs!$AG102="",Norm_Stats!$F$22="",Norm_Stats!$G$22="",Norm_Stats!$G$22=Norm_Stats!$F$22),"",MAX(0,MIN(100,100*(MIN(MAX(City_Inputs!$AG102,Norm_Stats!$F$22),Norm_Stats!$G$22)-Norm_Stats!$F$22)/(Norm_Stats!$G$22-Norm_Stats!$F$22)))))="",0,0.5)+IF((IF(OR(City_Inputs!$AJ102="",Norm_Stats!$F$23="",Norm_Stats!$G$23="",Norm_Stats!$G$23=Norm_Stats!$F$23),"",MAX(0,MIN(100,100*(MIN(MAX(City_Inputs!$AJ102,Norm_Stats!$F$23),Norm_Stats!$G$23)-Norm_Stats!$F$23)/(Norm_Stats!$G$23-Norm_Stats!$F$23)))))="",0,0.3)+IF((IF(OR(City_Inputs!$AK102="",Norm_Stats!$F$24="",Norm_Stats!$G$24="",Norm_Stats!$G$24=Norm_Stats!$F$24),"",MAX(0,MIN(100,100*(MIN(MAX(City_Inputs!$AK102,Norm_Stats!$F$24),Norm_Stats!$G$24)-Norm_Stats!$F$24)/(Norm_Stats!$G$24-Norm_Stats!$F$24)))))="",0,0.2))=0,"",(IF((IF(OR(City_Inputs!$AG102="",Norm_Stats!$F$22="",Norm_Stats!$G$22="",Norm_Stats!$G$22=Norm_Stats!$F$22),"",MAX(0,MIN(100,100*(MIN(MAX(City_Inputs!$AG102,Norm_Stats!$F$22),Norm_Stats!$G$22)-Norm_Stats!$F$22)/(Norm_Stats!$G$22-Norm_Stats!$F$22)))))="",0,(IF(OR(City_Inputs!$AG102="",Norm_Stats!$F$22="",Norm_Stats!$G$22="",Norm_Stats!$G$22=Norm_Stats!$F$22),"",MAX(0,MIN(100,100*(MIN(MAX(City_Inputs!$AG102,Norm_Stats!$F$22),Norm_Stats!$G$22)-Norm_Stats!$F$22)/(Norm_Stats!$G$22-Norm_Stats!$F$22)))))*0.5)+IF((IF(OR(City_Inputs!$AJ102="",Norm_Stats!$F$23="",Norm_Stats!$G$23="",Norm_Stats!$G$23=Norm_Stats!$F$23),"",MAX(0,MIN(100,100*(MIN(MAX(City_Inputs!$AJ102,Norm_Stats!$F$23),Norm_Stats!$G$23)-Norm_Stats!$F$23)/(Norm_Stats!$G$23-Norm_Stats!$F$23)))))="",0,(IF(OR(City_Inputs!$AJ102="",Norm_Stats!$F$23="",Norm_Stats!$G$23="",Norm_Stats!$G$23=Norm_Stats!$F$23),"",MAX(0,MIN(100,100*(MIN(MAX(City_Inputs!$AJ102,Norm_Stats!$F$23),Norm_Stats!$G$23)-Norm_Stats!$F$23)/(Norm_Stats!$G$23-Norm_Stats!$F$23)))))*0.3)+IF((IF(OR(City_Inputs!$AK102="",Norm_Stats!$F$24="",Norm_Stats!$G$24="",Norm_Stats!$G$24=Norm_Stats!$F$24),"",MAX(0,MIN(100,100*(MIN(MAX(City_Inputs!$AK102,Norm_Stats!$F$24),Norm_Stats!$G$24)-Norm_Stats!$F$24)/(Norm_Stats!$G$24-Norm_Stats!$F$24)))))="",0,(IF(OR(City_Inputs!$AK102="",Norm_Stats!$F$24="",Norm_Stats!$G$24="",Norm_Stats!$G$24=Norm_Stats!$F$24),"",MAX(0,MIN(100,100*(MIN(MAX(City_Inputs!$AK102,Norm_Stats!$F$24),Norm_Stats!$G$24)-Norm_Stats!$F$24)/(Norm_Stats!$G$24-Norm_Stats!$F$24)))))*0.2))/(IF((IF(OR(City_Inputs!$AG102="",Norm_Stats!$F$22="",Norm_Stats!$G$22="",Norm_Stats!$G$22=Norm_Stats!$F$22),"",MAX(0,MIN(100,100*(MIN(MAX(City_Inputs!$AG102,Norm_Stats!$F$22),Norm_Stats!$G$22)-Norm_Stats!$F$22)/(Norm_Stats!$G$22-Norm_Stats!$F$22)))))="",0,0.5)+IF((IF(OR(City_Inputs!$AJ102="",Norm_Stats!$F$23="",Norm_Stats!$G$23="",Norm_Stats!$G$23=Norm_Stats!$F$23),"",MAX(0,MIN(100,100*(MIN(MAX(City_Inputs!$AJ102,Norm_Stats!$F$23),Norm_Stats!$G$23)-Norm_Stats!$F$23)/(Norm_Stats!$G$23-Norm_Stats!$F$23)))))="",0,0.3)+IF((IF(OR(City_Inputs!$AK102="",Norm_Stats!$F$24="",Norm_Stats!$G$24="",Norm_Stats!$G$24=Norm_Stats!$F$24),"",MAX(0,MIN(100,100*(MIN(MAX(City_Inputs!$AK102,Norm_Stats!$F$24),Norm_Stats!$G$24)-Norm_Stats!$F$24)/(Norm_Stats!$G$24-Norm_Stats!$F$24)))))="",0,0.2)))</f>
        <v/>
      </c>
      <c r="BD102" s="14">
        <f>IF((IF((IF(OR(City_Inputs!$AG102="",Norm_Stats!$F$22="",Norm_Stats!$G$22="",Norm_Stats!$G$22=Norm_Stats!$F$22),"",MAX(0,MIN(100,100*(MIN(MAX(City_Inputs!$AG102,Norm_Stats!$F$22),Norm_Stats!$G$22)-Norm_Stats!$F$22)/(Norm_Stats!$G$22-Norm_Stats!$F$22)))))="",0,0.5)+IF((IF(OR(City_Inputs!$AJ102="",Norm_Stats!$F$23="",Norm_Stats!$G$23="",Norm_Stats!$G$23=Norm_Stats!$F$23),"",MAX(0,MIN(100,100*(MIN(MAX(City_Inputs!$AJ102,Norm_Stats!$F$23),Norm_Stats!$G$23)-Norm_Stats!$F$23)/(Norm_Stats!$G$23-Norm_Stats!$F$23)))))="",0,0.3)+IF((IF(OR(City_Inputs!$AK102="",Norm_Stats!$F$24="",Norm_Stats!$G$24="",Norm_Stats!$G$24=Norm_Stats!$F$24),"",MAX(0,MIN(100,100*(MIN(MAX(City_Inputs!$AK102,Norm_Stats!$F$24),Norm_Stats!$G$24)-Norm_Stats!$F$24)/(Norm_Stats!$G$24-Norm_Stats!$F$24)))))="",0,0.2))=0,"",(IF((IF(OR(City_Inputs!$AG102="",Norm_Stats!$F$22="",Norm_Stats!$G$22="",Norm_Stats!$G$22=Norm_Stats!$F$22),"",MAX(0,MIN(100,100*(MIN(MAX(City_Inputs!$AG102,Norm_Stats!$F$22),Norm_Stats!$G$22)-Norm_Stats!$F$22)/(Norm_Stats!$G$22-Norm_Stats!$F$22)))))="",0,0.5)+IF((IF(OR(City_Inputs!$AJ102="",Norm_Stats!$F$23="",Norm_Stats!$G$23="",Norm_Stats!$G$23=Norm_Stats!$F$23),"",MAX(0,MIN(100,100*(MIN(MAX(City_Inputs!$AJ102,Norm_Stats!$F$23),Norm_Stats!$G$23)-Norm_Stats!$F$23)/(Norm_Stats!$G$23-Norm_Stats!$F$23)))))="",0,0.3)+IF((IF(OR(City_Inputs!$AK102="",Norm_Stats!$F$24="",Norm_Stats!$G$24="",Norm_Stats!$G$24=Norm_Stats!$F$24),"",MAX(0,MIN(100,100*(MIN(MAX(City_Inputs!$AK102,Norm_Stats!$F$24),Norm_Stats!$G$24)-Norm_Stats!$F$24)/(Norm_Stats!$G$24-Norm_Stats!$F$24)))))="",0,0.2)))</f>
        <v/>
      </c>
      <c r="BE102" s="11">
        <f>IF(OR(City_Inputs!$AH102="",Norm_Stats!$F$25="",Norm_Stats!$G$25="",Norm_Stats!$G$25=Norm_Stats!$F$25),"",MAX(0,MIN(100,100*(Norm_Stats!$G$25-MIN(MAX(City_Inputs!$AH102,Norm_Stats!$F$25),Norm_Stats!$G$25))/(Norm_Stats!$G$25-Norm_Stats!$F$25))))</f>
        <v/>
      </c>
      <c r="BF102" s="14">
        <f>IF(BE102="","",1)</f>
        <v/>
      </c>
      <c r="BG102" s="15">
        <f>IF((IF(AY102="",0,6)+IF(BA102="",0,5)+IF(BC102="",0,5)+IF(BE102="",0,4))=0,"",(IF(AY102="",0,AY102*6)+IF(BA102="",0,BA102*5)+IF(BC102="",0,BC102*5)+IF(BE102="",0,BE102*4))/(IF(AY102="",0,6)+IF(BA102="",0,5)+IF(BC102="",0,5)+IF(BE102="",0,4)))</f>
        <v/>
      </c>
      <c r="BH102" s="14">
        <f>IF((IF(AZ102="",0,6)+IF(BB102="",0,5)+IF(BD102="",0,5)+IF(BF102="",0,4))=0,"",(IF(AZ102="",0,AZ102*6)+IF(BB102="",0,BB102*5)+IF(BD102="",0,BD102*5)+IF(BF102="",0,BF102*4))/20)</f>
        <v/>
      </c>
      <c r="BI102" s="14">
        <f>IF(AND(R102="",AF102="",AN102="",AX102="",BH102=""),"",((R102*25)+(AF102*22)+(AN102*18)+(AX102*15)+(BH102*20))/100)</f>
        <v/>
      </c>
      <c r="BJ102" s="11">
        <f>IF(BI102="","",IF(BI102&gt;=0.75,"A",IF(BI102&gt;=0.5,"B",IF(BI102&gt;=0.35,"C","Watchlist"))))</f>
        <v/>
      </c>
      <c r="BK102" s="11">
        <f>IF(OR(BI102="",BI102&lt;0.5,R102="",R102&lt;0.35,AF102="",AF102&lt;0.35,AN102="",AN102&lt;0.35,AX102="",AX102&lt;0.35,BH102="",BH102&lt;0.35),"Watchlist","Ranked")</f>
        <v/>
      </c>
      <c r="BL102" s="15">
        <f>IF(AND(Q102="",AE102="",AM102="",AW102="",BG102=""),"",(IF(Q102="",0,Q102*25)+IF(AE102="",0,AE102*22)+IF(AM102="",0,AM102*18)+IF(AW102="",0,AW102*15)+IF(BG102="",0,BG102*20))/(IF(Q102="",0,25)+IF(AE102="",0,22)+IF(AM102="",0,18)+IF(AW102="",0,15)+IF(BG102="",0,20)))</f>
        <v/>
      </c>
      <c r="BM102" s="11">
        <f>IF(BK102="Ranked",1+COUNTIFS($BK$2:$BK$158,"Ranked",$BL$2:$BL$158,"&gt;"&amp;BL102),"")</f>
        <v/>
      </c>
      <c r="BN102" s="11">
        <f>City_Inputs!$AI102</f>
        <v/>
      </c>
    </row>
    <row r="103">
      <c r="A103" t="inlineStr">
        <is>
          <t>au-melbourne</t>
        </is>
      </c>
      <c r="B103" t="inlineStr">
        <is>
          <t>Melbourne</t>
        </is>
      </c>
      <c r="C103" t="inlineStr">
        <is>
          <t>Australia</t>
        </is>
      </c>
      <c r="D103" t="inlineStr">
        <is>
          <t>Oceania</t>
        </is>
      </c>
      <c r="E103" t="inlineStr">
        <is>
          <t>provisional</t>
        </is>
      </c>
      <c r="F103" t="inlineStr">
        <is>
          <t>primary</t>
        </is>
      </c>
      <c r="G103" s="11">
        <f>IF(OR(City_Inputs!$M103="",Norm_Stats!$F$2="",Norm_Stats!$G$2="",Norm_Stats!$G$2=Norm_Stats!$F$2),"",MAX(0,MIN(100,100*(MIN(MAX(City_Inputs!$M103,Norm_Stats!$F$2),Norm_Stats!$G$2)-Norm_Stats!$F$2)/(Norm_Stats!$G$2-Norm_Stats!$F$2))))</f>
        <v/>
      </c>
      <c r="H103" s="14">
        <f>IF(G103="","",1)</f>
        <v/>
      </c>
      <c r="I103" s="11">
        <f>IF(OR(City_Inputs!$N103="",Norm_Stats!$F$3="",Norm_Stats!$G$3="",Norm_Stats!$G$3=Norm_Stats!$F$3),"",MAX(0,MIN(100,100*(Norm_Stats!$G$3-MIN(MAX(City_Inputs!$N103,Norm_Stats!$F$3),Norm_Stats!$G$3))/(Norm_Stats!$G$3-Norm_Stats!$F$3))))</f>
        <v/>
      </c>
      <c r="J103" s="14">
        <f>IF(I103="","",1)</f>
        <v/>
      </c>
      <c r="K103" s="11">
        <f>IF(OR(City_Inputs!$P103="",Norm_Stats!$F$4="",Norm_Stats!$G$4="",Norm_Stats!$G$4=Norm_Stats!$F$4),"",MAX(0,MIN(100,100*(Norm_Stats!$G$4-MIN(MAX(City_Inputs!$P103,Norm_Stats!$F$4),Norm_Stats!$G$4))/(Norm_Stats!$G$4-Norm_Stats!$F$4))))</f>
        <v/>
      </c>
      <c r="L103" s="14">
        <f>IF(K103="","",1)</f>
        <v/>
      </c>
      <c r="M103" s="11">
        <f>IF(OR(City_Inputs!$Q103="",Norm_Stats!$F$5="",Norm_Stats!$G$5="",Norm_Stats!$G$5=Norm_Stats!$F$5),"",MAX(0,MIN(100,100*(Norm_Stats!$G$5-MIN(MAX(City_Inputs!$Q103,Norm_Stats!$F$5),Norm_Stats!$G$5))/(Norm_Stats!$G$5-Norm_Stats!$F$5))))</f>
        <v/>
      </c>
      <c r="N103" s="14">
        <f>IF(M103="","",1)</f>
        <v/>
      </c>
      <c r="O103" s="11">
        <f>IF(OR(City_Inputs!$R103="",Norm_Stats!$F$6="",Norm_Stats!$G$6="",Norm_Stats!$G$6=Norm_Stats!$F$6),"",MAX(0,MIN(100,100*(Norm_Stats!$G$6-MIN(MAX(City_Inputs!$R103,Norm_Stats!$F$6),Norm_Stats!$G$6))/(Norm_Stats!$G$6-Norm_Stats!$F$6))))</f>
        <v/>
      </c>
      <c r="P103" s="14">
        <f>IF(O103="","",1)</f>
        <v/>
      </c>
      <c r="Q103" s="15">
        <f>IF((IF(G103="",0,9)+IF(I103="",0,5)+IF(K103="",0,4)+IF(M103="",0,4)+IF(O103="",0,5))=0,"",(IF(G103="",0,G103*9)+IF(I103="",0,I103*5)+IF(K103="",0,K103*4)+IF(M103="",0,M103*4)+IF(O103="",0,O103*5))/(IF(G103="",0,9)+IF(I103="",0,5)+IF(K103="",0,4)+IF(M103="",0,4)+IF(O103="",0,5)))</f>
        <v/>
      </c>
      <c r="R103" s="14">
        <f>IF((IF(H103="",0,9)+IF(J103="",0,5)+IF(L103="",0,4)+IF(N103="",0,4)+IF(P103="",0,5))=0,"",(IF(H103="",0,H103*9)+IF(J103="",0,J103*5)+IF(L103="",0,L103*4)+IF(N103="",0,N103*4)+IF(P103="",0,P103*5))/27)</f>
        <v/>
      </c>
      <c r="S103" s="11">
        <f>IF(OR(City_Inputs!$S103="",Norm_Stats!$F$7="",Norm_Stats!$G$7="",Norm_Stats!$G$7=Norm_Stats!$F$7),"",MAX(0,MIN(100,100*(Norm_Stats!$G$7-MIN(MAX(City_Inputs!$S103,Norm_Stats!$F$7),Norm_Stats!$G$7))/(Norm_Stats!$G$7-Norm_Stats!$F$7))))</f>
        <v/>
      </c>
      <c r="T103" s="14">
        <f>IF(S103="","",1)</f>
        <v/>
      </c>
      <c r="U103" s="11">
        <f>IF(OR(City_Inputs!$T103="",Norm_Stats!$F$8="",Norm_Stats!$G$8="",Norm_Stats!$G$8=Norm_Stats!$F$8),"",MAX(0,MIN(100,100*(MIN(MAX(City_Inputs!$T103,Norm_Stats!$F$8),Norm_Stats!$G$8)-Norm_Stats!$F$8)/(Norm_Stats!$G$8-Norm_Stats!$F$8))))</f>
        <v/>
      </c>
      <c r="V103" s="14">
        <f>IF(U103="","",1)</f>
        <v/>
      </c>
      <c r="W103" s="11">
        <f>IF(OR(City_Inputs!$U103="",Norm_Stats!$F$9="",Norm_Stats!$G$9="",Norm_Stats!$G$9=Norm_Stats!$F$9),"",MAX(0,MIN(100,100*(Norm_Stats!$G$9-MIN(MAX(City_Inputs!$U103,Norm_Stats!$F$9),Norm_Stats!$G$9))/(Norm_Stats!$G$9-Norm_Stats!$F$9))))</f>
        <v/>
      </c>
      <c r="X103" s="14">
        <f>IF(W103="","",1)</f>
        <v/>
      </c>
      <c r="Y103" s="11">
        <f>IF(OR(City_Inputs!$V103="",Norm_Stats!$F$10="",Norm_Stats!$G$10="",Norm_Stats!$G$10=Norm_Stats!$F$10),"",MAX(0,MIN(100,100*(MIN(MAX(City_Inputs!$V103,Norm_Stats!$F$10),Norm_Stats!$G$10)-Norm_Stats!$F$10)/(Norm_Stats!$G$10-Norm_Stats!$F$10))))</f>
        <v/>
      </c>
      <c r="Z103" s="14">
        <f>IF(Y103="","",1)</f>
        <v/>
      </c>
      <c r="AA103" s="11">
        <f>IF(OR(City_Inputs!$W103="",Norm_Stats!$F$11="",Norm_Stats!$G$11="",Norm_Stats!$G$11=Norm_Stats!$F$11),"",MAX(0,MIN(100,100*(MIN(MAX(City_Inputs!$W103,Norm_Stats!$F$11),Norm_Stats!$G$11)-Norm_Stats!$F$11)/(Norm_Stats!$G$11-Norm_Stats!$F$11))))</f>
        <v/>
      </c>
      <c r="AB103" s="14">
        <f>IF(AA103="","",1)</f>
        <v/>
      </c>
      <c r="AC103" s="11">
        <f>IF(OR(City_Inputs!$X103="",Norm_Stats!$F$12="",Norm_Stats!$G$12="",Norm_Stats!$G$12=Norm_Stats!$F$12),"",MAX(0,MIN(100,100*(MIN(MAX(City_Inputs!$X103,Norm_Stats!$F$12),Norm_Stats!$G$12)-Norm_Stats!$F$12)/(Norm_Stats!$G$12-Norm_Stats!$F$12))))</f>
        <v/>
      </c>
      <c r="AD103" s="11">
        <f>IF(AC103="","",1)</f>
        <v/>
      </c>
      <c r="AE103" s="15">
        <f>IF((IF(S103="",0,5)+IF(U103="",0,5)+IF(W103="",0,4)+IF(Y103="",0,4)+IF(AA103="",0,4)+IF(AC103="",0,5))=0,"",(IF(S103="",0,S103*5)+IF(U103="",0,U103*5)+IF(W103="",0,W103*4)+IF(Y103="",0,Y103*4)+IF(AA103="",0,AA103*4)+IF(AC103="",0,AC103*5))/(IF(S103="",0,5)+IF(U103="",0,5)+IF(W103="",0,4)+IF(Y103="",0,4)+IF(AA103="",0,4)+IF(AC103="",0,5)))</f>
        <v/>
      </c>
      <c r="AF103" s="14">
        <f>IF((IF(T103="",0,5)+IF(V103="",0,5)+IF(X103="",0,4)+IF(Z103="",0,4)+IF(AB103="",0,4)+IF(AD103="",0,5))=0,"",(IF(T103="",0,T103*5)+IF(V103="",0,V103*5)+IF(X103="",0,X103*4)+IF(Z103="",0,Z103*4)+IF(AB103="",0,AB103*4)+IF(AD103="",0,AD103*5))/27)</f>
        <v/>
      </c>
      <c r="AG103" s="11">
        <f>IF(OR(City_Inputs!$Y103="",Norm_Stats!$F$13="",Norm_Stats!$G$13="",Norm_Stats!$G$13=Norm_Stats!$F$13),"",MAX(0,MIN(100,100*(MIN(MAX(City_Inputs!$Y103,Norm_Stats!$F$13),Norm_Stats!$G$13)-Norm_Stats!$F$13)/(Norm_Stats!$G$13-Norm_Stats!$F$13))))</f>
        <v/>
      </c>
      <c r="AH103" s="14">
        <f>IF(AG103="","",1)</f>
        <v/>
      </c>
      <c r="AI103" s="11">
        <f>IF(OR(City_Inputs!$Z103="",Norm_Stats!$F$14="",Norm_Stats!$G$14="",Norm_Stats!$G$14=Norm_Stats!$F$14),"",MAX(0,MIN(100,100*(MIN(MAX(City_Inputs!$Z103,Norm_Stats!$F$14),Norm_Stats!$G$14)-Norm_Stats!$F$14)/(Norm_Stats!$G$14-Norm_Stats!$F$14))))</f>
        <v/>
      </c>
      <c r="AJ103" s="14">
        <f>IF(AI103="","",1)</f>
        <v/>
      </c>
      <c r="AK103" s="11">
        <f>IF((IF((IF(OR(City_Inputs!$AA103="",Norm_Stats!$F$15="",Norm_Stats!$G$15="",Norm_Stats!$G$15=Norm_Stats!$F$15),"",MAX(0,MIN(100,100*(MIN(MAX(City_Inputs!$AA103,Norm_Stats!$F$15),Norm_Stats!$G$15)-Norm_Stats!$F$15)/(Norm_Stats!$G$15-Norm_Stats!$F$15)))))="",0,0.7)+IF((IF(OR(City_Inputs!$AL103="",Norm_Stats!$F$16="",Norm_Stats!$G$16="",Norm_Stats!$G$16=Norm_Stats!$F$16),"",MAX(0,MIN(100,100*(Norm_Stats!$G$16-MIN(MAX(City_Inputs!$AL103,Norm_Stats!$F$16),Norm_Stats!$G$16))/(Norm_Stats!$G$16-Norm_Stats!$F$16)))))="",0,0.3))=0,"",(IF((IF(OR(City_Inputs!$AA103="",Norm_Stats!$F$15="",Norm_Stats!$G$15="",Norm_Stats!$G$15=Norm_Stats!$F$15),"",MAX(0,MIN(100,100*(MIN(MAX(City_Inputs!$AA103,Norm_Stats!$F$15),Norm_Stats!$G$15)-Norm_Stats!$F$15)/(Norm_Stats!$G$15-Norm_Stats!$F$15)))))="",0,(IF(OR(City_Inputs!$AA103="",Norm_Stats!$F$15="",Norm_Stats!$G$15="",Norm_Stats!$G$15=Norm_Stats!$F$15),"",MAX(0,MIN(100,100*(MIN(MAX(City_Inputs!$AA103,Norm_Stats!$F$15),Norm_Stats!$G$15)-Norm_Stats!$F$15)/(Norm_Stats!$G$15-Norm_Stats!$F$15)))))*0.7)+IF((IF(OR(City_Inputs!$AL103="",Norm_Stats!$F$16="",Norm_Stats!$G$16="",Norm_Stats!$G$16=Norm_Stats!$F$16),"",MAX(0,MIN(100,100*(Norm_Stats!$G$16-MIN(MAX(City_Inputs!$AL103,Norm_Stats!$F$16),Norm_Stats!$G$16))/(Norm_Stats!$G$16-Norm_Stats!$F$16)))))="",0,(IF(OR(City_Inputs!$AL103="",Norm_Stats!$F$16="",Norm_Stats!$G$16="",Norm_Stats!$G$16=Norm_Stats!$F$16),"",MAX(0,MIN(100,100*(Norm_Stats!$G$16-MIN(MAX(City_Inputs!$AL103,Norm_Stats!$F$16),Norm_Stats!$G$16))/(Norm_Stats!$G$16-Norm_Stats!$F$16)))))*0.3))/(IF((IF(OR(City_Inputs!$AA103="",Norm_Stats!$F$15="",Norm_Stats!$G$15="",Norm_Stats!$G$15=Norm_Stats!$F$15),"",MAX(0,MIN(100,100*(MIN(MAX(City_Inputs!$AA103,Norm_Stats!$F$15),Norm_Stats!$G$15)-Norm_Stats!$F$15)/(Norm_Stats!$G$15-Norm_Stats!$F$15)))))="",0,0.7)+IF((IF(OR(City_Inputs!$AL103="",Norm_Stats!$F$16="",Norm_Stats!$G$16="",Norm_Stats!$G$16=Norm_Stats!$F$16),"",MAX(0,MIN(100,100*(Norm_Stats!$G$16-MIN(MAX(City_Inputs!$AL103,Norm_Stats!$F$16),Norm_Stats!$G$16))/(Norm_Stats!$G$16-Norm_Stats!$F$16)))))="",0,0.3)))</f>
        <v/>
      </c>
      <c r="AL103" s="14">
        <f>IF((IF((IF(OR(City_Inputs!$AA103="",Norm_Stats!$F$15="",Norm_Stats!$G$15="",Norm_Stats!$G$15=Norm_Stats!$F$15),"",MAX(0,MIN(100,100*(MIN(MAX(City_Inputs!$AA103,Norm_Stats!$F$15),Norm_Stats!$G$15)-Norm_Stats!$F$15)/(Norm_Stats!$G$15-Norm_Stats!$F$15)))))="",0,0.7)+IF((IF(OR(City_Inputs!$AL103="",Norm_Stats!$F$16="",Norm_Stats!$G$16="",Norm_Stats!$G$16=Norm_Stats!$F$16),"",MAX(0,MIN(100,100*(Norm_Stats!$G$16-MIN(MAX(City_Inputs!$AL103,Norm_Stats!$F$16),Norm_Stats!$G$16))/(Norm_Stats!$G$16-Norm_Stats!$F$16)))))="",0,0.3))=0,"",(IF((IF(OR(City_Inputs!$AA103="",Norm_Stats!$F$15="",Norm_Stats!$G$15="",Norm_Stats!$G$15=Norm_Stats!$F$15),"",MAX(0,MIN(100,100*(MIN(MAX(City_Inputs!$AA103,Norm_Stats!$F$15),Norm_Stats!$G$15)-Norm_Stats!$F$15)/(Norm_Stats!$G$15-Norm_Stats!$F$15)))))="",0,0.7)+IF((IF(OR(City_Inputs!$AL103="",Norm_Stats!$F$16="",Norm_Stats!$G$16="",Norm_Stats!$G$16=Norm_Stats!$F$16),"",MAX(0,MIN(100,100*(Norm_Stats!$G$16-MIN(MAX(City_Inputs!$AL103,Norm_Stats!$F$16),Norm_Stats!$G$16))/(Norm_Stats!$G$16-Norm_Stats!$F$16)))))="",0,0.3)))</f>
        <v/>
      </c>
      <c r="AM103" s="15">
        <f>IF((IF(AG103="",0,8)+IF(AI103="",0,6)+IF(AK103="",0,4))=0,"",(IF(AG103="",0,AG103*8)+IF(AI103="",0,AI103*6)+IF(AK103="",0,AK103*4))/(IF(AG103="",0,8)+IF(AI103="",0,6)+IF(AK103="",0,4)))</f>
        <v/>
      </c>
      <c r="AN103" s="14">
        <f>IF((IF(AH103="",0,8)+IF(AJ103="",0,6)+IF(AL103="",0,4))=0,"",(IF(AH103="",0,AH103*8)+IF(AJ103="",0,AJ103*6)+IF(AL103="",0,AL103*4))/18)</f>
        <v/>
      </c>
      <c r="AO103" s="11">
        <f>IF(OR(City_Inputs!$AB103="",Norm_Stats!$F$17="",Norm_Stats!$G$17="",Norm_Stats!$G$17=Norm_Stats!$F$17),"",MAX(0,MIN(100,100*(MIN(MAX(City_Inputs!$AB103,Norm_Stats!$F$17),Norm_Stats!$G$17)-Norm_Stats!$F$17)/(Norm_Stats!$G$17-Norm_Stats!$F$17))))</f>
        <v/>
      </c>
      <c r="AP103" s="14">
        <f>IF(AO103="","",1)</f>
        <v/>
      </c>
      <c r="AQ103" s="11">
        <f>IF(OR(City_Inputs!$AC103="",Norm_Stats!$F$18="",Norm_Stats!$G$18="",Norm_Stats!$G$18=Norm_Stats!$F$18),"",MAX(0,MIN(100,100*(MIN(MAX(City_Inputs!$AC103,Norm_Stats!$F$18),Norm_Stats!$G$18)-Norm_Stats!$F$18)/(Norm_Stats!$G$18-Norm_Stats!$F$18))))</f>
        <v/>
      </c>
      <c r="AR103" s="14">
        <f>IF(AQ103="","",1)</f>
        <v/>
      </c>
      <c r="AS103" s="11">
        <f>IF(OR(City_Inputs!$AD103="",Norm_Stats!$F$19="",Norm_Stats!$G$19="",Norm_Stats!$G$19=Norm_Stats!$F$19),"",MAX(0,MIN(100,100*(MIN(MAX(City_Inputs!$AD103,Norm_Stats!$F$19),Norm_Stats!$G$19)-Norm_Stats!$F$19)/(Norm_Stats!$G$19-Norm_Stats!$F$19))))</f>
        <v/>
      </c>
      <c r="AT103" s="14">
        <f>IF(AS103="","",1)</f>
        <v/>
      </c>
      <c r="AU103" s="11">
        <f>IF(OR(City_Inputs!$BJ103="",Norm_Stats!$F$26="",Norm_Stats!$G$26="",Norm_Stats!$G$26=Norm_Stats!$F$26),"",MAX(0,MIN(100,100*(MIN(MAX(City_Inputs!$BJ103,Norm_Stats!$F$26),Norm_Stats!$G$26)-Norm_Stats!$F$26)/(Norm_Stats!$G$26-Norm_Stats!$F$26))))</f>
        <v/>
      </c>
      <c r="AV103" s="11">
        <f>IF(AU103="","",1)</f>
        <v/>
      </c>
      <c r="AW103" s="15">
        <f>IF((IF(AO103="",0,5)+IF(AQ103="",0,5)+IF(AS103="",0,5)+IF(AU103="",0,4))=0,"",(IF(AO103="",0,AO103*5)+IF(AQ103="",0,AQ103*5)+IF(AS103="",0,AS103*5)+IF(AU103="",0,AU103*4))/(IF(AO103="",0,5)+IF(AQ103="",0,5)+IF(AS103="",0,5)+IF(AU103="",0,4)))</f>
        <v/>
      </c>
      <c r="AX103" s="14">
        <f>IF((IF(AP103="",0,5)+IF(AR103="",0,5)+IF(AT103="",0,5)+IF(AV103="",0,4))=0,"",(IF(AP103="",0,AP103*5)+IF(AR103="",0,AR103*5)+IF(AT103="",0,AT103*5)+IF(AV103="",0,AV103*4))/19)</f>
        <v/>
      </c>
      <c r="AY103" s="11">
        <f>IF(OR(City_Inputs!$AE103="",Norm_Stats!$F$20="",Norm_Stats!$G$20="",Norm_Stats!$G$20=Norm_Stats!$F$20),"",MAX(0,MIN(100,100*(MIN(MAX(City_Inputs!$AE103,Norm_Stats!$F$20),Norm_Stats!$G$20)-Norm_Stats!$F$20)/(Norm_Stats!$G$20-Norm_Stats!$F$20))))</f>
        <v/>
      </c>
      <c r="AZ103" s="14">
        <f>IF(AY103="","",1)</f>
        <v/>
      </c>
      <c r="BA103" s="11">
        <f>IF(OR(City_Inputs!$AF103="",Norm_Stats!$F$21="",Norm_Stats!$G$21="",Norm_Stats!$G$21=Norm_Stats!$F$21),"",MAX(0,MIN(100,100*(MIN(MAX(City_Inputs!$AF103,Norm_Stats!$F$21),Norm_Stats!$G$21)-Norm_Stats!$F$21)/(Norm_Stats!$G$21-Norm_Stats!$F$21))))</f>
        <v/>
      </c>
      <c r="BB103" s="14">
        <f>IF(BA103="","",1)</f>
        <v/>
      </c>
      <c r="BC103" s="11">
        <f>IF((IF((IF(OR(City_Inputs!$AG103="",Norm_Stats!$F$22="",Norm_Stats!$G$22="",Norm_Stats!$G$22=Norm_Stats!$F$22),"",MAX(0,MIN(100,100*(MIN(MAX(City_Inputs!$AG103,Norm_Stats!$F$22),Norm_Stats!$G$22)-Norm_Stats!$F$22)/(Norm_Stats!$G$22-Norm_Stats!$F$22)))))="",0,0.5)+IF((IF(OR(City_Inputs!$AJ103="",Norm_Stats!$F$23="",Norm_Stats!$G$23="",Norm_Stats!$G$23=Norm_Stats!$F$23),"",MAX(0,MIN(100,100*(MIN(MAX(City_Inputs!$AJ103,Norm_Stats!$F$23),Norm_Stats!$G$23)-Norm_Stats!$F$23)/(Norm_Stats!$G$23-Norm_Stats!$F$23)))))="",0,0.3)+IF((IF(OR(City_Inputs!$AK103="",Norm_Stats!$F$24="",Norm_Stats!$G$24="",Norm_Stats!$G$24=Norm_Stats!$F$24),"",MAX(0,MIN(100,100*(MIN(MAX(City_Inputs!$AK103,Norm_Stats!$F$24),Norm_Stats!$G$24)-Norm_Stats!$F$24)/(Norm_Stats!$G$24-Norm_Stats!$F$24)))))="",0,0.2))=0,"",(IF((IF(OR(City_Inputs!$AG103="",Norm_Stats!$F$22="",Norm_Stats!$G$22="",Norm_Stats!$G$22=Norm_Stats!$F$22),"",MAX(0,MIN(100,100*(MIN(MAX(City_Inputs!$AG103,Norm_Stats!$F$22),Norm_Stats!$G$22)-Norm_Stats!$F$22)/(Norm_Stats!$G$22-Norm_Stats!$F$22)))))="",0,(IF(OR(City_Inputs!$AG103="",Norm_Stats!$F$22="",Norm_Stats!$G$22="",Norm_Stats!$G$22=Norm_Stats!$F$22),"",MAX(0,MIN(100,100*(MIN(MAX(City_Inputs!$AG103,Norm_Stats!$F$22),Norm_Stats!$G$22)-Norm_Stats!$F$22)/(Norm_Stats!$G$22-Norm_Stats!$F$22)))))*0.5)+IF((IF(OR(City_Inputs!$AJ103="",Norm_Stats!$F$23="",Norm_Stats!$G$23="",Norm_Stats!$G$23=Norm_Stats!$F$23),"",MAX(0,MIN(100,100*(MIN(MAX(City_Inputs!$AJ103,Norm_Stats!$F$23),Norm_Stats!$G$23)-Norm_Stats!$F$23)/(Norm_Stats!$G$23-Norm_Stats!$F$23)))))="",0,(IF(OR(City_Inputs!$AJ103="",Norm_Stats!$F$23="",Norm_Stats!$G$23="",Norm_Stats!$G$23=Norm_Stats!$F$23),"",MAX(0,MIN(100,100*(MIN(MAX(City_Inputs!$AJ103,Norm_Stats!$F$23),Norm_Stats!$G$23)-Norm_Stats!$F$23)/(Norm_Stats!$G$23-Norm_Stats!$F$23)))))*0.3)+IF((IF(OR(City_Inputs!$AK103="",Norm_Stats!$F$24="",Norm_Stats!$G$24="",Norm_Stats!$G$24=Norm_Stats!$F$24),"",MAX(0,MIN(100,100*(MIN(MAX(City_Inputs!$AK103,Norm_Stats!$F$24),Norm_Stats!$G$24)-Norm_Stats!$F$24)/(Norm_Stats!$G$24-Norm_Stats!$F$24)))))="",0,(IF(OR(City_Inputs!$AK103="",Norm_Stats!$F$24="",Norm_Stats!$G$24="",Norm_Stats!$G$24=Norm_Stats!$F$24),"",MAX(0,MIN(100,100*(MIN(MAX(City_Inputs!$AK103,Norm_Stats!$F$24),Norm_Stats!$G$24)-Norm_Stats!$F$24)/(Norm_Stats!$G$24-Norm_Stats!$F$24)))))*0.2))/(IF((IF(OR(City_Inputs!$AG103="",Norm_Stats!$F$22="",Norm_Stats!$G$22="",Norm_Stats!$G$22=Norm_Stats!$F$22),"",MAX(0,MIN(100,100*(MIN(MAX(City_Inputs!$AG103,Norm_Stats!$F$22),Norm_Stats!$G$22)-Norm_Stats!$F$22)/(Norm_Stats!$G$22-Norm_Stats!$F$22)))))="",0,0.5)+IF((IF(OR(City_Inputs!$AJ103="",Norm_Stats!$F$23="",Norm_Stats!$G$23="",Norm_Stats!$G$23=Norm_Stats!$F$23),"",MAX(0,MIN(100,100*(MIN(MAX(City_Inputs!$AJ103,Norm_Stats!$F$23),Norm_Stats!$G$23)-Norm_Stats!$F$23)/(Norm_Stats!$G$23-Norm_Stats!$F$23)))))="",0,0.3)+IF((IF(OR(City_Inputs!$AK103="",Norm_Stats!$F$24="",Norm_Stats!$G$24="",Norm_Stats!$G$24=Norm_Stats!$F$24),"",MAX(0,MIN(100,100*(MIN(MAX(City_Inputs!$AK103,Norm_Stats!$F$24),Norm_Stats!$G$24)-Norm_Stats!$F$24)/(Norm_Stats!$G$24-Norm_Stats!$F$24)))))="",0,0.2)))</f>
        <v/>
      </c>
      <c r="BD103" s="14">
        <f>IF((IF((IF(OR(City_Inputs!$AG103="",Norm_Stats!$F$22="",Norm_Stats!$G$22="",Norm_Stats!$G$22=Norm_Stats!$F$22),"",MAX(0,MIN(100,100*(MIN(MAX(City_Inputs!$AG103,Norm_Stats!$F$22),Norm_Stats!$G$22)-Norm_Stats!$F$22)/(Norm_Stats!$G$22-Norm_Stats!$F$22)))))="",0,0.5)+IF((IF(OR(City_Inputs!$AJ103="",Norm_Stats!$F$23="",Norm_Stats!$G$23="",Norm_Stats!$G$23=Norm_Stats!$F$23),"",MAX(0,MIN(100,100*(MIN(MAX(City_Inputs!$AJ103,Norm_Stats!$F$23),Norm_Stats!$G$23)-Norm_Stats!$F$23)/(Norm_Stats!$G$23-Norm_Stats!$F$23)))))="",0,0.3)+IF((IF(OR(City_Inputs!$AK103="",Norm_Stats!$F$24="",Norm_Stats!$G$24="",Norm_Stats!$G$24=Norm_Stats!$F$24),"",MAX(0,MIN(100,100*(MIN(MAX(City_Inputs!$AK103,Norm_Stats!$F$24),Norm_Stats!$G$24)-Norm_Stats!$F$24)/(Norm_Stats!$G$24-Norm_Stats!$F$24)))))="",0,0.2))=0,"",(IF((IF(OR(City_Inputs!$AG103="",Norm_Stats!$F$22="",Norm_Stats!$G$22="",Norm_Stats!$G$22=Norm_Stats!$F$22),"",MAX(0,MIN(100,100*(MIN(MAX(City_Inputs!$AG103,Norm_Stats!$F$22),Norm_Stats!$G$22)-Norm_Stats!$F$22)/(Norm_Stats!$G$22-Norm_Stats!$F$22)))))="",0,0.5)+IF((IF(OR(City_Inputs!$AJ103="",Norm_Stats!$F$23="",Norm_Stats!$G$23="",Norm_Stats!$G$23=Norm_Stats!$F$23),"",MAX(0,MIN(100,100*(MIN(MAX(City_Inputs!$AJ103,Norm_Stats!$F$23),Norm_Stats!$G$23)-Norm_Stats!$F$23)/(Norm_Stats!$G$23-Norm_Stats!$F$23)))))="",0,0.3)+IF((IF(OR(City_Inputs!$AK103="",Norm_Stats!$F$24="",Norm_Stats!$G$24="",Norm_Stats!$G$24=Norm_Stats!$F$24),"",MAX(0,MIN(100,100*(MIN(MAX(City_Inputs!$AK103,Norm_Stats!$F$24),Norm_Stats!$G$24)-Norm_Stats!$F$24)/(Norm_Stats!$G$24-Norm_Stats!$F$24)))))="",0,0.2)))</f>
        <v/>
      </c>
      <c r="BE103" s="11">
        <f>IF(OR(City_Inputs!$AH103="",Norm_Stats!$F$25="",Norm_Stats!$G$25="",Norm_Stats!$G$25=Norm_Stats!$F$25),"",MAX(0,MIN(100,100*(Norm_Stats!$G$25-MIN(MAX(City_Inputs!$AH103,Norm_Stats!$F$25),Norm_Stats!$G$25))/(Norm_Stats!$G$25-Norm_Stats!$F$25))))</f>
        <v/>
      </c>
      <c r="BF103" s="14">
        <f>IF(BE103="","",1)</f>
        <v/>
      </c>
      <c r="BG103" s="15">
        <f>IF((IF(AY103="",0,6)+IF(BA103="",0,5)+IF(BC103="",0,5)+IF(BE103="",0,4))=0,"",(IF(AY103="",0,AY103*6)+IF(BA103="",0,BA103*5)+IF(BC103="",0,BC103*5)+IF(BE103="",0,BE103*4))/(IF(AY103="",0,6)+IF(BA103="",0,5)+IF(BC103="",0,5)+IF(BE103="",0,4)))</f>
        <v/>
      </c>
      <c r="BH103" s="14">
        <f>IF((IF(AZ103="",0,6)+IF(BB103="",0,5)+IF(BD103="",0,5)+IF(BF103="",0,4))=0,"",(IF(AZ103="",0,AZ103*6)+IF(BB103="",0,BB103*5)+IF(BD103="",0,BD103*5)+IF(BF103="",0,BF103*4))/20)</f>
        <v/>
      </c>
      <c r="BI103" s="14">
        <f>IF(AND(R103="",AF103="",AN103="",AX103="",BH103=""),"",((R103*25)+(AF103*22)+(AN103*18)+(AX103*15)+(BH103*20))/100)</f>
        <v/>
      </c>
      <c r="BJ103" s="11">
        <f>IF(BI103="","",IF(BI103&gt;=0.75,"A",IF(BI103&gt;=0.5,"B",IF(BI103&gt;=0.35,"C","Watchlist"))))</f>
        <v/>
      </c>
      <c r="BK103" s="11">
        <f>IF(OR(BI103="",BI103&lt;0.5,R103="",R103&lt;0.35,AF103="",AF103&lt;0.35,AN103="",AN103&lt;0.35,AX103="",AX103&lt;0.35,BH103="",BH103&lt;0.35),"Watchlist","Ranked")</f>
        <v/>
      </c>
      <c r="BL103" s="15">
        <f>IF(AND(Q103="",AE103="",AM103="",AW103="",BG103=""),"",(IF(Q103="",0,Q103*25)+IF(AE103="",0,AE103*22)+IF(AM103="",0,AM103*18)+IF(AW103="",0,AW103*15)+IF(BG103="",0,BG103*20))/(IF(Q103="",0,25)+IF(AE103="",0,22)+IF(AM103="",0,18)+IF(AW103="",0,15)+IF(BG103="",0,20)))</f>
        <v/>
      </c>
      <c r="BM103" s="11">
        <f>IF(BK103="Ranked",1+COUNTIFS($BK$2:$BK$158,"Ranked",$BL$2:$BL$158,"&gt;"&amp;BL103),"")</f>
        <v/>
      </c>
      <c r="BN103" s="11">
        <f>City_Inputs!$AI103</f>
        <v/>
      </c>
    </row>
    <row r="104">
      <c r="A104" t="inlineStr">
        <is>
          <t>au-brisbane</t>
        </is>
      </c>
      <c r="B104" t="inlineStr">
        <is>
          <t>Brisbane</t>
        </is>
      </c>
      <c r="C104" t="inlineStr">
        <is>
          <t>Australia</t>
        </is>
      </c>
      <c r="D104" t="inlineStr">
        <is>
          <t>Oceania</t>
        </is>
      </c>
      <c r="E104" t="inlineStr">
        <is>
          <t>locked</t>
        </is>
      </c>
      <c r="F104" t="inlineStr">
        <is>
          <t>primary</t>
        </is>
      </c>
      <c r="G104" s="11">
        <f>IF(OR(City_Inputs!$M104="",Norm_Stats!$F$2="",Norm_Stats!$G$2="",Norm_Stats!$G$2=Norm_Stats!$F$2),"",MAX(0,MIN(100,100*(MIN(MAX(City_Inputs!$M104,Norm_Stats!$F$2),Norm_Stats!$G$2)-Norm_Stats!$F$2)/(Norm_Stats!$G$2-Norm_Stats!$F$2))))</f>
        <v/>
      </c>
      <c r="H104" s="14">
        <f>IF(G104="","",1)</f>
        <v/>
      </c>
      <c r="I104" s="11">
        <f>IF(OR(City_Inputs!$N104="",Norm_Stats!$F$3="",Norm_Stats!$G$3="",Norm_Stats!$G$3=Norm_Stats!$F$3),"",MAX(0,MIN(100,100*(Norm_Stats!$G$3-MIN(MAX(City_Inputs!$N104,Norm_Stats!$F$3),Norm_Stats!$G$3))/(Norm_Stats!$G$3-Norm_Stats!$F$3))))</f>
        <v/>
      </c>
      <c r="J104" s="14">
        <f>IF(I104="","",1)</f>
        <v/>
      </c>
      <c r="K104" s="11">
        <f>IF(OR(City_Inputs!$P104="",Norm_Stats!$F$4="",Norm_Stats!$G$4="",Norm_Stats!$G$4=Norm_Stats!$F$4),"",MAX(0,MIN(100,100*(Norm_Stats!$G$4-MIN(MAX(City_Inputs!$P104,Norm_Stats!$F$4),Norm_Stats!$G$4))/(Norm_Stats!$G$4-Norm_Stats!$F$4))))</f>
        <v/>
      </c>
      <c r="L104" s="14">
        <f>IF(K104="","",1)</f>
        <v/>
      </c>
      <c r="M104" s="11">
        <f>IF(OR(City_Inputs!$Q104="",Norm_Stats!$F$5="",Norm_Stats!$G$5="",Norm_Stats!$G$5=Norm_Stats!$F$5),"",MAX(0,MIN(100,100*(Norm_Stats!$G$5-MIN(MAX(City_Inputs!$Q104,Norm_Stats!$F$5),Norm_Stats!$G$5))/(Norm_Stats!$G$5-Norm_Stats!$F$5))))</f>
        <v/>
      </c>
      <c r="N104" s="14">
        <f>IF(M104="","",1)</f>
        <v/>
      </c>
      <c r="O104" s="11">
        <f>IF(OR(City_Inputs!$R104="",Norm_Stats!$F$6="",Norm_Stats!$G$6="",Norm_Stats!$G$6=Norm_Stats!$F$6),"",MAX(0,MIN(100,100*(Norm_Stats!$G$6-MIN(MAX(City_Inputs!$R104,Norm_Stats!$F$6),Norm_Stats!$G$6))/(Norm_Stats!$G$6-Norm_Stats!$F$6))))</f>
        <v/>
      </c>
      <c r="P104" s="14">
        <f>IF(O104="","",1)</f>
        <v/>
      </c>
      <c r="Q104" s="15">
        <f>IF((IF(G104="",0,9)+IF(I104="",0,5)+IF(K104="",0,4)+IF(M104="",0,4)+IF(O104="",0,5))=0,"",(IF(G104="",0,G104*9)+IF(I104="",0,I104*5)+IF(K104="",0,K104*4)+IF(M104="",0,M104*4)+IF(O104="",0,O104*5))/(IF(G104="",0,9)+IF(I104="",0,5)+IF(K104="",0,4)+IF(M104="",0,4)+IF(O104="",0,5)))</f>
        <v/>
      </c>
      <c r="R104" s="14">
        <f>IF((IF(H104="",0,9)+IF(J104="",0,5)+IF(L104="",0,4)+IF(N104="",0,4)+IF(P104="",0,5))=0,"",(IF(H104="",0,H104*9)+IF(J104="",0,J104*5)+IF(L104="",0,L104*4)+IF(N104="",0,N104*4)+IF(P104="",0,P104*5))/27)</f>
        <v/>
      </c>
      <c r="S104" s="11">
        <f>IF(OR(City_Inputs!$S104="",Norm_Stats!$F$7="",Norm_Stats!$G$7="",Norm_Stats!$G$7=Norm_Stats!$F$7),"",MAX(0,MIN(100,100*(Norm_Stats!$G$7-MIN(MAX(City_Inputs!$S104,Norm_Stats!$F$7),Norm_Stats!$G$7))/(Norm_Stats!$G$7-Norm_Stats!$F$7))))</f>
        <v/>
      </c>
      <c r="T104" s="14">
        <f>IF(S104="","",1)</f>
        <v/>
      </c>
      <c r="U104" s="11">
        <f>IF(OR(City_Inputs!$T104="",Norm_Stats!$F$8="",Norm_Stats!$G$8="",Norm_Stats!$G$8=Norm_Stats!$F$8),"",MAX(0,MIN(100,100*(MIN(MAX(City_Inputs!$T104,Norm_Stats!$F$8),Norm_Stats!$G$8)-Norm_Stats!$F$8)/(Norm_Stats!$G$8-Norm_Stats!$F$8))))</f>
        <v/>
      </c>
      <c r="V104" s="14">
        <f>IF(U104="","",1)</f>
        <v/>
      </c>
      <c r="W104" s="11">
        <f>IF(OR(City_Inputs!$U104="",Norm_Stats!$F$9="",Norm_Stats!$G$9="",Norm_Stats!$G$9=Norm_Stats!$F$9),"",MAX(0,MIN(100,100*(Norm_Stats!$G$9-MIN(MAX(City_Inputs!$U104,Norm_Stats!$F$9),Norm_Stats!$G$9))/(Norm_Stats!$G$9-Norm_Stats!$F$9))))</f>
        <v/>
      </c>
      <c r="X104" s="14">
        <f>IF(W104="","",1)</f>
        <v/>
      </c>
      <c r="Y104" s="11">
        <f>IF(OR(City_Inputs!$V104="",Norm_Stats!$F$10="",Norm_Stats!$G$10="",Norm_Stats!$G$10=Norm_Stats!$F$10),"",MAX(0,MIN(100,100*(MIN(MAX(City_Inputs!$V104,Norm_Stats!$F$10),Norm_Stats!$G$10)-Norm_Stats!$F$10)/(Norm_Stats!$G$10-Norm_Stats!$F$10))))</f>
        <v/>
      </c>
      <c r="Z104" s="14">
        <f>IF(Y104="","",1)</f>
        <v/>
      </c>
      <c r="AA104" s="11">
        <f>IF(OR(City_Inputs!$W104="",Norm_Stats!$F$11="",Norm_Stats!$G$11="",Norm_Stats!$G$11=Norm_Stats!$F$11),"",MAX(0,MIN(100,100*(MIN(MAX(City_Inputs!$W104,Norm_Stats!$F$11),Norm_Stats!$G$11)-Norm_Stats!$F$11)/(Norm_Stats!$G$11-Norm_Stats!$F$11))))</f>
        <v/>
      </c>
      <c r="AB104" s="14">
        <f>IF(AA104="","",1)</f>
        <v/>
      </c>
      <c r="AC104" s="11">
        <f>IF(OR(City_Inputs!$X104="",Norm_Stats!$F$12="",Norm_Stats!$G$12="",Norm_Stats!$G$12=Norm_Stats!$F$12),"",MAX(0,MIN(100,100*(MIN(MAX(City_Inputs!$X104,Norm_Stats!$F$12),Norm_Stats!$G$12)-Norm_Stats!$F$12)/(Norm_Stats!$G$12-Norm_Stats!$F$12))))</f>
        <v/>
      </c>
      <c r="AD104" s="11">
        <f>IF(AC104="","",1)</f>
        <v/>
      </c>
      <c r="AE104" s="15">
        <f>IF((IF(S104="",0,5)+IF(U104="",0,5)+IF(W104="",0,4)+IF(Y104="",0,4)+IF(AA104="",0,4)+IF(AC104="",0,5))=0,"",(IF(S104="",0,S104*5)+IF(U104="",0,U104*5)+IF(W104="",0,W104*4)+IF(Y104="",0,Y104*4)+IF(AA104="",0,AA104*4)+IF(AC104="",0,AC104*5))/(IF(S104="",0,5)+IF(U104="",0,5)+IF(W104="",0,4)+IF(Y104="",0,4)+IF(AA104="",0,4)+IF(AC104="",0,5)))</f>
        <v/>
      </c>
      <c r="AF104" s="14">
        <f>IF((IF(T104="",0,5)+IF(V104="",0,5)+IF(X104="",0,4)+IF(Z104="",0,4)+IF(AB104="",0,4)+IF(AD104="",0,5))=0,"",(IF(T104="",0,T104*5)+IF(V104="",0,V104*5)+IF(X104="",0,X104*4)+IF(Z104="",0,Z104*4)+IF(AB104="",0,AB104*4)+IF(AD104="",0,AD104*5))/27)</f>
        <v/>
      </c>
      <c r="AG104" s="11">
        <f>IF(OR(City_Inputs!$Y104="",Norm_Stats!$F$13="",Norm_Stats!$G$13="",Norm_Stats!$G$13=Norm_Stats!$F$13),"",MAX(0,MIN(100,100*(MIN(MAX(City_Inputs!$Y104,Norm_Stats!$F$13),Norm_Stats!$G$13)-Norm_Stats!$F$13)/(Norm_Stats!$G$13-Norm_Stats!$F$13))))</f>
        <v/>
      </c>
      <c r="AH104" s="14">
        <f>IF(AG104="","",1)</f>
        <v/>
      </c>
      <c r="AI104" s="11">
        <f>IF(OR(City_Inputs!$Z104="",Norm_Stats!$F$14="",Norm_Stats!$G$14="",Norm_Stats!$G$14=Norm_Stats!$F$14),"",MAX(0,MIN(100,100*(MIN(MAX(City_Inputs!$Z104,Norm_Stats!$F$14),Norm_Stats!$G$14)-Norm_Stats!$F$14)/(Norm_Stats!$G$14-Norm_Stats!$F$14))))</f>
        <v/>
      </c>
      <c r="AJ104" s="14">
        <f>IF(AI104="","",1)</f>
        <v/>
      </c>
      <c r="AK104" s="11">
        <f>IF((IF((IF(OR(City_Inputs!$AA104="",Norm_Stats!$F$15="",Norm_Stats!$G$15="",Norm_Stats!$G$15=Norm_Stats!$F$15),"",MAX(0,MIN(100,100*(MIN(MAX(City_Inputs!$AA104,Norm_Stats!$F$15),Norm_Stats!$G$15)-Norm_Stats!$F$15)/(Norm_Stats!$G$15-Norm_Stats!$F$15)))))="",0,0.7)+IF((IF(OR(City_Inputs!$AL104="",Norm_Stats!$F$16="",Norm_Stats!$G$16="",Norm_Stats!$G$16=Norm_Stats!$F$16),"",MAX(0,MIN(100,100*(Norm_Stats!$G$16-MIN(MAX(City_Inputs!$AL104,Norm_Stats!$F$16),Norm_Stats!$G$16))/(Norm_Stats!$G$16-Norm_Stats!$F$16)))))="",0,0.3))=0,"",(IF((IF(OR(City_Inputs!$AA104="",Norm_Stats!$F$15="",Norm_Stats!$G$15="",Norm_Stats!$G$15=Norm_Stats!$F$15),"",MAX(0,MIN(100,100*(MIN(MAX(City_Inputs!$AA104,Norm_Stats!$F$15),Norm_Stats!$G$15)-Norm_Stats!$F$15)/(Norm_Stats!$G$15-Norm_Stats!$F$15)))))="",0,(IF(OR(City_Inputs!$AA104="",Norm_Stats!$F$15="",Norm_Stats!$G$15="",Norm_Stats!$G$15=Norm_Stats!$F$15),"",MAX(0,MIN(100,100*(MIN(MAX(City_Inputs!$AA104,Norm_Stats!$F$15),Norm_Stats!$G$15)-Norm_Stats!$F$15)/(Norm_Stats!$G$15-Norm_Stats!$F$15)))))*0.7)+IF((IF(OR(City_Inputs!$AL104="",Norm_Stats!$F$16="",Norm_Stats!$G$16="",Norm_Stats!$G$16=Norm_Stats!$F$16),"",MAX(0,MIN(100,100*(Norm_Stats!$G$16-MIN(MAX(City_Inputs!$AL104,Norm_Stats!$F$16),Norm_Stats!$G$16))/(Norm_Stats!$G$16-Norm_Stats!$F$16)))))="",0,(IF(OR(City_Inputs!$AL104="",Norm_Stats!$F$16="",Norm_Stats!$G$16="",Norm_Stats!$G$16=Norm_Stats!$F$16),"",MAX(0,MIN(100,100*(Norm_Stats!$G$16-MIN(MAX(City_Inputs!$AL104,Norm_Stats!$F$16),Norm_Stats!$G$16))/(Norm_Stats!$G$16-Norm_Stats!$F$16)))))*0.3))/(IF((IF(OR(City_Inputs!$AA104="",Norm_Stats!$F$15="",Norm_Stats!$G$15="",Norm_Stats!$G$15=Norm_Stats!$F$15),"",MAX(0,MIN(100,100*(MIN(MAX(City_Inputs!$AA104,Norm_Stats!$F$15),Norm_Stats!$G$15)-Norm_Stats!$F$15)/(Norm_Stats!$G$15-Norm_Stats!$F$15)))))="",0,0.7)+IF((IF(OR(City_Inputs!$AL104="",Norm_Stats!$F$16="",Norm_Stats!$G$16="",Norm_Stats!$G$16=Norm_Stats!$F$16),"",MAX(0,MIN(100,100*(Norm_Stats!$G$16-MIN(MAX(City_Inputs!$AL104,Norm_Stats!$F$16),Norm_Stats!$G$16))/(Norm_Stats!$G$16-Norm_Stats!$F$16)))))="",0,0.3)))</f>
        <v/>
      </c>
      <c r="AL104" s="14">
        <f>IF((IF((IF(OR(City_Inputs!$AA104="",Norm_Stats!$F$15="",Norm_Stats!$G$15="",Norm_Stats!$G$15=Norm_Stats!$F$15),"",MAX(0,MIN(100,100*(MIN(MAX(City_Inputs!$AA104,Norm_Stats!$F$15),Norm_Stats!$G$15)-Norm_Stats!$F$15)/(Norm_Stats!$G$15-Norm_Stats!$F$15)))))="",0,0.7)+IF((IF(OR(City_Inputs!$AL104="",Norm_Stats!$F$16="",Norm_Stats!$G$16="",Norm_Stats!$G$16=Norm_Stats!$F$16),"",MAX(0,MIN(100,100*(Norm_Stats!$G$16-MIN(MAX(City_Inputs!$AL104,Norm_Stats!$F$16),Norm_Stats!$G$16))/(Norm_Stats!$G$16-Norm_Stats!$F$16)))))="",0,0.3))=0,"",(IF((IF(OR(City_Inputs!$AA104="",Norm_Stats!$F$15="",Norm_Stats!$G$15="",Norm_Stats!$G$15=Norm_Stats!$F$15),"",MAX(0,MIN(100,100*(MIN(MAX(City_Inputs!$AA104,Norm_Stats!$F$15),Norm_Stats!$G$15)-Norm_Stats!$F$15)/(Norm_Stats!$G$15-Norm_Stats!$F$15)))))="",0,0.7)+IF((IF(OR(City_Inputs!$AL104="",Norm_Stats!$F$16="",Norm_Stats!$G$16="",Norm_Stats!$G$16=Norm_Stats!$F$16),"",MAX(0,MIN(100,100*(Norm_Stats!$G$16-MIN(MAX(City_Inputs!$AL104,Norm_Stats!$F$16),Norm_Stats!$G$16))/(Norm_Stats!$G$16-Norm_Stats!$F$16)))))="",0,0.3)))</f>
        <v/>
      </c>
      <c r="AM104" s="15">
        <f>IF((IF(AG104="",0,8)+IF(AI104="",0,6)+IF(AK104="",0,4))=0,"",(IF(AG104="",0,AG104*8)+IF(AI104="",0,AI104*6)+IF(AK104="",0,AK104*4))/(IF(AG104="",0,8)+IF(AI104="",0,6)+IF(AK104="",0,4)))</f>
        <v/>
      </c>
      <c r="AN104" s="14">
        <f>IF((IF(AH104="",0,8)+IF(AJ104="",0,6)+IF(AL104="",0,4))=0,"",(IF(AH104="",0,AH104*8)+IF(AJ104="",0,AJ104*6)+IF(AL104="",0,AL104*4))/18)</f>
        <v/>
      </c>
      <c r="AO104" s="11">
        <f>IF(OR(City_Inputs!$AB104="",Norm_Stats!$F$17="",Norm_Stats!$G$17="",Norm_Stats!$G$17=Norm_Stats!$F$17),"",MAX(0,MIN(100,100*(MIN(MAX(City_Inputs!$AB104,Norm_Stats!$F$17),Norm_Stats!$G$17)-Norm_Stats!$F$17)/(Norm_Stats!$G$17-Norm_Stats!$F$17))))</f>
        <v/>
      </c>
      <c r="AP104" s="14">
        <f>IF(AO104="","",1)</f>
        <v/>
      </c>
      <c r="AQ104" s="11">
        <f>IF(OR(City_Inputs!$AC104="",Norm_Stats!$F$18="",Norm_Stats!$G$18="",Norm_Stats!$G$18=Norm_Stats!$F$18),"",MAX(0,MIN(100,100*(MIN(MAX(City_Inputs!$AC104,Norm_Stats!$F$18),Norm_Stats!$G$18)-Norm_Stats!$F$18)/(Norm_Stats!$G$18-Norm_Stats!$F$18))))</f>
        <v/>
      </c>
      <c r="AR104" s="14">
        <f>IF(AQ104="","",1)</f>
        <v/>
      </c>
      <c r="AS104" s="11">
        <f>IF(OR(City_Inputs!$AD104="",Norm_Stats!$F$19="",Norm_Stats!$G$19="",Norm_Stats!$G$19=Norm_Stats!$F$19),"",MAX(0,MIN(100,100*(MIN(MAX(City_Inputs!$AD104,Norm_Stats!$F$19),Norm_Stats!$G$19)-Norm_Stats!$F$19)/(Norm_Stats!$G$19-Norm_Stats!$F$19))))</f>
        <v/>
      </c>
      <c r="AT104" s="14">
        <f>IF(AS104="","",1)</f>
        <v/>
      </c>
      <c r="AU104" s="11">
        <f>IF(OR(City_Inputs!$BJ104="",Norm_Stats!$F$26="",Norm_Stats!$G$26="",Norm_Stats!$G$26=Norm_Stats!$F$26),"",MAX(0,MIN(100,100*(MIN(MAX(City_Inputs!$BJ104,Norm_Stats!$F$26),Norm_Stats!$G$26)-Norm_Stats!$F$26)/(Norm_Stats!$G$26-Norm_Stats!$F$26))))</f>
        <v/>
      </c>
      <c r="AV104" s="11">
        <f>IF(AU104="","",1)</f>
        <v/>
      </c>
      <c r="AW104" s="15">
        <f>IF((IF(AO104="",0,5)+IF(AQ104="",0,5)+IF(AS104="",0,5)+IF(AU104="",0,4))=0,"",(IF(AO104="",0,AO104*5)+IF(AQ104="",0,AQ104*5)+IF(AS104="",0,AS104*5)+IF(AU104="",0,AU104*4))/(IF(AO104="",0,5)+IF(AQ104="",0,5)+IF(AS104="",0,5)+IF(AU104="",0,4)))</f>
        <v/>
      </c>
      <c r="AX104" s="14">
        <f>IF((IF(AP104="",0,5)+IF(AR104="",0,5)+IF(AT104="",0,5)+IF(AV104="",0,4))=0,"",(IF(AP104="",0,AP104*5)+IF(AR104="",0,AR104*5)+IF(AT104="",0,AT104*5)+IF(AV104="",0,AV104*4))/19)</f>
        <v/>
      </c>
      <c r="AY104" s="11">
        <f>IF(OR(City_Inputs!$AE104="",Norm_Stats!$F$20="",Norm_Stats!$G$20="",Norm_Stats!$G$20=Norm_Stats!$F$20),"",MAX(0,MIN(100,100*(MIN(MAX(City_Inputs!$AE104,Norm_Stats!$F$20),Norm_Stats!$G$20)-Norm_Stats!$F$20)/(Norm_Stats!$G$20-Norm_Stats!$F$20))))</f>
        <v/>
      </c>
      <c r="AZ104" s="14">
        <f>IF(AY104="","",1)</f>
        <v/>
      </c>
      <c r="BA104" s="11">
        <f>IF(OR(City_Inputs!$AF104="",Norm_Stats!$F$21="",Norm_Stats!$G$21="",Norm_Stats!$G$21=Norm_Stats!$F$21),"",MAX(0,MIN(100,100*(MIN(MAX(City_Inputs!$AF104,Norm_Stats!$F$21),Norm_Stats!$G$21)-Norm_Stats!$F$21)/(Norm_Stats!$G$21-Norm_Stats!$F$21))))</f>
        <v/>
      </c>
      <c r="BB104" s="14">
        <f>IF(BA104="","",1)</f>
        <v/>
      </c>
      <c r="BC104" s="11">
        <f>IF((IF((IF(OR(City_Inputs!$AG104="",Norm_Stats!$F$22="",Norm_Stats!$G$22="",Norm_Stats!$G$22=Norm_Stats!$F$22),"",MAX(0,MIN(100,100*(MIN(MAX(City_Inputs!$AG104,Norm_Stats!$F$22),Norm_Stats!$G$22)-Norm_Stats!$F$22)/(Norm_Stats!$G$22-Norm_Stats!$F$22)))))="",0,0.5)+IF((IF(OR(City_Inputs!$AJ104="",Norm_Stats!$F$23="",Norm_Stats!$G$23="",Norm_Stats!$G$23=Norm_Stats!$F$23),"",MAX(0,MIN(100,100*(MIN(MAX(City_Inputs!$AJ104,Norm_Stats!$F$23),Norm_Stats!$G$23)-Norm_Stats!$F$23)/(Norm_Stats!$G$23-Norm_Stats!$F$23)))))="",0,0.3)+IF((IF(OR(City_Inputs!$AK104="",Norm_Stats!$F$24="",Norm_Stats!$G$24="",Norm_Stats!$G$24=Norm_Stats!$F$24),"",MAX(0,MIN(100,100*(MIN(MAX(City_Inputs!$AK104,Norm_Stats!$F$24),Norm_Stats!$G$24)-Norm_Stats!$F$24)/(Norm_Stats!$G$24-Norm_Stats!$F$24)))))="",0,0.2))=0,"",(IF((IF(OR(City_Inputs!$AG104="",Norm_Stats!$F$22="",Norm_Stats!$G$22="",Norm_Stats!$G$22=Norm_Stats!$F$22),"",MAX(0,MIN(100,100*(MIN(MAX(City_Inputs!$AG104,Norm_Stats!$F$22),Norm_Stats!$G$22)-Norm_Stats!$F$22)/(Norm_Stats!$G$22-Norm_Stats!$F$22)))))="",0,(IF(OR(City_Inputs!$AG104="",Norm_Stats!$F$22="",Norm_Stats!$G$22="",Norm_Stats!$G$22=Norm_Stats!$F$22),"",MAX(0,MIN(100,100*(MIN(MAX(City_Inputs!$AG104,Norm_Stats!$F$22),Norm_Stats!$G$22)-Norm_Stats!$F$22)/(Norm_Stats!$G$22-Norm_Stats!$F$22)))))*0.5)+IF((IF(OR(City_Inputs!$AJ104="",Norm_Stats!$F$23="",Norm_Stats!$G$23="",Norm_Stats!$G$23=Norm_Stats!$F$23),"",MAX(0,MIN(100,100*(MIN(MAX(City_Inputs!$AJ104,Norm_Stats!$F$23),Norm_Stats!$G$23)-Norm_Stats!$F$23)/(Norm_Stats!$G$23-Norm_Stats!$F$23)))))="",0,(IF(OR(City_Inputs!$AJ104="",Norm_Stats!$F$23="",Norm_Stats!$G$23="",Norm_Stats!$G$23=Norm_Stats!$F$23),"",MAX(0,MIN(100,100*(MIN(MAX(City_Inputs!$AJ104,Norm_Stats!$F$23),Norm_Stats!$G$23)-Norm_Stats!$F$23)/(Norm_Stats!$G$23-Norm_Stats!$F$23)))))*0.3)+IF((IF(OR(City_Inputs!$AK104="",Norm_Stats!$F$24="",Norm_Stats!$G$24="",Norm_Stats!$G$24=Norm_Stats!$F$24),"",MAX(0,MIN(100,100*(MIN(MAX(City_Inputs!$AK104,Norm_Stats!$F$24),Norm_Stats!$G$24)-Norm_Stats!$F$24)/(Norm_Stats!$G$24-Norm_Stats!$F$24)))))="",0,(IF(OR(City_Inputs!$AK104="",Norm_Stats!$F$24="",Norm_Stats!$G$24="",Norm_Stats!$G$24=Norm_Stats!$F$24),"",MAX(0,MIN(100,100*(MIN(MAX(City_Inputs!$AK104,Norm_Stats!$F$24),Norm_Stats!$G$24)-Norm_Stats!$F$24)/(Norm_Stats!$G$24-Norm_Stats!$F$24)))))*0.2))/(IF((IF(OR(City_Inputs!$AG104="",Norm_Stats!$F$22="",Norm_Stats!$G$22="",Norm_Stats!$G$22=Norm_Stats!$F$22),"",MAX(0,MIN(100,100*(MIN(MAX(City_Inputs!$AG104,Norm_Stats!$F$22),Norm_Stats!$G$22)-Norm_Stats!$F$22)/(Norm_Stats!$G$22-Norm_Stats!$F$22)))))="",0,0.5)+IF((IF(OR(City_Inputs!$AJ104="",Norm_Stats!$F$23="",Norm_Stats!$G$23="",Norm_Stats!$G$23=Norm_Stats!$F$23),"",MAX(0,MIN(100,100*(MIN(MAX(City_Inputs!$AJ104,Norm_Stats!$F$23),Norm_Stats!$G$23)-Norm_Stats!$F$23)/(Norm_Stats!$G$23-Norm_Stats!$F$23)))))="",0,0.3)+IF((IF(OR(City_Inputs!$AK104="",Norm_Stats!$F$24="",Norm_Stats!$G$24="",Norm_Stats!$G$24=Norm_Stats!$F$24),"",MAX(0,MIN(100,100*(MIN(MAX(City_Inputs!$AK104,Norm_Stats!$F$24),Norm_Stats!$G$24)-Norm_Stats!$F$24)/(Norm_Stats!$G$24-Norm_Stats!$F$24)))))="",0,0.2)))</f>
        <v/>
      </c>
      <c r="BD104" s="14">
        <f>IF((IF((IF(OR(City_Inputs!$AG104="",Norm_Stats!$F$22="",Norm_Stats!$G$22="",Norm_Stats!$G$22=Norm_Stats!$F$22),"",MAX(0,MIN(100,100*(MIN(MAX(City_Inputs!$AG104,Norm_Stats!$F$22),Norm_Stats!$G$22)-Norm_Stats!$F$22)/(Norm_Stats!$G$22-Norm_Stats!$F$22)))))="",0,0.5)+IF((IF(OR(City_Inputs!$AJ104="",Norm_Stats!$F$23="",Norm_Stats!$G$23="",Norm_Stats!$G$23=Norm_Stats!$F$23),"",MAX(0,MIN(100,100*(MIN(MAX(City_Inputs!$AJ104,Norm_Stats!$F$23),Norm_Stats!$G$23)-Norm_Stats!$F$23)/(Norm_Stats!$G$23-Norm_Stats!$F$23)))))="",0,0.3)+IF((IF(OR(City_Inputs!$AK104="",Norm_Stats!$F$24="",Norm_Stats!$G$24="",Norm_Stats!$G$24=Norm_Stats!$F$24),"",MAX(0,MIN(100,100*(MIN(MAX(City_Inputs!$AK104,Norm_Stats!$F$24),Norm_Stats!$G$24)-Norm_Stats!$F$24)/(Norm_Stats!$G$24-Norm_Stats!$F$24)))))="",0,0.2))=0,"",(IF((IF(OR(City_Inputs!$AG104="",Norm_Stats!$F$22="",Norm_Stats!$G$22="",Norm_Stats!$G$22=Norm_Stats!$F$22),"",MAX(0,MIN(100,100*(MIN(MAX(City_Inputs!$AG104,Norm_Stats!$F$22),Norm_Stats!$G$22)-Norm_Stats!$F$22)/(Norm_Stats!$G$22-Norm_Stats!$F$22)))))="",0,0.5)+IF((IF(OR(City_Inputs!$AJ104="",Norm_Stats!$F$23="",Norm_Stats!$G$23="",Norm_Stats!$G$23=Norm_Stats!$F$23),"",MAX(0,MIN(100,100*(MIN(MAX(City_Inputs!$AJ104,Norm_Stats!$F$23),Norm_Stats!$G$23)-Norm_Stats!$F$23)/(Norm_Stats!$G$23-Norm_Stats!$F$23)))))="",0,0.3)+IF((IF(OR(City_Inputs!$AK104="",Norm_Stats!$F$24="",Norm_Stats!$G$24="",Norm_Stats!$G$24=Norm_Stats!$F$24),"",MAX(0,MIN(100,100*(MIN(MAX(City_Inputs!$AK104,Norm_Stats!$F$24),Norm_Stats!$G$24)-Norm_Stats!$F$24)/(Norm_Stats!$G$24-Norm_Stats!$F$24)))))="",0,0.2)))</f>
        <v/>
      </c>
      <c r="BE104" s="11">
        <f>IF(OR(City_Inputs!$AH104="",Norm_Stats!$F$25="",Norm_Stats!$G$25="",Norm_Stats!$G$25=Norm_Stats!$F$25),"",MAX(0,MIN(100,100*(Norm_Stats!$G$25-MIN(MAX(City_Inputs!$AH104,Norm_Stats!$F$25),Norm_Stats!$G$25))/(Norm_Stats!$G$25-Norm_Stats!$F$25))))</f>
        <v/>
      </c>
      <c r="BF104" s="14">
        <f>IF(BE104="","",1)</f>
        <v/>
      </c>
      <c r="BG104" s="15">
        <f>IF((IF(AY104="",0,6)+IF(BA104="",0,5)+IF(BC104="",0,5)+IF(BE104="",0,4))=0,"",(IF(AY104="",0,AY104*6)+IF(BA104="",0,BA104*5)+IF(BC104="",0,BC104*5)+IF(BE104="",0,BE104*4))/(IF(AY104="",0,6)+IF(BA104="",0,5)+IF(BC104="",0,5)+IF(BE104="",0,4)))</f>
        <v/>
      </c>
      <c r="BH104" s="14">
        <f>IF((IF(AZ104="",0,6)+IF(BB104="",0,5)+IF(BD104="",0,5)+IF(BF104="",0,4))=0,"",(IF(AZ104="",0,AZ104*6)+IF(BB104="",0,BB104*5)+IF(BD104="",0,BD104*5)+IF(BF104="",0,BF104*4))/20)</f>
        <v/>
      </c>
      <c r="BI104" s="14">
        <f>IF(AND(R104="",AF104="",AN104="",AX104="",BH104=""),"",((R104*25)+(AF104*22)+(AN104*18)+(AX104*15)+(BH104*20))/100)</f>
        <v/>
      </c>
      <c r="BJ104" s="11">
        <f>IF(BI104="","",IF(BI104&gt;=0.75,"A",IF(BI104&gt;=0.5,"B",IF(BI104&gt;=0.35,"C","Watchlist"))))</f>
        <v/>
      </c>
      <c r="BK104" s="11">
        <f>IF(OR(BI104="",BI104&lt;0.5,R104="",R104&lt;0.35,AF104="",AF104&lt;0.35,AN104="",AN104&lt;0.35,AX104="",AX104&lt;0.35,BH104="",BH104&lt;0.35),"Watchlist","Ranked")</f>
        <v/>
      </c>
      <c r="BL104" s="15">
        <f>IF(AND(Q104="",AE104="",AM104="",AW104="",BG104=""),"",(IF(Q104="",0,Q104*25)+IF(AE104="",0,AE104*22)+IF(AM104="",0,AM104*18)+IF(AW104="",0,AW104*15)+IF(BG104="",0,BG104*20))/(IF(Q104="",0,25)+IF(AE104="",0,22)+IF(AM104="",0,18)+IF(AW104="",0,15)+IF(BG104="",0,20)))</f>
        <v/>
      </c>
      <c r="BM104" s="11">
        <f>IF(BK104="Ranked",1+COUNTIFS($BK$2:$BK$158,"Ranked",$BL$2:$BL$158,"&gt;"&amp;BL104),"")</f>
        <v/>
      </c>
      <c r="BN104" s="11">
        <f>City_Inputs!$AI104</f>
        <v/>
      </c>
    </row>
    <row r="105">
      <c r="A105" t="inlineStr">
        <is>
          <t>nz-wellington</t>
        </is>
      </c>
      <c r="B105" t="inlineStr">
        <is>
          <t>Wellington</t>
        </is>
      </c>
      <c r="C105" t="inlineStr">
        <is>
          <t>New Zealand</t>
        </is>
      </c>
      <c r="D105" t="inlineStr">
        <is>
          <t>Oceania</t>
        </is>
      </c>
      <c r="E105" t="inlineStr">
        <is>
          <t>locked</t>
        </is>
      </c>
      <c r="F105" t="inlineStr">
        <is>
          <t>primary</t>
        </is>
      </c>
      <c r="G105" s="11">
        <f>IF(OR(City_Inputs!$M105="",Norm_Stats!$F$2="",Norm_Stats!$G$2="",Norm_Stats!$G$2=Norm_Stats!$F$2),"",MAX(0,MIN(100,100*(MIN(MAX(City_Inputs!$M105,Norm_Stats!$F$2),Norm_Stats!$G$2)-Norm_Stats!$F$2)/(Norm_Stats!$G$2-Norm_Stats!$F$2))))</f>
        <v/>
      </c>
      <c r="H105" s="14">
        <f>IF(G105="","",1)</f>
        <v/>
      </c>
      <c r="I105" s="11">
        <f>IF(OR(City_Inputs!$N105="",Norm_Stats!$F$3="",Norm_Stats!$G$3="",Norm_Stats!$G$3=Norm_Stats!$F$3),"",MAX(0,MIN(100,100*(Norm_Stats!$G$3-MIN(MAX(City_Inputs!$N105,Norm_Stats!$F$3),Norm_Stats!$G$3))/(Norm_Stats!$G$3-Norm_Stats!$F$3))))</f>
        <v/>
      </c>
      <c r="J105" s="14">
        <f>IF(I105="","",1)</f>
        <v/>
      </c>
      <c r="K105" s="11">
        <f>IF(OR(City_Inputs!$P105="",Norm_Stats!$F$4="",Norm_Stats!$G$4="",Norm_Stats!$G$4=Norm_Stats!$F$4),"",MAX(0,MIN(100,100*(Norm_Stats!$G$4-MIN(MAX(City_Inputs!$P105,Norm_Stats!$F$4),Norm_Stats!$G$4))/(Norm_Stats!$G$4-Norm_Stats!$F$4))))</f>
        <v/>
      </c>
      <c r="L105" s="14">
        <f>IF(K105="","",1)</f>
        <v/>
      </c>
      <c r="M105" s="11">
        <f>IF(OR(City_Inputs!$Q105="",Norm_Stats!$F$5="",Norm_Stats!$G$5="",Norm_Stats!$G$5=Norm_Stats!$F$5),"",MAX(0,MIN(100,100*(Norm_Stats!$G$5-MIN(MAX(City_Inputs!$Q105,Norm_Stats!$F$5),Norm_Stats!$G$5))/(Norm_Stats!$G$5-Norm_Stats!$F$5))))</f>
        <v/>
      </c>
      <c r="N105" s="14">
        <f>IF(M105="","",1)</f>
        <v/>
      </c>
      <c r="O105" s="11">
        <f>IF(OR(City_Inputs!$R105="",Norm_Stats!$F$6="",Norm_Stats!$G$6="",Norm_Stats!$G$6=Norm_Stats!$F$6),"",MAX(0,MIN(100,100*(Norm_Stats!$G$6-MIN(MAX(City_Inputs!$R105,Norm_Stats!$F$6),Norm_Stats!$G$6))/(Norm_Stats!$G$6-Norm_Stats!$F$6))))</f>
        <v/>
      </c>
      <c r="P105" s="14">
        <f>IF(O105="","",1)</f>
        <v/>
      </c>
      <c r="Q105" s="15">
        <f>IF((IF(G105="",0,9)+IF(I105="",0,5)+IF(K105="",0,4)+IF(M105="",0,4)+IF(O105="",0,5))=0,"",(IF(G105="",0,G105*9)+IF(I105="",0,I105*5)+IF(K105="",0,K105*4)+IF(M105="",0,M105*4)+IF(O105="",0,O105*5))/(IF(G105="",0,9)+IF(I105="",0,5)+IF(K105="",0,4)+IF(M105="",0,4)+IF(O105="",0,5)))</f>
        <v/>
      </c>
      <c r="R105" s="14">
        <f>IF((IF(H105="",0,9)+IF(J105="",0,5)+IF(L105="",0,4)+IF(N105="",0,4)+IF(P105="",0,5))=0,"",(IF(H105="",0,H105*9)+IF(J105="",0,J105*5)+IF(L105="",0,L105*4)+IF(N105="",0,N105*4)+IF(P105="",0,P105*5))/27)</f>
        <v/>
      </c>
      <c r="S105" s="11">
        <f>IF(OR(City_Inputs!$S105="",Norm_Stats!$F$7="",Norm_Stats!$G$7="",Norm_Stats!$G$7=Norm_Stats!$F$7),"",MAX(0,MIN(100,100*(Norm_Stats!$G$7-MIN(MAX(City_Inputs!$S105,Norm_Stats!$F$7),Norm_Stats!$G$7))/(Norm_Stats!$G$7-Norm_Stats!$F$7))))</f>
        <v/>
      </c>
      <c r="T105" s="14">
        <f>IF(S105="","",1)</f>
        <v/>
      </c>
      <c r="U105" s="11">
        <f>IF(OR(City_Inputs!$T105="",Norm_Stats!$F$8="",Norm_Stats!$G$8="",Norm_Stats!$G$8=Norm_Stats!$F$8),"",MAX(0,MIN(100,100*(MIN(MAX(City_Inputs!$T105,Norm_Stats!$F$8),Norm_Stats!$G$8)-Norm_Stats!$F$8)/(Norm_Stats!$G$8-Norm_Stats!$F$8))))</f>
        <v/>
      </c>
      <c r="V105" s="14">
        <f>IF(U105="","",1)</f>
        <v/>
      </c>
      <c r="W105" s="11">
        <f>IF(OR(City_Inputs!$U105="",Norm_Stats!$F$9="",Norm_Stats!$G$9="",Norm_Stats!$G$9=Norm_Stats!$F$9),"",MAX(0,MIN(100,100*(Norm_Stats!$G$9-MIN(MAX(City_Inputs!$U105,Norm_Stats!$F$9),Norm_Stats!$G$9))/(Norm_Stats!$G$9-Norm_Stats!$F$9))))</f>
        <v/>
      </c>
      <c r="X105" s="14">
        <f>IF(W105="","",1)</f>
        <v/>
      </c>
      <c r="Y105" s="11">
        <f>IF(OR(City_Inputs!$V105="",Norm_Stats!$F$10="",Norm_Stats!$G$10="",Norm_Stats!$G$10=Norm_Stats!$F$10),"",MAX(0,MIN(100,100*(MIN(MAX(City_Inputs!$V105,Norm_Stats!$F$10),Norm_Stats!$G$10)-Norm_Stats!$F$10)/(Norm_Stats!$G$10-Norm_Stats!$F$10))))</f>
        <v/>
      </c>
      <c r="Z105" s="14">
        <f>IF(Y105="","",1)</f>
        <v/>
      </c>
      <c r="AA105" s="11">
        <f>IF(OR(City_Inputs!$W105="",Norm_Stats!$F$11="",Norm_Stats!$G$11="",Norm_Stats!$G$11=Norm_Stats!$F$11),"",MAX(0,MIN(100,100*(MIN(MAX(City_Inputs!$W105,Norm_Stats!$F$11),Norm_Stats!$G$11)-Norm_Stats!$F$11)/(Norm_Stats!$G$11-Norm_Stats!$F$11))))</f>
        <v/>
      </c>
      <c r="AB105" s="14">
        <f>IF(AA105="","",1)</f>
        <v/>
      </c>
      <c r="AC105" s="11">
        <f>IF(OR(City_Inputs!$X105="",Norm_Stats!$F$12="",Norm_Stats!$G$12="",Norm_Stats!$G$12=Norm_Stats!$F$12),"",MAX(0,MIN(100,100*(MIN(MAX(City_Inputs!$X105,Norm_Stats!$F$12),Norm_Stats!$G$12)-Norm_Stats!$F$12)/(Norm_Stats!$G$12-Norm_Stats!$F$12))))</f>
        <v/>
      </c>
      <c r="AD105" s="11">
        <f>IF(AC105="","",1)</f>
        <v/>
      </c>
      <c r="AE105" s="15">
        <f>IF((IF(S105="",0,5)+IF(U105="",0,5)+IF(W105="",0,4)+IF(Y105="",0,4)+IF(AA105="",0,4)+IF(AC105="",0,5))=0,"",(IF(S105="",0,S105*5)+IF(U105="",0,U105*5)+IF(W105="",0,W105*4)+IF(Y105="",0,Y105*4)+IF(AA105="",0,AA105*4)+IF(AC105="",0,AC105*5))/(IF(S105="",0,5)+IF(U105="",0,5)+IF(W105="",0,4)+IF(Y105="",0,4)+IF(AA105="",0,4)+IF(AC105="",0,5)))</f>
        <v/>
      </c>
      <c r="AF105" s="14">
        <f>IF((IF(T105="",0,5)+IF(V105="",0,5)+IF(X105="",0,4)+IF(Z105="",0,4)+IF(AB105="",0,4)+IF(AD105="",0,5))=0,"",(IF(T105="",0,T105*5)+IF(V105="",0,V105*5)+IF(X105="",0,X105*4)+IF(Z105="",0,Z105*4)+IF(AB105="",0,AB105*4)+IF(AD105="",0,AD105*5))/27)</f>
        <v/>
      </c>
      <c r="AG105" s="11">
        <f>IF(OR(City_Inputs!$Y105="",Norm_Stats!$F$13="",Norm_Stats!$G$13="",Norm_Stats!$G$13=Norm_Stats!$F$13),"",MAX(0,MIN(100,100*(MIN(MAX(City_Inputs!$Y105,Norm_Stats!$F$13),Norm_Stats!$G$13)-Norm_Stats!$F$13)/(Norm_Stats!$G$13-Norm_Stats!$F$13))))</f>
        <v/>
      </c>
      <c r="AH105" s="14">
        <f>IF(AG105="","",1)</f>
        <v/>
      </c>
      <c r="AI105" s="11">
        <f>IF(OR(City_Inputs!$Z105="",Norm_Stats!$F$14="",Norm_Stats!$G$14="",Norm_Stats!$G$14=Norm_Stats!$F$14),"",MAX(0,MIN(100,100*(MIN(MAX(City_Inputs!$Z105,Norm_Stats!$F$14),Norm_Stats!$G$14)-Norm_Stats!$F$14)/(Norm_Stats!$G$14-Norm_Stats!$F$14))))</f>
        <v/>
      </c>
      <c r="AJ105" s="14">
        <f>IF(AI105="","",1)</f>
        <v/>
      </c>
      <c r="AK105" s="11">
        <f>IF((IF((IF(OR(City_Inputs!$AA105="",Norm_Stats!$F$15="",Norm_Stats!$G$15="",Norm_Stats!$G$15=Norm_Stats!$F$15),"",MAX(0,MIN(100,100*(MIN(MAX(City_Inputs!$AA105,Norm_Stats!$F$15),Norm_Stats!$G$15)-Norm_Stats!$F$15)/(Norm_Stats!$G$15-Norm_Stats!$F$15)))))="",0,0.7)+IF((IF(OR(City_Inputs!$AL105="",Norm_Stats!$F$16="",Norm_Stats!$G$16="",Norm_Stats!$G$16=Norm_Stats!$F$16),"",MAX(0,MIN(100,100*(Norm_Stats!$G$16-MIN(MAX(City_Inputs!$AL105,Norm_Stats!$F$16),Norm_Stats!$G$16))/(Norm_Stats!$G$16-Norm_Stats!$F$16)))))="",0,0.3))=0,"",(IF((IF(OR(City_Inputs!$AA105="",Norm_Stats!$F$15="",Norm_Stats!$G$15="",Norm_Stats!$G$15=Norm_Stats!$F$15),"",MAX(0,MIN(100,100*(MIN(MAX(City_Inputs!$AA105,Norm_Stats!$F$15),Norm_Stats!$G$15)-Norm_Stats!$F$15)/(Norm_Stats!$G$15-Norm_Stats!$F$15)))))="",0,(IF(OR(City_Inputs!$AA105="",Norm_Stats!$F$15="",Norm_Stats!$G$15="",Norm_Stats!$G$15=Norm_Stats!$F$15),"",MAX(0,MIN(100,100*(MIN(MAX(City_Inputs!$AA105,Norm_Stats!$F$15),Norm_Stats!$G$15)-Norm_Stats!$F$15)/(Norm_Stats!$G$15-Norm_Stats!$F$15)))))*0.7)+IF((IF(OR(City_Inputs!$AL105="",Norm_Stats!$F$16="",Norm_Stats!$G$16="",Norm_Stats!$G$16=Norm_Stats!$F$16),"",MAX(0,MIN(100,100*(Norm_Stats!$G$16-MIN(MAX(City_Inputs!$AL105,Norm_Stats!$F$16),Norm_Stats!$G$16))/(Norm_Stats!$G$16-Norm_Stats!$F$16)))))="",0,(IF(OR(City_Inputs!$AL105="",Norm_Stats!$F$16="",Norm_Stats!$G$16="",Norm_Stats!$G$16=Norm_Stats!$F$16),"",MAX(0,MIN(100,100*(Norm_Stats!$G$16-MIN(MAX(City_Inputs!$AL105,Norm_Stats!$F$16),Norm_Stats!$G$16))/(Norm_Stats!$G$16-Norm_Stats!$F$16)))))*0.3))/(IF((IF(OR(City_Inputs!$AA105="",Norm_Stats!$F$15="",Norm_Stats!$G$15="",Norm_Stats!$G$15=Norm_Stats!$F$15),"",MAX(0,MIN(100,100*(MIN(MAX(City_Inputs!$AA105,Norm_Stats!$F$15),Norm_Stats!$G$15)-Norm_Stats!$F$15)/(Norm_Stats!$G$15-Norm_Stats!$F$15)))))="",0,0.7)+IF((IF(OR(City_Inputs!$AL105="",Norm_Stats!$F$16="",Norm_Stats!$G$16="",Norm_Stats!$G$16=Norm_Stats!$F$16),"",MAX(0,MIN(100,100*(Norm_Stats!$G$16-MIN(MAX(City_Inputs!$AL105,Norm_Stats!$F$16),Norm_Stats!$G$16))/(Norm_Stats!$G$16-Norm_Stats!$F$16)))))="",0,0.3)))</f>
        <v/>
      </c>
      <c r="AL105" s="14">
        <f>IF((IF((IF(OR(City_Inputs!$AA105="",Norm_Stats!$F$15="",Norm_Stats!$G$15="",Norm_Stats!$G$15=Norm_Stats!$F$15),"",MAX(0,MIN(100,100*(MIN(MAX(City_Inputs!$AA105,Norm_Stats!$F$15),Norm_Stats!$G$15)-Norm_Stats!$F$15)/(Norm_Stats!$G$15-Norm_Stats!$F$15)))))="",0,0.7)+IF((IF(OR(City_Inputs!$AL105="",Norm_Stats!$F$16="",Norm_Stats!$G$16="",Norm_Stats!$G$16=Norm_Stats!$F$16),"",MAX(0,MIN(100,100*(Norm_Stats!$G$16-MIN(MAX(City_Inputs!$AL105,Norm_Stats!$F$16),Norm_Stats!$G$16))/(Norm_Stats!$G$16-Norm_Stats!$F$16)))))="",0,0.3))=0,"",(IF((IF(OR(City_Inputs!$AA105="",Norm_Stats!$F$15="",Norm_Stats!$G$15="",Norm_Stats!$G$15=Norm_Stats!$F$15),"",MAX(0,MIN(100,100*(MIN(MAX(City_Inputs!$AA105,Norm_Stats!$F$15),Norm_Stats!$G$15)-Norm_Stats!$F$15)/(Norm_Stats!$G$15-Norm_Stats!$F$15)))))="",0,0.7)+IF((IF(OR(City_Inputs!$AL105="",Norm_Stats!$F$16="",Norm_Stats!$G$16="",Norm_Stats!$G$16=Norm_Stats!$F$16),"",MAX(0,MIN(100,100*(Norm_Stats!$G$16-MIN(MAX(City_Inputs!$AL105,Norm_Stats!$F$16),Norm_Stats!$G$16))/(Norm_Stats!$G$16-Norm_Stats!$F$16)))))="",0,0.3)))</f>
        <v/>
      </c>
      <c r="AM105" s="15">
        <f>IF((IF(AG105="",0,8)+IF(AI105="",0,6)+IF(AK105="",0,4))=0,"",(IF(AG105="",0,AG105*8)+IF(AI105="",0,AI105*6)+IF(AK105="",0,AK105*4))/(IF(AG105="",0,8)+IF(AI105="",0,6)+IF(AK105="",0,4)))</f>
        <v/>
      </c>
      <c r="AN105" s="14">
        <f>IF((IF(AH105="",0,8)+IF(AJ105="",0,6)+IF(AL105="",0,4))=0,"",(IF(AH105="",0,AH105*8)+IF(AJ105="",0,AJ105*6)+IF(AL105="",0,AL105*4))/18)</f>
        <v/>
      </c>
      <c r="AO105" s="11">
        <f>IF(OR(City_Inputs!$AB105="",Norm_Stats!$F$17="",Norm_Stats!$G$17="",Norm_Stats!$G$17=Norm_Stats!$F$17),"",MAX(0,MIN(100,100*(MIN(MAX(City_Inputs!$AB105,Norm_Stats!$F$17),Norm_Stats!$G$17)-Norm_Stats!$F$17)/(Norm_Stats!$G$17-Norm_Stats!$F$17))))</f>
        <v/>
      </c>
      <c r="AP105" s="14">
        <f>IF(AO105="","",1)</f>
        <v/>
      </c>
      <c r="AQ105" s="11">
        <f>IF(OR(City_Inputs!$AC105="",Norm_Stats!$F$18="",Norm_Stats!$G$18="",Norm_Stats!$G$18=Norm_Stats!$F$18),"",MAX(0,MIN(100,100*(MIN(MAX(City_Inputs!$AC105,Norm_Stats!$F$18),Norm_Stats!$G$18)-Norm_Stats!$F$18)/(Norm_Stats!$G$18-Norm_Stats!$F$18))))</f>
        <v/>
      </c>
      <c r="AR105" s="14">
        <f>IF(AQ105="","",1)</f>
        <v/>
      </c>
      <c r="AS105" s="11">
        <f>IF(OR(City_Inputs!$AD105="",Norm_Stats!$F$19="",Norm_Stats!$G$19="",Norm_Stats!$G$19=Norm_Stats!$F$19),"",MAX(0,MIN(100,100*(MIN(MAX(City_Inputs!$AD105,Norm_Stats!$F$19),Norm_Stats!$G$19)-Norm_Stats!$F$19)/(Norm_Stats!$G$19-Norm_Stats!$F$19))))</f>
        <v/>
      </c>
      <c r="AT105" s="14">
        <f>IF(AS105="","",1)</f>
        <v/>
      </c>
      <c r="AU105" s="11">
        <f>IF(OR(City_Inputs!$BJ105="",Norm_Stats!$F$26="",Norm_Stats!$G$26="",Norm_Stats!$G$26=Norm_Stats!$F$26),"",MAX(0,MIN(100,100*(MIN(MAX(City_Inputs!$BJ105,Norm_Stats!$F$26),Norm_Stats!$G$26)-Norm_Stats!$F$26)/(Norm_Stats!$G$26-Norm_Stats!$F$26))))</f>
        <v/>
      </c>
      <c r="AV105" s="11">
        <f>IF(AU105="","",1)</f>
        <v/>
      </c>
      <c r="AW105" s="15">
        <f>IF((IF(AO105="",0,5)+IF(AQ105="",0,5)+IF(AS105="",0,5)+IF(AU105="",0,4))=0,"",(IF(AO105="",0,AO105*5)+IF(AQ105="",0,AQ105*5)+IF(AS105="",0,AS105*5)+IF(AU105="",0,AU105*4))/(IF(AO105="",0,5)+IF(AQ105="",0,5)+IF(AS105="",0,5)+IF(AU105="",0,4)))</f>
        <v/>
      </c>
      <c r="AX105" s="14">
        <f>IF((IF(AP105="",0,5)+IF(AR105="",0,5)+IF(AT105="",0,5)+IF(AV105="",0,4))=0,"",(IF(AP105="",0,AP105*5)+IF(AR105="",0,AR105*5)+IF(AT105="",0,AT105*5)+IF(AV105="",0,AV105*4))/19)</f>
        <v/>
      </c>
      <c r="AY105" s="11">
        <f>IF(OR(City_Inputs!$AE105="",Norm_Stats!$F$20="",Norm_Stats!$G$20="",Norm_Stats!$G$20=Norm_Stats!$F$20),"",MAX(0,MIN(100,100*(MIN(MAX(City_Inputs!$AE105,Norm_Stats!$F$20),Norm_Stats!$G$20)-Norm_Stats!$F$20)/(Norm_Stats!$G$20-Norm_Stats!$F$20))))</f>
        <v/>
      </c>
      <c r="AZ105" s="14">
        <f>IF(AY105="","",1)</f>
        <v/>
      </c>
      <c r="BA105" s="11">
        <f>IF(OR(City_Inputs!$AF105="",Norm_Stats!$F$21="",Norm_Stats!$G$21="",Norm_Stats!$G$21=Norm_Stats!$F$21),"",MAX(0,MIN(100,100*(MIN(MAX(City_Inputs!$AF105,Norm_Stats!$F$21),Norm_Stats!$G$21)-Norm_Stats!$F$21)/(Norm_Stats!$G$21-Norm_Stats!$F$21))))</f>
        <v/>
      </c>
      <c r="BB105" s="14">
        <f>IF(BA105="","",1)</f>
        <v/>
      </c>
      <c r="BC105" s="11">
        <f>IF((IF((IF(OR(City_Inputs!$AG105="",Norm_Stats!$F$22="",Norm_Stats!$G$22="",Norm_Stats!$G$22=Norm_Stats!$F$22),"",MAX(0,MIN(100,100*(MIN(MAX(City_Inputs!$AG105,Norm_Stats!$F$22),Norm_Stats!$G$22)-Norm_Stats!$F$22)/(Norm_Stats!$G$22-Norm_Stats!$F$22)))))="",0,0.5)+IF((IF(OR(City_Inputs!$AJ105="",Norm_Stats!$F$23="",Norm_Stats!$G$23="",Norm_Stats!$G$23=Norm_Stats!$F$23),"",MAX(0,MIN(100,100*(MIN(MAX(City_Inputs!$AJ105,Norm_Stats!$F$23),Norm_Stats!$G$23)-Norm_Stats!$F$23)/(Norm_Stats!$G$23-Norm_Stats!$F$23)))))="",0,0.3)+IF((IF(OR(City_Inputs!$AK105="",Norm_Stats!$F$24="",Norm_Stats!$G$24="",Norm_Stats!$G$24=Norm_Stats!$F$24),"",MAX(0,MIN(100,100*(MIN(MAX(City_Inputs!$AK105,Norm_Stats!$F$24),Norm_Stats!$G$24)-Norm_Stats!$F$24)/(Norm_Stats!$G$24-Norm_Stats!$F$24)))))="",0,0.2))=0,"",(IF((IF(OR(City_Inputs!$AG105="",Norm_Stats!$F$22="",Norm_Stats!$G$22="",Norm_Stats!$G$22=Norm_Stats!$F$22),"",MAX(0,MIN(100,100*(MIN(MAX(City_Inputs!$AG105,Norm_Stats!$F$22),Norm_Stats!$G$22)-Norm_Stats!$F$22)/(Norm_Stats!$G$22-Norm_Stats!$F$22)))))="",0,(IF(OR(City_Inputs!$AG105="",Norm_Stats!$F$22="",Norm_Stats!$G$22="",Norm_Stats!$G$22=Norm_Stats!$F$22),"",MAX(0,MIN(100,100*(MIN(MAX(City_Inputs!$AG105,Norm_Stats!$F$22),Norm_Stats!$G$22)-Norm_Stats!$F$22)/(Norm_Stats!$G$22-Norm_Stats!$F$22)))))*0.5)+IF((IF(OR(City_Inputs!$AJ105="",Norm_Stats!$F$23="",Norm_Stats!$G$23="",Norm_Stats!$G$23=Norm_Stats!$F$23),"",MAX(0,MIN(100,100*(MIN(MAX(City_Inputs!$AJ105,Norm_Stats!$F$23),Norm_Stats!$G$23)-Norm_Stats!$F$23)/(Norm_Stats!$G$23-Norm_Stats!$F$23)))))="",0,(IF(OR(City_Inputs!$AJ105="",Norm_Stats!$F$23="",Norm_Stats!$G$23="",Norm_Stats!$G$23=Norm_Stats!$F$23),"",MAX(0,MIN(100,100*(MIN(MAX(City_Inputs!$AJ105,Norm_Stats!$F$23),Norm_Stats!$G$23)-Norm_Stats!$F$23)/(Norm_Stats!$G$23-Norm_Stats!$F$23)))))*0.3)+IF((IF(OR(City_Inputs!$AK105="",Norm_Stats!$F$24="",Norm_Stats!$G$24="",Norm_Stats!$G$24=Norm_Stats!$F$24),"",MAX(0,MIN(100,100*(MIN(MAX(City_Inputs!$AK105,Norm_Stats!$F$24),Norm_Stats!$G$24)-Norm_Stats!$F$24)/(Norm_Stats!$G$24-Norm_Stats!$F$24)))))="",0,(IF(OR(City_Inputs!$AK105="",Norm_Stats!$F$24="",Norm_Stats!$G$24="",Norm_Stats!$G$24=Norm_Stats!$F$24),"",MAX(0,MIN(100,100*(MIN(MAX(City_Inputs!$AK105,Norm_Stats!$F$24),Norm_Stats!$G$24)-Norm_Stats!$F$24)/(Norm_Stats!$G$24-Norm_Stats!$F$24)))))*0.2))/(IF((IF(OR(City_Inputs!$AG105="",Norm_Stats!$F$22="",Norm_Stats!$G$22="",Norm_Stats!$G$22=Norm_Stats!$F$22),"",MAX(0,MIN(100,100*(MIN(MAX(City_Inputs!$AG105,Norm_Stats!$F$22),Norm_Stats!$G$22)-Norm_Stats!$F$22)/(Norm_Stats!$G$22-Norm_Stats!$F$22)))))="",0,0.5)+IF((IF(OR(City_Inputs!$AJ105="",Norm_Stats!$F$23="",Norm_Stats!$G$23="",Norm_Stats!$G$23=Norm_Stats!$F$23),"",MAX(0,MIN(100,100*(MIN(MAX(City_Inputs!$AJ105,Norm_Stats!$F$23),Norm_Stats!$G$23)-Norm_Stats!$F$23)/(Norm_Stats!$G$23-Norm_Stats!$F$23)))))="",0,0.3)+IF((IF(OR(City_Inputs!$AK105="",Norm_Stats!$F$24="",Norm_Stats!$G$24="",Norm_Stats!$G$24=Norm_Stats!$F$24),"",MAX(0,MIN(100,100*(MIN(MAX(City_Inputs!$AK105,Norm_Stats!$F$24),Norm_Stats!$G$24)-Norm_Stats!$F$24)/(Norm_Stats!$G$24-Norm_Stats!$F$24)))))="",0,0.2)))</f>
        <v/>
      </c>
      <c r="BD105" s="14">
        <f>IF((IF((IF(OR(City_Inputs!$AG105="",Norm_Stats!$F$22="",Norm_Stats!$G$22="",Norm_Stats!$G$22=Norm_Stats!$F$22),"",MAX(0,MIN(100,100*(MIN(MAX(City_Inputs!$AG105,Norm_Stats!$F$22),Norm_Stats!$G$22)-Norm_Stats!$F$22)/(Norm_Stats!$G$22-Norm_Stats!$F$22)))))="",0,0.5)+IF((IF(OR(City_Inputs!$AJ105="",Norm_Stats!$F$23="",Norm_Stats!$G$23="",Norm_Stats!$G$23=Norm_Stats!$F$23),"",MAX(0,MIN(100,100*(MIN(MAX(City_Inputs!$AJ105,Norm_Stats!$F$23),Norm_Stats!$G$23)-Norm_Stats!$F$23)/(Norm_Stats!$G$23-Norm_Stats!$F$23)))))="",0,0.3)+IF((IF(OR(City_Inputs!$AK105="",Norm_Stats!$F$24="",Norm_Stats!$G$24="",Norm_Stats!$G$24=Norm_Stats!$F$24),"",MAX(0,MIN(100,100*(MIN(MAX(City_Inputs!$AK105,Norm_Stats!$F$24),Norm_Stats!$G$24)-Norm_Stats!$F$24)/(Norm_Stats!$G$24-Norm_Stats!$F$24)))))="",0,0.2))=0,"",(IF((IF(OR(City_Inputs!$AG105="",Norm_Stats!$F$22="",Norm_Stats!$G$22="",Norm_Stats!$G$22=Norm_Stats!$F$22),"",MAX(0,MIN(100,100*(MIN(MAX(City_Inputs!$AG105,Norm_Stats!$F$22),Norm_Stats!$G$22)-Norm_Stats!$F$22)/(Norm_Stats!$G$22-Norm_Stats!$F$22)))))="",0,0.5)+IF((IF(OR(City_Inputs!$AJ105="",Norm_Stats!$F$23="",Norm_Stats!$G$23="",Norm_Stats!$G$23=Norm_Stats!$F$23),"",MAX(0,MIN(100,100*(MIN(MAX(City_Inputs!$AJ105,Norm_Stats!$F$23),Norm_Stats!$G$23)-Norm_Stats!$F$23)/(Norm_Stats!$G$23-Norm_Stats!$F$23)))))="",0,0.3)+IF((IF(OR(City_Inputs!$AK105="",Norm_Stats!$F$24="",Norm_Stats!$G$24="",Norm_Stats!$G$24=Norm_Stats!$F$24),"",MAX(0,MIN(100,100*(MIN(MAX(City_Inputs!$AK105,Norm_Stats!$F$24),Norm_Stats!$G$24)-Norm_Stats!$F$24)/(Norm_Stats!$G$24-Norm_Stats!$F$24)))))="",0,0.2)))</f>
        <v/>
      </c>
      <c r="BE105" s="11">
        <f>IF(OR(City_Inputs!$AH105="",Norm_Stats!$F$25="",Norm_Stats!$G$25="",Norm_Stats!$G$25=Norm_Stats!$F$25),"",MAX(0,MIN(100,100*(Norm_Stats!$G$25-MIN(MAX(City_Inputs!$AH105,Norm_Stats!$F$25),Norm_Stats!$G$25))/(Norm_Stats!$G$25-Norm_Stats!$F$25))))</f>
        <v/>
      </c>
      <c r="BF105" s="14">
        <f>IF(BE105="","",1)</f>
        <v/>
      </c>
      <c r="BG105" s="15">
        <f>IF((IF(AY105="",0,6)+IF(BA105="",0,5)+IF(BC105="",0,5)+IF(BE105="",0,4))=0,"",(IF(AY105="",0,AY105*6)+IF(BA105="",0,BA105*5)+IF(BC105="",0,BC105*5)+IF(BE105="",0,BE105*4))/(IF(AY105="",0,6)+IF(BA105="",0,5)+IF(BC105="",0,5)+IF(BE105="",0,4)))</f>
        <v/>
      </c>
      <c r="BH105" s="14">
        <f>IF((IF(AZ105="",0,6)+IF(BB105="",0,5)+IF(BD105="",0,5)+IF(BF105="",0,4))=0,"",(IF(AZ105="",0,AZ105*6)+IF(BB105="",0,BB105*5)+IF(BD105="",0,BD105*5)+IF(BF105="",0,BF105*4))/20)</f>
        <v/>
      </c>
      <c r="BI105" s="14">
        <f>IF(AND(R105="",AF105="",AN105="",AX105="",BH105=""),"",((R105*25)+(AF105*22)+(AN105*18)+(AX105*15)+(BH105*20))/100)</f>
        <v/>
      </c>
      <c r="BJ105" s="11">
        <f>IF(BI105="","",IF(BI105&gt;=0.75,"A",IF(BI105&gt;=0.5,"B",IF(BI105&gt;=0.35,"C","Watchlist"))))</f>
        <v/>
      </c>
      <c r="BK105" s="11">
        <f>IF(OR(BI105="",BI105&lt;0.5,R105="",R105&lt;0.35,AF105="",AF105&lt;0.35,AN105="",AN105&lt;0.35,AX105="",AX105&lt;0.35,BH105="",BH105&lt;0.35),"Watchlist","Ranked")</f>
        <v/>
      </c>
      <c r="BL105" s="15">
        <f>IF(AND(Q105="",AE105="",AM105="",AW105="",BG105=""),"",(IF(Q105="",0,Q105*25)+IF(AE105="",0,AE105*22)+IF(AM105="",0,AM105*18)+IF(AW105="",0,AW105*15)+IF(BG105="",0,BG105*20))/(IF(Q105="",0,25)+IF(AE105="",0,22)+IF(AM105="",0,18)+IF(AW105="",0,15)+IF(BG105="",0,20)))</f>
        <v/>
      </c>
      <c r="BM105" s="11">
        <f>IF(BK105="Ranked",1+COUNTIFS($BK$2:$BK$158,"Ranked",$BL$2:$BL$158,"&gt;"&amp;BL105),"")</f>
        <v/>
      </c>
      <c r="BN105" s="11">
        <f>City_Inputs!$AI105</f>
        <v/>
      </c>
    </row>
    <row r="106">
      <c r="A106" t="inlineStr">
        <is>
          <t>au-perth</t>
        </is>
      </c>
      <c r="B106" t="inlineStr">
        <is>
          <t>Perth</t>
        </is>
      </c>
      <c r="C106" t="inlineStr">
        <is>
          <t>Australia</t>
        </is>
      </c>
      <c r="D106" t="inlineStr">
        <is>
          <t>Oceania</t>
        </is>
      </c>
      <c r="E106" t="inlineStr">
        <is>
          <t>locked</t>
        </is>
      </c>
      <c r="F106" t="inlineStr">
        <is>
          <t>secondary</t>
        </is>
      </c>
      <c r="G106" s="11">
        <f>IF(OR(City_Inputs!$M106="",Norm_Stats!$F$2="",Norm_Stats!$G$2="",Norm_Stats!$G$2=Norm_Stats!$F$2),"",MAX(0,MIN(100,100*(MIN(MAX(City_Inputs!$M106,Norm_Stats!$F$2),Norm_Stats!$G$2)-Norm_Stats!$F$2)/(Norm_Stats!$G$2-Norm_Stats!$F$2))))</f>
        <v/>
      </c>
      <c r="H106" s="14">
        <f>IF(G106="","",1)</f>
        <v/>
      </c>
      <c r="I106" s="11">
        <f>IF(OR(City_Inputs!$N106="",Norm_Stats!$F$3="",Norm_Stats!$G$3="",Norm_Stats!$G$3=Norm_Stats!$F$3),"",MAX(0,MIN(100,100*(Norm_Stats!$G$3-MIN(MAX(City_Inputs!$N106,Norm_Stats!$F$3),Norm_Stats!$G$3))/(Norm_Stats!$G$3-Norm_Stats!$F$3))))</f>
        <v/>
      </c>
      <c r="J106" s="14">
        <f>IF(I106="","",1)</f>
        <v/>
      </c>
      <c r="K106" s="11">
        <f>IF(OR(City_Inputs!$P106="",Norm_Stats!$F$4="",Norm_Stats!$G$4="",Norm_Stats!$G$4=Norm_Stats!$F$4),"",MAX(0,MIN(100,100*(Norm_Stats!$G$4-MIN(MAX(City_Inputs!$P106,Norm_Stats!$F$4),Norm_Stats!$G$4))/(Norm_Stats!$G$4-Norm_Stats!$F$4))))</f>
        <v/>
      </c>
      <c r="L106" s="14">
        <f>IF(K106="","",1)</f>
        <v/>
      </c>
      <c r="M106" s="11">
        <f>IF(OR(City_Inputs!$Q106="",Norm_Stats!$F$5="",Norm_Stats!$G$5="",Norm_Stats!$G$5=Norm_Stats!$F$5),"",MAX(0,MIN(100,100*(Norm_Stats!$G$5-MIN(MAX(City_Inputs!$Q106,Norm_Stats!$F$5),Norm_Stats!$G$5))/(Norm_Stats!$G$5-Norm_Stats!$F$5))))</f>
        <v/>
      </c>
      <c r="N106" s="14">
        <f>IF(M106="","",1)</f>
        <v/>
      </c>
      <c r="O106" s="11">
        <f>IF(OR(City_Inputs!$R106="",Norm_Stats!$F$6="",Norm_Stats!$G$6="",Norm_Stats!$G$6=Norm_Stats!$F$6),"",MAX(0,MIN(100,100*(Norm_Stats!$G$6-MIN(MAX(City_Inputs!$R106,Norm_Stats!$F$6),Norm_Stats!$G$6))/(Norm_Stats!$G$6-Norm_Stats!$F$6))))</f>
        <v/>
      </c>
      <c r="P106" s="14">
        <f>IF(O106="","",1)</f>
        <v/>
      </c>
      <c r="Q106" s="15">
        <f>IF((IF(G106="",0,9)+IF(I106="",0,5)+IF(K106="",0,4)+IF(M106="",0,4)+IF(O106="",0,5))=0,"",(IF(G106="",0,G106*9)+IF(I106="",0,I106*5)+IF(K106="",0,K106*4)+IF(M106="",0,M106*4)+IF(O106="",0,O106*5))/(IF(G106="",0,9)+IF(I106="",0,5)+IF(K106="",0,4)+IF(M106="",0,4)+IF(O106="",0,5)))</f>
        <v/>
      </c>
      <c r="R106" s="14">
        <f>IF((IF(H106="",0,9)+IF(J106="",0,5)+IF(L106="",0,4)+IF(N106="",0,4)+IF(P106="",0,5))=0,"",(IF(H106="",0,H106*9)+IF(J106="",0,J106*5)+IF(L106="",0,L106*4)+IF(N106="",0,N106*4)+IF(P106="",0,P106*5))/27)</f>
        <v/>
      </c>
      <c r="S106" s="11">
        <f>IF(OR(City_Inputs!$S106="",Norm_Stats!$F$7="",Norm_Stats!$G$7="",Norm_Stats!$G$7=Norm_Stats!$F$7),"",MAX(0,MIN(100,100*(Norm_Stats!$G$7-MIN(MAX(City_Inputs!$S106,Norm_Stats!$F$7),Norm_Stats!$G$7))/(Norm_Stats!$G$7-Norm_Stats!$F$7))))</f>
        <v/>
      </c>
      <c r="T106" s="14">
        <f>IF(S106="","",1)</f>
        <v/>
      </c>
      <c r="U106" s="11">
        <f>IF(OR(City_Inputs!$T106="",Norm_Stats!$F$8="",Norm_Stats!$G$8="",Norm_Stats!$G$8=Norm_Stats!$F$8),"",MAX(0,MIN(100,100*(MIN(MAX(City_Inputs!$T106,Norm_Stats!$F$8),Norm_Stats!$G$8)-Norm_Stats!$F$8)/(Norm_Stats!$G$8-Norm_Stats!$F$8))))</f>
        <v/>
      </c>
      <c r="V106" s="14">
        <f>IF(U106="","",1)</f>
        <v/>
      </c>
      <c r="W106" s="11">
        <f>IF(OR(City_Inputs!$U106="",Norm_Stats!$F$9="",Norm_Stats!$G$9="",Norm_Stats!$G$9=Norm_Stats!$F$9),"",MAX(0,MIN(100,100*(Norm_Stats!$G$9-MIN(MAX(City_Inputs!$U106,Norm_Stats!$F$9),Norm_Stats!$G$9))/(Norm_Stats!$G$9-Norm_Stats!$F$9))))</f>
        <v/>
      </c>
      <c r="X106" s="14">
        <f>IF(W106="","",1)</f>
        <v/>
      </c>
      <c r="Y106" s="11">
        <f>IF(OR(City_Inputs!$V106="",Norm_Stats!$F$10="",Norm_Stats!$G$10="",Norm_Stats!$G$10=Norm_Stats!$F$10),"",MAX(0,MIN(100,100*(MIN(MAX(City_Inputs!$V106,Norm_Stats!$F$10),Norm_Stats!$G$10)-Norm_Stats!$F$10)/(Norm_Stats!$G$10-Norm_Stats!$F$10))))</f>
        <v/>
      </c>
      <c r="Z106" s="14">
        <f>IF(Y106="","",1)</f>
        <v/>
      </c>
      <c r="AA106" s="11">
        <f>IF(OR(City_Inputs!$W106="",Norm_Stats!$F$11="",Norm_Stats!$G$11="",Norm_Stats!$G$11=Norm_Stats!$F$11),"",MAX(0,MIN(100,100*(MIN(MAX(City_Inputs!$W106,Norm_Stats!$F$11),Norm_Stats!$G$11)-Norm_Stats!$F$11)/(Norm_Stats!$G$11-Norm_Stats!$F$11))))</f>
        <v/>
      </c>
      <c r="AB106" s="14">
        <f>IF(AA106="","",1)</f>
        <v/>
      </c>
      <c r="AC106" s="11">
        <f>IF(OR(City_Inputs!$X106="",Norm_Stats!$F$12="",Norm_Stats!$G$12="",Norm_Stats!$G$12=Norm_Stats!$F$12),"",MAX(0,MIN(100,100*(MIN(MAX(City_Inputs!$X106,Norm_Stats!$F$12),Norm_Stats!$G$12)-Norm_Stats!$F$12)/(Norm_Stats!$G$12-Norm_Stats!$F$12))))</f>
        <v/>
      </c>
      <c r="AD106" s="11">
        <f>IF(AC106="","",1)</f>
        <v/>
      </c>
      <c r="AE106" s="15">
        <f>IF((IF(S106="",0,5)+IF(U106="",0,5)+IF(W106="",0,4)+IF(Y106="",0,4)+IF(AA106="",0,4)+IF(AC106="",0,5))=0,"",(IF(S106="",0,S106*5)+IF(U106="",0,U106*5)+IF(W106="",0,W106*4)+IF(Y106="",0,Y106*4)+IF(AA106="",0,AA106*4)+IF(AC106="",0,AC106*5))/(IF(S106="",0,5)+IF(U106="",0,5)+IF(W106="",0,4)+IF(Y106="",0,4)+IF(AA106="",0,4)+IF(AC106="",0,5)))</f>
        <v/>
      </c>
      <c r="AF106" s="14">
        <f>IF((IF(T106="",0,5)+IF(V106="",0,5)+IF(X106="",0,4)+IF(Z106="",0,4)+IF(AB106="",0,4)+IF(AD106="",0,5))=0,"",(IF(T106="",0,T106*5)+IF(V106="",0,V106*5)+IF(X106="",0,X106*4)+IF(Z106="",0,Z106*4)+IF(AB106="",0,AB106*4)+IF(AD106="",0,AD106*5))/27)</f>
        <v/>
      </c>
      <c r="AG106" s="11">
        <f>IF(OR(City_Inputs!$Y106="",Norm_Stats!$F$13="",Norm_Stats!$G$13="",Norm_Stats!$G$13=Norm_Stats!$F$13),"",MAX(0,MIN(100,100*(MIN(MAX(City_Inputs!$Y106,Norm_Stats!$F$13),Norm_Stats!$G$13)-Norm_Stats!$F$13)/(Norm_Stats!$G$13-Norm_Stats!$F$13))))</f>
        <v/>
      </c>
      <c r="AH106" s="14">
        <f>IF(AG106="","",1)</f>
        <v/>
      </c>
      <c r="AI106" s="11">
        <f>IF(OR(City_Inputs!$Z106="",Norm_Stats!$F$14="",Norm_Stats!$G$14="",Norm_Stats!$G$14=Norm_Stats!$F$14),"",MAX(0,MIN(100,100*(MIN(MAX(City_Inputs!$Z106,Norm_Stats!$F$14),Norm_Stats!$G$14)-Norm_Stats!$F$14)/(Norm_Stats!$G$14-Norm_Stats!$F$14))))</f>
        <v/>
      </c>
      <c r="AJ106" s="14">
        <f>IF(AI106="","",1)</f>
        <v/>
      </c>
      <c r="AK106" s="11">
        <f>IF((IF((IF(OR(City_Inputs!$AA106="",Norm_Stats!$F$15="",Norm_Stats!$G$15="",Norm_Stats!$G$15=Norm_Stats!$F$15),"",MAX(0,MIN(100,100*(MIN(MAX(City_Inputs!$AA106,Norm_Stats!$F$15),Norm_Stats!$G$15)-Norm_Stats!$F$15)/(Norm_Stats!$G$15-Norm_Stats!$F$15)))))="",0,0.7)+IF((IF(OR(City_Inputs!$AL106="",Norm_Stats!$F$16="",Norm_Stats!$G$16="",Norm_Stats!$G$16=Norm_Stats!$F$16),"",MAX(0,MIN(100,100*(Norm_Stats!$G$16-MIN(MAX(City_Inputs!$AL106,Norm_Stats!$F$16),Norm_Stats!$G$16))/(Norm_Stats!$G$16-Norm_Stats!$F$16)))))="",0,0.3))=0,"",(IF((IF(OR(City_Inputs!$AA106="",Norm_Stats!$F$15="",Norm_Stats!$G$15="",Norm_Stats!$G$15=Norm_Stats!$F$15),"",MAX(0,MIN(100,100*(MIN(MAX(City_Inputs!$AA106,Norm_Stats!$F$15),Norm_Stats!$G$15)-Norm_Stats!$F$15)/(Norm_Stats!$G$15-Norm_Stats!$F$15)))))="",0,(IF(OR(City_Inputs!$AA106="",Norm_Stats!$F$15="",Norm_Stats!$G$15="",Norm_Stats!$G$15=Norm_Stats!$F$15),"",MAX(0,MIN(100,100*(MIN(MAX(City_Inputs!$AA106,Norm_Stats!$F$15),Norm_Stats!$G$15)-Norm_Stats!$F$15)/(Norm_Stats!$G$15-Norm_Stats!$F$15)))))*0.7)+IF((IF(OR(City_Inputs!$AL106="",Norm_Stats!$F$16="",Norm_Stats!$G$16="",Norm_Stats!$G$16=Norm_Stats!$F$16),"",MAX(0,MIN(100,100*(Norm_Stats!$G$16-MIN(MAX(City_Inputs!$AL106,Norm_Stats!$F$16),Norm_Stats!$G$16))/(Norm_Stats!$G$16-Norm_Stats!$F$16)))))="",0,(IF(OR(City_Inputs!$AL106="",Norm_Stats!$F$16="",Norm_Stats!$G$16="",Norm_Stats!$G$16=Norm_Stats!$F$16),"",MAX(0,MIN(100,100*(Norm_Stats!$G$16-MIN(MAX(City_Inputs!$AL106,Norm_Stats!$F$16),Norm_Stats!$G$16))/(Norm_Stats!$G$16-Norm_Stats!$F$16)))))*0.3))/(IF((IF(OR(City_Inputs!$AA106="",Norm_Stats!$F$15="",Norm_Stats!$G$15="",Norm_Stats!$G$15=Norm_Stats!$F$15),"",MAX(0,MIN(100,100*(MIN(MAX(City_Inputs!$AA106,Norm_Stats!$F$15),Norm_Stats!$G$15)-Norm_Stats!$F$15)/(Norm_Stats!$G$15-Norm_Stats!$F$15)))))="",0,0.7)+IF((IF(OR(City_Inputs!$AL106="",Norm_Stats!$F$16="",Norm_Stats!$G$16="",Norm_Stats!$G$16=Norm_Stats!$F$16),"",MAX(0,MIN(100,100*(Norm_Stats!$G$16-MIN(MAX(City_Inputs!$AL106,Norm_Stats!$F$16),Norm_Stats!$G$16))/(Norm_Stats!$G$16-Norm_Stats!$F$16)))))="",0,0.3)))</f>
        <v/>
      </c>
      <c r="AL106" s="14">
        <f>IF((IF((IF(OR(City_Inputs!$AA106="",Norm_Stats!$F$15="",Norm_Stats!$G$15="",Norm_Stats!$G$15=Norm_Stats!$F$15),"",MAX(0,MIN(100,100*(MIN(MAX(City_Inputs!$AA106,Norm_Stats!$F$15),Norm_Stats!$G$15)-Norm_Stats!$F$15)/(Norm_Stats!$G$15-Norm_Stats!$F$15)))))="",0,0.7)+IF((IF(OR(City_Inputs!$AL106="",Norm_Stats!$F$16="",Norm_Stats!$G$16="",Norm_Stats!$G$16=Norm_Stats!$F$16),"",MAX(0,MIN(100,100*(Norm_Stats!$G$16-MIN(MAX(City_Inputs!$AL106,Norm_Stats!$F$16),Norm_Stats!$G$16))/(Norm_Stats!$G$16-Norm_Stats!$F$16)))))="",0,0.3))=0,"",(IF((IF(OR(City_Inputs!$AA106="",Norm_Stats!$F$15="",Norm_Stats!$G$15="",Norm_Stats!$G$15=Norm_Stats!$F$15),"",MAX(0,MIN(100,100*(MIN(MAX(City_Inputs!$AA106,Norm_Stats!$F$15),Norm_Stats!$G$15)-Norm_Stats!$F$15)/(Norm_Stats!$G$15-Norm_Stats!$F$15)))))="",0,0.7)+IF((IF(OR(City_Inputs!$AL106="",Norm_Stats!$F$16="",Norm_Stats!$G$16="",Norm_Stats!$G$16=Norm_Stats!$F$16),"",MAX(0,MIN(100,100*(Norm_Stats!$G$16-MIN(MAX(City_Inputs!$AL106,Norm_Stats!$F$16),Norm_Stats!$G$16))/(Norm_Stats!$G$16-Norm_Stats!$F$16)))))="",0,0.3)))</f>
        <v/>
      </c>
      <c r="AM106" s="15">
        <f>IF((IF(AG106="",0,8)+IF(AI106="",0,6)+IF(AK106="",0,4))=0,"",(IF(AG106="",0,AG106*8)+IF(AI106="",0,AI106*6)+IF(AK106="",0,AK106*4))/(IF(AG106="",0,8)+IF(AI106="",0,6)+IF(AK106="",0,4)))</f>
        <v/>
      </c>
      <c r="AN106" s="14">
        <f>IF((IF(AH106="",0,8)+IF(AJ106="",0,6)+IF(AL106="",0,4))=0,"",(IF(AH106="",0,AH106*8)+IF(AJ106="",0,AJ106*6)+IF(AL106="",0,AL106*4))/18)</f>
        <v/>
      </c>
      <c r="AO106" s="11">
        <f>IF(OR(City_Inputs!$AB106="",Norm_Stats!$F$17="",Norm_Stats!$G$17="",Norm_Stats!$G$17=Norm_Stats!$F$17),"",MAX(0,MIN(100,100*(MIN(MAX(City_Inputs!$AB106,Norm_Stats!$F$17),Norm_Stats!$G$17)-Norm_Stats!$F$17)/(Norm_Stats!$G$17-Norm_Stats!$F$17))))</f>
        <v/>
      </c>
      <c r="AP106" s="14">
        <f>IF(AO106="","",1)</f>
        <v/>
      </c>
      <c r="AQ106" s="11">
        <f>IF(OR(City_Inputs!$AC106="",Norm_Stats!$F$18="",Norm_Stats!$G$18="",Norm_Stats!$G$18=Norm_Stats!$F$18),"",MAX(0,MIN(100,100*(MIN(MAX(City_Inputs!$AC106,Norm_Stats!$F$18),Norm_Stats!$G$18)-Norm_Stats!$F$18)/(Norm_Stats!$G$18-Norm_Stats!$F$18))))</f>
        <v/>
      </c>
      <c r="AR106" s="14">
        <f>IF(AQ106="","",1)</f>
        <v/>
      </c>
      <c r="AS106" s="11">
        <f>IF(OR(City_Inputs!$AD106="",Norm_Stats!$F$19="",Norm_Stats!$G$19="",Norm_Stats!$G$19=Norm_Stats!$F$19),"",MAX(0,MIN(100,100*(MIN(MAX(City_Inputs!$AD106,Norm_Stats!$F$19),Norm_Stats!$G$19)-Norm_Stats!$F$19)/(Norm_Stats!$G$19-Norm_Stats!$F$19))))</f>
        <v/>
      </c>
      <c r="AT106" s="14">
        <f>IF(AS106="","",1)</f>
        <v/>
      </c>
      <c r="AU106" s="11">
        <f>IF(OR(City_Inputs!$BJ106="",Norm_Stats!$F$26="",Norm_Stats!$G$26="",Norm_Stats!$G$26=Norm_Stats!$F$26),"",MAX(0,MIN(100,100*(MIN(MAX(City_Inputs!$BJ106,Norm_Stats!$F$26),Norm_Stats!$G$26)-Norm_Stats!$F$26)/(Norm_Stats!$G$26-Norm_Stats!$F$26))))</f>
        <v/>
      </c>
      <c r="AV106" s="11">
        <f>IF(AU106="","",1)</f>
        <v/>
      </c>
      <c r="AW106" s="15">
        <f>IF((IF(AO106="",0,5)+IF(AQ106="",0,5)+IF(AS106="",0,5)+IF(AU106="",0,4))=0,"",(IF(AO106="",0,AO106*5)+IF(AQ106="",0,AQ106*5)+IF(AS106="",0,AS106*5)+IF(AU106="",0,AU106*4))/(IF(AO106="",0,5)+IF(AQ106="",0,5)+IF(AS106="",0,5)+IF(AU106="",0,4)))</f>
        <v/>
      </c>
      <c r="AX106" s="14">
        <f>IF((IF(AP106="",0,5)+IF(AR106="",0,5)+IF(AT106="",0,5)+IF(AV106="",0,4))=0,"",(IF(AP106="",0,AP106*5)+IF(AR106="",0,AR106*5)+IF(AT106="",0,AT106*5)+IF(AV106="",0,AV106*4))/19)</f>
        <v/>
      </c>
      <c r="AY106" s="11">
        <f>IF(OR(City_Inputs!$AE106="",Norm_Stats!$F$20="",Norm_Stats!$G$20="",Norm_Stats!$G$20=Norm_Stats!$F$20),"",MAX(0,MIN(100,100*(MIN(MAX(City_Inputs!$AE106,Norm_Stats!$F$20),Norm_Stats!$G$20)-Norm_Stats!$F$20)/(Norm_Stats!$G$20-Norm_Stats!$F$20))))</f>
        <v/>
      </c>
      <c r="AZ106" s="14">
        <f>IF(AY106="","",1)</f>
        <v/>
      </c>
      <c r="BA106" s="11">
        <f>IF(OR(City_Inputs!$AF106="",Norm_Stats!$F$21="",Norm_Stats!$G$21="",Norm_Stats!$G$21=Norm_Stats!$F$21),"",MAX(0,MIN(100,100*(MIN(MAX(City_Inputs!$AF106,Norm_Stats!$F$21),Norm_Stats!$G$21)-Norm_Stats!$F$21)/(Norm_Stats!$G$21-Norm_Stats!$F$21))))</f>
        <v/>
      </c>
      <c r="BB106" s="14">
        <f>IF(BA106="","",1)</f>
        <v/>
      </c>
      <c r="BC106" s="11">
        <f>IF((IF((IF(OR(City_Inputs!$AG106="",Norm_Stats!$F$22="",Norm_Stats!$G$22="",Norm_Stats!$G$22=Norm_Stats!$F$22),"",MAX(0,MIN(100,100*(MIN(MAX(City_Inputs!$AG106,Norm_Stats!$F$22),Norm_Stats!$G$22)-Norm_Stats!$F$22)/(Norm_Stats!$G$22-Norm_Stats!$F$22)))))="",0,0.5)+IF((IF(OR(City_Inputs!$AJ106="",Norm_Stats!$F$23="",Norm_Stats!$G$23="",Norm_Stats!$G$23=Norm_Stats!$F$23),"",MAX(0,MIN(100,100*(MIN(MAX(City_Inputs!$AJ106,Norm_Stats!$F$23),Norm_Stats!$G$23)-Norm_Stats!$F$23)/(Norm_Stats!$G$23-Norm_Stats!$F$23)))))="",0,0.3)+IF((IF(OR(City_Inputs!$AK106="",Norm_Stats!$F$24="",Norm_Stats!$G$24="",Norm_Stats!$G$24=Norm_Stats!$F$24),"",MAX(0,MIN(100,100*(MIN(MAX(City_Inputs!$AK106,Norm_Stats!$F$24),Norm_Stats!$G$24)-Norm_Stats!$F$24)/(Norm_Stats!$G$24-Norm_Stats!$F$24)))))="",0,0.2))=0,"",(IF((IF(OR(City_Inputs!$AG106="",Norm_Stats!$F$22="",Norm_Stats!$G$22="",Norm_Stats!$G$22=Norm_Stats!$F$22),"",MAX(0,MIN(100,100*(MIN(MAX(City_Inputs!$AG106,Norm_Stats!$F$22),Norm_Stats!$G$22)-Norm_Stats!$F$22)/(Norm_Stats!$G$22-Norm_Stats!$F$22)))))="",0,(IF(OR(City_Inputs!$AG106="",Norm_Stats!$F$22="",Norm_Stats!$G$22="",Norm_Stats!$G$22=Norm_Stats!$F$22),"",MAX(0,MIN(100,100*(MIN(MAX(City_Inputs!$AG106,Norm_Stats!$F$22),Norm_Stats!$G$22)-Norm_Stats!$F$22)/(Norm_Stats!$G$22-Norm_Stats!$F$22)))))*0.5)+IF((IF(OR(City_Inputs!$AJ106="",Norm_Stats!$F$23="",Norm_Stats!$G$23="",Norm_Stats!$G$23=Norm_Stats!$F$23),"",MAX(0,MIN(100,100*(MIN(MAX(City_Inputs!$AJ106,Norm_Stats!$F$23),Norm_Stats!$G$23)-Norm_Stats!$F$23)/(Norm_Stats!$G$23-Norm_Stats!$F$23)))))="",0,(IF(OR(City_Inputs!$AJ106="",Norm_Stats!$F$23="",Norm_Stats!$G$23="",Norm_Stats!$G$23=Norm_Stats!$F$23),"",MAX(0,MIN(100,100*(MIN(MAX(City_Inputs!$AJ106,Norm_Stats!$F$23),Norm_Stats!$G$23)-Norm_Stats!$F$23)/(Norm_Stats!$G$23-Norm_Stats!$F$23)))))*0.3)+IF((IF(OR(City_Inputs!$AK106="",Norm_Stats!$F$24="",Norm_Stats!$G$24="",Norm_Stats!$G$24=Norm_Stats!$F$24),"",MAX(0,MIN(100,100*(MIN(MAX(City_Inputs!$AK106,Norm_Stats!$F$24),Norm_Stats!$G$24)-Norm_Stats!$F$24)/(Norm_Stats!$G$24-Norm_Stats!$F$24)))))="",0,(IF(OR(City_Inputs!$AK106="",Norm_Stats!$F$24="",Norm_Stats!$G$24="",Norm_Stats!$G$24=Norm_Stats!$F$24),"",MAX(0,MIN(100,100*(MIN(MAX(City_Inputs!$AK106,Norm_Stats!$F$24),Norm_Stats!$G$24)-Norm_Stats!$F$24)/(Norm_Stats!$G$24-Norm_Stats!$F$24)))))*0.2))/(IF((IF(OR(City_Inputs!$AG106="",Norm_Stats!$F$22="",Norm_Stats!$G$22="",Norm_Stats!$G$22=Norm_Stats!$F$22),"",MAX(0,MIN(100,100*(MIN(MAX(City_Inputs!$AG106,Norm_Stats!$F$22),Norm_Stats!$G$22)-Norm_Stats!$F$22)/(Norm_Stats!$G$22-Norm_Stats!$F$22)))))="",0,0.5)+IF((IF(OR(City_Inputs!$AJ106="",Norm_Stats!$F$23="",Norm_Stats!$G$23="",Norm_Stats!$G$23=Norm_Stats!$F$23),"",MAX(0,MIN(100,100*(MIN(MAX(City_Inputs!$AJ106,Norm_Stats!$F$23),Norm_Stats!$G$23)-Norm_Stats!$F$23)/(Norm_Stats!$G$23-Norm_Stats!$F$23)))))="",0,0.3)+IF((IF(OR(City_Inputs!$AK106="",Norm_Stats!$F$24="",Norm_Stats!$G$24="",Norm_Stats!$G$24=Norm_Stats!$F$24),"",MAX(0,MIN(100,100*(MIN(MAX(City_Inputs!$AK106,Norm_Stats!$F$24),Norm_Stats!$G$24)-Norm_Stats!$F$24)/(Norm_Stats!$G$24-Norm_Stats!$F$24)))))="",0,0.2)))</f>
        <v/>
      </c>
      <c r="BD106" s="14">
        <f>IF((IF((IF(OR(City_Inputs!$AG106="",Norm_Stats!$F$22="",Norm_Stats!$G$22="",Norm_Stats!$G$22=Norm_Stats!$F$22),"",MAX(0,MIN(100,100*(MIN(MAX(City_Inputs!$AG106,Norm_Stats!$F$22),Norm_Stats!$G$22)-Norm_Stats!$F$22)/(Norm_Stats!$G$22-Norm_Stats!$F$22)))))="",0,0.5)+IF((IF(OR(City_Inputs!$AJ106="",Norm_Stats!$F$23="",Norm_Stats!$G$23="",Norm_Stats!$G$23=Norm_Stats!$F$23),"",MAX(0,MIN(100,100*(MIN(MAX(City_Inputs!$AJ106,Norm_Stats!$F$23),Norm_Stats!$G$23)-Norm_Stats!$F$23)/(Norm_Stats!$G$23-Norm_Stats!$F$23)))))="",0,0.3)+IF((IF(OR(City_Inputs!$AK106="",Norm_Stats!$F$24="",Norm_Stats!$G$24="",Norm_Stats!$G$24=Norm_Stats!$F$24),"",MAX(0,MIN(100,100*(MIN(MAX(City_Inputs!$AK106,Norm_Stats!$F$24),Norm_Stats!$G$24)-Norm_Stats!$F$24)/(Norm_Stats!$G$24-Norm_Stats!$F$24)))))="",0,0.2))=0,"",(IF((IF(OR(City_Inputs!$AG106="",Norm_Stats!$F$22="",Norm_Stats!$G$22="",Norm_Stats!$G$22=Norm_Stats!$F$22),"",MAX(0,MIN(100,100*(MIN(MAX(City_Inputs!$AG106,Norm_Stats!$F$22),Norm_Stats!$G$22)-Norm_Stats!$F$22)/(Norm_Stats!$G$22-Norm_Stats!$F$22)))))="",0,0.5)+IF((IF(OR(City_Inputs!$AJ106="",Norm_Stats!$F$23="",Norm_Stats!$G$23="",Norm_Stats!$G$23=Norm_Stats!$F$23),"",MAX(0,MIN(100,100*(MIN(MAX(City_Inputs!$AJ106,Norm_Stats!$F$23),Norm_Stats!$G$23)-Norm_Stats!$F$23)/(Norm_Stats!$G$23-Norm_Stats!$F$23)))))="",0,0.3)+IF((IF(OR(City_Inputs!$AK106="",Norm_Stats!$F$24="",Norm_Stats!$G$24="",Norm_Stats!$G$24=Norm_Stats!$F$24),"",MAX(0,MIN(100,100*(MIN(MAX(City_Inputs!$AK106,Norm_Stats!$F$24),Norm_Stats!$G$24)-Norm_Stats!$F$24)/(Norm_Stats!$G$24-Norm_Stats!$F$24)))))="",0,0.2)))</f>
        <v/>
      </c>
      <c r="BE106" s="11">
        <f>IF(OR(City_Inputs!$AH106="",Norm_Stats!$F$25="",Norm_Stats!$G$25="",Norm_Stats!$G$25=Norm_Stats!$F$25),"",MAX(0,MIN(100,100*(Norm_Stats!$G$25-MIN(MAX(City_Inputs!$AH106,Norm_Stats!$F$25),Norm_Stats!$G$25))/(Norm_Stats!$G$25-Norm_Stats!$F$25))))</f>
        <v/>
      </c>
      <c r="BF106" s="14">
        <f>IF(BE106="","",1)</f>
        <v/>
      </c>
      <c r="BG106" s="15">
        <f>IF((IF(AY106="",0,6)+IF(BA106="",0,5)+IF(BC106="",0,5)+IF(BE106="",0,4))=0,"",(IF(AY106="",0,AY106*6)+IF(BA106="",0,BA106*5)+IF(BC106="",0,BC106*5)+IF(BE106="",0,BE106*4))/(IF(AY106="",0,6)+IF(BA106="",0,5)+IF(BC106="",0,5)+IF(BE106="",0,4)))</f>
        <v/>
      </c>
      <c r="BH106" s="14">
        <f>IF((IF(AZ106="",0,6)+IF(BB106="",0,5)+IF(BD106="",0,5)+IF(BF106="",0,4))=0,"",(IF(AZ106="",0,AZ106*6)+IF(BB106="",0,BB106*5)+IF(BD106="",0,BD106*5)+IF(BF106="",0,BF106*4))/20)</f>
        <v/>
      </c>
      <c r="BI106" s="14">
        <f>IF(AND(R106="",AF106="",AN106="",AX106="",BH106=""),"",((R106*25)+(AF106*22)+(AN106*18)+(AX106*15)+(BH106*20))/100)</f>
        <v/>
      </c>
      <c r="BJ106" s="11">
        <f>IF(BI106="","",IF(BI106&gt;=0.75,"A",IF(BI106&gt;=0.5,"B",IF(BI106&gt;=0.35,"C","Watchlist"))))</f>
        <v/>
      </c>
      <c r="BK106" s="11">
        <f>IF(OR(BI106="",BI106&lt;0.5,R106="",R106&lt;0.35,AF106="",AF106&lt;0.35,AN106="",AN106&lt;0.35,AX106="",AX106&lt;0.35,BH106="",BH106&lt;0.35),"Watchlist","Ranked")</f>
        <v/>
      </c>
      <c r="BL106" s="15">
        <f>IF(AND(Q106="",AE106="",AM106="",AW106="",BG106=""),"",(IF(Q106="",0,Q106*25)+IF(AE106="",0,AE106*22)+IF(AM106="",0,AM106*18)+IF(AW106="",0,AW106*15)+IF(BG106="",0,BG106*20))/(IF(Q106="",0,25)+IF(AE106="",0,22)+IF(AM106="",0,18)+IF(AW106="",0,15)+IF(BG106="",0,20)))</f>
        <v/>
      </c>
      <c r="BM106" s="11">
        <f>IF(BK106="Ranked",1+COUNTIFS($BK$2:$BK$158,"Ranked",$BL$2:$BL$158,"&gt;"&amp;BL106),"")</f>
        <v/>
      </c>
      <c r="BN106" s="11">
        <f>City_Inputs!$AI106</f>
        <v/>
      </c>
    </row>
    <row r="107">
      <c r="A107" t="inlineStr">
        <is>
          <t>au-adelaide</t>
        </is>
      </c>
      <c r="B107" t="inlineStr">
        <is>
          <t>Adelaide</t>
        </is>
      </c>
      <c r="C107" t="inlineStr">
        <is>
          <t>Australia</t>
        </is>
      </c>
      <c r="D107" t="inlineStr">
        <is>
          <t>Oceania</t>
        </is>
      </c>
      <c r="E107" t="inlineStr">
        <is>
          <t>locked</t>
        </is>
      </c>
      <c r="F107" t="inlineStr">
        <is>
          <t>secondary</t>
        </is>
      </c>
      <c r="G107" s="11">
        <f>IF(OR(City_Inputs!$M107="",Norm_Stats!$F$2="",Norm_Stats!$G$2="",Norm_Stats!$G$2=Norm_Stats!$F$2),"",MAX(0,MIN(100,100*(MIN(MAX(City_Inputs!$M107,Norm_Stats!$F$2),Norm_Stats!$G$2)-Norm_Stats!$F$2)/(Norm_Stats!$G$2-Norm_Stats!$F$2))))</f>
        <v/>
      </c>
      <c r="H107" s="14">
        <f>IF(G107="","",1)</f>
        <v/>
      </c>
      <c r="I107" s="11">
        <f>IF(OR(City_Inputs!$N107="",Norm_Stats!$F$3="",Norm_Stats!$G$3="",Norm_Stats!$G$3=Norm_Stats!$F$3),"",MAX(0,MIN(100,100*(Norm_Stats!$G$3-MIN(MAX(City_Inputs!$N107,Norm_Stats!$F$3),Norm_Stats!$G$3))/(Norm_Stats!$G$3-Norm_Stats!$F$3))))</f>
        <v/>
      </c>
      <c r="J107" s="14">
        <f>IF(I107="","",1)</f>
        <v/>
      </c>
      <c r="K107" s="11">
        <f>IF(OR(City_Inputs!$P107="",Norm_Stats!$F$4="",Norm_Stats!$G$4="",Norm_Stats!$G$4=Norm_Stats!$F$4),"",MAX(0,MIN(100,100*(Norm_Stats!$G$4-MIN(MAX(City_Inputs!$P107,Norm_Stats!$F$4),Norm_Stats!$G$4))/(Norm_Stats!$G$4-Norm_Stats!$F$4))))</f>
        <v/>
      </c>
      <c r="L107" s="14">
        <f>IF(K107="","",1)</f>
        <v/>
      </c>
      <c r="M107" s="11">
        <f>IF(OR(City_Inputs!$Q107="",Norm_Stats!$F$5="",Norm_Stats!$G$5="",Norm_Stats!$G$5=Norm_Stats!$F$5),"",MAX(0,MIN(100,100*(Norm_Stats!$G$5-MIN(MAX(City_Inputs!$Q107,Norm_Stats!$F$5),Norm_Stats!$G$5))/(Norm_Stats!$G$5-Norm_Stats!$F$5))))</f>
        <v/>
      </c>
      <c r="N107" s="14">
        <f>IF(M107="","",1)</f>
        <v/>
      </c>
      <c r="O107" s="11">
        <f>IF(OR(City_Inputs!$R107="",Norm_Stats!$F$6="",Norm_Stats!$G$6="",Norm_Stats!$G$6=Norm_Stats!$F$6),"",MAX(0,MIN(100,100*(Norm_Stats!$G$6-MIN(MAX(City_Inputs!$R107,Norm_Stats!$F$6),Norm_Stats!$G$6))/(Norm_Stats!$G$6-Norm_Stats!$F$6))))</f>
        <v/>
      </c>
      <c r="P107" s="14">
        <f>IF(O107="","",1)</f>
        <v/>
      </c>
      <c r="Q107" s="15">
        <f>IF((IF(G107="",0,9)+IF(I107="",0,5)+IF(K107="",0,4)+IF(M107="",0,4)+IF(O107="",0,5))=0,"",(IF(G107="",0,G107*9)+IF(I107="",0,I107*5)+IF(K107="",0,K107*4)+IF(M107="",0,M107*4)+IF(O107="",0,O107*5))/(IF(G107="",0,9)+IF(I107="",0,5)+IF(K107="",0,4)+IF(M107="",0,4)+IF(O107="",0,5)))</f>
        <v/>
      </c>
      <c r="R107" s="14">
        <f>IF((IF(H107="",0,9)+IF(J107="",0,5)+IF(L107="",0,4)+IF(N107="",0,4)+IF(P107="",0,5))=0,"",(IF(H107="",0,H107*9)+IF(J107="",0,J107*5)+IF(L107="",0,L107*4)+IF(N107="",0,N107*4)+IF(P107="",0,P107*5))/27)</f>
        <v/>
      </c>
      <c r="S107" s="11">
        <f>IF(OR(City_Inputs!$S107="",Norm_Stats!$F$7="",Norm_Stats!$G$7="",Norm_Stats!$G$7=Norm_Stats!$F$7),"",MAX(0,MIN(100,100*(Norm_Stats!$G$7-MIN(MAX(City_Inputs!$S107,Norm_Stats!$F$7),Norm_Stats!$G$7))/(Norm_Stats!$G$7-Norm_Stats!$F$7))))</f>
        <v/>
      </c>
      <c r="T107" s="14">
        <f>IF(S107="","",1)</f>
        <v/>
      </c>
      <c r="U107" s="11">
        <f>IF(OR(City_Inputs!$T107="",Norm_Stats!$F$8="",Norm_Stats!$G$8="",Norm_Stats!$G$8=Norm_Stats!$F$8),"",MAX(0,MIN(100,100*(MIN(MAX(City_Inputs!$T107,Norm_Stats!$F$8),Norm_Stats!$G$8)-Norm_Stats!$F$8)/(Norm_Stats!$G$8-Norm_Stats!$F$8))))</f>
        <v/>
      </c>
      <c r="V107" s="14">
        <f>IF(U107="","",1)</f>
        <v/>
      </c>
      <c r="W107" s="11">
        <f>IF(OR(City_Inputs!$U107="",Norm_Stats!$F$9="",Norm_Stats!$G$9="",Norm_Stats!$G$9=Norm_Stats!$F$9),"",MAX(0,MIN(100,100*(Norm_Stats!$G$9-MIN(MAX(City_Inputs!$U107,Norm_Stats!$F$9),Norm_Stats!$G$9))/(Norm_Stats!$G$9-Norm_Stats!$F$9))))</f>
        <v/>
      </c>
      <c r="X107" s="14">
        <f>IF(W107="","",1)</f>
        <v/>
      </c>
      <c r="Y107" s="11">
        <f>IF(OR(City_Inputs!$V107="",Norm_Stats!$F$10="",Norm_Stats!$G$10="",Norm_Stats!$G$10=Norm_Stats!$F$10),"",MAX(0,MIN(100,100*(MIN(MAX(City_Inputs!$V107,Norm_Stats!$F$10),Norm_Stats!$G$10)-Norm_Stats!$F$10)/(Norm_Stats!$G$10-Norm_Stats!$F$10))))</f>
        <v/>
      </c>
      <c r="Z107" s="14">
        <f>IF(Y107="","",1)</f>
        <v/>
      </c>
      <c r="AA107" s="11">
        <f>IF(OR(City_Inputs!$W107="",Norm_Stats!$F$11="",Norm_Stats!$G$11="",Norm_Stats!$G$11=Norm_Stats!$F$11),"",MAX(0,MIN(100,100*(MIN(MAX(City_Inputs!$W107,Norm_Stats!$F$11),Norm_Stats!$G$11)-Norm_Stats!$F$11)/(Norm_Stats!$G$11-Norm_Stats!$F$11))))</f>
        <v/>
      </c>
      <c r="AB107" s="14">
        <f>IF(AA107="","",1)</f>
        <v/>
      </c>
      <c r="AC107" s="11">
        <f>IF(OR(City_Inputs!$X107="",Norm_Stats!$F$12="",Norm_Stats!$G$12="",Norm_Stats!$G$12=Norm_Stats!$F$12),"",MAX(0,MIN(100,100*(MIN(MAX(City_Inputs!$X107,Norm_Stats!$F$12),Norm_Stats!$G$12)-Norm_Stats!$F$12)/(Norm_Stats!$G$12-Norm_Stats!$F$12))))</f>
        <v/>
      </c>
      <c r="AD107" s="11">
        <f>IF(AC107="","",1)</f>
        <v/>
      </c>
      <c r="AE107" s="15">
        <f>IF((IF(S107="",0,5)+IF(U107="",0,5)+IF(W107="",0,4)+IF(Y107="",0,4)+IF(AA107="",0,4)+IF(AC107="",0,5))=0,"",(IF(S107="",0,S107*5)+IF(U107="",0,U107*5)+IF(W107="",0,W107*4)+IF(Y107="",0,Y107*4)+IF(AA107="",0,AA107*4)+IF(AC107="",0,AC107*5))/(IF(S107="",0,5)+IF(U107="",0,5)+IF(W107="",0,4)+IF(Y107="",0,4)+IF(AA107="",0,4)+IF(AC107="",0,5)))</f>
        <v/>
      </c>
      <c r="AF107" s="14">
        <f>IF((IF(T107="",0,5)+IF(V107="",0,5)+IF(X107="",0,4)+IF(Z107="",0,4)+IF(AB107="",0,4)+IF(AD107="",0,5))=0,"",(IF(T107="",0,T107*5)+IF(V107="",0,V107*5)+IF(X107="",0,X107*4)+IF(Z107="",0,Z107*4)+IF(AB107="",0,AB107*4)+IF(AD107="",0,AD107*5))/27)</f>
        <v/>
      </c>
      <c r="AG107" s="11">
        <f>IF(OR(City_Inputs!$Y107="",Norm_Stats!$F$13="",Norm_Stats!$G$13="",Norm_Stats!$G$13=Norm_Stats!$F$13),"",MAX(0,MIN(100,100*(MIN(MAX(City_Inputs!$Y107,Norm_Stats!$F$13),Norm_Stats!$G$13)-Norm_Stats!$F$13)/(Norm_Stats!$G$13-Norm_Stats!$F$13))))</f>
        <v/>
      </c>
      <c r="AH107" s="14">
        <f>IF(AG107="","",1)</f>
        <v/>
      </c>
      <c r="AI107" s="11">
        <f>IF(OR(City_Inputs!$Z107="",Norm_Stats!$F$14="",Norm_Stats!$G$14="",Norm_Stats!$G$14=Norm_Stats!$F$14),"",MAX(0,MIN(100,100*(MIN(MAX(City_Inputs!$Z107,Norm_Stats!$F$14),Norm_Stats!$G$14)-Norm_Stats!$F$14)/(Norm_Stats!$G$14-Norm_Stats!$F$14))))</f>
        <v/>
      </c>
      <c r="AJ107" s="14">
        <f>IF(AI107="","",1)</f>
        <v/>
      </c>
      <c r="AK107" s="11">
        <f>IF((IF((IF(OR(City_Inputs!$AA107="",Norm_Stats!$F$15="",Norm_Stats!$G$15="",Norm_Stats!$G$15=Norm_Stats!$F$15),"",MAX(0,MIN(100,100*(MIN(MAX(City_Inputs!$AA107,Norm_Stats!$F$15),Norm_Stats!$G$15)-Norm_Stats!$F$15)/(Norm_Stats!$G$15-Norm_Stats!$F$15)))))="",0,0.7)+IF((IF(OR(City_Inputs!$AL107="",Norm_Stats!$F$16="",Norm_Stats!$G$16="",Norm_Stats!$G$16=Norm_Stats!$F$16),"",MAX(0,MIN(100,100*(Norm_Stats!$G$16-MIN(MAX(City_Inputs!$AL107,Norm_Stats!$F$16),Norm_Stats!$G$16))/(Norm_Stats!$G$16-Norm_Stats!$F$16)))))="",0,0.3))=0,"",(IF((IF(OR(City_Inputs!$AA107="",Norm_Stats!$F$15="",Norm_Stats!$G$15="",Norm_Stats!$G$15=Norm_Stats!$F$15),"",MAX(0,MIN(100,100*(MIN(MAX(City_Inputs!$AA107,Norm_Stats!$F$15),Norm_Stats!$G$15)-Norm_Stats!$F$15)/(Norm_Stats!$G$15-Norm_Stats!$F$15)))))="",0,(IF(OR(City_Inputs!$AA107="",Norm_Stats!$F$15="",Norm_Stats!$G$15="",Norm_Stats!$G$15=Norm_Stats!$F$15),"",MAX(0,MIN(100,100*(MIN(MAX(City_Inputs!$AA107,Norm_Stats!$F$15),Norm_Stats!$G$15)-Norm_Stats!$F$15)/(Norm_Stats!$G$15-Norm_Stats!$F$15)))))*0.7)+IF((IF(OR(City_Inputs!$AL107="",Norm_Stats!$F$16="",Norm_Stats!$G$16="",Norm_Stats!$G$16=Norm_Stats!$F$16),"",MAX(0,MIN(100,100*(Norm_Stats!$G$16-MIN(MAX(City_Inputs!$AL107,Norm_Stats!$F$16),Norm_Stats!$G$16))/(Norm_Stats!$G$16-Norm_Stats!$F$16)))))="",0,(IF(OR(City_Inputs!$AL107="",Norm_Stats!$F$16="",Norm_Stats!$G$16="",Norm_Stats!$G$16=Norm_Stats!$F$16),"",MAX(0,MIN(100,100*(Norm_Stats!$G$16-MIN(MAX(City_Inputs!$AL107,Norm_Stats!$F$16),Norm_Stats!$G$16))/(Norm_Stats!$G$16-Norm_Stats!$F$16)))))*0.3))/(IF((IF(OR(City_Inputs!$AA107="",Norm_Stats!$F$15="",Norm_Stats!$G$15="",Norm_Stats!$G$15=Norm_Stats!$F$15),"",MAX(0,MIN(100,100*(MIN(MAX(City_Inputs!$AA107,Norm_Stats!$F$15),Norm_Stats!$G$15)-Norm_Stats!$F$15)/(Norm_Stats!$G$15-Norm_Stats!$F$15)))))="",0,0.7)+IF((IF(OR(City_Inputs!$AL107="",Norm_Stats!$F$16="",Norm_Stats!$G$16="",Norm_Stats!$G$16=Norm_Stats!$F$16),"",MAX(0,MIN(100,100*(Norm_Stats!$G$16-MIN(MAX(City_Inputs!$AL107,Norm_Stats!$F$16),Norm_Stats!$G$16))/(Norm_Stats!$G$16-Norm_Stats!$F$16)))))="",0,0.3)))</f>
        <v/>
      </c>
      <c r="AL107" s="14">
        <f>IF((IF((IF(OR(City_Inputs!$AA107="",Norm_Stats!$F$15="",Norm_Stats!$G$15="",Norm_Stats!$G$15=Norm_Stats!$F$15),"",MAX(0,MIN(100,100*(MIN(MAX(City_Inputs!$AA107,Norm_Stats!$F$15),Norm_Stats!$G$15)-Norm_Stats!$F$15)/(Norm_Stats!$G$15-Norm_Stats!$F$15)))))="",0,0.7)+IF((IF(OR(City_Inputs!$AL107="",Norm_Stats!$F$16="",Norm_Stats!$G$16="",Norm_Stats!$G$16=Norm_Stats!$F$16),"",MAX(0,MIN(100,100*(Norm_Stats!$G$16-MIN(MAX(City_Inputs!$AL107,Norm_Stats!$F$16),Norm_Stats!$G$16))/(Norm_Stats!$G$16-Norm_Stats!$F$16)))))="",0,0.3))=0,"",(IF((IF(OR(City_Inputs!$AA107="",Norm_Stats!$F$15="",Norm_Stats!$G$15="",Norm_Stats!$G$15=Norm_Stats!$F$15),"",MAX(0,MIN(100,100*(MIN(MAX(City_Inputs!$AA107,Norm_Stats!$F$15),Norm_Stats!$G$15)-Norm_Stats!$F$15)/(Norm_Stats!$G$15-Norm_Stats!$F$15)))))="",0,0.7)+IF((IF(OR(City_Inputs!$AL107="",Norm_Stats!$F$16="",Norm_Stats!$G$16="",Norm_Stats!$G$16=Norm_Stats!$F$16),"",MAX(0,MIN(100,100*(Norm_Stats!$G$16-MIN(MAX(City_Inputs!$AL107,Norm_Stats!$F$16),Norm_Stats!$G$16))/(Norm_Stats!$G$16-Norm_Stats!$F$16)))))="",0,0.3)))</f>
        <v/>
      </c>
      <c r="AM107" s="15">
        <f>IF((IF(AG107="",0,8)+IF(AI107="",0,6)+IF(AK107="",0,4))=0,"",(IF(AG107="",0,AG107*8)+IF(AI107="",0,AI107*6)+IF(AK107="",0,AK107*4))/(IF(AG107="",0,8)+IF(AI107="",0,6)+IF(AK107="",0,4)))</f>
        <v/>
      </c>
      <c r="AN107" s="14">
        <f>IF((IF(AH107="",0,8)+IF(AJ107="",0,6)+IF(AL107="",0,4))=0,"",(IF(AH107="",0,AH107*8)+IF(AJ107="",0,AJ107*6)+IF(AL107="",0,AL107*4))/18)</f>
        <v/>
      </c>
      <c r="AO107" s="11">
        <f>IF(OR(City_Inputs!$AB107="",Norm_Stats!$F$17="",Norm_Stats!$G$17="",Norm_Stats!$G$17=Norm_Stats!$F$17),"",MAX(0,MIN(100,100*(MIN(MAX(City_Inputs!$AB107,Norm_Stats!$F$17),Norm_Stats!$G$17)-Norm_Stats!$F$17)/(Norm_Stats!$G$17-Norm_Stats!$F$17))))</f>
        <v/>
      </c>
      <c r="AP107" s="14">
        <f>IF(AO107="","",1)</f>
        <v/>
      </c>
      <c r="AQ107" s="11">
        <f>IF(OR(City_Inputs!$AC107="",Norm_Stats!$F$18="",Norm_Stats!$G$18="",Norm_Stats!$G$18=Norm_Stats!$F$18),"",MAX(0,MIN(100,100*(MIN(MAX(City_Inputs!$AC107,Norm_Stats!$F$18),Norm_Stats!$G$18)-Norm_Stats!$F$18)/(Norm_Stats!$G$18-Norm_Stats!$F$18))))</f>
        <v/>
      </c>
      <c r="AR107" s="14">
        <f>IF(AQ107="","",1)</f>
        <v/>
      </c>
      <c r="AS107" s="11">
        <f>IF(OR(City_Inputs!$AD107="",Norm_Stats!$F$19="",Norm_Stats!$G$19="",Norm_Stats!$G$19=Norm_Stats!$F$19),"",MAX(0,MIN(100,100*(MIN(MAX(City_Inputs!$AD107,Norm_Stats!$F$19),Norm_Stats!$G$19)-Norm_Stats!$F$19)/(Norm_Stats!$G$19-Norm_Stats!$F$19))))</f>
        <v/>
      </c>
      <c r="AT107" s="14">
        <f>IF(AS107="","",1)</f>
        <v/>
      </c>
      <c r="AU107" s="11">
        <f>IF(OR(City_Inputs!$BJ107="",Norm_Stats!$F$26="",Norm_Stats!$G$26="",Norm_Stats!$G$26=Norm_Stats!$F$26),"",MAX(0,MIN(100,100*(MIN(MAX(City_Inputs!$BJ107,Norm_Stats!$F$26),Norm_Stats!$G$26)-Norm_Stats!$F$26)/(Norm_Stats!$G$26-Norm_Stats!$F$26))))</f>
        <v/>
      </c>
      <c r="AV107" s="11">
        <f>IF(AU107="","",1)</f>
        <v/>
      </c>
      <c r="AW107" s="15">
        <f>IF((IF(AO107="",0,5)+IF(AQ107="",0,5)+IF(AS107="",0,5)+IF(AU107="",0,4))=0,"",(IF(AO107="",0,AO107*5)+IF(AQ107="",0,AQ107*5)+IF(AS107="",0,AS107*5)+IF(AU107="",0,AU107*4))/(IF(AO107="",0,5)+IF(AQ107="",0,5)+IF(AS107="",0,5)+IF(AU107="",0,4)))</f>
        <v/>
      </c>
      <c r="AX107" s="14">
        <f>IF((IF(AP107="",0,5)+IF(AR107="",0,5)+IF(AT107="",0,5)+IF(AV107="",0,4))=0,"",(IF(AP107="",0,AP107*5)+IF(AR107="",0,AR107*5)+IF(AT107="",0,AT107*5)+IF(AV107="",0,AV107*4))/19)</f>
        <v/>
      </c>
      <c r="AY107" s="11">
        <f>IF(OR(City_Inputs!$AE107="",Norm_Stats!$F$20="",Norm_Stats!$G$20="",Norm_Stats!$G$20=Norm_Stats!$F$20),"",MAX(0,MIN(100,100*(MIN(MAX(City_Inputs!$AE107,Norm_Stats!$F$20),Norm_Stats!$G$20)-Norm_Stats!$F$20)/(Norm_Stats!$G$20-Norm_Stats!$F$20))))</f>
        <v/>
      </c>
      <c r="AZ107" s="14">
        <f>IF(AY107="","",1)</f>
        <v/>
      </c>
      <c r="BA107" s="11">
        <f>IF(OR(City_Inputs!$AF107="",Norm_Stats!$F$21="",Norm_Stats!$G$21="",Norm_Stats!$G$21=Norm_Stats!$F$21),"",MAX(0,MIN(100,100*(MIN(MAX(City_Inputs!$AF107,Norm_Stats!$F$21),Norm_Stats!$G$21)-Norm_Stats!$F$21)/(Norm_Stats!$G$21-Norm_Stats!$F$21))))</f>
        <v/>
      </c>
      <c r="BB107" s="14">
        <f>IF(BA107="","",1)</f>
        <v/>
      </c>
      <c r="BC107" s="11">
        <f>IF((IF((IF(OR(City_Inputs!$AG107="",Norm_Stats!$F$22="",Norm_Stats!$G$22="",Norm_Stats!$G$22=Norm_Stats!$F$22),"",MAX(0,MIN(100,100*(MIN(MAX(City_Inputs!$AG107,Norm_Stats!$F$22),Norm_Stats!$G$22)-Norm_Stats!$F$22)/(Norm_Stats!$G$22-Norm_Stats!$F$22)))))="",0,0.5)+IF((IF(OR(City_Inputs!$AJ107="",Norm_Stats!$F$23="",Norm_Stats!$G$23="",Norm_Stats!$G$23=Norm_Stats!$F$23),"",MAX(0,MIN(100,100*(MIN(MAX(City_Inputs!$AJ107,Norm_Stats!$F$23),Norm_Stats!$G$23)-Norm_Stats!$F$23)/(Norm_Stats!$G$23-Norm_Stats!$F$23)))))="",0,0.3)+IF((IF(OR(City_Inputs!$AK107="",Norm_Stats!$F$24="",Norm_Stats!$G$24="",Norm_Stats!$G$24=Norm_Stats!$F$24),"",MAX(0,MIN(100,100*(MIN(MAX(City_Inputs!$AK107,Norm_Stats!$F$24),Norm_Stats!$G$24)-Norm_Stats!$F$24)/(Norm_Stats!$G$24-Norm_Stats!$F$24)))))="",0,0.2))=0,"",(IF((IF(OR(City_Inputs!$AG107="",Norm_Stats!$F$22="",Norm_Stats!$G$22="",Norm_Stats!$G$22=Norm_Stats!$F$22),"",MAX(0,MIN(100,100*(MIN(MAX(City_Inputs!$AG107,Norm_Stats!$F$22),Norm_Stats!$G$22)-Norm_Stats!$F$22)/(Norm_Stats!$G$22-Norm_Stats!$F$22)))))="",0,(IF(OR(City_Inputs!$AG107="",Norm_Stats!$F$22="",Norm_Stats!$G$22="",Norm_Stats!$G$22=Norm_Stats!$F$22),"",MAX(0,MIN(100,100*(MIN(MAX(City_Inputs!$AG107,Norm_Stats!$F$22),Norm_Stats!$G$22)-Norm_Stats!$F$22)/(Norm_Stats!$G$22-Norm_Stats!$F$22)))))*0.5)+IF((IF(OR(City_Inputs!$AJ107="",Norm_Stats!$F$23="",Norm_Stats!$G$23="",Norm_Stats!$G$23=Norm_Stats!$F$23),"",MAX(0,MIN(100,100*(MIN(MAX(City_Inputs!$AJ107,Norm_Stats!$F$23),Norm_Stats!$G$23)-Norm_Stats!$F$23)/(Norm_Stats!$G$23-Norm_Stats!$F$23)))))="",0,(IF(OR(City_Inputs!$AJ107="",Norm_Stats!$F$23="",Norm_Stats!$G$23="",Norm_Stats!$G$23=Norm_Stats!$F$23),"",MAX(0,MIN(100,100*(MIN(MAX(City_Inputs!$AJ107,Norm_Stats!$F$23),Norm_Stats!$G$23)-Norm_Stats!$F$23)/(Norm_Stats!$G$23-Norm_Stats!$F$23)))))*0.3)+IF((IF(OR(City_Inputs!$AK107="",Norm_Stats!$F$24="",Norm_Stats!$G$24="",Norm_Stats!$G$24=Norm_Stats!$F$24),"",MAX(0,MIN(100,100*(MIN(MAX(City_Inputs!$AK107,Norm_Stats!$F$24),Norm_Stats!$G$24)-Norm_Stats!$F$24)/(Norm_Stats!$G$24-Norm_Stats!$F$24)))))="",0,(IF(OR(City_Inputs!$AK107="",Norm_Stats!$F$24="",Norm_Stats!$G$24="",Norm_Stats!$G$24=Norm_Stats!$F$24),"",MAX(0,MIN(100,100*(MIN(MAX(City_Inputs!$AK107,Norm_Stats!$F$24),Norm_Stats!$G$24)-Norm_Stats!$F$24)/(Norm_Stats!$G$24-Norm_Stats!$F$24)))))*0.2))/(IF((IF(OR(City_Inputs!$AG107="",Norm_Stats!$F$22="",Norm_Stats!$G$22="",Norm_Stats!$G$22=Norm_Stats!$F$22),"",MAX(0,MIN(100,100*(MIN(MAX(City_Inputs!$AG107,Norm_Stats!$F$22),Norm_Stats!$G$22)-Norm_Stats!$F$22)/(Norm_Stats!$G$22-Norm_Stats!$F$22)))))="",0,0.5)+IF((IF(OR(City_Inputs!$AJ107="",Norm_Stats!$F$23="",Norm_Stats!$G$23="",Norm_Stats!$G$23=Norm_Stats!$F$23),"",MAX(0,MIN(100,100*(MIN(MAX(City_Inputs!$AJ107,Norm_Stats!$F$23),Norm_Stats!$G$23)-Norm_Stats!$F$23)/(Norm_Stats!$G$23-Norm_Stats!$F$23)))))="",0,0.3)+IF((IF(OR(City_Inputs!$AK107="",Norm_Stats!$F$24="",Norm_Stats!$G$24="",Norm_Stats!$G$24=Norm_Stats!$F$24),"",MAX(0,MIN(100,100*(MIN(MAX(City_Inputs!$AK107,Norm_Stats!$F$24),Norm_Stats!$G$24)-Norm_Stats!$F$24)/(Norm_Stats!$G$24-Norm_Stats!$F$24)))))="",0,0.2)))</f>
        <v/>
      </c>
      <c r="BD107" s="14">
        <f>IF((IF((IF(OR(City_Inputs!$AG107="",Norm_Stats!$F$22="",Norm_Stats!$G$22="",Norm_Stats!$G$22=Norm_Stats!$F$22),"",MAX(0,MIN(100,100*(MIN(MAX(City_Inputs!$AG107,Norm_Stats!$F$22),Norm_Stats!$G$22)-Norm_Stats!$F$22)/(Norm_Stats!$G$22-Norm_Stats!$F$22)))))="",0,0.5)+IF((IF(OR(City_Inputs!$AJ107="",Norm_Stats!$F$23="",Norm_Stats!$G$23="",Norm_Stats!$G$23=Norm_Stats!$F$23),"",MAX(0,MIN(100,100*(MIN(MAX(City_Inputs!$AJ107,Norm_Stats!$F$23),Norm_Stats!$G$23)-Norm_Stats!$F$23)/(Norm_Stats!$G$23-Norm_Stats!$F$23)))))="",0,0.3)+IF((IF(OR(City_Inputs!$AK107="",Norm_Stats!$F$24="",Norm_Stats!$G$24="",Norm_Stats!$G$24=Norm_Stats!$F$24),"",MAX(0,MIN(100,100*(MIN(MAX(City_Inputs!$AK107,Norm_Stats!$F$24),Norm_Stats!$G$24)-Norm_Stats!$F$24)/(Norm_Stats!$G$24-Norm_Stats!$F$24)))))="",0,0.2))=0,"",(IF((IF(OR(City_Inputs!$AG107="",Norm_Stats!$F$22="",Norm_Stats!$G$22="",Norm_Stats!$G$22=Norm_Stats!$F$22),"",MAX(0,MIN(100,100*(MIN(MAX(City_Inputs!$AG107,Norm_Stats!$F$22),Norm_Stats!$G$22)-Norm_Stats!$F$22)/(Norm_Stats!$G$22-Norm_Stats!$F$22)))))="",0,0.5)+IF((IF(OR(City_Inputs!$AJ107="",Norm_Stats!$F$23="",Norm_Stats!$G$23="",Norm_Stats!$G$23=Norm_Stats!$F$23),"",MAX(0,MIN(100,100*(MIN(MAX(City_Inputs!$AJ107,Norm_Stats!$F$23),Norm_Stats!$G$23)-Norm_Stats!$F$23)/(Norm_Stats!$G$23-Norm_Stats!$F$23)))))="",0,0.3)+IF((IF(OR(City_Inputs!$AK107="",Norm_Stats!$F$24="",Norm_Stats!$G$24="",Norm_Stats!$G$24=Norm_Stats!$F$24),"",MAX(0,MIN(100,100*(MIN(MAX(City_Inputs!$AK107,Norm_Stats!$F$24),Norm_Stats!$G$24)-Norm_Stats!$F$24)/(Norm_Stats!$G$24-Norm_Stats!$F$24)))))="",0,0.2)))</f>
        <v/>
      </c>
      <c r="BE107" s="11">
        <f>IF(OR(City_Inputs!$AH107="",Norm_Stats!$F$25="",Norm_Stats!$G$25="",Norm_Stats!$G$25=Norm_Stats!$F$25),"",MAX(0,MIN(100,100*(Norm_Stats!$G$25-MIN(MAX(City_Inputs!$AH107,Norm_Stats!$F$25),Norm_Stats!$G$25))/(Norm_Stats!$G$25-Norm_Stats!$F$25))))</f>
        <v/>
      </c>
      <c r="BF107" s="14">
        <f>IF(BE107="","",1)</f>
        <v/>
      </c>
      <c r="BG107" s="15">
        <f>IF((IF(AY107="",0,6)+IF(BA107="",0,5)+IF(BC107="",0,5)+IF(BE107="",0,4))=0,"",(IF(AY107="",0,AY107*6)+IF(BA107="",0,BA107*5)+IF(BC107="",0,BC107*5)+IF(BE107="",0,BE107*4))/(IF(AY107="",0,6)+IF(BA107="",0,5)+IF(BC107="",0,5)+IF(BE107="",0,4)))</f>
        <v/>
      </c>
      <c r="BH107" s="14">
        <f>IF((IF(AZ107="",0,6)+IF(BB107="",0,5)+IF(BD107="",0,5)+IF(BF107="",0,4))=0,"",(IF(AZ107="",0,AZ107*6)+IF(BB107="",0,BB107*5)+IF(BD107="",0,BD107*5)+IF(BF107="",0,BF107*4))/20)</f>
        <v/>
      </c>
      <c r="BI107" s="14">
        <f>IF(AND(R107="",AF107="",AN107="",AX107="",BH107=""),"",((R107*25)+(AF107*22)+(AN107*18)+(AX107*15)+(BH107*20))/100)</f>
        <v/>
      </c>
      <c r="BJ107" s="11">
        <f>IF(BI107="","",IF(BI107&gt;=0.75,"A",IF(BI107&gt;=0.5,"B",IF(BI107&gt;=0.35,"C","Watchlist"))))</f>
        <v/>
      </c>
      <c r="BK107" s="11">
        <f>IF(OR(BI107="",BI107&lt;0.5,R107="",R107&lt;0.35,AF107="",AF107&lt;0.35,AN107="",AN107&lt;0.35,AX107="",AX107&lt;0.35,BH107="",BH107&lt;0.35),"Watchlist","Ranked")</f>
        <v/>
      </c>
      <c r="BL107" s="15">
        <f>IF(AND(Q107="",AE107="",AM107="",AW107="",BG107=""),"",(IF(Q107="",0,Q107*25)+IF(AE107="",0,AE107*22)+IF(AM107="",0,AM107*18)+IF(AW107="",0,AW107*15)+IF(BG107="",0,BG107*20))/(IF(Q107="",0,25)+IF(AE107="",0,22)+IF(AM107="",0,18)+IF(AW107="",0,15)+IF(BG107="",0,20)))</f>
        <v/>
      </c>
      <c r="BM107" s="11">
        <f>IF(BK107="Ranked",1+COUNTIFS($BK$2:$BK$158,"Ranked",$BL$2:$BL$158,"&gt;"&amp;BL107),"")</f>
        <v/>
      </c>
      <c r="BN107" s="11">
        <f>City_Inputs!$AI107</f>
        <v/>
      </c>
    </row>
    <row r="108">
      <c r="A108" t="inlineStr">
        <is>
          <t>au-hobart</t>
        </is>
      </c>
      <c r="B108" t="inlineStr">
        <is>
          <t>Hobart</t>
        </is>
      </c>
      <c r="C108" t="inlineStr">
        <is>
          <t>Australia</t>
        </is>
      </c>
      <c r="D108" t="inlineStr">
        <is>
          <t>Oceania</t>
        </is>
      </c>
      <c r="E108" t="inlineStr">
        <is>
          <t>locked</t>
        </is>
      </c>
      <c r="F108" t="inlineStr">
        <is>
          <t>secondary</t>
        </is>
      </c>
      <c r="G108" s="11">
        <f>IF(OR(City_Inputs!$M108="",Norm_Stats!$F$2="",Norm_Stats!$G$2="",Norm_Stats!$G$2=Norm_Stats!$F$2),"",MAX(0,MIN(100,100*(MIN(MAX(City_Inputs!$M108,Norm_Stats!$F$2),Norm_Stats!$G$2)-Norm_Stats!$F$2)/(Norm_Stats!$G$2-Norm_Stats!$F$2))))</f>
        <v/>
      </c>
      <c r="H108" s="14">
        <f>IF(G108="","",1)</f>
        <v/>
      </c>
      <c r="I108" s="11">
        <f>IF(OR(City_Inputs!$N108="",Norm_Stats!$F$3="",Norm_Stats!$G$3="",Norm_Stats!$G$3=Norm_Stats!$F$3),"",MAX(0,MIN(100,100*(Norm_Stats!$G$3-MIN(MAX(City_Inputs!$N108,Norm_Stats!$F$3),Norm_Stats!$G$3))/(Norm_Stats!$G$3-Norm_Stats!$F$3))))</f>
        <v/>
      </c>
      <c r="J108" s="14">
        <f>IF(I108="","",1)</f>
        <v/>
      </c>
      <c r="K108" s="11">
        <f>IF(OR(City_Inputs!$P108="",Norm_Stats!$F$4="",Norm_Stats!$G$4="",Norm_Stats!$G$4=Norm_Stats!$F$4),"",MAX(0,MIN(100,100*(Norm_Stats!$G$4-MIN(MAX(City_Inputs!$P108,Norm_Stats!$F$4),Norm_Stats!$G$4))/(Norm_Stats!$G$4-Norm_Stats!$F$4))))</f>
        <v/>
      </c>
      <c r="L108" s="14">
        <f>IF(K108="","",1)</f>
        <v/>
      </c>
      <c r="M108" s="11">
        <f>IF(OR(City_Inputs!$Q108="",Norm_Stats!$F$5="",Norm_Stats!$G$5="",Norm_Stats!$G$5=Norm_Stats!$F$5),"",MAX(0,MIN(100,100*(Norm_Stats!$G$5-MIN(MAX(City_Inputs!$Q108,Norm_Stats!$F$5),Norm_Stats!$G$5))/(Norm_Stats!$G$5-Norm_Stats!$F$5))))</f>
        <v/>
      </c>
      <c r="N108" s="14">
        <f>IF(M108="","",1)</f>
        <v/>
      </c>
      <c r="O108" s="11">
        <f>IF(OR(City_Inputs!$R108="",Norm_Stats!$F$6="",Norm_Stats!$G$6="",Norm_Stats!$G$6=Norm_Stats!$F$6),"",MAX(0,MIN(100,100*(Norm_Stats!$G$6-MIN(MAX(City_Inputs!$R108,Norm_Stats!$F$6),Norm_Stats!$G$6))/(Norm_Stats!$G$6-Norm_Stats!$F$6))))</f>
        <v/>
      </c>
      <c r="P108" s="14">
        <f>IF(O108="","",1)</f>
        <v/>
      </c>
      <c r="Q108" s="15">
        <f>IF((IF(G108="",0,9)+IF(I108="",0,5)+IF(K108="",0,4)+IF(M108="",0,4)+IF(O108="",0,5))=0,"",(IF(G108="",0,G108*9)+IF(I108="",0,I108*5)+IF(K108="",0,K108*4)+IF(M108="",0,M108*4)+IF(O108="",0,O108*5))/(IF(G108="",0,9)+IF(I108="",0,5)+IF(K108="",0,4)+IF(M108="",0,4)+IF(O108="",0,5)))</f>
        <v/>
      </c>
      <c r="R108" s="14">
        <f>IF((IF(H108="",0,9)+IF(J108="",0,5)+IF(L108="",0,4)+IF(N108="",0,4)+IF(P108="",0,5))=0,"",(IF(H108="",0,H108*9)+IF(J108="",0,J108*5)+IF(L108="",0,L108*4)+IF(N108="",0,N108*4)+IF(P108="",0,P108*5))/27)</f>
        <v/>
      </c>
      <c r="S108" s="11">
        <f>IF(OR(City_Inputs!$S108="",Norm_Stats!$F$7="",Norm_Stats!$G$7="",Norm_Stats!$G$7=Norm_Stats!$F$7),"",MAX(0,MIN(100,100*(Norm_Stats!$G$7-MIN(MAX(City_Inputs!$S108,Norm_Stats!$F$7),Norm_Stats!$G$7))/(Norm_Stats!$G$7-Norm_Stats!$F$7))))</f>
        <v/>
      </c>
      <c r="T108" s="14">
        <f>IF(S108="","",1)</f>
        <v/>
      </c>
      <c r="U108" s="11">
        <f>IF(OR(City_Inputs!$T108="",Norm_Stats!$F$8="",Norm_Stats!$G$8="",Norm_Stats!$G$8=Norm_Stats!$F$8),"",MAX(0,MIN(100,100*(MIN(MAX(City_Inputs!$T108,Norm_Stats!$F$8),Norm_Stats!$G$8)-Norm_Stats!$F$8)/(Norm_Stats!$G$8-Norm_Stats!$F$8))))</f>
        <v/>
      </c>
      <c r="V108" s="14">
        <f>IF(U108="","",1)</f>
        <v/>
      </c>
      <c r="W108" s="11">
        <f>IF(OR(City_Inputs!$U108="",Norm_Stats!$F$9="",Norm_Stats!$G$9="",Norm_Stats!$G$9=Norm_Stats!$F$9),"",MAX(0,MIN(100,100*(Norm_Stats!$G$9-MIN(MAX(City_Inputs!$U108,Norm_Stats!$F$9),Norm_Stats!$G$9))/(Norm_Stats!$G$9-Norm_Stats!$F$9))))</f>
        <v/>
      </c>
      <c r="X108" s="14">
        <f>IF(W108="","",1)</f>
        <v/>
      </c>
      <c r="Y108" s="11">
        <f>IF(OR(City_Inputs!$V108="",Norm_Stats!$F$10="",Norm_Stats!$G$10="",Norm_Stats!$G$10=Norm_Stats!$F$10),"",MAX(0,MIN(100,100*(MIN(MAX(City_Inputs!$V108,Norm_Stats!$F$10),Norm_Stats!$G$10)-Norm_Stats!$F$10)/(Norm_Stats!$G$10-Norm_Stats!$F$10))))</f>
        <v/>
      </c>
      <c r="Z108" s="14">
        <f>IF(Y108="","",1)</f>
        <v/>
      </c>
      <c r="AA108" s="11">
        <f>IF(OR(City_Inputs!$W108="",Norm_Stats!$F$11="",Norm_Stats!$G$11="",Norm_Stats!$G$11=Norm_Stats!$F$11),"",MAX(0,MIN(100,100*(MIN(MAX(City_Inputs!$W108,Norm_Stats!$F$11),Norm_Stats!$G$11)-Norm_Stats!$F$11)/(Norm_Stats!$G$11-Norm_Stats!$F$11))))</f>
        <v/>
      </c>
      <c r="AB108" s="14">
        <f>IF(AA108="","",1)</f>
        <v/>
      </c>
      <c r="AC108" s="11">
        <f>IF(OR(City_Inputs!$X108="",Norm_Stats!$F$12="",Norm_Stats!$G$12="",Norm_Stats!$G$12=Norm_Stats!$F$12),"",MAX(0,MIN(100,100*(MIN(MAX(City_Inputs!$X108,Norm_Stats!$F$12),Norm_Stats!$G$12)-Norm_Stats!$F$12)/(Norm_Stats!$G$12-Norm_Stats!$F$12))))</f>
        <v/>
      </c>
      <c r="AD108" s="11">
        <f>IF(AC108="","",1)</f>
        <v/>
      </c>
      <c r="AE108" s="15">
        <f>IF((IF(S108="",0,5)+IF(U108="",0,5)+IF(W108="",0,4)+IF(Y108="",0,4)+IF(AA108="",0,4)+IF(AC108="",0,5))=0,"",(IF(S108="",0,S108*5)+IF(U108="",0,U108*5)+IF(W108="",0,W108*4)+IF(Y108="",0,Y108*4)+IF(AA108="",0,AA108*4)+IF(AC108="",0,AC108*5))/(IF(S108="",0,5)+IF(U108="",0,5)+IF(W108="",0,4)+IF(Y108="",0,4)+IF(AA108="",0,4)+IF(AC108="",0,5)))</f>
        <v/>
      </c>
      <c r="AF108" s="14">
        <f>IF((IF(T108="",0,5)+IF(V108="",0,5)+IF(X108="",0,4)+IF(Z108="",0,4)+IF(AB108="",0,4)+IF(AD108="",0,5))=0,"",(IF(T108="",0,T108*5)+IF(V108="",0,V108*5)+IF(X108="",0,X108*4)+IF(Z108="",0,Z108*4)+IF(AB108="",0,AB108*4)+IF(AD108="",0,AD108*5))/27)</f>
        <v/>
      </c>
      <c r="AG108" s="11">
        <f>IF(OR(City_Inputs!$Y108="",Norm_Stats!$F$13="",Norm_Stats!$G$13="",Norm_Stats!$G$13=Norm_Stats!$F$13),"",MAX(0,MIN(100,100*(MIN(MAX(City_Inputs!$Y108,Norm_Stats!$F$13),Norm_Stats!$G$13)-Norm_Stats!$F$13)/(Norm_Stats!$G$13-Norm_Stats!$F$13))))</f>
        <v/>
      </c>
      <c r="AH108" s="14">
        <f>IF(AG108="","",1)</f>
        <v/>
      </c>
      <c r="AI108" s="11">
        <f>IF(OR(City_Inputs!$Z108="",Norm_Stats!$F$14="",Norm_Stats!$G$14="",Norm_Stats!$G$14=Norm_Stats!$F$14),"",MAX(0,MIN(100,100*(MIN(MAX(City_Inputs!$Z108,Norm_Stats!$F$14),Norm_Stats!$G$14)-Norm_Stats!$F$14)/(Norm_Stats!$G$14-Norm_Stats!$F$14))))</f>
        <v/>
      </c>
      <c r="AJ108" s="14">
        <f>IF(AI108="","",1)</f>
        <v/>
      </c>
      <c r="AK108" s="11">
        <f>IF((IF((IF(OR(City_Inputs!$AA108="",Norm_Stats!$F$15="",Norm_Stats!$G$15="",Norm_Stats!$G$15=Norm_Stats!$F$15),"",MAX(0,MIN(100,100*(MIN(MAX(City_Inputs!$AA108,Norm_Stats!$F$15),Norm_Stats!$G$15)-Norm_Stats!$F$15)/(Norm_Stats!$G$15-Norm_Stats!$F$15)))))="",0,0.7)+IF((IF(OR(City_Inputs!$AL108="",Norm_Stats!$F$16="",Norm_Stats!$G$16="",Norm_Stats!$G$16=Norm_Stats!$F$16),"",MAX(0,MIN(100,100*(Norm_Stats!$G$16-MIN(MAX(City_Inputs!$AL108,Norm_Stats!$F$16),Norm_Stats!$G$16))/(Norm_Stats!$G$16-Norm_Stats!$F$16)))))="",0,0.3))=0,"",(IF((IF(OR(City_Inputs!$AA108="",Norm_Stats!$F$15="",Norm_Stats!$G$15="",Norm_Stats!$G$15=Norm_Stats!$F$15),"",MAX(0,MIN(100,100*(MIN(MAX(City_Inputs!$AA108,Norm_Stats!$F$15),Norm_Stats!$G$15)-Norm_Stats!$F$15)/(Norm_Stats!$G$15-Norm_Stats!$F$15)))))="",0,(IF(OR(City_Inputs!$AA108="",Norm_Stats!$F$15="",Norm_Stats!$G$15="",Norm_Stats!$G$15=Norm_Stats!$F$15),"",MAX(0,MIN(100,100*(MIN(MAX(City_Inputs!$AA108,Norm_Stats!$F$15),Norm_Stats!$G$15)-Norm_Stats!$F$15)/(Norm_Stats!$G$15-Norm_Stats!$F$15)))))*0.7)+IF((IF(OR(City_Inputs!$AL108="",Norm_Stats!$F$16="",Norm_Stats!$G$16="",Norm_Stats!$G$16=Norm_Stats!$F$16),"",MAX(0,MIN(100,100*(Norm_Stats!$G$16-MIN(MAX(City_Inputs!$AL108,Norm_Stats!$F$16),Norm_Stats!$G$16))/(Norm_Stats!$G$16-Norm_Stats!$F$16)))))="",0,(IF(OR(City_Inputs!$AL108="",Norm_Stats!$F$16="",Norm_Stats!$G$16="",Norm_Stats!$G$16=Norm_Stats!$F$16),"",MAX(0,MIN(100,100*(Norm_Stats!$G$16-MIN(MAX(City_Inputs!$AL108,Norm_Stats!$F$16),Norm_Stats!$G$16))/(Norm_Stats!$G$16-Norm_Stats!$F$16)))))*0.3))/(IF((IF(OR(City_Inputs!$AA108="",Norm_Stats!$F$15="",Norm_Stats!$G$15="",Norm_Stats!$G$15=Norm_Stats!$F$15),"",MAX(0,MIN(100,100*(MIN(MAX(City_Inputs!$AA108,Norm_Stats!$F$15),Norm_Stats!$G$15)-Norm_Stats!$F$15)/(Norm_Stats!$G$15-Norm_Stats!$F$15)))))="",0,0.7)+IF((IF(OR(City_Inputs!$AL108="",Norm_Stats!$F$16="",Norm_Stats!$G$16="",Norm_Stats!$G$16=Norm_Stats!$F$16),"",MAX(0,MIN(100,100*(Norm_Stats!$G$16-MIN(MAX(City_Inputs!$AL108,Norm_Stats!$F$16),Norm_Stats!$G$16))/(Norm_Stats!$G$16-Norm_Stats!$F$16)))))="",0,0.3)))</f>
        <v/>
      </c>
      <c r="AL108" s="14">
        <f>IF((IF((IF(OR(City_Inputs!$AA108="",Norm_Stats!$F$15="",Norm_Stats!$G$15="",Norm_Stats!$G$15=Norm_Stats!$F$15),"",MAX(0,MIN(100,100*(MIN(MAX(City_Inputs!$AA108,Norm_Stats!$F$15),Norm_Stats!$G$15)-Norm_Stats!$F$15)/(Norm_Stats!$G$15-Norm_Stats!$F$15)))))="",0,0.7)+IF((IF(OR(City_Inputs!$AL108="",Norm_Stats!$F$16="",Norm_Stats!$G$16="",Norm_Stats!$G$16=Norm_Stats!$F$16),"",MAX(0,MIN(100,100*(Norm_Stats!$G$16-MIN(MAX(City_Inputs!$AL108,Norm_Stats!$F$16),Norm_Stats!$G$16))/(Norm_Stats!$G$16-Norm_Stats!$F$16)))))="",0,0.3))=0,"",(IF((IF(OR(City_Inputs!$AA108="",Norm_Stats!$F$15="",Norm_Stats!$G$15="",Norm_Stats!$G$15=Norm_Stats!$F$15),"",MAX(0,MIN(100,100*(MIN(MAX(City_Inputs!$AA108,Norm_Stats!$F$15),Norm_Stats!$G$15)-Norm_Stats!$F$15)/(Norm_Stats!$G$15-Norm_Stats!$F$15)))))="",0,0.7)+IF((IF(OR(City_Inputs!$AL108="",Norm_Stats!$F$16="",Norm_Stats!$G$16="",Norm_Stats!$G$16=Norm_Stats!$F$16),"",MAX(0,MIN(100,100*(Norm_Stats!$G$16-MIN(MAX(City_Inputs!$AL108,Norm_Stats!$F$16),Norm_Stats!$G$16))/(Norm_Stats!$G$16-Norm_Stats!$F$16)))))="",0,0.3)))</f>
        <v/>
      </c>
      <c r="AM108" s="15">
        <f>IF((IF(AG108="",0,8)+IF(AI108="",0,6)+IF(AK108="",0,4))=0,"",(IF(AG108="",0,AG108*8)+IF(AI108="",0,AI108*6)+IF(AK108="",0,AK108*4))/(IF(AG108="",0,8)+IF(AI108="",0,6)+IF(AK108="",0,4)))</f>
        <v/>
      </c>
      <c r="AN108" s="14">
        <f>IF((IF(AH108="",0,8)+IF(AJ108="",0,6)+IF(AL108="",0,4))=0,"",(IF(AH108="",0,AH108*8)+IF(AJ108="",0,AJ108*6)+IF(AL108="",0,AL108*4))/18)</f>
        <v/>
      </c>
      <c r="AO108" s="11">
        <f>IF(OR(City_Inputs!$AB108="",Norm_Stats!$F$17="",Norm_Stats!$G$17="",Norm_Stats!$G$17=Norm_Stats!$F$17),"",MAX(0,MIN(100,100*(MIN(MAX(City_Inputs!$AB108,Norm_Stats!$F$17),Norm_Stats!$G$17)-Norm_Stats!$F$17)/(Norm_Stats!$G$17-Norm_Stats!$F$17))))</f>
        <v/>
      </c>
      <c r="AP108" s="14">
        <f>IF(AO108="","",1)</f>
        <v/>
      </c>
      <c r="AQ108" s="11">
        <f>IF(OR(City_Inputs!$AC108="",Norm_Stats!$F$18="",Norm_Stats!$G$18="",Norm_Stats!$G$18=Norm_Stats!$F$18),"",MAX(0,MIN(100,100*(MIN(MAX(City_Inputs!$AC108,Norm_Stats!$F$18),Norm_Stats!$G$18)-Norm_Stats!$F$18)/(Norm_Stats!$G$18-Norm_Stats!$F$18))))</f>
        <v/>
      </c>
      <c r="AR108" s="14">
        <f>IF(AQ108="","",1)</f>
        <v/>
      </c>
      <c r="AS108" s="11">
        <f>IF(OR(City_Inputs!$AD108="",Norm_Stats!$F$19="",Norm_Stats!$G$19="",Norm_Stats!$G$19=Norm_Stats!$F$19),"",MAX(0,MIN(100,100*(MIN(MAX(City_Inputs!$AD108,Norm_Stats!$F$19),Norm_Stats!$G$19)-Norm_Stats!$F$19)/(Norm_Stats!$G$19-Norm_Stats!$F$19))))</f>
        <v/>
      </c>
      <c r="AT108" s="14">
        <f>IF(AS108="","",1)</f>
        <v/>
      </c>
      <c r="AU108" s="11">
        <f>IF(OR(City_Inputs!$BJ108="",Norm_Stats!$F$26="",Norm_Stats!$G$26="",Norm_Stats!$G$26=Norm_Stats!$F$26),"",MAX(0,MIN(100,100*(MIN(MAX(City_Inputs!$BJ108,Norm_Stats!$F$26),Norm_Stats!$G$26)-Norm_Stats!$F$26)/(Norm_Stats!$G$26-Norm_Stats!$F$26))))</f>
        <v/>
      </c>
      <c r="AV108" s="11">
        <f>IF(AU108="","",1)</f>
        <v/>
      </c>
      <c r="AW108" s="15">
        <f>IF((IF(AO108="",0,5)+IF(AQ108="",0,5)+IF(AS108="",0,5)+IF(AU108="",0,4))=0,"",(IF(AO108="",0,AO108*5)+IF(AQ108="",0,AQ108*5)+IF(AS108="",0,AS108*5)+IF(AU108="",0,AU108*4))/(IF(AO108="",0,5)+IF(AQ108="",0,5)+IF(AS108="",0,5)+IF(AU108="",0,4)))</f>
        <v/>
      </c>
      <c r="AX108" s="14">
        <f>IF((IF(AP108="",0,5)+IF(AR108="",0,5)+IF(AT108="",0,5)+IF(AV108="",0,4))=0,"",(IF(AP108="",0,AP108*5)+IF(AR108="",0,AR108*5)+IF(AT108="",0,AT108*5)+IF(AV108="",0,AV108*4))/19)</f>
        <v/>
      </c>
      <c r="AY108" s="11">
        <f>IF(OR(City_Inputs!$AE108="",Norm_Stats!$F$20="",Norm_Stats!$G$20="",Norm_Stats!$G$20=Norm_Stats!$F$20),"",MAX(0,MIN(100,100*(MIN(MAX(City_Inputs!$AE108,Norm_Stats!$F$20),Norm_Stats!$G$20)-Norm_Stats!$F$20)/(Norm_Stats!$G$20-Norm_Stats!$F$20))))</f>
        <v/>
      </c>
      <c r="AZ108" s="14">
        <f>IF(AY108="","",1)</f>
        <v/>
      </c>
      <c r="BA108" s="11">
        <f>IF(OR(City_Inputs!$AF108="",Norm_Stats!$F$21="",Norm_Stats!$G$21="",Norm_Stats!$G$21=Norm_Stats!$F$21),"",MAX(0,MIN(100,100*(MIN(MAX(City_Inputs!$AF108,Norm_Stats!$F$21),Norm_Stats!$G$21)-Norm_Stats!$F$21)/(Norm_Stats!$G$21-Norm_Stats!$F$21))))</f>
        <v/>
      </c>
      <c r="BB108" s="14">
        <f>IF(BA108="","",1)</f>
        <v/>
      </c>
      <c r="BC108" s="11">
        <f>IF((IF((IF(OR(City_Inputs!$AG108="",Norm_Stats!$F$22="",Norm_Stats!$G$22="",Norm_Stats!$G$22=Norm_Stats!$F$22),"",MAX(0,MIN(100,100*(MIN(MAX(City_Inputs!$AG108,Norm_Stats!$F$22),Norm_Stats!$G$22)-Norm_Stats!$F$22)/(Norm_Stats!$G$22-Norm_Stats!$F$22)))))="",0,0.5)+IF((IF(OR(City_Inputs!$AJ108="",Norm_Stats!$F$23="",Norm_Stats!$G$23="",Norm_Stats!$G$23=Norm_Stats!$F$23),"",MAX(0,MIN(100,100*(MIN(MAX(City_Inputs!$AJ108,Norm_Stats!$F$23),Norm_Stats!$G$23)-Norm_Stats!$F$23)/(Norm_Stats!$G$23-Norm_Stats!$F$23)))))="",0,0.3)+IF((IF(OR(City_Inputs!$AK108="",Norm_Stats!$F$24="",Norm_Stats!$G$24="",Norm_Stats!$G$24=Norm_Stats!$F$24),"",MAX(0,MIN(100,100*(MIN(MAX(City_Inputs!$AK108,Norm_Stats!$F$24),Norm_Stats!$G$24)-Norm_Stats!$F$24)/(Norm_Stats!$G$24-Norm_Stats!$F$24)))))="",0,0.2))=0,"",(IF((IF(OR(City_Inputs!$AG108="",Norm_Stats!$F$22="",Norm_Stats!$G$22="",Norm_Stats!$G$22=Norm_Stats!$F$22),"",MAX(0,MIN(100,100*(MIN(MAX(City_Inputs!$AG108,Norm_Stats!$F$22),Norm_Stats!$G$22)-Norm_Stats!$F$22)/(Norm_Stats!$G$22-Norm_Stats!$F$22)))))="",0,(IF(OR(City_Inputs!$AG108="",Norm_Stats!$F$22="",Norm_Stats!$G$22="",Norm_Stats!$G$22=Norm_Stats!$F$22),"",MAX(0,MIN(100,100*(MIN(MAX(City_Inputs!$AG108,Norm_Stats!$F$22),Norm_Stats!$G$22)-Norm_Stats!$F$22)/(Norm_Stats!$G$22-Norm_Stats!$F$22)))))*0.5)+IF((IF(OR(City_Inputs!$AJ108="",Norm_Stats!$F$23="",Norm_Stats!$G$23="",Norm_Stats!$G$23=Norm_Stats!$F$23),"",MAX(0,MIN(100,100*(MIN(MAX(City_Inputs!$AJ108,Norm_Stats!$F$23),Norm_Stats!$G$23)-Norm_Stats!$F$23)/(Norm_Stats!$G$23-Norm_Stats!$F$23)))))="",0,(IF(OR(City_Inputs!$AJ108="",Norm_Stats!$F$23="",Norm_Stats!$G$23="",Norm_Stats!$G$23=Norm_Stats!$F$23),"",MAX(0,MIN(100,100*(MIN(MAX(City_Inputs!$AJ108,Norm_Stats!$F$23),Norm_Stats!$G$23)-Norm_Stats!$F$23)/(Norm_Stats!$G$23-Norm_Stats!$F$23)))))*0.3)+IF((IF(OR(City_Inputs!$AK108="",Norm_Stats!$F$24="",Norm_Stats!$G$24="",Norm_Stats!$G$24=Norm_Stats!$F$24),"",MAX(0,MIN(100,100*(MIN(MAX(City_Inputs!$AK108,Norm_Stats!$F$24),Norm_Stats!$G$24)-Norm_Stats!$F$24)/(Norm_Stats!$G$24-Norm_Stats!$F$24)))))="",0,(IF(OR(City_Inputs!$AK108="",Norm_Stats!$F$24="",Norm_Stats!$G$24="",Norm_Stats!$G$24=Norm_Stats!$F$24),"",MAX(0,MIN(100,100*(MIN(MAX(City_Inputs!$AK108,Norm_Stats!$F$24),Norm_Stats!$G$24)-Norm_Stats!$F$24)/(Norm_Stats!$G$24-Norm_Stats!$F$24)))))*0.2))/(IF((IF(OR(City_Inputs!$AG108="",Norm_Stats!$F$22="",Norm_Stats!$G$22="",Norm_Stats!$G$22=Norm_Stats!$F$22),"",MAX(0,MIN(100,100*(MIN(MAX(City_Inputs!$AG108,Norm_Stats!$F$22),Norm_Stats!$G$22)-Norm_Stats!$F$22)/(Norm_Stats!$G$22-Norm_Stats!$F$22)))))="",0,0.5)+IF((IF(OR(City_Inputs!$AJ108="",Norm_Stats!$F$23="",Norm_Stats!$G$23="",Norm_Stats!$G$23=Norm_Stats!$F$23),"",MAX(0,MIN(100,100*(MIN(MAX(City_Inputs!$AJ108,Norm_Stats!$F$23),Norm_Stats!$G$23)-Norm_Stats!$F$23)/(Norm_Stats!$G$23-Norm_Stats!$F$23)))))="",0,0.3)+IF((IF(OR(City_Inputs!$AK108="",Norm_Stats!$F$24="",Norm_Stats!$G$24="",Norm_Stats!$G$24=Norm_Stats!$F$24),"",MAX(0,MIN(100,100*(MIN(MAX(City_Inputs!$AK108,Norm_Stats!$F$24),Norm_Stats!$G$24)-Norm_Stats!$F$24)/(Norm_Stats!$G$24-Norm_Stats!$F$24)))))="",0,0.2)))</f>
        <v/>
      </c>
      <c r="BD108" s="14">
        <f>IF((IF((IF(OR(City_Inputs!$AG108="",Norm_Stats!$F$22="",Norm_Stats!$G$22="",Norm_Stats!$G$22=Norm_Stats!$F$22),"",MAX(0,MIN(100,100*(MIN(MAX(City_Inputs!$AG108,Norm_Stats!$F$22),Norm_Stats!$G$22)-Norm_Stats!$F$22)/(Norm_Stats!$G$22-Norm_Stats!$F$22)))))="",0,0.5)+IF((IF(OR(City_Inputs!$AJ108="",Norm_Stats!$F$23="",Norm_Stats!$G$23="",Norm_Stats!$G$23=Norm_Stats!$F$23),"",MAX(0,MIN(100,100*(MIN(MAX(City_Inputs!$AJ108,Norm_Stats!$F$23),Norm_Stats!$G$23)-Norm_Stats!$F$23)/(Norm_Stats!$G$23-Norm_Stats!$F$23)))))="",0,0.3)+IF((IF(OR(City_Inputs!$AK108="",Norm_Stats!$F$24="",Norm_Stats!$G$24="",Norm_Stats!$G$24=Norm_Stats!$F$24),"",MAX(0,MIN(100,100*(MIN(MAX(City_Inputs!$AK108,Norm_Stats!$F$24),Norm_Stats!$G$24)-Norm_Stats!$F$24)/(Norm_Stats!$G$24-Norm_Stats!$F$24)))))="",0,0.2))=0,"",(IF((IF(OR(City_Inputs!$AG108="",Norm_Stats!$F$22="",Norm_Stats!$G$22="",Norm_Stats!$G$22=Norm_Stats!$F$22),"",MAX(0,MIN(100,100*(MIN(MAX(City_Inputs!$AG108,Norm_Stats!$F$22),Norm_Stats!$G$22)-Norm_Stats!$F$22)/(Norm_Stats!$G$22-Norm_Stats!$F$22)))))="",0,0.5)+IF((IF(OR(City_Inputs!$AJ108="",Norm_Stats!$F$23="",Norm_Stats!$G$23="",Norm_Stats!$G$23=Norm_Stats!$F$23),"",MAX(0,MIN(100,100*(MIN(MAX(City_Inputs!$AJ108,Norm_Stats!$F$23),Norm_Stats!$G$23)-Norm_Stats!$F$23)/(Norm_Stats!$G$23-Norm_Stats!$F$23)))))="",0,0.3)+IF((IF(OR(City_Inputs!$AK108="",Norm_Stats!$F$24="",Norm_Stats!$G$24="",Norm_Stats!$G$24=Norm_Stats!$F$24),"",MAX(0,MIN(100,100*(MIN(MAX(City_Inputs!$AK108,Norm_Stats!$F$24),Norm_Stats!$G$24)-Norm_Stats!$F$24)/(Norm_Stats!$G$24-Norm_Stats!$F$24)))))="",0,0.2)))</f>
        <v/>
      </c>
      <c r="BE108" s="11">
        <f>IF(OR(City_Inputs!$AH108="",Norm_Stats!$F$25="",Norm_Stats!$G$25="",Norm_Stats!$G$25=Norm_Stats!$F$25),"",MAX(0,MIN(100,100*(Norm_Stats!$G$25-MIN(MAX(City_Inputs!$AH108,Norm_Stats!$F$25),Norm_Stats!$G$25))/(Norm_Stats!$G$25-Norm_Stats!$F$25))))</f>
        <v/>
      </c>
      <c r="BF108" s="14">
        <f>IF(BE108="","",1)</f>
        <v/>
      </c>
      <c r="BG108" s="15">
        <f>IF((IF(AY108="",0,6)+IF(BA108="",0,5)+IF(BC108="",0,5)+IF(BE108="",0,4))=0,"",(IF(AY108="",0,AY108*6)+IF(BA108="",0,BA108*5)+IF(BC108="",0,BC108*5)+IF(BE108="",0,BE108*4))/(IF(AY108="",0,6)+IF(BA108="",0,5)+IF(BC108="",0,5)+IF(BE108="",0,4)))</f>
        <v/>
      </c>
      <c r="BH108" s="14">
        <f>IF((IF(AZ108="",0,6)+IF(BB108="",0,5)+IF(BD108="",0,5)+IF(BF108="",0,4))=0,"",(IF(AZ108="",0,AZ108*6)+IF(BB108="",0,BB108*5)+IF(BD108="",0,BD108*5)+IF(BF108="",0,BF108*4))/20)</f>
        <v/>
      </c>
      <c r="BI108" s="14">
        <f>IF(AND(R108="",AF108="",AN108="",AX108="",BH108=""),"",((R108*25)+(AF108*22)+(AN108*18)+(AX108*15)+(BH108*20))/100)</f>
        <v/>
      </c>
      <c r="BJ108" s="11">
        <f>IF(BI108="","",IF(BI108&gt;=0.75,"A",IF(BI108&gt;=0.5,"B",IF(BI108&gt;=0.35,"C","Watchlist"))))</f>
        <v/>
      </c>
      <c r="BK108" s="11">
        <f>IF(OR(BI108="",BI108&lt;0.5,R108="",R108&lt;0.35,AF108="",AF108&lt;0.35,AN108="",AN108&lt;0.35,AX108="",AX108&lt;0.35,BH108="",BH108&lt;0.35),"Watchlist","Ranked")</f>
        <v/>
      </c>
      <c r="BL108" s="15">
        <f>IF(AND(Q108="",AE108="",AM108="",AW108="",BG108=""),"",(IF(Q108="",0,Q108*25)+IF(AE108="",0,AE108*22)+IF(AM108="",0,AM108*18)+IF(AW108="",0,AW108*15)+IF(BG108="",0,BG108*20))/(IF(Q108="",0,25)+IF(AE108="",0,22)+IF(AM108="",0,18)+IF(AW108="",0,15)+IF(BG108="",0,20)))</f>
        <v/>
      </c>
      <c r="BM108" s="11">
        <f>IF(BK108="Ranked",1+COUNTIFS($BK$2:$BK$158,"Ranked",$BL$2:$BL$158,"&gt;"&amp;BL108),"")</f>
        <v/>
      </c>
      <c r="BN108" s="11">
        <f>City_Inputs!$AI108</f>
        <v/>
      </c>
    </row>
    <row r="109">
      <c r="A109" t="inlineStr">
        <is>
          <t>nz-christchurch</t>
        </is>
      </c>
      <c r="B109" t="inlineStr">
        <is>
          <t>Christchurch</t>
        </is>
      </c>
      <c r="C109" t="inlineStr">
        <is>
          <t>New Zealand</t>
        </is>
      </c>
      <c r="D109" t="inlineStr">
        <is>
          <t>Oceania</t>
        </is>
      </c>
      <c r="E109" t="inlineStr">
        <is>
          <t>provisional</t>
        </is>
      </c>
      <c r="F109" t="inlineStr">
        <is>
          <t>secondary</t>
        </is>
      </c>
      <c r="G109" s="11">
        <f>IF(OR(City_Inputs!$M109="",Norm_Stats!$F$2="",Norm_Stats!$G$2="",Norm_Stats!$G$2=Norm_Stats!$F$2),"",MAX(0,MIN(100,100*(MIN(MAX(City_Inputs!$M109,Norm_Stats!$F$2),Norm_Stats!$G$2)-Norm_Stats!$F$2)/(Norm_Stats!$G$2-Norm_Stats!$F$2))))</f>
        <v/>
      </c>
      <c r="H109" s="14">
        <f>IF(G109="","",1)</f>
        <v/>
      </c>
      <c r="I109" s="11">
        <f>IF(OR(City_Inputs!$N109="",Norm_Stats!$F$3="",Norm_Stats!$G$3="",Norm_Stats!$G$3=Norm_Stats!$F$3),"",MAX(0,MIN(100,100*(Norm_Stats!$G$3-MIN(MAX(City_Inputs!$N109,Norm_Stats!$F$3),Norm_Stats!$G$3))/(Norm_Stats!$G$3-Norm_Stats!$F$3))))</f>
        <v/>
      </c>
      <c r="J109" s="14">
        <f>IF(I109="","",1)</f>
        <v/>
      </c>
      <c r="K109" s="11">
        <f>IF(OR(City_Inputs!$P109="",Norm_Stats!$F$4="",Norm_Stats!$G$4="",Norm_Stats!$G$4=Norm_Stats!$F$4),"",MAX(0,MIN(100,100*(Norm_Stats!$G$4-MIN(MAX(City_Inputs!$P109,Norm_Stats!$F$4),Norm_Stats!$G$4))/(Norm_Stats!$G$4-Norm_Stats!$F$4))))</f>
        <v/>
      </c>
      <c r="L109" s="14">
        <f>IF(K109="","",1)</f>
        <v/>
      </c>
      <c r="M109" s="11">
        <f>IF(OR(City_Inputs!$Q109="",Norm_Stats!$F$5="",Norm_Stats!$G$5="",Norm_Stats!$G$5=Norm_Stats!$F$5),"",MAX(0,MIN(100,100*(Norm_Stats!$G$5-MIN(MAX(City_Inputs!$Q109,Norm_Stats!$F$5),Norm_Stats!$G$5))/(Norm_Stats!$G$5-Norm_Stats!$F$5))))</f>
        <v/>
      </c>
      <c r="N109" s="14">
        <f>IF(M109="","",1)</f>
        <v/>
      </c>
      <c r="O109" s="11">
        <f>IF(OR(City_Inputs!$R109="",Norm_Stats!$F$6="",Norm_Stats!$G$6="",Norm_Stats!$G$6=Norm_Stats!$F$6),"",MAX(0,MIN(100,100*(Norm_Stats!$G$6-MIN(MAX(City_Inputs!$R109,Norm_Stats!$F$6),Norm_Stats!$G$6))/(Norm_Stats!$G$6-Norm_Stats!$F$6))))</f>
        <v/>
      </c>
      <c r="P109" s="14">
        <f>IF(O109="","",1)</f>
        <v/>
      </c>
      <c r="Q109" s="15">
        <f>IF((IF(G109="",0,9)+IF(I109="",0,5)+IF(K109="",0,4)+IF(M109="",0,4)+IF(O109="",0,5))=0,"",(IF(G109="",0,G109*9)+IF(I109="",0,I109*5)+IF(K109="",0,K109*4)+IF(M109="",0,M109*4)+IF(O109="",0,O109*5))/(IF(G109="",0,9)+IF(I109="",0,5)+IF(K109="",0,4)+IF(M109="",0,4)+IF(O109="",0,5)))</f>
        <v/>
      </c>
      <c r="R109" s="14">
        <f>IF((IF(H109="",0,9)+IF(J109="",0,5)+IF(L109="",0,4)+IF(N109="",0,4)+IF(P109="",0,5))=0,"",(IF(H109="",0,H109*9)+IF(J109="",0,J109*5)+IF(L109="",0,L109*4)+IF(N109="",0,N109*4)+IF(P109="",0,P109*5))/27)</f>
        <v/>
      </c>
      <c r="S109" s="11">
        <f>IF(OR(City_Inputs!$S109="",Norm_Stats!$F$7="",Norm_Stats!$G$7="",Norm_Stats!$G$7=Norm_Stats!$F$7),"",MAX(0,MIN(100,100*(Norm_Stats!$G$7-MIN(MAX(City_Inputs!$S109,Norm_Stats!$F$7),Norm_Stats!$G$7))/(Norm_Stats!$G$7-Norm_Stats!$F$7))))</f>
        <v/>
      </c>
      <c r="T109" s="14">
        <f>IF(S109="","",1)</f>
        <v/>
      </c>
      <c r="U109" s="11">
        <f>IF(OR(City_Inputs!$T109="",Norm_Stats!$F$8="",Norm_Stats!$G$8="",Norm_Stats!$G$8=Norm_Stats!$F$8),"",MAX(0,MIN(100,100*(MIN(MAX(City_Inputs!$T109,Norm_Stats!$F$8),Norm_Stats!$G$8)-Norm_Stats!$F$8)/(Norm_Stats!$G$8-Norm_Stats!$F$8))))</f>
        <v/>
      </c>
      <c r="V109" s="14">
        <f>IF(U109="","",1)</f>
        <v/>
      </c>
      <c r="W109" s="11">
        <f>IF(OR(City_Inputs!$U109="",Norm_Stats!$F$9="",Norm_Stats!$G$9="",Norm_Stats!$G$9=Norm_Stats!$F$9),"",MAX(0,MIN(100,100*(Norm_Stats!$G$9-MIN(MAX(City_Inputs!$U109,Norm_Stats!$F$9),Norm_Stats!$G$9))/(Norm_Stats!$G$9-Norm_Stats!$F$9))))</f>
        <v/>
      </c>
      <c r="X109" s="14">
        <f>IF(W109="","",1)</f>
        <v/>
      </c>
      <c r="Y109" s="11">
        <f>IF(OR(City_Inputs!$V109="",Norm_Stats!$F$10="",Norm_Stats!$G$10="",Norm_Stats!$G$10=Norm_Stats!$F$10),"",MAX(0,MIN(100,100*(MIN(MAX(City_Inputs!$V109,Norm_Stats!$F$10),Norm_Stats!$G$10)-Norm_Stats!$F$10)/(Norm_Stats!$G$10-Norm_Stats!$F$10))))</f>
        <v/>
      </c>
      <c r="Z109" s="14">
        <f>IF(Y109="","",1)</f>
        <v/>
      </c>
      <c r="AA109" s="11">
        <f>IF(OR(City_Inputs!$W109="",Norm_Stats!$F$11="",Norm_Stats!$G$11="",Norm_Stats!$G$11=Norm_Stats!$F$11),"",MAX(0,MIN(100,100*(MIN(MAX(City_Inputs!$W109,Norm_Stats!$F$11),Norm_Stats!$G$11)-Norm_Stats!$F$11)/(Norm_Stats!$G$11-Norm_Stats!$F$11))))</f>
        <v/>
      </c>
      <c r="AB109" s="14">
        <f>IF(AA109="","",1)</f>
        <v/>
      </c>
      <c r="AC109" s="11">
        <f>IF(OR(City_Inputs!$X109="",Norm_Stats!$F$12="",Norm_Stats!$G$12="",Norm_Stats!$G$12=Norm_Stats!$F$12),"",MAX(0,MIN(100,100*(MIN(MAX(City_Inputs!$X109,Norm_Stats!$F$12),Norm_Stats!$G$12)-Norm_Stats!$F$12)/(Norm_Stats!$G$12-Norm_Stats!$F$12))))</f>
        <v/>
      </c>
      <c r="AD109" s="11">
        <f>IF(AC109="","",1)</f>
        <v/>
      </c>
      <c r="AE109" s="15">
        <f>IF((IF(S109="",0,5)+IF(U109="",0,5)+IF(W109="",0,4)+IF(Y109="",0,4)+IF(AA109="",0,4)+IF(AC109="",0,5))=0,"",(IF(S109="",0,S109*5)+IF(U109="",0,U109*5)+IF(W109="",0,W109*4)+IF(Y109="",0,Y109*4)+IF(AA109="",0,AA109*4)+IF(AC109="",0,AC109*5))/(IF(S109="",0,5)+IF(U109="",0,5)+IF(W109="",0,4)+IF(Y109="",0,4)+IF(AA109="",0,4)+IF(AC109="",0,5)))</f>
        <v/>
      </c>
      <c r="AF109" s="14">
        <f>IF((IF(T109="",0,5)+IF(V109="",0,5)+IF(X109="",0,4)+IF(Z109="",0,4)+IF(AB109="",0,4)+IF(AD109="",0,5))=0,"",(IF(T109="",0,T109*5)+IF(V109="",0,V109*5)+IF(X109="",0,X109*4)+IF(Z109="",0,Z109*4)+IF(AB109="",0,AB109*4)+IF(AD109="",0,AD109*5))/27)</f>
        <v/>
      </c>
      <c r="AG109" s="11">
        <f>IF(OR(City_Inputs!$Y109="",Norm_Stats!$F$13="",Norm_Stats!$G$13="",Norm_Stats!$G$13=Norm_Stats!$F$13),"",MAX(0,MIN(100,100*(MIN(MAX(City_Inputs!$Y109,Norm_Stats!$F$13),Norm_Stats!$G$13)-Norm_Stats!$F$13)/(Norm_Stats!$G$13-Norm_Stats!$F$13))))</f>
        <v/>
      </c>
      <c r="AH109" s="14">
        <f>IF(AG109="","",1)</f>
        <v/>
      </c>
      <c r="AI109" s="11">
        <f>IF(OR(City_Inputs!$Z109="",Norm_Stats!$F$14="",Norm_Stats!$G$14="",Norm_Stats!$G$14=Norm_Stats!$F$14),"",MAX(0,MIN(100,100*(MIN(MAX(City_Inputs!$Z109,Norm_Stats!$F$14),Norm_Stats!$G$14)-Norm_Stats!$F$14)/(Norm_Stats!$G$14-Norm_Stats!$F$14))))</f>
        <v/>
      </c>
      <c r="AJ109" s="14">
        <f>IF(AI109="","",1)</f>
        <v/>
      </c>
      <c r="AK109" s="11">
        <f>IF((IF((IF(OR(City_Inputs!$AA109="",Norm_Stats!$F$15="",Norm_Stats!$G$15="",Norm_Stats!$G$15=Norm_Stats!$F$15),"",MAX(0,MIN(100,100*(MIN(MAX(City_Inputs!$AA109,Norm_Stats!$F$15),Norm_Stats!$G$15)-Norm_Stats!$F$15)/(Norm_Stats!$G$15-Norm_Stats!$F$15)))))="",0,0.7)+IF((IF(OR(City_Inputs!$AL109="",Norm_Stats!$F$16="",Norm_Stats!$G$16="",Norm_Stats!$G$16=Norm_Stats!$F$16),"",MAX(0,MIN(100,100*(Norm_Stats!$G$16-MIN(MAX(City_Inputs!$AL109,Norm_Stats!$F$16),Norm_Stats!$G$16))/(Norm_Stats!$G$16-Norm_Stats!$F$16)))))="",0,0.3))=0,"",(IF((IF(OR(City_Inputs!$AA109="",Norm_Stats!$F$15="",Norm_Stats!$G$15="",Norm_Stats!$G$15=Norm_Stats!$F$15),"",MAX(0,MIN(100,100*(MIN(MAX(City_Inputs!$AA109,Norm_Stats!$F$15),Norm_Stats!$G$15)-Norm_Stats!$F$15)/(Norm_Stats!$G$15-Norm_Stats!$F$15)))))="",0,(IF(OR(City_Inputs!$AA109="",Norm_Stats!$F$15="",Norm_Stats!$G$15="",Norm_Stats!$G$15=Norm_Stats!$F$15),"",MAX(0,MIN(100,100*(MIN(MAX(City_Inputs!$AA109,Norm_Stats!$F$15),Norm_Stats!$G$15)-Norm_Stats!$F$15)/(Norm_Stats!$G$15-Norm_Stats!$F$15)))))*0.7)+IF((IF(OR(City_Inputs!$AL109="",Norm_Stats!$F$16="",Norm_Stats!$G$16="",Norm_Stats!$G$16=Norm_Stats!$F$16),"",MAX(0,MIN(100,100*(Norm_Stats!$G$16-MIN(MAX(City_Inputs!$AL109,Norm_Stats!$F$16),Norm_Stats!$G$16))/(Norm_Stats!$G$16-Norm_Stats!$F$16)))))="",0,(IF(OR(City_Inputs!$AL109="",Norm_Stats!$F$16="",Norm_Stats!$G$16="",Norm_Stats!$G$16=Norm_Stats!$F$16),"",MAX(0,MIN(100,100*(Norm_Stats!$G$16-MIN(MAX(City_Inputs!$AL109,Norm_Stats!$F$16),Norm_Stats!$G$16))/(Norm_Stats!$G$16-Norm_Stats!$F$16)))))*0.3))/(IF((IF(OR(City_Inputs!$AA109="",Norm_Stats!$F$15="",Norm_Stats!$G$15="",Norm_Stats!$G$15=Norm_Stats!$F$15),"",MAX(0,MIN(100,100*(MIN(MAX(City_Inputs!$AA109,Norm_Stats!$F$15),Norm_Stats!$G$15)-Norm_Stats!$F$15)/(Norm_Stats!$G$15-Norm_Stats!$F$15)))))="",0,0.7)+IF((IF(OR(City_Inputs!$AL109="",Norm_Stats!$F$16="",Norm_Stats!$G$16="",Norm_Stats!$G$16=Norm_Stats!$F$16),"",MAX(0,MIN(100,100*(Norm_Stats!$G$16-MIN(MAX(City_Inputs!$AL109,Norm_Stats!$F$16),Norm_Stats!$G$16))/(Norm_Stats!$G$16-Norm_Stats!$F$16)))))="",0,0.3)))</f>
        <v/>
      </c>
      <c r="AL109" s="14">
        <f>IF((IF((IF(OR(City_Inputs!$AA109="",Norm_Stats!$F$15="",Norm_Stats!$G$15="",Norm_Stats!$G$15=Norm_Stats!$F$15),"",MAX(0,MIN(100,100*(MIN(MAX(City_Inputs!$AA109,Norm_Stats!$F$15),Norm_Stats!$G$15)-Norm_Stats!$F$15)/(Norm_Stats!$G$15-Norm_Stats!$F$15)))))="",0,0.7)+IF((IF(OR(City_Inputs!$AL109="",Norm_Stats!$F$16="",Norm_Stats!$G$16="",Norm_Stats!$G$16=Norm_Stats!$F$16),"",MAX(0,MIN(100,100*(Norm_Stats!$G$16-MIN(MAX(City_Inputs!$AL109,Norm_Stats!$F$16),Norm_Stats!$G$16))/(Norm_Stats!$G$16-Norm_Stats!$F$16)))))="",0,0.3))=0,"",(IF((IF(OR(City_Inputs!$AA109="",Norm_Stats!$F$15="",Norm_Stats!$G$15="",Norm_Stats!$G$15=Norm_Stats!$F$15),"",MAX(0,MIN(100,100*(MIN(MAX(City_Inputs!$AA109,Norm_Stats!$F$15),Norm_Stats!$G$15)-Norm_Stats!$F$15)/(Norm_Stats!$G$15-Norm_Stats!$F$15)))))="",0,0.7)+IF((IF(OR(City_Inputs!$AL109="",Norm_Stats!$F$16="",Norm_Stats!$G$16="",Norm_Stats!$G$16=Norm_Stats!$F$16),"",MAX(0,MIN(100,100*(Norm_Stats!$G$16-MIN(MAX(City_Inputs!$AL109,Norm_Stats!$F$16),Norm_Stats!$G$16))/(Norm_Stats!$G$16-Norm_Stats!$F$16)))))="",0,0.3)))</f>
        <v/>
      </c>
      <c r="AM109" s="15">
        <f>IF((IF(AG109="",0,8)+IF(AI109="",0,6)+IF(AK109="",0,4))=0,"",(IF(AG109="",0,AG109*8)+IF(AI109="",0,AI109*6)+IF(AK109="",0,AK109*4))/(IF(AG109="",0,8)+IF(AI109="",0,6)+IF(AK109="",0,4)))</f>
        <v/>
      </c>
      <c r="AN109" s="14">
        <f>IF((IF(AH109="",0,8)+IF(AJ109="",0,6)+IF(AL109="",0,4))=0,"",(IF(AH109="",0,AH109*8)+IF(AJ109="",0,AJ109*6)+IF(AL109="",0,AL109*4))/18)</f>
        <v/>
      </c>
      <c r="AO109" s="11">
        <f>IF(OR(City_Inputs!$AB109="",Norm_Stats!$F$17="",Norm_Stats!$G$17="",Norm_Stats!$G$17=Norm_Stats!$F$17),"",MAX(0,MIN(100,100*(MIN(MAX(City_Inputs!$AB109,Norm_Stats!$F$17),Norm_Stats!$G$17)-Norm_Stats!$F$17)/(Norm_Stats!$G$17-Norm_Stats!$F$17))))</f>
        <v/>
      </c>
      <c r="AP109" s="14">
        <f>IF(AO109="","",1)</f>
        <v/>
      </c>
      <c r="AQ109" s="11">
        <f>IF(OR(City_Inputs!$AC109="",Norm_Stats!$F$18="",Norm_Stats!$G$18="",Norm_Stats!$G$18=Norm_Stats!$F$18),"",MAX(0,MIN(100,100*(MIN(MAX(City_Inputs!$AC109,Norm_Stats!$F$18),Norm_Stats!$G$18)-Norm_Stats!$F$18)/(Norm_Stats!$G$18-Norm_Stats!$F$18))))</f>
        <v/>
      </c>
      <c r="AR109" s="14">
        <f>IF(AQ109="","",1)</f>
        <v/>
      </c>
      <c r="AS109" s="11">
        <f>IF(OR(City_Inputs!$AD109="",Norm_Stats!$F$19="",Norm_Stats!$G$19="",Norm_Stats!$G$19=Norm_Stats!$F$19),"",MAX(0,MIN(100,100*(MIN(MAX(City_Inputs!$AD109,Norm_Stats!$F$19),Norm_Stats!$G$19)-Norm_Stats!$F$19)/(Norm_Stats!$G$19-Norm_Stats!$F$19))))</f>
        <v/>
      </c>
      <c r="AT109" s="14">
        <f>IF(AS109="","",1)</f>
        <v/>
      </c>
      <c r="AU109" s="11">
        <f>IF(OR(City_Inputs!$BJ109="",Norm_Stats!$F$26="",Norm_Stats!$G$26="",Norm_Stats!$G$26=Norm_Stats!$F$26),"",MAX(0,MIN(100,100*(MIN(MAX(City_Inputs!$BJ109,Norm_Stats!$F$26),Norm_Stats!$G$26)-Norm_Stats!$F$26)/(Norm_Stats!$G$26-Norm_Stats!$F$26))))</f>
        <v/>
      </c>
      <c r="AV109" s="11">
        <f>IF(AU109="","",1)</f>
        <v/>
      </c>
      <c r="AW109" s="15">
        <f>IF((IF(AO109="",0,5)+IF(AQ109="",0,5)+IF(AS109="",0,5)+IF(AU109="",0,4))=0,"",(IF(AO109="",0,AO109*5)+IF(AQ109="",0,AQ109*5)+IF(AS109="",0,AS109*5)+IF(AU109="",0,AU109*4))/(IF(AO109="",0,5)+IF(AQ109="",0,5)+IF(AS109="",0,5)+IF(AU109="",0,4)))</f>
        <v/>
      </c>
      <c r="AX109" s="14">
        <f>IF((IF(AP109="",0,5)+IF(AR109="",0,5)+IF(AT109="",0,5)+IF(AV109="",0,4))=0,"",(IF(AP109="",0,AP109*5)+IF(AR109="",0,AR109*5)+IF(AT109="",0,AT109*5)+IF(AV109="",0,AV109*4))/19)</f>
        <v/>
      </c>
      <c r="AY109" s="11">
        <f>IF(OR(City_Inputs!$AE109="",Norm_Stats!$F$20="",Norm_Stats!$G$20="",Norm_Stats!$G$20=Norm_Stats!$F$20),"",MAX(0,MIN(100,100*(MIN(MAX(City_Inputs!$AE109,Norm_Stats!$F$20),Norm_Stats!$G$20)-Norm_Stats!$F$20)/(Norm_Stats!$G$20-Norm_Stats!$F$20))))</f>
        <v/>
      </c>
      <c r="AZ109" s="14">
        <f>IF(AY109="","",1)</f>
        <v/>
      </c>
      <c r="BA109" s="11">
        <f>IF(OR(City_Inputs!$AF109="",Norm_Stats!$F$21="",Norm_Stats!$G$21="",Norm_Stats!$G$21=Norm_Stats!$F$21),"",MAX(0,MIN(100,100*(MIN(MAX(City_Inputs!$AF109,Norm_Stats!$F$21),Norm_Stats!$G$21)-Norm_Stats!$F$21)/(Norm_Stats!$G$21-Norm_Stats!$F$21))))</f>
        <v/>
      </c>
      <c r="BB109" s="14">
        <f>IF(BA109="","",1)</f>
        <v/>
      </c>
      <c r="BC109" s="11">
        <f>IF((IF((IF(OR(City_Inputs!$AG109="",Norm_Stats!$F$22="",Norm_Stats!$G$22="",Norm_Stats!$G$22=Norm_Stats!$F$22),"",MAX(0,MIN(100,100*(MIN(MAX(City_Inputs!$AG109,Norm_Stats!$F$22),Norm_Stats!$G$22)-Norm_Stats!$F$22)/(Norm_Stats!$G$22-Norm_Stats!$F$22)))))="",0,0.5)+IF((IF(OR(City_Inputs!$AJ109="",Norm_Stats!$F$23="",Norm_Stats!$G$23="",Norm_Stats!$G$23=Norm_Stats!$F$23),"",MAX(0,MIN(100,100*(MIN(MAX(City_Inputs!$AJ109,Norm_Stats!$F$23),Norm_Stats!$G$23)-Norm_Stats!$F$23)/(Norm_Stats!$G$23-Norm_Stats!$F$23)))))="",0,0.3)+IF((IF(OR(City_Inputs!$AK109="",Norm_Stats!$F$24="",Norm_Stats!$G$24="",Norm_Stats!$G$24=Norm_Stats!$F$24),"",MAX(0,MIN(100,100*(MIN(MAX(City_Inputs!$AK109,Norm_Stats!$F$24),Norm_Stats!$G$24)-Norm_Stats!$F$24)/(Norm_Stats!$G$24-Norm_Stats!$F$24)))))="",0,0.2))=0,"",(IF((IF(OR(City_Inputs!$AG109="",Norm_Stats!$F$22="",Norm_Stats!$G$22="",Norm_Stats!$G$22=Norm_Stats!$F$22),"",MAX(0,MIN(100,100*(MIN(MAX(City_Inputs!$AG109,Norm_Stats!$F$22),Norm_Stats!$G$22)-Norm_Stats!$F$22)/(Norm_Stats!$G$22-Norm_Stats!$F$22)))))="",0,(IF(OR(City_Inputs!$AG109="",Norm_Stats!$F$22="",Norm_Stats!$G$22="",Norm_Stats!$G$22=Norm_Stats!$F$22),"",MAX(0,MIN(100,100*(MIN(MAX(City_Inputs!$AG109,Norm_Stats!$F$22),Norm_Stats!$G$22)-Norm_Stats!$F$22)/(Norm_Stats!$G$22-Norm_Stats!$F$22)))))*0.5)+IF((IF(OR(City_Inputs!$AJ109="",Norm_Stats!$F$23="",Norm_Stats!$G$23="",Norm_Stats!$G$23=Norm_Stats!$F$23),"",MAX(0,MIN(100,100*(MIN(MAX(City_Inputs!$AJ109,Norm_Stats!$F$23),Norm_Stats!$G$23)-Norm_Stats!$F$23)/(Norm_Stats!$G$23-Norm_Stats!$F$23)))))="",0,(IF(OR(City_Inputs!$AJ109="",Norm_Stats!$F$23="",Norm_Stats!$G$23="",Norm_Stats!$G$23=Norm_Stats!$F$23),"",MAX(0,MIN(100,100*(MIN(MAX(City_Inputs!$AJ109,Norm_Stats!$F$23),Norm_Stats!$G$23)-Norm_Stats!$F$23)/(Norm_Stats!$G$23-Norm_Stats!$F$23)))))*0.3)+IF((IF(OR(City_Inputs!$AK109="",Norm_Stats!$F$24="",Norm_Stats!$G$24="",Norm_Stats!$G$24=Norm_Stats!$F$24),"",MAX(0,MIN(100,100*(MIN(MAX(City_Inputs!$AK109,Norm_Stats!$F$24),Norm_Stats!$G$24)-Norm_Stats!$F$24)/(Norm_Stats!$G$24-Norm_Stats!$F$24)))))="",0,(IF(OR(City_Inputs!$AK109="",Norm_Stats!$F$24="",Norm_Stats!$G$24="",Norm_Stats!$G$24=Norm_Stats!$F$24),"",MAX(0,MIN(100,100*(MIN(MAX(City_Inputs!$AK109,Norm_Stats!$F$24),Norm_Stats!$G$24)-Norm_Stats!$F$24)/(Norm_Stats!$G$24-Norm_Stats!$F$24)))))*0.2))/(IF((IF(OR(City_Inputs!$AG109="",Norm_Stats!$F$22="",Norm_Stats!$G$22="",Norm_Stats!$G$22=Norm_Stats!$F$22),"",MAX(0,MIN(100,100*(MIN(MAX(City_Inputs!$AG109,Norm_Stats!$F$22),Norm_Stats!$G$22)-Norm_Stats!$F$22)/(Norm_Stats!$G$22-Norm_Stats!$F$22)))))="",0,0.5)+IF((IF(OR(City_Inputs!$AJ109="",Norm_Stats!$F$23="",Norm_Stats!$G$23="",Norm_Stats!$G$23=Norm_Stats!$F$23),"",MAX(0,MIN(100,100*(MIN(MAX(City_Inputs!$AJ109,Norm_Stats!$F$23),Norm_Stats!$G$23)-Norm_Stats!$F$23)/(Norm_Stats!$G$23-Norm_Stats!$F$23)))))="",0,0.3)+IF((IF(OR(City_Inputs!$AK109="",Norm_Stats!$F$24="",Norm_Stats!$G$24="",Norm_Stats!$G$24=Norm_Stats!$F$24),"",MAX(0,MIN(100,100*(MIN(MAX(City_Inputs!$AK109,Norm_Stats!$F$24),Norm_Stats!$G$24)-Norm_Stats!$F$24)/(Norm_Stats!$G$24-Norm_Stats!$F$24)))))="",0,0.2)))</f>
        <v/>
      </c>
      <c r="BD109" s="14">
        <f>IF((IF((IF(OR(City_Inputs!$AG109="",Norm_Stats!$F$22="",Norm_Stats!$G$22="",Norm_Stats!$G$22=Norm_Stats!$F$22),"",MAX(0,MIN(100,100*(MIN(MAX(City_Inputs!$AG109,Norm_Stats!$F$22),Norm_Stats!$G$22)-Norm_Stats!$F$22)/(Norm_Stats!$G$22-Norm_Stats!$F$22)))))="",0,0.5)+IF((IF(OR(City_Inputs!$AJ109="",Norm_Stats!$F$23="",Norm_Stats!$G$23="",Norm_Stats!$G$23=Norm_Stats!$F$23),"",MAX(0,MIN(100,100*(MIN(MAX(City_Inputs!$AJ109,Norm_Stats!$F$23),Norm_Stats!$G$23)-Norm_Stats!$F$23)/(Norm_Stats!$G$23-Norm_Stats!$F$23)))))="",0,0.3)+IF((IF(OR(City_Inputs!$AK109="",Norm_Stats!$F$24="",Norm_Stats!$G$24="",Norm_Stats!$G$24=Norm_Stats!$F$24),"",MAX(0,MIN(100,100*(MIN(MAX(City_Inputs!$AK109,Norm_Stats!$F$24),Norm_Stats!$G$24)-Norm_Stats!$F$24)/(Norm_Stats!$G$24-Norm_Stats!$F$24)))))="",0,0.2))=0,"",(IF((IF(OR(City_Inputs!$AG109="",Norm_Stats!$F$22="",Norm_Stats!$G$22="",Norm_Stats!$G$22=Norm_Stats!$F$22),"",MAX(0,MIN(100,100*(MIN(MAX(City_Inputs!$AG109,Norm_Stats!$F$22),Norm_Stats!$G$22)-Norm_Stats!$F$22)/(Norm_Stats!$G$22-Norm_Stats!$F$22)))))="",0,0.5)+IF((IF(OR(City_Inputs!$AJ109="",Norm_Stats!$F$23="",Norm_Stats!$G$23="",Norm_Stats!$G$23=Norm_Stats!$F$23),"",MAX(0,MIN(100,100*(MIN(MAX(City_Inputs!$AJ109,Norm_Stats!$F$23),Norm_Stats!$G$23)-Norm_Stats!$F$23)/(Norm_Stats!$G$23-Norm_Stats!$F$23)))))="",0,0.3)+IF((IF(OR(City_Inputs!$AK109="",Norm_Stats!$F$24="",Norm_Stats!$G$24="",Norm_Stats!$G$24=Norm_Stats!$F$24),"",MAX(0,MIN(100,100*(MIN(MAX(City_Inputs!$AK109,Norm_Stats!$F$24),Norm_Stats!$G$24)-Norm_Stats!$F$24)/(Norm_Stats!$G$24-Norm_Stats!$F$24)))))="",0,0.2)))</f>
        <v/>
      </c>
      <c r="BE109" s="11">
        <f>IF(OR(City_Inputs!$AH109="",Norm_Stats!$F$25="",Norm_Stats!$G$25="",Norm_Stats!$G$25=Norm_Stats!$F$25),"",MAX(0,MIN(100,100*(Norm_Stats!$G$25-MIN(MAX(City_Inputs!$AH109,Norm_Stats!$F$25),Norm_Stats!$G$25))/(Norm_Stats!$G$25-Norm_Stats!$F$25))))</f>
        <v/>
      </c>
      <c r="BF109" s="14">
        <f>IF(BE109="","",1)</f>
        <v/>
      </c>
      <c r="BG109" s="15">
        <f>IF((IF(AY109="",0,6)+IF(BA109="",0,5)+IF(BC109="",0,5)+IF(BE109="",0,4))=0,"",(IF(AY109="",0,AY109*6)+IF(BA109="",0,BA109*5)+IF(BC109="",0,BC109*5)+IF(BE109="",0,BE109*4))/(IF(AY109="",0,6)+IF(BA109="",0,5)+IF(BC109="",0,5)+IF(BE109="",0,4)))</f>
        <v/>
      </c>
      <c r="BH109" s="14">
        <f>IF((IF(AZ109="",0,6)+IF(BB109="",0,5)+IF(BD109="",0,5)+IF(BF109="",0,4))=0,"",(IF(AZ109="",0,AZ109*6)+IF(BB109="",0,BB109*5)+IF(BD109="",0,BD109*5)+IF(BF109="",0,BF109*4))/20)</f>
        <v/>
      </c>
      <c r="BI109" s="14">
        <f>IF(AND(R109="",AF109="",AN109="",AX109="",BH109=""),"",((R109*25)+(AF109*22)+(AN109*18)+(AX109*15)+(BH109*20))/100)</f>
        <v/>
      </c>
      <c r="BJ109" s="11">
        <f>IF(BI109="","",IF(BI109&gt;=0.75,"A",IF(BI109&gt;=0.5,"B",IF(BI109&gt;=0.35,"C","Watchlist"))))</f>
        <v/>
      </c>
      <c r="BK109" s="11">
        <f>IF(OR(BI109="",BI109&lt;0.5,R109="",R109&lt;0.35,AF109="",AF109&lt;0.35,AN109="",AN109&lt;0.35,AX109="",AX109&lt;0.35,BH109="",BH109&lt;0.35),"Watchlist","Ranked")</f>
        <v/>
      </c>
      <c r="BL109" s="15">
        <f>IF(AND(Q109="",AE109="",AM109="",AW109="",BG109=""),"",(IF(Q109="",0,Q109*25)+IF(AE109="",0,AE109*22)+IF(AM109="",0,AM109*18)+IF(AW109="",0,AW109*15)+IF(BG109="",0,BG109*20))/(IF(Q109="",0,25)+IF(AE109="",0,22)+IF(AM109="",0,18)+IF(AW109="",0,15)+IF(BG109="",0,20)))</f>
        <v/>
      </c>
      <c r="BM109" s="11">
        <f>IF(BK109="Ranked",1+COUNTIFS($BK$2:$BK$158,"Ranked",$BL$2:$BL$158,"&gt;"&amp;BL109),"")</f>
        <v/>
      </c>
      <c r="BN109" s="11">
        <f>City_Inputs!$AI109</f>
        <v/>
      </c>
    </row>
    <row r="110">
      <c r="A110" t="inlineStr">
        <is>
          <t>fj-suva</t>
        </is>
      </c>
      <c r="B110" t="inlineStr">
        <is>
          <t>Suva</t>
        </is>
      </c>
      <c r="C110" t="inlineStr">
        <is>
          <t>Fiji</t>
        </is>
      </c>
      <c r="D110" t="inlineStr">
        <is>
          <t>Oceania</t>
        </is>
      </c>
      <c r="E110" t="inlineStr">
        <is>
          <t>locked</t>
        </is>
      </c>
      <c r="F110" t="inlineStr">
        <is>
          <t>secondary</t>
        </is>
      </c>
      <c r="G110" s="11">
        <f>IF(OR(City_Inputs!$M110="",Norm_Stats!$F$2="",Norm_Stats!$G$2="",Norm_Stats!$G$2=Norm_Stats!$F$2),"",MAX(0,MIN(100,100*(MIN(MAX(City_Inputs!$M110,Norm_Stats!$F$2),Norm_Stats!$G$2)-Norm_Stats!$F$2)/(Norm_Stats!$G$2-Norm_Stats!$F$2))))</f>
        <v/>
      </c>
      <c r="H110" s="14">
        <f>IF(G110="","",1)</f>
        <v/>
      </c>
      <c r="I110" s="11">
        <f>IF(OR(City_Inputs!$N110="",Norm_Stats!$F$3="",Norm_Stats!$G$3="",Norm_Stats!$G$3=Norm_Stats!$F$3),"",MAX(0,MIN(100,100*(Norm_Stats!$G$3-MIN(MAX(City_Inputs!$N110,Norm_Stats!$F$3),Norm_Stats!$G$3))/(Norm_Stats!$G$3-Norm_Stats!$F$3))))</f>
        <v/>
      </c>
      <c r="J110" s="14">
        <f>IF(I110="","",1)</f>
        <v/>
      </c>
      <c r="K110" s="11">
        <f>IF(OR(City_Inputs!$P110="",Norm_Stats!$F$4="",Norm_Stats!$G$4="",Norm_Stats!$G$4=Norm_Stats!$F$4),"",MAX(0,MIN(100,100*(Norm_Stats!$G$4-MIN(MAX(City_Inputs!$P110,Norm_Stats!$F$4),Norm_Stats!$G$4))/(Norm_Stats!$G$4-Norm_Stats!$F$4))))</f>
        <v/>
      </c>
      <c r="L110" s="14">
        <f>IF(K110="","",1)</f>
        <v/>
      </c>
      <c r="M110" s="11">
        <f>IF(OR(City_Inputs!$Q110="",Norm_Stats!$F$5="",Norm_Stats!$G$5="",Norm_Stats!$G$5=Norm_Stats!$F$5),"",MAX(0,MIN(100,100*(Norm_Stats!$G$5-MIN(MAX(City_Inputs!$Q110,Norm_Stats!$F$5),Norm_Stats!$G$5))/(Norm_Stats!$G$5-Norm_Stats!$F$5))))</f>
        <v/>
      </c>
      <c r="N110" s="14">
        <f>IF(M110="","",1)</f>
        <v/>
      </c>
      <c r="O110" s="11">
        <f>IF(OR(City_Inputs!$R110="",Norm_Stats!$F$6="",Norm_Stats!$G$6="",Norm_Stats!$G$6=Norm_Stats!$F$6),"",MAX(0,MIN(100,100*(Norm_Stats!$G$6-MIN(MAX(City_Inputs!$R110,Norm_Stats!$F$6),Norm_Stats!$G$6))/(Norm_Stats!$G$6-Norm_Stats!$F$6))))</f>
        <v/>
      </c>
      <c r="P110" s="14">
        <f>IF(O110="","",1)</f>
        <v/>
      </c>
      <c r="Q110" s="15">
        <f>IF((IF(G110="",0,9)+IF(I110="",0,5)+IF(K110="",0,4)+IF(M110="",0,4)+IF(O110="",0,5))=0,"",(IF(G110="",0,G110*9)+IF(I110="",0,I110*5)+IF(K110="",0,K110*4)+IF(M110="",0,M110*4)+IF(O110="",0,O110*5))/(IF(G110="",0,9)+IF(I110="",0,5)+IF(K110="",0,4)+IF(M110="",0,4)+IF(O110="",0,5)))</f>
        <v/>
      </c>
      <c r="R110" s="14">
        <f>IF((IF(H110="",0,9)+IF(J110="",0,5)+IF(L110="",0,4)+IF(N110="",0,4)+IF(P110="",0,5))=0,"",(IF(H110="",0,H110*9)+IF(J110="",0,J110*5)+IF(L110="",0,L110*4)+IF(N110="",0,N110*4)+IF(P110="",0,P110*5))/27)</f>
        <v/>
      </c>
      <c r="S110" s="11">
        <f>IF(OR(City_Inputs!$S110="",Norm_Stats!$F$7="",Norm_Stats!$G$7="",Norm_Stats!$G$7=Norm_Stats!$F$7),"",MAX(0,MIN(100,100*(Norm_Stats!$G$7-MIN(MAX(City_Inputs!$S110,Norm_Stats!$F$7),Norm_Stats!$G$7))/(Norm_Stats!$G$7-Norm_Stats!$F$7))))</f>
        <v/>
      </c>
      <c r="T110" s="14">
        <f>IF(S110="","",1)</f>
        <v/>
      </c>
      <c r="U110" s="11">
        <f>IF(OR(City_Inputs!$T110="",Norm_Stats!$F$8="",Norm_Stats!$G$8="",Norm_Stats!$G$8=Norm_Stats!$F$8),"",MAX(0,MIN(100,100*(MIN(MAX(City_Inputs!$T110,Norm_Stats!$F$8),Norm_Stats!$G$8)-Norm_Stats!$F$8)/(Norm_Stats!$G$8-Norm_Stats!$F$8))))</f>
        <v/>
      </c>
      <c r="V110" s="14">
        <f>IF(U110="","",1)</f>
        <v/>
      </c>
      <c r="W110" s="11">
        <f>IF(OR(City_Inputs!$U110="",Norm_Stats!$F$9="",Norm_Stats!$G$9="",Norm_Stats!$G$9=Norm_Stats!$F$9),"",MAX(0,MIN(100,100*(Norm_Stats!$G$9-MIN(MAX(City_Inputs!$U110,Norm_Stats!$F$9),Norm_Stats!$G$9))/(Norm_Stats!$G$9-Norm_Stats!$F$9))))</f>
        <v/>
      </c>
      <c r="X110" s="14">
        <f>IF(W110="","",1)</f>
        <v/>
      </c>
      <c r="Y110" s="11">
        <f>IF(OR(City_Inputs!$V110="",Norm_Stats!$F$10="",Norm_Stats!$G$10="",Norm_Stats!$G$10=Norm_Stats!$F$10),"",MAX(0,MIN(100,100*(MIN(MAX(City_Inputs!$V110,Norm_Stats!$F$10),Norm_Stats!$G$10)-Norm_Stats!$F$10)/(Norm_Stats!$G$10-Norm_Stats!$F$10))))</f>
        <v/>
      </c>
      <c r="Z110" s="14">
        <f>IF(Y110="","",1)</f>
        <v/>
      </c>
      <c r="AA110" s="11">
        <f>IF(OR(City_Inputs!$W110="",Norm_Stats!$F$11="",Norm_Stats!$G$11="",Norm_Stats!$G$11=Norm_Stats!$F$11),"",MAX(0,MIN(100,100*(MIN(MAX(City_Inputs!$W110,Norm_Stats!$F$11),Norm_Stats!$G$11)-Norm_Stats!$F$11)/(Norm_Stats!$G$11-Norm_Stats!$F$11))))</f>
        <v/>
      </c>
      <c r="AB110" s="14">
        <f>IF(AA110="","",1)</f>
        <v/>
      </c>
      <c r="AC110" s="11">
        <f>IF(OR(City_Inputs!$X110="",Norm_Stats!$F$12="",Norm_Stats!$G$12="",Norm_Stats!$G$12=Norm_Stats!$F$12),"",MAX(0,MIN(100,100*(MIN(MAX(City_Inputs!$X110,Norm_Stats!$F$12),Norm_Stats!$G$12)-Norm_Stats!$F$12)/(Norm_Stats!$G$12-Norm_Stats!$F$12))))</f>
        <v/>
      </c>
      <c r="AD110" s="11">
        <f>IF(AC110="","",1)</f>
        <v/>
      </c>
      <c r="AE110" s="15">
        <f>IF((IF(S110="",0,5)+IF(U110="",0,5)+IF(W110="",0,4)+IF(Y110="",0,4)+IF(AA110="",0,4)+IF(AC110="",0,5))=0,"",(IF(S110="",0,S110*5)+IF(U110="",0,U110*5)+IF(W110="",0,W110*4)+IF(Y110="",0,Y110*4)+IF(AA110="",0,AA110*4)+IF(AC110="",0,AC110*5))/(IF(S110="",0,5)+IF(U110="",0,5)+IF(W110="",0,4)+IF(Y110="",0,4)+IF(AA110="",0,4)+IF(AC110="",0,5)))</f>
        <v/>
      </c>
      <c r="AF110" s="14">
        <f>IF((IF(T110="",0,5)+IF(V110="",0,5)+IF(X110="",0,4)+IF(Z110="",0,4)+IF(AB110="",0,4)+IF(AD110="",0,5))=0,"",(IF(T110="",0,T110*5)+IF(V110="",0,V110*5)+IF(X110="",0,X110*4)+IF(Z110="",0,Z110*4)+IF(AB110="",0,AB110*4)+IF(AD110="",0,AD110*5))/27)</f>
        <v/>
      </c>
      <c r="AG110" s="11">
        <f>IF(OR(City_Inputs!$Y110="",Norm_Stats!$F$13="",Norm_Stats!$G$13="",Norm_Stats!$G$13=Norm_Stats!$F$13),"",MAX(0,MIN(100,100*(MIN(MAX(City_Inputs!$Y110,Norm_Stats!$F$13),Norm_Stats!$G$13)-Norm_Stats!$F$13)/(Norm_Stats!$G$13-Norm_Stats!$F$13))))</f>
        <v/>
      </c>
      <c r="AH110" s="14">
        <f>IF(AG110="","",1)</f>
        <v/>
      </c>
      <c r="AI110" s="11">
        <f>IF(OR(City_Inputs!$Z110="",Norm_Stats!$F$14="",Norm_Stats!$G$14="",Norm_Stats!$G$14=Norm_Stats!$F$14),"",MAX(0,MIN(100,100*(MIN(MAX(City_Inputs!$Z110,Norm_Stats!$F$14),Norm_Stats!$G$14)-Norm_Stats!$F$14)/(Norm_Stats!$G$14-Norm_Stats!$F$14))))</f>
        <v/>
      </c>
      <c r="AJ110" s="14">
        <f>IF(AI110="","",1)</f>
        <v/>
      </c>
      <c r="AK110" s="11">
        <f>IF((IF((IF(OR(City_Inputs!$AA110="",Norm_Stats!$F$15="",Norm_Stats!$G$15="",Norm_Stats!$G$15=Norm_Stats!$F$15),"",MAX(0,MIN(100,100*(MIN(MAX(City_Inputs!$AA110,Norm_Stats!$F$15),Norm_Stats!$G$15)-Norm_Stats!$F$15)/(Norm_Stats!$G$15-Norm_Stats!$F$15)))))="",0,0.7)+IF((IF(OR(City_Inputs!$AL110="",Norm_Stats!$F$16="",Norm_Stats!$G$16="",Norm_Stats!$G$16=Norm_Stats!$F$16),"",MAX(0,MIN(100,100*(Norm_Stats!$G$16-MIN(MAX(City_Inputs!$AL110,Norm_Stats!$F$16),Norm_Stats!$G$16))/(Norm_Stats!$G$16-Norm_Stats!$F$16)))))="",0,0.3))=0,"",(IF((IF(OR(City_Inputs!$AA110="",Norm_Stats!$F$15="",Norm_Stats!$G$15="",Norm_Stats!$G$15=Norm_Stats!$F$15),"",MAX(0,MIN(100,100*(MIN(MAX(City_Inputs!$AA110,Norm_Stats!$F$15),Norm_Stats!$G$15)-Norm_Stats!$F$15)/(Norm_Stats!$G$15-Norm_Stats!$F$15)))))="",0,(IF(OR(City_Inputs!$AA110="",Norm_Stats!$F$15="",Norm_Stats!$G$15="",Norm_Stats!$G$15=Norm_Stats!$F$15),"",MAX(0,MIN(100,100*(MIN(MAX(City_Inputs!$AA110,Norm_Stats!$F$15),Norm_Stats!$G$15)-Norm_Stats!$F$15)/(Norm_Stats!$G$15-Norm_Stats!$F$15)))))*0.7)+IF((IF(OR(City_Inputs!$AL110="",Norm_Stats!$F$16="",Norm_Stats!$G$16="",Norm_Stats!$G$16=Norm_Stats!$F$16),"",MAX(0,MIN(100,100*(Norm_Stats!$G$16-MIN(MAX(City_Inputs!$AL110,Norm_Stats!$F$16),Norm_Stats!$G$16))/(Norm_Stats!$G$16-Norm_Stats!$F$16)))))="",0,(IF(OR(City_Inputs!$AL110="",Norm_Stats!$F$16="",Norm_Stats!$G$16="",Norm_Stats!$G$16=Norm_Stats!$F$16),"",MAX(0,MIN(100,100*(Norm_Stats!$G$16-MIN(MAX(City_Inputs!$AL110,Norm_Stats!$F$16),Norm_Stats!$G$16))/(Norm_Stats!$G$16-Norm_Stats!$F$16)))))*0.3))/(IF((IF(OR(City_Inputs!$AA110="",Norm_Stats!$F$15="",Norm_Stats!$G$15="",Norm_Stats!$G$15=Norm_Stats!$F$15),"",MAX(0,MIN(100,100*(MIN(MAX(City_Inputs!$AA110,Norm_Stats!$F$15),Norm_Stats!$G$15)-Norm_Stats!$F$15)/(Norm_Stats!$G$15-Norm_Stats!$F$15)))))="",0,0.7)+IF((IF(OR(City_Inputs!$AL110="",Norm_Stats!$F$16="",Norm_Stats!$G$16="",Norm_Stats!$G$16=Norm_Stats!$F$16),"",MAX(0,MIN(100,100*(Norm_Stats!$G$16-MIN(MAX(City_Inputs!$AL110,Norm_Stats!$F$16),Norm_Stats!$G$16))/(Norm_Stats!$G$16-Norm_Stats!$F$16)))))="",0,0.3)))</f>
        <v/>
      </c>
      <c r="AL110" s="14">
        <f>IF((IF((IF(OR(City_Inputs!$AA110="",Norm_Stats!$F$15="",Norm_Stats!$G$15="",Norm_Stats!$G$15=Norm_Stats!$F$15),"",MAX(0,MIN(100,100*(MIN(MAX(City_Inputs!$AA110,Norm_Stats!$F$15),Norm_Stats!$G$15)-Norm_Stats!$F$15)/(Norm_Stats!$G$15-Norm_Stats!$F$15)))))="",0,0.7)+IF((IF(OR(City_Inputs!$AL110="",Norm_Stats!$F$16="",Norm_Stats!$G$16="",Norm_Stats!$G$16=Norm_Stats!$F$16),"",MAX(0,MIN(100,100*(Norm_Stats!$G$16-MIN(MAX(City_Inputs!$AL110,Norm_Stats!$F$16),Norm_Stats!$G$16))/(Norm_Stats!$G$16-Norm_Stats!$F$16)))))="",0,0.3))=0,"",(IF((IF(OR(City_Inputs!$AA110="",Norm_Stats!$F$15="",Norm_Stats!$G$15="",Norm_Stats!$G$15=Norm_Stats!$F$15),"",MAX(0,MIN(100,100*(MIN(MAX(City_Inputs!$AA110,Norm_Stats!$F$15),Norm_Stats!$G$15)-Norm_Stats!$F$15)/(Norm_Stats!$G$15-Norm_Stats!$F$15)))))="",0,0.7)+IF((IF(OR(City_Inputs!$AL110="",Norm_Stats!$F$16="",Norm_Stats!$G$16="",Norm_Stats!$G$16=Norm_Stats!$F$16),"",MAX(0,MIN(100,100*(Norm_Stats!$G$16-MIN(MAX(City_Inputs!$AL110,Norm_Stats!$F$16),Norm_Stats!$G$16))/(Norm_Stats!$G$16-Norm_Stats!$F$16)))))="",0,0.3)))</f>
        <v/>
      </c>
      <c r="AM110" s="15">
        <f>IF((IF(AG110="",0,8)+IF(AI110="",0,6)+IF(AK110="",0,4))=0,"",(IF(AG110="",0,AG110*8)+IF(AI110="",0,AI110*6)+IF(AK110="",0,AK110*4))/(IF(AG110="",0,8)+IF(AI110="",0,6)+IF(AK110="",0,4)))</f>
        <v/>
      </c>
      <c r="AN110" s="14">
        <f>IF((IF(AH110="",0,8)+IF(AJ110="",0,6)+IF(AL110="",0,4))=0,"",(IF(AH110="",0,AH110*8)+IF(AJ110="",0,AJ110*6)+IF(AL110="",0,AL110*4))/18)</f>
        <v/>
      </c>
      <c r="AO110" s="11">
        <f>IF(OR(City_Inputs!$AB110="",Norm_Stats!$F$17="",Norm_Stats!$G$17="",Norm_Stats!$G$17=Norm_Stats!$F$17),"",MAX(0,MIN(100,100*(MIN(MAX(City_Inputs!$AB110,Norm_Stats!$F$17),Norm_Stats!$G$17)-Norm_Stats!$F$17)/(Norm_Stats!$G$17-Norm_Stats!$F$17))))</f>
        <v/>
      </c>
      <c r="AP110" s="14">
        <f>IF(AO110="","",1)</f>
        <v/>
      </c>
      <c r="AQ110" s="11">
        <f>IF(OR(City_Inputs!$AC110="",Norm_Stats!$F$18="",Norm_Stats!$G$18="",Norm_Stats!$G$18=Norm_Stats!$F$18),"",MAX(0,MIN(100,100*(MIN(MAX(City_Inputs!$AC110,Norm_Stats!$F$18),Norm_Stats!$G$18)-Norm_Stats!$F$18)/(Norm_Stats!$G$18-Norm_Stats!$F$18))))</f>
        <v/>
      </c>
      <c r="AR110" s="14">
        <f>IF(AQ110="","",1)</f>
        <v/>
      </c>
      <c r="AS110" s="11">
        <f>IF(OR(City_Inputs!$AD110="",Norm_Stats!$F$19="",Norm_Stats!$G$19="",Norm_Stats!$G$19=Norm_Stats!$F$19),"",MAX(0,MIN(100,100*(MIN(MAX(City_Inputs!$AD110,Norm_Stats!$F$19),Norm_Stats!$G$19)-Norm_Stats!$F$19)/(Norm_Stats!$G$19-Norm_Stats!$F$19))))</f>
        <v/>
      </c>
      <c r="AT110" s="14">
        <f>IF(AS110="","",1)</f>
        <v/>
      </c>
      <c r="AU110" s="11">
        <f>IF(OR(City_Inputs!$BJ110="",Norm_Stats!$F$26="",Norm_Stats!$G$26="",Norm_Stats!$G$26=Norm_Stats!$F$26),"",MAX(0,MIN(100,100*(MIN(MAX(City_Inputs!$BJ110,Norm_Stats!$F$26),Norm_Stats!$G$26)-Norm_Stats!$F$26)/(Norm_Stats!$G$26-Norm_Stats!$F$26))))</f>
        <v/>
      </c>
      <c r="AV110" s="11">
        <f>IF(AU110="","",1)</f>
        <v/>
      </c>
      <c r="AW110" s="15">
        <f>IF((IF(AO110="",0,5)+IF(AQ110="",0,5)+IF(AS110="",0,5)+IF(AU110="",0,4))=0,"",(IF(AO110="",0,AO110*5)+IF(AQ110="",0,AQ110*5)+IF(AS110="",0,AS110*5)+IF(AU110="",0,AU110*4))/(IF(AO110="",0,5)+IF(AQ110="",0,5)+IF(AS110="",0,5)+IF(AU110="",0,4)))</f>
        <v/>
      </c>
      <c r="AX110" s="14">
        <f>IF((IF(AP110="",0,5)+IF(AR110="",0,5)+IF(AT110="",0,5)+IF(AV110="",0,4))=0,"",(IF(AP110="",0,AP110*5)+IF(AR110="",0,AR110*5)+IF(AT110="",0,AT110*5)+IF(AV110="",0,AV110*4))/19)</f>
        <v/>
      </c>
      <c r="AY110" s="11">
        <f>IF(OR(City_Inputs!$AE110="",Norm_Stats!$F$20="",Norm_Stats!$G$20="",Norm_Stats!$G$20=Norm_Stats!$F$20),"",MAX(0,MIN(100,100*(MIN(MAX(City_Inputs!$AE110,Norm_Stats!$F$20),Norm_Stats!$G$20)-Norm_Stats!$F$20)/(Norm_Stats!$G$20-Norm_Stats!$F$20))))</f>
        <v/>
      </c>
      <c r="AZ110" s="14">
        <f>IF(AY110="","",1)</f>
        <v/>
      </c>
      <c r="BA110" s="11">
        <f>IF(OR(City_Inputs!$AF110="",Norm_Stats!$F$21="",Norm_Stats!$G$21="",Norm_Stats!$G$21=Norm_Stats!$F$21),"",MAX(0,MIN(100,100*(MIN(MAX(City_Inputs!$AF110,Norm_Stats!$F$21),Norm_Stats!$G$21)-Norm_Stats!$F$21)/(Norm_Stats!$G$21-Norm_Stats!$F$21))))</f>
        <v/>
      </c>
      <c r="BB110" s="14">
        <f>IF(BA110="","",1)</f>
        <v/>
      </c>
      <c r="BC110" s="11">
        <f>IF((IF((IF(OR(City_Inputs!$AG110="",Norm_Stats!$F$22="",Norm_Stats!$G$22="",Norm_Stats!$G$22=Norm_Stats!$F$22),"",MAX(0,MIN(100,100*(MIN(MAX(City_Inputs!$AG110,Norm_Stats!$F$22),Norm_Stats!$G$22)-Norm_Stats!$F$22)/(Norm_Stats!$G$22-Norm_Stats!$F$22)))))="",0,0.5)+IF((IF(OR(City_Inputs!$AJ110="",Norm_Stats!$F$23="",Norm_Stats!$G$23="",Norm_Stats!$G$23=Norm_Stats!$F$23),"",MAX(0,MIN(100,100*(MIN(MAX(City_Inputs!$AJ110,Norm_Stats!$F$23),Norm_Stats!$G$23)-Norm_Stats!$F$23)/(Norm_Stats!$G$23-Norm_Stats!$F$23)))))="",0,0.3)+IF((IF(OR(City_Inputs!$AK110="",Norm_Stats!$F$24="",Norm_Stats!$G$24="",Norm_Stats!$G$24=Norm_Stats!$F$24),"",MAX(0,MIN(100,100*(MIN(MAX(City_Inputs!$AK110,Norm_Stats!$F$24),Norm_Stats!$G$24)-Norm_Stats!$F$24)/(Norm_Stats!$G$24-Norm_Stats!$F$24)))))="",0,0.2))=0,"",(IF((IF(OR(City_Inputs!$AG110="",Norm_Stats!$F$22="",Norm_Stats!$G$22="",Norm_Stats!$G$22=Norm_Stats!$F$22),"",MAX(0,MIN(100,100*(MIN(MAX(City_Inputs!$AG110,Norm_Stats!$F$22),Norm_Stats!$G$22)-Norm_Stats!$F$22)/(Norm_Stats!$G$22-Norm_Stats!$F$22)))))="",0,(IF(OR(City_Inputs!$AG110="",Norm_Stats!$F$22="",Norm_Stats!$G$22="",Norm_Stats!$G$22=Norm_Stats!$F$22),"",MAX(0,MIN(100,100*(MIN(MAX(City_Inputs!$AG110,Norm_Stats!$F$22),Norm_Stats!$G$22)-Norm_Stats!$F$22)/(Norm_Stats!$G$22-Norm_Stats!$F$22)))))*0.5)+IF((IF(OR(City_Inputs!$AJ110="",Norm_Stats!$F$23="",Norm_Stats!$G$23="",Norm_Stats!$G$23=Norm_Stats!$F$23),"",MAX(0,MIN(100,100*(MIN(MAX(City_Inputs!$AJ110,Norm_Stats!$F$23),Norm_Stats!$G$23)-Norm_Stats!$F$23)/(Norm_Stats!$G$23-Norm_Stats!$F$23)))))="",0,(IF(OR(City_Inputs!$AJ110="",Norm_Stats!$F$23="",Norm_Stats!$G$23="",Norm_Stats!$G$23=Norm_Stats!$F$23),"",MAX(0,MIN(100,100*(MIN(MAX(City_Inputs!$AJ110,Norm_Stats!$F$23),Norm_Stats!$G$23)-Norm_Stats!$F$23)/(Norm_Stats!$G$23-Norm_Stats!$F$23)))))*0.3)+IF((IF(OR(City_Inputs!$AK110="",Norm_Stats!$F$24="",Norm_Stats!$G$24="",Norm_Stats!$G$24=Norm_Stats!$F$24),"",MAX(0,MIN(100,100*(MIN(MAX(City_Inputs!$AK110,Norm_Stats!$F$24),Norm_Stats!$G$24)-Norm_Stats!$F$24)/(Norm_Stats!$G$24-Norm_Stats!$F$24)))))="",0,(IF(OR(City_Inputs!$AK110="",Norm_Stats!$F$24="",Norm_Stats!$G$24="",Norm_Stats!$G$24=Norm_Stats!$F$24),"",MAX(0,MIN(100,100*(MIN(MAX(City_Inputs!$AK110,Norm_Stats!$F$24),Norm_Stats!$G$24)-Norm_Stats!$F$24)/(Norm_Stats!$G$24-Norm_Stats!$F$24)))))*0.2))/(IF((IF(OR(City_Inputs!$AG110="",Norm_Stats!$F$22="",Norm_Stats!$G$22="",Norm_Stats!$G$22=Norm_Stats!$F$22),"",MAX(0,MIN(100,100*(MIN(MAX(City_Inputs!$AG110,Norm_Stats!$F$22),Norm_Stats!$G$22)-Norm_Stats!$F$22)/(Norm_Stats!$G$22-Norm_Stats!$F$22)))))="",0,0.5)+IF((IF(OR(City_Inputs!$AJ110="",Norm_Stats!$F$23="",Norm_Stats!$G$23="",Norm_Stats!$G$23=Norm_Stats!$F$23),"",MAX(0,MIN(100,100*(MIN(MAX(City_Inputs!$AJ110,Norm_Stats!$F$23),Norm_Stats!$G$23)-Norm_Stats!$F$23)/(Norm_Stats!$G$23-Norm_Stats!$F$23)))))="",0,0.3)+IF((IF(OR(City_Inputs!$AK110="",Norm_Stats!$F$24="",Norm_Stats!$G$24="",Norm_Stats!$G$24=Norm_Stats!$F$24),"",MAX(0,MIN(100,100*(MIN(MAX(City_Inputs!$AK110,Norm_Stats!$F$24),Norm_Stats!$G$24)-Norm_Stats!$F$24)/(Norm_Stats!$G$24-Norm_Stats!$F$24)))))="",0,0.2)))</f>
        <v/>
      </c>
      <c r="BD110" s="14">
        <f>IF((IF((IF(OR(City_Inputs!$AG110="",Norm_Stats!$F$22="",Norm_Stats!$G$22="",Norm_Stats!$G$22=Norm_Stats!$F$22),"",MAX(0,MIN(100,100*(MIN(MAX(City_Inputs!$AG110,Norm_Stats!$F$22),Norm_Stats!$G$22)-Norm_Stats!$F$22)/(Norm_Stats!$G$22-Norm_Stats!$F$22)))))="",0,0.5)+IF((IF(OR(City_Inputs!$AJ110="",Norm_Stats!$F$23="",Norm_Stats!$G$23="",Norm_Stats!$G$23=Norm_Stats!$F$23),"",MAX(0,MIN(100,100*(MIN(MAX(City_Inputs!$AJ110,Norm_Stats!$F$23),Norm_Stats!$G$23)-Norm_Stats!$F$23)/(Norm_Stats!$G$23-Norm_Stats!$F$23)))))="",0,0.3)+IF((IF(OR(City_Inputs!$AK110="",Norm_Stats!$F$24="",Norm_Stats!$G$24="",Norm_Stats!$G$24=Norm_Stats!$F$24),"",MAX(0,MIN(100,100*(MIN(MAX(City_Inputs!$AK110,Norm_Stats!$F$24),Norm_Stats!$G$24)-Norm_Stats!$F$24)/(Norm_Stats!$G$24-Norm_Stats!$F$24)))))="",0,0.2))=0,"",(IF((IF(OR(City_Inputs!$AG110="",Norm_Stats!$F$22="",Norm_Stats!$G$22="",Norm_Stats!$G$22=Norm_Stats!$F$22),"",MAX(0,MIN(100,100*(MIN(MAX(City_Inputs!$AG110,Norm_Stats!$F$22),Norm_Stats!$G$22)-Norm_Stats!$F$22)/(Norm_Stats!$G$22-Norm_Stats!$F$22)))))="",0,0.5)+IF((IF(OR(City_Inputs!$AJ110="",Norm_Stats!$F$23="",Norm_Stats!$G$23="",Norm_Stats!$G$23=Norm_Stats!$F$23),"",MAX(0,MIN(100,100*(MIN(MAX(City_Inputs!$AJ110,Norm_Stats!$F$23),Norm_Stats!$G$23)-Norm_Stats!$F$23)/(Norm_Stats!$G$23-Norm_Stats!$F$23)))))="",0,0.3)+IF((IF(OR(City_Inputs!$AK110="",Norm_Stats!$F$24="",Norm_Stats!$G$24="",Norm_Stats!$G$24=Norm_Stats!$F$24),"",MAX(0,MIN(100,100*(MIN(MAX(City_Inputs!$AK110,Norm_Stats!$F$24),Norm_Stats!$G$24)-Norm_Stats!$F$24)/(Norm_Stats!$G$24-Norm_Stats!$F$24)))))="",0,0.2)))</f>
        <v/>
      </c>
      <c r="BE110" s="11">
        <f>IF(OR(City_Inputs!$AH110="",Norm_Stats!$F$25="",Norm_Stats!$G$25="",Norm_Stats!$G$25=Norm_Stats!$F$25),"",MAX(0,MIN(100,100*(Norm_Stats!$G$25-MIN(MAX(City_Inputs!$AH110,Norm_Stats!$F$25),Norm_Stats!$G$25))/(Norm_Stats!$G$25-Norm_Stats!$F$25))))</f>
        <v/>
      </c>
      <c r="BF110" s="14">
        <f>IF(BE110="","",1)</f>
        <v/>
      </c>
      <c r="BG110" s="15">
        <f>IF((IF(AY110="",0,6)+IF(BA110="",0,5)+IF(BC110="",0,5)+IF(BE110="",0,4))=0,"",(IF(AY110="",0,AY110*6)+IF(BA110="",0,BA110*5)+IF(BC110="",0,BC110*5)+IF(BE110="",0,BE110*4))/(IF(AY110="",0,6)+IF(BA110="",0,5)+IF(BC110="",0,5)+IF(BE110="",0,4)))</f>
        <v/>
      </c>
      <c r="BH110" s="14">
        <f>IF((IF(AZ110="",0,6)+IF(BB110="",0,5)+IF(BD110="",0,5)+IF(BF110="",0,4))=0,"",(IF(AZ110="",0,AZ110*6)+IF(BB110="",0,BB110*5)+IF(BD110="",0,BD110*5)+IF(BF110="",0,BF110*4))/20)</f>
        <v/>
      </c>
      <c r="BI110" s="14">
        <f>IF(AND(R110="",AF110="",AN110="",AX110="",BH110=""),"",((R110*25)+(AF110*22)+(AN110*18)+(AX110*15)+(BH110*20))/100)</f>
        <v/>
      </c>
      <c r="BJ110" s="11">
        <f>IF(BI110="","",IF(BI110&gt;=0.75,"A",IF(BI110&gt;=0.5,"B",IF(BI110&gt;=0.35,"C","Watchlist"))))</f>
        <v/>
      </c>
      <c r="BK110" s="11">
        <f>IF(OR(BI110="",BI110&lt;0.5,R110="",R110&lt;0.35,AF110="",AF110&lt;0.35,AN110="",AN110&lt;0.35,AX110="",AX110&lt;0.35,BH110="",BH110&lt;0.35),"Watchlist","Ranked")</f>
        <v/>
      </c>
      <c r="BL110" s="15">
        <f>IF(AND(Q110="",AE110="",AM110="",AW110="",BG110=""),"",(IF(Q110="",0,Q110*25)+IF(AE110="",0,AE110*22)+IF(AM110="",0,AM110*18)+IF(AW110="",0,AW110*15)+IF(BG110="",0,BG110*20))/(IF(Q110="",0,25)+IF(AE110="",0,22)+IF(AM110="",0,18)+IF(AW110="",0,15)+IF(BG110="",0,20)))</f>
        <v/>
      </c>
      <c r="BM110" s="11">
        <f>IF(BK110="Ranked",1+COUNTIFS($BK$2:$BK$158,"Ranked",$BL$2:$BL$158,"&gt;"&amp;BL110),"")</f>
        <v/>
      </c>
      <c r="BN110" s="11">
        <f>City_Inputs!$AI110</f>
        <v/>
      </c>
    </row>
    <row r="111">
      <c r="A111" t="inlineStr">
        <is>
          <t>id-surabaya</t>
        </is>
      </c>
      <c r="B111" t="inlineStr">
        <is>
          <t>Surabaya</t>
        </is>
      </c>
      <c r="C111" t="inlineStr">
        <is>
          <t>Indonesia</t>
        </is>
      </c>
      <c r="D111" t="inlineStr">
        <is>
          <t>Southeast Asia</t>
        </is>
      </c>
      <c r="E111" t="inlineStr">
        <is>
          <t>provisional</t>
        </is>
      </c>
      <c r="F111" t="inlineStr">
        <is>
          <t>secondary</t>
        </is>
      </c>
      <c r="G111" s="11">
        <f>IF(OR(City_Inputs!$M111="",Norm_Stats!$F$2="",Norm_Stats!$G$2="",Norm_Stats!$G$2=Norm_Stats!$F$2),"",MAX(0,MIN(100,100*(MIN(MAX(City_Inputs!$M111,Norm_Stats!$F$2),Norm_Stats!$G$2)-Norm_Stats!$F$2)/(Norm_Stats!$G$2-Norm_Stats!$F$2))))</f>
        <v/>
      </c>
      <c r="H111" s="14">
        <f>IF(G111="","",1)</f>
        <v/>
      </c>
      <c r="I111" s="11">
        <f>IF(OR(City_Inputs!$N111="",Norm_Stats!$F$3="",Norm_Stats!$G$3="",Norm_Stats!$G$3=Norm_Stats!$F$3),"",MAX(0,MIN(100,100*(Norm_Stats!$G$3-MIN(MAX(City_Inputs!$N111,Norm_Stats!$F$3),Norm_Stats!$G$3))/(Norm_Stats!$G$3-Norm_Stats!$F$3))))</f>
        <v/>
      </c>
      <c r="J111" s="14">
        <f>IF(I111="","",1)</f>
        <v/>
      </c>
      <c r="K111" s="11">
        <f>IF(OR(City_Inputs!$P111="",Norm_Stats!$F$4="",Norm_Stats!$G$4="",Norm_Stats!$G$4=Norm_Stats!$F$4),"",MAX(0,MIN(100,100*(Norm_Stats!$G$4-MIN(MAX(City_Inputs!$P111,Norm_Stats!$F$4),Norm_Stats!$G$4))/(Norm_Stats!$G$4-Norm_Stats!$F$4))))</f>
        <v/>
      </c>
      <c r="L111" s="14">
        <f>IF(K111="","",1)</f>
        <v/>
      </c>
      <c r="M111" s="11">
        <f>IF(OR(City_Inputs!$Q111="",Norm_Stats!$F$5="",Norm_Stats!$G$5="",Norm_Stats!$G$5=Norm_Stats!$F$5),"",MAX(0,MIN(100,100*(Norm_Stats!$G$5-MIN(MAX(City_Inputs!$Q111,Norm_Stats!$F$5),Norm_Stats!$G$5))/(Norm_Stats!$G$5-Norm_Stats!$F$5))))</f>
        <v/>
      </c>
      <c r="N111" s="14">
        <f>IF(M111="","",1)</f>
        <v/>
      </c>
      <c r="O111" s="11">
        <f>IF(OR(City_Inputs!$R111="",Norm_Stats!$F$6="",Norm_Stats!$G$6="",Norm_Stats!$G$6=Norm_Stats!$F$6),"",MAX(0,MIN(100,100*(Norm_Stats!$G$6-MIN(MAX(City_Inputs!$R111,Norm_Stats!$F$6),Norm_Stats!$G$6))/(Norm_Stats!$G$6-Norm_Stats!$F$6))))</f>
        <v/>
      </c>
      <c r="P111" s="14">
        <f>IF(O111="","",1)</f>
        <v/>
      </c>
      <c r="Q111" s="15">
        <f>IF((IF(G111="",0,9)+IF(I111="",0,5)+IF(K111="",0,4)+IF(M111="",0,4)+IF(O111="",0,5))=0,"",(IF(G111="",0,G111*9)+IF(I111="",0,I111*5)+IF(K111="",0,K111*4)+IF(M111="",0,M111*4)+IF(O111="",0,O111*5))/(IF(G111="",0,9)+IF(I111="",0,5)+IF(K111="",0,4)+IF(M111="",0,4)+IF(O111="",0,5)))</f>
        <v/>
      </c>
      <c r="R111" s="14">
        <f>IF((IF(H111="",0,9)+IF(J111="",0,5)+IF(L111="",0,4)+IF(N111="",0,4)+IF(P111="",0,5))=0,"",(IF(H111="",0,H111*9)+IF(J111="",0,J111*5)+IF(L111="",0,L111*4)+IF(N111="",0,N111*4)+IF(P111="",0,P111*5))/27)</f>
        <v/>
      </c>
      <c r="S111" s="11">
        <f>IF(OR(City_Inputs!$S111="",Norm_Stats!$F$7="",Norm_Stats!$G$7="",Norm_Stats!$G$7=Norm_Stats!$F$7),"",MAX(0,MIN(100,100*(Norm_Stats!$G$7-MIN(MAX(City_Inputs!$S111,Norm_Stats!$F$7),Norm_Stats!$G$7))/(Norm_Stats!$G$7-Norm_Stats!$F$7))))</f>
        <v/>
      </c>
      <c r="T111" s="14">
        <f>IF(S111="","",1)</f>
        <v/>
      </c>
      <c r="U111" s="11">
        <f>IF(OR(City_Inputs!$T111="",Norm_Stats!$F$8="",Norm_Stats!$G$8="",Norm_Stats!$G$8=Norm_Stats!$F$8),"",MAX(0,MIN(100,100*(MIN(MAX(City_Inputs!$T111,Norm_Stats!$F$8),Norm_Stats!$G$8)-Norm_Stats!$F$8)/(Norm_Stats!$G$8-Norm_Stats!$F$8))))</f>
        <v/>
      </c>
      <c r="V111" s="14">
        <f>IF(U111="","",1)</f>
        <v/>
      </c>
      <c r="W111" s="11">
        <f>IF(OR(City_Inputs!$U111="",Norm_Stats!$F$9="",Norm_Stats!$G$9="",Norm_Stats!$G$9=Norm_Stats!$F$9),"",MAX(0,MIN(100,100*(Norm_Stats!$G$9-MIN(MAX(City_Inputs!$U111,Norm_Stats!$F$9),Norm_Stats!$G$9))/(Norm_Stats!$G$9-Norm_Stats!$F$9))))</f>
        <v/>
      </c>
      <c r="X111" s="14">
        <f>IF(W111="","",1)</f>
        <v/>
      </c>
      <c r="Y111" s="11">
        <f>IF(OR(City_Inputs!$V111="",Norm_Stats!$F$10="",Norm_Stats!$G$10="",Norm_Stats!$G$10=Norm_Stats!$F$10),"",MAX(0,MIN(100,100*(MIN(MAX(City_Inputs!$V111,Norm_Stats!$F$10),Norm_Stats!$G$10)-Norm_Stats!$F$10)/(Norm_Stats!$G$10-Norm_Stats!$F$10))))</f>
        <v/>
      </c>
      <c r="Z111" s="14">
        <f>IF(Y111="","",1)</f>
        <v/>
      </c>
      <c r="AA111" s="11">
        <f>IF(OR(City_Inputs!$W111="",Norm_Stats!$F$11="",Norm_Stats!$G$11="",Norm_Stats!$G$11=Norm_Stats!$F$11),"",MAX(0,MIN(100,100*(MIN(MAX(City_Inputs!$W111,Norm_Stats!$F$11),Norm_Stats!$G$11)-Norm_Stats!$F$11)/(Norm_Stats!$G$11-Norm_Stats!$F$11))))</f>
        <v/>
      </c>
      <c r="AB111" s="14">
        <f>IF(AA111="","",1)</f>
        <v/>
      </c>
      <c r="AC111" s="11">
        <f>IF(OR(City_Inputs!$X111="",Norm_Stats!$F$12="",Norm_Stats!$G$12="",Norm_Stats!$G$12=Norm_Stats!$F$12),"",MAX(0,MIN(100,100*(MIN(MAX(City_Inputs!$X111,Norm_Stats!$F$12),Norm_Stats!$G$12)-Norm_Stats!$F$12)/(Norm_Stats!$G$12-Norm_Stats!$F$12))))</f>
        <v/>
      </c>
      <c r="AD111" s="11">
        <f>IF(AC111="","",1)</f>
        <v/>
      </c>
      <c r="AE111" s="15">
        <f>IF((IF(S111="",0,5)+IF(U111="",0,5)+IF(W111="",0,4)+IF(Y111="",0,4)+IF(AA111="",0,4)+IF(AC111="",0,5))=0,"",(IF(S111="",0,S111*5)+IF(U111="",0,U111*5)+IF(W111="",0,W111*4)+IF(Y111="",0,Y111*4)+IF(AA111="",0,AA111*4)+IF(AC111="",0,AC111*5))/(IF(S111="",0,5)+IF(U111="",0,5)+IF(W111="",0,4)+IF(Y111="",0,4)+IF(AA111="",0,4)+IF(AC111="",0,5)))</f>
        <v/>
      </c>
      <c r="AF111" s="14">
        <f>IF((IF(T111="",0,5)+IF(V111="",0,5)+IF(X111="",0,4)+IF(Z111="",0,4)+IF(AB111="",0,4)+IF(AD111="",0,5))=0,"",(IF(T111="",0,T111*5)+IF(V111="",0,V111*5)+IF(X111="",0,X111*4)+IF(Z111="",0,Z111*4)+IF(AB111="",0,AB111*4)+IF(AD111="",0,AD111*5))/27)</f>
        <v/>
      </c>
      <c r="AG111" s="11">
        <f>IF(OR(City_Inputs!$Y111="",Norm_Stats!$F$13="",Norm_Stats!$G$13="",Norm_Stats!$G$13=Norm_Stats!$F$13),"",MAX(0,MIN(100,100*(MIN(MAX(City_Inputs!$Y111,Norm_Stats!$F$13),Norm_Stats!$G$13)-Norm_Stats!$F$13)/(Norm_Stats!$G$13-Norm_Stats!$F$13))))</f>
        <v/>
      </c>
      <c r="AH111" s="14">
        <f>IF(AG111="","",1)</f>
        <v/>
      </c>
      <c r="AI111" s="11">
        <f>IF(OR(City_Inputs!$Z111="",Norm_Stats!$F$14="",Norm_Stats!$G$14="",Norm_Stats!$G$14=Norm_Stats!$F$14),"",MAX(0,MIN(100,100*(MIN(MAX(City_Inputs!$Z111,Norm_Stats!$F$14),Norm_Stats!$G$14)-Norm_Stats!$F$14)/(Norm_Stats!$G$14-Norm_Stats!$F$14))))</f>
        <v/>
      </c>
      <c r="AJ111" s="14">
        <f>IF(AI111="","",1)</f>
        <v/>
      </c>
      <c r="AK111" s="11">
        <f>IF((IF((IF(OR(City_Inputs!$AA111="",Norm_Stats!$F$15="",Norm_Stats!$G$15="",Norm_Stats!$G$15=Norm_Stats!$F$15),"",MAX(0,MIN(100,100*(MIN(MAX(City_Inputs!$AA111,Norm_Stats!$F$15),Norm_Stats!$G$15)-Norm_Stats!$F$15)/(Norm_Stats!$G$15-Norm_Stats!$F$15)))))="",0,0.7)+IF((IF(OR(City_Inputs!$AL111="",Norm_Stats!$F$16="",Norm_Stats!$G$16="",Norm_Stats!$G$16=Norm_Stats!$F$16),"",MAX(0,MIN(100,100*(Norm_Stats!$G$16-MIN(MAX(City_Inputs!$AL111,Norm_Stats!$F$16),Norm_Stats!$G$16))/(Norm_Stats!$G$16-Norm_Stats!$F$16)))))="",0,0.3))=0,"",(IF((IF(OR(City_Inputs!$AA111="",Norm_Stats!$F$15="",Norm_Stats!$G$15="",Norm_Stats!$G$15=Norm_Stats!$F$15),"",MAX(0,MIN(100,100*(MIN(MAX(City_Inputs!$AA111,Norm_Stats!$F$15),Norm_Stats!$G$15)-Norm_Stats!$F$15)/(Norm_Stats!$G$15-Norm_Stats!$F$15)))))="",0,(IF(OR(City_Inputs!$AA111="",Norm_Stats!$F$15="",Norm_Stats!$G$15="",Norm_Stats!$G$15=Norm_Stats!$F$15),"",MAX(0,MIN(100,100*(MIN(MAX(City_Inputs!$AA111,Norm_Stats!$F$15),Norm_Stats!$G$15)-Norm_Stats!$F$15)/(Norm_Stats!$G$15-Norm_Stats!$F$15)))))*0.7)+IF((IF(OR(City_Inputs!$AL111="",Norm_Stats!$F$16="",Norm_Stats!$G$16="",Norm_Stats!$G$16=Norm_Stats!$F$16),"",MAX(0,MIN(100,100*(Norm_Stats!$G$16-MIN(MAX(City_Inputs!$AL111,Norm_Stats!$F$16),Norm_Stats!$G$16))/(Norm_Stats!$G$16-Norm_Stats!$F$16)))))="",0,(IF(OR(City_Inputs!$AL111="",Norm_Stats!$F$16="",Norm_Stats!$G$16="",Norm_Stats!$G$16=Norm_Stats!$F$16),"",MAX(0,MIN(100,100*(Norm_Stats!$G$16-MIN(MAX(City_Inputs!$AL111,Norm_Stats!$F$16),Norm_Stats!$G$16))/(Norm_Stats!$G$16-Norm_Stats!$F$16)))))*0.3))/(IF((IF(OR(City_Inputs!$AA111="",Norm_Stats!$F$15="",Norm_Stats!$G$15="",Norm_Stats!$G$15=Norm_Stats!$F$15),"",MAX(0,MIN(100,100*(MIN(MAX(City_Inputs!$AA111,Norm_Stats!$F$15),Norm_Stats!$G$15)-Norm_Stats!$F$15)/(Norm_Stats!$G$15-Norm_Stats!$F$15)))))="",0,0.7)+IF((IF(OR(City_Inputs!$AL111="",Norm_Stats!$F$16="",Norm_Stats!$G$16="",Norm_Stats!$G$16=Norm_Stats!$F$16),"",MAX(0,MIN(100,100*(Norm_Stats!$G$16-MIN(MAX(City_Inputs!$AL111,Norm_Stats!$F$16),Norm_Stats!$G$16))/(Norm_Stats!$G$16-Norm_Stats!$F$16)))))="",0,0.3)))</f>
        <v/>
      </c>
      <c r="AL111" s="14">
        <f>IF((IF((IF(OR(City_Inputs!$AA111="",Norm_Stats!$F$15="",Norm_Stats!$G$15="",Norm_Stats!$G$15=Norm_Stats!$F$15),"",MAX(0,MIN(100,100*(MIN(MAX(City_Inputs!$AA111,Norm_Stats!$F$15),Norm_Stats!$G$15)-Norm_Stats!$F$15)/(Norm_Stats!$G$15-Norm_Stats!$F$15)))))="",0,0.7)+IF((IF(OR(City_Inputs!$AL111="",Norm_Stats!$F$16="",Norm_Stats!$G$16="",Norm_Stats!$G$16=Norm_Stats!$F$16),"",MAX(0,MIN(100,100*(Norm_Stats!$G$16-MIN(MAX(City_Inputs!$AL111,Norm_Stats!$F$16),Norm_Stats!$G$16))/(Norm_Stats!$G$16-Norm_Stats!$F$16)))))="",0,0.3))=0,"",(IF((IF(OR(City_Inputs!$AA111="",Norm_Stats!$F$15="",Norm_Stats!$G$15="",Norm_Stats!$G$15=Norm_Stats!$F$15),"",MAX(0,MIN(100,100*(MIN(MAX(City_Inputs!$AA111,Norm_Stats!$F$15),Norm_Stats!$G$15)-Norm_Stats!$F$15)/(Norm_Stats!$G$15-Norm_Stats!$F$15)))))="",0,0.7)+IF((IF(OR(City_Inputs!$AL111="",Norm_Stats!$F$16="",Norm_Stats!$G$16="",Norm_Stats!$G$16=Norm_Stats!$F$16),"",MAX(0,MIN(100,100*(Norm_Stats!$G$16-MIN(MAX(City_Inputs!$AL111,Norm_Stats!$F$16),Norm_Stats!$G$16))/(Norm_Stats!$G$16-Norm_Stats!$F$16)))))="",0,0.3)))</f>
        <v/>
      </c>
      <c r="AM111" s="15">
        <f>IF((IF(AG111="",0,8)+IF(AI111="",0,6)+IF(AK111="",0,4))=0,"",(IF(AG111="",0,AG111*8)+IF(AI111="",0,AI111*6)+IF(AK111="",0,AK111*4))/(IF(AG111="",0,8)+IF(AI111="",0,6)+IF(AK111="",0,4)))</f>
        <v/>
      </c>
      <c r="AN111" s="14">
        <f>IF((IF(AH111="",0,8)+IF(AJ111="",0,6)+IF(AL111="",0,4))=0,"",(IF(AH111="",0,AH111*8)+IF(AJ111="",0,AJ111*6)+IF(AL111="",0,AL111*4))/18)</f>
        <v/>
      </c>
      <c r="AO111" s="11">
        <f>IF(OR(City_Inputs!$AB111="",Norm_Stats!$F$17="",Norm_Stats!$G$17="",Norm_Stats!$G$17=Norm_Stats!$F$17),"",MAX(0,MIN(100,100*(MIN(MAX(City_Inputs!$AB111,Norm_Stats!$F$17),Norm_Stats!$G$17)-Norm_Stats!$F$17)/(Norm_Stats!$G$17-Norm_Stats!$F$17))))</f>
        <v/>
      </c>
      <c r="AP111" s="14">
        <f>IF(AO111="","",1)</f>
        <v/>
      </c>
      <c r="AQ111" s="11">
        <f>IF(OR(City_Inputs!$AC111="",Norm_Stats!$F$18="",Norm_Stats!$G$18="",Norm_Stats!$G$18=Norm_Stats!$F$18),"",MAX(0,MIN(100,100*(MIN(MAX(City_Inputs!$AC111,Norm_Stats!$F$18),Norm_Stats!$G$18)-Norm_Stats!$F$18)/(Norm_Stats!$G$18-Norm_Stats!$F$18))))</f>
        <v/>
      </c>
      <c r="AR111" s="14">
        <f>IF(AQ111="","",1)</f>
        <v/>
      </c>
      <c r="AS111" s="11">
        <f>IF(OR(City_Inputs!$AD111="",Norm_Stats!$F$19="",Norm_Stats!$G$19="",Norm_Stats!$G$19=Norm_Stats!$F$19),"",MAX(0,MIN(100,100*(MIN(MAX(City_Inputs!$AD111,Norm_Stats!$F$19),Norm_Stats!$G$19)-Norm_Stats!$F$19)/(Norm_Stats!$G$19-Norm_Stats!$F$19))))</f>
        <v/>
      </c>
      <c r="AT111" s="14">
        <f>IF(AS111="","",1)</f>
        <v/>
      </c>
      <c r="AU111" s="11">
        <f>IF(OR(City_Inputs!$BJ111="",Norm_Stats!$F$26="",Norm_Stats!$G$26="",Norm_Stats!$G$26=Norm_Stats!$F$26),"",MAX(0,MIN(100,100*(MIN(MAX(City_Inputs!$BJ111,Norm_Stats!$F$26),Norm_Stats!$G$26)-Norm_Stats!$F$26)/(Norm_Stats!$G$26-Norm_Stats!$F$26))))</f>
        <v/>
      </c>
      <c r="AV111" s="11">
        <f>IF(AU111="","",1)</f>
        <v/>
      </c>
      <c r="AW111" s="15">
        <f>IF((IF(AO111="",0,5)+IF(AQ111="",0,5)+IF(AS111="",0,5)+IF(AU111="",0,4))=0,"",(IF(AO111="",0,AO111*5)+IF(AQ111="",0,AQ111*5)+IF(AS111="",0,AS111*5)+IF(AU111="",0,AU111*4))/(IF(AO111="",0,5)+IF(AQ111="",0,5)+IF(AS111="",0,5)+IF(AU111="",0,4)))</f>
        <v/>
      </c>
      <c r="AX111" s="14">
        <f>IF((IF(AP111="",0,5)+IF(AR111="",0,5)+IF(AT111="",0,5)+IF(AV111="",0,4))=0,"",(IF(AP111="",0,AP111*5)+IF(AR111="",0,AR111*5)+IF(AT111="",0,AT111*5)+IF(AV111="",0,AV111*4))/19)</f>
        <v/>
      </c>
      <c r="AY111" s="11">
        <f>IF(OR(City_Inputs!$AE111="",Norm_Stats!$F$20="",Norm_Stats!$G$20="",Norm_Stats!$G$20=Norm_Stats!$F$20),"",MAX(0,MIN(100,100*(MIN(MAX(City_Inputs!$AE111,Norm_Stats!$F$20),Norm_Stats!$G$20)-Norm_Stats!$F$20)/(Norm_Stats!$G$20-Norm_Stats!$F$20))))</f>
        <v/>
      </c>
      <c r="AZ111" s="14">
        <f>IF(AY111="","",1)</f>
        <v/>
      </c>
      <c r="BA111" s="11">
        <f>IF(OR(City_Inputs!$AF111="",Norm_Stats!$F$21="",Norm_Stats!$G$21="",Norm_Stats!$G$21=Norm_Stats!$F$21),"",MAX(0,MIN(100,100*(MIN(MAX(City_Inputs!$AF111,Norm_Stats!$F$21),Norm_Stats!$G$21)-Norm_Stats!$F$21)/(Norm_Stats!$G$21-Norm_Stats!$F$21))))</f>
        <v/>
      </c>
      <c r="BB111" s="14">
        <f>IF(BA111="","",1)</f>
        <v/>
      </c>
      <c r="BC111" s="11">
        <f>IF((IF((IF(OR(City_Inputs!$AG111="",Norm_Stats!$F$22="",Norm_Stats!$G$22="",Norm_Stats!$G$22=Norm_Stats!$F$22),"",MAX(0,MIN(100,100*(MIN(MAX(City_Inputs!$AG111,Norm_Stats!$F$22),Norm_Stats!$G$22)-Norm_Stats!$F$22)/(Norm_Stats!$G$22-Norm_Stats!$F$22)))))="",0,0.5)+IF((IF(OR(City_Inputs!$AJ111="",Norm_Stats!$F$23="",Norm_Stats!$G$23="",Norm_Stats!$G$23=Norm_Stats!$F$23),"",MAX(0,MIN(100,100*(MIN(MAX(City_Inputs!$AJ111,Norm_Stats!$F$23),Norm_Stats!$G$23)-Norm_Stats!$F$23)/(Norm_Stats!$G$23-Norm_Stats!$F$23)))))="",0,0.3)+IF((IF(OR(City_Inputs!$AK111="",Norm_Stats!$F$24="",Norm_Stats!$G$24="",Norm_Stats!$G$24=Norm_Stats!$F$24),"",MAX(0,MIN(100,100*(MIN(MAX(City_Inputs!$AK111,Norm_Stats!$F$24),Norm_Stats!$G$24)-Norm_Stats!$F$24)/(Norm_Stats!$G$24-Norm_Stats!$F$24)))))="",0,0.2))=0,"",(IF((IF(OR(City_Inputs!$AG111="",Norm_Stats!$F$22="",Norm_Stats!$G$22="",Norm_Stats!$G$22=Norm_Stats!$F$22),"",MAX(0,MIN(100,100*(MIN(MAX(City_Inputs!$AG111,Norm_Stats!$F$22),Norm_Stats!$G$22)-Norm_Stats!$F$22)/(Norm_Stats!$G$22-Norm_Stats!$F$22)))))="",0,(IF(OR(City_Inputs!$AG111="",Norm_Stats!$F$22="",Norm_Stats!$G$22="",Norm_Stats!$G$22=Norm_Stats!$F$22),"",MAX(0,MIN(100,100*(MIN(MAX(City_Inputs!$AG111,Norm_Stats!$F$22),Norm_Stats!$G$22)-Norm_Stats!$F$22)/(Norm_Stats!$G$22-Norm_Stats!$F$22)))))*0.5)+IF((IF(OR(City_Inputs!$AJ111="",Norm_Stats!$F$23="",Norm_Stats!$G$23="",Norm_Stats!$G$23=Norm_Stats!$F$23),"",MAX(0,MIN(100,100*(MIN(MAX(City_Inputs!$AJ111,Norm_Stats!$F$23),Norm_Stats!$G$23)-Norm_Stats!$F$23)/(Norm_Stats!$G$23-Norm_Stats!$F$23)))))="",0,(IF(OR(City_Inputs!$AJ111="",Norm_Stats!$F$23="",Norm_Stats!$G$23="",Norm_Stats!$G$23=Norm_Stats!$F$23),"",MAX(0,MIN(100,100*(MIN(MAX(City_Inputs!$AJ111,Norm_Stats!$F$23),Norm_Stats!$G$23)-Norm_Stats!$F$23)/(Norm_Stats!$G$23-Norm_Stats!$F$23)))))*0.3)+IF((IF(OR(City_Inputs!$AK111="",Norm_Stats!$F$24="",Norm_Stats!$G$24="",Norm_Stats!$G$24=Norm_Stats!$F$24),"",MAX(0,MIN(100,100*(MIN(MAX(City_Inputs!$AK111,Norm_Stats!$F$24),Norm_Stats!$G$24)-Norm_Stats!$F$24)/(Norm_Stats!$G$24-Norm_Stats!$F$24)))))="",0,(IF(OR(City_Inputs!$AK111="",Norm_Stats!$F$24="",Norm_Stats!$G$24="",Norm_Stats!$G$24=Norm_Stats!$F$24),"",MAX(0,MIN(100,100*(MIN(MAX(City_Inputs!$AK111,Norm_Stats!$F$24),Norm_Stats!$G$24)-Norm_Stats!$F$24)/(Norm_Stats!$G$24-Norm_Stats!$F$24)))))*0.2))/(IF((IF(OR(City_Inputs!$AG111="",Norm_Stats!$F$22="",Norm_Stats!$G$22="",Norm_Stats!$G$22=Norm_Stats!$F$22),"",MAX(0,MIN(100,100*(MIN(MAX(City_Inputs!$AG111,Norm_Stats!$F$22),Norm_Stats!$G$22)-Norm_Stats!$F$22)/(Norm_Stats!$G$22-Norm_Stats!$F$22)))))="",0,0.5)+IF((IF(OR(City_Inputs!$AJ111="",Norm_Stats!$F$23="",Norm_Stats!$G$23="",Norm_Stats!$G$23=Norm_Stats!$F$23),"",MAX(0,MIN(100,100*(MIN(MAX(City_Inputs!$AJ111,Norm_Stats!$F$23),Norm_Stats!$G$23)-Norm_Stats!$F$23)/(Norm_Stats!$G$23-Norm_Stats!$F$23)))))="",0,0.3)+IF((IF(OR(City_Inputs!$AK111="",Norm_Stats!$F$24="",Norm_Stats!$G$24="",Norm_Stats!$G$24=Norm_Stats!$F$24),"",MAX(0,MIN(100,100*(MIN(MAX(City_Inputs!$AK111,Norm_Stats!$F$24),Norm_Stats!$G$24)-Norm_Stats!$F$24)/(Norm_Stats!$G$24-Norm_Stats!$F$24)))))="",0,0.2)))</f>
        <v/>
      </c>
      <c r="BD111" s="14">
        <f>IF((IF((IF(OR(City_Inputs!$AG111="",Norm_Stats!$F$22="",Norm_Stats!$G$22="",Norm_Stats!$G$22=Norm_Stats!$F$22),"",MAX(0,MIN(100,100*(MIN(MAX(City_Inputs!$AG111,Norm_Stats!$F$22),Norm_Stats!$G$22)-Norm_Stats!$F$22)/(Norm_Stats!$G$22-Norm_Stats!$F$22)))))="",0,0.5)+IF((IF(OR(City_Inputs!$AJ111="",Norm_Stats!$F$23="",Norm_Stats!$G$23="",Norm_Stats!$G$23=Norm_Stats!$F$23),"",MAX(0,MIN(100,100*(MIN(MAX(City_Inputs!$AJ111,Norm_Stats!$F$23),Norm_Stats!$G$23)-Norm_Stats!$F$23)/(Norm_Stats!$G$23-Norm_Stats!$F$23)))))="",0,0.3)+IF((IF(OR(City_Inputs!$AK111="",Norm_Stats!$F$24="",Norm_Stats!$G$24="",Norm_Stats!$G$24=Norm_Stats!$F$24),"",MAX(0,MIN(100,100*(MIN(MAX(City_Inputs!$AK111,Norm_Stats!$F$24),Norm_Stats!$G$24)-Norm_Stats!$F$24)/(Norm_Stats!$G$24-Norm_Stats!$F$24)))))="",0,0.2))=0,"",(IF((IF(OR(City_Inputs!$AG111="",Norm_Stats!$F$22="",Norm_Stats!$G$22="",Norm_Stats!$G$22=Norm_Stats!$F$22),"",MAX(0,MIN(100,100*(MIN(MAX(City_Inputs!$AG111,Norm_Stats!$F$22),Norm_Stats!$G$22)-Norm_Stats!$F$22)/(Norm_Stats!$G$22-Norm_Stats!$F$22)))))="",0,0.5)+IF((IF(OR(City_Inputs!$AJ111="",Norm_Stats!$F$23="",Norm_Stats!$G$23="",Norm_Stats!$G$23=Norm_Stats!$F$23),"",MAX(0,MIN(100,100*(MIN(MAX(City_Inputs!$AJ111,Norm_Stats!$F$23),Norm_Stats!$G$23)-Norm_Stats!$F$23)/(Norm_Stats!$G$23-Norm_Stats!$F$23)))))="",0,0.3)+IF((IF(OR(City_Inputs!$AK111="",Norm_Stats!$F$24="",Norm_Stats!$G$24="",Norm_Stats!$G$24=Norm_Stats!$F$24),"",MAX(0,MIN(100,100*(MIN(MAX(City_Inputs!$AK111,Norm_Stats!$F$24),Norm_Stats!$G$24)-Norm_Stats!$F$24)/(Norm_Stats!$G$24-Norm_Stats!$F$24)))))="",0,0.2)))</f>
        <v/>
      </c>
      <c r="BE111" s="11">
        <f>IF(OR(City_Inputs!$AH111="",Norm_Stats!$F$25="",Norm_Stats!$G$25="",Norm_Stats!$G$25=Norm_Stats!$F$25),"",MAX(0,MIN(100,100*(Norm_Stats!$G$25-MIN(MAX(City_Inputs!$AH111,Norm_Stats!$F$25),Norm_Stats!$G$25))/(Norm_Stats!$G$25-Norm_Stats!$F$25))))</f>
        <v/>
      </c>
      <c r="BF111" s="14">
        <f>IF(BE111="","",1)</f>
        <v/>
      </c>
      <c r="BG111" s="15">
        <f>IF((IF(AY111="",0,6)+IF(BA111="",0,5)+IF(BC111="",0,5)+IF(BE111="",0,4))=0,"",(IF(AY111="",0,AY111*6)+IF(BA111="",0,BA111*5)+IF(BC111="",0,BC111*5)+IF(BE111="",0,BE111*4))/(IF(AY111="",0,6)+IF(BA111="",0,5)+IF(BC111="",0,5)+IF(BE111="",0,4)))</f>
        <v/>
      </c>
      <c r="BH111" s="14">
        <f>IF((IF(AZ111="",0,6)+IF(BB111="",0,5)+IF(BD111="",0,5)+IF(BF111="",0,4))=0,"",(IF(AZ111="",0,AZ111*6)+IF(BB111="",0,BB111*5)+IF(BD111="",0,BD111*5)+IF(BF111="",0,BF111*4))/20)</f>
        <v/>
      </c>
      <c r="BI111" s="14">
        <f>IF(AND(R111="",AF111="",AN111="",AX111="",BH111=""),"",((R111*25)+(AF111*22)+(AN111*18)+(AX111*15)+(BH111*20))/100)</f>
        <v/>
      </c>
      <c r="BJ111" s="11">
        <f>IF(BI111="","",IF(BI111&gt;=0.75,"A",IF(BI111&gt;=0.5,"B",IF(BI111&gt;=0.35,"C","Watchlist"))))</f>
        <v/>
      </c>
      <c r="BK111" s="11">
        <f>IF(OR(BI111="",BI111&lt;0.5,R111="",R111&lt;0.35,AF111="",AF111&lt;0.35,AN111="",AN111&lt;0.35,AX111="",AX111&lt;0.35,BH111="",BH111&lt;0.35),"Watchlist","Ranked")</f>
        <v/>
      </c>
      <c r="BL111" s="15">
        <f>IF(AND(Q111="",AE111="",AM111="",AW111="",BG111=""),"",(IF(Q111="",0,Q111*25)+IF(AE111="",0,AE111*22)+IF(AM111="",0,AM111*18)+IF(AW111="",0,AW111*15)+IF(BG111="",0,BG111*20))/(IF(Q111="",0,25)+IF(AE111="",0,22)+IF(AM111="",0,18)+IF(AW111="",0,15)+IF(BG111="",0,20)))</f>
        <v/>
      </c>
      <c r="BM111" s="11">
        <f>IF(BK111="Ranked",1+COUNTIFS($BK$2:$BK$158,"Ranked",$BL$2:$BL$158,"&gt;"&amp;BL111),"")</f>
        <v/>
      </c>
      <c r="BN111" s="11">
        <f>City_Inputs!$AI111</f>
        <v/>
      </c>
    </row>
    <row r="112">
      <c r="A112" t="inlineStr">
        <is>
          <t>ph-cebu-city</t>
        </is>
      </c>
      <c r="B112" t="inlineStr">
        <is>
          <t>Cebu City</t>
        </is>
      </c>
      <c r="C112" t="inlineStr">
        <is>
          <t>Philippines</t>
        </is>
      </c>
      <c r="D112" t="inlineStr">
        <is>
          <t>Southeast Asia</t>
        </is>
      </c>
      <c r="E112" t="inlineStr">
        <is>
          <t>provisional</t>
        </is>
      </c>
      <c r="F112" t="inlineStr">
        <is>
          <t>secondary</t>
        </is>
      </c>
      <c r="G112" s="11">
        <f>IF(OR(City_Inputs!$M112="",Norm_Stats!$F$2="",Norm_Stats!$G$2="",Norm_Stats!$G$2=Norm_Stats!$F$2),"",MAX(0,MIN(100,100*(MIN(MAX(City_Inputs!$M112,Norm_Stats!$F$2),Norm_Stats!$G$2)-Norm_Stats!$F$2)/(Norm_Stats!$G$2-Norm_Stats!$F$2))))</f>
        <v/>
      </c>
      <c r="H112" s="14">
        <f>IF(G112="","",1)</f>
        <v/>
      </c>
      <c r="I112" s="11">
        <f>IF(OR(City_Inputs!$N112="",Norm_Stats!$F$3="",Norm_Stats!$G$3="",Norm_Stats!$G$3=Norm_Stats!$F$3),"",MAX(0,MIN(100,100*(Norm_Stats!$G$3-MIN(MAX(City_Inputs!$N112,Norm_Stats!$F$3),Norm_Stats!$G$3))/(Norm_Stats!$G$3-Norm_Stats!$F$3))))</f>
        <v/>
      </c>
      <c r="J112" s="14">
        <f>IF(I112="","",1)</f>
        <v/>
      </c>
      <c r="K112" s="11">
        <f>IF(OR(City_Inputs!$P112="",Norm_Stats!$F$4="",Norm_Stats!$G$4="",Norm_Stats!$G$4=Norm_Stats!$F$4),"",MAX(0,MIN(100,100*(Norm_Stats!$G$4-MIN(MAX(City_Inputs!$P112,Norm_Stats!$F$4),Norm_Stats!$G$4))/(Norm_Stats!$G$4-Norm_Stats!$F$4))))</f>
        <v/>
      </c>
      <c r="L112" s="14">
        <f>IF(K112="","",1)</f>
        <v/>
      </c>
      <c r="M112" s="11">
        <f>IF(OR(City_Inputs!$Q112="",Norm_Stats!$F$5="",Norm_Stats!$G$5="",Norm_Stats!$G$5=Norm_Stats!$F$5),"",MAX(0,MIN(100,100*(Norm_Stats!$G$5-MIN(MAX(City_Inputs!$Q112,Norm_Stats!$F$5),Norm_Stats!$G$5))/(Norm_Stats!$G$5-Norm_Stats!$F$5))))</f>
        <v/>
      </c>
      <c r="N112" s="14">
        <f>IF(M112="","",1)</f>
        <v/>
      </c>
      <c r="O112" s="11">
        <f>IF(OR(City_Inputs!$R112="",Norm_Stats!$F$6="",Norm_Stats!$G$6="",Norm_Stats!$G$6=Norm_Stats!$F$6),"",MAX(0,MIN(100,100*(Norm_Stats!$G$6-MIN(MAX(City_Inputs!$R112,Norm_Stats!$F$6),Norm_Stats!$G$6))/(Norm_Stats!$G$6-Norm_Stats!$F$6))))</f>
        <v/>
      </c>
      <c r="P112" s="14">
        <f>IF(O112="","",1)</f>
        <v/>
      </c>
      <c r="Q112" s="15">
        <f>IF((IF(G112="",0,9)+IF(I112="",0,5)+IF(K112="",0,4)+IF(M112="",0,4)+IF(O112="",0,5))=0,"",(IF(G112="",0,G112*9)+IF(I112="",0,I112*5)+IF(K112="",0,K112*4)+IF(M112="",0,M112*4)+IF(O112="",0,O112*5))/(IF(G112="",0,9)+IF(I112="",0,5)+IF(K112="",0,4)+IF(M112="",0,4)+IF(O112="",0,5)))</f>
        <v/>
      </c>
      <c r="R112" s="14">
        <f>IF((IF(H112="",0,9)+IF(J112="",0,5)+IF(L112="",0,4)+IF(N112="",0,4)+IF(P112="",0,5))=0,"",(IF(H112="",0,H112*9)+IF(J112="",0,J112*5)+IF(L112="",0,L112*4)+IF(N112="",0,N112*4)+IF(P112="",0,P112*5))/27)</f>
        <v/>
      </c>
      <c r="S112" s="11">
        <f>IF(OR(City_Inputs!$S112="",Norm_Stats!$F$7="",Norm_Stats!$G$7="",Norm_Stats!$G$7=Norm_Stats!$F$7),"",MAX(0,MIN(100,100*(Norm_Stats!$G$7-MIN(MAX(City_Inputs!$S112,Norm_Stats!$F$7),Norm_Stats!$G$7))/(Norm_Stats!$G$7-Norm_Stats!$F$7))))</f>
        <v/>
      </c>
      <c r="T112" s="14">
        <f>IF(S112="","",1)</f>
        <v/>
      </c>
      <c r="U112" s="11">
        <f>IF(OR(City_Inputs!$T112="",Norm_Stats!$F$8="",Norm_Stats!$G$8="",Norm_Stats!$G$8=Norm_Stats!$F$8),"",MAX(0,MIN(100,100*(MIN(MAX(City_Inputs!$T112,Norm_Stats!$F$8),Norm_Stats!$G$8)-Norm_Stats!$F$8)/(Norm_Stats!$G$8-Norm_Stats!$F$8))))</f>
        <v/>
      </c>
      <c r="V112" s="14">
        <f>IF(U112="","",1)</f>
        <v/>
      </c>
      <c r="W112" s="11">
        <f>IF(OR(City_Inputs!$U112="",Norm_Stats!$F$9="",Norm_Stats!$G$9="",Norm_Stats!$G$9=Norm_Stats!$F$9),"",MAX(0,MIN(100,100*(Norm_Stats!$G$9-MIN(MAX(City_Inputs!$U112,Norm_Stats!$F$9),Norm_Stats!$G$9))/(Norm_Stats!$G$9-Norm_Stats!$F$9))))</f>
        <v/>
      </c>
      <c r="X112" s="14">
        <f>IF(W112="","",1)</f>
        <v/>
      </c>
      <c r="Y112" s="11">
        <f>IF(OR(City_Inputs!$V112="",Norm_Stats!$F$10="",Norm_Stats!$G$10="",Norm_Stats!$G$10=Norm_Stats!$F$10),"",MAX(0,MIN(100,100*(MIN(MAX(City_Inputs!$V112,Norm_Stats!$F$10),Norm_Stats!$G$10)-Norm_Stats!$F$10)/(Norm_Stats!$G$10-Norm_Stats!$F$10))))</f>
        <v/>
      </c>
      <c r="Z112" s="14">
        <f>IF(Y112="","",1)</f>
        <v/>
      </c>
      <c r="AA112" s="11">
        <f>IF(OR(City_Inputs!$W112="",Norm_Stats!$F$11="",Norm_Stats!$G$11="",Norm_Stats!$G$11=Norm_Stats!$F$11),"",MAX(0,MIN(100,100*(MIN(MAX(City_Inputs!$W112,Norm_Stats!$F$11),Norm_Stats!$G$11)-Norm_Stats!$F$11)/(Norm_Stats!$G$11-Norm_Stats!$F$11))))</f>
        <v/>
      </c>
      <c r="AB112" s="14">
        <f>IF(AA112="","",1)</f>
        <v/>
      </c>
      <c r="AC112" s="11">
        <f>IF(OR(City_Inputs!$X112="",Norm_Stats!$F$12="",Norm_Stats!$G$12="",Norm_Stats!$G$12=Norm_Stats!$F$12),"",MAX(0,MIN(100,100*(MIN(MAX(City_Inputs!$X112,Norm_Stats!$F$12),Norm_Stats!$G$12)-Norm_Stats!$F$12)/(Norm_Stats!$G$12-Norm_Stats!$F$12))))</f>
        <v/>
      </c>
      <c r="AD112" s="11">
        <f>IF(AC112="","",1)</f>
        <v/>
      </c>
      <c r="AE112" s="15">
        <f>IF((IF(S112="",0,5)+IF(U112="",0,5)+IF(W112="",0,4)+IF(Y112="",0,4)+IF(AA112="",0,4)+IF(AC112="",0,5))=0,"",(IF(S112="",0,S112*5)+IF(U112="",0,U112*5)+IF(W112="",0,W112*4)+IF(Y112="",0,Y112*4)+IF(AA112="",0,AA112*4)+IF(AC112="",0,AC112*5))/(IF(S112="",0,5)+IF(U112="",0,5)+IF(W112="",0,4)+IF(Y112="",0,4)+IF(AA112="",0,4)+IF(AC112="",0,5)))</f>
        <v/>
      </c>
      <c r="AF112" s="14">
        <f>IF((IF(T112="",0,5)+IF(V112="",0,5)+IF(X112="",0,4)+IF(Z112="",0,4)+IF(AB112="",0,4)+IF(AD112="",0,5))=0,"",(IF(T112="",0,T112*5)+IF(V112="",0,V112*5)+IF(X112="",0,X112*4)+IF(Z112="",0,Z112*4)+IF(AB112="",0,AB112*4)+IF(AD112="",0,AD112*5))/27)</f>
        <v/>
      </c>
      <c r="AG112" s="11">
        <f>IF(OR(City_Inputs!$Y112="",Norm_Stats!$F$13="",Norm_Stats!$G$13="",Norm_Stats!$G$13=Norm_Stats!$F$13),"",MAX(0,MIN(100,100*(MIN(MAX(City_Inputs!$Y112,Norm_Stats!$F$13),Norm_Stats!$G$13)-Norm_Stats!$F$13)/(Norm_Stats!$G$13-Norm_Stats!$F$13))))</f>
        <v/>
      </c>
      <c r="AH112" s="14">
        <f>IF(AG112="","",1)</f>
        <v/>
      </c>
      <c r="AI112" s="11">
        <f>IF(OR(City_Inputs!$Z112="",Norm_Stats!$F$14="",Norm_Stats!$G$14="",Norm_Stats!$G$14=Norm_Stats!$F$14),"",MAX(0,MIN(100,100*(MIN(MAX(City_Inputs!$Z112,Norm_Stats!$F$14),Norm_Stats!$G$14)-Norm_Stats!$F$14)/(Norm_Stats!$G$14-Norm_Stats!$F$14))))</f>
        <v/>
      </c>
      <c r="AJ112" s="14">
        <f>IF(AI112="","",1)</f>
        <v/>
      </c>
      <c r="AK112" s="11">
        <f>IF((IF((IF(OR(City_Inputs!$AA112="",Norm_Stats!$F$15="",Norm_Stats!$G$15="",Norm_Stats!$G$15=Norm_Stats!$F$15),"",MAX(0,MIN(100,100*(MIN(MAX(City_Inputs!$AA112,Norm_Stats!$F$15),Norm_Stats!$G$15)-Norm_Stats!$F$15)/(Norm_Stats!$G$15-Norm_Stats!$F$15)))))="",0,0.7)+IF((IF(OR(City_Inputs!$AL112="",Norm_Stats!$F$16="",Norm_Stats!$G$16="",Norm_Stats!$G$16=Norm_Stats!$F$16),"",MAX(0,MIN(100,100*(Norm_Stats!$G$16-MIN(MAX(City_Inputs!$AL112,Norm_Stats!$F$16),Norm_Stats!$G$16))/(Norm_Stats!$G$16-Norm_Stats!$F$16)))))="",0,0.3))=0,"",(IF((IF(OR(City_Inputs!$AA112="",Norm_Stats!$F$15="",Norm_Stats!$G$15="",Norm_Stats!$G$15=Norm_Stats!$F$15),"",MAX(0,MIN(100,100*(MIN(MAX(City_Inputs!$AA112,Norm_Stats!$F$15),Norm_Stats!$G$15)-Norm_Stats!$F$15)/(Norm_Stats!$G$15-Norm_Stats!$F$15)))))="",0,(IF(OR(City_Inputs!$AA112="",Norm_Stats!$F$15="",Norm_Stats!$G$15="",Norm_Stats!$G$15=Norm_Stats!$F$15),"",MAX(0,MIN(100,100*(MIN(MAX(City_Inputs!$AA112,Norm_Stats!$F$15),Norm_Stats!$G$15)-Norm_Stats!$F$15)/(Norm_Stats!$G$15-Norm_Stats!$F$15)))))*0.7)+IF((IF(OR(City_Inputs!$AL112="",Norm_Stats!$F$16="",Norm_Stats!$G$16="",Norm_Stats!$G$16=Norm_Stats!$F$16),"",MAX(0,MIN(100,100*(Norm_Stats!$G$16-MIN(MAX(City_Inputs!$AL112,Norm_Stats!$F$16),Norm_Stats!$G$16))/(Norm_Stats!$G$16-Norm_Stats!$F$16)))))="",0,(IF(OR(City_Inputs!$AL112="",Norm_Stats!$F$16="",Norm_Stats!$G$16="",Norm_Stats!$G$16=Norm_Stats!$F$16),"",MAX(0,MIN(100,100*(Norm_Stats!$G$16-MIN(MAX(City_Inputs!$AL112,Norm_Stats!$F$16),Norm_Stats!$G$16))/(Norm_Stats!$G$16-Norm_Stats!$F$16)))))*0.3))/(IF((IF(OR(City_Inputs!$AA112="",Norm_Stats!$F$15="",Norm_Stats!$G$15="",Norm_Stats!$G$15=Norm_Stats!$F$15),"",MAX(0,MIN(100,100*(MIN(MAX(City_Inputs!$AA112,Norm_Stats!$F$15),Norm_Stats!$G$15)-Norm_Stats!$F$15)/(Norm_Stats!$G$15-Norm_Stats!$F$15)))))="",0,0.7)+IF((IF(OR(City_Inputs!$AL112="",Norm_Stats!$F$16="",Norm_Stats!$G$16="",Norm_Stats!$G$16=Norm_Stats!$F$16),"",MAX(0,MIN(100,100*(Norm_Stats!$G$16-MIN(MAX(City_Inputs!$AL112,Norm_Stats!$F$16),Norm_Stats!$G$16))/(Norm_Stats!$G$16-Norm_Stats!$F$16)))))="",0,0.3)))</f>
        <v/>
      </c>
      <c r="AL112" s="14">
        <f>IF((IF((IF(OR(City_Inputs!$AA112="",Norm_Stats!$F$15="",Norm_Stats!$G$15="",Norm_Stats!$G$15=Norm_Stats!$F$15),"",MAX(0,MIN(100,100*(MIN(MAX(City_Inputs!$AA112,Norm_Stats!$F$15),Norm_Stats!$G$15)-Norm_Stats!$F$15)/(Norm_Stats!$G$15-Norm_Stats!$F$15)))))="",0,0.7)+IF((IF(OR(City_Inputs!$AL112="",Norm_Stats!$F$16="",Norm_Stats!$G$16="",Norm_Stats!$G$16=Norm_Stats!$F$16),"",MAX(0,MIN(100,100*(Norm_Stats!$G$16-MIN(MAX(City_Inputs!$AL112,Norm_Stats!$F$16),Norm_Stats!$G$16))/(Norm_Stats!$G$16-Norm_Stats!$F$16)))))="",0,0.3))=0,"",(IF((IF(OR(City_Inputs!$AA112="",Norm_Stats!$F$15="",Norm_Stats!$G$15="",Norm_Stats!$G$15=Norm_Stats!$F$15),"",MAX(0,MIN(100,100*(MIN(MAX(City_Inputs!$AA112,Norm_Stats!$F$15),Norm_Stats!$G$15)-Norm_Stats!$F$15)/(Norm_Stats!$G$15-Norm_Stats!$F$15)))))="",0,0.7)+IF((IF(OR(City_Inputs!$AL112="",Norm_Stats!$F$16="",Norm_Stats!$G$16="",Norm_Stats!$G$16=Norm_Stats!$F$16),"",MAX(0,MIN(100,100*(Norm_Stats!$G$16-MIN(MAX(City_Inputs!$AL112,Norm_Stats!$F$16),Norm_Stats!$G$16))/(Norm_Stats!$G$16-Norm_Stats!$F$16)))))="",0,0.3)))</f>
        <v/>
      </c>
      <c r="AM112" s="15">
        <f>IF((IF(AG112="",0,8)+IF(AI112="",0,6)+IF(AK112="",0,4))=0,"",(IF(AG112="",0,AG112*8)+IF(AI112="",0,AI112*6)+IF(AK112="",0,AK112*4))/(IF(AG112="",0,8)+IF(AI112="",0,6)+IF(AK112="",0,4)))</f>
        <v/>
      </c>
      <c r="AN112" s="14">
        <f>IF((IF(AH112="",0,8)+IF(AJ112="",0,6)+IF(AL112="",0,4))=0,"",(IF(AH112="",0,AH112*8)+IF(AJ112="",0,AJ112*6)+IF(AL112="",0,AL112*4))/18)</f>
        <v/>
      </c>
      <c r="AO112" s="11">
        <f>IF(OR(City_Inputs!$AB112="",Norm_Stats!$F$17="",Norm_Stats!$G$17="",Norm_Stats!$G$17=Norm_Stats!$F$17),"",MAX(0,MIN(100,100*(MIN(MAX(City_Inputs!$AB112,Norm_Stats!$F$17),Norm_Stats!$G$17)-Norm_Stats!$F$17)/(Norm_Stats!$G$17-Norm_Stats!$F$17))))</f>
        <v/>
      </c>
      <c r="AP112" s="14">
        <f>IF(AO112="","",1)</f>
        <v/>
      </c>
      <c r="AQ112" s="11">
        <f>IF(OR(City_Inputs!$AC112="",Norm_Stats!$F$18="",Norm_Stats!$G$18="",Norm_Stats!$G$18=Norm_Stats!$F$18),"",MAX(0,MIN(100,100*(MIN(MAX(City_Inputs!$AC112,Norm_Stats!$F$18),Norm_Stats!$G$18)-Norm_Stats!$F$18)/(Norm_Stats!$G$18-Norm_Stats!$F$18))))</f>
        <v/>
      </c>
      <c r="AR112" s="14">
        <f>IF(AQ112="","",1)</f>
        <v/>
      </c>
      <c r="AS112" s="11">
        <f>IF(OR(City_Inputs!$AD112="",Norm_Stats!$F$19="",Norm_Stats!$G$19="",Norm_Stats!$G$19=Norm_Stats!$F$19),"",MAX(0,MIN(100,100*(MIN(MAX(City_Inputs!$AD112,Norm_Stats!$F$19),Norm_Stats!$G$19)-Norm_Stats!$F$19)/(Norm_Stats!$G$19-Norm_Stats!$F$19))))</f>
        <v/>
      </c>
      <c r="AT112" s="14">
        <f>IF(AS112="","",1)</f>
        <v/>
      </c>
      <c r="AU112" s="11">
        <f>IF(OR(City_Inputs!$BJ112="",Norm_Stats!$F$26="",Norm_Stats!$G$26="",Norm_Stats!$G$26=Norm_Stats!$F$26),"",MAX(0,MIN(100,100*(MIN(MAX(City_Inputs!$BJ112,Norm_Stats!$F$26),Norm_Stats!$G$26)-Norm_Stats!$F$26)/(Norm_Stats!$G$26-Norm_Stats!$F$26))))</f>
        <v/>
      </c>
      <c r="AV112" s="11">
        <f>IF(AU112="","",1)</f>
        <v/>
      </c>
      <c r="AW112" s="15">
        <f>IF((IF(AO112="",0,5)+IF(AQ112="",0,5)+IF(AS112="",0,5)+IF(AU112="",0,4))=0,"",(IF(AO112="",0,AO112*5)+IF(AQ112="",0,AQ112*5)+IF(AS112="",0,AS112*5)+IF(AU112="",0,AU112*4))/(IF(AO112="",0,5)+IF(AQ112="",0,5)+IF(AS112="",0,5)+IF(AU112="",0,4)))</f>
        <v/>
      </c>
      <c r="AX112" s="14">
        <f>IF((IF(AP112="",0,5)+IF(AR112="",0,5)+IF(AT112="",0,5)+IF(AV112="",0,4))=0,"",(IF(AP112="",0,AP112*5)+IF(AR112="",0,AR112*5)+IF(AT112="",0,AT112*5)+IF(AV112="",0,AV112*4))/19)</f>
        <v/>
      </c>
      <c r="AY112" s="11">
        <f>IF(OR(City_Inputs!$AE112="",Norm_Stats!$F$20="",Norm_Stats!$G$20="",Norm_Stats!$G$20=Norm_Stats!$F$20),"",MAX(0,MIN(100,100*(MIN(MAX(City_Inputs!$AE112,Norm_Stats!$F$20),Norm_Stats!$G$20)-Norm_Stats!$F$20)/(Norm_Stats!$G$20-Norm_Stats!$F$20))))</f>
        <v/>
      </c>
      <c r="AZ112" s="14">
        <f>IF(AY112="","",1)</f>
        <v/>
      </c>
      <c r="BA112" s="11">
        <f>IF(OR(City_Inputs!$AF112="",Norm_Stats!$F$21="",Norm_Stats!$G$21="",Norm_Stats!$G$21=Norm_Stats!$F$21),"",MAX(0,MIN(100,100*(MIN(MAX(City_Inputs!$AF112,Norm_Stats!$F$21),Norm_Stats!$G$21)-Norm_Stats!$F$21)/(Norm_Stats!$G$21-Norm_Stats!$F$21))))</f>
        <v/>
      </c>
      <c r="BB112" s="14">
        <f>IF(BA112="","",1)</f>
        <v/>
      </c>
      <c r="BC112" s="11">
        <f>IF((IF((IF(OR(City_Inputs!$AG112="",Norm_Stats!$F$22="",Norm_Stats!$G$22="",Norm_Stats!$G$22=Norm_Stats!$F$22),"",MAX(0,MIN(100,100*(MIN(MAX(City_Inputs!$AG112,Norm_Stats!$F$22),Norm_Stats!$G$22)-Norm_Stats!$F$22)/(Norm_Stats!$G$22-Norm_Stats!$F$22)))))="",0,0.5)+IF((IF(OR(City_Inputs!$AJ112="",Norm_Stats!$F$23="",Norm_Stats!$G$23="",Norm_Stats!$G$23=Norm_Stats!$F$23),"",MAX(0,MIN(100,100*(MIN(MAX(City_Inputs!$AJ112,Norm_Stats!$F$23),Norm_Stats!$G$23)-Norm_Stats!$F$23)/(Norm_Stats!$G$23-Norm_Stats!$F$23)))))="",0,0.3)+IF((IF(OR(City_Inputs!$AK112="",Norm_Stats!$F$24="",Norm_Stats!$G$24="",Norm_Stats!$G$24=Norm_Stats!$F$24),"",MAX(0,MIN(100,100*(MIN(MAX(City_Inputs!$AK112,Norm_Stats!$F$24),Norm_Stats!$G$24)-Norm_Stats!$F$24)/(Norm_Stats!$G$24-Norm_Stats!$F$24)))))="",0,0.2))=0,"",(IF((IF(OR(City_Inputs!$AG112="",Norm_Stats!$F$22="",Norm_Stats!$G$22="",Norm_Stats!$G$22=Norm_Stats!$F$22),"",MAX(0,MIN(100,100*(MIN(MAX(City_Inputs!$AG112,Norm_Stats!$F$22),Norm_Stats!$G$22)-Norm_Stats!$F$22)/(Norm_Stats!$G$22-Norm_Stats!$F$22)))))="",0,(IF(OR(City_Inputs!$AG112="",Norm_Stats!$F$22="",Norm_Stats!$G$22="",Norm_Stats!$G$22=Norm_Stats!$F$22),"",MAX(0,MIN(100,100*(MIN(MAX(City_Inputs!$AG112,Norm_Stats!$F$22),Norm_Stats!$G$22)-Norm_Stats!$F$22)/(Norm_Stats!$G$22-Norm_Stats!$F$22)))))*0.5)+IF((IF(OR(City_Inputs!$AJ112="",Norm_Stats!$F$23="",Norm_Stats!$G$23="",Norm_Stats!$G$23=Norm_Stats!$F$23),"",MAX(0,MIN(100,100*(MIN(MAX(City_Inputs!$AJ112,Norm_Stats!$F$23),Norm_Stats!$G$23)-Norm_Stats!$F$23)/(Norm_Stats!$G$23-Norm_Stats!$F$23)))))="",0,(IF(OR(City_Inputs!$AJ112="",Norm_Stats!$F$23="",Norm_Stats!$G$23="",Norm_Stats!$G$23=Norm_Stats!$F$23),"",MAX(0,MIN(100,100*(MIN(MAX(City_Inputs!$AJ112,Norm_Stats!$F$23),Norm_Stats!$G$23)-Norm_Stats!$F$23)/(Norm_Stats!$G$23-Norm_Stats!$F$23)))))*0.3)+IF((IF(OR(City_Inputs!$AK112="",Norm_Stats!$F$24="",Norm_Stats!$G$24="",Norm_Stats!$G$24=Norm_Stats!$F$24),"",MAX(0,MIN(100,100*(MIN(MAX(City_Inputs!$AK112,Norm_Stats!$F$24),Norm_Stats!$G$24)-Norm_Stats!$F$24)/(Norm_Stats!$G$24-Norm_Stats!$F$24)))))="",0,(IF(OR(City_Inputs!$AK112="",Norm_Stats!$F$24="",Norm_Stats!$G$24="",Norm_Stats!$G$24=Norm_Stats!$F$24),"",MAX(0,MIN(100,100*(MIN(MAX(City_Inputs!$AK112,Norm_Stats!$F$24),Norm_Stats!$G$24)-Norm_Stats!$F$24)/(Norm_Stats!$G$24-Norm_Stats!$F$24)))))*0.2))/(IF((IF(OR(City_Inputs!$AG112="",Norm_Stats!$F$22="",Norm_Stats!$G$22="",Norm_Stats!$G$22=Norm_Stats!$F$22),"",MAX(0,MIN(100,100*(MIN(MAX(City_Inputs!$AG112,Norm_Stats!$F$22),Norm_Stats!$G$22)-Norm_Stats!$F$22)/(Norm_Stats!$G$22-Norm_Stats!$F$22)))))="",0,0.5)+IF((IF(OR(City_Inputs!$AJ112="",Norm_Stats!$F$23="",Norm_Stats!$G$23="",Norm_Stats!$G$23=Norm_Stats!$F$23),"",MAX(0,MIN(100,100*(MIN(MAX(City_Inputs!$AJ112,Norm_Stats!$F$23),Norm_Stats!$G$23)-Norm_Stats!$F$23)/(Norm_Stats!$G$23-Norm_Stats!$F$23)))))="",0,0.3)+IF((IF(OR(City_Inputs!$AK112="",Norm_Stats!$F$24="",Norm_Stats!$G$24="",Norm_Stats!$G$24=Norm_Stats!$F$24),"",MAX(0,MIN(100,100*(MIN(MAX(City_Inputs!$AK112,Norm_Stats!$F$24),Norm_Stats!$G$24)-Norm_Stats!$F$24)/(Norm_Stats!$G$24-Norm_Stats!$F$24)))))="",0,0.2)))</f>
        <v/>
      </c>
      <c r="BD112" s="14">
        <f>IF((IF((IF(OR(City_Inputs!$AG112="",Norm_Stats!$F$22="",Norm_Stats!$G$22="",Norm_Stats!$G$22=Norm_Stats!$F$22),"",MAX(0,MIN(100,100*(MIN(MAX(City_Inputs!$AG112,Norm_Stats!$F$22),Norm_Stats!$G$22)-Norm_Stats!$F$22)/(Norm_Stats!$G$22-Norm_Stats!$F$22)))))="",0,0.5)+IF((IF(OR(City_Inputs!$AJ112="",Norm_Stats!$F$23="",Norm_Stats!$G$23="",Norm_Stats!$G$23=Norm_Stats!$F$23),"",MAX(0,MIN(100,100*(MIN(MAX(City_Inputs!$AJ112,Norm_Stats!$F$23),Norm_Stats!$G$23)-Norm_Stats!$F$23)/(Norm_Stats!$G$23-Norm_Stats!$F$23)))))="",0,0.3)+IF((IF(OR(City_Inputs!$AK112="",Norm_Stats!$F$24="",Norm_Stats!$G$24="",Norm_Stats!$G$24=Norm_Stats!$F$24),"",MAX(0,MIN(100,100*(MIN(MAX(City_Inputs!$AK112,Norm_Stats!$F$24),Norm_Stats!$G$24)-Norm_Stats!$F$24)/(Norm_Stats!$G$24-Norm_Stats!$F$24)))))="",0,0.2))=0,"",(IF((IF(OR(City_Inputs!$AG112="",Norm_Stats!$F$22="",Norm_Stats!$G$22="",Norm_Stats!$G$22=Norm_Stats!$F$22),"",MAX(0,MIN(100,100*(MIN(MAX(City_Inputs!$AG112,Norm_Stats!$F$22),Norm_Stats!$G$22)-Norm_Stats!$F$22)/(Norm_Stats!$G$22-Norm_Stats!$F$22)))))="",0,0.5)+IF((IF(OR(City_Inputs!$AJ112="",Norm_Stats!$F$23="",Norm_Stats!$G$23="",Norm_Stats!$G$23=Norm_Stats!$F$23),"",MAX(0,MIN(100,100*(MIN(MAX(City_Inputs!$AJ112,Norm_Stats!$F$23),Norm_Stats!$G$23)-Norm_Stats!$F$23)/(Norm_Stats!$G$23-Norm_Stats!$F$23)))))="",0,0.3)+IF((IF(OR(City_Inputs!$AK112="",Norm_Stats!$F$24="",Norm_Stats!$G$24="",Norm_Stats!$G$24=Norm_Stats!$F$24),"",MAX(0,MIN(100,100*(MIN(MAX(City_Inputs!$AK112,Norm_Stats!$F$24),Norm_Stats!$G$24)-Norm_Stats!$F$24)/(Norm_Stats!$G$24-Norm_Stats!$F$24)))))="",0,0.2)))</f>
        <v/>
      </c>
      <c r="BE112" s="11">
        <f>IF(OR(City_Inputs!$AH112="",Norm_Stats!$F$25="",Norm_Stats!$G$25="",Norm_Stats!$G$25=Norm_Stats!$F$25),"",MAX(0,MIN(100,100*(Norm_Stats!$G$25-MIN(MAX(City_Inputs!$AH112,Norm_Stats!$F$25),Norm_Stats!$G$25))/(Norm_Stats!$G$25-Norm_Stats!$F$25))))</f>
        <v/>
      </c>
      <c r="BF112" s="14">
        <f>IF(BE112="","",1)</f>
        <v/>
      </c>
      <c r="BG112" s="15">
        <f>IF((IF(AY112="",0,6)+IF(BA112="",0,5)+IF(BC112="",0,5)+IF(BE112="",0,4))=0,"",(IF(AY112="",0,AY112*6)+IF(BA112="",0,BA112*5)+IF(BC112="",0,BC112*5)+IF(BE112="",0,BE112*4))/(IF(AY112="",0,6)+IF(BA112="",0,5)+IF(BC112="",0,5)+IF(BE112="",0,4)))</f>
        <v/>
      </c>
      <c r="BH112" s="14">
        <f>IF((IF(AZ112="",0,6)+IF(BB112="",0,5)+IF(BD112="",0,5)+IF(BF112="",0,4))=0,"",(IF(AZ112="",0,AZ112*6)+IF(BB112="",0,BB112*5)+IF(BD112="",0,BD112*5)+IF(BF112="",0,BF112*4))/20)</f>
        <v/>
      </c>
      <c r="BI112" s="14">
        <f>IF(AND(R112="",AF112="",AN112="",AX112="",BH112=""),"",((R112*25)+(AF112*22)+(AN112*18)+(AX112*15)+(BH112*20))/100)</f>
        <v/>
      </c>
      <c r="BJ112" s="11">
        <f>IF(BI112="","",IF(BI112&gt;=0.75,"A",IF(BI112&gt;=0.5,"B",IF(BI112&gt;=0.35,"C","Watchlist"))))</f>
        <v/>
      </c>
      <c r="BK112" s="11">
        <f>IF(OR(BI112="",BI112&lt;0.5,R112="",R112&lt;0.35,AF112="",AF112&lt;0.35,AN112="",AN112&lt;0.35,AX112="",AX112&lt;0.35,BH112="",BH112&lt;0.35),"Watchlist","Ranked")</f>
        <v/>
      </c>
      <c r="BL112" s="15">
        <f>IF(AND(Q112="",AE112="",AM112="",AW112="",BG112=""),"",(IF(Q112="",0,Q112*25)+IF(AE112="",0,AE112*22)+IF(AM112="",0,AM112*18)+IF(AW112="",0,AW112*15)+IF(BG112="",0,BG112*20))/(IF(Q112="",0,25)+IF(AE112="",0,22)+IF(AM112="",0,18)+IF(AW112="",0,15)+IF(BG112="",0,20)))</f>
        <v/>
      </c>
      <c r="BM112" s="11">
        <f>IF(BK112="Ranked",1+COUNTIFS($BK$2:$BK$158,"Ranked",$BL$2:$BL$158,"&gt;"&amp;BL112),"")</f>
        <v/>
      </c>
      <c r="BN112" s="11">
        <f>City_Inputs!$AI112</f>
        <v/>
      </c>
    </row>
    <row r="113">
      <c r="A113" t="inlineStr">
        <is>
          <t>vn-da-nang</t>
        </is>
      </c>
      <c r="B113" t="inlineStr">
        <is>
          <t>Da Nang</t>
        </is>
      </c>
      <c r="C113" t="inlineStr">
        <is>
          <t>Vietnam</t>
        </is>
      </c>
      <c r="D113" t="inlineStr">
        <is>
          <t>Southeast Asia</t>
        </is>
      </c>
      <c r="E113" t="inlineStr">
        <is>
          <t>provisional</t>
        </is>
      </c>
      <c r="F113" t="inlineStr">
        <is>
          <t>secondary</t>
        </is>
      </c>
      <c r="G113" s="11">
        <f>IF(OR(City_Inputs!$M113="",Norm_Stats!$F$2="",Norm_Stats!$G$2="",Norm_Stats!$G$2=Norm_Stats!$F$2),"",MAX(0,MIN(100,100*(MIN(MAX(City_Inputs!$M113,Norm_Stats!$F$2),Norm_Stats!$G$2)-Norm_Stats!$F$2)/(Norm_Stats!$G$2-Norm_Stats!$F$2))))</f>
        <v/>
      </c>
      <c r="H113" s="14">
        <f>IF(G113="","",1)</f>
        <v/>
      </c>
      <c r="I113" s="11">
        <f>IF(OR(City_Inputs!$N113="",Norm_Stats!$F$3="",Norm_Stats!$G$3="",Norm_Stats!$G$3=Norm_Stats!$F$3),"",MAX(0,MIN(100,100*(Norm_Stats!$G$3-MIN(MAX(City_Inputs!$N113,Norm_Stats!$F$3),Norm_Stats!$G$3))/(Norm_Stats!$G$3-Norm_Stats!$F$3))))</f>
        <v/>
      </c>
      <c r="J113" s="14">
        <f>IF(I113="","",1)</f>
        <v/>
      </c>
      <c r="K113" s="11">
        <f>IF(OR(City_Inputs!$P113="",Norm_Stats!$F$4="",Norm_Stats!$G$4="",Norm_Stats!$G$4=Norm_Stats!$F$4),"",MAX(0,MIN(100,100*(Norm_Stats!$G$4-MIN(MAX(City_Inputs!$P113,Norm_Stats!$F$4),Norm_Stats!$G$4))/(Norm_Stats!$G$4-Norm_Stats!$F$4))))</f>
        <v/>
      </c>
      <c r="L113" s="14">
        <f>IF(K113="","",1)</f>
        <v/>
      </c>
      <c r="M113" s="11">
        <f>IF(OR(City_Inputs!$Q113="",Norm_Stats!$F$5="",Norm_Stats!$G$5="",Norm_Stats!$G$5=Norm_Stats!$F$5),"",MAX(0,MIN(100,100*(Norm_Stats!$G$5-MIN(MAX(City_Inputs!$Q113,Norm_Stats!$F$5),Norm_Stats!$G$5))/(Norm_Stats!$G$5-Norm_Stats!$F$5))))</f>
        <v/>
      </c>
      <c r="N113" s="14">
        <f>IF(M113="","",1)</f>
        <v/>
      </c>
      <c r="O113" s="11">
        <f>IF(OR(City_Inputs!$R113="",Norm_Stats!$F$6="",Norm_Stats!$G$6="",Norm_Stats!$G$6=Norm_Stats!$F$6),"",MAX(0,MIN(100,100*(Norm_Stats!$G$6-MIN(MAX(City_Inputs!$R113,Norm_Stats!$F$6),Norm_Stats!$G$6))/(Norm_Stats!$G$6-Norm_Stats!$F$6))))</f>
        <v/>
      </c>
      <c r="P113" s="14">
        <f>IF(O113="","",1)</f>
        <v/>
      </c>
      <c r="Q113" s="15">
        <f>IF((IF(G113="",0,9)+IF(I113="",0,5)+IF(K113="",0,4)+IF(M113="",0,4)+IF(O113="",0,5))=0,"",(IF(G113="",0,G113*9)+IF(I113="",0,I113*5)+IF(K113="",0,K113*4)+IF(M113="",0,M113*4)+IF(O113="",0,O113*5))/(IF(G113="",0,9)+IF(I113="",0,5)+IF(K113="",0,4)+IF(M113="",0,4)+IF(O113="",0,5)))</f>
        <v/>
      </c>
      <c r="R113" s="14">
        <f>IF((IF(H113="",0,9)+IF(J113="",0,5)+IF(L113="",0,4)+IF(N113="",0,4)+IF(P113="",0,5))=0,"",(IF(H113="",0,H113*9)+IF(J113="",0,J113*5)+IF(L113="",0,L113*4)+IF(N113="",0,N113*4)+IF(P113="",0,P113*5))/27)</f>
        <v/>
      </c>
      <c r="S113" s="11">
        <f>IF(OR(City_Inputs!$S113="",Norm_Stats!$F$7="",Norm_Stats!$G$7="",Norm_Stats!$G$7=Norm_Stats!$F$7),"",MAX(0,MIN(100,100*(Norm_Stats!$G$7-MIN(MAX(City_Inputs!$S113,Norm_Stats!$F$7),Norm_Stats!$G$7))/(Norm_Stats!$G$7-Norm_Stats!$F$7))))</f>
        <v/>
      </c>
      <c r="T113" s="14">
        <f>IF(S113="","",1)</f>
        <v/>
      </c>
      <c r="U113" s="11">
        <f>IF(OR(City_Inputs!$T113="",Norm_Stats!$F$8="",Norm_Stats!$G$8="",Norm_Stats!$G$8=Norm_Stats!$F$8),"",MAX(0,MIN(100,100*(MIN(MAX(City_Inputs!$T113,Norm_Stats!$F$8),Norm_Stats!$G$8)-Norm_Stats!$F$8)/(Norm_Stats!$G$8-Norm_Stats!$F$8))))</f>
        <v/>
      </c>
      <c r="V113" s="14">
        <f>IF(U113="","",1)</f>
        <v/>
      </c>
      <c r="W113" s="11">
        <f>IF(OR(City_Inputs!$U113="",Norm_Stats!$F$9="",Norm_Stats!$G$9="",Norm_Stats!$G$9=Norm_Stats!$F$9),"",MAX(0,MIN(100,100*(Norm_Stats!$G$9-MIN(MAX(City_Inputs!$U113,Norm_Stats!$F$9),Norm_Stats!$G$9))/(Norm_Stats!$G$9-Norm_Stats!$F$9))))</f>
        <v/>
      </c>
      <c r="X113" s="14">
        <f>IF(W113="","",1)</f>
        <v/>
      </c>
      <c r="Y113" s="11">
        <f>IF(OR(City_Inputs!$V113="",Norm_Stats!$F$10="",Norm_Stats!$G$10="",Norm_Stats!$G$10=Norm_Stats!$F$10),"",MAX(0,MIN(100,100*(MIN(MAX(City_Inputs!$V113,Norm_Stats!$F$10),Norm_Stats!$G$10)-Norm_Stats!$F$10)/(Norm_Stats!$G$10-Norm_Stats!$F$10))))</f>
        <v/>
      </c>
      <c r="Z113" s="14">
        <f>IF(Y113="","",1)</f>
        <v/>
      </c>
      <c r="AA113" s="11">
        <f>IF(OR(City_Inputs!$W113="",Norm_Stats!$F$11="",Norm_Stats!$G$11="",Norm_Stats!$G$11=Norm_Stats!$F$11),"",MAX(0,MIN(100,100*(MIN(MAX(City_Inputs!$W113,Norm_Stats!$F$11),Norm_Stats!$G$11)-Norm_Stats!$F$11)/(Norm_Stats!$G$11-Norm_Stats!$F$11))))</f>
        <v/>
      </c>
      <c r="AB113" s="14">
        <f>IF(AA113="","",1)</f>
        <v/>
      </c>
      <c r="AC113" s="11">
        <f>IF(OR(City_Inputs!$X113="",Norm_Stats!$F$12="",Norm_Stats!$G$12="",Norm_Stats!$G$12=Norm_Stats!$F$12),"",MAX(0,MIN(100,100*(MIN(MAX(City_Inputs!$X113,Norm_Stats!$F$12),Norm_Stats!$G$12)-Norm_Stats!$F$12)/(Norm_Stats!$G$12-Norm_Stats!$F$12))))</f>
        <v/>
      </c>
      <c r="AD113" s="11">
        <f>IF(AC113="","",1)</f>
        <v/>
      </c>
      <c r="AE113" s="15">
        <f>IF((IF(S113="",0,5)+IF(U113="",0,5)+IF(W113="",0,4)+IF(Y113="",0,4)+IF(AA113="",0,4)+IF(AC113="",0,5))=0,"",(IF(S113="",0,S113*5)+IF(U113="",0,U113*5)+IF(W113="",0,W113*4)+IF(Y113="",0,Y113*4)+IF(AA113="",0,AA113*4)+IF(AC113="",0,AC113*5))/(IF(S113="",0,5)+IF(U113="",0,5)+IF(W113="",0,4)+IF(Y113="",0,4)+IF(AA113="",0,4)+IF(AC113="",0,5)))</f>
        <v/>
      </c>
      <c r="AF113" s="14">
        <f>IF((IF(T113="",0,5)+IF(V113="",0,5)+IF(X113="",0,4)+IF(Z113="",0,4)+IF(AB113="",0,4)+IF(AD113="",0,5))=0,"",(IF(T113="",0,T113*5)+IF(V113="",0,V113*5)+IF(X113="",0,X113*4)+IF(Z113="",0,Z113*4)+IF(AB113="",0,AB113*4)+IF(AD113="",0,AD113*5))/27)</f>
        <v/>
      </c>
      <c r="AG113" s="11">
        <f>IF(OR(City_Inputs!$Y113="",Norm_Stats!$F$13="",Norm_Stats!$G$13="",Norm_Stats!$G$13=Norm_Stats!$F$13),"",MAX(0,MIN(100,100*(MIN(MAX(City_Inputs!$Y113,Norm_Stats!$F$13),Norm_Stats!$G$13)-Norm_Stats!$F$13)/(Norm_Stats!$G$13-Norm_Stats!$F$13))))</f>
        <v/>
      </c>
      <c r="AH113" s="14">
        <f>IF(AG113="","",1)</f>
        <v/>
      </c>
      <c r="AI113" s="11">
        <f>IF(OR(City_Inputs!$Z113="",Norm_Stats!$F$14="",Norm_Stats!$G$14="",Norm_Stats!$G$14=Norm_Stats!$F$14),"",MAX(0,MIN(100,100*(MIN(MAX(City_Inputs!$Z113,Norm_Stats!$F$14),Norm_Stats!$G$14)-Norm_Stats!$F$14)/(Norm_Stats!$G$14-Norm_Stats!$F$14))))</f>
        <v/>
      </c>
      <c r="AJ113" s="14">
        <f>IF(AI113="","",1)</f>
        <v/>
      </c>
      <c r="AK113" s="11">
        <f>IF((IF((IF(OR(City_Inputs!$AA113="",Norm_Stats!$F$15="",Norm_Stats!$G$15="",Norm_Stats!$G$15=Norm_Stats!$F$15),"",MAX(0,MIN(100,100*(MIN(MAX(City_Inputs!$AA113,Norm_Stats!$F$15),Norm_Stats!$G$15)-Norm_Stats!$F$15)/(Norm_Stats!$G$15-Norm_Stats!$F$15)))))="",0,0.7)+IF((IF(OR(City_Inputs!$AL113="",Norm_Stats!$F$16="",Norm_Stats!$G$16="",Norm_Stats!$G$16=Norm_Stats!$F$16),"",MAX(0,MIN(100,100*(Norm_Stats!$G$16-MIN(MAX(City_Inputs!$AL113,Norm_Stats!$F$16),Norm_Stats!$G$16))/(Norm_Stats!$G$16-Norm_Stats!$F$16)))))="",0,0.3))=0,"",(IF((IF(OR(City_Inputs!$AA113="",Norm_Stats!$F$15="",Norm_Stats!$G$15="",Norm_Stats!$G$15=Norm_Stats!$F$15),"",MAX(0,MIN(100,100*(MIN(MAX(City_Inputs!$AA113,Norm_Stats!$F$15),Norm_Stats!$G$15)-Norm_Stats!$F$15)/(Norm_Stats!$G$15-Norm_Stats!$F$15)))))="",0,(IF(OR(City_Inputs!$AA113="",Norm_Stats!$F$15="",Norm_Stats!$G$15="",Norm_Stats!$G$15=Norm_Stats!$F$15),"",MAX(0,MIN(100,100*(MIN(MAX(City_Inputs!$AA113,Norm_Stats!$F$15),Norm_Stats!$G$15)-Norm_Stats!$F$15)/(Norm_Stats!$G$15-Norm_Stats!$F$15)))))*0.7)+IF((IF(OR(City_Inputs!$AL113="",Norm_Stats!$F$16="",Norm_Stats!$G$16="",Norm_Stats!$G$16=Norm_Stats!$F$16),"",MAX(0,MIN(100,100*(Norm_Stats!$G$16-MIN(MAX(City_Inputs!$AL113,Norm_Stats!$F$16),Norm_Stats!$G$16))/(Norm_Stats!$G$16-Norm_Stats!$F$16)))))="",0,(IF(OR(City_Inputs!$AL113="",Norm_Stats!$F$16="",Norm_Stats!$G$16="",Norm_Stats!$G$16=Norm_Stats!$F$16),"",MAX(0,MIN(100,100*(Norm_Stats!$G$16-MIN(MAX(City_Inputs!$AL113,Norm_Stats!$F$16),Norm_Stats!$G$16))/(Norm_Stats!$G$16-Norm_Stats!$F$16)))))*0.3))/(IF((IF(OR(City_Inputs!$AA113="",Norm_Stats!$F$15="",Norm_Stats!$G$15="",Norm_Stats!$G$15=Norm_Stats!$F$15),"",MAX(0,MIN(100,100*(MIN(MAX(City_Inputs!$AA113,Norm_Stats!$F$15),Norm_Stats!$G$15)-Norm_Stats!$F$15)/(Norm_Stats!$G$15-Norm_Stats!$F$15)))))="",0,0.7)+IF((IF(OR(City_Inputs!$AL113="",Norm_Stats!$F$16="",Norm_Stats!$G$16="",Norm_Stats!$G$16=Norm_Stats!$F$16),"",MAX(0,MIN(100,100*(Norm_Stats!$G$16-MIN(MAX(City_Inputs!$AL113,Norm_Stats!$F$16),Norm_Stats!$G$16))/(Norm_Stats!$G$16-Norm_Stats!$F$16)))))="",0,0.3)))</f>
        <v/>
      </c>
      <c r="AL113" s="14">
        <f>IF((IF((IF(OR(City_Inputs!$AA113="",Norm_Stats!$F$15="",Norm_Stats!$G$15="",Norm_Stats!$G$15=Norm_Stats!$F$15),"",MAX(0,MIN(100,100*(MIN(MAX(City_Inputs!$AA113,Norm_Stats!$F$15),Norm_Stats!$G$15)-Norm_Stats!$F$15)/(Norm_Stats!$G$15-Norm_Stats!$F$15)))))="",0,0.7)+IF((IF(OR(City_Inputs!$AL113="",Norm_Stats!$F$16="",Norm_Stats!$G$16="",Norm_Stats!$G$16=Norm_Stats!$F$16),"",MAX(0,MIN(100,100*(Norm_Stats!$G$16-MIN(MAX(City_Inputs!$AL113,Norm_Stats!$F$16),Norm_Stats!$G$16))/(Norm_Stats!$G$16-Norm_Stats!$F$16)))))="",0,0.3))=0,"",(IF((IF(OR(City_Inputs!$AA113="",Norm_Stats!$F$15="",Norm_Stats!$G$15="",Norm_Stats!$G$15=Norm_Stats!$F$15),"",MAX(0,MIN(100,100*(MIN(MAX(City_Inputs!$AA113,Norm_Stats!$F$15),Norm_Stats!$G$15)-Norm_Stats!$F$15)/(Norm_Stats!$G$15-Norm_Stats!$F$15)))))="",0,0.7)+IF((IF(OR(City_Inputs!$AL113="",Norm_Stats!$F$16="",Norm_Stats!$G$16="",Norm_Stats!$G$16=Norm_Stats!$F$16),"",MAX(0,MIN(100,100*(Norm_Stats!$G$16-MIN(MAX(City_Inputs!$AL113,Norm_Stats!$F$16),Norm_Stats!$G$16))/(Norm_Stats!$G$16-Norm_Stats!$F$16)))))="",0,0.3)))</f>
        <v/>
      </c>
      <c r="AM113" s="15">
        <f>IF((IF(AG113="",0,8)+IF(AI113="",0,6)+IF(AK113="",0,4))=0,"",(IF(AG113="",0,AG113*8)+IF(AI113="",0,AI113*6)+IF(AK113="",0,AK113*4))/(IF(AG113="",0,8)+IF(AI113="",0,6)+IF(AK113="",0,4)))</f>
        <v/>
      </c>
      <c r="AN113" s="14">
        <f>IF((IF(AH113="",0,8)+IF(AJ113="",0,6)+IF(AL113="",0,4))=0,"",(IF(AH113="",0,AH113*8)+IF(AJ113="",0,AJ113*6)+IF(AL113="",0,AL113*4))/18)</f>
        <v/>
      </c>
      <c r="AO113" s="11">
        <f>IF(OR(City_Inputs!$AB113="",Norm_Stats!$F$17="",Norm_Stats!$G$17="",Norm_Stats!$G$17=Norm_Stats!$F$17),"",MAX(0,MIN(100,100*(MIN(MAX(City_Inputs!$AB113,Norm_Stats!$F$17),Norm_Stats!$G$17)-Norm_Stats!$F$17)/(Norm_Stats!$G$17-Norm_Stats!$F$17))))</f>
        <v/>
      </c>
      <c r="AP113" s="14">
        <f>IF(AO113="","",1)</f>
        <v/>
      </c>
      <c r="AQ113" s="11">
        <f>IF(OR(City_Inputs!$AC113="",Norm_Stats!$F$18="",Norm_Stats!$G$18="",Norm_Stats!$G$18=Norm_Stats!$F$18),"",MAX(0,MIN(100,100*(MIN(MAX(City_Inputs!$AC113,Norm_Stats!$F$18),Norm_Stats!$G$18)-Norm_Stats!$F$18)/(Norm_Stats!$G$18-Norm_Stats!$F$18))))</f>
        <v/>
      </c>
      <c r="AR113" s="14">
        <f>IF(AQ113="","",1)</f>
        <v/>
      </c>
      <c r="AS113" s="11">
        <f>IF(OR(City_Inputs!$AD113="",Norm_Stats!$F$19="",Norm_Stats!$G$19="",Norm_Stats!$G$19=Norm_Stats!$F$19),"",MAX(0,MIN(100,100*(MIN(MAX(City_Inputs!$AD113,Norm_Stats!$F$19),Norm_Stats!$G$19)-Norm_Stats!$F$19)/(Norm_Stats!$G$19-Norm_Stats!$F$19))))</f>
        <v/>
      </c>
      <c r="AT113" s="14">
        <f>IF(AS113="","",1)</f>
        <v/>
      </c>
      <c r="AU113" s="11">
        <f>IF(OR(City_Inputs!$BJ113="",Norm_Stats!$F$26="",Norm_Stats!$G$26="",Norm_Stats!$G$26=Norm_Stats!$F$26),"",MAX(0,MIN(100,100*(MIN(MAX(City_Inputs!$BJ113,Norm_Stats!$F$26),Norm_Stats!$G$26)-Norm_Stats!$F$26)/(Norm_Stats!$G$26-Norm_Stats!$F$26))))</f>
        <v/>
      </c>
      <c r="AV113" s="11">
        <f>IF(AU113="","",1)</f>
        <v/>
      </c>
      <c r="AW113" s="15">
        <f>IF((IF(AO113="",0,5)+IF(AQ113="",0,5)+IF(AS113="",0,5)+IF(AU113="",0,4))=0,"",(IF(AO113="",0,AO113*5)+IF(AQ113="",0,AQ113*5)+IF(AS113="",0,AS113*5)+IF(AU113="",0,AU113*4))/(IF(AO113="",0,5)+IF(AQ113="",0,5)+IF(AS113="",0,5)+IF(AU113="",0,4)))</f>
        <v/>
      </c>
      <c r="AX113" s="14">
        <f>IF((IF(AP113="",0,5)+IF(AR113="",0,5)+IF(AT113="",0,5)+IF(AV113="",0,4))=0,"",(IF(AP113="",0,AP113*5)+IF(AR113="",0,AR113*5)+IF(AT113="",0,AT113*5)+IF(AV113="",0,AV113*4))/19)</f>
        <v/>
      </c>
      <c r="AY113" s="11">
        <f>IF(OR(City_Inputs!$AE113="",Norm_Stats!$F$20="",Norm_Stats!$G$20="",Norm_Stats!$G$20=Norm_Stats!$F$20),"",MAX(0,MIN(100,100*(MIN(MAX(City_Inputs!$AE113,Norm_Stats!$F$20),Norm_Stats!$G$20)-Norm_Stats!$F$20)/(Norm_Stats!$G$20-Norm_Stats!$F$20))))</f>
        <v/>
      </c>
      <c r="AZ113" s="14">
        <f>IF(AY113="","",1)</f>
        <v/>
      </c>
      <c r="BA113" s="11">
        <f>IF(OR(City_Inputs!$AF113="",Norm_Stats!$F$21="",Norm_Stats!$G$21="",Norm_Stats!$G$21=Norm_Stats!$F$21),"",MAX(0,MIN(100,100*(MIN(MAX(City_Inputs!$AF113,Norm_Stats!$F$21),Norm_Stats!$G$21)-Norm_Stats!$F$21)/(Norm_Stats!$G$21-Norm_Stats!$F$21))))</f>
        <v/>
      </c>
      <c r="BB113" s="14">
        <f>IF(BA113="","",1)</f>
        <v/>
      </c>
      <c r="BC113" s="11">
        <f>IF((IF((IF(OR(City_Inputs!$AG113="",Norm_Stats!$F$22="",Norm_Stats!$G$22="",Norm_Stats!$G$22=Norm_Stats!$F$22),"",MAX(0,MIN(100,100*(MIN(MAX(City_Inputs!$AG113,Norm_Stats!$F$22),Norm_Stats!$G$22)-Norm_Stats!$F$22)/(Norm_Stats!$G$22-Norm_Stats!$F$22)))))="",0,0.5)+IF((IF(OR(City_Inputs!$AJ113="",Norm_Stats!$F$23="",Norm_Stats!$G$23="",Norm_Stats!$G$23=Norm_Stats!$F$23),"",MAX(0,MIN(100,100*(MIN(MAX(City_Inputs!$AJ113,Norm_Stats!$F$23),Norm_Stats!$G$23)-Norm_Stats!$F$23)/(Norm_Stats!$G$23-Norm_Stats!$F$23)))))="",0,0.3)+IF((IF(OR(City_Inputs!$AK113="",Norm_Stats!$F$24="",Norm_Stats!$G$24="",Norm_Stats!$G$24=Norm_Stats!$F$24),"",MAX(0,MIN(100,100*(MIN(MAX(City_Inputs!$AK113,Norm_Stats!$F$24),Norm_Stats!$G$24)-Norm_Stats!$F$24)/(Norm_Stats!$G$24-Norm_Stats!$F$24)))))="",0,0.2))=0,"",(IF((IF(OR(City_Inputs!$AG113="",Norm_Stats!$F$22="",Norm_Stats!$G$22="",Norm_Stats!$G$22=Norm_Stats!$F$22),"",MAX(0,MIN(100,100*(MIN(MAX(City_Inputs!$AG113,Norm_Stats!$F$22),Norm_Stats!$G$22)-Norm_Stats!$F$22)/(Norm_Stats!$G$22-Norm_Stats!$F$22)))))="",0,(IF(OR(City_Inputs!$AG113="",Norm_Stats!$F$22="",Norm_Stats!$G$22="",Norm_Stats!$G$22=Norm_Stats!$F$22),"",MAX(0,MIN(100,100*(MIN(MAX(City_Inputs!$AG113,Norm_Stats!$F$22),Norm_Stats!$G$22)-Norm_Stats!$F$22)/(Norm_Stats!$G$22-Norm_Stats!$F$22)))))*0.5)+IF((IF(OR(City_Inputs!$AJ113="",Norm_Stats!$F$23="",Norm_Stats!$G$23="",Norm_Stats!$G$23=Norm_Stats!$F$23),"",MAX(0,MIN(100,100*(MIN(MAX(City_Inputs!$AJ113,Norm_Stats!$F$23),Norm_Stats!$G$23)-Norm_Stats!$F$23)/(Norm_Stats!$G$23-Norm_Stats!$F$23)))))="",0,(IF(OR(City_Inputs!$AJ113="",Norm_Stats!$F$23="",Norm_Stats!$G$23="",Norm_Stats!$G$23=Norm_Stats!$F$23),"",MAX(0,MIN(100,100*(MIN(MAX(City_Inputs!$AJ113,Norm_Stats!$F$23),Norm_Stats!$G$23)-Norm_Stats!$F$23)/(Norm_Stats!$G$23-Norm_Stats!$F$23)))))*0.3)+IF((IF(OR(City_Inputs!$AK113="",Norm_Stats!$F$24="",Norm_Stats!$G$24="",Norm_Stats!$G$24=Norm_Stats!$F$24),"",MAX(0,MIN(100,100*(MIN(MAX(City_Inputs!$AK113,Norm_Stats!$F$24),Norm_Stats!$G$24)-Norm_Stats!$F$24)/(Norm_Stats!$G$24-Norm_Stats!$F$24)))))="",0,(IF(OR(City_Inputs!$AK113="",Norm_Stats!$F$24="",Norm_Stats!$G$24="",Norm_Stats!$G$24=Norm_Stats!$F$24),"",MAX(0,MIN(100,100*(MIN(MAX(City_Inputs!$AK113,Norm_Stats!$F$24),Norm_Stats!$G$24)-Norm_Stats!$F$24)/(Norm_Stats!$G$24-Norm_Stats!$F$24)))))*0.2))/(IF((IF(OR(City_Inputs!$AG113="",Norm_Stats!$F$22="",Norm_Stats!$G$22="",Norm_Stats!$G$22=Norm_Stats!$F$22),"",MAX(0,MIN(100,100*(MIN(MAX(City_Inputs!$AG113,Norm_Stats!$F$22),Norm_Stats!$G$22)-Norm_Stats!$F$22)/(Norm_Stats!$G$22-Norm_Stats!$F$22)))))="",0,0.5)+IF((IF(OR(City_Inputs!$AJ113="",Norm_Stats!$F$23="",Norm_Stats!$G$23="",Norm_Stats!$G$23=Norm_Stats!$F$23),"",MAX(0,MIN(100,100*(MIN(MAX(City_Inputs!$AJ113,Norm_Stats!$F$23),Norm_Stats!$G$23)-Norm_Stats!$F$23)/(Norm_Stats!$G$23-Norm_Stats!$F$23)))))="",0,0.3)+IF((IF(OR(City_Inputs!$AK113="",Norm_Stats!$F$24="",Norm_Stats!$G$24="",Norm_Stats!$G$24=Norm_Stats!$F$24),"",MAX(0,MIN(100,100*(MIN(MAX(City_Inputs!$AK113,Norm_Stats!$F$24),Norm_Stats!$G$24)-Norm_Stats!$F$24)/(Norm_Stats!$G$24-Norm_Stats!$F$24)))))="",0,0.2)))</f>
        <v/>
      </c>
      <c r="BD113" s="14">
        <f>IF((IF((IF(OR(City_Inputs!$AG113="",Norm_Stats!$F$22="",Norm_Stats!$G$22="",Norm_Stats!$G$22=Norm_Stats!$F$22),"",MAX(0,MIN(100,100*(MIN(MAX(City_Inputs!$AG113,Norm_Stats!$F$22),Norm_Stats!$G$22)-Norm_Stats!$F$22)/(Norm_Stats!$G$22-Norm_Stats!$F$22)))))="",0,0.5)+IF((IF(OR(City_Inputs!$AJ113="",Norm_Stats!$F$23="",Norm_Stats!$G$23="",Norm_Stats!$G$23=Norm_Stats!$F$23),"",MAX(0,MIN(100,100*(MIN(MAX(City_Inputs!$AJ113,Norm_Stats!$F$23),Norm_Stats!$G$23)-Norm_Stats!$F$23)/(Norm_Stats!$G$23-Norm_Stats!$F$23)))))="",0,0.3)+IF((IF(OR(City_Inputs!$AK113="",Norm_Stats!$F$24="",Norm_Stats!$G$24="",Norm_Stats!$G$24=Norm_Stats!$F$24),"",MAX(0,MIN(100,100*(MIN(MAX(City_Inputs!$AK113,Norm_Stats!$F$24),Norm_Stats!$G$24)-Norm_Stats!$F$24)/(Norm_Stats!$G$24-Norm_Stats!$F$24)))))="",0,0.2))=0,"",(IF((IF(OR(City_Inputs!$AG113="",Norm_Stats!$F$22="",Norm_Stats!$G$22="",Norm_Stats!$G$22=Norm_Stats!$F$22),"",MAX(0,MIN(100,100*(MIN(MAX(City_Inputs!$AG113,Norm_Stats!$F$22),Norm_Stats!$G$22)-Norm_Stats!$F$22)/(Norm_Stats!$G$22-Norm_Stats!$F$22)))))="",0,0.5)+IF((IF(OR(City_Inputs!$AJ113="",Norm_Stats!$F$23="",Norm_Stats!$G$23="",Norm_Stats!$G$23=Norm_Stats!$F$23),"",MAX(0,MIN(100,100*(MIN(MAX(City_Inputs!$AJ113,Norm_Stats!$F$23),Norm_Stats!$G$23)-Norm_Stats!$F$23)/(Norm_Stats!$G$23-Norm_Stats!$F$23)))))="",0,0.3)+IF((IF(OR(City_Inputs!$AK113="",Norm_Stats!$F$24="",Norm_Stats!$G$24="",Norm_Stats!$G$24=Norm_Stats!$F$24),"",MAX(0,MIN(100,100*(MIN(MAX(City_Inputs!$AK113,Norm_Stats!$F$24),Norm_Stats!$G$24)-Norm_Stats!$F$24)/(Norm_Stats!$G$24-Norm_Stats!$F$24)))))="",0,0.2)))</f>
        <v/>
      </c>
      <c r="BE113" s="11">
        <f>IF(OR(City_Inputs!$AH113="",Norm_Stats!$F$25="",Norm_Stats!$G$25="",Norm_Stats!$G$25=Norm_Stats!$F$25),"",MAX(0,MIN(100,100*(Norm_Stats!$G$25-MIN(MAX(City_Inputs!$AH113,Norm_Stats!$F$25),Norm_Stats!$G$25))/(Norm_Stats!$G$25-Norm_Stats!$F$25))))</f>
        <v/>
      </c>
      <c r="BF113" s="14">
        <f>IF(BE113="","",1)</f>
        <v/>
      </c>
      <c r="BG113" s="15">
        <f>IF((IF(AY113="",0,6)+IF(BA113="",0,5)+IF(BC113="",0,5)+IF(BE113="",0,4))=0,"",(IF(AY113="",0,AY113*6)+IF(BA113="",0,BA113*5)+IF(BC113="",0,BC113*5)+IF(BE113="",0,BE113*4))/(IF(AY113="",0,6)+IF(BA113="",0,5)+IF(BC113="",0,5)+IF(BE113="",0,4)))</f>
        <v/>
      </c>
      <c r="BH113" s="14">
        <f>IF((IF(AZ113="",0,6)+IF(BB113="",0,5)+IF(BD113="",0,5)+IF(BF113="",0,4))=0,"",(IF(AZ113="",0,AZ113*6)+IF(BB113="",0,BB113*5)+IF(BD113="",0,BD113*5)+IF(BF113="",0,BF113*4))/20)</f>
        <v/>
      </c>
      <c r="BI113" s="14">
        <f>IF(AND(R113="",AF113="",AN113="",AX113="",BH113=""),"",((R113*25)+(AF113*22)+(AN113*18)+(AX113*15)+(BH113*20))/100)</f>
        <v/>
      </c>
      <c r="BJ113" s="11">
        <f>IF(BI113="","",IF(BI113&gt;=0.75,"A",IF(BI113&gt;=0.5,"B",IF(BI113&gt;=0.35,"C","Watchlist"))))</f>
        <v/>
      </c>
      <c r="BK113" s="11">
        <f>IF(OR(BI113="",BI113&lt;0.5,R113="",R113&lt;0.35,AF113="",AF113&lt;0.35,AN113="",AN113&lt;0.35,AX113="",AX113&lt;0.35,BH113="",BH113&lt;0.35),"Watchlist","Ranked")</f>
        <v/>
      </c>
      <c r="BL113" s="15">
        <f>IF(AND(Q113="",AE113="",AM113="",AW113="",BG113=""),"",(IF(Q113="",0,Q113*25)+IF(AE113="",0,AE113*22)+IF(AM113="",0,AM113*18)+IF(AW113="",0,AW113*15)+IF(BG113="",0,BG113*20))/(IF(Q113="",0,25)+IF(AE113="",0,22)+IF(AM113="",0,18)+IF(AW113="",0,15)+IF(BG113="",0,20)))</f>
        <v/>
      </c>
      <c r="BM113" s="11">
        <f>IF(BK113="Ranked",1+COUNTIFS($BK$2:$BK$158,"Ranked",$BL$2:$BL$158,"&gt;"&amp;BL113),"")</f>
        <v/>
      </c>
      <c r="BN113" s="11">
        <f>City_Inputs!$AI113</f>
        <v/>
      </c>
    </row>
    <row r="114">
      <c r="A114" t="inlineStr">
        <is>
          <t>kh-phnom-penh</t>
        </is>
      </c>
      <c r="B114" t="inlineStr">
        <is>
          <t>Phnom Penh</t>
        </is>
      </c>
      <c r="C114" t="inlineStr">
        <is>
          <t>Cambodia</t>
        </is>
      </c>
      <c r="D114" t="inlineStr">
        <is>
          <t>Southeast Asia</t>
        </is>
      </c>
      <c r="E114" t="inlineStr">
        <is>
          <t>provisional</t>
        </is>
      </c>
      <c r="F114" t="inlineStr">
        <is>
          <t>primary</t>
        </is>
      </c>
      <c r="G114" s="11">
        <f>IF(OR(City_Inputs!$M114="",Norm_Stats!$F$2="",Norm_Stats!$G$2="",Norm_Stats!$G$2=Norm_Stats!$F$2),"",MAX(0,MIN(100,100*(MIN(MAX(City_Inputs!$M114,Norm_Stats!$F$2),Norm_Stats!$G$2)-Norm_Stats!$F$2)/(Norm_Stats!$G$2-Norm_Stats!$F$2))))</f>
        <v/>
      </c>
      <c r="H114" s="14">
        <f>IF(G114="","",1)</f>
        <v/>
      </c>
      <c r="I114" s="11">
        <f>IF(OR(City_Inputs!$N114="",Norm_Stats!$F$3="",Norm_Stats!$G$3="",Norm_Stats!$G$3=Norm_Stats!$F$3),"",MAX(0,MIN(100,100*(Norm_Stats!$G$3-MIN(MAX(City_Inputs!$N114,Norm_Stats!$F$3),Norm_Stats!$G$3))/(Norm_Stats!$G$3-Norm_Stats!$F$3))))</f>
        <v/>
      </c>
      <c r="J114" s="14">
        <f>IF(I114="","",1)</f>
        <v/>
      </c>
      <c r="K114" s="11">
        <f>IF(OR(City_Inputs!$P114="",Norm_Stats!$F$4="",Norm_Stats!$G$4="",Norm_Stats!$G$4=Norm_Stats!$F$4),"",MAX(0,MIN(100,100*(Norm_Stats!$G$4-MIN(MAX(City_Inputs!$P114,Norm_Stats!$F$4),Norm_Stats!$G$4))/(Norm_Stats!$G$4-Norm_Stats!$F$4))))</f>
        <v/>
      </c>
      <c r="L114" s="14">
        <f>IF(K114="","",1)</f>
        <v/>
      </c>
      <c r="M114" s="11">
        <f>IF(OR(City_Inputs!$Q114="",Norm_Stats!$F$5="",Norm_Stats!$G$5="",Norm_Stats!$G$5=Norm_Stats!$F$5),"",MAX(0,MIN(100,100*(Norm_Stats!$G$5-MIN(MAX(City_Inputs!$Q114,Norm_Stats!$F$5),Norm_Stats!$G$5))/(Norm_Stats!$G$5-Norm_Stats!$F$5))))</f>
        <v/>
      </c>
      <c r="N114" s="14">
        <f>IF(M114="","",1)</f>
        <v/>
      </c>
      <c r="O114" s="11">
        <f>IF(OR(City_Inputs!$R114="",Norm_Stats!$F$6="",Norm_Stats!$G$6="",Norm_Stats!$G$6=Norm_Stats!$F$6),"",MAX(0,MIN(100,100*(Norm_Stats!$G$6-MIN(MAX(City_Inputs!$R114,Norm_Stats!$F$6),Norm_Stats!$G$6))/(Norm_Stats!$G$6-Norm_Stats!$F$6))))</f>
        <v/>
      </c>
      <c r="P114" s="14">
        <f>IF(O114="","",1)</f>
        <v/>
      </c>
      <c r="Q114" s="15">
        <f>IF((IF(G114="",0,9)+IF(I114="",0,5)+IF(K114="",0,4)+IF(M114="",0,4)+IF(O114="",0,5))=0,"",(IF(G114="",0,G114*9)+IF(I114="",0,I114*5)+IF(K114="",0,K114*4)+IF(M114="",0,M114*4)+IF(O114="",0,O114*5))/(IF(G114="",0,9)+IF(I114="",0,5)+IF(K114="",0,4)+IF(M114="",0,4)+IF(O114="",0,5)))</f>
        <v/>
      </c>
      <c r="R114" s="14">
        <f>IF((IF(H114="",0,9)+IF(J114="",0,5)+IF(L114="",0,4)+IF(N114="",0,4)+IF(P114="",0,5))=0,"",(IF(H114="",0,H114*9)+IF(J114="",0,J114*5)+IF(L114="",0,L114*4)+IF(N114="",0,N114*4)+IF(P114="",0,P114*5))/27)</f>
        <v/>
      </c>
      <c r="S114" s="11">
        <f>IF(OR(City_Inputs!$S114="",Norm_Stats!$F$7="",Norm_Stats!$G$7="",Norm_Stats!$G$7=Norm_Stats!$F$7),"",MAX(0,MIN(100,100*(Norm_Stats!$G$7-MIN(MAX(City_Inputs!$S114,Norm_Stats!$F$7),Norm_Stats!$G$7))/(Norm_Stats!$G$7-Norm_Stats!$F$7))))</f>
        <v/>
      </c>
      <c r="T114" s="14">
        <f>IF(S114="","",1)</f>
        <v/>
      </c>
      <c r="U114" s="11">
        <f>IF(OR(City_Inputs!$T114="",Norm_Stats!$F$8="",Norm_Stats!$G$8="",Norm_Stats!$G$8=Norm_Stats!$F$8),"",MAX(0,MIN(100,100*(MIN(MAX(City_Inputs!$T114,Norm_Stats!$F$8),Norm_Stats!$G$8)-Norm_Stats!$F$8)/(Norm_Stats!$G$8-Norm_Stats!$F$8))))</f>
        <v/>
      </c>
      <c r="V114" s="14">
        <f>IF(U114="","",1)</f>
        <v/>
      </c>
      <c r="W114" s="11">
        <f>IF(OR(City_Inputs!$U114="",Norm_Stats!$F$9="",Norm_Stats!$G$9="",Norm_Stats!$G$9=Norm_Stats!$F$9),"",MAX(0,MIN(100,100*(Norm_Stats!$G$9-MIN(MAX(City_Inputs!$U114,Norm_Stats!$F$9),Norm_Stats!$G$9))/(Norm_Stats!$G$9-Norm_Stats!$F$9))))</f>
        <v/>
      </c>
      <c r="X114" s="14">
        <f>IF(W114="","",1)</f>
        <v/>
      </c>
      <c r="Y114" s="11">
        <f>IF(OR(City_Inputs!$V114="",Norm_Stats!$F$10="",Norm_Stats!$G$10="",Norm_Stats!$G$10=Norm_Stats!$F$10),"",MAX(0,MIN(100,100*(MIN(MAX(City_Inputs!$V114,Norm_Stats!$F$10),Norm_Stats!$G$10)-Norm_Stats!$F$10)/(Norm_Stats!$G$10-Norm_Stats!$F$10))))</f>
        <v/>
      </c>
      <c r="Z114" s="14">
        <f>IF(Y114="","",1)</f>
        <v/>
      </c>
      <c r="AA114" s="11">
        <f>IF(OR(City_Inputs!$W114="",Norm_Stats!$F$11="",Norm_Stats!$G$11="",Norm_Stats!$G$11=Norm_Stats!$F$11),"",MAX(0,MIN(100,100*(MIN(MAX(City_Inputs!$W114,Norm_Stats!$F$11),Norm_Stats!$G$11)-Norm_Stats!$F$11)/(Norm_Stats!$G$11-Norm_Stats!$F$11))))</f>
        <v/>
      </c>
      <c r="AB114" s="14">
        <f>IF(AA114="","",1)</f>
        <v/>
      </c>
      <c r="AC114" s="11">
        <f>IF(OR(City_Inputs!$X114="",Norm_Stats!$F$12="",Norm_Stats!$G$12="",Norm_Stats!$G$12=Norm_Stats!$F$12),"",MAX(0,MIN(100,100*(MIN(MAX(City_Inputs!$X114,Norm_Stats!$F$12),Norm_Stats!$G$12)-Norm_Stats!$F$12)/(Norm_Stats!$G$12-Norm_Stats!$F$12))))</f>
        <v/>
      </c>
      <c r="AD114" s="11">
        <f>IF(AC114="","",1)</f>
        <v/>
      </c>
      <c r="AE114" s="15">
        <f>IF((IF(S114="",0,5)+IF(U114="",0,5)+IF(W114="",0,4)+IF(Y114="",0,4)+IF(AA114="",0,4)+IF(AC114="",0,5))=0,"",(IF(S114="",0,S114*5)+IF(U114="",0,U114*5)+IF(W114="",0,W114*4)+IF(Y114="",0,Y114*4)+IF(AA114="",0,AA114*4)+IF(AC114="",0,AC114*5))/(IF(S114="",0,5)+IF(U114="",0,5)+IF(W114="",0,4)+IF(Y114="",0,4)+IF(AA114="",0,4)+IF(AC114="",0,5)))</f>
        <v/>
      </c>
      <c r="AF114" s="14">
        <f>IF((IF(T114="",0,5)+IF(V114="",0,5)+IF(X114="",0,4)+IF(Z114="",0,4)+IF(AB114="",0,4)+IF(AD114="",0,5))=0,"",(IF(T114="",0,T114*5)+IF(V114="",0,V114*5)+IF(X114="",0,X114*4)+IF(Z114="",0,Z114*4)+IF(AB114="",0,AB114*4)+IF(AD114="",0,AD114*5))/27)</f>
        <v/>
      </c>
      <c r="AG114" s="11">
        <f>IF(OR(City_Inputs!$Y114="",Norm_Stats!$F$13="",Norm_Stats!$G$13="",Norm_Stats!$G$13=Norm_Stats!$F$13),"",MAX(0,MIN(100,100*(MIN(MAX(City_Inputs!$Y114,Norm_Stats!$F$13),Norm_Stats!$G$13)-Norm_Stats!$F$13)/(Norm_Stats!$G$13-Norm_Stats!$F$13))))</f>
        <v/>
      </c>
      <c r="AH114" s="14">
        <f>IF(AG114="","",1)</f>
        <v/>
      </c>
      <c r="AI114" s="11">
        <f>IF(OR(City_Inputs!$Z114="",Norm_Stats!$F$14="",Norm_Stats!$G$14="",Norm_Stats!$G$14=Norm_Stats!$F$14),"",MAX(0,MIN(100,100*(MIN(MAX(City_Inputs!$Z114,Norm_Stats!$F$14),Norm_Stats!$G$14)-Norm_Stats!$F$14)/(Norm_Stats!$G$14-Norm_Stats!$F$14))))</f>
        <v/>
      </c>
      <c r="AJ114" s="14">
        <f>IF(AI114="","",1)</f>
        <v/>
      </c>
      <c r="AK114" s="11">
        <f>IF((IF((IF(OR(City_Inputs!$AA114="",Norm_Stats!$F$15="",Norm_Stats!$G$15="",Norm_Stats!$G$15=Norm_Stats!$F$15),"",MAX(0,MIN(100,100*(MIN(MAX(City_Inputs!$AA114,Norm_Stats!$F$15),Norm_Stats!$G$15)-Norm_Stats!$F$15)/(Norm_Stats!$G$15-Norm_Stats!$F$15)))))="",0,0.7)+IF((IF(OR(City_Inputs!$AL114="",Norm_Stats!$F$16="",Norm_Stats!$G$16="",Norm_Stats!$G$16=Norm_Stats!$F$16),"",MAX(0,MIN(100,100*(Norm_Stats!$G$16-MIN(MAX(City_Inputs!$AL114,Norm_Stats!$F$16),Norm_Stats!$G$16))/(Norm_Stats!$G$16-Norm_Stats!$F$16)))))="",0,0.3))=0,"",(IF((IF(OR(City_Inputs!$AA114="",Norm_Stats!$F$15="",Norm_Stats!$G$15="",Norm_Stats!$G$15=Norm_Stats!$F$15),"",MAX(0,MIN(100,100*(MIN(MAX(City_Inputs!$AA114,Norm_Stats!$F$15),Norm_Stats!$G$15)-Norm_Stats!$F$15)/(Norm_Stats!$G$15-Norm_Stats!$F$15)))))="",0,(IF(OR(City_Inputs!$AA114="",Norm_Stats!$F$15="",Norm_Stats!$G$15="",Norm_Stats!$G$15=Norm_Stats!$F$15),"",MAX(0,MIN(100,100*(MIN(MAX(City_Inputs!$AA114,Norm_Stats!$F$15),Norm_Stats!$G$15)-Norm_Stats!$F$15)/(Norm_Stats!$G$15-Norm_Stats!$F$15)))))*0.7)+IF((IF(OR(City_Inputs!$AL114="",Norm_Stats!$F$16="",Norm_Stats!$G$16="",Norm_Stats!$G$16=Norm_Stats!$F$16),"",MAX(0,MIN(100,100*(Norm_Stats!$G$16-MIN(MAX(City_Inputs!$AL114,Norm_Stats!$F$16),Norm_Stats!$G$16))/(Norm_Stats!$G$16-Norm_Stats!$F$16)))))="",0,(IF(OR(City_Inputs!$AL114="",Norm_Stats!$F$16="",Norm_Stats!$G$16="",Norm_Stats!$G$16=Norm_Stats!$F$16),"",MAX(0,MIN(100,100*(Norm_Stats!$G$16-MIN(MAX(City_Inputs!$AL114,Norm_Stats!$F$16),Norm_Stats!$G$16))/(Norm_Stats!$G$16-Norm_Stats!$F$16)))))*0.3))/(IF((IF(OR(City_Inputs!$AA114="",Norm_Stats!$F$15="",Norm_Stats!$G$15="",Norm_Stats!$G$15=Norm_Stats!$F$15),"",MAX(0,MIN(100,100*(MIN(MAX(City_Inputs!$AA114,Norm_Stats!$F$15),Norm_Stats!$G$15)-Norm_Stats!$F$15)/(Norm_Stats!$G$15-Norm_Stats!$F$15)))))="",0,0.7)+IF((IF(OR(City_Inputs!$AL114="",Norm_Stats!$F$16="",Norm_Stats!$G$16="",Norm_Stats!$G$16=Norm_Stats!$F$16),"",MAX(0,MIN(100,100*(Norm_Stats!$G$16-MIN(MAX(City_Inputs!$AL114,Norm_Stats!$F$16),Norm_Stats!$G$16))/(Norm_Stats!$G$16-Norm_Stats!$F$16)))))="",0,0.3)))</f>
        <v/>
      </c>
      <c r="AL114" s="14">
        <f>IF((IF((IF(OR(City_Inputs!$AA114="",Norm_Stats!$F$15="",Norm_Stats!$G$15="",Norm_Stats!$G$15=Norm_Stats!$F$15),"",MAX(0,MIN(100,100*(MIN(MAX(City_Inputs!$AA114,Norm_Stats!$F$15),Norm_Stats!$G$15)-Norm_Stats!$F$15)/(Norm_Stats!$G$15-Norm_Stats!$F$15)))))="",0,0.7)+IF((IF(OR(City_Inputs!$AL114="",Norm_Stats!$F$16="",Norm_Stats!$G$16="",Norm_Stats!$G$16=Norm_Stats!$F$16),"",MAX(0,MIN(100,100*(Norm_Stats!$G$16-MIN(MAX(City_Inputs!$AL114,Norm_Stats!$F$16),Norm_Stats!$G$16))/(Norm_Stats!$G$16-Norm_Stats!$F$16)))))="",0,0.3))=0,"",(IF((IF(OR(City_Inputs!$AA114="",Norm_Stats!$F$15="",Norm_Stats!$G$15="",Norm_Stats!$G$15=Norm_Stats!$F$15),"",MAX(0,MIN(100,100*(MIN(MAX(City_Inputs!$AA114,Norm_Stats!$F$15),Norm_Stats!$G$15)-Norm_Stats!$F$15)/(Norm_Stats!$G$15-Norm_Stats!$F$15)))))="",0,0.7)+IF((IF(OR(City_Inputs!$AL114="",Norm_Stats!$F$16="",Norm_Stats!$G$16="",Norm_Stats!$G$16=Norm_Stats!$F$16),"",MAX(0,MIN(100,100*(Norm_Stats!$G$16-MIN(MAX(City_Inputs!$AL114,Norm_Stats!$F$16),Norm_Stats!$G$16))/(Norm_Stats!$G$16-Norm_Stats!$F$16)))))="",0,0.3)))</f>
        <v/>
      </c>
      <c r="AM114" s="15">
        <f>IF((IF(AG114="",0,8)+IF(AI114="",0,6)+IF(AK114="",0,4))=0,"",(IF(AG114="",0,AG114*8)+IF(AI114="",0,AI114*6)+IF(AK114="",0,AK114*4))/(IF(AG114="",0,8)+IF(AI114="",0,6)+IF(AK114="",0,4)))</f>
        <v/>
      </c>
      <c r="AN114" s="14">
        <f>IF((IF(AH114="",0,8)+IF(AJ114="",0,6)+IF(AL114="",0,4))=0,"",(IF(AH114="",0,AH114*8)+IF(AJ114="",0,AJ114*6)+IF(AL114="",0,AL114*4))/18)</f>
        <v/>
      </c>
      <c r="AO114" s="11">
        <f>IF(OR(City_Inputs!$AB114="",Norm_Stats!$F$17="",Norm_Stats!$G$17="",Norm_Stats!$G$17=Norm_Stats!$F$17),"",MAX(0,MIN(100,100*(MIN(MAX(City_Inputs!$AB114,Norm_Stats!$F$17),Norm_Stats!$G$17)-Norm_Stats!$F$17)/(Norm_Stats!$G$17-Norm_Stats!$F$17))))</f>
        <v/>
      </c>
      <c r="AP114" s="14">
        <f>IF(AO114="","",1)</f>
        <v/>
      </c>
      <c r="AQ114" s="11">
        <f>IF(OR(City_Inputs!$AC114="",Norm_Stats!$F$18="",Norm_Stats!$G$18="",Norm_Stats!$G$18=Norm_Stats!$F$18),"",MAX(0,MIN(100,100*(MIN(MAX(City_Inputs!$AC114,Norm_Stats!$F$18),Norm_Stats!$G$18)-Norm_Stats!$F$18)/(Norm_Stats!$G$18-Norm_Stats!$F$18))))</f>
        <v/>
      </c>
      <c r="AR114" s="14">
        <f>IF(AQ114="","",1)</f>
        <v/>
      </c>
      <c r="AS114" s="11">
        <f>IF(OR(City_Inputs!$AD114="",Norm_Stats!$F$19="",Norm_Stats!$G$19="",Norm_Stats!$G$19=Norm_Stats!$F$19),"",MAX(0,MIN(100,100*(MIN(MAX(City_Inputs!$AD114,Norm_Stats!$F$19),Norm_Stats!$G$19)-Norm_Stats!$F$19)/(Norm_Stats!$G$19-Norm_Stats!$F$19))))</f>
        <v/>
      </c>
      <c r="AT114" s="14">
        <f>IF(AS114="","",1)</f>
        <v/>
      </c>
      <c r="AU114" s="11">
        <f>IF(OR(City_Inputs!$BJ114="",Norm_Stats!$F$26="",Norm_Stats!$G$26="",Norm_Stats!$G$26=Norm_Stats!$F$26),"",MAX(0,MIN(100,100*(MIN(MAX(City_Inputs!$BJ114,Norm_Stats!$F$26),Norm_Stats!$G$26)-Norm_Stats!$F$26)/(Norm_Stats!$G$26-Norm_Stats!$F$26))))</f>
        <v/>
      </c>
      <c r="AV114" s="11">
        <f>IF(AU114="","",1)</f>
        <v/>
      </c>
      <c r="AW114" s="15">
        <f>IF((IF(AO114="",0,5)+IF(AQ114="",0,5)+IF(AS114="",0,5)+IF(AU114="",0,4))=0,"",(IF(AO114="",0,AO114*5)+IF(AQ114="",0,AQ114*5)+IF(AS114="",0,AS114*5)+IF(AU114="",0,AU114*4))/(IF(AO114="",0,5)+IF(AQ114="",0,5)+IF(AS114="",0,5)+IF(AU114="",0,4)))</f>
        <v/>
      </c>
      <c r="AX114" s="14">
        <f>IF((IF(AP114="",0,5)+IF(AR114="",0,5)+IF(AT114="",0,5)+IF(AV114="",0,4))=0,"",(IF(AP114="",0,AP114*5)+IF(AR114="",0,AR114*5)+IF(AT114="",0,AT114*5)+IF(AV114="",0,AV114*4))/19)</f>
        <v/>
      </c>
      <c r="AY114" s="11">
        <f>IF(OR(City_Inputs!$AE114="",Norm_Stats!$F$20="",Norm_Stats!$G$20="",Norm_Stats!$G$20=Norm_Stats!$F$20),"",MAX(0,MIN(100,100*(MIN(MAX(City_Inputs!$AE114,Norm_Stats!$F$20),Norm_Stats!$G$20)-Norm_Stats!$F$20)/(Norm_Stats!$G$20-Norm_Stats!$F$20))))</f>
        <v/>
      </c>
      <c r="AZ114" s="14">
        <f>IF(AY114="","",1)</f>
        <v/>
      </c>
      <c r="BA114" s="11">
        <f>IF(OR(City_Inputs!$AF114="",Norm_Stats!$F$21="",Norm_Stats!$G$21="",Norm_Stats!$G$21=Norm_Stats!$F$21),"",MAX(0,MIN(100,100*(MIN(MAX(City_Inputs!$AF114,Norm_Stats!$F$21),Norm_Stats!$G$21)-Norm_Stats!$F$21)/(Norm_Stats!$G$21-Norm_Stats!$F$21))))</f>
        <v/>
      </c>
      <c r="BB114" s="14">
        <f>IF(BA114="","",1)</f>
        <v/>
      </c>
      <c r="BC114" s="11">
        <f>IF((IF((IF(OR(City_Inputs!$AG114="",Norm_Stats!$F$22="",Norm_Stats!$G$22="",Norm_Stats!$G$22=Norm_Stats!$F$22),"",MAX(0,MIN(100,100*(MIN(MAX(City_Inputs!$AG114,Norm_Stats!$F$22),Norm_Stats!$G$22)-Norm_Stats!$F$22)/(Norm_Stats!$G$22-Norm_Stats!$F$22)))))="",0,0.5)+IF((IF(OR(City_Inputs!$AJ114="",Norm_Stats!$F$23="",Norm_Stats!$G$23="",Norm_Stats!$G$23=Norm_Stats!$F$23),"",MAX(0,MIN(100,100*(MIN(MAX(City_Inputs!$AJ114,Norm_Stats!$F$23),Norm_Stats!$G$23)-Norm_Stats!$F$23)/(Norm_Stats!$G$23-Norm_Stats!$F$23)))))="",0,0.3)+IF((IF(OR(City_Inputs!$AK114="",Norm_Stats!$F$24="",Norm_Stats!$G$24="",Norm_Stats!$G$24=Norm_Stats!$F$24),"",MAX(0,MIN(100,100*(MIN(MAX(City_Inputs!$AK114,Norm_Stats!$F$24),Norm_Stats!$G$24)-Norm_Stats!$F$24)/(Norm_Stats!$G$24-Norm_Stats!$F$24)))))="",0,0.2))=0,"",(IF((IF(OR(City_Inputs!$AG114="",Norm_Stats!$F$22="",Norm_Stats!$G$22="",Norm_Stats!$G$22=Norm_Stats!$F$22),"",MAX(0,MIN(100,100*(MIN(MAX(City_Inputs!$AG114,Norm_Stats!$F$22),Norm_Stats!$G$22)-Norm_Stats!$F$22)/(Norm_Stats!$G$22-Norm_Stats!$F$22)))))="",0,(IF(OR(City_Inputs!$AG114="",Norm_Stats!$F$22="",Norm_Stats!$G$22="",Norm_Stats!$G$22=Norm_Stats!$F$22),"",MAX(0,MIN(100,100*(MIN(MAX(City_Inputs!$AG114,Norm_Stats!$F$22),Norm_Stats!$G$22)-Norm_Stats!$F$22)/(Norm_Stats!$G$22-Norm_Stats!$F$22)))))*0.5)+IF((IF(OR(City_Inputs!$AJ114="",Norm_Stats!$F$23="",Norm_Stats!$G$23="",Norm_Stats!$G$23=Norm_Stats!$F$23),"",MAX(0,MIN(100,100*(MIN(MAX(City_Inputs!$AJ114,Norm_Stats!$F$23),Norm_Stats!$G$23)-Norm_Stats!$F$23)/(Norm_Stats!$G$23-Norm_Stats!$F$23)))))="",0,(IF(OR(City_Inputs!$AJ114="",Norm_Stats!$F$23="",Norm_Stats!$G$23="",Norm_Stats!$G$23=Norm_Stats!$F$23),"",MAX(0,MIN(100,100*(MIN(MAX(City_Inputs!$AJ114,Norm_Stats!$F$23),Norm_Stats!$G$23)-Norm_Stats!$F$23)/(Norm_Stats!$G$23-Norm_Stats!$F$23)))))*0.3)+IF((IF(OR(City_Inputs!$AK114="",Norm_Stats!$F$24="",Norm_Stats!$G$24="",Norm_Stats!$G$24=Norm_Stats!$F$24),"",MAX(0,MIN(100,100*(MIN(MAX(City_Inputs!$AK114,Norm_Stats!$F$24),Norm_Stats!$G$24)-Norm_Stats!$F$24)/(Norm_Stats!$G$24-Norm_Stats!$F$24)))))="",0,(IF(OR(City_Inputs!$AK114="",Norm_Stats!$F$24="",Norm_Stats!$G$24="",Norm_Stats!$G$24=Norm_Stats!$F$24),"",MAX(0,MIN(100,100*(MIN(MAX(City_Inputs!$AK114,Norm_Stats!$F$24),Norm_Stats!$G$24)-Norm_Stats!$F$24)/(Norm_Stats!$G$24-Norm_Stats!$F$24)))))*0.2))/(IF((IF(OR(City_Inputs!$AG114="",Norm_Stats!$F$22="",Norm_Stats!$G$22="",Norm_Stats!$G$22=Norm_Stats!$F$22),"",MAX(0,MIN(100,100*(MIN(MAX(City_Inputs!$AG114,Norm_Stats!$F$22),Norm_Stats!$G$22)-Norm_Stats!$F$22)/(Norm_Stats!$G$22-Norm_Stats!$F$22)))))="",0,0.5)+IF((IF(OR(City_Inputs!$AJ114="",Norm_Stats!$F$23="",Norm_Stats!$G$23="",Norm_Stats!$G$23=Norm_Stats!$F$23),"",MAX(0,MIN(100,100*(MIN(MAX(City_Inputs!$AJ114,Norm_Stats!$F$23),Norm_Stats!$G$23)-Norm_Stats!$F$23)/(Norm_Stats!$G$23-Norm_Stats!$F$23)))))="",0,0.3)+IF((IF(OR(City_Inputs!$AK114="",Norm_Stats!$F$24="",Norm_Stats!$G$24="",Norm_Stats!$G$24=Norm_Stats!$F$24),"",MAX(0,MIN(100,100*(MIN(MAX(City_Inputs!$AK114,Norm_Stats!$F$24),Norm_Stats!$G$24)-Norm_Stats!$F$24)/(Norm_Stats!$G$24-Norm_Stats!$F$24)))))="",0,0.2)))</f>
        <v/>
      </c>
      <c r="BD114" s="14">
        <f>IF((IF((IF(OR(City_Inputs!$AG114="",Norm_Stats!$F$22="",Norm_Stats!$G$22="",Norm_Stats!$G$22=Norm_Stats!$F$22),"",MAX(0,MIN(100,100*(MIN(MAX(City_Inputs!$AG114,Norm_Stats!$F$22),Norm_Stats!$G$22)-Norm_Stats!$F$22)/(Norm_Stats!$G$22-Norm_Stats!$F$22)))))="",0,0.5)+IF((IF(OR(City_Inputs!$AJ114="",Norm_Stats!$F$23="",Norm_Stats!$G$23="",Norm_Stats!$G$23=Norm_Stats!$F$23),"",MAX(0,MIN(100,100*(MIN(MAX(City_Inputs!$AJ114,Norm_Stats!$F$23),Norm_Stats!$G$23)-Norm_Stats!$F$23)/(Norm_Stats!$G$23-Norm_Stats!$F$23)))))="",0,0.3)+IF((IF(OR(City_Inputs!$AK114="",Norm_Stats!$F$24="",Norm_Stats!$G$24="",Norm_Stats!$G$24=Norm_Stats!$F$24),"",MAX(0,MIN(100,100*(MIN(MAX(City_Inputs!$AK114,Norm_Stats!$F$24),Norm_Stats!$G$24)-Norm_Stats!$F$24)/(Norm_Stats!$G$24-Norm_Stats!$F$24)))))="",0,0.2))=0,"",(IF((IF(OR(City_Inputs!$AG114="",Norm_Stats!$F$22="",Norm_Stats!$G$22="",Norm_Stats!$G$22=Norm_Stats!$F$22),"",MAX(0,MIN(100,100*(MIN(MAX(City_Inputs!$AG114,Norm_Stats!$F$22),Norm_Stats!$G$22)-Norm_Stats!$F$22)/(Norm_Stats!$G$22-Norm_Stats!$F$22)))))="",0,0.5)+IF((IF(OR(City_Inputs!$AJ114="",Norm_Stats!$F$23="",Norm_Stats!$G$23="",Norm_Stats!$G$23=Norm_Stats!$F$23),"",MAX(0,MIN(100,100*(MIN(MAX(City_Inputs!$AJ114,Norm_Stats!$F$23),Norm_Stats!$G$23)-Norm_Stats!$F$23)/(Norm_Stats!$G$23-Norm_Stats!$F$23)))))="",0,0.3)+IF((IF(OR(City_Inputs!$AK114="",Norm_Stats!$F$24="",Norm_Stats!$G$24="",Norm_Stats!$G$24=Norm_Stats!$F$24),"",MAX(0,MIN(100,100*(MIN(MAX(City_Inputs!$AK114,Norm_Stats!$F$24),Norm_Stats!$G$24)-Norm_Stats!$F$24)/(Norm_Stats!$G$24-Norm_Stats!$F$24)))))="",0,0.2)))</f>
        <v/>
      </c>
      <c r="BE114" s="11">
        <f>IF(OR(City_Inputs!$AH114="",Norm_Stats!$F$25="",Norm_Stats!$G$25="",Norm_Stats!$G$25=Norm_Stats!$F$25),"",MAX(0,MIN(100,100*(Norm_Stats!$G$25-MIN(MAX(City_Inputs!$AH114,Norm_Stats!$F$25),Norm_Stats!$G$25))/(Norm_Stats!$G$25-Norm_Stats!$F$25))))</f>
        <v/>
      </c>
      <c r="BF114" s="14">
        <f>IF(BE114="","",1)</f>
        <v/>
      </c>
      <c r="BG114" s="15">
        <f>IF((IF(AY114="",0,6)+IF(BA114="",0,5)+IF(BC114="",0,5)+IF(BE114="",0,4))=0,"",(IF(AY114="",0,AY114*6)+IF(BA114="",0,BA114*5)+IF(BC114="",0,BC114*5)+IF(BE114="",0,BE114*4))/(IF(AY114="",0,6)+IF(BA114="",0,5)+IF(BC114="",0,5)+IF(BE114="",0,4)))</f>
        <v/>
      </c>
      <c r="BH114" s="14">
        <f>IF((IF(AZ114="",0,6)+IF(BB114="",0,5)+IF(BD114="",0,5)+IF(BF114="",0,4))=0,"",(IF(AZ114="",0,AZ114*6)+IF(BB114="",0,BB114*5)+IF(BD114="",0,BD114*5)+IF(BF114="",0,BF114*4))/20)</f>
        <v/>
      </c>
      <c r="BI114" s="14">
        <f>IF(AND(R114="",AF114="",AN114="",AX114="",BH114=""),"",((R114*25)+(AF114*22)+(AN114*18)+(AX114*15)+(BH114*20))/100)</f>
        <v/>
      </c>
      <c r="BJ114" s="11">
        <f>IF(BI114="","",IF(BI114&gt;=0.75,"A",IF(BI114&gt;=0.5,"B",IF(BI114&gt;=0.35,"C","Watchlist"))))</f>
        <v/>
      </c>
      <c r="BK114" s="11">
        <f>IF(OR(BI114="",BI114&lt;0.5,R114="",R114&lt;0.35,AF114="",AF114&lt;0.35,AN114="",AN114&lt;0.35,AX114="",AX114&lt;0.35,BH114="",BH114&lt;0.35),"Watchlist","Ranked")</f>
        <v/>
      </c>
      <c r="BL114" s="15">
        <f>IF(AND(Q114="",AE114="",AM114="",AW114="",BG114=""),"",(IF(Q114="",0,Q114*25)+IF(AE114="",0,AE114*22)+IF(AM114="",0,AM114*18)+IF(AW114="",0,AW114*15)+IF(BG114="",0,BG114*20))/(IF(Q114="",0,25)+IF(AE114="",0,22)+IF(AM114="",0,18)+IF(AW114="",0,15)+IF(BG114="",0,20)))</f>
        <v/>
      </c>
      <c r="BM114" s="11">
        <f>IF(BK114="Ranked",1+COUNTIFS($BK$2:$BK$158,"Ranked",$BL$2:$BL$158,"&gt;"&amp;BL114),"")</f>
        <v/>
      </c>
      <c r="BN114" s="11">
        <f>City_Inputs!$AI114</f>
        <v/>
      </c>
    </row>
    <row r="115">
      <c r="A115" t="inlineStr">
        <is>
          <t>tw-taichung</t>
        </is>
      </c>
      <c r="B115" t="inlineStr">
        <is>
          <t>Taichung</t>
        </is>
      </c>
      <c r="C115" t="inlineStr">
        <is>
          <t>Taiwan</t>
        </is>
      </c>
      <c r="D115" t="inlineStr">
        <is>
          <t>East Asia</t>
        </is>
      </c>
      <c r="E115" t="inlineStr">
        <is>
          <t>provisional</t>
        </is>
      </c>
      <c r="F115" t="inlineStr">
        <is>
          <t>primary</t>
        </is>
      </c>
      <c r="G115" s="11">
        <f>IF(OR(City_Inputs!$M115="",Norm_Stats!$F$2="",Norm_Stats!$G$2="",Norm_Stats!$G$2=Norm_Stats!$F$2),"",MAX(0,MIN(100,100*(MIN(MAX(City_Inputs!$M115,Norm_Stats!$F$2),Norm_Stats!$G$2)-Norm_Stats!$F$2)/(Norm_Stats!$G$2-Norm_Stats!$F$2))))</f>
        <v/>
      </c>
      <c r="H115" s="14">
        <f>IF(G115="","",1)</f>
        <v/>
      </c>
      <c r="I115" s="11">
        <f>IF(OR(City_Inputs!$N115="",Norm_Stats!$F$3="",Norm_Stats!$G$3="",Norm_Stats!$G$3=Norm_Stats!$F$3),"",MAX(0,MIN(100,100*(Norm_Stats!$G$3-MIN(MAX(City_Inputs!$N115,Norm_Stats!$F$3),Norm_Stats!$G$3))/(Norm_Stats!$G$3-Norm_Stats!$F$3))))</f>
        <v/>
      </c>
      <c r="J115" s="14">
        <f>IF(I115="","",1)</f>
        <v/>
      </c>
      <c r="K115" s="11">
        <f>IF(OR(City_Inputs!$P115="",Norm_Stats!$F$4="",Norm_Stats!$G$4="",Norm_Stats!$G$4=Norm_Stats!$F$4),"",MAX(0,MIN(100,100*(Norm_Stats!$G$4-MIN(MAX(City_Inputs!$P115,Norm_Stats!$F$4),Norm_Stats!$G$4))/(Norm_Stats!$G$4-Norm_Stats!$F$4))))</f>
        <v/>
      </c>
      <c r="L115" s="14">
        <f>IF(K115="","",1)</f>
        <v/>
      </c>
      <c r="M115" s="11">
        <f>IF(OR(City_Inputs!$Q115="",Norm_Stats!$F$5="",Norm_Stats!$G$5="",Norm_Stats!$G$5=Norm_Stats!$F$5),"",MAX(0,MIN(100,100*(Norm_Stats!$G$5-MIN(MAX(City_Inputs!$Q115,Norm_Stats!$F$5),Norm_Stats!$G$5))/(Norm_Stats!$G$5-Norm_Stats!$F$5))))</f>
        <v/>
      </c>
      <c r="N115" s="14">
        <f>IF(M115="","",1)</f>
        <v/>
      </c>
      <c r="O115" s="11">
        <f>IF(OR(City_Inputs!$R115="",Norm_Stats!$F$6="",Norm_Stats!$G$6="",Norm_Stats!$G$6=Norm_Stats!$F$6),"",MAX(0,MIN(100,100*(Norm_Stats!$G$6-MIN(MAX(City_Inputs!$R115,Norm_Stats!$F$6),Norm_Stats!$G$6))/(Norm_Stats!$G$6-Norm_Stats!$F$6))))</f>
        <v/>
      </c>
      <c r="P115" s="14">
        <f>IF(O115="","",1)</f>
        <v/>
      </c>
      <c r="Q115" s="15">
        <f>IF((IF(G115="",0,9)+IF(I115="",0,5)+IF(K115="",0,4)+IF(M115="",0,4)+IF(O115="",0,5))=0,"",(IF(G115="",0,G115*9)+IF(I115="",0,I115*5)+IF(K115="",0,K115*4)+IF(M115="",0,M115*4)+IF(O115="",0,O115*5))/(IF(G115="",0,9)+IF(I115="",0,5)+IF(K115="",0,4)+IF(M115="",0,4)+IF(O115="",0,5)))</f>
        <v/>
      </c>
      <c r="R115" s="14">
        <f>IF((IF(H115="",0,9)+IF(J115="",0,5)+IF(L115="",0,4)+IF(N115="",0,4)+IF(P115="",0,5))=0,"",(IF(H115="",0,H115*9)+IF(J115="",0,J115*5)+IF(L115="",0,L115*4)+IF(N115="",0,N115*4)+IF(P115="",0,P115*5))/27)</f>
        <v/>
      </c>
      <c r="S115" s="11">
        <f>IF(OR(City_Inputs!$S115="",Norm_Stats!$F$7="",Norm_Stats!$G$7="",Norm_Stats!$G$7=Norm_Stats!$F$7),"",MAX(0,MIN(100,100*(Norm_Stats!$G$7-MIN(MAX(City_Inputs!$S115,Norm_Stats!$F$7),Norm_Stats!$G$7))/(Norm_Stats!$G$7-Norm_Stats!$F$7))))</f>
        <v/>
      </c>
      <c r="T115" s="14">
        <f>IF(S115="","",1)</f>
        <v/>
      </c>
      <c r="U115" s="11">
        <f>IF(OR(City_Inputs!$T115="",Norm_Stats!$F$8="",Norm_Stats!$G$8="",Norm_Stats!$G$8=Norm_Stats!$F$8),"",MAX(0,MIN(100,100*(MIN(MAX(City_Inputs!$T115,Norm_Stats!$F$8),Norm_Stats!$G$8)-Norm_Stats!$F$8)/(Norm_Stats!$G$8-Norm_Stats!$F$8))))</f>
        <v/>
      </c>
      <c r="V115" s="14">
        <f>IF(U115="","",1)</f>
        <v/>
      </c>
      <c r="W115" s="11">
        <f>IF(OR(City_Inputs!$U115="",Norm_Stats!$F$9="",Norm_Stats!$G$9="",Norm_Stats!$G$9=Norm_Stats!$F$9),"",MAX(0,MIN(100,100*(Norm_Stats!$G$9-MIN(MAX(City_Inputs!$U115,Norm_Stats!$F$9),Norm_Stats!$G$9))/(Norm_Stats!$G$9-Norm_Stats!$F$9))))</f>
        <v/>
      </c>
      <c r="X115" s="14">
        <f>IF(W115="","",1)</f>
        <v/>
      </c>
      <c r="Y115" s="11">
        <f>IF(OR(City_Inputs!$V115="",Norm_Stats!$F$10="",Norm_Stats!$G$10="",Norm_Stats!$G$10=Norm_Stats!$F$10),"",MAX(0,MIN(100,100*(MIN(MAX(City_Inputs!$V115,Norm_Stats!$F$10),Norm_Stats!$G$10)-Norm_Stats!$F$10)/(Norm_Stats!$G$10-Norm_Stats!$F$10))))</f>
        <v/>
      </c>
      <c r="Z115" s="14">
        <f>IF(Y115="","",1)</f>
        <v/>
      </c>
      <c r="AA115" s="11">
        <f>IF(OR(City_Inputs!$W115="",Norm_Stats!$F$11="",Norm_Stats!$G$11="",Norm_Stats!$G$11=Norm_Stats!$F$11),"",MAX(0,MIN(100,100*(MIN(MAX(City_Inputs!$W115,Norm_Stats!$F$11),Norm_Stats!$G$11)-Norm_Stats!$F$11)/(Norm_Stats!$G$11-Norm_Stats!$F$11))))</f>
        <v/>
      </c>
      <c r="AB115" s="14">
        <f>IF(AA115="","",1)</f>
        <v/>
      </c>
      <c r="AC115" s="11">
        <f>IF(OR(City_Inputs!$X115="",Norm_Stats!$F$12="",Norm_Stats!$G$12="",Norm_Stats!$G$12=Norm_Stats!$F$12),"",MAX(0,MIN(100,100*(MIN(MAX(City_Inputs!$X115,Norm_Stats!$F$12),Norm_Stats!$G$12)-Norm_Stats!$F$12)/(Norm_Stats!$G$12-Norm_Stats!$F$12))))</f>
        <v/>
      </c>
      <c r="AD115" s="11">
        <f>IF(AC115="","",1)</f>
        <v/>
      </c>
      <c r="AE115" s="15">
        <f>IF((IF(S115="",0,5)+IF(U115="",0,5)+IF(W115="",0,4)+IF(Y115="",0,4)+IF(AA115="",0,4)+IF(AC115="",0,5))=0,"",(IF(S115="",0,S115*5)+IF(U115="",0,U115*5)+IF(W115="",0,W115*4)+IF(Y115="",0,Y115*4)+IF(AA115="",0,AA115*4)+IF(AC115="",0,AC115*5))/(IF(S115="",0,5)+IF(U115="",0,5)+IF(W115="",0,4)+IF(Y115="",0,4)+IF(AA115="",0,4)+IF(AC115="",0,5)))</f>
        <v/>
      </c>
      <c r="AF115" s="14">
        <f>IF((IF(T115="",0,5)+IF(V115="",0,5)+IF(X115="",0,4)+IF(Z115="",0,4)+IF(AB115="",0,4)+IF(AD115="",0,5))=0,"",(IF(T115="",0,T115*5)+IF(V115="",0,V115*5)+IF(X115="",0,X115*4)+IF(Z115="",0,Z115*4)+IF(AB115="",0,AB115*4)+IF(AD115="",0,AD115*5))/27)</f>
        <v/>
      </c>
      <c r="AG115" s="11">
        <f>IF(OR(City_Inputs!$Y115="",Norm_Stats!$F$13="",Norm_Stats!$G$13="",Norm_Stats!$G$13=Norm_Stats!$F$13),"",MAX(0,MIN(100,100*(MIN(MAX(City_Inputs!$Y115,Norm_Stats!$F$13),Norm_Stats!$G$13)-Norm_Stats!$F$13)/(Norm_Stats!$G$13-Norm_Stats!$F$13))))</f>
        <v/>
      </c>
      <c r="AH115" s="14">
        <f>IF(AG115="","",1)</f>
        <v/>
      </c>
      <c r="AI115" s="11">
        <f>IF(OR(City_Inputs!$Z115="",Norm_Stats!$F$14="",Norm_Stats!$G$14="",Norm_Stats!$G$14=Norm_Stats!$F$14),"",MAX(0,MIN(100,100*(MIN(MAX(City_Inputs!$Z115,Norm_Stats!$F$14),Norm_Stats!$G$14)-Norm_Stats!$F$14)/(Norm_Stats!$G$14-Norm_Stats!$F$14))))</f>
        <v/>
      </c>
      <c r="AJ115" s="14">
        <f>IF(AI115="","",1)</f>
        <v/>
      </c>
      <c r="AK115" s="11">
        <f>IF((IF((IF(OR(City_Inputs!$AA115="",Norm_Stats!$F$15="",Norm_Stats!$G$15="",Norm_Stats!$G$15=Norm_Stats!$F$15),"",MAX(0,MIN(100,100*(MIN(MAX(City_Inputs!$AA115,Norm_Stats!$F$15),Norm_Stats!$G$15)-Norm_Stats!$F$15)/(Norm_Stats!$G$15-Norm_Stats!$F$15)))))="",0,0.7)+IF((IF(OR(City_Inputs!$AL115="",Norm_Stats!$F$16="",Norm_Stats!$G$16="",Norm_Stats!$G$16=Norm_Stats!$F$16),"",MAX(0,MIN(100,100*(Norm_Stats!$G$16-MIN(MAX(City_Inputs!$AL115,Norm_Stats!$F$16),Norm_Stats!$G$16))/(Norm_Stats!$G$16-Norm_Stats!$F$16)))))="",0,0.3))=0,"",(IF((IF(OR(City_Inputs!$AA115="",Norm_Stats!$F$15="",Norm_Stats!$G$15="",Norm_Stats!$G$15=Norm_Stats!$F$15),"",MAX(0,MIN(100,100*(MIN(MAX(City_Inputs!$AA115,Norm_Stats!$F$15),Norm_Stats!$G$15)-Norm_Stats!$F$15)/(Norm_Stats!$G$15-Norm_Stats!$F$15)))))="",0,(IF(OR(City_Inputs!$AA115="",Norm_Stats!$F$15="",Norm_Stats!$G$15="",Norm_Stats!$G$15=Norm_Stats!$F$15),"",MAX(0,MIN(100,100*(MIN(MAX(City_Inputs!$AA115,Norm_Stats!$F$15),Norm_Stats!$G$15)-Norm_Stats!$F$15)/(Norm_Stats!$G$15-Norm_Stats!$F$15)))))*0.7)+IF((IF(OR(City_Inputs!$AL115="",Norm_Stats!$F$16="",Norm_Stats!$G$16="",Norm_Stats!$G$16=Norm_Stats!$F$16),"",MAX(0,MIN(100,100*(Norm_Stats!$G$16-MIN(MAX(City_Inputs!$AL115,Norm_Stats!$F$16),Norm_Stats!$G$16))/(Norm_Stats!$G$16-Norm_Stats!$F$16)))))="",0,(IF(OR(City_Inputs!$AL115="",Norm_Stats!$F$16="",Norm_Stats!$G$16="",Norm_Stats!$G$16=Norm_Stats!$F$16),"",MAX(0,MIN(100,100*(Norm_Stats!$G$16-MIN(MAX(City_Inputs!$AL115,Norm_Stats!$F$16),Norm_Stats!$G$16))/(Norm_Stats!$G$16-Norm_Stats!$F$16)))))*0.3))/(IF((IF(OR(City_Inputs!$AA115="",Norm_Stats!$F$15="",Norm_Stats!$G$15="",Norm_Stats!$G$15=Norm_Stats!$F$15),"",MAX(0,MIN(100,100*(MIN(MAX(City_Inputs!$AA115,Norm_Stats!$F$15),Norm_Stats!$G$15)-Norm_Stats!$F$15)/(Norm_Stats!$G$15-Norm_Stats!$F$15)))))="",0,0.7)+IF((IF(OR(City_Inputs!$AL115="",Norm_Stats!$F$16="",Norm_Stats!$G$16="",Norm_Stats!$G$16=Norm_Stats!$F$16),"",MAX(0,MIN(100,100*(Norm_Stats!$G$16-MIN(MAX(City_Inputs!$AL115,Norm_Stats!$F$16),Norm_Stats!$G$16))/(Norm_Stats!$G$16-Norm_Stats!$F$16)))))="",0,0.3)))</f>
        <v/>
      </c>
      <c r="AL115" s="14">
        <f>IF((IF((IF(OR(City_Inputs!$AA115="",Norm_Stats!$F$15="",Norm_Stats!$G$15="",Norm_Stats!$G$15=Norm_Stats!$F$15),"",MAX(0,MIN(100,100*(MIN(MAX(City_Inputs!$AA115,Norm_Stats!$F$15),Norm_Stats!$G$15)-Norm_Stats!$F$15)/(Norm_Stats!$G$15-Norm_Stats!$F$15)))))="",0,0.7)+IF((IF(OR(City_Inputs!$AL115="",Norm_Stats!$F$16="",Norm_Stats!$G$16="",Norm_Stats!$G$16=Norm_Stats!$F$16),"",MAX(0,MIN(100,100*(Norm_Stats!$G$16-MIN(MAX(City_Inputs!$AL115,Norm_Stats!$F$16),Norm_Stats!$G$16))/(Norm_Stats!$G$16-Norm_Stats!$F$16)))))="",0,0.3))=0,"",(IF((IF(OR(City_Inputs!$AA115="",Norm_Stats!$F$15="",Norm_Stats!$G$15="",Norm_Stats!$G$15=Norm_Stats!$F$15),"",MAX(0,MIN(100,100*(MIN(MAX(City_Inputs!$AA115,Norm_Stats!$F$15),Norm_Stats!$G$15)-Norm_Stats!$F$15)/(Norm_Stats!$G$15-Norm_Stats!$F$15)))))="",0,0.7)+IF((IF(OR(City_Inputs!$AL115="",Norm_Stats!$F$16="",Norm_Stats!$G$16="",Norm_Stats!$G$16=Norm_Stats!$F$16),"",MAX(0,MIN(100,100*(Norm_Stats!$G$16-MIN(MAX(City_Inputs!$AL115,Norm_Stats!$F$16),Norm_Stats!$G$16))/(Norm_Stats!$G$16-Norm_Stats!$F$16)))))="",0,0.3)))</f>
        <v/>
      </c>
      <c r="AM115" s="15">
        <f>IF((IF(AG115="",0,8)+IF(AI115="",0,6)+IF(AK115="",0,4))=0,"",(IF(AG115="",0,AG115*8)+IF(AI115="",0,AI115*6)+IF(AK115="",0,AK115*4))/(IF(AG115="",0,8)+IF(AI115="",0,6)+IF(AK115="",0,4)))</f>
        <v/>
      </c>
      <c r="AN115" s="14">
        <f>IF((IF(AH115="",0,8)+IF(AJ115="",0,6)+IF(AL115="",0,4))=0,"",(IF(AH115="",0,AH115*8)+IF(AJ115="",0,AJ115*6)+IF(AL115="",0,AL115*4))/18)</f>
        <v/>
      </c>
      <c r="AO115" s="11">
        <f>IF(OR(City_Inputs!$AB115="",Norm_Stats!$F$17="",Norm_Stats!$G$17="",Norm_Stats!$G$17=Norm_Stats!$F$17),"",MAX(0,MIN(100,100*(MIN(MAX(City_Inputs!$AB115,Norm_Stats!$F$17),Norm_Stats!$G$17)-Norm_Stats!$F$17)/(Norm_Stats!$G$17-Norm_Stats!$F$17))))</f>
        <v/>
      </c>
      <c r="AP115" s="14">
        <f>IF(AO115="","",1)</f>
        <v/>
      </c>
      <c r="AQ115" s="11">
        <f>IF(OR(City_Inputs!$AC115="",Norm_Stats!$F$18="",Norm_Stats!$G$18="",Norm_Stats!$G$18=Norm_Stats!$F$18),"",MAX(0,MIN(100,100*(MIN(MAX(City_Inputs!$AC115,Norm_Stats!$F$18),Norm_Stats!$G$18)-Norm_Stats!$F$18)/(Norm_Stats!$G$18-Norm_Stats!$F$18))))</f>
        <v/>
      </c>
      <c r="AR115" s="14">
        <f>IF(AQ115="","",1)</f>
        <v/>
      </c>
      <c r="AS115" s="11">
        <f>IF(OR(City_Inputs!$AD115="",Norm_Stats!$F$19="",Norm_Stats!$G$19="",Norm_Stats!$G$19=Norm_Stats!$F$19),"",MAX(0,MIN(100,100*(MIN(MAX(City_Inputs!$AD115,Norm_Stats!$F$19),Norm_Stats!$G$19)-Norm_Stats!$F$19)/(Norm_Stats!$G$19-Norm_Stats!$F$19))))</f>
        <v/>
      </c>
      <c r="AT115" s="14">
        <f>IF(AS115="","",1)</f>
        <v/>
      </c>
      <c r="AU115" s="11">
        <f>IF(OR(City_Inputs!$BJ115="",Norm_Stats!$F$26="",Norm_Stats!$G$26="",Norm_Stats!$G$26=Norm_Stats!$F$26),"",MAX(0,MIN(100,100*(MIN(MAX(City_Inputs!$BJ115,Norm_Stats!$F$26),Norm_Stats!$G$26)-Norm_Stats!$F$26)/(Norm_Stats!$G$26-Norm_Stats!$F$26))))</f>
        <v/>
      </c>
      <c r="AV115" s="11">
        <f>IF(AU115="","",1)</f>
        <v/>
      </c>
      <c r="AW115" s="15">
        <f>IF((IF(AO115="",0,5)+IF(AQ115="",0,5)+IF(AS115="",0,5)+IF(AU115="",0,4))=0,"",(IF(AO115="",0,AO115*5)+IF(AQ115="",0,AQ115*5)+IF(AS115="",0,AS115*5)+IF(AU115="",0,AU115*4))/(IF(AO115="",0,5)+IF(AQ115="",0,5)+IF(AS115="",0,5)+IF(AU115="",0,4)))</f>
        <v/>
      </c>
      <c r="AX115" s="14">
        <f>IF((IF(AP115="",0,5)+IF(AR115="",0,5)+IF(AT115="",0,5)+IF(AV115="",0,4))=0,"",(IF(AP115="",0,AP115*5)+IF(AR115="",0,AR115*5)+IF(AT115="",0,AT115*5)+IF(AV115="",0,AV115*4))/19)</f>
        <v/>
      </c>
      <c r="AY115" s="11">
        <f>IF(OR(City_Inputs!$AE115="",Norm_Stats!$F$20="",Norm_Stats!$G$20="",Norm_Stats!$G$20=Norm_Stats!$F$20),"",MAX(0,MIN(100,100*(MIN(MAX(City_Inputs!$AE115,Norm_Stats!$F$20),Norm_Stats!$G$20)-Norm_Stats!$F$20)/(Norm_Stats!$G$20-Norm_Stats!$F$20))))</f>
        <v/>
      </c>
      <c r="AZ115" s="14">
        <f>IF(AY115="","",1)</f>
        <v/>
      </c>
      <c r="BA115" s="11">
        <f>IF(OR(City_Inputs!$AF115="",Norm_Stats!$F$21="",Norm_Stats!$G$21="",Norm_Stats!$G$21=Norm_Stats!$F$21),"",MAX(0,MIN(100,100*(MIN(MAX(City_Inputs!$AF115,Norm_Stats!$F$21),Norm_Stats!$G$21)-Norm_Stats!$F$21)/(Norm_Stats!$G$21-Norm_Stats!$F$21))))</f>
        <v/>
      </c>
      <c r="BB115" s="14">
        <f>IF(BA115="","",1)</f>
        <v/>
      </c>
      <c r="BC115" s="11">
        <f>IF((IF((IF(OR(City_Inputs!$AG115="",Norm_Stats!$F$22="",Norm_Stats!$G$22="",Norm_Stats!$G$22=Norm_Stats!$F$22),"",MAX(0,MIN(100,100*(MIN(MAX(City_Inputs!$AG115,Norm_Stats!$F$22),Norm_Stats!$G$22)-Norm_Stats!$F$22)/(Norm_Stats!$G$22-Norm_Stats!$F$22)))))="",0,0.5)+IF((IF(OR(City_Inputs!$AJ115="",Norm_Stats!$F$23="",Norm_Stats!$G$23="",Norm_Stats!$G$23=Norm_Stats!$F$23),"",MAX(0,MIN(100,100*(MIN(MAX(City_Inputs!$AJ115,Norm_Stats!$F$23),Norm_Stats!$G$23)-Norm_Stats!$F$23)/(Norm_Stats!$G$23-Norm_Stats!$F$23)))))="",0,0.3)+IF((IF(OR(City_Inputs!$AK115="",Norm_Stats!$F$24="",Norm_Stats!$G$24="",Norm_Stats!$G$24=Norm_Stats!$F$24),"",MAX(0,MIN(100,100*(MIN(MAX(City_Inputs!$AK115,Norm_Stats!$F$24),Norm_Stats!$G$24)-Norm_Stats!$F$24)/(Norm_Stats!$G$24-Norm_Stats!$F$24)))))="",0,0.2))=0,"",(IF((IF(OR(City_Inputs!$AG115="",Norm_Stats!$F$22="",Norm_Stats!$G$22="",Norm_Stats!$G$22=Norm_Stats!$F$22),"",MAX(0,MIN(100,100*(MIN(MAX(City_Inputs!$AG115,Norm_Stats!$F$22),Norm_Stats!$G$22)-Norm_Stats!$F$22)/(Norm_Stats!$G$22-Norm_Stats!$F$22)))))="",0,(IF(OR(City_Inputs!$AG115="",Norm_Stats!$F$22="",Norm_Stats!$G$22="",Norm_Stats!$G$22=Norm_Stats!$F$22),"",MAX(0,MIN(100,100*(MIN(MAX(City_Inputs!$AG115,Norm_Stats!$F$22),Norm_Stats!$G$22)-Norm_Stats!$F$22)/(Norm_Stats!$G$22-Norm_Stats!$F$22)))))*0.5)+IF((IF(OR(City_Inputs!$AJ115="",Norm_Stats!$F$23="",Norm_Stats!$G$23="",Norm_Stats!$G$23=Norm_Stats!$F$23),"",MAX(0,MIN(100,100*(MIN(MAX(City_Inputs!$AJ115,Norm_Stats!$F$23),Norm_Stats!$G$23)-Norm_Stats!$F$23)/(Norm_Stats!$G$23-Norm_Stats!$F$23)))))="",0,(IF(OR(City_Inputs!$AJ115="",Norm_Stats!$F$23="",Norm_Stats!$G$23="",Norm_Stats!$G$23=Norm_Stats!$F$23),"",MAX(0,MIN(100,100*(MIN(MAX(City_Inputs!$AJ115,Norm_Stats!$F$23),Norm_Stats!$G$23)-Norm_Stats!$F$23)/(Norm_Stats!$G$23-Norm_Stats!$F$23)))))*0.3)+IF((IF(OR(City_Inputs!$AK115="",Norm_Stats!$F$24="",Norm_Stats!$G$24="",Norm_Stats!$G$24=Norm_Stats!$F$24),"",MAX(0,MIN(100,100*(MIN(MAX(City_Inputs!$AK115,Norm_Stats!$F$24),Norm_Stats!$G$24)-Norm_Stats!$F$24)/(Norm_Stats!$G$24-Norm_Stats!$F$24)))))="",0,(IF(OR(City_Inputs!$AK115="",Norm_Stats!$F$24="",Norm_Stats!$G$24="",Norm_Stats!$G$24=Norm_Stats!$F$24),"",MAX(0,MIN(100,100*(MIN(MAX(City_Inputs!$AK115,Norm_Stats!$F$24),Norm_Stats!$G$24)-Norm_Stats!$F$24)/(Norm_Stats!$G$24-Norm_Stats!$F$24)))))*0.2))/(IF((IF(OR(City_Inputs!$AG115="",Norm_Stats!$F$22="",Norm_Stats!$G$22="",Norm_Stats!$G$22=Norm_Stats!$F$22),"",MAX(0,MIN(100,100*(MIN(MAX(City_Inputs!$AG115,Norm_Stats!$F$22),Norm_Stats!$G$22)-Norm_Stats!$F$22)/(Norm_Stats!$G$22-Norm_Stats!$F$22)))))="",0,0.5)+IF((IF(OR(City_Inputs!$AJ115="",Norm_Stats!$F$23="",Norm_Stats!$G$23="",Norm_Stats!$G$23=Norm_Stats!$F$23),"",MAX(0,MIN(100,100*(MIN(MAX(City_Inputs!$AJ115,Norm_Stats!$F$23),Norm_Stats!$G$23)-Norm_Stats!$F$23)/(Norm_Stats!$G$23-Norm_Stats!$F$23)))))="",0,0.3)+IF((IF(OR(City_Inputs!$AK115="",Norm_Stats!$F$24="",Norm_Stats!$G$24="",Norm_Stats!$G$24=Norm_Stats!$F$24),"",MAX(0,MIN(100,100*(MIN(MAX(City_Inputs!$AK115,Norm_Stats!$F$24),Norm_Stats!$G$24)-Norm_Stats!$F$24)/(Norm_Stats!$G$24-Norm_Stats!$F$24)))))="",0,0.2)))</f>
        <v/>
      </c>
      <c r="BD115" s="14">
        <f>IF((IF((IF(OR(City_Inputs!$AG115="",Norm_Stats!$F$22="",Norm_Stats!$G$22="",Norm_Stats!$G$22=Norm_Stats!$F$22),"",MAX(0,MIN(100,100*(MIN(MAX(City_Inputs!$AG115,Norm_Stats!$F$22),Norm_Stats!$G$22)-Norm_Stats!$F$22)/(Norm_Stats!$G$22-Norm_Stats!$F$22)))))="",0,0.5)+IF((IF(OR(City_Inputs!$AJ115="",Norm_Stats!$F$23="",Norm_Stats!$G$23="",Norm_Stats!$G$23=Norm_Stats!$F$23),"",MAX(0,MIN(100,100*(MIN(MAX(City_Inputs!$AJ115,Norm_Stats!$F$23),Norm_Stats!$G$23)-Norm_Stats!$F$23)/(Norm_Stats!$G$23-Norm_Stats!$F$23)))))="",0,0.3)+IF((IF(OR(City_Inputs!$AK115="",Norm_Stats!$F$24="",Norm_Stats!$G$24="",Norm_Stats!$G$24=Norm_Stats!$F$24),"",MAX(0,MIN(100,100*(MIN(MAX(City_Inputs!$AK115,Norm_Stats!$F$24),Norm_Stats!$G$24)-Norm_Stats!$F$24)/(Norm_Stats!$G$24-Norm_Stats!$F$24)))))="",0,0.2))=0,"",(IF((IF(OR(City_Inputs!$AG115="",Norm_Stats!$F$22="",Norm_Stats!$G$22="",Norm_Stats!$G$22=Norm_Stats!$F$22),"",MAX(0,MIN(100,100*(MIN(MAX(City_Inputs!$AG115,Norm_Stats!$F$22),Norm_Stats!$G$22)-Norm_Stats!$F$22)/(Norm_Stats!$G$22-Norm_Stats!$F$22)))))="",0,0.5)+IF((IF(OR(City_Inputs!$AJ115="",Norm_Stats!$F$23="",Norm_Stats!$G$23="",Norm_Stats!$G$23=Norm_Stats!$F$23),"",MAX(0,MIN(100,100*(MIN(MAX(City_Inputs!$AJ115,Norm_Stats!$F$23),Norm_Stats!$G$23)-Norm_Stats!$F$23)/(Norm_Stats!$G$23-Norm_Stats!$F$23)))))="",0,0.3)+IF((IF(OR(City_Inputs!$AK115="",Norm_Stats!$F$24="",Norm_Stats!$G$24="",Norm_Stats!$G$24=Norm_Stats!$F$24),"",MAX(0,MIN(100,100*(MIN(MAX(City_Inputs!$AK115,Norm_Stats!$F$24),Norm_Stats!$G$24)-Norm_Stats!$F$24)/(Norm_Stats!$G$24-Norm_Stats!$F$24)))))="",0,0.2)))</f>
        <v/>
      </c>
      <c r="BE115" s="11">
        <f>IF(OR(City_Inputs!$AH115="",Norm_Stats!$F$25="",Norm_Stats!$G$25="",Norm_Stats!$G$25=Norm_Stats!$F$25),"",MAX(0,MIN(100,100*(Norm_Stats!$G$25-MIN(MAX(City_Inputs!$AH115,Norm_Stats!$F$25),Norm_Stats!$G$25))/(Norm_Stats!$G$25-Norm_Stats!$F$25))))</f>
        <v/>
      </c>
      <c r="BF115" s="14">
        <f>IF(BE115="","",1)</f>
        <v/>
      </c>
      <c r="BG115" s="15">
        <f>IF((IF(AY115="",0,6)+IF(BA115="",0,5)+IF(BC115="",0,5)+IF(BE115="",0,4))=0,"",(IF(AY115="",0,AY115*6)+IF(BA115="",0,BA115*5)+IF(BC115="",0,BC115*5)+IF(BE115="",0,BE115*4))/(IF(AY115="",0,6)+IF(BA115="",0,5)+IF(BC115="",0,5)+IF(BE115="",0,4)))</f>
        <v/>
      </c>
      <c r="BH115" s="14">
        <f>IF((IF(AZ115="",0,6)+IF(BB115="",0,5)+IF(BD115="",0,5)+IF(BF115="",0,4))=0,"",(IF(AZ115="",0,AZ115*6)+IF(BB115="",0,BB115*5)+IF(BD115="",0,BD115*5)+IF(BF115="",0,BF115*4))/20)</f>
        <v/>
      </c>
      <c r="BI115" s="14">
        <f>IF(AND(R115="",AF115="",AN115="",AX115="",BH115=""),"",((R115*25)+(AF115*22)+(AN115*18)+(AX115*15)+(BH115*20))/100)</f>
        <v/>
      </c>
      <c r="BJ115" s="11">
        <f>IF(BI115="","",IF(BI115&gt;=0.75,"A",IF(BI115&gt;=0.5,"B",IF(BI115&gt;=0.35,"C","Watchlist"))))</f>
        <v/>
      </c>
      <c r="BK115" s="11">
        <f>IF(OR(BI115="",BI115&lt;0.5,R115="",R115&lt;0.35,AF115="",AF115&lt;0.35,AN115="",AN115&lt;0.35,AX115="",AX115&lt;0.35,BH115="",BH115&lt;0.35),"Watchlist","Ranked")</f>
        <v/>
      </c>
      <c r="BL115" s="15">
        <f>IF(AND(Q115="",AE115="",AM115="",AW115="",BG115=""),"",(IF(Q115="",0,Q115*25)+IF(AE115="",0,AE115*22)+IF(AM115="",0,AM115*18)+IF(AW115="",0,AW115*15)+IF(BG115="",0,BG115*20))/(IF(Q115="",0,25)+IF(AE115="",0,22)+IF(AM115="",0,18)+IF(AW115="",0,15)+IF(BG115="",0,20)))</f>
        <v/>
      </c>
      <c r="BM115" s="11">
        <f>IF(BK115="Ranked",1+COUNTIFS($BK$2:$BK$158,"Ranked",$BL$2:$BL$158,"&gt;"&amp;BL115),"")</f>
        <v/>
      </c>
      <c r="BN115" s="11">
        <f>City_Inputs!$AI115</f>
        <v/>
      </c>
    </row>
    <row r="116">
      <c r="A116" t="inlineStr">
        <is>
          <t>tw-kaohsiung</t>
        </is>
      </c>
      <c r="B116" t="inlineStr">
        <is>
          <t>Kaohsiung</t>
        </is>
      </c>
      <c r="C116" t="inlineStr">
        <is>
          <t>Taiwan</t>
        </is>
      </c>
      <c r="D116" t="inlineStr">
        <is>
          <t>East Asia</t>
        </is>
      </c>
      <c r="E116" t="inlineStr">
        <is>
          <t>locked</t>
        </is>
      </c>
      <c r="F116" t="inlineStr">
        <is>
          <t>primary</t>
        </is>
      </c>
      <c r="G116" s="11">
        <f>IF(OR(City_Inputs!$M116="",Norm_Stats!$F$2="",Norm_Stats!$G$2="",Norm_Stats!$G$2=Norm_Stats!$F$2),"",MAX(0,MIN(100,100*(MIN(MAX(City_Inputs!$M116,Norm_Stats!$F$2),Norm_Stats!$G$2)-Norm_Stats!$F$2)/(Norm_Stats!$G$2-Norm_Stats!$F$2))))</f>
        <v/>
      </c>
      <c r="H116" s="14">
        <f>IF(G116="","",1)</f>
        <v/>
      </c>
      <c r="I116" s="11">
        <f>IF(OR(City_Inputs!$N116="",Norm_Stats!$F$3="",Norm_Stats!$G$3="",Norm_Stats!$G$3=Norm_Stats!$F$3),"",MAX(0,MIN(100,100*(Norm_Stats!$G$3-MIN(MAX(City_Inputs!$N116,Norm_Stats!$F$3),Norm_Stats!$G$3))/(Norm_Stats!$G$3-Norm_Stats!$F$3))))</f>
        <v/>
      </c>
      <c r="J116" s="14">
        <f>IF(I116="","",1)</f>
        <v/>
      </c>
      <c r="K116" s="11">
        <f>IF(OR(City_Inputs!$P116="",Norm_Stats!$F$4="",Norm_Stats!$G$4="",Norm_Stats!$G$4=Norm_Stats!$F$4),"",MAX(0,MIN(100,100*(Norm_Stats!$G$4-MIN(MAX(City_Inputs!$P116,Norm_Stats!$F$4),Norm_Stats!$G$4))/(Norm_Stats!$G$4-Norm_Stats!$F$4))))</f>
        <v/>
      </c>
      <c r="L116" s="14">
        <f>IF(K116="","",1)</f>
        <v/>
      </c>
      <c r="M116" s="11">
        <f>IF(OR(City_Inputs!$Q116="",Norm_Stats!$F$5="",Norm_Stats!$G$5="",Norm_Stats!$G$5=Norm_Stats!$F$5),"",MAX(0,MIN(100,100*(Norm_Stats!$G$5-MIN(MAX(City_Inputs!$Q116,Norm_Stats!$F$5),Norm_Stats!$G$5))/(Norm_Stats!$G$5-Norm_Stats!$F$5))))</f>
        <v/>
      </c>
      <c r="N116" s="14">
        <f>IF(M116="","",1)</f>
        <v/>
      </c>
      <c r="O116" s="11">
        <f>IF(OR(City_Inputs!$R116="",Norm_Stats!$F$6="",Norm_Stats!$G$6="",Norm_Stats!$G$6=Norm_Stats!$F$6),"",MAX(0,MIN(100,100*(Norm_Stats!$G$6-MIN(MAX(City_Inputs!$R116,Norm_Stats!$F$6),Norm_Stats!$G$6))/(Norm_Stats!$G$6-Norm_Stats!$F$6))))</f>
        <v/>
      </c>
      <c r="P116" s="14">
        <f>IF(O116="","",1)</f>
        <v/>
      </c>
      <c r="Q116" s="15">
        <f>IF((IF(G116="",0,9)+IF(I116="",0,5)+IF(K116="",0,4)+IF(M116="",0,4)+IF(O116="",0,5))=0,"",(IF(G116="",0,G116*9)+IF(I116="",0,I116*5)+IF(K116="",0,K116*4)+IF(M116="",0,M116*4)+IF(O116="",0,O116*5))/(IF(G116="",0,9)+IF(I116="",0,5)+IF(K116="",0,4)+IF(M116="",0,4)+IF(O116="",0,5)))</f>
        <v/>
      </c>
      <c r="R116" s="14">
        <f>IF((IF(H116="",0,9)+IF(J116="",0,5)+IF(L116="",0,4)+IF(N116="",0,4)+IF(P116="",0,5))=0,"",(IF(H116="",0,H116*9)+IF(J116="",0,J116*5)+IF(L116="",0,L116*4)+IF(N116="",0,N116*4)+IF(P116="",0,P116*5))/27)</f>
        <v/>
      </c>
      <c r="S116" s="11">
        <f>IF(OR(City_Inputs!$S116="",Norm_Stats!$F$7="",Norm_Stats!$G$7="",Norm_Stats!$G$7=Norm_Stats!$F$7),"",MAX(0,MIN(100,100*(Norm_Stats!$G$7-MIN(MAX(City_Inputs!$S116,Norm_Stats!$F$7),Norm_Stats!$G$7))/(Norm_Stats!$G$7-Norm_Stats!$F$7))))</f>
        <v/>
      </c>
      <c r="T116" s="14">
        <f>IF(S116="","",1)</f>
        <v/>
      </c>
      <c r="U116" s="11">
        <f>IF(OR(City_Inputs!$T116="",Norm_Stats!$F$8="",Norm_Stats!$G$8="",Norm_Stats!$G$8=Norm_Stats!$F$8),"",MAX(0,MIN(100,100*(MIN(MAX(City_Inputs!$T116,Norm_Stats!$F$8),Norm_Stats!$G$8)-Norm_Stats!$F$8)/(Norm_Stats!$G$8-Norm_Stats!$F$8))))</f>
        <v/>
      </c>
      <c r="V116" s="14">
        <f>IF(U116="","",1)</f>
        <v/>
      </c>
      <c r="W116" s="11">
        <f>IF(OR(City_Inputs!$U116="",Norm_Stats!$F$9="",Norm_Stats!$G$9="",Norm_Stats!$G$9=Norm_Stats!$F$9),"",MAX(0,MIN(100,100*(Norm_Stats!$G$9-MIN(MAX(City_Inputs!$U116,Norm_Stats!$F$9),Norm_Stats!$G$9))/(Norm_Stats!$G$9-Norm_Stats!$F$9))))</f>
        <v/>
      </c>
      <c r="X116" s="14">
        <f>IF(W116="","",1)</f>
        <v/>
      </c>
      <c r="Y116" s="11">
        <f>IF(OR(City_Inputs!$V116="",Norm_Stats!$F$10="",Norm_Stats!$G$10="",Norm_Stats!$G$10=Norm_Stats!$F$10),"",MAX(0,MIN(100,100*(MIN(MAX(City_Inputs!$V116,Norm_Stats!$F$10),Norm_Stats!$G$10)-Norm_Stats!$F$10)/(Norm_Stats!$G$10-Norm_Stats!$F$10))))</f>
        <v/>
      </c>
      <c r="Z116" s="14">
        <f>IF(Y116="","",1)</f>
        <v/>
      </c>
      <c r="AA116" s="11">
        <f>IF(OR(City_Inputs!$W116="",Norm_Stats!$F$11="",Norm_Stats!$G$11="",Norm_Stats!$G$11=Norm_Stats!$F$11),"",MAX(0,MIN(100,100*(MIN(MAX(City_Inputs!$W116,Norm_Stats!$F$11),Norm_Stats!$G$11)-Norm_Stats!$F$11)/(Norm_Stats!$G$11-Norm_Stats!$F$11))))</f>
        <v/>
      </c>
      <c r="AB116" s="14">
        <f>IF(AA116="","",1)</f>
        <v/>
      </c>
      <c r="AC116" s="11">
        <f>IF(OR(City_Inputs!$X116="",Norm_Stats!$F$12="",Norm_Stats!$G$12="",Norm_Stats!$G$12=Norm_Stats!$F$12),"",MAX(0,MIN(100,100*(MIN(MAX(City_Inputs!$X116,Norm_Stats!$F$12),Norm_Stats!$G$12)-Norm_Stats!$F$12)/(Norm_Stats!$G$12-Norm_Stats!$F$12))))</f>
        <v/>
      </c>
      <c r="AD116" s="11">
        <f>IF(AC116="","",1)</f>
        <v/>
      </c>
      <c r="AE116" s="15">
        <f>IF((IF(S116="",0,5)+IF(U116="",0,5)+IF(W116="",0,4)+IF(Y116="",0,4)+IF(AA116="",0,4)+IF(AC116="",0,5))=0,"",(IF(S116="",0,S116*5)+IF(U116="",0,U116*5)+IF(W116="",0,W116*4)+IF(Y116="",0,Y116*4)+IF(AA116="",0,AA116*4)+IF(AC116="",0,AC116*5))/(IF(S116="",0,5)+IF(U116="",0,5)+IF(W116="",0,4)+IF(Y116="",0,4)+IF(AA116="",0,4)+IF(AC116="",0,5)))</f>
        <v/>
      </c>
      <c r="AF116" s="14">
        <f>IF((IF(T116="",0,5)+IF(V116="",0,5)+IF(X116="",0,4)+IF(Z116="",0,4)+IF(AB116="",0,4)+IF(AD116="",0,5))=0,"",(IF(T116="",0,T116*5)+IF(V116="",0,V116*5)+IF(X116="",0,X116*4)+IF(Z116="",0,Z116*4)+IF(AB116="",0,AB116*4)+IF(AD116="",0,AD116*5))/27)</f>
        <v/>
      </c>
      <c r="AG116" s="11">
        <f>IF(OR(City_Inputs!$Y116="",Norm_Stats!$F$13="",Norm_Stats!$G$13="",Norm_Stats!$G$13=Norm_Stats!$F$13),"",MAX(0,MIN(100,100*(MIN(MAX(City_Inputs!$Y116,Norm_Stats!$F$13),Norm_Stats!$G$13)-Norm_Stats!$F$13)/(Norm_Stats!$G$13-Norm_Stats!$F$13))))</f>
        <v/>
      </c>
      <c r="AH116" s="14">
        <f>IF(AG116="","",1)</f>
        <v/>
      </c>
      <c r="AI116" s="11">
        <f>IF(OR(City_Inputs!$Z116="",Norm_Stats!$F$14="",Norm_Stats!$G$14="",Norm_Stats!$G$14=Norm_Stats!$F$14),"",MAX(0,MIN(100,100*(MIN(MAX(City_Inputs!$Z116,Norm_Stats!$F$14),Norm_Stats!$G$14)-Norm_Stats!$F$14)/(Norm_Stats!$G$14-Norm_Stats!$F$14))))</f>
        <v/>
      </c>
      <c r="AJ116" s="14">
        <f>IF(AI116="","",1)</f>
        <v/>
      </c>
      <c r="AK116" s="11">
        <f>IF((IF((IF(OR(City_Inputs!$AA116="",Norm_Stats!$F$15="",Norm_Stats!$G$15="",Norm_Stats!$G$15=Norm_Stats!$F$15),"",MAX(0,MIN(100,100*(MIN(MAX(City_Inputs!$AA116,Norm_Stats!$F$15),Norm_Stats!$G$15)-Norm_Stats!$F$15)/(Norm_Stats!$G$15-Norm_Stats!$F$15)))))="",0,0.7)+IF((IF(OR(City_Inputs!$AL116="",Norm_Stats!$F$16="",Norm_Stats!$G$16="",Norm_Stats!$G$16=Norm_Stats!$F$16),"",MAX(0,MIN(100,100*(Norm_Stats!$G$16-MIN(MAX(City_Inputs!$AL116,Norm_Stats!$F$16),Norm_Stats!$G$16))/(Norm_Stats!$G$16-Norm_Stats!$F$16)))))="",0,0.3))=0,"",(IF((IF(OR(City_Inputs!$AA116="",Norm_Stats!$F$15="",Norm_Stats!$G$15="",Norm_Stats!$G$15=Norm_Stats!$F$15),"",MAX(0,MIN(100,100*(MIN(MAX(City_Inputs!$AA116,Norm_Stats!$F$15),Norm_Stats!$G$15)-Norm_Stats!$F$15)/(Norm_Stats!$G$15-Norm_Stats!$F$15)))))="",0,(IF(OR(City_Inputs!$AA116="",Norm_Stats!$F$15="",Norm_Stats!$G$15="",Norm_Stats!$G$15=Norm_Stats!$F$15),"",MAX(0,MIN(100,100*(MIN(MAX(City_Inputs!$AA116,Norm_Stats!$F$15),Norm_Stats!$G$15)-Norm_Stats!$F$15)/(Norm_Stats!$G$15-Norm_Stats!$F$15)))))*0.7)+IF((IF(OR(City_Inputs!$AL116="",Norm_Stats!$F$16="",Norm_Stats!$G$16="",Norm_Stats!$G$16=Norm_Stats!$F$16),"",MAX(0,MIN(100,100*(Norm_Stats!$G$16-MIN(MAX(City_Inputs!$AL116,Norm_Stats!$F$16),Norm_Stats!$G$16))/(Norm_Stats!$G$16-Norm_Stats!$F$16)))))="",0,(IF(OR(City_Inputs!$AL116="",Norm_Stats!$F$16="",Norm_Stats!$G$16="",Norm_Stats!$G$16=Norm_Stats!$F$16),"",MAX(0,MIN(100,100*(Norm_Stats!$G$16-MIN(MAX(City_Inputs!$AL116,Norm_Stats!$F$16),Norm_Stats!$G$16))/(Norm_Stats!$G$16-Norm_Stats!$F$16)))))*0.3))/(IF((IF(OR(City_Inputs!$AA116="",Norm_Stats!$F$15="",Norm_Stats!$G$15="",Norm_Stats!$G$15=Norm_Stats!$F$15),"",MAX(0,MIN(100,100*(MIN(MAX(City_Inputs!$AA116,Norm_Stats!$F$15),Norm_Stats!$G$15)-Norm_Stats!$F$15)/(Norm_Stats!$G$15-Norm_Stats!$F$15)))))="",0,0.7)+IF((IF(OR(City_Inputs!$AL116="",Norm_Stats!$F$16="",Norm_Stats!$G$16="",Norm_Stats!$G$16=Norm_Stats!$F$16),"",MAX(0,MIN(100,100*(Norm_Stats!$G$16-MIN(MAX(City_Inputs!$AL116,Norm_Stats!$F$16),Norm_Stats!$G$16))/(Norm_Stats!$G$16-Norm_Stats!$F$16)))))="",0,0.3)))</f>
        <v/>
      </c>
      <c r="AL116" s="14">
        <f>IF((IF((IF(OR(City_Inputs!$AA116="",Norm_Stats!$F$15="",Norm_Stats!$G$15="",Norm_Stats!$G$15=Norm_Stats!$F$15),"",MAX(0,MIN(100,100*(MIN(MAX(City_Inputs!$AA116,Norm_Stats!$F$15),Norm_Stats!$G$15)-Norm_Stats!$F$15)/(Norm_Stats!$G$15-Norm_Stats!$F$15)))))="",0,0.7)+IF((IF(OR(City_Inputs!$AL116="",Norm_Stats!$F$16="",Norm_Stats!$G$16="",Norm_Stats!$G$16=Norm_Stats!$F$16),"",MAX(0,MIN(100,100*(Norm_Stats!$G$16-MIN(MAX(City_Inputs!$AL116,Norm_Stats!$F$16),Norm_Stats!$G$16))/(Norm_Stats!$G$16-Norm_Stats!$F$16)))))="",0,0.3))=0,"",(IF((IF(OR(City_Inputs!$AA116="",Norm_Stats!$F$15="",Norm_Stats!$G$15="",Norm_Stats!$G$15=Norm_Stats!$F$15),"",MAX(0,MIN(100,100*(MIN(MAX(City_Inputs!$AA116,Norm_Stats!$F$15),Norm_Stats!$G$15)-Norm_Stats!$F$15)/(Norm_Stats!$G$15-Norm_Stats!$F$15)))))="",0,0.7)+IF((IF(OR(City_Inputs!$AL116="",Norm_Stats!$F$16="",Norm_Stats!$G$16="",Norm_Stats!$G$16=Norm_Stats!$F$16),"",MAX(0,MIN(100,100*(Norm_Stats!$G$16-MIN(MAX(City_Inputs!$AL116,Norm_Stats!$F$16),Norm_Stats!$G$16))/(Norm_Stats!$G$16-Norm_Stats!$F$16)))))="",0,0.3)))</f>
        <v/>
      </c>
      <c r="AM116" s="15">
        <f>IF((IF(AG116="",0,8)+IF(AI116="",0,6)+IF(AK116="",0,4))=0,"",(IF(AG116="",0,AG116*8)+IF(AI116="",0,AI116*6)+IF(AK116="",0,AK116*4))/(IF(AG116="",0,8)+IF(AI116="",0,6)+IF(AK116="",0,4)))</f>
        <v/>
      </c>
      <c r="AN116" s="14">
        <f>IF((IF(AH116="",0,8)+IF(AJ116="",0,6)+IF(AL116="",0,4))=0,"",(IF(AH116="",0,AH116*8)+IF(AJ116="",0,AJ116*6)+IF(AL116="",0,AL116*4))/18)</f>
        <v/>
      </c>
      <c r="AO116" s="11">
        <f>IF(OR(City_Inputs!$AB116="",Norm_Stats!$F$17="",Norm_Stats!$G$17="",Norm_Stats!$G$17=Norm_Stats!$F$17),"",MAX(0,MIN(100,100*(MIN(MAX(City_Inputs!$AB116,Norm_Stats!$F$17),Norm_Stats!$G$17)-Norm_Stats!$F$17)/(Norm_Stats!$G$17-Norm_Stats!$F$17))))</f>
        <v/>
      </c>
      <c r="AP116" s="14">
        <f>IF(AO116="","",1)</f>
        <v/>
      </c>
      <c r="AQ116" s="11">
        <f>IF(OR(City_Inputs!$AC116="",Norm_Stats!$F$18="",Norm_Stats!$G$18="",Norm_Stats!$G$18=Norm_Stats!$F$18),"",MAX(0,MIN(100,100*(MIN(MAX(City_Inputs!$AC116,Norm_Stats!$F$18),Norm_Stats!$G$18)-Norm_Stats!$F$18)/(Norm_Stats!$G$18-Norm_Stats!$F$18))))</f>
        <v/>
      </c>
      <c r="AR116" s="14">
        <f>IF(AQ116="","",1)</f>
        <v/>
      </c>
      <c r="AS116" s="11">
        <f>IF(OR(City_Inputs!$AD116="",Norm_Stats!$F$19="",Norm_Stats!$G$19="",Norm_Stats!$G$19=Norm_Stats!$F$19),"",MAX(0,MIN(100,100*(MIN(MAX(City_Inputs!$AD116,Norm_Stats!$F$19),Norm_Stats!$G$19)-Norm_Stats!$F$19)/(Norm_Stats!$G$19-Norm_Stats!$F$19))))</f>
        <v/>
      </c>
      <c r="AT116" s="14">
        <f>IF(AS116="","",1)</f>
        <v/>
      </c>
      <c r="AU116" s="11">
        <f>IF(OR(City_Inputs!$BJ116="",Norm_Stats!$F$26="",Norm_Stats!$G$26="",Norm_Stats!$G$26=Norm_Stats!$F$26),"",MAX(0,MIN(100,100*(MIN(MAX(City_Inputs!$BJ116,Norm_Stats!$F$26),Norm_Stats!$G$26)-Norm_Stats!$F$26)/(Norm_Stats!$G$26-Norm_Stats!$F$26))))</f>
        <v/>
      </c>
      <c r="AV116" s="11">
        <f>IF(AU116="","",1)</f>
        <v/>
      </c>
      <c r="AW116" s="15">
        <f>IF((IF(AO116="",0,5)+IF(AQ116="",0,5)+IF(AS116="",0,5)+IF(AU116="",0,4))=0,"",(IF(AO116="",0,AO116*5)+IF(AQ116="",0,AQ116*5)+IF(AS116="",0,AS116*5)+IF(AU116="",0,AU116*4))/(IF(AO116="",0,5)+IF(AQ116="",0,5)+IF(AS116="",0,5)+IF(AU116="",0,4)))</f>
        <v/>
      </c>
      <c r="AX116" s="14">
        <f>IF((IF(AP116="",0,5)+IF(AR116="",0,5)+IF(AT116="",0,5)+IF(AV116="",0,4))=0,"",(IF(AP116="",0,AP116*5)+IF(AR116="",0,AR116*5)+IF(AT116="",0,AT116*5)+IF(AV116="",0,AV116*4))/19)</f>
        <v/>
      </c>
      <c r="AY116" s="11">
        <f>IF(OR(City_Inputs!$AE116="",Norm_Stats!$F$20="",Norm_Stats!$G$20="",Norm_Stats!$G$20=Norm_Stats!$F$20),"",MAX(0,MIN(100,100*(MIN(MAX(City_Inputs!$AE116,Norm_Stats!$F$20),Norm_Stats!$G$20)-Norm_Stats!$F$20)/(Norm_Stats!$G$20-Norm_Stats!$F$20))))</f>
        <v/>
      </c>
      <c r="AZ116" s="14">
        <f>IF(AY116="","",1)</f>
        <v/>
      </c>
      <c r="BA116" s="11">
        <f>IF(OR(City_Inputs!$AF116="",Norm_Stats!$F$21="",Norm_Stats!$G$21="",Norm_Stats!$G$21=Norm_Stats!$F$21),"",MAX(0,MIN(100,100*(MIN(MAX(City_Inputs!$AF116,Norm_Stats!$F$21),Norm_Stats!$G$21)-Norm_Stats!$F$21)/(Norm_Stats!$G$21-Norm_Stats!$F$21))))</f>
        <v/>
      </c>
      <c r="BB116" s="14">
        <f>IF(BA116="","",1)</f>
        <v/>
      </c>
      <c r="BC116" s="11">
        <f>IF((IF((IF(OR(City_Inputs!$AG116="",Norm_Stats!$F$22="",Norm_Stats!$G$22="",Norm_Stats!$G$22=Norm_Stats!$F$22),"",MAX(0,MIN(100,100*(MIN(MAX(City_Inputs!$AG116,Norm_Stats!$F$22),Norm_Stats!$G$22)-Norm_Stats!$F$22)/(Norm_Stats!$G$22-Norm_Stats!$F$22)))))="",0,0.5)+IF((IF(OR(City_Inputs!$AJ116="",Norm_Stats!$F$23="",Norm_Stats!$G$23="",Norm_Stats!$G$23=Norm_Stats!$F$23),"",MAX(0,MIN(100,100*(MIN(MAX(City_Inputs!$AJ116,Norm_Stats!$F$23),Norm_Stats!$G$23)-Norm_Stats!$F$23)/(Norm_Stats!$G$23-Norm_Stats!$F$23)))))="",0,0.3)+IF((IF(OR(City_Inputs!$AK116="",Norm_Stats!$F$24="",Norm_Stats!$G$24="",Norm_Stats!$G$24=Norm_Stats!$F$24),"",MAX(0,MIN(100,100*(MIN(MAX(City_Inputs!$AK116,Norm_Stats!$F$24),Norm_Stats!$G$24)-Norm_Stats!$F$24)/(Norm_Stats!$G$24-Norm_Stats!$F$24)))))="",0,0.2))=0,"",(IF((IF(OR(City_Inputs!$AG116="",Norm_Stats!$F$22="",Norm_Stats!$G$22="",Norm_Stats!$G$22=Norm_Stats!$F$22),"",MAX(0,MIN(100,100*(MIN(MAX(City_Inputs!$AG116,Norm_Stats!$F$22),Norm_Stats!$G$22)-Norm_Stats!$F$22)/(Norm_Stats!$G$22-Norm_Stats!$F$22)))))="",0,(IF(OR(City_Inputs!$AG116="",Norm_Stats!$F$22="",Norm_Stats!$G$22="",Norm_Stats!$G$22=Norm_Stats!$F$22),"",MAX(0,MIN(100,100*(MIN(MAX(City_Inputs!$AG116,Norm_Stats!$F$22),Norm_Stats!$G$22)-Norm_Stats!$F$22)/(Norm_Stats!$G$22-Norm_Stats!$F$22)))))*0.5)+IF((IF(OR(City_Inputs!$AJ116="",Norm_Stats!$F$23="",Norm_Stats!$G$23="",Norm_Stats!$G$23=Norm_Stats!$F$23),"",MAX(0,MIN(100,100*(MIN(MAX(City_Inputs!$AJ116,Norm_Stats!$F$23),Norm_Stats!$G$23)-Norm_Stats!$F$23)/(Norm_Stats!$G$23-Norm_Stats!$F$23)))))="",0,(IF(OR(City_Inputs!$AJ116="",Norm_Stats!$F$23="",Norm_Stats!$G$23="",Norm_Stats!$G$23=Norm_Stats!$F$23),"",MAX(0,MIN(100,100*(MIN(MAX(City_Inputs!$AJ116,Norm_Stats!$F$23),Norm_Stats!$G$23)-Norm_Stats!$F$23)/(Norm_Stats!$G$23-Norm_Stats!$F$23)))))*0.3)+IF((IF(OR(City_Inputs!$AK116="",Norm_Stats!$F$24="",Norm_Stats!$G$24="",Norm_Stats!$G$24=Norm_Stats!$F$24),"",MAX(0,MIN(100,100*(MIN(MAX(City_Inputs!$AK116,Norm_Stats!$F$24),Norm_Stats!$G$24)-Norm_Stats!$F$24)/(Norm_Stats!$G$24-Norm_Stats!$F$24)))))="",0,(IF(OR(City_Inputs!$AK116="",Norm_Stats!$F$24="",Norm_Stats!$G$24="",Norm_Stats!$G$24=Norm_Stats!$F$24),"",MAX(0,MIN(100,100*(MIN(MAX(City_Inputs!$AK116,Norm_Stats!$F$24),Norm_Stats!$G$24)-Norm_Stats!$F$24)/(Norm_Stats!$G$24-Norm_Stats!$F$24)))))*0.2))/(IF((IF(OR(City_Inputs!$AG116="",Norm_Stats!$F$22="",Norm_Stats!$G$22="",Norm_Stats!$G$22=Norm_Stats!$F$22),"",MAX(0,MIN(100,100*(MIN(MAX(City_Inputs!$AG116,Norm_Stats!$F$22),Norm_Stats!$G$22)-Norm_Stats!$F$22)/(Norm_Stats!$G$22-Norm_Stats!$F$22)))))="",0,0.5)+IF((IF(OR(City_Inputs!$AJ116="",Norm_Stats!$F$23="",Norm_Stats!$G$23="",Norm_Stats!$G$23=Norm_Stats!$F$23),"",MAX(0,MIN(100,100*(MIN(MAX(City_Inputs!$AJ116,Norm_Stats!$F$23),Norm_Stats!$G$23)-Norm_Stats!$F$23)/(Norm_Stats!$G$23-Norm_Stats!$F$23)))))="",0,0.3)+IF((IF(OR(City_Inputs!$AK116="",Norm_Stats!$F$24="",Norm_Stats!$G$24="",Norm_Stats!$G$24=Norm_Stats!$F$24),"",MAX(0,MIN(100,100*(MIN(MAX(City_Inputs!$AK116,Norm_Stats!$F$24),Norm_Stats!$G$24)-Norm_Stats!$F$24)/(Norm_Stats!$G$24-Norm_Stats!$F$24)))))="",0,0.2)))</f>
        <v/>
      </c>
      <c r="BD116" s="14">
        <f>IF((IF((IF(OR(City_Inputs!$AG116="",Norm_Stats!$F$22="",Norm_Stats!$G$22="",Norm_Stats!$G$22=Norm_Stats!$F$22),"",MAX(0,MIN(100,100*(MIN(MAX(City_Inputs!$AG116,Norm_Stats!$F$22),Norm_Stats!$G$22)-Norm_Stats!$F$22)/(Norm_Stats!$G$22-Norm_Stats!$F$22)))))="",0,0.5)+IF((IF(OR(City_Inputs!$AJ116="",Norm_Stats!$F$23="",Norm_Stats!$G$23="",Norm_Stats!$G$23=Norm_Stats!$F$23),"",MAX(0,MIN(100,100*(MIN(MAX(City_Inputs!$AJ116,Norm_Stats!$F$23),Norm_Stats!$G$23)-Norm_Stats!$F$23)/(Norm_Stats!$G$23-Norm_Stats!$F$23)))))="",0,0.3)+IF((IF(OR(City_Inputs!$AK116="",Norm_Stats!$F$24="",Norm_Stats!$G$24="",Norm_Stats!$G$24=Norm_Stats!$F$24),"",MAX(0,MIN(100,100*(MIN(MAX(City_Inputs!$AK116,Norm_Stats!$F$24),Norm_Stats!$G$24)-Norm_Stats!$F$24)/(Norm_Stats!$G$24-Norm_Stats!$F$24)))))="",0,0.2))=0,"",(IF((IF(OR(City_Inputs!$AG116="",Norm_Stats!$F$22="",Norm_Stats!$G$22="",Norm_Stats!$G$22=Norm_Stats!$F$22),"",MAX(0,MIN(100,100*(MIN(MAX(City_Inputs!$AG116,Norm_Stats!$F$22),Norm_Stats!$G$22)-Norm_Stats!$F$22)/(Norm_Stats!$G$22-Norm_Stats!$F$22)))))="",0,0.5)+IF((IF(OR(City_Inputs!$AJ116="",Norm_Stats!$F$23="",Norm_Stats!$G$23="",Norm_Stats!$G$23=Norm_Stats!$F$23),"",MAX(0,MIN(100,100*(MIN(MAX(City_Inputs!$AJ116,Norm_Stats!$F$23),Norm_Stats!$G$23)-Norm_Stats!$F$23)/(Norm_Stats!$G$23-Norm_Stats!$F$23)))))="",0,0.3)+IF((IF(OR(City_Inputs!$AK116="",Norm_Stats!$F$24="",Norm_Stats!$G$24="",Norm_Stats!$G$24=Norm_Stats!$F$24),"",MAX(0,MIN(100,100*(MIN(MAX(City_Inputs!$AK116,Norm_Stats!$F$24),Norm_Stats!$G$24)-Norm_Stats!$F$24)/(Norm_Stats!$G$24-Norm_Stats!$F$24)))))="",0,0.2)))</f>
        <v/>
      </c>
      <c r="BE116" s="11">
        <f>IF(OR(City_Inputs!$AH116="",Norm_Stats!$F$25="",Norm_Stats!$G$25="",Norm_Stats!$G$25=Norm_Stats!$F$25),"",MAX(0,MIN(100,100*(Norm_Stats!$G$25-MIN(MAX(City_Inputs!$AH116,Norm_Stats!$F$25),Norm_Stats!$G$25))/(Norm_Stats!$G$25-Norm_Stats!$F$25))))</f>
        <v/>
      </c>
      <c r="BF116" s="14">
        <f>IF(BE116="","",1)</f>
        <v/>
      </c>
      <c r="BG116" s="15">
        <f>IF((IF(AY116="",0,6)+IF(BA116="",0,5)+IF(BC116="",0,5)+IF(BE116="",0,4))=0,"",(IF(AY116="",0,AY116*6)+IF(BA116="",0,BA116*5)+IF(BC116="",0,BC116*5)+IF(BE116="",0,BE116*4))/(IF(AY116="",0,6)+IF(BA116="",0,5)+IF(BC116="",0,5)+IF(BE116="",0,4)))</f>
        <v/>
      </c>
      <c r="BH116" s="14">
        <f>IF((IF(AZ116="",0,6)+IF(BB116="",0,5)+IF(BD116="",0,5)+IF(BF116="",0,4))=0,"",(IF(AZ116="",0,AZ116*6)+IF(BB116="",0,BB116*5)+IF(BD116="",0,BD116*5)+IF(BF116="",0,BF116*4))/20)</f>
        <v/>
      </c>
      <c r="BI116" s="14">
        <f>IF(AND(R116="",AF116="",AN116="",AX116="",BH116=""),"",((R116*25)+(AF116*22)+(AN116*18)+(AX116*15)+(BH116*20))/100)</f>
        <v/>
      </c>
      <c r="BJ116" s="11">
        <f>IF(BI116="","",IF(BI116&gt;=0.75,"A",IF(BI116&gt;=0.5,"B",IF(BI116&gt;=0.35,"C","Watchlist"))))</f>
        <v/>
      </c>
      <c r="BK116" s="11">
        <f>IF(OR(BI116="",BI116&lt;0.5,R116="",R116&lt;0.35,AF116="",AF116&lt;0.35,AN116="",AN116&lt;0.35,AX116="",AX116&lt;0.35,BH116="",BH116&lt;0.35),"Watchlist","Ranked")</f>
        <v/>
      </c>
      <c r="BL116" s="15">
        <f>IF(AND(Q116="",AE116="",AM116="",AW116="",BG116=""),"",(IF(Q116="",0,Q116*25)+IF(AE116="",0,AE116*22)+IF(AM116="",0,AM116*18)+IF(AW116="",0,AW116*15)+IF(BG116="",0,BG116*20))/(IF(Q116="",0,25)+IF(AE116="",0,22)+IF(AM116="",0,18)+IF(AW116="",0,15)+IF(BG116="",0,20)))</f>
        <v/>
      </c>
      <c r="BM116" s="11">
        <f>IF(BK116="Ranked",1+COUNTIFS($BK$2:$BK$158,"Ranked",$BL$2:$BL$158,"&gt;"&amp;BL116),"")</f>
        <v/>
      </c>
      <c r="BN116" s="11">
        <f>City_Inputs!$AI116</f>
        <v/>
      </c>
    </row>
    <row r="117">
      <c r="A117" t="inlineStr">
        <is>
          <t>kr-incheon</t>
        </is>
      </c>
      <c r="B117" t="inlineStr">
        <is>
          <t>Incheon</t>
        </is>
      </c>
      <c r="C117" t="inlineStr">
        <is>
          <t>South Korea</t>
        </is>
      </c>
      <c r="D117" t="inlineStr">
        <is>
          <t>East Asia</t>
        </is>
      </c>
      <c r="E117" t="inlineStr">
        <is>
          <t>provisional</t>
        </is>
      </c>
      <c r="F117" t="inlineStr">
        <is>
          <t>primary</t>
        </is>
      </c>
      <c r="G117" s="11">
        <f>IF(OR(City_Inputs!$M117="",Norm_Stats!$F$2="",Norm_Stats!$G$2="",Norm_Stats!$G$2=Norm_Stats!$F$2),"",MAX(0,MIN(100,100*(MIN(MAX(City_Inputs!$M117,Norm_Stats!$F$2),Norm_Stats!$G$2)-Norm_Stats!$F$2)/(Norm_Stats!$G$2-Norm_Stats!$F$2))))</f>
        <v/>
      </c>
      <c r="H117" s="14">
        <f>IF(G117="","",1)</f>
        <v/>
      </c>
      <c r="I117" s="11">
        <f>IF(OR(City_Inputs!$N117="",Norm_Stats!$F$3="",Norm_Stats!$G$3="",Norm_Stats!$G$3=Norm_Stats!$F$3),"",MAX(0,MIN(100,100*(Norm_Stats!$G$3-MIN(MAX(City_Inputs!$N117,Norm_Stats!$F$3),Norm_Stats!$G$3))/(Norm_Stats!$G$3-Norm_Stats!$F$3))))</f>
        <v/>
      </c>
      <c r="J117" s="14">
        <f>IF(I117="","",1)</f>
        <v/>
      </c>
      <c r="K117" s="11">
        <f>IF(OR(City_Inputs!$P117="",Norm_Stats!$F$4="",Norm_Stats!$G$4="",Norm_Stats!$G$4=Norm_Stats!$F$4),"",MAX(0,MIN(100,100*(Norm_Stats!$G$4-MIN(MAX(City_Inputs!$P117,Norm_Stats!$F$4),Norm_Stats!$G$4))/(Norm_Stats!$G$4-Norm_Stats!$F$4))))</f>
        <v/>
      </c>
      <c r="L117" s="14">
        <f>IF(K117="","",1)</f>
        <v/>
      </c>
      <c r="M117" s="11">
        <f>IF(OR(City_Inputs!$Q117="",Norm_Stats!$F$5="",Norm_Stats!$G$5="",Norm_Stats!$G$5=Norm_Stats!$F$5),"",MAX(0,MIN(100,100*(Norm_Stats!$G$5-MIN(MAX(City_Inputs!$Q117,Norm_Stats!$F$5),Norm_Stats!$G$5))/(Norm_Stats!$G$5-Norm_Stats!$F$5))))</f>
        <v/>
      </c>
      <c r="N117" s="14">
        <f>IF(M117="","",1)</f>
        <v/>
      </c>
      <c r="O117" s="11">
        <f>IF(OR(City_Inputs!$R117="",Norm_Stats!$F$6="",Norm_Stats!$G$6="",Norm_Stats!$G$6=Norm_Stats!$F$6),"",MAX(0,MIN(100,100*(Norm_Stats!$G$6-MIN(MAX(City_Inputs!$R117,Norm_Stats!$F$6),Norm_Stats!$G$6))/(Norm_Stats!$G$6-Norm_Stats!$F$6))))</f>
        <v/>
      </c>
      <c r="P117" s="14">
        <f>IF(O117="","",1)</f>
        <v/>
      </c>
      <c r="Q117" s="15">
        <f>IF((IF(G117="",0,9)+IF(I117="",0,5)+IF(K117="",0,4)+IF(M117="",0,4)+IF(O117="",0,5))=0,"",(IF(G117="",0,G117*9)+IF(I117="",0,I117*5)+IF(K117="",0,K117*4)+IF(M117="",0,M117*4)+IF(O117="",0,O117*5))/(IF(G117="",0,9)+IF(I117="",0,5)+IF(K117="",0,4)+IF(M117="",0,4)+IF(O117="",0,5)))</f>
        <v/>
      </c>
      <c r="R117" s="14">
        <f>IF((IF(H117="",0,9)+IF(J117="",0,5)+IF(L117="",0,4)+IF(N117="",0,4)+IF(P117="",0,5))=0,"",(IF(H117="",0,H117*9)+IF(J117="",0,J117*5)+IF(L117="",0,L117*4)+IF(N117="",0,N117*4)+IF(P117="",0,P117*5))/27)</f>
        <v/>
      </c>
      <c r="S117" s="11">
        <f>IF(OR(City_Inputs!$S117="",Norm_Stats!$F$7="",Norm_Stats!$G$7="",Norm_Stats!$G$7=Norm_Stats!$F$7),"",MAX(0,MIN(100,100*(Norm_Stats!$G$7-MIN(MAX(City_Inputs!$S117,Norm_Stats!$F$7),Norm_Stats!$G$7))/(Norm_Stats!$G$7-Norm_Stats!$F$7))))</f>
        <v/>
      </c>
      <c r="T117" s="14">
        <f>IF(S117="","",1)</f>
        <v/>
      </c>
      <c r="U117" s="11">
        <f>IF(OR(City_Inputs!$T117="",Norm_Stats!$F$8="",Norm_Stats!$G$8="",Norm_Stats!$G$8=Norm_Stats!$F$8),"",MAX(0,MIN(100,100*(MIN(MAX(City_Inputs!$T117,Norm_Stats!$F$8),Norm_Stats!$G$8)-Norm_Stats!$F$8)/(Norm_Stats!$G$8-Norm_Stats!$F$8))))</f>
        <v/>
      </c>
      <c r="V117" s="14">
        <f>IF(U117="","",1)</f>
        <v/>
      </c>
      <c r="W117" s="11">
        <f>IF(OR(City_Inputs!$U117="",Norm_Stats!$F$9="",Norm_Stats!$G$9="",Norm_Stats!$G$9=Norm_Stats!$F$9),"",MAX(0,MIN(100,100*(Norm_Stats!$G$9-MIN(MAX(City_Inputs!$U117,Norm_Stats!$F$9),Norm_Stats!$G$9))/(Norm_Stats!$G$9-Norm_Stats!$F$9))))</f>
        <v/>
      </c>
      <c r="X117" s="14">
        <f>IF(W117="","",1)</f>
        <v/>
      </c>
      <c r="Y117" s="11">
        <f>IF(OR(City_Inputs!$V117="",Norm_Stats!$F$10="",Norm_Stats!$G$10="",Norm_Stats!$G$10=Norm_Stats!$F$10),"",MAX(0,MIN(100,100*(MIN(MAX(City_Inputs!$V117,Norm_Stats!$F$10),Norm_Stats!$G$10)-Norm_Stats!$F$10)/(Norm_Stats!$G$10-Norm_Stats!$F$10))))</f>
        <v/>
      </c>
      <c r="Z117" s="14">
        <f>IF(Y117="","",1)</f>
        <v/>
      </c>
      <c r="AA117" s="11">
        <f>IF(OR(City_Inputs!$W117="",Norm_Stats!$F$11="",Norm_Stats!$G$11="",Norm_Stats!$G$11=Norm_Stats!$F$11),"",MAX(0,MIN(100,100*(MIN(MAX(City_Inputs!$W117,Norm_Stats!$F$11),Norm_Stats!$G$11)-Norm_Stats!$F$11)/(Norm_Stats!$G$11-Norm_Stats!$F$11))))</f>
        <v/>
      </c>
      <c r="AB117" s="14">
        <f>IF(AA117="","",1)</f>
        <v/>
      </c>
      <c r="AC117" s="11">
        <f>IF(OR(City_Inputs!$X117="",Norm_Stats!$F$12="",Norm_Stats!$G$12="",Norm_Stats!$G$12=Norm_Stats!$F$12),"",MAX(0,MIN(100,100*(MIN(MAX(City_Inputs!$X117,Norm_Stats!$F$12),Norm_Stats!$G$12)-Norm_Stats!$F$12)/(Norm_Stats!$G$12-Norm_Stats!$F$12))))</f>
        <v/>
      </c>
      <c r="AD117" s="11">
        <f>IF(AC117="","",1)</f>
        <v/>
      </c>
      <c r="AE117" s="15">
        <f>IF((IF(S117="",0,5)+IF(U117="",0,5)+IF(W117="",0,4)+IF(Y117="",0,4)+IF(AA117="",0,4)+IF(AC117="",0,5))=0,"",(IF(S117="",0,S117*5)+IF(U117="",0,U117*5)+IF(W117="",0,W117*4)+IF(Y117="",0,Y117*4)+IF(AA117="",0,AA117*4)+IF(AC117="",0,AC117*5))/(IF(S117="",0,5)+IF(U117="",0,5)+IF(W117="",0,4)+IF(Y117="",0,4)+IF(AA117="",0,4)+IF(AC117="",0,5)))</f>
        <v/>
      </c>
      <c r="AF117" s="14">
        <f>IF((IF(T117="",0,5)+IF(V117="",0,5)+IF(X117="",0,4)+IF(Z117="",0,4)+IF(AB117="",0,4)+IF(AD117="",0,5))=0,"",(IF(T117="",0,T117*5)+IF(V117="",0,V117*5)+IF(X117="",0,X117*4)+IF(Z117="",0,Z117*4)+IF(AB117="",0,AB117*4)+IF(AD117="",0,AD117*5))/27)</f>
        <v/>
      </c>
      <c r="AG117" s="11">
        <f>IF(OR(City_Inputs!$Y117="",Norm_Stats!$F$13="",Norm_Stats!$G$13="",Norm_Stats!$G$13=Norm_Stats!$F$13),"",MAX(0,MIN(100,100*(MIN(MAX(City_Inputs!$Y117,Norm_Stats!$F$13),Norm_Stats!$G$13)-Norm_Stats!$F$13)/(Norm_Stats!$G$13-Norm_Stats!$F$13))))</f>
        <v/>
      </c>
      <c r="AH117" s="14">
        <f>IF(AG117="","",1)</f>
        <v/>
      </c>
      <c r="AI117" s="11">
        <f>IF(OR(City_Inputs!$Z117="",Norm_Stats!$F$14="",Norm_Stats!$G$14="",Norm_Stats!$G$14=Norm_Stats!$F$14),"",MAX(0,MIN(100,100*(MIN(MAX(City_Inputs!$Z117,Norm_Stats!$F$14),Norm_Stats!$G$14)-Norm_Stats!$F$14)/(Norm_Stats!$G$14-Norm_Stats!$F$14))))</f>
        <v/>
      </c>
      <c r="AJ117" s="14">
        <f>IF(AI117="","",1)</f>
        <v/>
      </c>
      <c r="AK117" s="11">
        <f>IF((IF((IF(OR(City_Inputs!$AA117="",Norm_Stats!$F$15="",Norm_Stats!$G$15="",Norm_Stats!$G$15=Norm_Stats!$F$15),"",MAX(0,MIN(100,100*(MIN(MAX(City_Inputs!$AA117,Norm_Stats!$F$15),Norm_Stats!$G$15)-Norm_Stats!$F$15)/(Norm_Stats!$G$15-Norm_Stats!$F$15)))))="",0,0.7)+IF((IF(OR(City_Inputs!$AL117="",Norm_Stats!$F$16="",Norm_Stats!$G$16="",Norm_Stats!$G$16=Norm_Stats!$F$16),"",MAX(0,MIN(100,100*(Norm_Stats!$G$16-MIN(MAX(City_Inputs!$AL117,Norm_Stats!$F$16),Norm_Stats!$G$16))/(Norm_Stats!$G$16-Norm_Stats!$F$16)))))="",0,0.3))=0,"",(IF((IF(OR(City_Inputs!$AA117="",Norm_Stats!$F$15="",Norm_Stats!$G$15="",Norm_Stats!$G$15=Norm_Stats!$F$15),"",MAX(0,MIN(100,100*(MIN(MAX(City_Inputs!$AA117,Norm_Stats!$F$15),Norm_Stats!$G$15)-Norm_Stats!$F$15)/(Norm_Stats!$G$15-Norm_Stats!$F$15)))))="",0,(IF(OR(City_Inputs!$AA117="",Norm_Stats!$F$15="",Norm_Stats!$G$15="",Norm_Stats!$G$15=Norm_Stats!$F$15),"",MAX(0,MIN(100,100*(MIN(MAX(City_Inputs!$AA117,Norm_Stats!$F$15),Norm_Stats!$G$15)-Norm_Stats!$F$15)/(Norm_Stats!$G$15-Norm_Stats!$F$15)))))*0.7)+IF((IF(OR(City_Inputs!$AL117="",Norm_Stats!$F$16="",Norm_Stats!$G$16="",Norm_Stats!$G$16=Norm_Stats!$F$16),"",MAX(0,MIN(100,100*(Norm_Stats!$G$16-MIN(MAX(City_Inputs!$AL117,Norm_Stats!$F$16),Norm_Stats!$G$16))/(Norm_Stats!$G$16-Norm_Stats!$F$16)))))="",0,(IF(OR(City_Inputs!$AL117="",Norm_Stats!$F$16="",Norm_Stats!$G$16="",Norm_Stats!$G$16=Norm_Stats!$F$16),"",MAX(0,MIN(100,100*(Norm_Stats!$G$16-MIN(MAX(City_Inputs!$AL117,Norm_Stats!$F$16),Norm_Stats!$G$16))/(Norm_Stats!$G$16-Norm_Stats!$F$16)))))*0.3))/(IF((IF(OR(City_Inputs!$AA117="",Norm_Stats!$F$15="",Norm_Stats!$G$15="",Norm_Stats!$G$15=Norm_Stats!$F$15),"",MAX(0,MIN(100,100*(MIN(MAX(City_Inputs!$AA117,Norm_Stats!$F$15),Norm_Stats!$G$15)-Norm_Stats!$F$15)/(Norm_Stats!$G$15-Norm_Stats!$F$15)))))="",0,0.7)+IF((IF(OR(City_Inputs!$AL117="",Norm_Stats!$F$16="",Norm_Stats!$G$16="",Norm_Stats!$G$16=Norm_Stats!$F$16),"",MAX(0,MIN(100,100*(Norm_Stats!$G$16-MIN(MAX(City_Inputs!$AL117,Norm_Stats!$F$16),Norm_Stats!$G$16))/(Norm_Stats!$G$16-Norm_Stats!$F$16)))))="",0,0.3)))</f>
        <v/>
      </c>
      <c r="AL117" s="14">
        <f>IF((IF((IF(OR(City_Inputs!$AA117="",Norm_Stats!$F$15="",Norm_Stats!$G$15="",Norm_Stats!$G$15=Norm_Stats!$F$15),"",MAX(0,MIN(100,100*(MIN(MAX(City_Inputs!$AA117,Norm_Stats!$F$15),Norm_Stats!$G$15)-Norm_Stats!$F$15)/(Norm_Stats!$G$15-Norm_Stats!$F$15)))))="",0,0.7)+IF((IF(OR(City_Inputs!$AL117="",Norm_Stats!$F$16="",Norm_Stats!$G$16="",Norm_Stats!$G$16=Norm_Stats!$F$16),"",MAX(0,MIN(100,100*(Norm_Stats!$G$16-MIN(MAX(City_Inputs!$AL117,Norm_Stats!$F$16),Norm_Stats!$G$16))/(Norm_Stats!$G$16-Norm_Stats!$F$16)))))="",0,0.3))=0,"",(IF((IF(OR(City_Inputs!$AA117="",Norm_Stats!$F$15="",Norm_Stats!$G$15="",Norm_Stats!$G$15=Norm_Stats!$F$15),"",MAX(0,MIN(100,100*(MIN(MAX(City_Inputs!$AA117,Norm_Stats!$F$15),Norm_Stats!$G$15)-Norm_Stats!$F$15)/(Norm_Stats!$G$15-Norm_Stats!$F$15)))))="",0,0.7)+IF((IF(OR(City_Inputs!$AL117="",Norm_Stats!$F$16="",Norm_Stats!$G$16="",Norm_Stats!$G$16=Norm_Stats!$F$16),"",MAX(0,MIN(100,100*(Norm_Stats!$G$16-MIN(MAX(City_Inputs!$AL117,Norm_Stats!$F$16),Norm_Stats!$G$16))/(Norm_Stats!$G$16-Norm_Stats!$F$16)))))="",0,0.3)))</f>
        <v/>
      </c>
      <c r="AM117" s="15">
        <f>IF((IF(AG117="",0,8)+IF(AI117="",0,6)+IF(AK117="",0,4))=0,"",(IF(AG117="",0,AG117*8)+IF(AI117="",0,AI117*6)+IF(AK117="",0,AK117*4))/(IF(AG117="",0,8)+IF(AI117="",0,6)+IF(AK117="",0,4)))</f>
        <v/>
      </c>
      <c r="AN117" s="14">
        <f>IF((IF(AH117="",0,8)+IF(AJ117="",0,6)+IF(AL117="",0,4))=0,"",(IF(AH117="",0,AH117*8)+IF(AJ117="",0,AJ117*6)+IF(AL117="",0,AL117*4))/18)</f>
        <v/>
      </c>
      <c r="AO117" s="11">
        <f>IF(OR(City_Inputs!$AB117="",Norm_Stats!$F$17="",Norm_Stats!$G$17="",Norm_Stats!$G$17=Norm_Stats!$F$17),"",MAX(0,MIN(100,100*(MIN(MAX(City_Inputs!$AB117,Norm_Stats!$F$17),Norm_Stats!$G$17)-Norm_Stats!$F$17)/(Norm_Stats!$G$17-Norm_Stats!$F$17))))</f>
        <v/>
      </c>
      <c r="AP117" s="14">
        <f>IF(AO117="","",1)</f>
        <v/>
      </c>
      <c r="AQ117" s="11">
        <f>IF(OR(City_Inputs!$AC117="",Norm_Stats!$F$18="",Norm_Stats!$G$18="",Norm_Stats!$G$18=Norm_Stats!$F$18),"",MAX(0,MIN(100,100*(MIN(MAX(City_Inputs!$AC117,Norm_Stats!$F$18),Norm_Stats!$G$18)-Norm_Stats!$F$18)/(Norm_Stats!$G$18-Norm_Stats!$F$18))))</f>
        <v/>
      </c>
      <c r="AR117" s="14">
        <f>IF(AQ117="","",1)</f>
        <v/>
      </c>
      <c r="AS117" s="11">
        <f>IF(OR(City_Inputs!$AD117="",Norm_Stats!$F$19="",Norm_Stats!$G$19="",Norm_Stats!$G$19=Norm_Stats!$F$19),"",MAX(0,MIN(100,100*(MIN(MAX(City_Inputs!$AD117,Norm_Stats!$F$19),Norm_Stats!$G$19)-Norm_Stats!$F$19)/(Norm_Stats!$G$19-Norm_Stats!$F$19))))</f>
        <v/>
      </c>
      <c r="AT117" s="14">
        <f>IF(AS117="","",1)</f>
        <v/>
      </c>
      <c r="AU117" s="11">
        <f>IF(OR(City_Inputs!$BJ117="",Norm_Stats!$F$26="",Norm_Stats!$G$26="",Norm_Stats!$G$26=Norm_Stats!$F$26),"",MAX(0,MIN(100,100*(MIN(MAX(City_Inputs!$BJ117,Norm_Stats!$F$26),Norm_Stats!$G$26)-Norm_Stats!$F$26)/(Norm_Stats!$G$26-Norm_Stats!$F$26))))</f>
        <v/>
      </c>
      <c r="AV117" s="11">
        <f>IF(AU117="","",1)</f>
        <v/>
      </c>
      <c r="AW117" s="15">
        <f>IF((IF(AO117="",0,5)+IF(AQ117="",0,5)+IF(AS117="",0,5)+IF(AU117="",0,4))=0,"",(IF(AO117="",0,AO117*5)+IF(AQ117="",0,AQ117*5)+IF(AS117="",0,AS117*5)+IF(AU117="",0,AU117*4))/(IF(AO117="",0,5)+IF(AQ117="",0,5)+IF(AS117="",0,5)+IF(AU117="",0,4)))</f>
        <v/>
      </c>
      <c r="AX117" s="14">
        <f>IF((IF(AP117="",0,5)+IF(AR117="",0,5)+IF(AT117="",0,5)+IF(AV117="",0,4))=0,"",(IF(AP117="",0,AP117*5)+IF(AR117="",0,AR117*5)+IF(AT117="",0,AT117*5)+IF(AV117="",0,AV117*4))/19)</f>
        <v/>
      </c>
      <c r="AY117" s="11">
        <f>IF(OR(City_Inputs!$AE117="",Norm_Stats!$F$20="",Norm_Stats!$G$20="",Norm_Stats!$G$20=Norm_Stats!$F$20),"",MAX(0,MIN(100,100*(MIN(MAX(City_Inputs!$AE117,Norm_Stats!$F$20),Norm_Stats!$G$20)-Norm_Stats!$F$20)/(Norm_Stats!$G$20-Norm_Stats!$F$20))))</f>
        <v/>
      </c>
      <c r="AZ117" s="14">
        <f>IF(AY117="","",1)</f>
        <v/>
      </c>
      <c r="BA117" s="11">
        <f>IF(OR(City_Inputs!$AF117="",Norm_Stats!$F$21="",Norm_Stats!$G$21="",Norm_Stats!$G$21=Norm_Stats!$F$21),"",MAX(0,MIN(100,100*(MIN(MAX(City_Inputs!$AF117,Norm_Stats!$F$21),Norm_Stats!$G$21)-Norm_Stats!$F$21)/(Norm_Stats!$G$21-Norm_Stats!$F$21))))</f>
        <v/>
      </c>
      <c r="BB117" s="14">
        <f>IF(BA117="","",1)</f>
        <v/>
      </c>
      <c r="BC117" s="11">
        <f>IF((IF((IF(OR(City_Inputs!$AG117="",Norm_Stats!$F$22="",Norm_Stats!$G$22="",Norm_Stats!$G$22=Norm_Stats!$F$22),"",MAX(0,MIN(100,100*(MIN(MAX(City_Inputs!$AG117,Norm_Stats!$F$22),Norm_Stats!$G$22)-Norm_Stats!$F$22)/(Norm_Stats!$G$22-Norm_Stats!$F$22)))))="",0,0.5)+IF((IF(OR(City_Inputs!$AJ117="",Norm_Stats!$F$23="",Norm_Stats!$G$23="",Norm_Stats!$G$23=Norm_Stats!$F$23),"",MAX(0,MIN(100,100*(MIN(MAX(City_Inputs!$AJ117,Norm_Stats!$F$23),Norm_Stats!$G$23)-Norm_Stats!$F$23)/(Norm_Stats!$G$23-Norm_Stats!$F$23)))))="",0,0.3)+IF((IF(OR(City_Inputs!$AK117="",Norm_Stats!$F$24="",Norm_Stats!$G$24="",Norm_Stats!$G$24=Norm_Stats!$F$24),"",MAX(0,MIN(100,100*(MIN(MAX(City_Inputs!$AK117,Norm_Stats!$F$24),Norm_Stats!$G$24)-Norm_Stats!$F$24)/(Norm_Stats!$G$24-Norm_Stats!$F$24)))))="",0,0.2))=0,"",(IF((IF(OR(City_Inputs!$AG117="",Norm_Stats!$F$22="",Norm_Stats!$G$22="",Norm_Stats!$G$22=Norm_Stats!$F$22),"",MAX(0,MIN(100,100*(MIN(MAX(City_Inputs!$AG117,Norm_Stats!$F$22),Norm_Stats!$G$22)-Norm_Stats!$F$22)/(Norm_Stats!$G$22-Norm_Stats!$F$22)))))="",0,(IF(OR(City_Inputs!$AG117="",Norm_Stats!$F$22="",Norm_Stats!$G$22="",Norm_Stats!$G$22=Norm_Stats!$F$22),"",MAX(0,MIN(100,100*(MIN(MAX(City_Inputs!$AG117,Norm_Stats!$F$22),Norm_Stats!$G$22)-Norm_Stats!$F$22)/(Norm_Stats!$G$22-Norm_Stats!$F$22)))))*0.5)+IF((IF(OR(City_Inputs!$AJ117="",Norm_Stats!$F$23="",Norm_Stats!$G$23="",Norm_Stats!$G$23=Norm_Stats!$F$23),"",MAX(0,MIN(100,100*(MIN(MAX(City_Inputs!$AJ117,Norm_Stats!$F$23),Norm_Stats!$G$23)-Norm_Stats!$F$23)/(Norm_Stats!$G$23-Norm_Stats!$F$23)))))="",0,(IF(OR(City_Inputs!$AJ117="",Norm_Stats!$F$23="",Norm_Stats!$G$23="",Norm_Stats!$G$23=Norm_Stats!$F$23),"",MAX(0,MIN(100,100*(MIN(MAX(City_Inputs!$AJ117,Norm_Stats!$F$23),Norm_Stats!$G$23)-Norm_Stats!$F$23)/(Norm_Stats!$G$23-Norm_Stats!$F$23)))))*0.3)+IF((IF(OR(City_Inputs!$AK117="",Norm_Stats!$F$24="",Norm_Stats!$G$24="",Norm_Stats!$G$24=Norm_Stats!$F$24),"",MAX(0,MIN(100,100*(MIN(MAX(City_Inputs!$AK117,Norm_Stats!$F$24),Norm_Stats!$G$24)-Norm_Stats!$F$24)/(Norm_Stats!$G$24-Norm_Stats!$F$24)))))="",0,(IF(OR(City_Inputs!$AK117="",Norm_Stats!$F$24="",Norm_Stats!$G$24="",Norm_Stats!$G$24=Norm_Stats!$F$24),"",MAX(0,MIN(100,100*(MIN(MAX(City_Inputs!$AK117,Norm_Stats!$F$24),Norm_Stats!$G$24)-Norm_Stats!$F$24)/(Norm_Stats!$G$24-Norm_Stats!$F$24)))))*0.2))/(IF((IF(OR(City_Inputs!$AG117="",Norm_Stats!$F$22="",Norm_Stats!$G$22="",Norm_Stats!$G$22=Norm_Stats!$F$22),"",MAX(0,MIN(100,100*(MIN(MAX(City_Inputs!$AG117,Norm_Stats!$F$22),Norm_Stats!$G$22)-Norm_Stats!$F$22)/(Norm_Stats!$G$22-Norm_Stats!$F$22)))))="",0,0.5)+IF((IF(OR(City_Inputs!$AJ117="",Norm_Stats!$F$23="",Norm_Stats!$G$23="",Norm_Stats!$G$23=Norm_Stats!$F$23),"",MAX(0,MIN(100,100*(MIN(MAX(City_Inputs!$AJ117,Norm_Stats!$F$23),Norm_Stats!$G$23)-Norm_Stats!$F$23)/(Norm_Stats!$G$23-Norm_Stats!$F$23)))))="",0,0.3)+IF((IF(OR(City_Inputs!$AK117="",Norm_Stats!$F$24="",Norm_Stats!$G$24="",Norm_Stats!$G$24=Norm_Stats!$F$24),"",MAX(0,MIN(100,100*(MIN(MAX(City_Inputs!$AK117,Norm_Stats!$F$24),Norm_Stats!$G$24)-Norm_Stats!$F$24)/(Norm_Stats!$G$24-Norm_Stats!$F$24)))))="",0,0.2)))</f>
        <v/>
      </c>
      <c r="BD117" s="14">
        <f>IF((IF((IF(OR(City_Inputs!$AG117="",Norm_Stats!$F$22="",Norm_Stats!$G$22="",Norm_Stats!$G$22=Norm_Stats!$F$22),"",MAX(0,MIN(100,100*(MIN(MAX(City_Inputs!$AG117,Norm_Stats!$F$22),Norm_Stats!$G$22)-Norm_Stats!$F$22)/(Norm_Stats!$G$22-Norm_Stats!$F$22)))))="",0,0.5)+IF((IF(OR(City_Inputs!$AJ117="",Norm_Stats!$F$23="",Norm_Stats!$G$23="",Norm_Stats!$G$23=Norm_Stats!$F$23),"",MAX(0,MIN(100,100*(MIN(MAX(City_Inputs!$AJ117,Norm_Stats!$F$23),Norm_Stats!$G$23)-Norm_Stats!$F$23)/(Norm_Stats!$G$23-Norm_Stats!$F$23)))))="",0,0.3)+IF((IF(OR(City_Inputs!$AK117="",Norm_Stats!$F$24="",Norm_Stats!$G$24="",Norm_Stats!$G$24=Norm_Stats!$F$24),"",MAX(0,MIN(100,100*(MIN(MAX(City_Inputs!$AK117,Norm_Stats!$F$24),Norm_Stats!$G$24)-Norm_Stats!$F$24)/(Norm_Stats!$G$24-Norm_Stats!$F$24)))))="",0,0.2))=0,"",(IF((IF(OR(City_Inputs!$AG117="",Norm_Stats!$F$22="",Norm_Stats!$G$22="",Norm_Stats!$G$22=Norm_Stats!$F$22),"",MAX(0,MIN(100,100*(MIN(MAX(City_Inputs!$AG117,Norm_Stats!$F$22),Norm_Stats!$G$22)-Norm_Stats!$F$22)/(Norm_Stats!$G$22-Norm_Stats!$F$22)))))="",0,0.5)+IF((IF(OR(City_Inputs!$AJ117="",Norm_Stats!$F$23="",Norm_Stats!$G$23="",Norm_Stats!$G$23=Norm_Stats!$F$23),"",MAX(0,MIN(100,100*(MIN(MAX(City_Inputs!$AJ117,Norm_Stats!$F$23),Norm_Stats!$G$23)-Norm_Stats!$F$23)/(Norm_Stats!$G$23-Norm_Stats!$F$23)))))="",0,0.3)+IF((IF(OR(City_Inputs!$AK117="",Norm_Stats!$F$24="",Norm_Stats!$G$24="",Norm_Stats!$G$24=Norm_Stats!$F$24),"",MAX(0,MIN(100,100*(MIN(MAX(City_Inputs!$AK117,Norm_Stats!$F$24),Norm_Stats!$G$24)-Norm_Stats!$F$24)/(Norm_Stats!$G$24-Norm_Stats!$F$24)))))="",0,0.2)))</f>
        <v/>
      </c>
      <c r="BE117" s="11">
        <f>IF(OR(City_Inputs!$AH117="",Norm_Stats!$F$25="",Norm_Stats!$G$25="",Norm_Stats!$G$25=Norm_Stats!$F$25),"",MAX(0,MIN(100,100*(Norm_Stats!$G$25-MIN(MAX(City_Inputs!$AH117,Norm_Stats!$F$25),Norm_Stats!$G$25))/(Norm_Stats!$G$25-Norm_Stats!$F$25))))</f>
        <v/>
      </c>
      <c r="BF117" s="14">
        <f>IF(BE117="","",1)</f>
        <v/>
      </c>
      <c r="BG117" s="15">
        <f>IF((IF(AY117="",0,6)+IF(BA117="",0,5)+IF(BC117="",0,5)+IF(BE117="",0,4))=0,"",(IF(AY117="",0,AY117*6)+IF(BA117="",0,BA117*5)+IF(BC117="",0,BC117*5)+IF(BE117="",0,BE117*4))/(IF(AY117="",0,6)+IF(BA117="",0,5)+IF(BC117="",0,5)+IF(BE117="",0,4)))</f>
        <v/>
      </c>
      <c r="BH117" s="14">
        <f>IF((IF(AZ117="",0,6)+IF(BB117="",0,5)+IF(BD117="",0,5)+IF(BF117="",0,4))=0,"",(IF(AZ117="",0,AZ117*6)+IF(BB117="",0,BB117*5)+IF(BD117="",0,BD117*5)+IF(BF117="",0,BF117*4))/20)</f>
        <v/>
      </c>
      <c r="BI117" s="14">
        <f>IF(AND(R117="",AF117="",AN117="",AX117="",BH117=""),"",((R117*25)+(AF117*22)+(AN117*18)+(AX117*15)+(BH117*20))/100)</f>
        <v/>
      </c>
      <c r="BJ117" s="11">
        <f>IF(BI117="","",IF(BI117&gt;=0.75,"A",IF(BI117&gt;=0.5,"B",IF(BI117&gt;=0.35,"C","Watchlist"))))</f>
        <v/>
      </c>
      <c r="BK117" s="11">
        <f>IF(OR(BI117="",BI117&lt;0.5,R117="",R117&lt;0.35,AF117="",AF117&lt;0.35,AN117="",AN117&lt;0.35,AX117="",AX117&lt;0.35,BH117="",BH117&lt;0.35),"Watchlist","Ranked")</f>
        <v/>
      </c>
      <c r="BL117" s="15">
        <f>IF(AND(Q117="",AE117="",AM117="",AW117="",BG117=""),"",(IF(Q117="",0,Q117*25)+IF(AE117="",0,AE117*22)+IF(AM117="",0,AM117*18)+IF(AW117="",0,AW117*15)+IF(BG117="",0,BG117*20))/(IF(Q117="",0,25)+IF(AE117="",0,22)+IF(AM117="",0,18)+IF(AW117="",0,15)+IF(BG117="",0,20)))</f>
        <v/>
      </c>
      <c r="BM117" s="11">
        <f>IF(BK117="Ranked",1+COUNTIFS($BK$2:$BK$158,"Ranked",$BL$2:$BL$158,"&gt;"&amp;BL117),"")</f>
        <v/>
      </c>
      <c r="BN117" s="11">
        <f>City_Inputs!$AI117</f>
        <v/>
      </c>
    </row>
    <row r="118">
      <c r="A118" t="inlineStr">
        <is>
          <t>cn-guangzhou</t>
        </is>
      </c>
      <c r="B118" t="inlineStr">
        <is>
          <t>Guangzhou</t>
        </is>
      </c>
      <c r="C118" t="inlineStr">
        <is>
          <t>China</t>
        </is>
      </c>
      <c r="D118" t="inlineStr">
        <is>
          <t>East Asia</t>
        </is>
      </c>
      <c r="E118" t="inlineStr">
        <is>
          <t>provisional</t>
        </is>
      </c>
      <c r="F118" t="inlineStr">
        <is>
          <t>primary</t>
        </is>
      </c>
      <c r="G118" s="11">
        <f>IF(OR(City_Inputs!$M118="",Norm_Stats!$F$2="",Norm_Stats!$G$2="",Norm_Stats!$G$2=Norm_Stats!$F$2),"",MAX(0,MIN(100,100*(MIN(MAX(City_Inputs!$M118,Norm_Stats!$F$2),Norm_Stats!$G$2)-Norm_Stats!$F$2)/(Norm_Stats!$G$2-Norm_Stats!$F$2))))</f>
        <v/>
      </c>
      <c r="H118" s="14">
        <f>IF(G118="","",1)</f>
        <v/>
      </c>
      <c r="I118" s="11">
        <f>IF(OR(City_Inputs!$N118="",Norm_Stats!$F$3="",Norm_Stats!$G$3="",Norm_Stats!$G$3=Norm_Stats!$F$3),"",MAX(0,MIN(100,100*(Norm_Stats!$G$3-MIN(MAX(City_Inputs!$N118,Norm_Stats!$F$3),Norm_Stats!$G$3))/(Norm_Stats!$G$3-Norm_Stats!$F$3))))</f>
        <v/>
      </c>
      <c r="J118" s="14">
        <f>IF(I118="","",1)</f>
        <v/>
      </c>
      <c r="K118" s="11">
        <f>IF(OR(City_Inputs!$P118="",Norm_Stats!$F$4="",Norm_Stats!$G$4="",Norm_Stats!$G$4=Norm_Stats!$F$4),"",MAX(0,MIN(100,100*(Norm_Stats!$G$4-MIN(MAX(City_Inputs!$P118,Norm_Stats!$F$4),Norm_Stats!$G$4))/(Norm_Stats!$G$4-Norm_Stats!$F$4))))</f>
        <v/>
      </c>
      <c r="L118" s="14">
        <f>IF(K118="","",1)</f>
        <v/>
      </c>
      <c r="M118" s="11">
        <f>IF(OR(City_Inputs!$Q118="",Norm_Stats!$F$5="",Norm_Stats!$G$5="",Norm_Stats!$G$5=Norm_Stats!$F$5),"",MAX(0,MIN(100,100*(Norm_Stats!$G$5-MIN(MAX(City_Inputs!$Q118,Norm_Stats!$F$5),Norm_Stats!$G$5))/(Norm_Stats!$G$5-Norm_Stats!$F$5))))</f>
        <v/>
      </c>
      <c r="N118" s="14">
        <f>IF(M118="","",1)</f>
        <v/>
      </c>
      <c r="O118" s="11">
        <f>IF(OR(City_Inputs!$R118="",Norm_Stats!$F$6="",Norm_Stats!$G$6="",Norm_Stats!$G$6=Norm_Stats!$F$6),"",MAX(0,MIN(100,100*(Norm_Stats!$G$6-MIN(MAX(City_Inputs!$R118,Norm_Stats!$F$6),Norm_Stats!$G$6))/(Norm_Stats!$G$6-Norm_Stats!$F$6))))</f>
        <v/>
      </c>
      <c r="P118" s="14">
        <f>IF(O118="","",1)</f>
        <v/>
      </c>
      <c r="Q118" s="15">
        <f>IF((IF(G118="",0,9)+IF(I118="",0,5)+IF(K118="",0,4)+IF(M118="",0,4)+IF(O118="",0,5))=0,"",(IF(G118="",0,G118*9)+IF(I118="",0,I118*5)+IF(K118="",0,K118*4)+IF(M118="",0,M118*4)+IF(O118="",0,O118*5))/(IF(G118="",0,9)+IF(I118="",0,5)+IF(K118="",0,4)+IF(M118="",0,4)+IF(O118="",0,5)))</f>
        <v/>
      </c>
      <c r="R118" s="14">
        <f>IF((IF(H118="",0,9)+IF(J118="",0,5)+IF(L118="",0,4)+IF(N118="",0,4)+IF(P118="",0,5))=0,"",(IF(H118="",0,H118*9)+IF(J118="",0,J118*5)+IF(L118="",0,L118*4)+IF(N118="",0,N118*4)+IF(P118="",0,P118*5))/27)</f>
        <v/>
      </c>
      <c r="S118" s="11">
        <f>IF(OR(City_Inputs!$S118="",Norm_Stats!$F$7="",Norm_Stats!$G$7="",Norm_Stats!$G$7=Norm_Stats!$F$7),"",MAX(0,MIN(100,100*(Norm_Stats!$G$7-MIN(MAX(City_Inputs!$S118,Norm_Stats!$F$7),Norm_Stats!$G$7))/(Norm_Stats!$G$7-Norm_Stats!$F$7))))</f>
        <v/>
      </c>
      <c r="T118" s="14">
        <f>IF(S118="","",1)</f>
        <v/>
      </c>
      <c r="U118" s="11">
        <f>IF(OR(City_Inputs!$T118="",Norm_Stats!$F$8="",Norm_Stats!$G$8="",Norm_Stats!$G$8=Norm_Stats!$F$8),"",MAX(0,MIN(100,100*(MIN(MAX(City_Inputs!$T118,Norm_Stats!$F$8),Norm_Stats!$G$8)-Norm_Stats!$F$8)/(Norm_Stats!$G$8-Norm_Stats!$F$8))))</f>
        <v/>
      </c>
      <c r="V118" s="14">
        <f>IF(U118="","",1)</f>
        <v/>
      </c>
      <c r="W118" s="11">
        <f>IF(OR(City_Inputs!$U118="",Norm_Stats!$F$9="",Norm_Stats!$G$9="",Norm_Stats!$G$9=Norm_Stats!$F$9),"",MAX(0,MIN(100,100*(Norm_Stats!$G$9-MIN(MAX(City_Inputs!$U118,Norm_Stats!$F$9),Norm_Stats!$G$9))/(Norm_Stats!$G$9-Norm_Stats!$F$9))))</f>
        <v/>
      </c>
      <c r="X118" s="14">
        <f>IF(W118="","",1)</f>
        <v/>
      </c>
      <c r="Y118" s="11">
        <f>IF(OR(City_Inputs!$V118="",Norm_Stats!$F$10="",Norm_Stats!$G$10="",Norm_Stats!$G$10=Norm_Stats!$F$10),"",MAX(0,MIN(100,100*(MIN(MAX(City_Inputs!$V118,Norm_Stats!$F$10),Norm_Stats!$G$10)-Norm_Stats!$F$10)/(Norm_Stats!$G$10-Norm_Stats!$F$10))))</f>
        <v/>
      </c>
      <c r="Z118" s="14">
        <f>IF(Y118="","",1)</f>
        <v/>
      </c>
      <c r="AA118" s="11">
        <f>IF(OR(City_Inputs!$W118="",Norm_Stats!$F$11="",Norm_Stats!$G$11="",Norm_Stats!$G$11=Norm_Stats!$F$11),"",MAX(0,MIN(100,100*(MIN(MAX(City_Inputs!$W118,Norm_Stats!$F$11),Norm_Stats!$G$11)-Norm_Stats!$F$11)/(Norm_Stats!$G$11-Norm_Stats!$F$11))))</f>
        <v/>
      </c>
      <c r="AB118" s="14">
        <f>IF(AA118="","",1)</f>
        <v/>
      </c>
      <c r="AC118" s="11">
        <f>IF(OR(City_Inputs!$X118="",Norm_Stats!$F$12="",Norm_Stats!$G$12="",Norm_Stats!$G$12=Norm_Stats!$F$12),"",MAX(0,MIN(100,100*(MIN(MAX(City_Inputs!$X118,Norm_Stats!$F$12),Norm_Stats!$G$12)-Norm_Stats!$F$12)/(Norm_Stats!$G$12-Norm_Stats!$F$12))))</f>
        <v/>
      </c>
      <c r="AD118" s="11">
        <f>IF(AC118="","",1)</f>
        <v/>
      </c>
      <c r="AE118" s="15">
        <f>IF((IF(S118="",0,5)+IF(U118="",0,5)+IF(W118="",0,4)+IF(Y118="",0,4)+IF(AA118="",0,4)+IF(AC118="",0,5))=0,"",(IF(S118="",0,S118*5)+IF(U118="",0,U118*5)+IF(W118="",0,W118*4)+IF(Y118="",0,Y118*4)+IF(AA118="",0,AA118*4)+IF(AC118="",0,AC118*5))/(IF(S118="",0,5)+IF(U118="",0,5)+IF(W118="",0,4)+IF(Y118="",0,4)+IF(AA118="",0,4)+IF(AC118="",0,5)))</f>
        <v/>
      </c>
      <c r="AF118" s="14">
        <f>IF((IF(T118="",0,5)+IF(V118="",0,5)+IF(X118="",0,4)+IF(Z118="",0,4)+IF(AB118="",0,4)+IF(AD118="",0,5))=0,"",(IF(T118="",0,T118*5)+IF(V118="",0,V118*5)+IF(X118="",0,X118*4)+IF(Z118="",0,Z118*4)+IF(AB118="",0,AB118*4)+IF(AD118="",0,AD118*5))/27)</f>
        <v/>
      </c>
      <c r="AG118" s="11">
        <f>IF(OR(City_Inputs!$Y118="",Norm_Stats!$F$13="",Norm_Stats!$G$13="",Norm_Stats!$G$13=Norm_Stats!$F$13),"",MAX(0,MIN(100,100*(MIN(MAX(City_Inputs!$Y118,Norm_Stats!$F$13),Norm_Stats!$G$13)-Norm_Stats!$F$13)/(Norm_Stats!$G$13-Norm_Stats!$F$13))))</f>
        <v/>
      </c>
      <c r="AH118" s="14">
        <f>IF(AG118="","",1)</f>
        <v/>
      </c>
      <c r="AI118" s="11">
        <f>IF(OR(City_Inputs!$Z118="",Norm_Stats!$F$14="",Norm_Stats!$G$14="",Norm_Stats!$G$14=Norm_Stats!$F$14),"",MAX(0,MIN(100,100*(MIN(MAX(City_Inputs!$Z118,Norm_Stats!$F$14),Norm_Stats!$G$14)-Norm_Stats!$F$14)/(Norm_Stats!$G$14-Norm_Stats!$F$14))))</f>
        <v/>
      </c>
      <c r="AJ118" s="14">
        <f>IF(AI118="","",1)</f>
        <v/>
      </c>
      <c r="AK118" s="11">
        <f>IF((IF((IF(OR(City_Inputs!$AA118="",Norm_Stats!$F$15="",Norm_Stats!$G$15="",Norm_Stats!$G$15=Norm_Stats!$F$15),"",MAX(0,MIN(100,100*(MIN(MAX(City_Inputs!$AA118,Norm_Stats!$F$15),Norm_Stats!$G$15)-Norm_Stats!$F$15)/(Norm_Stats!$G$15-Norm_Stats!$F$15)))))="",0,0.7)+IF((IF(OR(City_Inputs!$AL118="",Norm_Stats!$F$16="",Norm_Stats!$G$16="",Norm_Stats!$G$16=Norm_Stats!$F$16),"",MAX(0,MIN(100,100*(Norm_Stats!$G$16-MIN(MAX(City_Inputs!$AL118,Norm_Stats!$F$16),Norm_Stats!$G$16))/(Norm_Stats!$G$16-Norm_Stats!$F$16)))))="",0,0.3))=0,"",(IF((IF(OR(City_Inputs!$AA118="",Norm_Stats!$F$15="",Norm_Stats!$G$15="",Norm_Stats!$G$15=Norm_Stats!$F$15),"",MAX(0,MIN(100,100*(MIN(MAX(City_Inputs!$AA118,Norm_Stats!$F$15),Norm_Stats!$G$15)-Norm_Stats!$F$15)/(Norm_Stats!$G$15-Norm_Stats!$F$15)))))="",0,(IF(OR(City_Inputs!$AA118="",Norm_Stats!$F$15="",Norm_Stats!$G$15="",Norm_Stats!$G$15=Norm_Stats!$F$15),"",MAX(0,MIN(100,100*(MIN(MAX(City_Inputs!$AA118,Norm_Stats!$F$15),Norm_Stats!$G$15)-Norm_Stats!$F$15)/(Norm_Stats!$G$15-Norm_Stats!$F$15)))))*0.7)+IF((IF(OR(City_Inputs!$AL118="",Norm_Stats!$F$16="",Norm_Stats!$G$16="",Norm_Stats!$G$16=Norm_Stats!$F$16),"",MAX(0,MIN(100,100*(Norm_Stats!$G$16-MIN(MAX(City_Inputs!$AL118,Norm_Stats!$F$16),Norm_Stats!$G$16))/(Norm_Stats!$G$16-Norm_Stats!$F$16)))))="",0,(IF(OR(City_Inputs!$AL118="",Norm_Stats!$F$16="",Norm_Stats!$G$16="",Norm_Stats!$G$16=Norm_Stats!$F$16),"",MAX(0,MIN(100,100*(Norm_Stats!$G$16-MIN(MAX(City_Inputs!$AL118,Norm_Stats!$F$16),Norm_Stats!$G$16))/(Norm_Stats!$G$16-Norm_Stats!$F$16)))))*0.3))/(IF((IF(OR(City_Inputs!$AA118="",Norm_Stats!$F$15="",Norm_Stats!$G$15="",Norm_Stats!$G$15=Norm_Stats!$F$15),"",MAX(0,MIN(100,100*(MIN(MAX(City_Inputs!$AA118,Norm_Stats!$F$15),Norm_Stats!$G$15)-Norm_Stats!$F$15)/(Norm_Stats!$G$15-Norm_Stats!$F$15)))))="",0,0.7)+IF((IF(OR(City_Inputs!$AL118="",Norm_Stats!$F$16="",Norm_Stats!$G$16="",Norm_Stats!$G$16=Norm_Stats!$F$16),"",MAX(0,MIN(100,100*(Norm_Stats!$G$16-MIN(MAX(City_Inputs!$AL118,Norm_Stats!$F$16),Norm_Stats!$G$16))/(Norm_Stats!$G$16-Norm_Stats!$F$16)))))="",0,0.3)))</f>
        <v/>
      </c>
      <c r="AL118" s="14">
        <f>IF((IF((IF(OR(City_Inputs!$AA118="",Norm_Stats!$F$15="",Norm_Stats!$G$15="",Norm_Stats!$G$15=Norm_Stats!$F$15),"",MAX(0,MIN(100,100*(MIN(MAX(City_Inputs!$AA118,Norm_Stats!$F$15),Norm_Stats!$G$15)-Norm_Stats!$F$15)/(Norm_Stats!$G$15-Norm_Stats!$F$15)))))="",0,0.7)+IF((IF(OR(City_Inputs!$AL118="",Norm_Stats!$F$16="",Norm_Stats!$G$16="",Norm_Stats!$G$16=Norm_Stats!$F$16),"",MAX(0,MIN(100,100*(Norm_Stats!$G$16-MIN(MAX(City_Inputs!$AL118,Norm_Stats!$F$16),Norm_Stats!$G$16))/(Norm_Stats!$G$16-Norm_Stats!$F$16)))))="",0,0.3))=0,"",(IF((IF(OR(City_Inputs!$AA118="",Norm_Stats!$F$15="",Norm_Stats!$G$15="",Norm_Stats!$G$15=Norm_Stats!$F$15),"",MAX(0,MIN(100,100*(MIN(MAX(City_Inputs!$AA118,Norm_Stats!$F$15),Norm_Stats!$G$15)-Norm_Stats!$F$15)/(Norm_Stats!$G$15-Norm_Stats!$F$15)))))="",0,0.7)+IF((IF(OR(City_Inputs!$AL118="",Norm_Stats!$F$16="",Norm_Stats!$G$16="",Norm_Stats!$G$16=Norm_Stats!$F$16),"",MAX(0,MIN(100,100*(Norm_Stats!$G$16-MIN(MAX(City_Inputs!$AL118,Norm_Stats!$F$16),Norm_Stats!$G$16))/(Norm_Stats!$G$16-Norm_Stats!$F$16)))))="",0,0.3)))</f>
        <v/>
      </c>
      <c r="AM118" s="15">
        <f>IF((IF(AG118="",0,8)+IF(AI118="",0,6)+IF(AK118="",0,4))=0,"",(IF(AG118="",0,AG118*8)+IF(AI118="",0,AI118*6)+IF(AK118="",0,AK118*4))/(IF(AG118="",0,8)+IF(AI118="",0,6)+IF(AK118="",0,4)))</f>
        <v/>
      </c>
      <c r="AN118" s="14">
        <f>IF((IF(AH118="",0,8)+IF(AJ118="",0,6)+IF(AL118="",0,4))=0,"",(IF(AH118="",0,AH118*8)+IF(AJ118="",0,AJ118*6)+IF(AL118="",0,AL118*4))/18)</f>
        <v/>
      </c>
      <c r="AO118" s="11">
        <f>IF(OR(City_Inputs!$AB118="",Norm_Stats!$F$17="",Norm_Stats!$G$17="",Norm_Stats!$G$17=Norm_Stats!$F$17),"",MAX(0,MIN(100,100*(MIN(MAX(City_Inputs!$AB118,Norm_Stats!$F$17),Norm_Stats!$G$17)-Norm_Stats!$F$17)/(Norm_Stats!$G$17-Norm_Stats!$F$17))))</f>
        <v/>
      </c>
      <c r="AP118" s="14">
        <f>IF(AO118="","",1)</f>
        <v/>
      </c>
      <c r="AQ118" s="11">
        <f>IF(OR(City_Inputs!$AC118="",Norm_Stats!$F$18="",Norm_Stats!$G$18="",Norm_Stats!$G$18=Norm_Stats!$F$18),"",MAX(0,MIN(100,100*(MIN(MAX(City_Inputs!$AC118,Norm_Stats!$F$18),Norm_Stats!$G$18)-Norm_Stats!$F$18)/(Norm_Stats!$G$18-Norm_Stats!$F$18))))</f>
        <v/>
      </c>
      <c r="AR118" s="14">
        <f>IF(AQ118="","",1)</f>
        <v/>
      </c>
      <c r="AS118" s="11">
        <f>IF(OR(City_Inputs!$AD118="",Norm_Stats!$F$19="",Norm_Stats!$G$19="",Norm_Stats!$G$19=Norm_Stats!$F$19),"",MAX(0,MIN(100,100*(MIN(MAX(City_Inputs!$AD118,Norm_Stats!$F$19),Norm_Stats!$G$19)-Norm_Stats!$F$19)/(Norm_Stats!$G$19-Norm_Stats!$F$19))))</f>
        <v/>
      </c>
      <c r="AT118" s="14">
        <f>IF(AS118="","",1)</f>
        <v/>
      </c>
      <c r="AU118" s="11">
        <f>IF(OR(City_Inputs!$BJ118="",Norm_Stats!$F$26="",Norm_Stats!$G$26="",Norm_Stats!$G$26=Norm_Stats!$F$26),"",MAX(0,MIN(100,100*(MIN(MAX(City_Inputs!$BJ118,Norm_Stats!$F$26),Norm_Stats!$G$26)-Norm_Stats!$F$26)/(Norm_Stats!$G$26-Norm_Stats!$F$26))))</f>
        <v/>
      </c>
      <c r="AV118" s="11">
        <f>IF(AU118="","",1)</f>
        <v/>
      </c>
      <c r="AW118" s="15">
        <f>IF((IF(AO118="",0,5)+IF(AQ118="",0,5)+IF(AS118="",0,5)+IF(AU118="",0,4))=0,"",(IF(AO118="",0,AO118*5)+IF(AQ118="",0,AQ118*5)+IF(AS118="",0,AS118*5)+IF(AU118="",0,AU118*4))/(IF(AO118="",0,5)+IF(AQ118="",0,5)+IF(AS118="",0,5)+IF(AU118="",0,4)))</f>
        <v/>
      </c>
      <c r="AX118" s="14">
        <f>IF((IF(AP118="",0,5)+IF(AR118="",0,5)+IF(AT118="",0,5)+IF(AV118="",0,4))=0,"",(IF(AP118="",0,AP118*5)+IF(AR118="",0,AR118*5)+IF(AT118="",0,AT118*5)+IF(AV118="",0,AV118*4))/19)</f>
        <v/>
      </c>
      <c r="AY118" s="11">
        <f>IF(OR(City_Inputs!$AE118="",Norm_Stats!$F$20="",Norm_Stats!$G$20="",Norm_Stats!$G$20=Norm_Stats!$F$20),"",MAX(0,MIN(100,100*(MIN(MAX(City_Inputs!$AE118,Norm_Stats!$F$20),Norm_Stats!$G$20)-Norm_Stats!$F$20)/(Norm_Stats!$G$20-Norm_Stats!$F$20))))</f>
        <v/>
      </c>
      <c r="AZ118" s="14">
        <f>IF(AY118="","",1)</f>
        <v/>
      </c>
      <c r="BA118" s="11">
        <f>IF(OR(City_Inputs!$AF118="",Norm_Stats!$F$21="",Norm_Stats!$G$21="",Norm_Stats!$G$21=Norm_Stats!$F$21),"",MAX(0,MIN(100,100*(MIN(MAX(City_Inputs!$AF118,Norm_Stats!$F$21),Norm_Stats!$G$21)-Norm_Stats!$F$21)/(Norm_Stats!$G$21-Norm_Stats!$F$21))))</f>
        <v/>
      </c>
      <c r="BB118" s="14">
        <f>IF(BA118="","",1)</f>
        <v/>
      </c>
      <c r="BC118" s="11">
        <f>IF((IF((IF(OR(City_Inputs!$AG118="",Norm_Stats!$F$22="",Norm_Stats!$G$22="",Norm_Stats!$G$22=Norm_Stats!$F$22),"",MAX(0,MIN(100,100*(MIN(MAX(City_Inputs!$AG118,Norm_Stats!$F$22),Norm_Stats!$G$22)-Norm_Stats!$F$22)/(Norm_Stats!$G$22-Norm_Stats!$F$22)))))="",0,0.5)+IF((IF(OR(City_Inputs!$AJ118="",Norm_Stats!$F$23="",Norm_Stats!$G$23="",Norm_Stats!$G$23=Norm_Stats!$F$23),"",MAX(0,MIN(100,100*(MIN(MAX(City_Inputs!$AJ118,Norm_Stats!$F$23),Norm_Stats!$G$23)-Norm_Stats!$F$23)/(Norm_Stats!$G$23-Norm_Stats!$F$23)))))="",0,0.3)+IF((IF(OR(City_Inputs!$AK118="",Norm_Stats!$F$24="",Norm_Stats!$G$24="",Norm_Stats!$G$24=Norm_Stats!$F$24),"",MAX(0,MIN(100,100*(MIN(MAX(City_Inputs!$AK118,Norm_Stats!$F$24),Norm_Stats!$G$24)-Norm_Stats!$F$24)/(Norm_Stats!$G$24-Norm_Stats!$F$24)))))="",0,0.2))=0,"",(IF((IF(OR(City_Inputs!$AG118="",Norm_Stats!$F$22="",Norm_Stats!$G$22="",Norm_Stats!$G$22=Norm_Stats!$F$22),"",MAX(0,MIN(100,100*(MIN(MAX(City_Inputs!$AG118,Norm_Stats!$F$22),Norm_Stats!$G$22)-Norm_Stats!$F$22)/(Norm_Stats!$G$22-Norm_Stats!$F$22)))))="",0,(IF(OR(City_Inputs!$AG118="",Norm_Stats!$F$22="",Norm_Stats!$G$22="",Norm_Stats!$G$22=Norm_Stats!$F$22),"",MAX(0,MIN(100,100*(MIN(MAX(City_Inputs!$AG118,Norm_Stats!$F$22),Norm_Stats!$G$22)-Norm_Stats!$F$22)/(Norm_Stats!$G$22-Norm_Stats!$F$22)))))*0.5)+IF((IF(OR(City_Inputs!$AJ118="",Norm_Stats!$F$23="",Norm_Stats!$G$23="",Norm_Stats!$G$23=Norm_Stats!$F$23),"",MAX(0,MIN(100,100*(MIN(MAX(City_Inputs!$AJ118,Norm_Stats!$F$23),Norm_Stats!$G$23)-Norm_Stats!$F$23)/(Norm_Stats!$G$23-Norm_Stats!$F$23)))))="",0,(IF(OR(City_Inputs!$AJ118="",Norm_Stats!$F$23="",Norm_Stats!$G$23="",Norm_Stats!$G$23=Norm_Stats!$F$23),"",MAX(0,MIN(100,100*(MIN(MAX(City_Inputs!$AJ118,Norm_Stats!$F$23),Norm_Stats!$G$23)-Norm_Stats!$F$23)/(Norm_Stats!$G$23-Norm_Stats!$F$23)))))*0.3)+IF((IF(OR(City_Inputs!$AK118="",Norm_Stats!$F$24="",Norm_Stats!$G$24="",Norm_Stats!$G$24=Norm_Stats!$F$24),"",MAX(0,MIN(100,100*(MIN(MAX(City_Inputs!$AK118,Norm_Stats!$F$24),Norm_Stats!$G$24)-Norm_Stats!$F$24)/(Norm_Stats!$G$24-Norm_Stats!$F$24)))))="",0,(IF(OR(City_Inputs!$AK118="",Norm_Stats!$F$24="",Norm_Stats!$G$24="",Norm_Stats!$G$24=Norm_Stats!$F$24),"",MAX(0,MIN(100,100*(MIN(MAX(City_Inputs!$AK118,Norm_Stats!$F$24),Norm_Stats!$G$24)-Norm_Stats!$F$24)/(Norm_Stats!$G$24-Norm_Stats!$F$24)))))*0.2))/(IF((IF(OR(City_Inputs!$AG118="",Norm_Stats!$F$22="",Norm_Stats!$G$22="",Norm_Stats!$G$22=Norm_Stats!$F$22),"",MAX(0,MIN(100,100*(MIN(MAX(City_Inputs!$AG118,Norm_Stats!$F$22),Norm_Stats!$G$22)-Norm_Stats!$F$22)/(Norm_Stats!$G$22-Norm_Stats!$F$22)))))="",0,0.5)+IF((IF(OR(City_Inputs!$AJ118="",Norm_Stats!$F$23="",Norm_Stats!$G$23="",Norm_Stats!$G$23=Norm_Stats!$F$23),"",MAX(0,MIN(100,100*(MIN(MAX(City_Inputs!$AJ118,Norm_Stats!$F$23),Norm_Stats!$G$23)-Norm_Stats!$F$23)/(Norm_Stats!$G$23-Norm_Stats!$F$23)))))="",0,0.3)+IF((IF(OR(City_Inputs!$AK118="",Norm_Stats!$F$24="",Norm_Stats!$G$24="",Norm_Stats!$G$24=Norm_Stats!$F$24),"",MAX(0,MIN(100,100*(MIN(MAX(City_Inputs!$AK118,Norm_Stats!$F$24),Norm_Stats!$G$24)-Norm_Stats!$F$24)/(Norm_Stats!$G$24-Norm_Stats!$F$24)))))="",0,0.2)))</f>
        <v/>
      </c>
      <c r="BD118" s="14">
        <f>IF((IF((IF(OR(City_Inputs!$AG118="",Norm_Stats!$F$22="",Norm_Stats!$G$22="",Norm_Stats!$G$22=Norm_Stats!$F$22),"",MAX(0,MIN(100,100*(MIN(MAX(City_Inputs!$AG118,Norm_Stats!$F$22),Norm_Stats!$G$22)-Norm_Stats!$F$22)/(Norm_Stats!$G$22-Norm_Stats!$F$22)))))="",0,0.5)+IF((IF(OR(City_Inputs!$AJ118="",Norm_Stats!$F$23="",Norm_Stats!$G$23="",Norm_Stats!$G$23=Norm_Stats!$F$23),"",MAX(0,MIN(100,100*(MIN(MAX(City_Inputs!$AJ118,Norm_Stats!$F$23),Norm_Stats!$G$23)-Norm_Stats!$F$23)/(Norm_Stats!$G$23-Norm_Stats!$F$23)))))="",0,0.3)+IF((IF(OR(City_Inputs!$AK118="",Norm_Stats!$F$24="",Norm_Stats!$G$24="",Norm_Stats!$G$24=Norm_Stats!$F$24),"",MAX(0,MIN(100,100*(MIN(MAX(City_Inputs!$AK118,Norm_Stats!$F$24),Norm_Stats!$G$24)-Norm_Stats!$F$24)/(Norm_Stats!$G$24-Norm_Stats!$F$24)))))="",0,0.2))=0,"",(IF((IF(OR(City_Inputs!$AG118="",Norm_Stats!$F$22="",Norm_Stats!$G$22="",Norm_Stats!$G$22=Norm_Stats!$F$22),"",MAX(0,MIN(100,100*(MIN(MAX(City_Inputs!$AG118,Norm_Stats!$F$22),Norm_Stats!$G$22)-Norm_Stats!$F$22)/(Norm_Stats!$G$22-Norm_Stats!$F$22)))))="",0,0.5)+IF((IF(OR(City_Inputs!$AJ118="",Norm_Stats!$F$23="",Norm_Stats!$G$23="",Norm_Stats!$G$23=Norm_Stats!$F$23),"",MAX(0,MIN(100,100*(MIN(MAX(City_Inputs!$AJ118,Norm_Stats!$F$23),Norm_Stats!$G$23)-Norm_Stats!$F$23)/(Norm_Stats!$G$23-Norm_Stats!$F$23)))))="",0,0.3)+IF((IF(OR(City_Inputs!$AK118="",Norm_Stats!$F$24="",Norm_Stats!$G$24="",Norm_Stats!$G$24=Norm_Stats!$F$24),"",MAX(0,MIN(100,100*(MIN(MAX(City_Inputs!$AK118,Norm_Stats!$F$24),Norm_Stats!$G$24)-Norm_Stats!$F$24)/(Norm_Stats!$G$24-Norm_Stats!$F$24)))))="",0,0.2)))</f>
        <v/>
      </c>
      <c r="BE118" s="11">
        <f>IF(OR(City_Inputs!$AH118="",Norm_Stats!$F$25="",Norm_Stats!$G$25="",Norm_Stats!$G$25=Norm_Stats!$F$25),"",MAX(0,MIN(100,100*(Norm_Stats!$G$25-MIN(MAX(City_Inputs!$AH118,Norm_Stats!$F$25),Norm_Stats!$G$25))/(Norm_Stats!$G$25-Norm_Stats!$F$25))))</f>
        <v/>
      </c>
      <c r="BF118" s="14">
        <f>IF(BE118="","",1)</f>
        <v/>
      </c>
      <c r="BG118" s="15">
        <f>IF((IF(AY118="",0,6)+IF(BA118="",0,5)+IF(BC118="",0,5)+IF(BE118="",0,4))=0,"",(IF(AY118="",0,AY118*6)+IF(BA118="",0,BA118*5)+IF(BC118="",0,BC118*5)+IF(BE118="",0,BE118*4))/(IF(AY118="",0,6)+IF(BA118="",0,5)+IF(BC118="",0,5)+IF(BE118="",0,4)))</f>
        <v/>
      </c>
      <c r="BH118" s="14">
        <f>IF((IF(AZ118="",0,6)+IF(BB118="",0,5)+IF(BD118="",0,5)+IF(BF118="",0,4))=0,"",(IF(AZ118="",0,AZ118*6)+IF(BB118="",0,BB118*5)+IF(BD118="",0,BD118*5)+IF(BF118="",0,BF118*4))/20)</f>
        <v/>
      </c>
      <c r="BI118" s="14">
        <f>IF(AND(R118="",AF118="",AN118="",AX118="",BH118=""),"",((R118*25)+(AF118*22)+(AN118*18)+(AX118*15)+(BH118*20))/100)</f>
        <v/>
      </c>
      <c r="BJ118" s="11">
        <f>IF(BI118="","",IF(BI118&gt;=0.75,"A",IF(BI118&gt;=0.5,"B",IF(BI118&gt;=0.35,"C","Watchlist"))))</f>
        <v/>
      </c>
      <c r="BK118" s="11">
        <f>IF(OR(BI118="",BI118&lt;0.5,R118="",R118&lt;0.35,AF118="",AF118&lt;0.35,AN118="",AN118&lt;0.35,AX118="",AX118&lt;0.35,BH118="",BH118&lt;0.35),"Watchlist","Ranked")</f>
        <v/>
      </c>
      <c r="BL118" s="15">
        <f>IF(AND(Q118="",AE118="",AM118="",AW118="",BG118=""),"",(IF(Q118="",0,Q118*25)+IF(AE118="",0,AE118*22)+IF(AM118="",0,AM118*18)+IF(AW118="",0,AW118*15)+IF(BG118="",0,BG118*20))/(IF(Q118="",0,25)+IF(AE118="",0,22)+IF(AM118="",0,18)+IF(AW118="",0,15)+IF(BG118="",0,20)))</f>
        <v/>
      </c>
      <c r="BM118" s="11">
        <f>IF(BK118="Ranked",1+COUNTIFS($BK$2:$BK$158,"Ranked",$BL$2:$BL$158,"&gt;"&amp;BL118),"")</f>
        <v/>
      </c>
      <c r="BN118" s="11">
        <f>City_Inputs!$AI118</f>
        <v/>
      </c>
    </row>
    <row r="119">
      <c r="A119" t="inlineStr">
        <is>
          <t>in-pune</t>
        </is>
      </c>
      <c r="B119" t="inlineStr">
        <is>
          <t>Pune</t>
        </is>
      </c>
      <c r="C119" t="inlineStr">
        <is>
          <t>India</t>
        </is>
      </c>
      <c r="D119" t="inlineStr">
        <is>
          <t>South Asia</t>
        </is>
      </c>
      <c r="E119" t="inlineStr">
        <is>
          <t>provisional</t>
        </is>
      </c>
      <c r="F119" t="inlineStr">
        <is>
          <t>primary</t>
        </is>
      </c>
      <c r="G119" s="11">
        <f>IF(OR(City_Inputs!$M119="",Norm_Stats!$F$2="",Norm_Stats!$G$2="",Norm_Stats!$G$2=Norm_Stats!$F$2),"",MAX(0,MIN(100,100*(MIN(MAX(City_Inputs!$M119,Norm_Stats!$F$2),Norm_Stats!$G$2)-Norm_Stats!$F$2)/(Norm_Stats!$G$2-Norm_Stats!$F$2))))</f>
        <v/>
      </c>
      <c r="H119" s="14">
        <f>IF(G119="","",1)</f>
        <v/>
      </c>
      <c r="I119" s="11">
        <f>IF(OR(City_Inputs!$N119="",Norm_Stats!$F$3="",Norm_Stats!$G$3="",Norm_Stats!$G$3=Norm_Stats!$F$3),"",MAX(0,MIN(100,100*(Norm_Stats!$G$3-MIN(MAX(City_Inputs!$N119,Norm_Stats!$F$3),Norm_Stats!$G$3))/(Norm_Stats!$G$3-Norm_Stats!$F$3))))</f>
        <v/>
      </c>
      <c r="J119" s="14">
        <f>IF(I119="","",1)</f>
        <v/>
      </c>
      <c r="K119" s="11">
        <f>IF(OR(City_Inputs!$P119="",Norm_Stats!$F$4="",Norm_Stats!$G$4="",Norm_Stats!$G$4=Norm_Stats!$F$4),"",MAX(0,MIN(100,100*(Norm_Stats!$G$4-MIN(MAX(City_Inputs!$P119,Norm_Stats!$F$4),Norm_Stats!$G$4))/(Norm_Stats!$G$4-Norm_Stats!$F$4))))</f>
        <v/>
      </c>
      <c r="L119" s="14">
        <f>IF(K119="","",1)</f>
        <v/>
      </c>
      <c r="M119" s="11">
        <f>IF(OR(City_Inputs!$Q119="",Norm_Stats!$F$5="",Norm_Stats!$G$5="",Norm_Stats!$G$5=Norm_Stats!$F$5),"",MAX(0,MIN(100,100*(Norm_Stats!$G$5-MIN(MAX(City_Inputs!$Q119,Norm_Stats!$F$5),Norm_Stats!$G$5))/(Norm_Stats!$G$5-Norm_Stats!$F$5))))</f>
        <v/>
      </c>
      <c r="N119" s="14">
        <f>IF(M119="","",1)</f>
        <v/>
      </c>
      <c r="O119" s="11">
        <f>IF(OR(City_Inputs!$R119="",Norm_Stats!$F$6="",Norm_Stats!$G$6="",Norm_Stats!$G$6=Norm_Stats!$F$6),"",MAX(0,MIN(100,100*(Norm_Stats!$G$6-MIN(MAX(City_Inputs!$R119,Norm_Stats!$F$6),Norm_Stats!$G$6))/(Norm_Stats!$G$6-Norm_Stats!$F$6))))</f>
        <v/>
      </c>
      <c r="P119" s="14">
        <f>IF(O119="","",1)</f>
        <v/>
      </c>
      <c r="Q119" s="15">
        <f>IF((IF(G119="",0,9)+IF(I119="",0,5)+IF(K119="",0,4)+IF(M119="",0,4)+IF(O119="",0,5))=0,"",(IF(G119="",0,G119*9)+IF(I119="",0,I119*5)+IF(K119="",0,K119*4)+IF(M119="",0,M119*4)+IF(O119="",0,O119*5))/(IF(G119="",0,9)+IF(I119="",0,5)+IF(K119="",0,4)+IF(M119="",0,4)+IF(O119="",0,5)))</f>
        <v/>
      </c>
      <c r="R119" s="14">
        <f>IF((IF(H119="",0,9)+IF(J119="",0,5)+IF(L119="",0,4)+IF(N119="",0,4)+IF(P119="",0,5))=0,"",(IF(H119="",0,H119*9)+IF(J119="",0,J119*5)+IF(L119="",0,L119*4)+IF(N119="",0,N119*4)+IF(P119="",0,P119*5))/27)</f>
        <v/>
      </c>
      <c r="S119" s="11">
        <f>IF(OR(City_Inputs!$S119="",Norm_Stats!$F$7="",Norm_Stats!$G$7="",Norm_Stats!$G$7=Norm_Stats!$F$7),"",MAX(0,MIN(100,100*(Norm_Stats!$G$7-MIN(MAX(City_Inputs!$S119,Norm_Stats!$F$7),Norm_Stats!$G$7))/(Norm_Stats!$G$7-Norm_Stats!$F$7))))</f>
        <v/>
      </c>
      <c r="T119" s="14">
        <f>IF(S119="","",1)</f>
        <v/>
      </c>
      <c r="U119" s="11">
        <f>IF(OR(City_Inputs!$T119="",Norm_Stats!$F$8="",Norm_Stats!$G$8="",Norm_Stats!$G$8=Norm_Stats!$F$8),"",MAX(0,MIN(100,100*(MIN(MAX(City_Inputs!$T119,Norm_Stats!$F$8),Norm_Stats!$G$8)-Norm_Stats!$F$8)/(Norm_Stats!$G$8-Norm_Stats!$F$8))))</f>
        <v/>
      </c>
      <c r="V119" s="14">
        <f>IF(U119="","",1)</f>
        <v/>
      </c>
      <c r="W119" s="11">
        <f>IF(OR(City_Inputs!$U119="",Norm_Stats!$F$9="",Norm_Stats!$G$9="",Norm_Stats!$G$9=Norm_Stats!$F$9),"",MAX(0,MIN(100,100*(Norm_Stats!$G$9-MIN(MAX(City_Inputs!$U119,Norm_Stats!$F$9),Norm_Stats!$G$9))/(Norm_Stats!$G$9-Norm_Stats!$F$9))))</f>
        <v/>
      </c>
      <c r="X119" s="14">
        <f>IF(W119="","",1)</f>
        <v/>
      </c>
      <c r="Y119" s="11">
        <f>IF(OR(City_Inputs!$V119="",Norm_Stats!$F$10="",Norm_Stats!$G$10="",Norm_Stats!$G$10=Norm_Stats!$F$10),"",MAX(0,MIN(100,100*(MIN(MAX(City_Inputs!$V119,Norm_Stats!$F$10),Norm_Stats!$G$10)-Norm_Stats!$F$10)/(Norm_Stats!$G$10-Norm_Stats!$F$10))))</f>
        <v/>
      </c>
      <c r="Z119" s="14">
        <f>IF(Y119="","",1)</f>
        <v/>
      </c>
      <c r="AA119" s="11">
        <f>IF(OR(City_Inputs!$W119="",Norm_Stats!$F$11="",Norm_Stats!$G$11="",Norm_Stats!$G$11=Norm_Stats!$F$11),"",MAX(0,MIN(100,100*(MIN(MAX(City_Inputs!$W119,Norm_Stats!$F$11),Norm_Stats!$G$11)-Norm_Stats!$F$11)/(Norm_Stats!$G$11-Norm_Stats!$F$11))))</f>
        <v/>
      </c>
      <c r="AB119" s="14">
        <f>IF(AA119="","",1)</f>
        <v/>
      </c>
      <c r="AC119" s="11">
        <f>IF(OR(City_Inputs!$X119="",Norm_Stats!$F$12="",Norm_Stats!$G$12="",Norm_Stats!$G$12=Norm_Stats!$F$12),"",MAX(0,MIN(100,100*(MIN(MAX(City_Inputs!$X119,Norm_Stats!$F$12),Norm_Stats!$G$12)-Norm_Stats!$F$12)/(Norm_Stats!$G$12-Norm_Stats!$F$12))))</f>
        <v/>
      </c>
      <c r="AD119" s="11">
        <f>IF(AC119="","",1)</f>
        <v/>
      </c>
      <c r="AE119" s="15">
        <f>IF((IF(S119="",0,5)+IF(U119="",0,5)+IF(W119="",0,4)+IF(Y119="",0,4)+IF(AA119="",0,4)+IF(AC119="",0,5))=0,"",(IF(S119="",0,S119*5)+IF(U119="",0,U119*5)+IF(W119="",0,W119*4)+IF(Y119="",0,Y119*4)+IF(AA119="",0,AA119*4)+IF(AC119="",0,AC119*5))/(IF(S119="",0,5)+IF(U119="",0,5)+IF(W119="",0,4)+IF(Y119="",0,4)+IF(AA119="",0,4)+IF(AC119="",0,5)))</f>
        <v/>
      </c>
      <c r="AF119" s="14">
        <f>IF((IF(T119="",0,5)+IF(V119="",0,5)+IF(X119="",0,4)+IF(Z119="",0,4)+IF(AB119="",0,4)+IF(AD119="",0,5))=0,"",(IF(T119="",0,T119*5)+IF(V119="",0,V119*5)+IF(X119="",0,X119*4)+IF(Z119="",0,Z119*4)+IF(AB119="",0,AB119*4)+IF(AD119="",0,AD119*5))/27)</f>
        <v/>
      </c>
      <c r="AG119" s="11">
        <f>IF(OR(City_Inputs!$Y119="",Norm_Stats!$F$13="",Norm_Stats!$G$13="",Norm_Stats!$G$13=Norm_Stats!$F$13),"",MAX(0,MIN(100,100*(MIN(MAX(City_Inputs!$Y119,Norm_Stats!$F$13),Norm_Stats!$G$13)-Norm_Stats!$F$13)/(Norm_Stats!$G$13-Norm_Stats!$F$13))))</f>
        <v/>
      </c>
      <c r="AH119" s="14">
        <f>IF(AG119="","",1)</f>
        <v/>
      </c>
      <c r="AI119" s="11">
        <f>IF(OR(City_Inputs!$Z119="",Norm_Stats!$F$14="",Norm_Stats!$G$14="",Norm_Stats!$G$14=Norm_Stats!$F$14),"",MAX(0,MIN(100,100*(MIN(MAX(City_Inputs!$Z119,Norm_Stats!$F$14),Norm_Stats!$G$14)-Norm_Stats!$F$14)/(Norm_Stats!$G$14-Norm_Stats!$F$14))))</f>
        <v/>
      </c>
      <c r="AJ119" s="14">
        <f>IF(AI119="","",1)</f>
        <v/>
      </c>
      <c r="AK119" s="11">
        <f>IF((IF((IF(OR(City_Inputs!$AA119="",Norm_Stats!$F$15="",Norm_Stats!$G$15="",Norm_Stats!$G$15=Norm_Stats!$F$15),"",MAX(0,MIN(100,100*(MIN(MAX(City_Inputs!$AA119,Norm_Stats!$F$15),Norm_Stats!$G$15)-Norm_Stats!$F$15)/(Norm_Stats!$G$15-Norm_Stats!$F$15)))))="",0,0.7)+IF((IF(OR(City_Inputs!$AL119="",Norm_Stats!$F$16="",Norm_Stats!$G$16="",Norm_Stats!$G$16=Norm_Stats!$F$16),"",MAX(0,MIN(100,100*(Norm_Stats!$G$16-MIN(MAX(City_Inputs!$AL119,Norm_Stats!$F$16),Norm_Stats!$G$16))/(Norm_Stats!$G$16-Norm_Stats!$F$16)))))="",0,0.3))=0,"",(IF((IF(OR(City_Inputs!$AA119="",Norm_Stats!$F$15="",Norm_Stats!$G$15="",Norm_Stats!$G$15=Norm_Stats!$F$15),"",MAX(0,MIN(100,100*(MIN(MAX(City_Inputs!$AA119,Norm_Stats!$F$15),Norm_Stats!$G$15)-Norm_Stats!$F$15)/(Norm_Stats!$G$15-Norm_Stats!$F$15)))))="",0,(IF(OR(City_Inputs!$AA119="",Norm_Stats!$F$15="",Norm_Stats!$G$15="",Norm_Stats!$G$15=Norm_Stats!$F$15),"",MAX(0,MIN(100,100*(MIN(MAX(City_Inputs!$AA119,Norm_Stats!$F$15),Norm_Stats!$G$15)-Norm_Stats!$F$15)/(Norm_Stats!$G$15-Norm_Stats!$F$15)))))*0.7)+IF((IF(OR(City_Inputs!$AL119="",Norm_Stats!$F$16="",Norm_Stats!$G$16="",Norm_Stats!$G$16=Norm_Stats!$F$16),"",MAX(0,MIN(100,100*(Norm_Stats!$G$16-MIN(MAX(City_Inputs!$AL119,Norm_Stats!$F$16),Norm_Stats!$G$16))/(Norm_Stats!$G$16-Norm_Stats!$F$16)))))="",0,(IF(OR(City_Inputs!$AL119="",Norm_Stats!$F$16="",Norm_Stats!$G$16="",Norm_Stats!$G$16=Norm_Stats!$F$16),"",MAX(0,MIN(100,100*(Norm_Stats!$G$16-MIN(MAX(City_Inputs!$AL119,Norm_Stats!$F$16),Norm_Stats!$G$16))/(Norm_Stats!$G$16-Norm_Stats!$F$16)))))*0.3))/(IF((IF(OR(City_Inputs!$AA119="",Norm_Stats!$F$15="",Norm_Stats!$G$15="",Norm_Stats!$G$15=Norm_Stats!$F$15),"",MAX(0,MIN(100,100*(MIN(MAX(City_Inputs!$AA119,Norm_Stats!$F$15),Norm_Stats!$G$15)-Norm_Stats!$F$15)/(Norm_Stats!$G$15-Norm_Stats!$F$15)))))="",0,0.7)+IF((IF(OR(City_Inputs!$AL119="",Norm_Stats!$F$16="",Norm_Stats!$G$16="",Norm_Stats!$G$16=Norm_Stats!$F$16),"",MAX(0,MIN(100,100*(Norm_Stats!$G$16-MIN(MAX(City_Inputs!$AL119,Norm_Stats!$F$16),Norm_Stats!$G$16))/(Norm_Stats!$G$16-Norm_Stats!$F$16)))))="",0,0.3)))</f>
        <v/>
      </c>
      <c r="AL119" s="14">
        <f>IF((IF((IF(OR(City_Inputs!$AA119="",Norm_Stats!$F$15="",Norm_Stats!$G$15="",Norm_Stats!$G$15=Norm_Stats!$F$15),"",MAX(0,MIN(100,100*(MIN(MAX(City_Inputs!$AA119,Norm_Stats!$F$15),Norm_Stats!$G$15)-Norm_Stats!$F$15)/(Norm_Stats!$G$15-Norm_Stats!$F$15)))))="",0,0.7)+IF((IF(OR(City_Inputs!$AL119="",Norm_Stats!$F$16="",Norm_Stats!$G$16="",Norm_Stats!$G$16=Norm_Stats!$F$16),"",MAX(0,MIN(100,100*(Norm_Stats!$G$16-MIN(MAX(City_Inputs!$AL119,Norm_Stats!$F$16),Norm_Stats!$G$16))/(Norm_Stats!$G$16-Norm_Stats!$F$16)))))="",0,0.3))=0,"",(IF((IF(OR(City_Inputs!$AA119="",Norm_Stats!$F$15="",Norm_Stats!$G$15="",Norm_Stats!$G$15=Norm_Stats!$F$15),"",MAX(0,MIN(100,100*(MIN(MAX(City_Inputs!$AA119,Norm_Stats!$F$15),Norm_Stats!$G$15)-Norm_Stats!$F$15)/(Norm_Stats!$G$15-Norm_Stats!$F$15)))))="",0,0.7)+IF((IF(OR(City_Inputs!$AL119="",Norm_Stats!$F$16="",Norm_Stats!$G$16="",Norm_Stats!$G$16=Norm_Stats!$F$16),"",MAX(0,MIN(100,100*(Norm_Stats!$G$16-MIN(MAX(City_Inputs!$AL119,Norm_Stats!$F$16),Norm_Stats!$G$16))/(Norm_Stats!$G$16-Norm_Stats!$F$16)))))="",0,0.3)))</f>
        <v/>
      </c>
      <c r="AM119" s="15">
        <f>IF((IF(AG119="",0,8)+IF(AI119="",0,6)+IF(AK119="",0,4))=0,"",(IF(AG119="",0,AG119*8)+IF(AI119="",0,AI119*6)+IF(AK119="",0,AK119*4))/(IF(AG119="",0,8)+IF(AI119="",0,6)+IF(AK119="",0,4)))</f>
        <v/>
      </c>
      <c r="AN119" s="14">
        <f>IF((IF(AH119="",0,8)+IF(AJ119="",0,6)+IF(AL119="",0,4))=0,"",(IF(AH119="",0,AH119*8)+IF(AJ119="",0,AJ119*6)+IF(AL119="",0,AL119*4))/18)</f>
        <v/>
      </c>
      <c r="AO119" s="11">
        <f>IF(OR(City_Inputs!$AB119="",Norm_Stats!$F$17="",Norm_Stats!$G$17="",Norm_Stats!$G$17=Norm_Stats!$F$17),"",MAX(0,MIN(100,100*(MIN(MAX(City_Inputs!$AB119,Norm_Stats!$F$17),Norm_Stats!$G$17)-Norm_Stats!$F$17)/(Norm_Stats!$G$17-Norm_Stats!$F$17))))</f>
        <v/>
      </c>
      <c r="AP119" s="14">
        <f>IF(AO119="","",1)</f>
        <v/>
      </c>
      <c r="AQ119" s="11">
        <f>IF(OR(City_Inputs!$AC119="",Norm_Stats!$F$18="",Norm_Stats!$G$18="",Norm_Stats!$G$18=Norm_Stats!$F$18),"",MAX(0,MIN(100,100*(MIN(MAX(City_Inputs!$AC119,Norm_Stats!$F$18),Norm_Stats!$G$18)-Norm_Stats!$F$18)/(Norm_Stats!$G$18-Norm_Stats!$F$18))))</f>
        <v/>
      </c>
      <c r="AR119" s="14">
        <f>IF(AQ119="","",1)</f>
        <v/>
      </c>
      <c r="AS119" s="11">
        <f>IF(OR(City_Inputs!$AD119="",Norm_Stats!$F$19="",Norm_Stats!$G$19="",Norm_Stats!$G$19=Norm_Stats!$F$19),"",MAX(0,MIN(100,100*(MIN(MAX(City_Inputs!$AD119,Norm_Stats!$F$19),Norm_Stats!$G$19)-Norm_Stats!$F$19)/(Norm_Stats!$G$19-Norm_Stats!$F$19))))</f>
        <v/>
      </c>
      <c r="AT119" s="14">
        <f>IF(AS119="","",1)</f>
        <v/>
      </c>
      <c r="AU119" s="11">
        <f>IF(OR(City_Inputs!$BJ119="",Norm_Stats!$F$26="",Norm_Stats!$G$26="",Norm_Stats!$G$26=Norm_Stats!$F$26),"",MAX(0,MIN(100,100*(MIN(MAX(City_Inputs!$BJ119,Norm_Stats!$F$26),Norm_Stats!$G$26)-Norm_Stats!$F$26)/(Norm_Stats!$G$26-Norm_Stats!$F$26))))</f>
        <v/>
      </c>
      <c r="AV119" s="11">
        <f>IF(AU119="","",1)</f>
        <v/>
      </c>
      <c r="AW119" s="15">
        <f>IF((IF(AO119="",0,5)+IF(AQ119="",0,5)+IF(AS119="",0,5)+IF(AU119="",0,4))=0,"",(IF(AO119="",0,AO119*5)+IF(AQ119="",0,AQ119*5)+IF(AS119="",0,AS119*5)+IF(AU119="",0,AU119*4))/(IF(AO119="",0,5)+IF(AQ119="",0,5)+IF(AS119="",0,5)+IF(AU119="",0,4)))</f>
        <v/>
      </c>
      <c r="AX119" s="14">
        <f>IF((IF(AP119="",0,5)+IF(AR119="",0,5)+IF(AT119="",0,5)+IF(AV119="",0,4))=0,"",(IF(AP119="",0,AP119*5)+IF(AR119="",0,AR119*5)+IF(AT119="",0,AT119*5)+IF(AV119="",0,AV119*4))/19)</f>
        <v/>
      </c>
      <c r="AY119" s="11">
        <f>IF(OR(City_Inputs!$AE119="",Norm_Stats!$F$20="",Norm_Stats!$G$20="",Norm_Stats!$G$20=Norm_Stats!$F$20),"",MAX(0,MIN(100,100*(MIN(MAX(City_Inputs!$AE119,Norm_Stats!$F$20),Norm_Stats!$G$20)-Norm_Stats!$F$20)/(Norm_Stats!$G$20-Norm_Stats!$F$20))))</f>
        <v/>
      </c>
      <c r="AZ119" s="14">
        <f>IF(AY119="","",1)</f>
        <v/>
      </c>
      <c r="BA119" s="11">
        <f>IF(OR(City_Inputs!$AF119="",Norm_Stats!$F$21="",Norm_Stats!$G$21="",Norm_Stats!$G$21=Norm_Stats!$F$21),"",MAX(0,MIN(100,100*(MIN(MAX(City_Inputs!$AF119,Norm_Stats!$F$21),Norm_Stats!$G$21)-Norm_Stats!$F$21)/(Norm_Stats!$G$21-Norm_Stats!$F$21))))</f>
        <v/>
      </c>
      <c r="BB119" s="14">
        <f>IF(BA119="","",1)</f>
        <v/>
      </c>
      <c r="BC119" s="11">
        <f>IF((IF((IF(OR(City_Inputs!$AG119="",Norm_Stats!$F$22="",Norm_Stats!$G$22="",Norm_Stats!$G$22=Norm_Stats!$F$22),"",MAX(0,MIN(100,100*(MIN(MAX(City_Inputs!$AG119,Norm_Stats!$F$22),Norm_Stats!$G$22)-Norm_Stats!$F$22)/(Norm_Stats!$G$22-Norm_Stats!$F$22)))))="",0,0.5)+IF((IF(OR(City_Inputs!$AJ119="",Norm_Stats!$F$23="",Norm_Stats!$G$23="",Norm_Stats!$G$23=Norm_Stats!$F$23),"",MAX(0,MIN(100,100*(MIN(MAX(City_Inputs!$AJ119,Norm_Stats!$F$23),Norm_Stats!$G$23)-Norm_Stats!$F$23)/(Norm_Stats!$G$23-Norm_Stats!$F$23)))))="",0,0.3)+IF((IF(OR(City_Inputs!$AK119="",Norm_Stats!$F$24="",Norm_Stats!$G$24="",Norm_Stats!$G$24=Norm_Stats!$F$24),"",MAX(0,MIN(100,100*(MIN(MAX(City_Inputs!$AK119,Norm_Stats!$F$24),Norm_Stats!$G$24)-Norm_Stats!$F$24)/(Norm_Stats!$G$24-Norm_Stats!$F$24)))))="",0,0.2))=0,"",(IF((IF(OR(City_Inputs!$AG119="",Norm_Stats!$F$22="",Norm_Stats!$G$22="",Norm_Stats!$G$22=Norm_Stats!$F$22),"",MAX(0,MIN(100,100*(MIN(MAX(City_Inputs!$AG119,Norm_Stats!$F$22),Norm_Stats!$G$22)-Norm_Stats!$F$22)/(Norm_Stats!$G$22-Norm_Stats!$F$22)))))="",0,(IF(OR(City_Inputs!$AG119="",Norm_Stats!$F$22="",Norm_Stats!$G$22="",Norm_Stats!$G$22=Norm_Stats!$F$22),"",MAX(0,MIN(100,100*(MIN(MAX(City_Inputs!$AG119,Norm_Stats!$F$22),Norm_Stats!$G$22)-Norm_Stats!$F$22)/(Norm_Stats!$G$22-Norm_Stats!$F$22)))))*0.5)+IF((IF(OR(City_Inputs!$AJ119="",Norm_Stats!$F$23="",Norm_Stats!$G$23="",Norm_Stats!$G$23=Norm_Stats!$F$23),"",MAX(0,MIN(100,100*(MIN(MAX(City_Inputs!$AJ119,Norm_Stats!$F$23),Norm_Stats!$G$23)-Norm_Stats!$F$23)/(Norm_Stats!$G$23-Norm_Stats!$F$23)))))="",0,(IF(OR(City_Inputs!$AJ119="",Norm_Stats!$F$23="",Norm_Stats!$G$23="",Norm_Stats!$G$23=Norm_Stats!$F$23),"",MAX(0,MIN(100,100*(MIN(MAX(City_Inputs!$AJ119,Norm_Stats!$F$23),Norm_Stats!$G$23)-Norm_Stats!$F$23)/(Norm_Stats!$G$23-Norm_Stats!$F$23)))))*0.3)+IF((IF(OR(City_Inputs!$AK119="",Norm_Stats!$F$24="",Norm_Stats!$G$24="",Norm_Stats!$G$24=Norm_Stats!$F$24),"",MAX(0,MIN(100,100*(MIN(MAX(City_Inputs!$AK119,Norm_Stats!$F$24),Norm_Stats!$G$24)-Norm_Stats!$F$24)/(Norm_Stats!$G$24-Norm_Stats!$F$24)))))="",0,(IF(OR(City_Inputs!$AK119="",Norm_Stats!$F$24="",Norm_Stats!$G$24="",Norm_Stats!$G$24=Norm_Stats!$F$24),"",MAX(0,MIN(100,100*(MIN(MAX(City_Inputs!$AK119,Norm_Stats!$F$24),Norm_Stats!$G$24)-Norm_Stats!$F$24)/(Norm_Stats!$G$24-Norm_Stats!$F$24)))))*0.2))/(IF((IF(OR(City_Inputs!$AG119="",Norm_Stats!$F$22="",Norm_Stats!$G$22="",Norm_Stats!$G$22=Norm_Stats!$F$22),"",MAX(0,MIN(100,100*(MIN(MAX(City_Inputs!$AG119,Norm_Stats!$F$22),Norm_Stats!$G$22)-Norm_Stats!$F$22)/(Norm_Stats!$G$22-Norm_Stats!$F$22)))))="",0,0.5)+IF((IF(OR(City_Inputs!$AJ119="",Norm_Stats!$F$23="",Norm_Stats!$G$23="",Norm_Stats!$G$23=Norm_Stats!$F$23),"",MAX(0,MIN(100,100*(MIN(MAX(City_Inputs!$AJ119,Norm_Stats!$F$23),Norm_Stats!$G$23)-Norm_Stats!$F$23)/(Norm_Stats!$G$23-Norm_Stats!$F$23)))))="",0,0.3)+IF((IF(OR(City_Inputs!$AK119="",Norm_Stats!$F$24="",Norm_Stats!$G$24="",Norm_Stats!$G$24=Norm_Stats!$F$24),"",MAX(0,MIN(100,100*(MIN(MAX(City_Inputs!$AK119,Norm_Stats!$F$24),Norm_Stats!$G$24)-Norm_Stats!$F$24)/(Norm_Stats!$G$24-Norm_Stats!$F$24)))))="",0,0.2)))</f>
        <v/>
      </c>
      <c r="BD119" s="14">
        <f>IF((IF((IF(OR(City_Inputs!$AG119="",Norm_Stats!$F$22="",Norm_Stats!$G$22="",Norm_Stats!$G$22=Norm_Stats!$F$22),"",MAX(0,MIN(100,100*(MIN(MAX(City_Inputs!$AG119,Norm_Stats!$F$22),Norm_Stats!$G$22)-Norm_Stats!$F$22)/(Norm_Stats!$G$22-Norm_Stats!$F$22)))))="",0,0.5)+IF((IF(OR(City_Inputs!$AJ119="",Norm_Stats!$F$23="",Norm_Stats!$G$23="",Norm_Stats!$G$23=Norm_Stats!$F$23),"",MAX(0,MIN(100,100*(MIN(MAX(City_Inputs!$AJ119,Norm_Stats!$F$23),Norm_Stats!$G$23)-Norm_Stats!$F$23)/(Norm_Stats!$G$23-Norm_Stats!$F$23)))))="",0,0.3)+IF((IF(OR(City_Inputs!$AK119="",Norm_Stats!$F$24="",Norm_Stats!$G$24="",Norm_Stats!$G$24=Norm_Stats!$F$24),"",MAX(0,MIN(100,100*(MIN(MAX(City_Inputs!$AK119,Norm_Stats!$F$24),Norm_Stats!$G$24)-Norm_Stats!$F$24)/(Norm_Stats!$G$24-Norm_Stats!$F$24)))))="",0,0.2))=0,"",(IF((IF(OR(City_Inputs!$AG119="",Norm_Stats!$F$22="",Norm_Stats!$G$22="",Norm_Stats!$G$22=Norm_Stats!$F$22),"",MAX(0,MIN(100,100*(MIN(MAX(City_Inputs!$AG119,Norm_Stats!$F$22),Norm_Stats!$G$22)-Norm_Stats!$F$22)/(Norm_Stats!$G$22-Norm_Stats!$F$22)))))="",0,0.5)+IF((IF(OR(City_Inputs!$AJ119="",Norm_Stats!$F$23="",Norm_Stats!$G$23="",Norm_Stats!$G$23=Norm_Stats!$F$23),"",MAX(0,MIN(100,100*(MIN(MAX(City_Inputs!$AJ119,Norm_Stats!$F$23),Norm_Stats!$G$23)-Norm_Stats!$F$23)/(Norm_Stats!$G$23-Norm_Stats!$F$23)))))="",0,0.3)+IF((IF(OR(City_Inputs!$AK119="",Norm_Stats!$F$24="",Norm_Stats!$G$24="",Norm_Stats!$G$24=Norm_Stats!$F$24),"",MAX(0,MIN(100,100*(MIN(MAX(City_Inputs!$AK119,Norm_Stats!$F$24),Norm_Stats!$G$24)-Norm_Stats!$F$24)/(Norm_Stats!$G$24-Norm_Stats!$F$24)))))="",0,0.2)))</f>
        <v/>
      </c>
      <c r="BE119" s="11">
        <f>IF(OR(City_Inputs!$AH119="",Norm_Stats!$F$25="",Norm_Stats!$G$25="",Norm_Stats!$G$25=Norm_Stats!$F$25),"",MAX(0,MIN(100,100*(Norm_Stats!$G$25-MIN(MAX(City_Inputs!$AH119,Norm_Stats!$F$25),Norm_Stats!$G$25))/(Norm_Stats!$G$25-Norm_Stats!$F$25))))</f>
        <v/>
      </c>
      <c r="BF119" s="14">
        <f>IF(BE119="","",1)</f>
        <v/>
      </c>
      <c r="BG119" s="15">
        <f>IF((IF(AY119="",0,6)+IF(BA119="",0,5)+IF(BC119="",0,5)+IF(BE119="",0,4))=0,"",(IF(AY119="",0,AY119*6)+IF(BA119="",0,BA119*5)+IF(BC119="",0,BC119*5)+IF(BE119="",0,BE119*4))/(IF(AY119="",0,6)+IF(BA119="",0,5)+IF(BC119="",0,5)+IF(BE119="",0,4)))</f>
        <v/>
      </c>
      <c r="BH119" s="14">
        <f>IF((IF(AZ119="",0,6)+IF(BB119="",0,5)+IF(BD119="",0,5)+IF(BF119="",0,4))=0,"",(IF(AZ119="",0,AZ119*6)+IF(BB119="",0,BB119*5)+IF(BD119="",0,BD119*5)+IF(BF119="",0,BF119*4))/20)</f>
        <v/>
      </c>
      <c r="BI119" s="14">
        <f>IF(AND(R119="",AF119="",AN119="",AX119="",BH119=""),"",((R119*25)+(AF119*22)+(AN119*18)+(AX119*15)+(BH119*20))/100)</f>
        <v/>
      </c>
      <c r="BJ119" s="11">
        <f>IF(BI119="","",IF(BI119&gt;=0.75,"A",IF(BI119&gt;=0.5,"B",IF(BI119&gt;=0.35,"C","Watchlist"))))</f>
        <v/>
      </c>
      <c r="BK119" s="11">
        <f>IF(OR(BI119="",BI119&lt;0.5,R119="",R119&lt;0.35,AF119="",AF119&lt;0.35,AN119="",AN119&lt;0.35,AX119="",AX119&lt;0.35,BH119="",BH119&lt;0.35),"Watchlist","Ranked")</f>
        <v/>
      </c>
      <c r="BL119" s="15">
        <f>IF(AND(Q119="",AE119="",AM119="",AW119="",BG119=""),"",(IF(Q119="",0,Q119*25)+IF(AE119="",0,AE119*22)+IF(AM119="",0,AM119*18)+IF(AW119="",0,AW119*15)+IF(BG119="",0,BG119*20))/(IF(Q119="",0,25)+IF(AE119="",0,22)+IF(AM119="",0,18)+IF(AW119="",0,15)+IF(BG119="",0,20)))</f>
        <v/>
      </c>
      <c r="BM119" s="11">
        <f>IF(BK119="Ranked",1+COUNTIFS($BK$2:$BK$158,"Ranked",$BL$2:$BL$158,"&gt;"&amp;BL119),"")</f>
        <v/>
      </c>
      <c r="BN119" s="11">
        <f>City_Inputs!$AI119</f>
        <v/>
      </c>
    </row>
    <row r="120">
      <c r="A120" t="inlineStr">
        <is>
          <t>pk-islamabad</t>
        </is>
      </c>
      <c r="B120" t="inlineStr">
        <is>
          <t>Islamabad</t>
        </is>
      </c>
      <c r="C120" t="inlineStr">
        <is>
          <t>Pakistan</t>
        </is>
      </c>
      <c r="D120" t="inlineStr">
        <is>
          <t>South Asia</t>
        </is>
      </c>
      <c r="E120" t="inlineStr">
        <is>
          <t>provisional</t>
        </is>
      </c>
      <c r="F120" t="inlineStr">
        <is>
          <t>primary</t>
        </is>
      </c>
      <c r="G120" s="11">
        <f>IF(OR(City_Inputs!$M120="",Norm_Stats!$F$2="",Norm_Stats!$G$2="",Norm_Stats!$G$2=Norm_Stats!$F$2),"",MAX(0,MIN(100,100*(MIN(MAX(City_Inputs!$M120,Norm_Stats!$F$2),Norm_Stats!$G$2)-Norm_Stats!$F$2)/(Norm_Stats!$G$2-Norm_Stats!$F$2))))</f>
        <v/>
      </c>
      <c r="H120" s="14">
        <f>IF(G120="","",1)</f>
        <v/>
      </c>
      <c r="I120" s="11">
        <f>IF(OR(City_Inputs!$N120="",Norm_Stats!$F$3="",Norm_Stats!$G$3="",Norm_Stats!$G$3=Norm_Stats!$F$3),"",MAX(0,MIN(100,100*(Norm_Stats!$G$3-MIN(MAX(City_Inputs!$N120,Norm_Stats!$F$3),Norm_Stats!$G$3))/(Norm_Stats!$G$3-Norm_Stats!$F$3))))</f>
        <v/>
      </c>
      <c r="J120" s="14">
        <f>IF(I120="","",1)</f>
        <v/>
      </c>
      <c r="K120" s="11">
        <f>IF(OR(City_Inputs!$P120="",Norm_Stats!$F$4="",Norm_Stats!$G$4="",Norm_Stats!$G$4=Norm_Stats!$F$4),"",MAX(0,MIN(100,100*(Norm_Stats!$G$4-MIN(MAX(City_Inputs!$P120,Norm_Stats!$F$4),Norm_Stats!$G$4))/(Norm_Stats!$G$4-Norm_Stats!$F$4))))</f>
        <v/>
      </c>
      <c r="L120" s="14">
        <f>IF(K120="","",1)</f>
        <v/>
      </c>
      <c r="M120" s="11">
        <f>IF(OR(City_Inputs!$Q120="",Norm_Stats!$F$5="",Norm_Stats!$G$5="",Norm_Stats!$G$5=Norm_Stats!$F$5),"",MAX(0,MIN(100,100*(Norm_Stats!$G$5-MIN(MAX(City_Inputs!$Q120,Norm_Stats!$F$5),Norm_Stats!$G$5))/(Norm_Stats!$G$5-Norm_Stats!$F$5))))</f>
        <v/>
      </c>
      <c r="N120" s="14">
        <f>IF(M120="","",1)</f>
        <v/>
      </c>
      <c r="O120" s="11">
        <f>IF(OR(City_Inputs!$R120="",Norm_Stats!$F$6="",Norm_Stats!$G$6="",Norm_Stats!$G$6=Norm_Stats!$F$6),"",MAX(0,MIN(100,100*(Norm_Stats!$G$6-MIN(MAX(City_Inputs!$R120,Norm_Stats!$F$6),Norm_Stats!$G$6))/(Norm_Stats!$G$6-Norm_Stats!$F$6))))</f>
        <v/>
      </c>
      <c r="P120" s="14">
        <f>IF(O120="","",1)</f>
        <v/>
      </c>
      <c r="Q120" s="15">
        <f>IF((IF(G120="",0,9)+IF(I120="",0,5)+IF(K120="",0,4)+IF(M120="",0,4)+IF(O120="",0,5))=0,"",(IF(G120="",0,G120*9)+IF(I120="",0,I120*5)+IF(K120="",0,K120*4)+IF(M120="",0,M120*4)+IF(O120="",0,O120*5))/(IF(G120="",0,9)+IF(I120="",0,5)+IF(K120="",0,4)+IF(M120="",0,4)+IF(O120="",0,5)))</f>
        <v/>
      </c>
      <c r="R120" s="14">
        <f>IF((IF(H120="",0,9)+IF(J120="",0,5)+IF(L120="",0,4)+IF(N120="",0,4)+IF(P120="",0,5))=0,"",(IF(H120="",0,H120*9)+IF(J120="",0,J120*5)+IF(L120="",0,L120*4)+IF(N120="",0,N120*4)+IF(P120="",0,P120*5))/27)</f>
        <v/>
      </c>
      <c r="S120" s="11">
        <f>IF(OR(City_Inputs!$S120="",Norm_Stats!$F$7="",Norm_Stats!$G$7="",Norm_Stats!$G$7=Norm_Stats!$F$7),"",MAX(0,MIN(100,100*(Norm_Stats!$G$7-MIN(MAX(City_Inputs!$S120,Norm_Stats!$F$7),Norm_Stats!$G$7))/(Norm_Stats!$G$7-Norm_Stats!$F$7))))</f>
        <v/>
      </c>
      <c r="T120" s="14">
        <f>IF(S120="","",1)</f>
        <v/>
      </c>
      <c r="U120" s="11">
        <f>IF(OR(City_Inputs!$T120="",Norm_Stats!$F$8="",Norm_Stats!$G$8="",Norm_Stats!$G$8=Norm_Stats!$F$8),"",MAX(0,MIN(100,100*(MIN(MAX(City_Inputs!$T120,Norm_Stats!$F$8),Norm_Stats!$G$8)-Norm_Stats!$F$8)/(Norm_Stats!$G$8-Norm_Stats!$F$8))))</f>
        <v/>
      </c>
      <c r="V120" s="14">
        <f>IF(U120="","",1)</f>
        <v/>
      </c>
      <c r="W120" s="11">
        <f>IF(OR(City_Inputs!$U120="",Norm_Stats!$F$9="",Norm_Stats!$G$9="",Norm_Stats!$G$9=Norm_Stats!$F$9),"",MAX(0,MIN(100,100*(Norm_Stats!$G$9-MIN(MAX(City_Inputs!$U120,Norm_Stats!$F$9),Norm_Stats!$G$9))/(Norm_Stats!$G$9-Norm_Stats!$F$9))))</f>
        <v/>
      </c>
      <c r="X120" s="14">
        <f>IF(W120="","",1)</f>
        <v/>
      </c>
      <c r="Y120" s="11">
        <f>IF(OR(City_Inputs!$V120="",Norm_Stats!$F$10="",Norm_Stats!$G$10="",Norm_Stats!$G$10=Norm_Stats!$F$10),"",MAX(0,MIN(100,100*(MIN(MAX(City_Inputs!$V120,Norm_Stats!$F$10),Norm_Stats!$G$10)-Norm_Stats!$F$10)/(Norm_Stats!$G$10-Norm_Stats!$F$10))))</f>
        <v/>
      </c>
      <c r="Z120" s="14">
        <f>IF(Y120="","",1)</f>
        <v/>
      </c>
      <c r="AA120" s="11">
        <f>IF(OR(City_Inputs!$W120="",Norm_Stats!$F$11="",Norm_Stats!$G$11="",Norm_Stats!$G$11=Norm_Stats!$F$11),"",MAX(0,MIN(100,100*(MIN(MAX(City_Inputs!$W120,Norm_Stats!$F$11),Norm_Stats!$G$11)-Norm_Stats!$F$11)/(Norm_Stats!$G$11-Norm_Stats!$F$11))))</f>
        <v/>
      </c>
      <c r="AB120" s="14">
        <f>IF(AA120="","",1)</f>
        <v/>
      </c>
      <c r="AC120" s="11">
        <f>IF(OR(City_Inputs!$X120="",Norm_Stats!$F$12="",Norm_Stats!$G$12="",Norm_Stats!$G$12=Norm_Stats!$F$12),"",MAX(0,MIN(100,100*(MIN(MAX(City_Inputs!$X120,Norm_Stats!$F$12),Norm_Stats!$G$12)-Norm_Stats!$F$12)/(Norm_Stats!$G$12-Norm_Stats!$F$12))))</f>
        <v/>
      </c>
      <c r="AD120" s="11">
        <f>IF(AC120="","",1)</f>
        <v/>
      </c>
      <c r="AE120" s="15">
        <f>IF((IF(S120="",0,5)+IF(U120="",0,5)+IF(W120="",0,4)+IF(Y120="",0,4)+IF(AA120="",0,4)+IF(AC120="",0,5))=0,"",(IF(S120="",0,S120*5)+IF(U120="",0,U120*5)+IF(W120="",0,W120*4)+IF(Y120="",0,Y120*4)+IF(AA120="",0,AA120*4)+IF(AC120="",0,AC120*5))/(IF(S120="",0,5)+IF(U120="",0,5)+IF(W120="",0,4)+IF(Y120="",0,4)+IF(AA120="",0,4)+IF(AC120="",0,5)))</f>
        <v/>
      </c>
      <c r="AF120" s="14">
        <f>IF((IF(T120="",0,5)+IF(V120="",0,5)+IF(X120="",0,4)+IF(Z120="",0,4)+IF(AB120="",0,4)+IF(AD120="",0,5))=0,"",(IF(T120="",0,T120*5)+IF(V120="",0,V120*5)+IF(X120="",0,X120*4)+IF(Z120="",0,Z120*4)+IF(AB120="",0,AB120*4)+IF(AD120="",0,AD120*5))/27)</f>
        <v/>
      </c>
      <c r="AG120" s="11">
        <f>IF(OR(City_Inputs!$Y120="",Norm_Stats!$F$13="",Norm_Stats!$G$13="",Norm_Stats!$G$13=Norm_Stats!$F$13),"",MAX(0,MIN(100,100*(MIN(MAX(City_Inputs!$Y120,Norm_Stats!$F$13),Norm_Stats!$G$13)-Norm_Stats!$F$13)/(Norm_Stats!$G$13-Norm_Stats!$F$13))))</f>
        <v/>
      </c>
      <c r="AH120" s="14">
        <f>IF(AG120="","",1)</f>
        <v/>
      </c>
      <c r="AI120" s="11">
        <f>IF(OR(City_Inputs!$Z120="",Norm_Stats!$F$14="",Norm_Stats!$G$14="",Norm_Stats!$G$14=Norm_Stats!$F$14),"",MAX(0,MIN(100,100*(MIN(MAX(City_Inputs!$Z120,Norm_Stats!$F$14),Norm_Stats!$G$14)-Norm_Stats!$F$14)/(Norm_Stats!$G$14-Norm_Stats!$F$14))))</f>
        <v/>
      </c>
      <c r="AJ120" s="14">
        <f>IF(AI120="","",1)</f>
        <v/>
      </c>
      <c r="AK120" s="11">
        <f>IF((IF((IF(OR(City_Inputs!$AA120="",Norm_Stats!$F$15="",Norm_Stats!$G$15="",Norm_Stats!$G$15=Norm_Stats!$F$15),"",MAX(0,MIN(100,100*(MIN(MAX(City_Inputs!$AA120,Norm_Stats!$F$15),Norm_Stats!$G$15)-Norm_Stats!$F$15)/(Norm_Stats!$G$15-Norm_Stats!$F$15)))))="",0,0.7)+IF((IF(OR(City_Inputs!$AL120="",Norm_Stats!$F$16="",Norm_Stats!$G$16="",Norm_Stats!$G$16=Norm_Stats!$F$16),"",MAX(0,MIN(100,100*(Norm_Stats!$G$16-MIN(MAX(City_Inputs!$AL120,Norm_Stats!$F$16),Norm_Stats!$G$16))/(Norm_Stats!$G$16-Norm_Stats!$F$16)))))="",0,0.3))=0,"",(IF((IF(OR(City_Inputs!$AA120="",Norm_Stats!$F$15="",Norm_Stats!$G$15="",Norm_Stats!$G$15=Norm_Stats!$F$15),"",MAX(0,MIN(100,100*(MIN(MAX(City_Inputs!$AA120,Norm_Stats!$F$15),Norm_Stats!$G$15)-Norm_Stats!$F$15)/(Norm_Stats!$G$15-Norm_Stats!$F$15)))))="",0,(IF(OR(City_Inputs!$AA120="",Norm_Stats!$F$15="",Norm_Stats!$G$15="",Norm_Stats!$G$15=Norm_Stats!$F$15),"",MAX(0,MIN(100,100*(MIN(MAX(City_Inputs!$AA120,Norm_Stats!$F$15),Norm_Stats!$G$15)-Norm_Stats!$F$15)/(Norm_Stats!$G$15-Norm_Stats!$F$15)))))*0.7)+IF((IF(OR(City_Inputs!$AL120="",Norm_Stats!$F$16="",Norm_Stats!$G$16="",Norm_Stats!$G$16=Norm_Stats!$F$16),"",MAX(0,MIN(100,100*(Norm_Stats!$G$16-MIN(MAX(City_Inputs!$AL120,Norm_Stats!$F$16),Norm_Stats!$G$16))/(Norm_Stats!$G$16-Norm_Stats!$F$16)))))="",0,(IF(OR(City_Inputs!$AL120="",Norm_Stats!$F$16="",Norm_Stats!$G$16="",Norm_Stats!$G$16=Norm_Stats!$F$16),"",MAX(0,MIN(100,100*(Norm_Stats!$G$16-MIN(MAX(City_Inputs!$AL120,Norm_Stats!$F$16),Norm_Stats!$G$16))/(Norm_Stats!$G$16-Norm_Stats!$F$16)))))*0.3))/(IF((IF(OR(City_Inputs!$AA120="",Norm_Stats!$F$15="",Norm_Stats!$G$15="",Norm_Stats!$G$15=Norm_Stats!$F$15),"",MAX(0,MIN(100,100*(MIN(MAX(City_Inputs!$AA120,Norm_Stats!$F$15),Norm_Stats!$G$15)-Norm_Stats!$F$15)/(Norm_Stats!$G$15-Norm_Stats!$F$15)))))="",0,0.7)+IF((IF(OR(City_Inputs!$AL120="",Norm_Stats!$F$16="",Norm_Stats!$G$16="",Norm_Stats!$G$16=Norm_Stats!$F$16),"",MAX(0,MIN(100,100*(Norm_Stats!$G$16-MIN(MAX(City_Inputs!$AL120,Norm_Stats!$F$16),Norm_Stats!$G$16))/(Norm_Stats!$G$16-Norm_Stats!$F$16)))))="",0,0.3)))</f>
        <v/>
      </c>
      <c r="AL120" s="14">
        <f>IF((IF((IF(OR(City_Inputs!$AA120="",Norm_Stats!$F$15="",Norm_Stats!$G$15="",Norm_Stats!$G$15=Norm_Stats!$F$15),"",MAX(0,MIN(100,100*(MIN(MAX(City_Inputs!$AA120,Norm_Stats!$F$15),Norm_Stats!$G$15)-Norm_Stats!$F$15)/(Norm_Stats!$G$15-Norm_Stats!$F$15)))))="",0,0.7)+IF((IF(OR(City_Inputs!$AL120="",Norm_Stats!$F$16="",Norm_Stats!$G$16="",Norm_Stats!$G$16=Norm_Stats!$F$16),"",MAX(0,MIN(100,100*(Norm_Stats!$G$16-MIN(MAX(City_Inputs!$AL120,Norm_Stats!$F$16),Norm_Stats!$G$16))/(Norm_Stats!$G$16-Norm_Stats!$F$16)))))="",0,0.3))=0,"",(IF((IF(OR(City_Inputs!$AA120="",Norm_Stats!$F$15="",Norm_Stats!$G$15="",Norm_Stats!$G$15=Norm_Stats!$F$15),"",MAX(0,MIN(100,100*(MIN(MAX(City_Inputs!$AA120,Norm_Stats!$F$15),Norm_Stats!$G$15)-Norm_Stats!$F$15)/(Norm_Stats!$G$15-Norm_Stats!$F$15)))))="",0,0.7)+IF((IF(OR(City_Inputs!$AL120="",Norm_Stats!$F$16="",Norm_Stats!$G$16="",Norm_Stats!$G$16=Norm_Stats!$F$16),"",MAX(0,MIN(100,100*(Norm_Stats!$G$16-MIN(MAX(City_Inputs!$AL120,Norm_Stats!$F$16),Norm_Stats!$G$16))/(Norm_Stats!$G$16-Norm_Stats!$F$16)))))="",0,0.3)))</f>
        <v/>
      </c>
      <c r="AM120" s="15">
        <f>IF((IF(AG120="",0,8)+IF(AI120="",0,6)+IF(AK120="",0,4))=0,"",(IF(AG120="",0,AG120*8)+IF(AI120="",0,AI120*6)+IF(AK120="",0,AK120*4))/(IF(AG120="",0,8)+IF(AI120="",0,6)+IF(AK120="",0,4)))</f>
        <v/>
      </c>
      <c r="AN120" s="14">
        <f>IF((IF(AH120="",0,8)+IF(AJ120="",0,6)+IF(AL120="",0,4))=0,"",(IF(AH120="",0,AH120*8)+IF(AJ120="",0,AJ120*6)+IF(AL120="",0,AL120*4))/18)</f>
        <v/>
      </c>
      <c r="AO120" s="11">
        <f>IF(OR(City_Inputs!$AB120="",Norm_Stats!$F$17="",Norm_Stats!$G$17="",Norm_Stats!$G$17=Norm_Stats!$F$17),"",MAX(0,MIN(100,100*(MIN(MAX(City_Inputs!$AB120,Norm_Stats!$F$17),Norm_Stats!$G$17)-Norm_Stats!$F$17)/(Norm_Stats!$G$17-Norm_Stats!$F$17))))</f>
        <v/>
      </c>
      <c r="AP120" s="14">
        <f>IF(AO120="","",1)</f>
        <v/>
      </c>
      <c r="AQ120" s="11">
        <f>IF(OR(City_Inputs!$AC120="",Norm_Stats!$F$18="",Norm_Stats!$G$18="",Norm_Stats!$G$18=Norm_Stats!$F$18),"",MAX(0,MIN(100,100*(MIN(MAX(City_Inputs!$AC120,Norm_Stats!$F$18),Norm_Stats!$G$18)-Norm_Stats!$F$18)/(Norm_Stats!$G$18-Norm_Stats!$F$18))))</f>
        <v/>
      </c>
      <c r="AR120" s="14">
        <f>IF(AQ120="","",1)</f>
        <v/>
      </c>
      <c r="AS120" s="11">
        <f>IF(OR(City_Inputs!$AD120="",Norm_Stats!$F$19="",Norm_Stats!$G$19="",Norm_Stats!$G$19=Norm_Stats!$F$19),"",MAX(0,MIN(100,100*(MIN(MAX(City_Inputs!$AD120,Norm_Stats!$F$19),Norm_Stats!$G$19)-Norm_Stats!$F$19)/(Norm_Stats!$G$19-Norm_Stats!$F$19))))</f>
        <v/>
      </c>
      <c r="AT120" s="14">
        <f>IF(AS120="","",1)</f>
        <v/>
      </c>
      <c r="AU120" s="11">
        <f>IF(OR(City_Inputs!$BJ120="",Norm_Stats!$F$26="",Norm_Stats!$G$26="",Norm_Stats!$G$26=Norm_Stats!$F$26),"",MAX(0,MIN(100,100*(MIN(MAX(City_Inputs!$BJ120,Norm_Stats!$F$26),Norm_Stats!$G$26)-Norm_Stats!$F$26)/(Norm_Stats!$G$26-Norm_Stats!$F$26))))</f>
        <v/>
      </c>
      <c r="AV120" s="11">
        <f>IF(AU120="","",1)</f>
        <v/>
      </c>
      <c r="AW120" s="15">
        <f>IF((IF(AO120="",0,5)+IF(AQ120="",0,5)+IF(AS120="",0,5)+IF(AU120="",0,4))=0,"",(IF(AO120="",0,AO120*5)+IF(AQ120="",0,AQ120*5)+IF(AS120="",0,AS120*5)+IF(AU120="",0,AU120*4))/(IF(AO120="",0,5)+IF(AQ120="",0,5)+IF(AS120="",0,5)+IF(AU120="",0,4)))</f>
        <v/>
      </c>
      <c r="AX120" s="14">
        <f>IF((IF(AP120="",0,5)+IF(AR120="",0,5)+IF(AT120="",0,5)+IF(AV120="",0,4))=0,"",(IF(AP120="",0,AP120*5)+IF(AR120="",0,AR120*5)+IF(AT120="",0,AT120*5)+IF(AV120="",0,AV120*4))/19)</f>
        <v/>
      </c>
      <c r="AY120" s="11">
        <f>IF(OR(City_Inputs!$AE120="",Norm_Stats!$F$20="",Norm_Stats!$G$20="",Norm_Stats!$G$20=Norm_Stats!$F$20),"",MAX(0,MIN(100,100*(MIN(MAX(City_Inputs!$AE120,Norm_Stats!$F$20),Norm_Stats!$G$20)-Norm_Stats!$F$20)/(Norm_Stats!$G$20-Norm_Stats!$F$20))))</f>
        <v/>
      </c>
      <c r="AZ120" s="14">
        <f>IF(AY120="","",1)</f>
        <v/>
      </c>
      <c r="BA120" s="11">
        <f>IF(OR(City_Inputs!$AF120="",Norm_Stats!$F$21="",Norm_Stats!$G$21="",Norm_Stats!$G$21=Norm_Stats!$F$21),"",MAX(0,MIN(100,100*(MIN(MAX(City_Inputs!$AF120,Norm_Stats!$F$21),Norm_Stats!$G$21)-Norm_Stats!$F$21)/(Norm_Stats!$G$21-Norm_Stats!$F$21))))</f>
        <v/>
      </c>
      <c r="BB120" s="14">
        <f>IF(BA120="","",1)</f>
        <v/>
      </c>
      <c r="BC120" s="11">
        <f>IF((IF((IF(OR(City_Inputs!$AG120="",Norm_Stats!$F$22="",Norm_Stats!$G$22="",Norm_Stats!$G$22=Norm_Stats!$F$22),"",MAX(0,MIN(100,100*(MIN(MAX(City_Inputs!$AG120,Norm_Stats!$F$22),Norm_Stats!$G$22)-Norm_Stats!$F$22)/(Norm_Stats!$G$22-Norm_Stats!$F$22)))))="",0,0.5)+IF((IF(OR(City_Inputs!$AJ120="",Norm_Stats!$F$23="",Norm_Stats!$G$23="",Norm_Stats!$G$23=Norm_Stats!$F$23),"",MAX(0,MIN(100,100*(MIN(MAX(City_Inputs!$AJ120,Norm_Stats!$F$23),Norm_Stats!$G$23)-Norm_Stats!$F$23)/(Norm_Stats!$G$23-Norm_Stats!$F$23)))))="",0,0.3)+IF((IF(OR(City_Inputs!$AK120="",Norm_Stats!$F$24="",Norm_Stats!$G$24="",Norm_Stats!$G$24=Norm_Stats!$F$24),"",MAX(0,MIN(100,100*(MIN(MAX(City_Inputs!$AK120,Norm_Stats!$F$24),Norm_Stats!$G$24)-Norm_Stats!$F$24)/(Norm_Stats!$G$24-Norm_Stats!$F$24)))))="",0,0.2))=0,"",(IF((IF(OR(City_Inputs!$AG120="",Norm_Stats!$F$22="",Norm_Stats!$G$22="",Norm_Stats!$G$22=Norm_Stats!$F$22),"",MAX(0,MIN(100,100*(MIN(MAX(City_Inputs!$AG120,Norm_Stats!$F$22),Norm_Stats!$G$22)-Norm_Stats!$F$22)/(Norm_Stats!$G$22-Norm_Stats!$F$22)))))="",0,(IF(OR(City_Inputs!$AG120="",Norm_Stats!$F$22="",Norm_Stats!$G$22="",Norm_Stats!$G$22=Norm_Stats!$F$22),"",MAX(0,MIN(100,100*(MIN(MAX(City_Inputs!$AG120,Norm_Stats!$F$22),Norm_Stats!$G$22)-Norm_Stats!$F$22)/(Norm_Stats!$G$22-Norm_Stats!$F$22)))))*0.5)+IF((IF(OR(City_Inputs!$AJ120="",Norm_Stats!$F$23="",Norm_Stats!$G$23="",Norm_Stats!$G$23=Norm_Stats!$F$23),"",MAX(0,MIN(100,100*(MIN(MAX(City_Inputs!$AJ120,Norm_Stats!$F$23),Norm_Stats!$G$23)-Norm_Stats!$F$23)/(Norm_Stats!$G$23-Norm_Stats!$F$23)))))="",0,(IF(OR(City_Inputs!$AJ120="",Norm_Stats!$F$23="",Norm_Stats!$G$23="",Norm_Stats!$G$23=Norm_Stats!$F$23),"",MAX(0,MIN(100,100*(MIN(MAX(City_Inputs!$AJ120,Norm_Stats!$F$23),Norm_Stats!$G$23)-Norm_Stats!$F$23)/(Norm_Stats!$G$23-Norm_Stats!$F$23)))))*0.3)+IF((IF(OR(City_Inputs!$AK120="",Norm_Stats!$F$24="",Norm_Stats!$G$24="",Norm_Stats!$G$24=Norm_Stats!$F$24),"",MAX(0,MIN(100,100*(MIN(MAX(City_Inputs!$AK120,Norm_Stats!$F$24),Norm_Stats!$G$24)-Norm_Stats!$F$24)/(Norm_Stats!$G$24-Norm_Stats!$F$24)))))="",0,(IF(OR(City_Inputs!$AK120="",Norm_Stats!$F$24="",Norm_Stats!$G$24="",Norm_Stats!$G$24=Norm_Stats!$F$24),"",MAX(0,MIN(100,100*(MIN(MAX(City_Inputs!$AK120,Norm_Stats!$F$24),Norm_Stats!$G$24)-Norm_Stats!$F$24)/(Norm_Stats!$G$24-Norm_Stats!$F$24)))))*0.2))/(IF((IF(OR(City_Inputs!$AG120="",Norm_Stats!$F$22="",Norm_Stats!$G$22="",Norm_Stats!$G$22=Norm_Stats!$F$22),"",MAX(0,MIN(100,100*(MIN(MAX(City_Inputs!$AG120,Norm_Stats!$F$22),Norm_Stats!$G$22)-Norm_Stats!$F$22)/(Norm_Stats!$G$22-Norm_Stats!$F$22)))))="",0,0.5)+IF((IF(OR(City_Inputs!$AJ120="",Norm_Stats!$F$23="",Norm_Stats!$G$23="",Norm_Stats!$G$23=Norm_Stats!$F$23),"",MAX(0,MIN(100,100*(MIN(MAX(City_Inputs!$AJ120,Norm_Stats!$F$23),Norm_Stats!$G$23)-Norm_Stats!$F$23)/(Norm_Stats!$G$23-Norm_Stats!$F$23)))))="",0,0.3)+IF((IF(OR(City_Inputs!$AK120="",Norm_Stats!$F$24="",Norm_Stats!$G$24="",Norm_Stats!$G$24=Norm_Stats!$F$24),"",MAX(0,MIN(100,100*(MIN(MAX(City_Inputs!$AK120,Norm_Stats!$F$24),Norm_Stats!$G$24)-Norm_Stats!$F$24)/(Norm_Stats!$G$24-Norm_Stats!$F$24)))))="",0,0.2)))</f>
        <v/>
      </c>
      <c r="BD120" s="14">
        <f>IF((IF((IF(OR(City_Inputs!$AG120="",Norm_Stats!$F$22="",Norm_Stats!$G$22="",Norm_Stats!$G$22=Norm_Stats!$F$22),"",MAX(0,MIN(100,100*(MIN(MAX(City_Inputs!$AG120,Norm_Stats!$F$22),Norm_Stats!$G$22)-Norm_Stats!$F$22)/(Norm_Stats!$G$22-Norm_Stats!$F$22)))))="",0,0.5)+IF((IF(OR(City_Inputs!$AJ120="",Norm_Stats!$F$23="",Norm_Stats!$G$23="",Norm_Stats!$G$23=Norm_Stats!$F$23),"",MAX(0,MIN(100,100*(MIN(MAX(City_Inputs!$AJ120,Norm_Stats!$F$23),Norm_Stats!$G$23)-Norm_Stats!$F$23)/(Norm_Stats!$G$23-Norm_Stats!$F$23)))))="",0,0.3)+IF((IF(OR(City_Inputs!$AK120="",Norm_Stats!$F$24="",Norm_Stats!$G$24="",Norm_Stats!$G$24=Norm_Stats!$F$24),"",MAX(0,MIN(100,100*(MIN(MAX(City_Inputs!$AK120,Norm_Stats!$F$24),Norm_Stats!$G$24)-Norm_Stats!$F$24)/(Norm_Stats!$G$24-Norm_Stats!$F$24)))))="",0,0.2))=0,"",(IF((IF(OR(City_Inputs!$AG120="",Norm_Stats!$F$22="",Norm_Stats!$G$22="",Norm_Stats!$G$22=Norm_Stats!$F$22),"",MAX(0,MIN(100,100*(MIN(MAX(City_Inputs!$AG120,Norm_Stats!$F$22),Norm_Stats!$G$22)-Norm_Stats!$F$22)/(Norm_Stats!$G$22-Norm_Stats!$F$22)))))="",0,0.5)+IF((IF(OR(City_Inputs!$AJ120="",Norm_Stats!$F$23="",Norm_Stats!$G$23="",Norm_Stats!$G$23=Norm_Stats!$F$23),"",MAX(0,MIN(100,100*(MIN(MAX(City_Inputs!$AJ120,Norm_Stats!$F$23),Norm_Stats!$G$23)-Norm_Stats!$F$23)/(Norm_Stats!$G$23-Norm_Stats!$F$23)))))="",0,0.3)+IF((IF(OR(City_Inputs!$AK120="",Norm_Stats!$F$24="",Norm_Stats!$G$24="",Norm_Stats!$G$24=Norm_Stats!$F$24),"",MAX(0,MIN(100,100*(MIN(MAX(City_Inputs!$AK120,Norm_Stats!$F$24),Norm_Stats!$G$24)-Norm_Stats!$F$24)/(Norm_Stats!$G$24-Norm_Stats!$F$24)))))="",0,0.2)))</f>
        <v/>
      </c>
      <c r="BE120" s="11">
        <f>IF(OR(City_Inputs!$AH120="",Norm_Stats!$F$25="",Norm_Stats!$G$25="",Norm_Stats!$G$25=Norm_Stats!$F$25),"",MAX(0,MIN(100,100*(Norm_Stats!$G$25-MIN(MAX(City_Inputs!$AH120,Norm_Stats!$F$25),Norm_Stats!$G$25))/(Norm_Stats!$G$25-Norm_Stats!$F$25))))</f>
        <v/>
      </c>
      <c r="BF120" s="14">
        <f>IF(BE120="","",1)</f>
        <v/>
      </c>
      <c r="BG120" s="15">
        <f>IF((IF(AY120="",0,6)+IF(BA120="",0,5)+IF(BC120="",0,5)+IF(BE120="",0,4))=0,"",(IF(AY120="",0,AY120*6)+IF(BA120="",0,BA120*5)+IF(BC120="",0,BC120*5)+IF(BE120="",0,BE120*4))/(IF(AY120="",0,6)+IF(BA120="",0,5)+IF(BC120="",0,5)+IF(BE120="",0,4)))</f>
        <v/>
      </c>
      <c r="BH120" s="14">
        <f>IF((IF(AZ120="",0,6)+IF(BB120="",0,5)+IF(BD120="",0,5)+IF(BF120="",0,4))=0,"",(IF(AZ120="",0,AZ120*6)+IF(BB120="",0,BB120*5)+IF(BD120="",0,BD120*5)+IF(BF120="",0,BF120*4))/20)</f>
        <v/>
      </c>
      <c r="BI120" s="14">
        <f>IF(AND(R120="",AF120="",AN120="",AX120="",BH120=""),"",((R120*25)+(AF120*22)+(AN120*18)+(AX120*15)+(BH120*20))/100)</f>
        <v/>
      </c>
      <c r="BJ120" s="11">
        <f>IF(BI120="","",IF(BI120&gt;=0.75,"A",IF(BI120&gt;=0.5,"B",IF(BI120&gt;=0.35,"C","Watchlist"))))</f>
        <v/>
      </c>
      <c r="BK120" s="11">
        <f>IF(OR(BI120="",BI120&lt;0.5,R120="",R120&lt;0.35,AF120="",AF120&lt;0.35,AN120="",AN120&lt;0.35,AX120="",AX120&lt;0.35,BH120="",BH120&lt;0.35),"Watchlist","Ranked")</f>
        <v/>
      </c>
      <c r="BL120" s="15">
        <f>IF(AND(Q120="",AE120="",AM120="",AW120="",BG120=""),"",(IF(Q120="",0,Q120*25)+IF(AE120="",0,AE120*22)+IF(AM120="",0,AM120*18)+IF(AW120="",0,AW120*15)+IF(BG120="",0,BG120*20))/(IF(Q120="",0,25)+IF(AE120="",0,22)+IF(AM120="",0,18)+IF(AW120="",0,15)+IF(BG120="",0,20)))</f>
        <v/>
      </c>
      <c r="BM120" s="11">
        <f>IF(BK120="Ranked",1+COUNTIFS($BK$2:$BK$158,"Ranked",$BL$2:$BL$158,"&gt;"&amp;BL120),"")</f>
        <v/>
      </c>
      <c r="BN120" s="11">
        <f>City_Inputs!$AI120</f>
        <v/>
      </c>
    </row>
    <row r="121">
      <c r="A121" t="inlineStr">
        <is>
          <t>lk-kandy</t>
        </is>
      </c>
      <c r="B121" t="inlineStr">
        <is>
          <t>Kandy</t>
        </is>
      </c>
      <c r="C121" t="inlineStr">
        <is>
          <t>Sri Lanka</t>
        </is>
      </c>
      <c r="D121" t="inlineStr">
        <is>
          <t>South Asia</t>
        </is>
      </c>
      <c r="E121" t="inlineStr">
        <is>
          <t>provisional</t>
        </is>
      </c>
      <c r="F121" t="inlineStr">
        <is>
          <t>secondary</t>
        </is>
      </c>
      <c r="G121" s="11">
        <f>IF(OR(City_Inputs!$M121="",Norm_Stats!$F$2="",Norm_Stats!$G$2="",Norm_Stats!$G$2=Norm_Stats!$F$2),"",MAX(0,MIN(100,100*(MIN(MAX(City_Inputs!$M121,Norm_Stats!$F$2),Norm_Stats!$G$2)-Norm_Stats!$F$2)/(Norm_Stats!$G$2-Norm_Stats!$F$2))))</f>
        <v/>
      </c>
      <c r="H121" s="14">
        <f>IF(G121="","",1)</f>
        <v/>
      </c>
      <c r="I121" s="11">
        <f>IF(OR(City_Inputs!$N121="",Norm_Stats!$F$3="",Norm_Stats!$G$3="",Norm_Stats!$G$3=Norm_Stats!$F$3),"",MAX(0,MIN(100,100*(Norm_Stats!$G$3-MIN(MAX(City_Inputs!$N121,Norm_Stats!$F$3),Norm_Stats!$G$3))/(Norm_Stats!$G$3-Norm_Stats!$F$3))))</f>
        <v/>
      </c>
      <c r="J121" s="14">
        <f>IF(I121="","",1)</f>
        <v/>
      </c>
      <c r="K121" s="11">
        <f>IF(OR(City_Inputs!$P121="",Norm_Stats!$F$4="",Norm_Stats!$G$4="",Norm_Stats!$G$4=Norm_Stats!$F$4),"",MAX(0,MIN(100,100*(Norm_Stats!$G$4-MIN(MAX(City_Inputs!$P121,Norm_Stats!$F$4),Norm_Stats!$G$4))/(Norm_Stats!$G$4-Norm_Stats!$F$4))))</f>
        <v/>
      </c>
      <c r="L121" s="14">
        <f>IF(K121="","",1)</f>
        <v/>
      </c>
      <c r="M121" s="11">
        <f>IF(OR(City_Inputs!$Q121="",Norm_Stats!$F$5="",Norm_Stats!$G$5="",Norm_Stats!$G$5=Norm_Stats!$F$5),"",MAX(0,MIN(100,100*(Norm_Stats!$G$5-MIN(MAX(City_Inputs!$Q121,Norm_Stats!$F$5),Norm_Stats!$G$5))/(Norm_Stats!$G$5-Norm_Stats!$F$5))))</f>
        <v/>
      </c>
      <c r="N121" s="14">
        <f>IF(M121="","",1)</f>
        <v/>
      </c>
      <c r="O121" s="11">
        <f>IF(OR(City_Inputs!$R121="",Norm_Stats!$F$6="",Norm_Stats!$G$6="",Norm_Stats!$G$6=Norm_Stats!$F$6),"",MAX(0,MIN(100,100*(Norm_Stats!$G$6-MIN(MAX(City_Inputs!$R121,Norm_Stats!$F$6),Norm_Stats!$G$6))/(Norm_Stats!$G$6-Norm_Stats!$F$6))))</f>
        <v/>
      </c>
      <c r="P121" s="14">
        <f>IF(O121="","",1)</f>
        <v/>
      </c>
      <c r="Q121" s="15">
        <f>IF((IF(G121="",0,9)+IF(I121="",0,5)+IF(K121="",0,4)+IF(M121="",0,4)+IF(O121="",0,5))=0,"",(IF(G121="",0,G121*9)+IF(I121="",0,I121*5)+IF(K121="",0,K121*4)+IF(M121="",0,M121*4)+IF(O121="",0,O121*5))/(IF(G121="",0,9)+IF(I121="",0,5)+IF(K121="",0,4)+IF(M121="",0,4)+IF(O121="",0,5)))</f>
        <v/>
      </c>
      <c r="R121" s="14">
        <f>IF((IF(H121="",0,9)+IF(J121="",0,5)+IF(L121="",0,4)+IF(N121="",0,4)+IF(P121="",0,5))=0,"",(IF(H121="",0,H121*9)+IF(J121="",0,J121*5)+IF(L121="",0,L121*4)+IF(N121="",0,N121*4)+IF(P121="",0,P121*5))/27)</f>
        <v/>
      </c>
      <c r="S121" s="11">
        <f>IF(OR(City_Inputs!$S121="",Norm_Stats!$F$7="",Norm_Stats!$G$7="",Norm_Stats!$G$7=Norm_Stats!$F$7),"",MAX(0,MIN(100,100*(Norm_Stats!$G$7-MIN(MAX(City_Inputs!$S121,Norm_Stats!$F$7),Norm_Stats!$G$7))/(Norm_Stats!$G$7-Norm_Stats!$F$7))))</f>
        <v/>
      </c>
      <c r="T121" s="14">
        <f>IF(S121="","",1)</f>
        <v/>
      </c>
      <c r="U121" s="11">
        <f>IF(OR(City_Inputs!$T121="",Norm_Stats!$F$8="",Norm_Stats!$G$8="",Norm_Stats!$G$8=Norm_Stats!$F$8),"",MAX(0,MIN(100,100*(MIN(MAX(City_Inputs!$T121,Norm_Stats!$F$8),Norm_Stats!$G$8)-Norm_Stats!$F$8)/(Norm_Stats!$G$8-Norm_Stats!$F$8))))</f>
        <v/>
      </c>
      <c r="V121" s="14">
        <f>IF(U121="","",1)</f>
        <v/>
      </c>
      <c r="W121" s="11">
        <f>IF(OR(City_Inputs!$U121="",Norm_Stats!$F$9="",Norm_Stats!$G$9="",Norm_Stats!$G$9=Norm_Stats!$F$9),"",MAX(0,MIN(100,100*(Norm_Stats!$G$9-MIN(MAX(City_Inputs!$U121,Norm_Stats!$F$9),Norm_Stats!$G$9))/(Norm_Stats!$G$9-Norm_Stats!$F$9))))</f>
        <v/>
      </c>
      <c r="X121" s="14">
        <f>IF(W121="","",1)</f>
        <v/>
      </c>
      <c r="Y121" s="11">
        <f>IF(OR(City_Inputs!$V121="",Norm_Stats!$F$10="",Norm_Stats!$G$10="",Norm_Stats!$G$10=Norm_Stats!$F$10),"",MAX(0,MIN(100,100*(MIN(MAX(City_Inputs!$V121,Norm_Stats!$F$10),Norm_Stats!$G$10)-Norm_Stats!$F$10)/(Norm_Stats!$G$10-Norm_Stats!$F$10))))</f>
        <v/>
      </c>
      <c r="Z121" s="14">
        <f>IF(Y121="","",1)</f>
        <v/>
      </c>
      <c r="AA121" s="11">
        <f>IF(OR(City_Inputs!$W121="",Norm_Stats!$F$11="",Norm_Stats!$G$11="",Norm_Stats!$G$11=Norm_Stats!$F$11),"",MAX(0,MIN(100,100*(MIN(MAX(City_Inputs!$W121,Norm_Stats!$F$11),Norm_Stats!$G$11)-Norm_Stats!$F$11)/(Norm_Stats!$G$11-Norm_Stats!$F$11))))</f>
        <v/>
      </c>
      <c r="AB121" s="14">
        <f>IF(AA121="","",1)</f>
        <v/>
      </c>
      <c r="AC121" s="11">
        <f>IF(OR(City_Inputs!$X121="",Norm_Stats!$F$12="",Norm_Stats!$G$12="",Norm_Stats!$G$12=Norm_Stats!$F$12),"",MAX(0,MIN(100,100*(MIN(MAX(City_Inputs!$X121,Norm_Stats!$F$12),Norm_Stats!$G$12)-Norm_Stats!$F$12)/(Norm_Stats!$G$12-Norm_Stats!$F$12))))</f>
        <v/>
      </c>
      <c r="AD121" s="11">
        <f>IF(AC121="","",1)</f>
        <v/>
      </c>
      <c r="AE121" s="15">
        <f>IF((IF(S121="",0,5)+IF(U121="",0,5)+IF(W121="",0,4)+IF(Y121="",0,4)+IF(AA121="",0,4)+IF(AC121="",0,5))=0,"",(IF(S121="",0,S121*5)+IF(U121="",0,U121*5)+IF(W121="",0,W121*4)+IF(Y121="",0,Y121*4)+IF(AA121="",0,AA121*4)+IF(AC121="",0,AC121*5))/(IF(S121="",0,5)+IF(U121="",0,5)+IF(W121="",0,4)+IF(Y121="",0,4)+IF(AA121="",0,4)+IF(AC121="",0,5)))</f>
        <v/>
      </c>
      <c r="AF121" s="14">
        <f>IF((IF(T121="",0,5)+IF(V121="",0,5)+IF(X121="",0,4)+IF(Z121="",0,4)+IF(AB121="",0,4)+IF(AD121="",0,5))=0,"",(IF(T121="",0,T121*5)+IF(V121="",0,V121*5)+IF(X121="",0,X121*4)+IF(Z121="",0,Z121*4)+IF(AB121="",0,AB121*4)+IF(AD121="",0,AD121*5))/27)</f>
        <v/>
      </c>
      <c r="AG121" s="11">
        <f>IF(OR(City_Inputs!$Y121="",Norm_Stats!$F$13="",Norm_Stats!$G$13="",Norm_Stats!$G$13=Norm_Stats!$F$13),"",MAX(0,MIN(100,100*(MIN(MAX(City_Inputs!$Y121,Norm_Stats!$F$13),Norm_Stats!$G$13)-Norm_Stats!$F$13)/(Norm_Stats!$G$13-Norm_Stats!$F$13))))</f>
        <v/>
      </c>
      <c r="AH121" s="14">
        <f>IF(AG121="","",1)</f>
        <v/>
      </c>
      <c r="AI121" s="11">
        <f>IF(OR(City_Inputs!$Z121="",Norm_Stats!$F$14="",Norm_Stats!$G$14="",Norm_Stats!$G$14=Norm_Stats!$F$14),"",MAX(0,MIN(100,100*(MIN(MAX(City_Inputs!$Z121,Norm_Stats!$F$14),Norm_Stats!$G$14)-Norm_Stats!$F$14)/(Norm_Stats!$G$14-Norm_Stats!$F$14))))</f>
        <v/>
      </c>
      <c r="AJ121" s="14">
        <f>IF(AI121="","",1)</f>
        <v/>
      </c>
      <c r="AK121" s="11">
        <f>IF((IF((IF(OR(City_Inputs!$AA121="",Norm_Stats!$F$15="",Norm_Stats!$G$15="",Norm_Stats!$G$15=Norm_Stats!$F$15),"",MAX(0,MIN(100,100*(MIN(MAX(City_Inputs!$AA121,Norm_Stats!$F$15),Norm_Stats!$G$15)-Norm_Stats!$F$15)/(Norm_Stats!$G$15-Norm_Stats!$F$15)))))="",0,0.7)+IF((IF(OR(City_Inputs!$AL121="",Norm_Stats!$F$16="",Norm_Stats!$G$16="",Norm_Stats!$G$16=Norm_Stats!$F$16),"",MAX(0,MIN(100,100*(Norm_Stats!$G$16-MIN(MAX(City_Inputs!$AL121,Norm_Stats!$F$16),Norm_Stats!$G$16))/(Norm_Stats!$G$16-Norm_Stats!$F$16)))))="",0,0.3))=0,"",(IF((IF(OR(City_Inputs!$AA121="",Norm_Stats!$F$15="",Norm_Stats!$G$15="",Norm_Stats!$G$15=Norm_Stats!$F$15),"",MAX(0,MIN(100,100*(MIN(MAX(City_Inputs!$AA121,Norm_Stats!$F$15),Norm_Stats!$G$15)-Norm_Stats!$F$15)/(Norm_Stats!$G$15-Norm_Stats!$F$15)))))="",0,(IF(OR(City_Inputs!$AA121="",Norm_Stats!$F$15="",Norm_Stats!$G$15="",Norm_Stats!$G$15=Norm_Stats!$F$15),"",MAX(0,MIN(100,100*(MIN(MAX(City_Inputs!$AA121,Norm_Stats!$F$15),Norm_Stats!$G$15)-Norm_Stats!$F$15)/(Norm_Stats!$G$15-Norm_Stats!$F$15)))))*0.7)+IF((IF(OR(City_Inputs!$AL121="",Norm_Stats!$F$16="",Norm_Stats!$G$16="",Norm_Stats!$G$16=Norm_Stats!$F$16),"",MAX(0,MIN(100,100*(Norm_Stats!$G$16-MIN(MAX(City_Inputs!$AL121,Norm_Stats!$F$16),Norm_Stats!$G$16))/(Norm_Stats!$G$16-Norm_Stats!$F$16)))))="",0,(IF(OR(City_Inputs!$AL121="",Norm_Stats!$F$16="",Norm_Stats!$G$16="",Norm_Stats!$G$16=Norm_Stats!$F$16),"",MAX(0,MIN(100,100*(Norm_Stats!$G$16-MIN(MAX(City_Inputs!$AL121,Norm_Stats!$F$16),Norm_Stats!$G$16))/(Norm_Stats!$G$16-Norm_Stats!$F$16)))))*0.3))/(IF((IF(OR(City_Inputs!$AA121="",Norm_Stats!$F$15="",Norm_Stats!$G$15="",Norm_Stats!$G$15=Norm_Stats!$F$15),"",MAX(0,MIN(100,100*(MIN(MAX(City_Inputs!$AA121,Norm_Stats!$F$15),Norm_Stats!$G$15)-Norm_Stats!$F$15)/(Norm_Stats!$G$15-Norm_Stats!$F$15)))))="",0,0.7)+IF((IF(OR(City_Inputs!$AL121="",Norm_Stats!$F$16="",Norm_Stats!$G$16="",Norm_Stats!$G$16=Norm_Stats!$F$16),"",MAX(0,MIN(100,100*(Norm_Stats!$G$16-MIN(MAX(City_Inputs!$AL121,Norm_Stats!$F$16),Norm_Stats!$G$16))/(Norm_Stats!$G$16-Norm_Stats!$F$16)))))="",0,0.3)))</f>
        <v/>
      </c>
      <c r="AL121" s="14">
        <f>IF((IF((IF(OR(City_Inputs!$AA121="",Norm_Stats!$F$15="",Norm_Stats!$G$15="",Norm_Stats!$G$15=Norm_Stats!$F$15),"",MAX(0,MIN(100,100*(MIN(MAX(City_Inputs!$AA121,Norm_Stats!$F$15),Norm_Stats!$G$15)-Norm_Stats!$F$15)/(Norm_Stats!$G$15-Norm_Stats!$F$15)))))="",0,0.7)+IF((IF(OR(City_Inputs!$AL121="",Norm_Stats!$F$16="",Norm_Stats!$G$16="",Norm_Stats!$G$16=Norm_Stats!$F$16),"",MAX(0,MIN(100,100*(Norm_Stats!$G$16-MIN(MAX(City_Inputs!$AL121,Norm_Stats!$F$16),Norm_Stats!$G$16))/(Norm_Stats!$G$16-Norm_Stats!$F$16)))))="",0,0.3))=0,"",(IF((IF(OR(City_Inputs!$AA121="",Norm_Stats!$F$15="",Norm_Stats!$G$15="",Norm_Stats!$G$15=Norm_Stats!$F$15),"",MAX(0,MIN(100,100*(MIN(MAX(City_Inputs!$AA121,Norm_Stats!$F$15),Norm_Stats!$G$15)-Norm_Stats!$F$15)/(Norm_Stats!$G$15-Norm_Stats!$F$15)))))="",0,0.7)+IF((IF(OR(City_Inputs!$AL121="",Norm_Stats!$F$16="",Norm_Stats!$G$16="",Norm_Stats!$G$16=Norm_Stats!$F$16),"",MAX(0,MIN(100,100*(Norm_Stats!$G$16-MIN(MAX(City_Inputs!$AL121,Norm_Stats!$F$16),Norm_Stats!$G$16))/(Norm_Stats!$G$16-Norm_Stats!$F$16)))))="",0,0.3)))</f>
        <v/>
      </c>
      <c r="AM121" s="15">
        <f>IF((IF(AG121="",0,8)+IF(AI121="",0,6)+IF(AK121="",0,4))=0,"",(IF(AG121="",0,AG121*8)+IF(AI121="",0,AI121*6)+IF(AK121="",0,AK121*4))/(IF(AG121="",0,8)+IF(AI121="",0,6)+IF(AK121="",0,4)))</f>
        <v/>
      </c>
      <c r="AN121" s="14">
        <f>IF((IF(AH121="",0,8)+IF(AJ121="",0,6)+IF(AL121="",0,4))=0,"",(IF(AH121="",0,AH121*8)+IF(AJ121="",0,AJ121*6)+IF(AL121="",0,AL121*4))/18)</f>
        <v/>
      </c>
      <c r="AO121" s="11">
        <f>IF(OR(City_Inputs!$AB121="",Norm_Stats!$F$17="",Norm_Stats!$G$17="",Norm_Stats!$G$17=Norm_Stats!$F$17),"",MAX(0,MIN(100,100*(MIN(MAX(City_Inputs!$AB121,Norm_Stats!$F$17),Norm_Stats!$G$17)-Norm_Stats!$F$17)/(Norm_Stats!$G$17-Norm_Stats!$F$17))))</f>
        <v/>
      </c>
      <c r="AP121" s="14">
        <f>IF(AO121="","",1)</f>
        <v/>
      </c>
      <c r="AQ121" s="11">
        <f>IF(OR(City_Inputs!$AC121="",Norm_Stats!$F$18="",Norm_Stats!$G$18="",Norm_Stats!$G$18=Norm_Stats!$F$18),"",MAX(0,MIN(100,100*(MIN(MAX(City_Inputs!$AC121,Norm_Stats!$F$18),Norm_Stats!$G$18)-Norm_Stats!$F$18)/(Norm_Stats!$G$18-Norm_Stats!$F$18))))</f>
        <v/>
      </c>
      <c r="AR121" s="14">
        <f>IF(AQ121="","",1)</f>
        <v/>
      </c>
      <c r="AS121" s="11">
        <f>IF(OR(City_Inputs!$AD121="",Norm_Stats!$F$19="",Norm_Stats!$G$19="",Norm_Stats!$G$19=Norm_Stats!$F$19),"",MAX(0,MIN(100,100*(MIN(MAX(City_Inputs!$AD121,Norm_Stats!$F$19),Norm_Stats!$G$19)-Norm_Stats!$F$19)/(Norm_Stats!$G$19-Norm_Stats!$F$19))))</f>
        <v/>
      </c>
      <c r="AT121" s="14">
        <f>IF(AS121="","",1)</f>
        <v/>
      </c>
      <c r="AU121" s="11">
        <f>IF(OR(City_Inputs!$BJ121="",Norm_Stats!$F$26="",Norm_Stats!$G$26="",Norm_Stats!$G$26=Norm_Stats!$F$26),"",MAX(0,MIN(100,100*(MIN(MAX(City_Inputs!$BJ121,Norm_Stats!$F$26),Norm_Stats!$G$26)-Norm_Stats!$F$26)/(Norm_Stats!$G$26-Norm_Stats!$F$26))))</f>
        <v/>
      </c>
      <c r="AV121" s="11">
        <f>IF(AU121="","",1)</f>
        <v/>
      </c>
      <c r="AW121" s="15">
        <f>IF((IF(AO121="",0,5)+IF(AQ121="",0,5)+IF(AS121="",0,5)+IF(AU121="",0,4))=0,"",(IF(AO121="",0,AO121*5)+IF(AQ121="",0,AQ121*5)+IF(AS121="",0,AS121*5)+IF(AU121="",0,AU121*4))/(IF(AO121="",0,5)+IF(AQ121="",0,5)+IF(AS121="",0,5)+IF(AU121="",0,4)))</f>
        <v/>
      </c>
      <c r="AX121" s="14">
        <f>IF((IF(AP121="",0,5)+IF(AR121="",0,5)+IF(AT121="",0,5)+IF(AV121="",0,4))=0,"",(IF(AP121="",0,AP121*5)+IF(AR121="",0,AR121*5)+IF(AT121="",0,AT121*5)+IF(AV121="",0,AV121*4))/19)</f>
        <v/>
      </c>
      <c r="AY121" s="11">
        <f>IF(OR(City_Inputs!$AE121="",Norm_Stats!$F$20="",Norm_Stats!$G$20="",Norm_Stats!$G$20=Norm_Stats!$F$20),"",MAX(0,MIN(100,100*(MIN(MAX(City_Inputs!$AE121,Norm_Stats!$F$20),Norm_Stats!$G$20)-Norm_Stats!$F$20)/(Norm_Stats!$G$20-Norm_Stats!$F$20))))</f>
        <v/>
      </c>
      <c r="AZ121" s="14">
        <f>IF(AY121="","",1)</f>
        <v/>
      </c>
      <c r="BA121" s="11">
        <f>IF(OR(City_Inputs!$AF121="",Norm_Stats!$F$21="",Norm_Stats!$G$21="",Norm_Stats!$G$21=Norm_Stats!$F$21),"",MAX(0,MIN(100,100*(MIN(MAX(City_Inputs!$AF121,Norm_Stats!$F$21),Norm_Stats!$G$21)-Norm_Stats!$F$21)/(Norm_Stats!$G$21-Norm_Stats!$F$21))))</f>
        <v/>
      </c>
      <c r="BB121" s="14">
        <f>IF(BA121="","",1)</f>
        <v/>
      </c>
      <c r="BC121" s="11">
        <f>IF((IF((IF(OR(City_Inputs!$AG121="",Norm_Stats!$F$22="",Norm_Stats!$G$22="",Norm_Stats!$G$22=Norm_Stats!$F$22),"",MAX(0,MIN(100,100*(MIN(MAX(City_Inputs!$AG121,Norm_Stats!$F$22),Norm_Stats!$G$22)-Norm_Stats!$F$22)/(Norm_Stats!$G$22-Norm_Stats!$F$22)))))="",0,0.5)+IF((IF(OR(City_Inputs!$AJ121="",Norm_Stats!$F$23="",Norm_Stats!$G$23="",Norm_Stats!$G$23=Norm_Stats!$F$23),"",MAX(0,MIN(100,100*(MIN(MAX(City_Inputs!$AJ121,Norm_Stats!$F$23),Norm_Stats!$G$23)-Norm_Stats!$F$23)/(Norm_Stats!$G$23-Norm_Stats!$F$23)))))="",0,0.3)+IF((IF(OR(City_Inputs!$AK121="",Norm_Stats!$F$24="",Norm_Stats!$G$24="",Norm_Stats!$G$24=Norm_Stats!$F$24),"",MAX(0,MIN(100,100*(MIN(MAX(City_Inputs!$AK121,Norm_Stats!$F$24),Norm_Stats!$G$24)-Norm_Stats!$F$24)/(Norm_Stats!$G$24-Norm_Stats!$F$24)))))="",0,0.2))=0,"",(IF((IF(OR(City_Inputs!$AG121="",Norm_Stats!$F$22="",Norm_Stats!$G$22="",Norm_Stats!$G$22=Norm_Stats!$F$22),"",MAX(0,MIN(100,100*(MIN(MAX(City_Inputs!$AG121,Norm_Stats!$F$22),Norm_Stats!$G$22)-Norm_Stats!$F$22)/(Norm_Stats!$G$22-Norm_Stats!$F$22)))))="",0,(IF(OR(City_Inputs!$AG121="",Norm_Stats!$F$22="",Norm_Stats!$G$22="",Norm_Stats!$G$22=Norm_Stats!$F$22),"",MAX(0,MIN(100,100*(MIN(MAX(City_Inputs!$AG121,Norm_Stats!$F$22),Norm_Stats!$G$22)-Norm_Stats!$F$22)/(Norm_Stats!$G$22-Norm_Stats!$F$22)))))*0.5)+IF((IF(OR(City_Inputs!$AJ121="",Norm_Stats!$F$23="",Norm_Stats!$G$23="",Norm_Stats!$G$23=Norm_Stats!$F$23),"",MAX(0,MIN(100,100*(MIN(MAX(City_Inputs!$AJ121,Norm_Stats!$F$23),Norm_Stats!$G$23)-Norm_Stats!$F$23)/(Norm_Stats!$G$23-Norm_Stats!$F$23)))))="",0,(IF(OR(City_Inputs!$AJ121="",Norm_Stats!$F$23="",Norm_Stats!$G$23="",Norm_Stats!$G$23=Norm_Stats!$F$23),"",MAX(0,MIN(100,100*(MIN(MAX(City_Inputs!$AJ121,Norm_Stats!$F$23),Norm_Stats!$G$23)-Norm_Stats!$F$23)/(Norm_Stats!$G$23-Norm_Stats!$F$23)))))*0.3)+IF((IF(OR(City_Inputs!$AK121="",Norm_Stats!$F$24="",Norm_Stats!$G$24="",Norm_Stats!$G$24=Norm_Stats!$F$24),"",MAX(0,MIN(100,100*(MIN(MAX(City_Inputs!$AK121,Norm_Stats!$F$24),Norm_Stats!$G$24)-Norm_Stats!$F$24)/(Norm_Stats!$G$24-Norm_Stats!$F$24)))))="",0,(IF(OR(City_Inputs!$AK121="",Norm_Stats!$F$24="",Norm_Stats!$G$24="",Norm_Stats!$G$24=Norm_Stats!$F$24),"",MAX(0,MIN(100,100*(MIN(MAX(City_Inputs!$AK121,Norm_Stats!$F$24),Norm_Stats!$G$24)-Norm_Stats!$F$24)/(Norm_Stats!$G$24-Norm_Stats!$F$24)))))*0.2))/(IF((IF(OR(City_Inputs!$AG121="",Norm_Stats!$F$22="",Norm_Stats!$G$22="",Norm_Stats!$G$22=Norm_Stats!$F$22),"",MAX(0,MIN(100,100*(MIN(MAX(City_Inputs!$AG121,Norm_Stats!$F$22),Norm_Stats!$G$22)-Norm_Stats!$F$22)/(Norm_Stats!$G$22-Norm_Stats!$F$22)))))="",0,0.5)+IF((IF(OR(City_Inputs!$AJ121="",Norm_Stats!$F$23="",Norm_Stats!$G$23="",Norm_Stats!$G$23=Norm_Stats!$F$23),"",MAX(0,MIN(100,100*(MIN(MAX(City_Inputs!$AJ121,Norm_Stats!$F$23),Norm_Stats!$G$23)-Norm_Stats!$F$23)/(Norm_Stats!$G$23-Norm_Stats!$F$23)))))="",0,0.3)+IF((IF(OR(City_Inputs!$AK121="",Norm_Stats!$F$24="",Norm_Stats!$G$24="",Norm_Stats!$G$24=Norm_Stats!$F$24),"",MAX(0,MIN(100,100*(MIN(MAX(City_Inputs!$AK121,Norm_Stats!$F$24),Norm_Stats!$G$24)-Norm_Stats!$F$24)/(Norm_Stats!$G$24-Norm_Stats!$F$24)))))="",0,0.2)))</f>
        <v/>
      </c>
      <c r="BD121" s="14">
        <f>IF((IF((IF(OR(City_Inputs!$AG121="",Norm_Stats!$F$22="",Norm_Stats!$G$22="",Norm_Stats!$G$22=Norm_Stats!$F$22),"",MAX(0,MIN(100,100*(MIN(MAX(City_Inputs!$AG121,Norm_Stats!$F$22),Norm_Stats!$G$22)-Norm_Stats!$F$22)/(Norm_Stats!$G$22-Norm_Stats!$F$22)))))="",0,0.5)+IF((IF(OR(City_Inputs!$AJ121="",Norm_Stats!$F$23="",Norm_Stats!$G$23="",Norm_Stats!$G$23=Norm_Stats!$F$23),"",MAX(0,MIN(100,100*(MIN(MAX(City_Inputs!$AJ121,Norm_Stats!$F$23),Norm_Stats!$G$23)-Norm_Stats!$F$23)/(Norm_Stats!$G$23-Norm_Stats!$F$23)))))="",0,0.3)+IF((IF(OR(City_Inputs!$AK121="",Norm_Stats!$F$24="",Norm_Stats!$G$24="",Norm_Stats!$G$24=Norm_Stats!$F$24),"",MAX(0,MIN(100,100*(MIN(MAX(City_Inputs!$AK121,Norm_Stats!$F$24),Norm_Stats!$G$24)-Norm_Stats!$F$24)/(Norm_Stats!$G$24-Norm_Stats!$F$24)))))="",0,0.2))=0,"",(IF((IF(OR(City_Inputs!$AG121="",Norm_Stats!$F$22="",Norm_Stats!$G$22="",Norm_Stats!$G$22=Norm_Stats!$F$22),"",MAX(0,MIN(100,100*(MIN(MAX(City_Inputs!$AG121,Norm_Stats!$F$22),Norm_Stats!$G$22)-Norm_Stats!$F$22)/(Norm_Stats!$G$22-Norm_Stats!$F$22)))))="",0,0.5)+IF((IF(OR(City_Inputs!$AJ121="",Norm_Stats!$F$23="",Norm_Stats!$G$23="",Norm_Stats!$G$23=Norm_Stats!$F$23),"",MAX(0,MIN(100,100*(MIN(MAX(City_Inputs!$AJ121,Norm_Stats!$F$23),Norm_Stats!$G$23)-Norm_Stats!$F$23)/(Norm_Stats!$G$23-Norm_Stats!$F$23)))))="",0,0.3)+IF((IF(OR(City_Inputs!$AK121="",Norm_Stats!$F$24="",Norm_Stats!$G$24="",Norm_Stats!$G$24=Norm_Stats!$F$24),"",MAX(0,MIN(100,100*(MIN(MAX(City_Inputs!$AK121,Norm_Stats!$F$24),Norm_Stats!$G$24)-Norm_Stats!$F$24)/(Norm_Stats!$G$24-Norm_Stats!$F$24)))))="",0,0.2)))</f>
        <v/>
      </c>
      <c r="BE121" s="11">
        <f>IF(OR(City_Inputs!$AH121="",Norm_Stats!$F$25="",Norm_Stats!$G$25="",Norm_Stats!$G$25=Norm_Stats!$F$25),"",MAX(0,MIN(100,100*(Norm_Stats!$G$25-MIN(MAX(City_Inputs!$AH121,Norm_Stats!$F$25),Norm_Stats!$G$25))/(Norm_Stats!$G$25-Norm_Stats!$F$25))))</f>
        <v/>
      </c>
      <c r="BF121" s="14">
        <f>IF(BE121="","",1)</f>
        <v/>
      </c>
      <c r="BG121" s="15">
        <f>IF((IF(AY121="",0,6)+IF(BA121="",0,5)+IF(BC121="",0,5)+IF(BE121="",0,4))=0,"",(IF(AY121="",0,AY121*6)+IF(BA121="",0,BA121*5)+IF(BC121="",0,BC121*5)+IF(BE121="",0,BE121*4))/(IF(AY121="",0,6)+IF(BA121="",0,5)+IF(BC121="",0,5)+IF(BE121="",0,4)))</f>
        <v/>
      </c>
      <c r="BH121" s="14">
        <f>IF((IF(AZ121="",0,6)+IF(BB121="",0,5)+IF(BD121="",0,5)+IF(BF121="",0,4))=0,"",(IF(AZ121="",0,AZ121*6)+IF(BB121="",0,BB121*5)+IF(BD121="",0,BD121*5)+IF(BF121="",0,BF121*4))/20)</f>
        <v/>
      </c>
      <c r="BI121" s="14">
        <f>IF(AND(R121="",AF121="",AN121="",AX121="",BH121=""),"",((R121*25)+(AF121*22)+(AN121*18)+(AX121*15)+(BH121*20))/100)</f>
        <v/>
      </c>
      <c r="BJ121" s="11">
        <f>IF(BI121="","",IF(BI121&gt;=0.75,"A",IF(BI121&gt;=0.5,"B",IF(BI121&gt;=0.35,"C","Watchlist"))))</f>
        <v/>
      </c>
      <c r="BK121" s="11">
        <f>IF(OR(BI121="",BI121&lt;0.5,R121="",R121&lt;0.35,AF121="",AF121&lt;0.35,AN121="",AN121&lt;0.35,AX121="",AX121&lt;0.35,BH121="",BH121&lt;0.35),"Watchlist","Ranked")</f>
        <v/>
      </c>
      <c r="BL121" s="15">
        <f>IF(AND(Q121="",AE121="",AM121="",AW121="",BG121=""),"",(IF(Q121="",0,Q121*25)+IF(AE121="",0,AE121*22)+IF(AM121="",0,AM121*18)+IF(AW121="",0,AW121*15)+IF(BG121="",0,BG121*20))/(IF(Q121="",0,25)+IF(AE121="",0,22)+IF(AM121="",0,18)+IF(AW121="",0,15)+IF(BG121="",0,20)))</f>
        <v/>
      </c>
      <c r="BM121" s="11">
        <f>IF(BK121="Ranked",1+COUNTIFS($BK$2:$BK$158,"Ranked",$BL$2:$BL$158,"&gt;"&amp;BL121),"")</f>
        <v/>
      </c>
      <c r="BN121" s="11">
        <f>City_Inputs!$AI121</f>
        <v/>
      </c>
    </row>
    <row r="122">
      <c r="A122" t="inlineStr">
        <is>
          <t>np-pokhara</t>
        </is>
      </c>
      <c r="B122" t="inlineStr">
        <is>
          <t>Pokhara</t>
        </is>
      </c>
      <c r="C122" t="inlineStr">
        <is>
          <t>Nepal</t>
        </is>
      </c>
      <c r="D122" t="inlineStr">
        <is>
          <t>South Asia</t>
        </is>
      </c>
      <c r="E122" t="inlineStr">
        <is>
          <t>provisional</t>
        </is>
      </c>
      <c r="F122" t="inlineStr">
        <is>
          <t>secondary</t>
        </is>
      </c>
      <c r="G122" s="11">
        <f>IF(OR(City_Inputs!$M122="",Norm_Stats!$F$2="",Norm_Stats!$G$2="",Norm_Stats!$G$2=Norm_Stats!$F$2),"",MAX(0,MIN(100,100*(MIN(MAX(City_Inputs!$M122,Norm_Stats!$F$2),Norm_Stats!$G$2)-Norm_Stats!$F$2)/(Norm_Stats!$G$2-Norm_Stats!$F$2))))</f>
        <v/>
      </c>
      <c r="H122" s="14">
        <f>IF(G122="","",1)</f>
        <v/>
      </c>
      <c r="I122" s="11">
        <f>IF(OR(City_Inputs!$N122="",Norm_Stats!$F$3="",Norm_Stats!$G$3="",Norm_Stats!$G$3=Norm_Stats!$F$3),"",MAX(0,MIN(100,100*(Norm_Stats!$G$3-MIN(MAX(City_Inputs!$N122,Norm_Stats!$F$3),Norm_Stats!$G$3))/(Norm_Stats!$G$3-Norm_Stats!$F$3))))</f>
        <v/>
      </c>
      <c r="J122" s="14">
        <f>IF(I122="","",1)</f>
        <v/>
      </c>
      <c r="K122" s="11">
        <f>IF(OR(City_Inputs!$P122="",Norm_Stats!$F$4="",Norm_Stats!$G$4="",Norm_Stats!$G$4=Norm_Stats!$F$4),"",MAX(0,MIN(100,100*(Norm_Stats!$G$4-MIN(MAX(City_Inputs!$P122,Norm_Stats!$F$4),Norm_Stats!$G$4))/(Norm_Stats!$G$4-Norm_Stats!$F$4))))</f>
        <v/>
      </c>
      <c r="L122" s="14">
        <f>IF(K122="","",1)</f>
        <v/>
      </c>
      <c r="M122" s="11">
        <f>IF(OR(City_Inputs!$Q122="",Norm_Stats!$F$5="",Norm_Stats!$G$5="",Norm_Stats!$G$5=Norm_Stats!$F$5),"",MAX(0,MIN(100,100*(Norm_Stats!$G$5-MIN(MAX(City_Inputs!$Q122,Norm_Stats!$F$5),Norm_Stats!$G$5))/(Norm_Stats!$G$5-Norm_Stats!$F$5))))</f>
        <v/>
      </c>
      <c r="N122" s="14">
        <f>IF(M122="","",1)</f>
        <v/>
      </c>
      <c r="O122" s="11">
        <f>IF(OR(City_Inputs!$R122="",Norm_Stats!$F$6="",Norm_Stats!$G$6="",Norm_Stats!$G$6=Norm_Stats!$F$6),"",MAX(0,MIN(100,100*(Norm_Stats!$G$6-MIN(MAX(City_Inputs!$R122,Norm_Stats!$F$6),Norm_Stats!$G$6))/(Norm_Stats!$G$6-Norm_Stats!$F$6))))</f>
        <v/>
      </c>
      <c r="P122" s="14">
        <f>IF(O122="","",1)</f>
        <v/>
      </c>
      <c r="Q122" s="15">
        <f>IF((IF(G122="",0,9)+IF(I122="",0,5)+IF(K122="",0,4)+IF(M122="",0,4)+IF(O122="",0,5))=0,"",(IF(G122="",0,G122*9)+IF(I122="",0,I122*5)+IF(K122="",0,K122*4)+IF(M122="",0,M122*4)+IF(O122="",0,O122*5))/(IF(G122="",0,9)+IF(I122="",0,5)+IF(K122="",0,4)+IF(M122="",0,4)+IF(O122="",0,5)))</f>
        <v/>
      </c>
      <c r="R122" s="14">
        <f>IF((IF(H122="",0,9)+IF(J122="",0,5)+IF(L122="",0,4)+IF(N122="",0,4)+IF(P122="",0,5))=0,"",(IF(H122="",0,H122*9)+IF(J122="",0,J122*5)+IF(L122="",0,L122*4)+IF(N122="",0,N122*4)+IF(P122="",0,P122*5))/27)</f>
        <v/>
      </c>
      <c r="S122" s="11">
        <f>IF(OR(City_Inputs!$S122="",Norm_Stats!$F$7="",Norm_Stats!$G$7="",Norm_Stats!$G$7=Norm_Stats!$F$7),"",MAX(0,MIN(100,100*(Norm_Stats!$G$7-MIN(MAX(City_Inputs!$S122,Norm_Stats!$F$7),Norm_Stats!$G$7))/(Norm_Stats!$G$7-Norm_Stats!$F$7))))</f>
        <v/>
      </c>
      <c r="T122" s="14">
        <f>IF(S122="","",1)</f>
        <v/>
      </c>
      <c r="U122" s="11">
        <f>IF(OR(City_Inputs!$T122="",Norm_Stats!$F$8="",Norm_Stats!$G$8="",Norm_Stats!$G$8=Norm_Stats!$F$8),"",MAX(0,MIN(100,100*(MIN(MAX(City_Inputs!$T122,Norm_Stats!$F$8),Norm_Stats!$G$8)-Norm_Stats!$F$8)/(Norm_Stats!$G$8-Norm_Stats!$F$8))))</f>
        <v/>
      </c>
      <c r="V122" s="14">
        <f>IF(U122="","",1)</f>
        <v/>
      </c>
      <c r="W122" s="11">
        <f>IF(OR(City_Inputs!$U122="",Norm_Stats!$F$9="",Norm_Stats!$G$9="",Norm_Stats!$G$9=Norm_Stats!$F$9),"",MAX(0,MIN(100,100*(Norm_Stats!$G$9-MIN(MAX(City_Inputs!$U122,Norm_Stats!$F$9),Norm_Stats!$G$9))/(Norm_Stats!$G$9-Norm_Stats!$F$9))))</f>
        <v/>
      </c>
      <c r="X122" s="14">
        <f>IF(W122="","",1)</f>
        <v/>
      </c>
      <c r="Y122" s="11">
        <f>IF(OR(City_Inputs!$V122="",Norm_Stats!$F$10="",Norm_Stats!$G$10="",Norm_Stats!$G$10=Norm_Stats!$F$10),"",MAX(0,MIN(100,100*(MIN(MAX(City_Inputs!$V122,Norm_Stats!$F$10),Norm_Stats!$G$10)-Norm_Stats!$F$10)/(Norm_Stats!$G$10-Norm_Stats!$F$10))))</f>
        <v/>
      </c>
      <c r="Z122" s="14">
        <f>IF(Y122="","",1)</f>
        <v/>
      </c>
      <c r="AA122" s="11">
        <f>IF(OR(City_Inputs!$W122="",Norm_Stats!$F$11="",Norm_Stats!$G$11="",Norm_Stats!$G$11=Norm_Stats!$F$11),"",MAX(0,MIN(100,100*(MIN(MAX(City_Inputs!$W122,Norm_Stats!$F$11),Norm_Stats!$G$11)-Norm_Stats!$F$11)/(Norm_Stats!$G$11-Norm_Stats!$F$11))))</f>
        <v/>
      </c>
      <c r="AB122" s="14">
        <f>IF(AA122="","",1)</f>
        <v/>
      </c>
      <c r="AC122" s="11">
        <f>IF(OR(City_Inputs!$X122="",Norm_Stats!$F$12="",Norm_Stats!$G$12="",Norm_Stats!$G$12=Norm_Stats!$F$12),"",MAX(0,MIN(100,100*(MIN(MAX(City_Inputs!$X122,Norm_Stats!$F$12),Norm_Stats!$G$12)-Norm_Stats!$F$12)/(Norm_Stats!$G$12-Norm_Stats!$F$12))))</f>
        <v/>
      </c>
      <c r="AD122" s="11">
        <f>IF(AC122="","",1)</f>
        <v/>
      </c>
      <c r="AE122" s="15">
        <f>IF((IF(S122="",0,5)+IF(U122="",0,5)+IF(W122="",0,4)+IF(Y122="",0,4)+IF(AA122="",0,4)+IF(AC122="",0,5))=0,"",(IF(S122="",0,S122*5)+IF(U122="",0,U122*5)+IF(W122="",0,W122*4)+IF(Y122="",0,Y122*4)+IF(AA122="",0,AA122*4)+IF(AC122="",0,AC122*5))/(IF(S122="",0,5)+IF(U122="",0,5)+IF(W122="",0,4)+IF(Y122="",0,4)+IF(AA122="",0,4)+IF(AC122="",0,5)))</f>
        <v/>
      </c>
      <c r="AF122" s="14">
        <f>IF((IF(T122="",0,5)+IF(V122="",0,5)+IF(X122="",0,4)+IF(Z122="",0,4)+IF(AB122="",0,4)+IF(AD122="",0,5))=0,"",(IF(T122="",0,T122*5)+IF(V122="",0,V122*5)+IF(X122="",0,X122*4)+IF(Z122="",0,Z122*4)+IF(AB122="",0,AB122*4)+IF(AD122="",0,AD122*5))/27)</f>
        <v/>
      </c>
      <c r="AG122" s="11">
        <f>IF(OR(City_Inputs!$Y122="",Norm_Stats!$F$13="",Norm_Stats!$G$13="",Norm_Stats!$G$13=Norm_Stats!$F$13),"",MAX(0,MIN(100,100*(MIN(MAX(City_Inputs!$Y122,Norm_Stats!$F$13),Norm_Stats!$G$13)-Norm_Stats!$F$13)/(Norm_Stats!$G$13-Norm_Stats!$F$13))))</f>
        <v/>
      </c>
      <c r="AH122" s="14">
        <f>IF(AG122="","",1)</f>
        <v/>
      </c>
      <c r="AI122" s="11">
        <f>IF(OR(City_Inputs!$Z122="",Norm_Stats!$F$14="",Norm_Stats!$G$14="",Norm_Stats!$G$14=Norm_Stats!$F$14),"",MAX(0,MIN(100,100*(MIN(MAX(City_Inputs!$Z122,Norm_Stats!$F$14),Norm_Stats!$G$14)-Norm_Stats!$F$14)/(Norm_Stats!$G$14-Norm_Stats!$F$14))))</f>
        <v/>
      </c>
      <c r="AJ122" s="14">
        <f>IF(AI122="","",1)</f>
        <v/>
      </c>
      <c r="AK122" s="11">
        <f>IF((IF((IF(OR(City_Inputs!$AA122="",Norm_Stats!$F$15="",Norm_Stats!$G$15="",Norm_Stats!$G$15=Norm_Stats!$F$15),"",MAX(0,MIN(100,100*(MIN(MAX(City_Inputs!$AA122,Norm_Stats!$F$15),Norm_Stats!$G$15)-Norm_Stats!$F$15)/(Norm_Stats!$G$15-Norm_Stats!$F$15)))))="",0,0.7)+IF((IF(OR(City_Inputs!$AL122="",Norm_Stats!$F$16="",Norm_Stats!$G$16="",Norm_Stats!$G$16=Norm_Stats!$F$16),"",MAX(0,MIN(100,100*(Norm_Stats!$G$16-MIN(MAX(City_Inputs!$AL122,Norm_Stats!$F$16),Norm_Stats!$G$16))/(Norm_Stats!$G$16-Norm_Stats!$F$16)))))="",0,0.3))=0,"",(IF((IF(OR(City_Inputs!$AA122="",Norm_Stats!$F$15="",Norm_Stats!$G$15="",Norm_Stats!$G$15=Norm_Stats!$F$15),"",MAX(0,MIN(100,100*(MIN(MAX(City_Inputs!$AA122,Norm_Stats!$F$15),Norm_Stats!$G$15)-Norm_Stats!$F$15)/(Norm_Stats!$G$15-Norm_Stats!$F$15)))))="",0,(IF(OR(City_Inputs!$AA122="",Norm_Stats!$F$15="",Norm_Stats!$G$15="",Norm_Stats!$G$15=Norm_Stats!$F$15),"",MAX(0,MIN(100,100*(MIN(MAX(City_Inputs!$AA122,Norm_Stats!$F$15),Norm_Stats!$G$15)-Norm_Stats!$F$15)/(Norm_Stats!$G$15-Norm_Stats!$F$15)))))*0.7)+IF((IF(OR(City_Inputs!$AL122="",Norm_Stats!$F$16="",Norm_Stats!$G$16="",Norm_Stats!$G$16=Norm_Stats!$F$16),"",MAX(0,MIN(100,100*(Norm_Stats!$G$16-MIN(MAX(City_Inputs!$AL122,Norm_Stats!$F$16),Norm_Stats!$G$16))/(Norm_Stats!$G$16-Norm_Stats!$F$16)))))="",0,(IF(OR(City_Inputs!$AL122="",Norm_Stats!$F$16="",Norm_Stats!$G$16="",Norm_Stats!$G$16=Norm_Stats!$F$16),"",MAX(0,MIN(100,100*(Norm_Stats!$G$16-MIN(MAX(City_Inputs!$AL122,Norm_Stats!$F$16),Norm_Stats!$G$16))/(Norm_Stats!$G$16-Norm_Stats!$F$16)))))*0.3))/(IF((IF(OR(City_Inputs!$AA122="",Norm_Stats!$F$15="",Norm_Stats!$G$15="",Norm_Stats!$G$15=Norm_Stats!$F$15),"",MAX(0,MIN(100,100*(MIN(MAX(City_Inputs!$AA122,Norm_Stats!$F$15),Norm_Stats!$G$15)-Norm_Stats!$F$15)/(Norm_Stats!$G$15-Norm_Stats!$F$15)))))="",0,0.7)+IF((IF(OR(City_Inputs!$AL122="",Norm_Stats!$F$16="",Norm_Stats!$G$16="",Norm_Stats!$G$16=Norm_Stats!$F$16),"",MAX(0,MIN(100,100*(Norm_Stats!$G$16-MIN(MAX(City_Inputs!$AL122,Norm_Stats!$F$16),Norm_Stats!$G$16))/(Norm_Stats!$G$16-Norm_Stats!$F$16)))))="",0,0.3)))</f>
        <v/>
      </c>
      <c r="AL122" s="14">
        <f>IF((IF((IF(OR(City_Inputs!$AA122="",Norm_Stats!$F$15="",Norm_Stats!$G$15="",Norm_Stats!$G$15=Norm_Stats!$F$15),"",MAX(0,MIN(100,100*(MIN(MAX(City_Inputs!$AA122,Norm_Stats!$F$15),Norm_Stats!$G$15)-Norm_Stats!$F$15)/(Norm_Stats!$G$15-Norm_Stats!$F$15)))))="",0,0.7)+IF((IF(OR(City_Inputs!$AL122="",Norm_Stats!$F$16="",Norm_Stats!$G$16="",Norm_Stats!$G$16=Norm_Stats!$F$16),"",MAX(0,MIN(100,100*(Norm_Stats!$G$16-MIN(MAX(City_Inputs!$AL122,Norm_Stats!$F$16),Norm_Stats!$G$16))/(Norm_Stats!$G$16-Norm_Stats!$F$16)))))="",0,0.3))=0,"",(IF((IF(OR(City_Inputs!$AA122="",Norm_Stats!$F$15="",Norm_Stats!$G$15="",Norm_Stats!$G$15=Norm_Stats!$F$15),"",MAX(0,MIN(100,100*(MIN(MAX(City_Inputs!$AA122,Norm_Stats!$F$15),Norm_Stats!$G$15)-Norm_Stats!$F$15)/(Norm_Stats!$G$15-Norm_Stats!$F$15)))))="",0,0.7)+IF((IF(OR(City_Inputs!$AL122="",Norm_Stats!$F$16="",Norm_Stats!$G$16="",Norm_Stats!$G$16=Norm_Stats!$F$16),"",MAX(0,MIN(100,100*(Norm_Stats!$G$16-MIN(MAX(City_Inputs!$AL122,Norm_Stats!$F$16),Norm_Stats!$G$16))/(Norm_Stats!$G$16-Norm_Stats!$F$16)))))="",0,0.3)))</f>
        <v/>
      </c>
      <c r="AM122" s="15">
        <f>IF((IF(AG122="",0,8)+IF(AI122="",0,6)+IF(AK122="",0,4))=0,"",(IF(AG122="",0,AG122*8)+IF(AI122="",0,AI122*6)+IF(AK122="",0,AK122*4))/(IF(AG122="",0,8)+IF(AI122="",0,6)+IF(AK122="",0,4)))</f>
        <v/>
      </c>
      <c r="AN122" s="14">
        <f>IF((IF(AH122="",0,8)+IF(AJ122="",0,6)+IF(AL122="",0,4))=0,"",(IF(AH122="",0,AH122*8)+IF(AJ122="",0,AJ122*6)+IF(AL122="",0,AL122*4))/18)</f>
        <v/>
      </c>
      <c r="AO122" s="11">
        <f>IF(OR(City_Inputs!$AB122="",Norm_Stats!$F$17="",Norm_Stats!$G$17="",Norm_Stats!$G$17=Norm_Stats!$F$17),"",MAX(0,MIN(100,100*(MIN(MAX(City_Inputs!$AB122,Norm_Stats!$F$17),Norm_Stats!$G$17)-Norm_Stats!$F$17)/(Norm_Stats!$G$17-Norm_Stats!$F$17))))</f>
        <v/>
      </c>
      <c r="AP122" s="14">
        <f>IF(AO122="","",1)</f>
        <v/>
      </c>
      <c r="AQ122" s="11">
        <f>IF(OR(City_Inputs!$AC122="",Norm_Stats!$F$18="",Norm_Stats!$G$18="",Norm_Stats!$G$18=Norm_Stats!$F$18),"",MAX(0,MIN(100,100*(MIN(MAX(City_Inputs!$AC122,Norm_Stats!$F$18),Norm_Stats!$G$18)-Norm_Stats!$F$18)/(Norm_Stats!$G$18-Norm_Stats!$F$18))))</f>
        <v/>
      </c>
      <c r="AR122" s="14">
        <f>IF(AQ122="","",1)</f>
        <v/>
      </c>
      <c r="AS122" s="11">
        <f>IF(OR(City_Inputs!$AD122="",Norm_Stats!$F$19="",Norm_Stats!$G$19="",Norm_Stats!$G$19=Norm_Stats!$F$19),"",MAX(0,MIN(100,100*(MIN(MAX(City_Inputs!$AD122,Norm_Stats!$F$19),Norm_Stats!$G$19)-Norm_Stats!$F$19)/(Norm_Stats!$G$19-Norm_Stats!$F$19))))</f>
        <v/>
      </c>
      <c r="AT122" s="14">
        <f>IF(AS122="","",1)</f>
        <v/>
      </c>
      <c r="AU122" s="11">
        <f>IF(OR(City_Inputs!$BJ122="",Norm_Stats!$F$26="",Norm_Stats!$G$26="",Norm_Stats!$G$26=Norm_Stats!$F$26),"",MAX(0,MIN(100,100*(MIN(MAX(City_Inputs!$BJ122,Norm_Stats!$F$26),Norm_Stats!$G$26)-Norm_Stats!$F$26)/(Norm_Stats!$G$26-Norm_Stats!$F$26))))</f>
        <v/>
      </c>
      <c r="AV122" s="11">
        <f>IF(AU122="","",1)</f>
        <v/>
      </c>
      <c r="AW122" s="15">
        <f>IF((IF(AO122="",0,5)+IF(AQ122="",0,5)+IF(AS122="",0,5)+IF(AU122="",0,4))=0,"",(IF(AO122="",0,AO122*5)+IF(AQ122="",0,AQ122*5)+IF(AS122="",0,AS122*5)+IF(AU122="",0,AU122*4))/(IF(AO122="",0,5)+IF(AQ122="",0,5)+IF(AS122="",0,5)+IF(AU122="",0,4)))</f>
        <v/>
      </c>
      <c r="AX122" s="14">
        <f>IF((IF(AP122="",0,5)+IF(AR122="",0,5)+IF(AT122="",0,5)+IF(AV122="",0,4))=0,"",(IF(AP122="",0,AP122*5)+IF(AR122="",0,AR122*5)+IF(AT122="",0,AT122*5)+IF(AV122="",0,AV122*4))/19)</f>
        <v/>
      </c>
      <c r="AY122" s="11">
        <f>IF(OR(City_Inputs!$AE122="",Norm_Stats!$F$20="",Norm_Stats!$G$20="",Norm_Stats!$G$20=Norm_Stats!$F$20),"",MAX(0,MIN(100,100*(MIN(MAX(City_Inputs!$AE122,Norm_Stats!$F$20),Norm_Stats!$G$20)-Norm_Stats!$F$20)/(Norm_Stats!$G$20-Norm_Stats!$F$20))))</f>
        <v/>
      </c>
      <c r="AZ122" s="14">
        <f>IF(AY122="","",1)</f>
        <v/>
      </c>
      <c r="BA122" s="11">
        <f>IF(OR(City_Inputs!$AF122="",Norm_Stats!$F$21="",Norm_Stats!$G$21="",Norm_Stats!$G$21=Norm_Stats!$F$21),"",MAX(0,MIN(100,100*(MIN(MAX(City_Inputs!$AF122,Norm_Stats!$F$21),Norm_Stats!$G$21)-Norm_Stats!$F$21)/(Norm_Stats!$G$21-Norm_Stats!$F$21))))</f>
        <v/>
      </c>
      <c r="BB122" s="14">
        <f>IF(BA122="","",1)</f>
        <v/>
      </c>
      <c r="BC122" s="11">
        <f>IF((IF((IF(OR(City_Inputs!$AG122="",Norm_Stats!$F$22="",Norm_Stats!$G$22="",Norm_Stats!$G$22=Norm_Stats!$F$22),"",MAX(0,MIN(100,100*(MIN(MAX(City_Inputs!$AG122,Norm_Stats!$F$22),Norm_Stats!$G$22)-Norm_Stats!$F$22)/(Norm_Stats!$G$22-Norm_Stats!$F$22)))))="",0,0.5)+IF((IF(OR(City_Inputs!$AJ122="",Norm_Stats!$F$23="",Norm_Stats!$G$23="",Norm_Stats!$G$23=Norm_Stats!$F$23),"",MAX(0,MIN(100,100*(MIN(MAX(City_Inputs!$AJ122,Norm_Stats!$F$23),Norm_Stats!$G$23)-Norm_Stats!$F$23)/(Norm_Stats!$G$23-Norm_Stats!$F$23)))))="",0,0.3)+IF((IF(OR(City_Inputs!$AK122="",Norm_Stats!$F$24="",Norm_Stats!$G$24="",Norm_Stats!$G$24=Norm_Stats!$F$24),"",MAX(0,MIN(100,100*(MIN(MAX(City_Inputs!$AK122,Norm_Stats!$F$24),Norm_Stats!$G$24)-Norm_Stats!$F$24)/(Norm_Stats!$G$24-Norm_Stats!$F$24)))))="",0,0.2))=0,"",(IF((IF(OR(City_Inputs!$AG122="",Norm_Stats!$F$22="",Norm_Stats!$G$22="",Norm_Stats!$G$22=Norm_Stats!$F$22),"",MAX(0,MIN(100,100*(MIN(MAX(City_Inputs!$AG122,Norm_Stats!$F$22),Norm_Stats!$G$22)-Norm_Stats!$F$22)/(Norm_Stats!$G$22-Norm_Stats!$F$22)))))="",0,(IF(OR(City_Inputs!$AG122="",Norm_Stats!$F$22="",Norm_Stats!$G$22="",Norm_Stats!$G$22=Norm_Stats!$F$22),"",MAX(0,MIN(100,100*(MIN(MAX(City_Inputs!$AG122,Norm_Stats!$F$22),Norm_Stats!$G$22)-Norm_Stats!$F$22)/(Norm_Stats!$G$22-Norm_Stats!$F$22)))))*0.5)+IF((IF(OR(City_Inputs!$AJ122="",Norm_Stats!$F$23="",Norm_Stats!$G$23="",Norm_Stats!$G$23=Norm_Stats!$F$23),"",MAX(0,MIN(100,100*(MIN(MAX(City_Inputs!$AJ122,Norm_Stats!$F$23),Norm_Stats!$G$23)-Norm_Stats!$F$23)/(Norm_Stats!$G$23-Norm_Stats!$F$23)))))="",0,(IF(OR(City_Inputs!$AJ122="",Norm_Stats!$F$23="",Norm_Stats!$G$23="",Norm_Stats!$G$23=Norm_Stats!$F$23),"",MAX(0,MIN(100,100*(MIN(MAX(City_Inputs!$AJ122,Norm_Stats!$F$23),Norm_Stats!$G$23)-Norm_Stats!$F$23)/(Norm_Stats!$G$23-Norm_Stats!$F$23)))))*0.3)+IF((IF(OR(City_Inputs!$AK122="",Norm_Stats!$F$24="",Norm_Stats!$G$24="",Norm_Stats!$G$24=Norm_Stats!$F$24),"",MAX(0,MIN(100,100*(MIN(MAX(City_Inputs!$AK122,Norm_Stats!$F$24),Norm_Stats!$G$24)-Norm_Stats!$F$24)/(Norm_Stats!$G$24-Norm_Stats!$F$24)))))="",0,(IF(OR(City_Inputs!$AK122="",Norm_Stats!$F$24="",Norm_Stats!$G$24="",Norm_Stats!$G$24=Norm_Stats!$F$24),"",MAX(0,MIN(100,100*(MIN(MAX(City_Inputs!$AK122,Norm_Stats!$F$24),Norm_Stats!$G$24)-Norm_Stats!$F$24)/(Norm_Stats!$G$24-Norm_Stats!$F$24)))))*0.2))/(IF((IF(OR(City_Inputs!$AG122="",Norm_Stats!$F$22="",Norm_Stats!$G$22="",Norm_Stats!$G$22=Norm_Stats!$F$22),"",MAX(0,MIN(100,100*(MIN(MAX(City_Inputs!$AG122,Norm_Stats!$F$22),Norm_Stats!$G$22)-Norm_Stats!$F$22)/(Norm_Stats!$G$22-Norm_Stats!$F$22)))))="",0,0.5)+IF((IF(OR(City_Inputs!$AJ122="",Norm_Stats!$F$23="",Norm_Stats!$G$23="",Norm_Stats!$G$23=Norm_Stats!$F$23),"",MAX(0,MIN(100,100*(MIN(MAX(City_Inputs!$AJ122,Norm_Stats!$F$23),Norm_Stats!$G$23)-Norm_Stats!$F$23)/(Norm_Stats!$G$23-Norm_Stats!$F$23)))))="",0,0.3)+IF((IF(OR(City_Inputs!$AK122="",Norm_Stats!$F$24="",Norm_Stats!$G$24="",Norm_Stats!$G$24=Norm_Stats!$F$24),"",MAX(0,MIN(100,100*(MIN(MAX(City_Inputs!$AK122,Norm_Stats!$F$24),Norm_Stats!$G$24)-Norm_Stats!$F$24)/(Norm_Stats!$G$24-Norm_Stats!$F$24)))))="",0,0.2)))</f>
        <v/>
      </c>
      <c r="BD122" s="14">
        <f>IF((IF((IF(OR(City_Inputs!$AG122="",Norm_Stats!$F$22="",Norm_Stats!$G$22="",Norm_Stats!$G$22=Norm_Stats!$F$22),"",MAX(0,MIN(100,100*(MIN(MAX(City_Inputs!$AG122,Norm_Stats!$F$22),Norm_Stats!$G$22)-Norm_Stats!$F$22)/(Norm_Stats!$G$22-Norm_Stats!$F$22)))))="",0,0.5)+IF((IF(OR(City_Inputs!$AJ122="",Norm_Stats!$F$23="",Norm_Stats!$G$23="",Norm_Stats!$G$23=Norm_Stats!$F$23),"",MAX(0,MIN(100,100*(MIN(MAX(City_Inputs!$AJ122,Norm_Stats!$F$23),Norm_Stats!$G$23)-Norm_Stats!$F$23)/(Norm_Stats!$G$23-Norm_Stats!$F$23)))))="",0,0.3)+IF((IF(OR(City_Inputs!$AK122="",Norm_Stats!$F$24="",Norm_Stats!$G$24="",Norm_Stats!$G$24=Norm_Stats!$F$24),"",MAX(0,MIN(100,100*(MIN(MAX(City_Inputs!$AK122,Norm_Stats!$F$24),Norm_Stats!$G$24)-Norm_Stats!$F$24)/(Norm_Stats!$G$24-Norm_Stats!$F$24)))))="",0,0.2))=0,"",(IF((IF(OR(City_Inputs!$AG122="",Norm_Stats!$F$22="",Norm_Stats!$G$22="",Norm_Stats!$G$22=Norm_Stats!$F$22),"",MAX(0,MIN(100,100*(MIN(MAX(City_Inputs!$AG122,Norm_Stats!$F$22),Norm_Stats!$G$22)-Norm_Stats!$F$22)/(Norm_Stats!$G$22-Norm_Stats!$F$22)))))="",0,0.5)+IF((IF(OR(City_Inputs!$AJ122="",Norm_Stats!$F$23="",Norm_Stats!$G$23="",Norm_Stats!$G$23=Norm_Stats!$F$23),"",MAX(0,MIN(100,100*(MIN(MAX(City_Inputs!$AJ122,Norm_Stats!$F$23),Norm_Stats!$G$23)-Norm_Stats!$F$23)/(Norm_Stats!$G$23-Norm_Stats!$F$23)))))="",0,0.3)+IF((IF(OR(City_Inputs!$AK122="",Norm_Stats!$F$24="",Norm_Stats!$G$24="",Norm_Stats!$G$24=Norm_Stats!$F$24),"",MAX(0,MIN(100,100*(MIN(MAX(City_Inputs!$AK122,Norm_Stats!$F$24),Norm_Stats!$G$24)-Norm_Stats!$F$24)/(Norm_Stats!$G$24-Norm_Stats!$F$24)))))="",0,0.2)))</f>
        <v/>
      </c>
      <c r="BE122" s="11">
        <f>IF(OR(City_Inputs!$AH122="",Norm_Stats!$F$25="",Norm_Stats!$G$25="",Norm_Stats!$G$25=Norm_Stats!$F$25),"",MAX(0,MIN(100,100*(Norm_Stats!$G$25-MIN(MAX(City_Inputs!$AH122,Norm_Stats!$F$25),Norm_Stats!$G$25))/(Norm_Stats!$G$25-Norm_Stats!$F$25))))</f>
        <v/>
      </c>
      <c r="BF122" s="14">
        <f>IF(BE122="","",1)</f>
        <v/>
      </c>
      <c r="BG122" s="15">
        <f>IF((IF(AY122="",0,6)+IF(BA122="",0,5)+IF(BC122="",0,5)+IF(BE122="",0,4))=0,"",(IF(AY122="",0,AY122*6)+IF(BA122="",0,BA122*5)+IF(BC122="",0,BC122*5)+IF(BE122="",0,BE122*4))/(IF(AY122="",0,6)+IF(BA122="",0,5)+IF(BC122="",0,5)+IF(BE122="",0,4)))</f>
        <v/>
      </c>
      <c r="BH122" s="14">
        <f>IF((IF(AZ122="",0,6)+IF(BB122="",0,5)+IF(BD122="",0,5)+IF(BF122="",0,4))=0,"",(IF(AZ122="",0,AZ122*6)+IF(BB122="",0,BB122*5)+IF(BD122="",0,BD122*5)+IF(BF122="",0,BF122*4))/20)</f>
        <v/>
      </c>
      <c r="BI122" s="14">
        <f>IF(AND(R122="",AF122="",AN122="",AX122="",BH122=""),"",((R122*25)+(AF122*22)+(AN122*18)+(AX122*15)+(BH122*20))/100)</f>
        <v/>
      </c>
      <c r="BJ122" s="11">
        <f>IF(BI122="","",IF(BI122&gt;=0.75,"A",IF(BI122&gt;=0.5,"B",IF(BI122&gt;=0.35,"C","Watchlist"))))</f>
        <v/>
      </c>
      <c r="BK122" s="11">
        <f>IF(OR(BI122="",BI122&lt;0.5,R122="",R122&lt;0.35,AF122="",AF122&lt;0.35,AN122="",AN122&lt;0.35,AX122="",AX122&lt;0.35,BH122="",BH122&lt;0.35),"Watchlist","Ranked")</f>
        <v/>
      </c>
      <c r="BL122" s="15">
        <f>IF(AND(Q122="",AE122="",AM122="",AW122="",BG122=""),"",(IF(Q122="",0,Q122*25)+IF(AE122="",0,AE122*22)+IF(AM122="",0,AM122*18)+IF(AW122="",0,AW122*15)+IF(BG122="",0,BG122*20))/(IF(Q122="",0,25)+IF(AE122="",0,22)+IF(AM122="",0,18)+IF(AW122="",0,15)+IF(BG122="",0,20)))</f>
        <v/>
      </c>
      <c r="BM122" s="11">
        <f>IF(BK122="Ranked",1+COUNTIFS($BK$2:$BK$158,"Ranked",$BL$2:$BL$158,"&gt;"&amp;BL122),"")</f>
        <v/>
      </c>
      <c r="BN122" s="11">
        <f>City_Inputs!$AI122</f>
        <v/>
      </c>
    </row>
    <row r="123">
      <c r="A123" t="inlineStr">
        <is>
          <t>cz-brno</t>
        </is>
      </c>
      <c r="B123" t="inlineStr">
        <is>
          <t>Brno</t>
        </is>
      </c>
      <c r="C123" t="inlineStr">
        <is>
          <t>Czechia</t>
        </is>
      </c>
      <c r="D123" t="inlineStr">
        <is>
          <t>Southern/Eastern Europe and Eurasia</t>
        </is>
      </c>
      <c r="E123" t="inlineStr">
        <is>
          <t>provisional</t>
        </is>
      </c>
      <c r="F123" t="inlineStr">
        <is>
          <t>secondary</t>
        </is>
      </c>
      <c r="G123" s="11">
        <f>IF(OR(City_Inputs!$M123="",Norm_Stats!$F$2="",Norm_Stats!$G$2="",Norm_Stats!$G$2=Norm_Stats!$F$2),"",MAX(0,MIN(100,100*(MIN(MAX(City_Inputs!$M123,Norm_Stats!$F$2),Norm_Stats!$G$2)-Norm_Stats!$F$2)/(Norm_Stats!$G$2-Norm_Stats!$F$2))))</f>
        <v/>
      </c>
      <c r="H123" s="14">
        <f>IF(G123="","",1)</f>
        <v/>
      </c>
      <c r="I123" s="11">
        <f>IF(OR(City_Inputs!$N123="",Norm_Stats!$F$3="",Norm_Stats!$G$3="",Norm_Stats!$G$3=Norm_Stats!$F$3),"",MAX(0,MIN(100,100*(Norm_Stats!$G$3-MIN(MAX(City_Inputs!$N123,Norm_Stats!$F$3),Norm_Stats!$G$3))/(Norm_Stats!$G$3-Norm_Stats!$F$3))))</f>
        <v/>
      </c>
      <c r="J123" s="14">
        <f>IF(I123="","",1)</f>
        <v/>
      </c>
      <c r="K123" s="11">
        <f>IF(OR(City_Inputs!$P123="",Norm_Stats!$F$4="",Norm_Stats!$G$4="",Norm_Stats!$G$4=Norm_Stats!$F$4),"",MAX(0,MIN(100,100*(Norm_Stats!$G$4-MIN(MAX(City_Inputs!$P123,Norm_Stats!$F$4),Norm_Stats!$G$4))/(Norm_Stats!$G$4-Norm_Stats!$F$4))))</f>
        <v/>
      </c>
      <c r="L123" s="14">
        <f>IF(K123="","",1)</f>
        <v/>
      </c>
      <c r="M123" s="11">
        <f>IF(OR(City_Inputs!$Q123="",Norm_Stats!$F$5="",Norm_Stats!$G$5="",Norm_Stats!$G$5=Norm_Stats!$F$5),"",MAX(0,MIN(100,100*(Norm_Stats!$G$5-MIN(MAX(City_Inputs!$Q123,Norm_Stats!$F$5),Norm_Stats!$G$5))/(Norm_Stats!$G$5-Norm_Stats!$F$5))))</f>
        <v/>
      </c>
      <c r="N123" s="14">
        <f>IF(M123="","",1)</f>
        <v/>
      </c>
      <c r="O123" s="11">
        <f>IF(OR(City_Inputs!$R123="",Norm_Stats!$F$6="",Norm_Stats!$G$6="",Norm_Stats!$G$6=Norm_Stats!$F$6),"",MAX(0,MIN(100,100*(Norm_Stats!$G$6-MIN(MAX(City_Inputs!$R123,Norm_Stats!$F$6),Norm_Stats!$G$6))/(Norm_Stats!$G$6-Norm_Stats!$F$6))))</f>
        <v/>
      </c>
      <c r="P123" s="14">
        <f>IF(O123="","",1)</f>
        <v/>
      </c>
      <c r="Q123" s="15">
        <f>IF((IF(G123="",0,9)+IF(I123="",0,5)+IF(K123="",0,4)+IF(M123="",0,4)+IF(O123="",0,5))=0,"",(IF(G123="",0,G123*9)+IF(I123="",0,I123*5)+IF(K123="",0,K123*4)+IF(M123="",0,M123*4)+IF(O123="",0,O123*5))/(IF(G123="",0,9)+IF(I123="",0,5)+IF(K123="",0,4)+IF(M123="",0,4)+IF(O123="",0,5)))</f>
        <v/>
      </c>
      <c r="R123" s="14">
        <f>IF((IF(H123="",0,9)+IF(J123="",0,5)+IF(L123="",0,4)+IF(N123="",0,4)+IF(P123="",0,5))=0,"",(IF(H123="",0,H123*9)+IF(J123="",0,J123*5)+IF(L123="",0,L123*4)+IF(N123="",0,N123*4)+IF(P123="",0,P123*5))/27)</f>
        <v/>
      </c>
      <c r="S123" s="11">
        <f>IF(OR(City_Inputs!$S123="",Norm_Stats!$F$7="",Norm_Stats!$G$7="",Norm_Stats!$G$7=Norm_Stats!$F$7),"",MAX(0,MIN(100,100*(Norm_Stats!$G$7-MIN(MAX(City_Inputs!$S123,Norm_Stats!$F$7),Norm_Stats!$G$7))/(Norm_Stats!$G$7-Norm_Stats!$F$7))))</f>
        <v/>
      </c>
      <c r="T123" s="14">
        <f>IF(S123="","",1)</f>
        <v/>
      </c>
      <c r="U123" s="11">
        <f>IF(OR(City_Inputs!$T123="",Norm_Stats!$F$8="",Norm_Stats!$G$8="",Norm_Stats!$G$8=Norm_Stats!$F$8),"",MAX(0,MIN(100,100*(MIN(MAX(City_Inputs!$T123,Norm_Stats!$F$8),Norm_Stats!$G$8)-Norm_Stats!$F$8)/(Norm_Stats!$G$8-Norm_Stats!$F$8))))</f>
        <v/>
      </c>
      <c r="V123" s="14">
        <f>IF(U123="","",1)</f>
        <v/>
      </c>
      <c r="W123" s="11">
        <f>IF(OR(City_Inputs!$U123="",Norm_Stats!$F$9="",Norm_Stats!$G$9="",Norm_Stats!$G$9=Norm_Stats!$F$9),"",MAX(0,MIN(100,100*(Norm_Stats!$G$9-MIN(MAX(City_Inputs!$U123,Norm_Stats!$F$9),Norm_Stats!$G$9))/(Norm_Stats!$G$9-Norm_Stats!$F$9))))</f>
        <v/>
      </c>
      <c r="X123" s="14">
        <f>IF(W123="","",1)</f>
        <v/>
      </c>
      <c r="Y123" s="11">
        <f>IF(OR(City_Inputs!$V123="",Norm_Stats!$F$10="",Norm_Stats!$G$10="",Norm_Stats!$G$10=Norm_Stats!$F$10),"",MAX(0,MIN(100,100*(MIN(MAX(City_Inputs!$V123,Norm_Stats!$F$10),Norm_Stats!$G$10)-Norm_Stats!$F$10)/(Norm_Stats!$G$10-Norm_Stats!$F$10))))</f>
        <v/>
      </c>
      <c r="Z123" s="14">
        <f>IF(Y123="","",1)</f>
        <v/>
      </c>
      <c r="AA123" s="11">
        <f>IF(OR(City_Inputs!$W123="",Norm_Stats!$F$11="",Norm_Stats!$G$11="",Norm_Stats!$G$11=Norm_Stats!$F$11),"",MAX(0,MIN(100,100*(MIN(MAX(City_Inputs!$W123,Norm_Stats!$F$11),Norm_Stats!$G$11)-Norm_Stats!$F$11)/(Norm_Stats!$G$11-Norm_Stats!$F$11))))</f>
        <v/>
      </c>
      <c r="AB123" s="14">
        <f>IF(AA123="","",1)</f>
        <v/>
      </c>
      <c r="AC123" s="11">
        <f>IF(OR(City_Inputs!$X123="",Norm_Stats!$F$12="",Norm_Stats!$G$12="",Norm_Stats!$G$12=Norm_Stats!$F$12),"",MAX(0,MIN(100,100*(MIN(MAX(City_Inputs!$X123,Norm_Stats!$F$12),Norm_Stats!$G$12)-Norm_Stats!$F$12)/(Norm_Stats!$G$12-Norm_Stats!$F$12))))</f>
        <v/>
      </c>
      <c r="AD123" s="11">
        <f>IF(AC123="","",1)</f>
        <v/>
      </c>
      <c r="AE123" s="15">
        <f>IF((IF(S123="",0,5)+IF(U123="",0,5)+IF(W123="",0,4)+IF(Y123="",0,4)+IF(AA123="",0,4)+IF(AC123="",0,5))=0,"",(IF(S123="",0,S123*5)+IF(U123="",0,U123*5)+IF(W123="",0,W123*4)+IF(Y123="",0,Y123*4)+IF(AA123="",0,AA123*4)+IF(AC123="",0,AC123*5))/(IF(S123="",0,5)+IF(U123="",0,5)+IF(W123="",0,4)+IF(Y123="",0,4)+IF(AA123="",0,4)+IF(AC123="",0,5)))</f>
        <v/>
      </c>
      <c r="AF123" s="14">
        <f>IF((IF(T123="",0,5)+IF(V123="",0,5)+IF(X123="",0,4)+IF(Z123="",0,4)+IF(AB123="",0,4)+IF(AD123="",0,5))=0,"",(IF(T123="",0,T123*5)+IF(V123="",0,V123*5)+IF(X123="",0,X123*4)+IF(Z123="",0,Z123*4)+IF(AB123="",0,AB123*4)+IF(AD123="",0,AD123*5))/27)</f>
        <v/>
      </c>
      <c r="AG123" s="11">
        <f>IF(OR(City_Inputs!$Y123="",Norm_Stats!$F$13="",Norm_Stats!$G$13="",Norm_Stats!$G$13=Norm_Stats!$F$13),"",MAX(0,MIN(100,100*(MIN(MAX(City_Inputs!$Y123,Norm_Stats!$F$13),Norm_Stats!$G$13)-Norm_Stats!$F$13)/(Norm_Stats!$G$13-Norm_Stats!$F$13))))</f>
        <v/>
      </c>
      <c r="AH123" s="14">
        <f>IF(AG123="","",1)</f>
        <v/>
      </c>
      <c r="AI123" s="11">
        <f>IF(OR(City_Inputs!$Z123="",Norm_Stats!$F$14="",Norm_Stats!$G$14="",Norm_Stats!$G$14=Norm_Stats!$F$14),"",MAX(0,MIN(100,100*(MIN(MAX(City_Inputs!$Z123,Norm_Stats!$F$14),Norm_Stats!$G$14)-Norm_Stats!$F$14)/(Norm_Stats!$G$14-Norm_Stats!$F$14))))</f>
        <v/>
      </c>
      <c r="AJ123" s="14">
        <f>IF(AI123="","",1)</f>
        <v/>
      </c>
      <c r="AK123" s="11">
        <f>IF((IF((IF(OR(City_Inputs!$AA123="",Norm_Stats!$F$15="",Norm_Stats!$G$15="",Norm_Stats!$G$15=Norm_Stats!$F$15),"",MAX(0,MIN(100,100*(MIN(MAX(City_Inputs!$AA123,Norm_Stats!$F$15),Norm_Stats!$G$15)-Norm_Stats!$F$15)/(Norm_Stats!$G$15-Norm_Stats!$F$15)))))="",0,0.7)+IF((IF(OR(City_Inputs!$AL123="",Norm_Stats!$F$16="",Norm_Stats!$G$16="",Norm_Stats!$G$16=Norm_Stats!$F$16),"",MAX(0,MIN(100,100*(Norm_Stats!$G$16-MIN(MAX(City_Inputs!$AL123,Norm_Stats!$F$16),Norm_Stats!$G$16))/(Norm_Stats!$G$16-Norm_Stats!$F$16)))))="",0,0.3))=0,"",(IF((IF(OR(City_Inputs!$AA123="",Norm_Stats!$F$15="",Norm_Stats!$G$15="",Norm_Stats!$G$15=Norm_Stats!$F$15),"",MAX(0,MIN(100,100*(MIN(MAX(City_Inputs!$AA123,Norm_Stats!$F$15),Norm_Stats!$G$15)-Norm_Stats!$F$15)/(Norm_Stats!$G$15-Norm_Stats!$F$15)))))="",0,(IF(OR(City_Inputs!$AA123="",Norm_Stats!$F$15="",Norm_Stats!$G$15="",Norm_Stats!$G$15=Norm_Stats!$F$15),"",MAX(0,MIN(100,100*(MIN(MAX(City_Inputs!$AA123,Norm_Stats!$F$15),Norm_Stats!$G$15)-Norm_Stats!$F$15)/(Norm_Stats!$G$15-Norm_Stats!$F$15)))))*0.7)+IF((IF(OR(City_Inputs!$AL123="",Norm_Stats!$F$16="",Norm_Stats!$G$16="",Norm_Stats!$G$16=Norm_Stats!$F$16),"",MAX(0,MIN(100,100*(Norm_Stats!$G$16-MIN(MAX(City_Inputs!$AL123,Norm_Stats!$F$16),Norm_Stats!$G$16))/(Norm_Stats!$G$16-Norm_Stats!$F$16)))))="",0,(IF(OR(City_Inputs!$AL123="",Norm_Stats!$F$16="",Norm_Stats!$G$16="",Norm_Stats!$G$16=Norm_Stats!$F$16),"",MAX(0,MIN(100,100*(Norm_Stats!$G$16-MIN(MAX(City_Inputs!$AL123,Norm_Stats!$F$16),Norm_Stats!$G$16))/(Norm_Stats!$G$16-Norm_Stats!$F$16)))))*0.3))/(IF((IF(OR(City_Inputs!$AA123="",Norm_Stats!$F$15="",Norm_Stats!$G$15="",Norm_Stats!$G$15=Norm_Stats!$F$15),"",MAX(0,MIN(100,100*(MIN(MAX(City_Inputs!$AA123,Norm_Stats!$F$15),Norm_Stats!$G$15)-Norm_Stats!$F$15)/(Norm_Stats!$G$15-Norm_Stats!$F$15)))))="",0,0.7)+IF((IF(OR(City_Inputs!$AL123="",Norm_Stats!$F$16="",Norm_Stats!$G$16="",Norm_Stats!$G$16=Norm_Stats!$F$16),"",MAX(0,MIN(100,100*(Norm_Stats!$G$16-MIN(MAX(City_Inputs!$AL123,Norm_Stats!$F$16),Norm_Stats!$G$16))/(Norm_Stats!$G$16-Norm_Stats!$F$16)))))="",0,0.3)))</f>
        <v/>
      </c>
      <c r="AL123" s="14">
        <f>IF((IF((IF(OR(City_Inputs!$AA123="",Norm_Stats!$F$15="",Norm_Stats!$G$15="",Norm_Stats!$G$15=Norm_Stats!$F$15),"",MAX(0,MIN(100,100*(MIN(MAX(City_Inputs!$AA123,Norm_Stats!$F$15),Norm_Stats!$G$15)-Norm_Stats!$F$15)/(Norm_Stats!$G$15-Norm_Stats!$F$15)))))="",0,0.7)+IF((IF(OR(City_Inputs!$AL123="",Norm_Stats!$F$16="",Norm_Stats!$G$16="",Norm_Stats!$G$16=Norm_Stats!$F$16),"",MAX(0,MIN(100,100*(Norm_Stats!$G$16-MIN(MAX(City_Inputs!$AL123,Norm_Stats!$F$16),Norm_Stats!$G$16))/(Norm_Stats!$G$16-Norm_Stats!$F$16)))))="",0,0.3))=0,"",(IF((IF(OR(City_Inputs!$AA123="",Norm_Stats!$F$15="",Norm_Stats!$G$15="",Norm_Stats!$G$15=Norm_Stats!$F$15),"",MAX(0,MIN(100,100*(MIN(MAX(City_Inputs!$AA123,Norm_Stats!$F$15),Norm_Stats!$G$15)-Norm_Stats!$F$15)/(Norm_Stats!$G$15-Norm_Stats!$F$15)))))="",0,0.7)+IF((IF(OR(City_Inputs!$AL123="",Norm_Stats!$F$16="",Norm_Stats!$G$16="",Norm_Stats!$G$16=Norm_Stats!$F$16),"",MAX(0,MIN(100,100*(Norm_Stats!$G$16-MIN(MAX(City_Inputs!$AL123,Norm_Stats!$F$16),Norm_Stats!$G$16))/(Norm_Stats!$G$16-Norm_Stats!$F$16)))))="",0,0.3)))</f>
        <v/>
      </c>
      <c r="AM123" s="15">
        <f>IF((IF(AG123="",0,8)+IF(AI123="",0,6)+IF(AK123="",0,4))=0,"",(IF(AG123="",0,AG123*8)+IF(AI123="",0,AI123*6)+IF(AK123="",0,AK123*4))/(IF(AG123="",0,8)+IF(AI123="",0,6)+IF(AK123="",0,4)))</f>
        <v/>
      </c>
      <c r="AN123" s="14">
        <f>IF((IF(AH123="",0,8)+IF(AJ123="",0,6)+IF(AL123="",0,4))=0,"",(IF(AH123="",0,AH123*8)+IF(AJ123="",0,AJ123*6)+IF(AL123="",0,AL123*4))/18)</f>
        <v/>
      </c>
      <c r="AO123" s="11">
        <f>IF(OR(City_Inputs!$AB123="",Norm_Stats!$F$17="",Norm_Stats!$G$17="",Norm_Stats!$G$17=Norm_Stats!$F$17),"",MAX(0,MIN(100,100*(MIN(MAX(City_Inputs!$AB123,Norm_Stats!$F$17),Norm_Stats!$G$17)-Norm_Stats!$F$17)/(Norm_Stats!$G$17-Norm_Stats!$F$17))))</f>
        <v/>
      </c>
      <c r="AP123" s="14">
        <f>IF(AO123="","",1)</f>
        <v/>
      </c>
      <c r="AQ123" s="11">
        <f>IF(OR(City_Inputs!$AC123="",Norm_Stats!$F$18="",Norm_Stats!$G$18="",Norm_Stats!$G$18=Norm_Stats!$F$18),"",MAX(0,MIN(100,100*(MIN(MAX(City_Inputs!$AC123,Norm_Stats!$F$18),Norm_Stats!$G$18)-Norm_Stats!$F$18)/(Norm_Stats!$G$18-Norm_Stats!$F$18))))</f>
        <v/>
      </c>
      <c r="AR123" s="14">
        <f>IF(AQ123="","",1)</f>
        <v/>
      </c>
      <c r="AS123" s="11">
        <f>IF(OR(City_Inputs!$AD123="",Norm_Stats!$F$19="",Norm_Stats!$G$19="",Norm_Stats!$G$19=Norm_Stats!$F$19),"",MAX(0,MIN(100,100*(MIN(MAX(City_Inputs!$AD123,Norm_Stats!$F$19),Norm_Stats!$G$19)-Norm_Stats!$F$19)/(Norm_Stats!$G$19-Norm_Stats!$F$19))))</f>
        <v/>
      </c>
      <c r="AT123" s="14">
        <f>IF(AS123="","",1)</f>
        <v/>
      </c>
      <c r="AU123" s="11">
        <f>IF(OR(City_Inputs!$BJ123="",Norm_Stats!$F$26="",Norm_Stats!$G$26="",Norm_Stats!$G$26=Norm_Stats!$F$26),"",MAX(0,MIN(100,100*(MIN(MAX(City_Inputs!$BJ123,Norm_Stats!$F$26),Norm_Stats!$G$26)-Norm_Stats!$F$26)/(Norm_Stats!$G$26-Norm_Stats!$F$26))))</f>
        <v/>
      </c>
      <c r="AV123" s="11">
        <f>IF(AU123="","",1)</f>
        <v/>
      </c>
      <c r="AW123" s="15">
        <f>IF((IF(AO123="",0,5)+IF(AQ123="",0,5)+IF(AS123="",0,5)+IF(AU123="",0,4))=0,"",(IF(AO123="",0,AO123*5)+IF(AQ123="",0,AQ123*5)+IF(AS123="",0,AS123*5)+IF(AU123="",0,AU123*4))/(IF(AO123="",0,5)+IF(AQ123="",0,5)+IF(AS123="",0,5)+IF(AU123="",0,4)))</f>
        <v/>
      </c>
      <c r="AX123" s="14">
        <f>IF((IF(AP123="",0,5)+IF(AR123="",0,5)+IF(AT123="",0,5)+IF(AV123="",0,4))=0,"",(IF(AP123="",0,AP123*5)+IF(AR123="",0,AR123*5)+IF(AT123="",0,AT123*5)+IF(AV123="",0,AV123*4))/19)</f>
        <v/>
      </c>
      <c r="AY123" s="11">
        <f>IF(OR(City_Inputs!$AE123="",Norm_Stats!$F$20="",Norm_Stats!$G$20="",Norm_Stats!$G$20=Norm_Stats!$F$20),"",MAX(0,MIN(100,100*(MIN(MAX(City_Inputs!$AE123,Norm_Stats!$F$20),Norm_Stats!$G$20)-Norm_Stats!$F$20)/(Norm_Stats!$G$20-Norm_Stats!$F$20))))</f>
        <v/>
      </c>
      <c r="AZ123" s="14">
        <f>IF(AY123="","",1)</f>
        <v/>
      </c>
      <c r="BA123" s="11">
        <f>IF(OR(City_Inputs!$AF123="",Norm_Stats!$F$21="",Norm_Stats!$G$21="",Norm_Stats!$G$21=Norm_Stats!$F$21),"",MAX(0,MIN(100,100*(MIN(MAX(City_Inputs!$AF123,Norm_Stats!$F$21),Norm_Stats!$G$21)-Norm_Stats!$F$21)/(Norm_Stats!$G$21-Norm_Stats!$F$21))))</f>
        <v/>
      </c>
      <c r="BB123" s="14">
        <f>IF(BA123="","",1)</f>
        <v/>
      </c>
      <c r="BC123" s="11">
        <f>IF((IF((IF(OR(City_Inputs!$AG123="",Norm_Stats!$F$22="",Norm_Stats!$G$22="",Norm_Stats!$G$22=Norm_Stats!$F$22),"",MAX(0,MIN(100,100*(MIN(MAX(City_Inputs!$AG123,Norm_Stats!$F$22),Norm_Stats!$G$22)-Norm_Stats!$F$22)/(Norm_Stats!$G$22-Norm_Stats!$F$22)))))="",0,0.5)+IF((IF(OR(City_Inputs!$AJ123="",Norm_Stats!$F$23="",Norm_Stats!$G$23="",Norm_Stats!$G$23=Norm_Stats!$F$23),"",MAX(0,MIN(100,100*(MIN(MAX(City_Inputs!$AJ123,Norm_Stats!$F$23),Norm_Stats!$G$23)-Norm_Stats!$F$23)/(Norm_Stats!$G$23-Norm_Stats!$F$23)))))="",0,0.3)+IF((IF(OR(City_Inputs!$AK123="",Norm_Stats!$F$24="",Norm_Stats!$G$24="",Norm_Stats!$G$24=Norm_Stats!$F$24),"",MAX(0,MIN(100,100*(MIN(MAX(City_Inputs!$AK123,Norm_Stats!$F$24),Norm_Stats!$G$24)-Norm_Stats!$F$24)/(Norm_Stats!$G$24-Norm_Stats!$F$24)))))="",0,0.2))=0,"",(IF((IF(OR(City_Inputs!$AG123="",Norm_Stats!$F$22="",Norm_Stats!$G$22="",Norm_Stats!$G$22=Norm_Stats!$F$22),"",MAX(0,MIN(100,100*(MIN(MAX(City_Inputs!$AG123,Norm_Stats!$F$22),Norm_Stats!$G$22)-Norm_Stats!$F$22)/(Norm_Stats!$G$22-Norm_Stats!$F$22)))))="",0,(IF(OR(City_Inputs!$AG123="",Norm_Stats!$F$22="",Norm_Stats!$G$22="",Norm_Stats!$G$22=Norm_Stats!$F$22),"",MAX(0,MIN(100,100*(MIN(MAX(City_Inputs!$AG123,Norm_Stats!$F$22),Norm_Stats!$G$22)-Norm_Stats!$F$22)/(Norm_Stats!$G$22-Norm_Stats!$F$22)))))*0.5)+IF((IF(OR(City_Inputs!$AJ123="",Norm_Stats!$F$23="",Norm_Stats!$G$23="",Norm_Stats!$G$23=Norm_Stats!$F$23),"",MAX(0,MIN(100,100*(MIN(MAX(City_Inputs!$AJ123,Norm_Stats!$F$23),Norm_Stats!$G$23)-Norm_Stats!$F$23)/(Norm_Stats!$G$23-Norm_Stats!$F$23)))))="",0,(IF(OR(City_Inputs!$AJ123="",Norm_Stats!$F$23="",Norm_Stats!$G$23="",Norm_Stats!$G$23=Norm_Stats!$F$23),"",MAX(0,MIN(100,100*(MIN(MAX(City_Inputs!$AJ123,Norm_Stats!$F$23),Norm_Stats!$G$23)-Norm_Stats!$F$23)/(Norm_Stats!$G$23-Norm_Stats!$F$23)))))*0.3)+IF((IF(OR(City_Inputs!$AK123="",Norm_Stats!$F$24="",Norm_Stats!$G$24="",Norm_Stats!$G$24=Norm_Stats!$F$24),"",MAX(0,MIN(100,100*(MIN(MAX(City_Inputs!$AK123,Norm_Stats!$F$24),Norm_Stats!$G$24)-Norm_Stats!$F$24)/(Norm_Stats!$G$24-Norm_Stats!$F$24)))))="",0,(IF(OR(City_Inputs!$AK123="",Norm_Stats!$F$24="",Norm_Stats!$G$24="",Norm_Stats!$G$24=Norm_Stats!$F$24),"",MAX(0,MIN(100,100*(MIN(MAX(City_Inputs!$AK123,Norm_Stats!$F$24),Norm_Stats!$G$24)-Norm_Stats!$F$24)/(Norm_Stats!$G$24-Norm_Stats!$F$24)))))*0.2))/(IF((IF(OR(City_Inputs!$AG123="",Norm_Stats!$F$22="",Norm_Stats!$G$22="",Norm_Stats!$G$22=Norm_Stats!$F$22),"",MAX(0,MIN(100,100*(MIN(MAX(City_Inputs!$AG123,Norm_Stats!$F$22),Norm_Stats!$G$22)-Norm_Stats!$F$22)/(Norm_Stats!$G$22-Norm_Stats!$F$22)))))="",0,0.5)+IF((IF(OR(City_Inputs!$AJ123="",Norm_Stats!$F$23="",Norm_Stats!$G$23="",Norm_Stats!$G$23=Norm_Stats!$F$23),"",MAX(0,MIN(100,100*(MIN(MAX(City_Inputs!$AJ123,Norm_Stats!$F$23),Norm_Stats!$G$23)-Norm_Stats!$F$23)/(Norm_Stats!$G$23-Norm_Stats!$F$23)))))="",0,0.3)+IF((IF(OR(City_Inputs!$AK123="",Norm_Stats!$F$24="",Norm_Stats!$G$24="",Norm_Stats!$G$24=Norm_Stats!$F$24),"",MAX(0,MIN(100,100*(MIN(MAX(City_Inputs!$AK123,Norm_Stats!$F$24),Norm_Stats!$G$24)-Norm_Stats!$F$24)/(Norm_Stats!$G$24-Norm_Stats!$F$24)))))="",0,0.2)))</f>
        <v/>
      </c>
      <c r="BD123" s="14">
        <f>IF((IF((IF(OR(City_Inputs!$AG123="",Norm_Stats!$F$22="",Norm_Stats!$G$22="",Norm_Stats!$G$22=Norm_Stats!$F$22),"",MAX(0,MIN(100,100*(MIN(MAX(City_Inputs!$AG123,Norm_Stats!$F$22),Norm_Stats!$G$22)-Norm_Stats!$F$22)/(Norm_Stats!$G$22-Norm_Stats!$F$22)))))="",0,0.5)+IF((IF(OR(City_Inputs!$AJ123="",Norm_Stats!$F$23="",Norm_Stats!$G$23="",Norm_Stats!$G$23=Norm_Stats!$F$23),"",MAX(0,MIN(100,100*(MIN(MAX(City_Inputs!$AJ123,Norm_Stats!$F$23),Norm_Stats!$G$23)-Norm_Stats!$F$23)/(Norm_Stats!$G$23-Norm_Stats!$F$23)))))="",0,0.3)+IF((IF(OR(City_Inputs!$AK123="",Norm_Stats!$F$24="",Norm_Stats!$G$24="",Norm_Stats!$G$24=Norm_Stats!$F$24),"",MAX(0,MIN(100,100*(MIN(MAX(City_Inputs!$AK123,Norm_Stats!$F$24),Norm_Stats!$G$24)-Norm_Stats!$F$24)/(Norm_Stats!$G$24-Norm_Stats!$F$24)))))="",0,0.2))=0,"",(IF((IF(OR(City_Inputs!$AG123="",Norm_Stats!$F$22="",Norm_Stats!$G$22="",Norm_Stats!$G$22=Norm_Stats!$F$22),"",MAX(0,MIN(100,100*(MIN(MAX(City_Inputs!$AG123,Norm_Stats!$F$22),Norm_Stats!$G$22)-Norm_Stats!$F$22)/(Norm_Stats!$G$22-Norm_Stats!$F$22)))))="",0,0.5)+IF((IF(OR(City_Inputs!$AJ123="",Norm_Stats!$F$23="",Norm_Stats!$G$23="",Norm_Stats!$G$23=Norm_Stats!$F$23),"",MAX(0,MIN(100,100*(MIN(MAX(City_Inputs!$AJ123,Norm_Stats!$F$23),Norm_Stats!$G$23)-Norm_Stats!$F$23)/(Norm_Stats!$G$23-Norm_Stats!$F$23)))))="",0,0.3)+IF((IF(OR(City_Inputs!$AK123="",Norm_Stats!$F$24="",Norm_Stats!$G$24="",Norm_Stats!$G$24=Norm_Stats!$F$24),"",MAX(0,MIN(100,100*(MIN(MAX(City_Inputs!$AK123,Norm_Stats!$F$24),Norm_Stats!$G$24)-Norm_Stats!$F$24)/(Norm_Stats!$G$24-Norm_Stats!$F$24)))))="",0,0.2)))</f>
        <v/>
      </c>
      <c r="BE123" s="11">
        <f>IF(OR(City_Inputs!$AH123="",Norm_Stats!$F$25="",Norm_Stats!$G$25="",Norm_Stats!$G$25=Norm_Stats!$F$25),"",MAX(0,MIN(100,100*(Norm_Stats!$G$25-MIN(MAX(City_Inputs!$AH123,Norm_Stats!$F$25),Norm_Stats!$G$25))/(Norm_Stats!$G$25-Norm_Stats!$F$25))))</f>
        <v/>
      </c>
      <c r="BF123" s="14">
        <f>IF(BE123="","",1)</f>
        <v/>
      </c>
      <c r="BG123" s="15">
        <f>IF((IF(AY123="",0,6)+IF(BA123="",0,5)+IF(BC123="",0,5)+IF(BE123="",0,4))=0,"",(IF(AY123="",0,AY123*6)+IF(BA123="",0,BA123*5)+IF(BC123="",0,BC123*5)+IF(BE123="",0,BE123*4))/(IF(AY123="",0,6)+IF(BA123="",0,5)+IF(BC123="",0,5)+IF(BE123="",0,4)))</f>
        <v/>
      </c>
      <c r="BH123" s="14">
        <f>IF((IF(AZ123="",0,6)+IF(BB123="",0,5)+IF(BD123="",0,5)+IF(BF123="",0,4))=0,"",(IF(AZ123="",0,AZ123*6)+IF(BB123="",0,BB123*5)+IF(BD123="",0,BD123*5)+IF(BF123="",0,BF123*4))/20)</f>
        <v/>
      </c>
      <c r="BI123" s="14">
        <f>IF(AND(R123="",AF123="",AN123="",AX123="",BH123=""),"",((R123*25)+(AF123*22)+(AN123*18)+(AX123*15)+(BH123*20))/100)</f>
        <v/>
      </c>
      <c r="BJ123" s="11">
        <f>IF(BI123="","",IF(BI123&gt;=0.75,"A",IF(BI123&gt;=0.5,"B",IF(BI123&gt;=0.35,"C","Watchlist"))))</f>
        <v/>
      </c>
      <c r="BK123" s="11">
        <f>IF(OR(BI123="",BI123&lt;0.5,R123="",R123&lt;0.35,AF123="",AF123&lt;0.35,AN123="",AN123&lt;0.35,AX123="",AX123&lt;0.35,BH123="",BH123&lt;0.35),"Watchlist","Ranked")</f>
        <v/>
      </c>
      <c r="BL123" s="15">
        <f>IF(AND(Q123="",AE123="",AM123="",AW123="",BG123=""),"",(IF(Q123="",0,Q123*25)+IF(AE123="",0,AE123*22)+IF(AM123="",0,AM123*18)+IF(AW123="",0,AW123*15)+IF(BG123="",0,BG123*20))/(IF(Q123="",0,25)+IF(AE123="",0,22)+IF(AM123="",0,18)+IF(AW123="",0,15)+IF(BG123="",0,20)))</f>
        <v/>
      </c>
      <c r="BM123" s="11">
        <f>IF(BK123="Ranked",1+COUNTIFS($BK$2:$BK$158,"Ranked",$BL$2:$BL$158,"&gt;"&amp;BL123),"")</f>
        <v/>
      </c>
      <c r="BN123" s="11">
        <f>City_Inputs!$AI123</f>
        <v/>
      </c>
    </row>
    <row r="124">
      <c r="A124" t="inlineStr">
        <is>
          <t>si-ljubljana</t>
        </is>
      </c>
      <c r="B124" t="inlineStr">
        <is>
          <t>Ljubljana</t>
        </is>
      </c>
      <c r="C124" t="inlineStr">
        <is>
          <t>Slovenia</t>
        </is>
      </c>
      <c r="D124" t="inlineStr">
        <is>
          <t>Southern/Eastern Europe and Eurasia</t>
        </is>
      </c>
      <c r="E124" t="inlineStr">
        <is>
          <t>provisional</t>
        </is>
      </c>
      <c r="F124" t="inlineStr">
        <is>
          <t>primary</t>
        </is>
      </c>
      <c r="G124" s="11">
        <f>IF(OR(City_Inputs!$M124="",Norm_Stats!$F$2="",Norm_Stats!$G$2="",Norm_Stats!$G$2=Norm_Stats!$F$2),"",MAX(0,MIN(100,100*(MIN(MAX(City_Inputs!$M124,Norm_Stats!$F$2),Norm_Stats!$G$2)-Norm_Stats!$F$2)/(Norm_Stats!$G$2-Norm_Stats!$F$2))))</f>
        <v/>
      </c>
      <c r="H124" s="14">
        <f>IF(G124="","",1)</f>
        <v/>
      </c>
      <c r="I124" s="11">
        <f>IF(OR(City_Inputs!$N124="",Norm_Stats!$F$3="",Norm_Stats!$G$3="",Norm_Stats!$G$3=Norm_Stats!$F$3),"",MAX(0,MIN(100,100*(Norm_Stats!$G$3-MIN(MAX(City_Inputs!$N124,Norm_Stats!$F$3),Norm_Stats!$G$3))/(Norm_Stats!$G$3-Norm_Stats!$F$3))))</f>
        <v/>
      </c>
      <c r="J124" s="14">
        <f>IF(I124="","",1)</f>
        <v/>
      </c>
      <c r="K124" s="11">
        <f>IF(OR(City_Inputs!$P124="",Norm_Stats!$F$4="",Norm_Stats!$G$4="",Norm_Stats!$G$4=Norm_Stats!$F$4),"",MAX(0,MIN(100,100*(Norm_Stats!$G$4-MIN(MAX(City_Inputs!$P124,Norm_Stats!$F$4),Norm_Stats!$G$4))/(Norm_Stats!$G$4-Norm_Stats!$F$4))))</f>
        <v/>
      </c>
      <c r="L124" s="14">
        <f>IF(K124="","",1)</f>
        <v/>
      </c>
      <c r="M124" s="11">
        <f>IF(OR(City_Inputs!$Q124="",Norm_Stats!$F$5="",Norm_Stats!$G$5="",Norm_Stats!$G$5=Norm_Stats!$F$5),"",MAX(0,MIN(100,100*(Norm_Stats!$G$5-MIN(MAX(City_Inputs!$Q124,Norm_Stats!$F$5),Norm_Stats!$G$5))/(Norm_Stats!$G$5-Norm_Stats!$F$5))))</f>
        <v/>
      </c>
      <c r="N124" s="14">
        <f>IF(M124="","",1)</f>
        <v/>
      </c>
      <c r="O124" s="11">
        <f>IF(OR(City_Inputs!$R124="",Norm_Stats!$F$6="",Norm_Stats!$G$6="",Norm_Stats!$G$6=Norm_Stats!$F$6),"",MAX(0,MIN(100,100*(Norm_Stats!$G$6-MIN(MAX(City_Inputs!$R124,Norm_Stats!$F$6),Norm_Stats!$G$6))/(Norm_Stats!$G$6-Norm_Stats!$F$6))))</f>
        <v/>
      </c>
      <c r="P124" s="14">
        <f>IF(O124="","",1)</f>
        <v/>
      </c>
      <c r="Q124" s="15">
        <f>IF((IF(G124="",0,9)+IF(I124="",0,5)+IF(K124="",0,4)+IF(M124="",0,4)+IF(O124="",0,5))=0,"",(IF(G124="",0,G124*9)+IF(I124="",0,I124*5)+IF(K124="",0,K124*4)+IF(M124="",0,M124*4)+IF(O124="",0,O124*5))/(IF(G124="",0,9)+IF(I124="",0,5)+IF(K124="",0,4)+IF(M124="",0,4)+IF(O124="",0,5)))</f>
        <v/>
      </c>
      <c r="R124" s="14">
        <f>IF((IF(H124="",0,9)+IF(J124="",0,5)+IF(L124="",0,4)+IF(N124="",0,4)+IF(P124="",0,5))=0,"",(IF(H124="",0,H124*9)+IF(J124="",0,J124*5)+IF(L124="",0,L124*4)+IF(N124="",0,N124*4)+IF(P124="",0,P124*5))/27)</f>
        <v/>
      </c>
      <c r="S124" s="11">
        <f>IF(OR(City_Inputs!$S124="",Norm_Stats!$F$7="",Norm_Stats!$G$7="",Norm_Stats!$G$7=Norm_Stats!$F$7),"",MAX(0,MIN(100,100*(Norm_Stats!$G$7-MIN(MAX(City_Inputs!$S124,Norm_Stats!$F$7),Norm_Stats!$G$7))/(Norm_Stats!$G$7-Norm_Stats!$F$7))))</f>
        <v/>
      </c>
      <c r="T124" s="14">
        <f>IF(S124="","",1)</f>
        <v/>
      </c>
      <c r="U124" s="11">
        <f>IF(OR(City_Inputs!$T124="",Norm_Stats!$F$8="",Norm_Stats!$G$8="",Norm_Stats!$G$8=Norm_Stats!$F$8),"",MAX(0,MIN(100,100*(MIN(MAX(City_Inputs!$T124,Norm_Stats!$F$8),Norm_Stats!$G$8)-Norm_Stats!$F$8)/(Norm_Stats!$G$8-Norm_Stats!$F$8))))</f>
        <v/>
      </c>
      <c r="V124" s="14">
        <f>IF(U124="","",1)</f>
        <v/>
      </c>
      <c r="W124" s="11">
        <f>IF(OR(City_Inputs!$U124="",Norm_Stats!$F$9="",Norm_Stats!$G$9="",Norm_Stats!$G$9=Norm_Stats!$F$9),"",MAX(0,MIN(100,100*(Norm_Stats!$G$9-MIN(MAX(City_Inputs!$U124,Norm_Stats!$F$9),Norm_Stats!$G$9))/(Norm_Stats!$G$9-Norm_Stats!$F$9))))</f>
        <v/>
      </c>
      <c r="X124" s="14">
        <f>IF(W124="","",1)</f>
        <v/>
      </c>
      <c r="Y124" s="11">
        <f>IF(OR(City_Inputs!$V124="",Norm_Stats!$F$10="",Norm_Stats!$G$10="",Norm_Stats!$G$10=Norm_Stats!$F$10),"",MAX(0,MIN(100,100*(MIN(MAX(City_Inputs!$V124,Norm_Stats!$F$10),Norm_Stats!$G$10)-Norm_Stats!$F$10)/(Norm_Stats!$G$10-Norm_Stats!$F$10))))</f>
        <v/>
      </c>
      <c r="Z124" s="14">
        <f>IF(Y124="","",1)</f>
        <v/>
      </c>
      <c r="AA124" s="11">
        <f>IF(OR(City_Inputs!$W124="",Norm_Stats!$F$11="",Norm_Stats!$G$11="",Norm_Stats!$G$11=Norm_Stats!$F$11),"",MAX(0,MIN(100,100*(MIN(MAX(City_Inputs!$W124,Norm_Stats!$F$11),Norm_Stats!$G$11)-Norm_Stats!$F$11)/(Norm_Stats!$G$11-Norm_Stats!$F$11))))</f>
        <v/>
      </c>
      <c r="AB124" s="14">
        <f>IF(AA124="","",1)</f>
        <v/>
      </c>
      <c r="AC124" s="11">
        <f>IF(OR(City_Inputs!$X124="",Norm_Stats!$F$12="",Norm_Stats!$G$12="",Norm_Stats!$G$12=Norm_Stats!$F$12),"",MAX(0,MIN(100,100*(MIN(MAX(City_Inputs!$X124,Norm_Stats!$F$12),Norm_Stats!$G$12)-Norm_Stats!$F$12)/(Norm_Stats!$G$12-Norm_Stats!$F$12))))</f>
        <v/>
      </c>
      <c r="AD124" s="11">
        <f>IF(AC124="","",1)</f>
        <v/>
      </c>
      <c r="AE124" s="15">
        <f>IF((IF(S124="",0,5)+IF(U124="",0,5)+IF(W124="",0,4)+IF(Y124="",0,4)+IF(AA124="",0,4)+IF(AC124="",0,5))=0,"",(IF(S124="",0,S124*5)+IF(U124="",0,U124*5)+IF(W124="",0,W124*4)+IF(Y124="",0,Y124*4)+IF(AA124="",0,AA124*4)+IF(AC124="",0,AC124*5))/(IF(S124="",0,5)+IF(U124="",0,5)+IF(W124="",0,4)+IF(Y124="",0,4)+IF(AA124="",0,4)+IF(AC124="",0,5)))</f>
        <v/>
      </c>
      <c r="AF124" s="14">
        <f>IF((IF(T124="",0,5)+IF(V124="",0,5)+IF(X124="",0,4)+IF(Z124="",0,4)+IF(AB124="",0,4)+IF(AD124="",0,5))=0,"",(IF(T124="",0,T124*5)+IF(V124="",0,V124*5)+IF(X124="",0,X124*4)+IF(Z124="",0,Z124*4)+IF(AB124="",0,AB124*4)+IF(AD124="",0,AD124*5))/27)</f>
        <v/>
      </c>
      <c r="AG124" s="11">
        <f>IF(OR(City_Inputs!$Y124="",Norm_Stats!$F$13="",Norm_Stats!$G$13="",Norm_Stats!$G$13=Norm_Stats!$F$13),"",MAX(0,MIN(100,100*(MIN(MAX(City_Inputs!$Y124,Norm_Stats!$F$13),Norm_Stats!$G$13)-Norm_Stats!$F$13)/(Norm_Stats!$G$13-Norm_Stats!$F$13))))</f>
        <v/>
      </c>
      <c r="AH124" s="14">
        <f>IF(AG124="","",1)</f>
        <v/>
      </c>
      <c r="AI124" s="11">
        <f>IF(OR(City_Inputs!$Z124="",Norm_Stats!$F$14="",Norm_Stats!$G$14="",Norm_Stats!$G$14=Norm_Stats!$F$14),"",MAX(0,MIN(100,100*(MIN(MAX(City_Inputs!$Z124,Norm_Stats!$F$14),Norm_Stats!$G$14)-Norm_Stats!$F$14)/(Norm_Stats!$G$14-Norm_Stats!$F$14))))</f>
        <v/>
      </c>
      <c r="AJ124" s="14">
        <f>IF(AI124="","",1)</f>
        <v/>
      </c>
      <c r="AK124" s="11">
        <f>IF((IF((IF(OR(City_Inputs!$AA124="",Norm_Stats!$F$15="",Norm_Stats!$G$15="",Norm_Stats!$G$15=Norm_Stats!$F$15),"",MAX(0,MIN(100,100*(MIN(MAX(City_Inputs!$AA124,Norm_Stats!$F$15),Norm_Stats!$G$15)-Norm_Stats!$F$15)/(Norm_Stats!$G$15-Norm_Stats!$F$15)))))="",0,0.7)+IF((IF(OR(City_Inputs!$AL124="",Norm_Stats!$F$16="",Norm_Stats!$G$16="",Norm_Stats!$G$16=Norm_Stats!$F$16),"",MAX(0,MIN(100,100*(Norm_Stats!$G$16-MIN(MAX(City_Inputs!$AL124,Norm_Stats!$F$16),Norm_Stats!$G$16))/(Norm_Stats!$G$16-Norm_Stats!$F$16)))))="",0,0.3))=0,"",(IF((IF(OR(City_Inputs!$AA124="",Norm_Stats!$F$15="",Norm_Stats!$G$15="",Norm_Stats!$G$15=Norm_Stats!$F$15),"",MAX(0,MIN(100,100*(MIN(MAX(City_Inputs!$AA124,Norm_Stats!$F$15),Norm_Stats!$G$15)-Norm_Stats!$F$15)/(Norm_Stats!$G$15-Norm_Stats!$F$15)))))="",0,(IF(OR(City_Inputs!$AA124="",Norm_Stats!$F$15="",Norm_Stats!$G$15="",Norm_Stats!$G$15=Norm_Stats!$F$15),"",MAX(0,MIN(100,100*(MIN(MAX(City_Inputs!$AA124,Norm_Stats!$F$15),Norm_Stats!$G$15)-Norm_Stats!$F$15)/(Norm_Stats!$G$15-Norm_Stats!$F$15)))))*0.7)+IF((IF(OR(City_Inputs!$AL124="",Norm_Stats!$F$16="",Norm_Stats!$G$16="",Norm_Stats!$G$16=Norm_Stats!$F$16),"",MAX(0,MIN(100,100*(Norm_Stats!$G$16-MIN(MAX(City_Inputs!$AL124,Norm_Stats!$F$16),Norm_Stats!$G$16))/(Norm_Stats!$G$16-Norm_Stats!$F$16)))))="",0,(IF(OR(City_Inputs!$AL124="",Norm_Stats!$F$16="",Norm_Stats!$G$16="",Norm_Stats!$G$16=Norm_Stats!$F$16),"",MAX(0,MIN(100,100*(Norm_Stats!$G$16-MIN(MAX(City_Inputs!$AL124,Norm_Stats!$F$16),Norm_Stats!$G$16))/(Norm_Stats!$G$16-Norm_Stats!$F$16)))))*0.3))/(IF((IF(OR(City_Inputs!$AA124="",Norm_Stats!$F$15="",Norm_Stats!$G$15="",Norm_Stats!$G$15=Norm_Stats!$F$15),"",MAX(0,MIN(100,100*(MIN(MAX(City_Inputs!$AA124,Norm_Stats!$F$15),Norm_Stats!$G$15)-Norm_Stats!$F$15)/(Norm_Stats!$G$15-Norm_Stats!$F$15)))))="",0,0.7)+IF((IF(OR(City_Inputs!$AL124="",Norm_Stats!$F$16="",Norm_Stats!$G$16="",Norm_Stats!$G$16=Norm_Stats!$F$16),"",MAX(0,MIN(100,100*(Norm_Stats!$G$16-MIN(MAX(City_Inputs!$AL124,Norm_Stats!$F$16),Norm_Stats!$G$16))/(Norm_Stats!$G$16-Norm_Stats!$F$16)))))="",0,0.3)))</f>
        <v/>
      </c>
      <c r="AL124" s="14">
        <f>IF((IF((IF(OR(City_Inputs!$AA124="",Norm_Stats!$F$15="",Norm_Stats!$G$15="",Norm_Stats!$G$15=Norm_Stats!$F$15),"",MAX(0,MIN(100,100*(MIN(MAX(City_Inputs!$AA124,Norm_Stats!$F$15),Norm_Stats!$G$15)-Norm_Stats!$F$15)/(Norm_Stats!$G$15-Norm_Stats!$F$15)))))="",0,0.7)+IF((IF(OR(City_Inputs!$AL124="",Norm_Stats!$F$16="",Norm_Stats!$G$16="",Norm_Stats!$G$16=Norm_Stats!$F$16),"",MAX(0,MIN(100,100*(Norm_Stats!$G$16-MIN(MAX(City_Inputs!$AL124,Norm_Stats!$F$16),Norm_Stats!$G$16))/(Norm_Stats!$G$16-Norm_Stats!$F$16)))))="",0,0.3))=0,"",(IF((IF(OR(City_Inputs!$AA124="",Norm_Stats!$F$15="",Norm_Stats!$G$15="",Norm_Stats!$G$15=Norm_Stats!$F$15),"",MAX(0,MIN(100,100*(MIN(MAX(City_Inputs!$AA124,Norm_Stats!$F$15),Norm_Stats!$G$15)-Norm_Stats!$F$15)/(Norm_Stats!$G$15-Norm_Stats!$F$15)))))="",0,0.7)+IF((IF(OR(City_Inputs!$AL124="",Norm_Stats!$F$16="",Norm_Stats!$G$16="",Norm_Stats!$G$16=Norm_Stats!$F$16),"",MAX(0,MIN(100,100*(Norm_Stats!$G$16-MIN(MAX(City_Inputs!$AL124,Norm_Stats!$F$16),Norm_Stats!$G$16))/(Norm_Stats!$G$16-Norm_Stats!$F$16)))))="",0,0.3)))</f>
        <v/>
      </c>
      <c r="AM124" s="15">
        <f>IF((IF(AG124="",0,8)+IF(AI124="",0,6)+IF(AK124="",0,4))=0,"",(IF(AG124="",0,AG124*8)+IF(AI124="",0,AI124*6)+IF(AK124="",0,AK124*4))/(IF(AG124="",0,8)+IF(AI124="",0,6)+IF(AK124="",0,4)))</f>
        <v/>
      </c>
      <c r="AN124" s="14">
        <f>IF((IF(AH124="",0,8)+IF(AJ124="",0,6)+IF(AL124="",0,4))=0,"",(IF(AH124="",0,AH124*8)+IF(AJ124="",0,AJ124*6)+IF(AL124="",0,AL124*4))/18)</f>
        <v/>
      </c>
      <c r="AO124" s="11">
        <f>IF(OR(City_Inputs!$AB124="",Norm_Stats!$F$17="",Norm_Stats!$G$17="",Norm_Stats!$G$17=Norm_Stats!$F$17),"",MAX(0,MIN(100,100*(MIN(MAX(City_Inputs!$AB124,Norm_Stats!$F$17),Norm_Stats!$G$17)-Norm_Stats!$F$17)/(Norm_Stats!$G$17-Norm_Stats!$F$17))))</f>
        <v/>
      </c>
      <c r="AP124" s="14">
        <f>IF(AO124="","",1)</f>
        <v/>
      </c>
      <c r="AQ124" s="11">
        <f>IF(OR(City_Inputs!$AC124="",Norm_Stats!$F$18="",Norm_Stats!$G$18="",Norm_Stats!$G$18=Norm_Stats!$F$18),"",MAX(0,MIN(100,100*(MIN(MAX(City_Inputs!$AC124,Norm_Stats!$F$18),Norm_Stats!$G$18)-Norm_Stats!$F$18)/(Norm_Stats!$G$18-Norm_Stats!$F$18))))</f>
        <v/>
      </c>
      <c r="AR124" s="14">
        <f>IF(AQ124="","",1)</f>
        <v/>
      </c>
      <c r="AS124" s="11">
        <f>IF(OR(City_Inputs!$AD124="",Norm_Stats!$F$19="",Norm_Stats!$G$19="",Norm_Stats!$G$19=Norm_Stats!$F$19),"",MAX(0,MIN(100,100*(MIN(MAX(City_Inputs!$AD124,Norm_Stats!$F$19),Norm_Stats!$G$19)-Norm_Stats!$F$19)/(Norm_Stats!$G$19-Norm_Stats!$F$19))))</f>
        <v/>
      </c>
      <c r="AT124" s="14">
        <f>IF(AS124="","",1)</f>
        <v/>
      </c>
      <c r="AU124" s="11">
        <f>IF(OR(City_Inputs!$BJ124="",Norm_Stats!$F$26="",Norm_Stats!$G$26="",Norm_Stats!$G$26=Norm_Stats!$F$26),"",MAX(0,MIN(100,100*(MIN(MAX(City_Inputs!$BJ124,Norm_Stats!$F$26),Norm_Stats!$G$26)-Norm_Stats!$F$26)/(Norm_Stats!$G$26-Norm_Stats!$F$26))))</f>
        <v/>
      </c>
      <c r="AV124" s="11">
        <f>IF(AU124="","",1)</f>
        <v/>
      </c>
      <c r="AW124" s="15">
        <f>IF((IF(AO124="",0,5)+IF(AQ124="",0,5)+IF(AS124="",0,5)+IF(AU124="",0,4))=0,"",(IF(AO124="",0,AO124*5)+IF(AQ124="",0,AQ124*5)+IF(AS124="",0,AS124*5)+IF(AU124="",0,AU124*4))/(IF(AO124="",0,5)+IF(AQ124="",0,5)+IF(AS124="",0,5)+IF(AU124="",0,4)))</f>
        <v/>
      </c>
      <c r="AX124" s="14">
        <f>IF((IF(AP124="",0,5)+IF(AR124="",0,5)+IF(AT124="",0,5)+IF(AV124="",0,4))=0,"",(IF(AP124="",0,AP124*5)+IF(AR124="",0,AR124*5)+IF(AT124="",0,AT124*5)+IF(AV124="",0,AV124*4))/19)</f>
        <v/>
      </c>
      <c r="AY124" s="11">
        <f>IF(OR(City_Inputs!$AE124="",Norm_Stats!$F$20="",Norm_Stats!$G$20="",Norm_Stats!$G$20=Norm_Stats!$F$20),"",MAX(0,MIN(100,100*(MIN(MAX(City_Inputs!$AE124,Norm_Stats!$F$20),Norm_Stats!$G$20)-Norm_Stats!$F$20)/(Norm_Stats!$G$20-Norm_Stats!$F$20))))</f>
        <v/>
      </c>
      <c r="AZ124" s="14">
        <f>IF(AY124="","",1)</f>
        <v/>
      </c>
      <c r="BA124" s="11">
        <f>IF(OR(City_Inputs!$AF124="",Norm_Stats!$F$21="",Norm_Stats!$G$21="",Norm_Stats!$G$21=Norm_Stats!$F$21),"",MAX(0,MIN(100,100*(MIN(MAX(City_Inputs!$AF124,Norm_Stats!$F$21),Norm_Stats!$G$21)-Norm_Stats!$F$21)/(Norm_Stats!$G$21-Norm_Stats!$F$21))))</f>
        <v/>
      </c>
      <c r="BB124" s="14">
        <f>IF(BA124="","",1)</f>
        <v/>
      </c>
      <c r="BC124" s="11">
        <f>IF((IF((IF(OR(City_Inputs!$AG124="",Norm_Stats!$F$22="",Norm_Stats!$G$22="",Norm_Stats!$G$22=Norm_Stats!$F$22),"",MAX(0,MIN(100,100*(MIN(MAX(City_Inputs!$AG124,Norm_Stats!$F$22),Norm_Stats!$G$22)-Norm_Stats!$F$22)/(Norm_Stats!$G$22-Norm_Stats!$F$22)))))="",0,0.5)+IF((IF(OR(City_Inputs!$AJ124="",Norm_Stats!$F$23="",Norm_Stats!$G$23="",Norm_Stats!$G$23=Norm_Stats!$F$23),"",MAX(0,MIN(100,100*(MIN(MAX(City_Inputs!$AJ124,Norm_Stats!$F$23),Norm_Stats!$G$23)-Norm_Stats!$F$23)/(Norm_Stats!$G$23-Norm_Stats!$F$23)))))="",0,0.3)+IF((IF(OR(City_Inputs!$AK124="",Norm_Stats!$F$24="",Norm_Stats!$G$24="",Norm_Stats!$G$24=Norm_Stats!$F$24),"",MAX(0,MIN(100,100*(MIN(MAX(City_Inputs!$AK124,Norm_Stats!$F$24),Norm_Stats!$G$24)-Norm_Stats!$F$24)/(Norm_Stats!$G$24-Norm_Stats!$F$24)))))="",0,0.2))=0,"",(IF((IF(OR(City_Inputs!$AG124="",Norm_Stats!$F$22="",Norm_Stats!$G$22="",Norm_Stats!$G$22=Norm_Stats!$F$22),"",MAX(0,MIN(100,100*(MIN(MAX(City_Inputs!$AG124,Norm_Stats!$F$22),Norm_Stats!$G$22)-Norm_Stats!$F$22)/(Norm_Stats!$G$22-Norm_Stats!$F$22)))))="",0,(IF(OR(City_Inputs!$AG124="",Norm_Stats!$F$22="",Norm_Stats!$G$22="",Norm_Stats!$G$22=Norm_Stats!$F$22),"",MAX(0,MIN(100,100*(MIN(MAX(City_Inputs!$AG124,Norm_Stats!$F$22),Norm_Stats!$G$22)-Norm_Stats!$F$22)/(Norm_Stats!$G$22-Norm_Stats!$F$22)))))*0.5)+IF((IF(OR(City_Inputs!$AJ124="",Norm_Stats!$F$23="",Norm_Stats!$G$23="",Norm_Stats!$G$23=Norm_Stats!$F$23),"",MAX(0,MIN(100,100*(MIN(MAX(City_Inputs!$AJ124,Norm_Stats!$F$23),Norm_Stats!$G$23)-Norm_Stats!$F$23)/(Norm_Stats!$G$23-Norm_Stats!$F$23)))))="",0,(IF(OR(City_Inputs!$AJ124="",Norm_Stats!$F$23="",Norm_Stats!$G$23="",Norm_Stats!$G$23=Norm_Stats!$F$23),"",MAX(0,MIN(100,100*(MIN(MAX(City_Inputs!$AJ124,Norm_Stats!$F$23),Norm_Stats!$G$23)-Norm_Stats!$F$23)/(Norm_Stats!$G$23-Norm_Stats!$F$23)))))*0.3)+IF((IF(OR(City_Inputs!$AK124="",Norm_Stats!$F$24="",Norm_Stats!$G$24="",Norm_Stats!$G$24=Norm_Stats!$F$24),"",MAX(0,MIN(100,100*(MIN(MAX(City_Inputs!$AK124,Norm_Stats!$F$24),Norm_Stats!$G$24)-Norm_Stats!$F$24)/(Norm_Stats!$G$24-Norm_Stats!$F$24)))))="",0,(IF(OR(City_Inputs!$AK124="",Norm_Stats!$F$24="",Norm_Stats!$G$24="",Norm_Stats!$G$24=Norm_Stats!$F$24),"",MAX(0,MIN(100,100*(MIN(MAX(City_Inputs!$AK124,Norm_Stats!$F$24),Norm_Stats!$G$24)-Norm_Stats!$F$24)/(Norm_Stats!$G$24-Norm_Stats!$F$24)))))*0.2))/(IF((IF(OR(City_Inputs!$AG124="",Norm_Stats!$F$22="",Norm_Stats!$G$22="",Norm_Stats!$G$22=Norm_Stats!$F$22),"",MAX(0,MIN(100,100*(MIN(MAX(City_Inputs!$AG124,Norm_Stats!$F$22),Norm_Stats!$G$22)-Norm_Stats!$F$22)/(Norm_Stats!$G$22-Norm_Stats!$F$22)))))="",0,0.5)+IF((IF(OR(City_Inputs!$AJ124="",Norm_Stats!$F$23="",Norm_Stats!$G$23="",Norm_Stats!$G$23=Norm_Stats!$F$23),"",MAX(0,MIN(100,100*(MIN(MAX(City_Inputs!$AJ124,Norm_Stats!$F$23),Norm_Stats!$G$23)-Norm_Stats!$F$23)/(Norm_Stats!$G$23-Norm_Stats!$F$23)))))="",0,0.3)+IF((IF(OR(City_Inputs!$AK124="",Norm_Stats!$F$24="",Norm_Stats!$G$24="",Norm_Stats!$G$24=Norm_Stats!$F$24),"",MAX(0,MIN(100,100*(MIN(MAX(City_Inputs!$AK124,Norm_Stats!$F$24),Norm_Stats!$G$24)-Norm_Stats!$F$24)/(Norm_Stats!$G$24-Norm_Stats!$F$24)))))="",0,0.2)))</f>
        <v/>
      </c>
      <c r="BD124" s="14">
        <f>IF((IF((IF(OR(City_Inputs!$AG124="",Norm_Stats!$F$22="",Norm_Stats!$G$22="",Norm_Stats!$G$22=Norm_Stats!$F$22),"",MAX(0,MIN(100,100*(MIN(MAX(City_Inputs!$AG124,Norm_Stats!$F$22),Norm_Stats!$G$22)-Norm_Stats!$F$22)/(Norm_Stats!$G$22-Norm_Stats!$F$22)))))="",0,0.5)+IF((IF(OR(City_Inputs!$AJ124="",Norm_Stats!$F$23="",Norm_Stats!$G$23="",Norm_Stats!$G$23=Norm_Stats!$F$23),"",MAX(0,MIN(100,100*(MIN(MAX(City_Inputs!$AJ124,Norm_Stats!$F$23),Norm_Stats!$G$23)-Norm_Stats!$F$23)/(Norm_Stats!$G$23-Norm_Stats!$F$23)))))="",0,0.3)+IF((IF(OR(City_Inputs!$AK124="",Norm_Stats!$F$24="",Norm_Stats!$G$24="",Norm_Stats!$G$24=Norm_Stats!$F$24),"",MAX(0,MIN(100,100*(MIN(MAX(City_Inputs!$AK124,Norm_Stats!$F$24),Norm_Stats!$G$24)-Norm_Stats!$F$24)/(Norm_Stats!$G$24-Norm_Stats!$F$24)))))="",0,0.2))=0,"",(IF((IF(OR(City_Inputs!$AG124="",Norm_Stats!$F$22="",Norm_Stats!$G$22="",Norm_Stats!$G$22=Norm_Stats!$F$22),"",MAX(0,MIN(100,100*(MIN(MAX(City_Inputs!$AG124,Norm_Stats!$F$22),Norm_Stats!$G$22)-Norm_Stats!$F$22)/(Norm_Stats!$G$22-Norm_Stats!$F$22)))))="",0,0.5)+IF((IF(OR(City_Inputs!$AJ124="",Norm_Stats!$F$23="",Norm_Stats!$G$23="",Norm_Stats!$G$23=Norm_Stats!$F$23),"",MAX(0,MIN(100,100*(MIN(MAX(City_Inputs!$AJ124,Norm_Stats!$F$23),Norm_Stats!$G$23)-Norm_Stats!$F$23)/(Norm_Stats!$G$23-Norm_Stats!$F$23)))))="",0,0.3)+IF((IF(OR(City_Inputs!$AK124="",Norm_Stats!$F$24="",Norm_Stats!$G$24="",Norm_Stats!$G$24=Norm_Stats!$F$24),"",MAX(0,MIN(100,100*(MIN(MAX(City_Inputs!$AK124,Norm_Stats!$F$24),Norm_Stats!$G$24)-Norm_Stats!$F$24)/(Norm_Stats!$G$24-Norm_Stats!$F$24)))))="",0,0.2)))</f>
        <v/>
      </c>
      <c r="BE124" s="11">
        <f>IF(OR(City_Inputs!$AH124="",Norm_Stats!$F$25="",Norm_Stats!$G$25="",Norm_Stats!$G$25=Norm_Stats!$F$25),"",MAX(0,MIN(100,100*(Norm_Stats!$G$25-MIN(MAX(City_Inputs!$AH124,Norm_Stats!$F$25),Norm_Stats!$G$25))/(Norm_Stats!$G$25-Norm_Stats!$F$25))))</f>
        <v/>
      </c>
      <c r="BF124" s="14">
        <f>IF(BE124="","",1)</f>
        <v/>
      </c>
      <c r="BG124" s="15">
        <f>IF((IF(AY124="",0,6)+IF(BA124="",0,5)+IF(BC124="",0,5)+IF(BE124="",0,4))=0,"",(IF(AY124="",0,AY124*6)+IF(BA124="",0,BA124*5)+IF(BC124="",0,BC124*5)+IF(BE124="",0,BE124*4))/(IF(AY124="",0,6)+IF(BA124="",0,5)+IF(BC124="",0,5)+IF(BE124="",0,4)))</f>
        <v/>
      </c>
      <c r="BH124" s="14">
        <f>IF((IF(AZ124="",0,6)+IF(BB124="",0,5)+IF(BD124="",0,5)+IF(BF124="",0,4))=0,"",(IF(AZ124="",0,AZ124*6)+IF(BB124="",0,BB124*5)+IF(BD124="",0,BD124*5)+IF(BF124="",0,BF124*4))/20)</f>
        <v/>
      </c>
      <c r="BI124" s="14">
        <f>IF(AND(R124="",AF124="",AN124="",AX124="",BH124=""),"",((R124*25)+(AF124*22)+(AN124*18)+(AX124*15)+(BH124*20))/100)</f>
        <v/>
      </c>
      <c r="BJ124" s="11">
        <f>IF(BI124="","",IF(BI124&gt;=0.75,"A",IF(BI124&gt;=0.5,"B",IF(BI124&gt;=0.35,"C","Watchlist"))))</f>
        <v/>
      </c>
      <c r="BK124" s="11">
        <f>IF(OR(BI124="",BI124&lt;0.5,R124="",R124&lt;0.35,AF124="",AF124&lt;0.35,AN124="",AN124&lt;0.35,AX124="",AX124&lt;0.35,BH124="",BH124&lt;0.35),"Watchlist","Ranked")</f>
        <v/>
      </c>
      <c r="BL124" s="15">
        <f>IF(AND(Q124="",AE124="",AM124="",AW124="",BG124=""),"",(IF(Q124="",0,Q124*25)+IF(AE124="",0,AE124*22)+IF(AM124="",0,AM124*18)+IF(AW124="",0,AW124*15)+IF(BG124="",0,BG124*20))/(IF(Q124="",0,25)+IF(AE124="",0,22)+IF(AM124="",0,18)+IF(AW124="",0,15)+IF(BG124="",0,20)))</f>
        <v/>
      </c>
      <c r="BM124" s="11">
        <f>IF(BK124="Ranked",1+COUNTIFS($BK$2:$BK$158,"Ranked",$BL$2:$BL$158,"&gt;"&amp;BL124),"")</f>
        <v/>
      </c>
      <c r="BN124" s="11">
        <f>City_Inputs!$AI124</f>
        <v/>
      </c>
    </row>
    <row r="125">
      <c r="A125" t="inlineStr">
        <is>
          <t>hr-zagreb</t>
        </is>
      </c>
      <c r="B125" t="inlineStr">
        <is>
          <t>Zagreb</t>
        </is>
      </c>
      <c r="C125" t="inlineStr">
        <is>
          <t>Croatia</t>
        </is>
      </c>
      <c r="D125" t="inlineStr">
        <is>
          <t>Southern/Eastern Europe and Eurasia</t>
        </is>
      </c>
      <c r="E125" t="inlineStr">
        <is>
          <t>provisional</t>
        </is>
      </c>
      <c r="F125" t="inlineStr">
        <is>
          <t>primary</t>
        </is>
      </c>
      <c r="G125" s="11">
        <f>IF(OR(City_Inputs!$M125="",Norm_Stats!$F$2="",Norm_Stats!$G$2="",Norm_Stats!$G$2=Norm_Stats!$F$2),"",MAX(0,MIN(100,100*(MIN(MAX(City_Inputs!$M125,Norm_Stats!$F$2),Norm_Stats!$G$2)-Norm_Stats!$F$2)/(Norm_Stats!$G$2-Norm_Stats!$F$2))))</f>
        <v/>
      </c>
      <c r="H125" s="14">
        <f>IF(G125="","",1)</f>
        <v/>
      </c>
      <c r="I125" s="11">
        <f>IF(OR(City_Inputs!$N125="",Norm_Stats!$F$3="",Norm_Stats!$G$3="",Norm_Stats!$G$3=Norm_Stats!$F$3),"",MAX(0,MIN(100,100*(Norm_Stats!$G$3-MIN(MAX(City_Inputs!$N125,Norm_Stats!$F$3),Norm_Stats!$G$3))/(Norm_Stats!$G$3-Norm_Stats!$F$3))))</f>
        <v/>
      </c>
      <c r="J125" s="14">
        <f>IF(I125="","",1)</f>
        <v/>
      </c>
      <c r="K125" s="11">
        <f>IF(OR(City_Inputs!$P125="",Norm_Stats!$F$4="",Norm_Stats!$G$4="",Norm_Stats!$G$4=Norm_Stats!$F$4),"",MAX(0,MIN(100,100*(Norm_Stats!$G$4-MIN(MAX(City_Inputs!$P125,Norm_Stats!$F$4),Norm_Stats!$G$4))/(Norm_Stats!$G$4-Norm_Stats!$F$4))))</f>
        <v/>
      </c>
      <c r="L125" s="14">
        <f>IF(K125="","",1)</f>
        <v/>
      </c>
      <c r="M125" s="11">
        <f>IF(OR(City_Inputs!$Q125="",Norm_Stats!$F$5="",Norm_Stats!$G$5="",Norm_Stats!$G$5=Norm_Stats!$F$5),"",MAX(0,MIN(100,100*(Norm_Stats!$G$5-MIN(MAX(City_Inputs!$Q125,Norm_Stats!$F$5),Norm_Stats!$G$5))/(Norm_Stats!$G$5-Norm_Stats!$F$5))))</f>
        <v/>
      </c>
      <c r="N125" s="14">
        <f>IF(M125="","",1)</f>
        <v/>
      </c>
      <c r="O125" s="11">
        <f>IF(OR(City_Inputs!$R125="",Norm_Stats!$F$6="",Norm_Stats!$G$6="",Norm_Stats!$G$6=Norm_Stats!$F$6),"",MAX(0,MIN(100,100*(Norm_Stats!$G$6-MIN(MAX(City_Inputs!$R125,Norm_Stats!$F$6),Norm_Stats!$G$6))/(Norm_Stats!$G$6-Norm_Stats!$F$6))))</f>
        <v/>
      </c>
      <c r="P125" s="14">
        <f>IF(O125="","",1)</f>
        <v/>
      </c>
      <c r="Q125" s="15">
        <f>IF((IF(G125="",0,9)+IF(I125="",0,5)+IF(K125="",0,4)+IF(M125="",0,4)+IF(O125="",0,5))=0,"",(IF(G125="",0,G125*9)+IF(I125="",0,I125*5)+IF(K125="",0,K125*4)+IF(M125="",0,M125*4)+IF(O125="",0,O125*5))/(IF(G125="",0,9)+IF(I125="",0,5)+IF(K125="",0,4)+IF(M125="",0,4)+IF(O125="",0,5)))</f>
        <v/>
      </c>
      <c r="R125" s="14">
        <f>IF((IF(H125="",0,9)+IF(J125="",0,5)+IF(L125="",0,4)+IF(N125="",0,4)+IF(P125="",0,5))=0,"",(IF(H125="",0,H125*9)+IF(J125="",0,J125*5)+IF(L125="",0,L125*4)+IF(N125="",0,N125*4)+IF(P125="",0,P125*5))/27)</f>
        <v/>
      </c>
      <c r="S125" s="11">
        <f>IF(OR(City_Inputs!$S125="",Norm_Stats!$F$7="",Norm_Stats!$G$7="",Norm_Stats!$G$7=Norm_Stats!$F$7),"",MAX(0,MIN(100,100*(Norm_Stats!$G$7-MIN(MAX(City_Inputs!$S125,Norm_Stats!$F$7),Norm_Stats!$G$7))/(Norm_Stats!$G$7-Norm_Stats!$F$7))))</f>
        <v/>
      </c>
      <c r="T125" s="14">
        <f>IF(S125="","",1)</f>
        <v/>
      </c>
      <c r="U125" s="11">
        <f>IF(OR(City_Inputs!$T125="",Norm_Stats!$F$8="",Norm_Stats!$G$8="",Norm_Stats!$G$8=Norm_Stats!$F$8),"",MAX(0,MIN(100,100*(MIN(MAX(City_Inputs!$T125,Norm_Stats!$F$8),Norm_Stats!$G$8)-Norm_Stats!$F$8)/(Norm_Stats!$G$8-Norm_Stats!$F$8))))</f>
        <v/>
      </c>
      <c r="V125" s="14">
        <f>IF(U125="","",1)</f>
        <v/>
      </c>
      <c r="W125" s="11">
        <f>IF(OR(City_Inputs!$U125="",Norm_Stats!$F$9="",Norm_Stats!$G$9="",Norm_Stats!$G$9=Norm_Stats!$F$9),"",MAX(0,MIN(100,100*(Norm_Stats!$G$9-MIN(MAX(City_Inputs!$U125,Norm_Stats!$F$9),Norm_Stats!$G$9))/(Norm_Stats!$G$9-Norm_Stats!$F$9))))</f>
        <v/>
      </c>
      <c r="X125" s="14">
        <f>IF(W125="","",1)</f>
        <v/>
      </c>
      <c r="Y125" s="11">
        <f>IF(OR(City_Inputs!$V125="",Norm_Stats!$F$10="",Norm_Stats!$G$10="",Norm_Stats!$G$10=Norm_Stats!$F$10),"",MAX(0,MIN(100,100*(MIN(MAX(City_Inputs!$V125,Norm_Stats!$F$10),Norm_Stats!$G$10)-Norm_Stats!$F$10)/(Norm_Stats!$G$10-Norm_Stats!$F$10))))</f>
        <v/>
      </c>
      <c r="Z125" s="14">
        <f>IF(Y125="","",1)</f>
        <v/>
      </c>
      <c r="AA125" s="11">
        <f>IF(OR(City_Inputs!$W125="",Norm_Stats!$F$11="",Norm_Stats!$G$11="",Norm_Stats!$G$11=Norm_Stats!$F$11),"",MAX(0,MIN(100,100*(MIN(MAX(City_Inputs!$W125,Norm_Stats!$F$11),Norm_Stats!$G$11)-Norm_Stats!$F$11)/(Norm_Stats!$G$11-Norm_Stats!$F$11))))</f>
        <v/>
      </c>
      <c r="AB125" s="14">
        <f>IF(AA125="","",1)</f>
        <v/>
      </c>
      <c r="AC125" s="11">
        <f>IF(OR(City_Inputs!$X125="",Norm_Stats!$F$12="",Norm_Stats!$G$12="",Norm_Stats!$G$12=Norm_Stats!$F$12),"",MAX(0,MIN(100,100*(MIN(MAX(City_Inputs!$X125,Norm_Stats!$F$12),Norm_Stats!$G$12)-Norm_Stats!$F$12)/(Norm_Stats!$G$12-Norm_Stats!$F$12))))</f>
        <v/>
      </c>
      <c r="AD125" s="11">
        <f>IF(AC125="","",1)</f>
        <v/>
      </c>
      <c r="AE125" s="15">
        <f>IF((IF(S125="",0,5)+IF(U125="",0,5)+IF(W125="",0,4)+IF(Y125="",0,4)+IF(AA125="",0,4)+IF(AC125="",0,5))=0,"",(IF(S125="",0,S125*5)+IF(U125="",0,U125*5)+IF(W125="",0,W125*4)+IF(Y125="",0,Y125*4)+IF(AA125="",0,AA125*4)+IF(AC125="",0,AC125*5))/(IF(S125="",0,5)+IF(U125="",0,5)+IF(W125="",0,4)+IF(Y125="",0,4)+IF(AA125="",0,4)+IF(AC125="",0,5)))</f>
        <v/>
      </c>
      <c r="AF125" s="14">
        <f>IF((IF(T125="",0,5)+IF(V125="",0,5)+IF(X125="",0,4)+IF(Z125="",0,4)+IF(AB125="",0,4)+IF(AD125="",0,5))=0,"",(IF(T125="",0,T125*5)+IF(V125="",0,V125*5)+IF(X125="",0,X125*4)+IF(Z125="",0,Z125*4)+IF(AB125="",0,AB125*4)+IF(AD125="",0,AD125*5))/27)</f>
        <v/>
      </c>
      <c r="AG125" s="11">
        <f>IF(OR(City_Inputs!$Y125="",Norm_Stats!$F$13="",Norm_Stats!$G$13="",Norm_Stats!$G$13=Norm_Stats!$F$13),"",MAX(0,MIN(100,100*(MIN(MAX(City_Inputs!$Y125,Norm_Stats!$F$13),Norm_Stats!$G$13)-Norm_Stats!$F$13)/(Norm_Stats!$G$13-Norm_Stats!$F$13))))</f>
        <v/>
      </c>
      <c r="AH125" s="14">
        <f>IF(AG125="","",1)</f>
        <v/>
      </c>
      <c r="AI125" s="11">
        <f>IF(OR(City_Inputs!$Z125="",Norm_Stats!$F$14="",Norm_Stats!$G$14="",Norm_Stats!$G$14=Norm_Stats!$F$14),"",MAX(0,MIN(100,100*(MIN(MAX(City_Inputs!$Z125,Norm_Stats!$F$14),Norm_Stats!$G$14)-Norm_Stats!$F$14)/(Norm_Stats!$G$14-Norm_Stats!$F$14))))</f>
        <v/>
      </c>
      <c r="AJ125" s="14">
        <f>IF(AI125="","",1)</f>
        <v/>
      </c>
      <c r="AK125" s="11">
        <f>IF((IF((IF(OR(City_Inputs!$AA125="",Norm_Stats!$F$15="",Norm_Stats!$G$15="",Norm_Stats!$G$15=Norm_Stats!$F$15),"",MAX(0,MIN(100,100*(MIN(MAX(City_Inputs!$AA125,Norm_Stats!$F$15),Norm_Stats!$G$15)-Norm_Stats!$F$15)/(Norm_Stats!$G$15-Norm_Stats!$F$15)))))="",0,0.7)+IF((IF(OR(City_Inputs!$AL125="",Norm_Stats!$F$16="",Norm_Stats!$G$16="",Norm_Stats!$G$16=Norm_Stats!$F$16),"",MAX(0,MIN(100,100*(Norm_Stats!$G$16-MIN(MAX(City_Inputs!$AL125,Norm_Stats!$F$16),Norm_Stats!$G$16))/(Norm_Stats!$G$16-Norm_Stats!$F$16)))))="",0,0.3))=0,"",(IF((IF(OR(City_Inputs!$AA125="",Norm_Stats!$F$15="",Norm_Stats!$G$15="",Norm_Stats!$G$15=Norm_Stats!$F$15),"",MAX(0,MIN(100,100*(MIN(MAX(City_Inputs!$AA125,Norm_Stats!$F$15),Norm_Stats!$G$15)-Norm_Stats!$F$15)/(Norm_Stats!$G$15-Norm_Stats!$F$15)))))="",0,(IF(OR(City_Inputs!$AA125="",Norm_Stats!$F$15="",Norm_Stats!$G$15="",Norm_Stats!$G$15=Norm_Stats!$F$15),"",MAX(0,MIN(100,100*(MIN(MAX(City_Inputs!$AA125,Norm_Stats!$F$15),Norm_Stats!$G$15)-Norm_Stats!$F$15)/(Norm_Stats!$G$15-Norm_Stats!$F$15)))))*0.7)+IF((IF(OR(City_Inputs!$AL125="",Norm_Stats!$F$16="",Norm_Stats!$G$16="",Norm_Stats!$G$16=Norm_Stats!$F$16),"",MAX(0,MIN(100,100*(Norm_Stats!$G$16-MIN(MAX(City_Inputs!$AL125,Norm_Stats!$F$16),Norm_Stats!$G$16))/(Norm_Stats!$G$16-Norm_Stats!$F$16)))))="",0,(IF(OR(City_Inputs!$AL125="",Norm_Stats!$F$16="",Norm_Stats!$G$16="",Norm_Stats!$G$16=Norm_Stats!$F$16),"",MAX(0,MIN(100,100*(Norm_Stats!$G$16-MIN(MAX(City_Inputs!$AL125,Norm_Stats!$F$16),Norm_Stats!$G$16))/(Norm_Stats!$G$16-Norm_Stats!$F$16)))))*0.3))/(IF((IF(OR(City_Inputs!$AA125="",Norm_Stats!$F$15="",Norm_Stats!$G$15="",Norm_Stats!$G$15=Norm_Stats!$F$15),"",MAX(0,MIN(100,100*(MIN(MAX(City_Inputs!$AA125,Norm_Stats!$F$15),Norm_Stats!$G$15)-Norm_Stats!$F$15)/(Norm_Stats!$G$15-Norm_Stats!$F$15)))))="",0,0.7)+IF((IF(OR(City_Inputs!$AL125="",Norm_Stats!$F$16="",Norm_Stats!$G$16="",Norm_Stats!$G$16=Norm_Stats!$F$16),"",MAX(0,MIN(100,100*(Norm_Stats!$G$16-MIN(MAX(City_Inputs!$AL125,Norm_Stats!$F$16),Norm_Stats!$G$16))/(Norm_Stats!$G$16-Norm_Stats!$F$16)))))="",0,0.3)))</f>
        <v/>
      </c>
      <c r="AL125" s="14">
        <f>IF((IF((IF(OR(City_Inputs!$AA125="",Norm_Stats!$F$15="",Norm_Stats!$G$15="",Norm_Stats!$G$15=Norm_Stats!$F$15),"",MAX(0,MIN(100,100*(MIN(MAX(City_Inputs!$AA125,Norm_Stats!$F$15),Norm_Stats!$G$15)-Norm_Stats!$F$15)/(Norm_Stats!$G$15-Norm_Stats!$F$15)))))="",0,0.7)+IF((IF(OR(City_Inputs!$AL125="",Norm_Stats!$F$16="",Norm_Stats!$G$16="",Norm_Stats!$G$16=Norm_Stats!$F$16),"",MAX(0,MIN(100,100*(Norm_Stats!$G$16-MIN(MAX(City_Inputs!$AL125,Norm_Stats!$F$16),Norm_Stats!$G$16))/(Norm_Stats!$G$16-Norm_Stats!$F$16)))))="",0,0.3))=0,"",(IF((IF(OR(City_Inputs!$AA125="",Norm_Stats!$F$15="",Norm_Stats!$G$15="",Norm_Stats!$G$15=Norm_Stats!$F$15),"",MAX(0,MIN(100,100*(MIN(MAX(City_Inputs!$AA125,Norm_Stats!$F$15),Norm_Stats!$G$15)-Norm_Stats!$F$15)/(Norm_Stats!$G$15-Norm_Stats!$F$15)))))="",0,0.7)+IF((IF(OR(City_Inputs!$AL125="",Norm_Stats!$F$16="",Norm_Stats!$G$16="",Norm_Stats!$G$16=Norm_Stats!$F$16),"",MAX(0,MIN(100,100*(Norm_Stats!$G$16-MIN(MAX(City_Inputs!$AL125,Norm_Stats!$F$16),Norm_Stats!$G$16))/(Norm_Stats!$G$16-Norm_Stats!$F$16)))))="",0,0.3)))</f>
        <v/>
      </c>
      <c r="AM125" s="15">
        <f>IF((IF(AG125="",0,8)+IF(AI125="",0,6)+IF(AK125="",0,4))=0,"",(IF(AG125="",0,AG125*8)+IF(AI125="",0,AI125*6)+IF(AK125="",0,AK125*4))/(IF(AG125="",0,8)+IF(AI125="",0,6)+IF(AK125="",0,4)))</f>
        <v/>
      </c>
      <c r="AN125" s="14">
        <f>IF((IF(AH125="",0,8)+IF(AJ125="",0,6)+IF(AL125="",0,4))=0,"",(IF(AH125="",0,AH125*8)+IF(AJ125="",0,AJ125*6)+IF(AL125="",0,AL125*4))/18)</f>
        <v/>
      </c>
      <c r="AO125" s="11">
        <f>IF(OR(City_Inputs!$AB125="",Norm_Stats!$F$17="",Norm_Stats!$G$17="",Norm_Stats!$G$17=Norm_Stats!$F$17),"",MAX(0,MIN(100,100*(MIN(MAX(City_Inputs!$AB125,Norm_Stats!$F$17),Norm_Stats!$G$17)-Norm_Stats!$F$17)/(Norm_Stats!$G$17-Norm_Stats!$F$17))))</f>
        <v/>
      </c>
      <c r="AP125" s="14">
        <f>IF(AO125="","",1)</f>
        <v/>
      </c>
      <c r="AQ125" s="11">
        <f>IF(OR(City_Inputs!$AC125="",Norm_Stats!$F$18="",Norm_Stats!$G$18="",Norm_Stats!$G$18=Norm_Stats!$F$18),"",MAX(0,MIN(100,100*(MIN(MAX(City_Inputs!$AC125,Norm_Stats!$F$18),Norm_Stats!$G$18)-Norm_Stats!$F$18)/(Norm_Stats!$G$18-Norm_Stats!$F$18))))</f>
        <v/>
      </c>
      <c r="AR125" s="14">
        <f>IF(AQ125="","",1)</f>
        <v/>
      </c>
      <c r="AS125" s="11">
        <f>IF(OR(City_Inputs!$AD125="",Norm_Stats!$F$19="",Norm_Stats!$G$19="",Norm_Stats!$G$19=Norm_Stats!$F$19),"",MAX(0,MIN(100,100*(MIN(MAX(City_Inputs!$AD125,Norm_Stats!$F$19),Norm_Stats!$G$19)-Norm_Stats!$F$19)/(Norm_Stats!$G$19-Norm_Stats!$F$19))))</f>
        <v/>
      </c>
      <c r="AT125" s="14">
        <f>IF(AS125="","",1)</f>
        <v/>
      </c>
      <c r="AU125" s="11">
        <f>IF(OR(City_Inputs!$BJ125="",Norm_Stats!$F$26="",Norm_Stats!$G$26="",Norm_Stats!$G$26=Norm_Stats!$F$26),"",MAX(0,MIN(100,100*(MIN(MAX(City_Inputs!$BJ125,Norm_Stats!$F$26),Norm_Stats!$G$26)-Norm_Stats!$F$26)/(Norm_Stats!$G$26-Norm_Stats!$F$26))))</f>
        <v/>
      </c>
      <c r="AV125" s="11">
        <f>IF(AU125="","",1)</f>
        <v/>
      </c>
      <c r="AW125" s="15">
        <f>IF((IF(AO125="",0,5)+IF(AQ125="",0,5)+IF(AS125="",0,5)+IF(AU125="",0,4))=0,"",(IF(AO125="",0,AO125*5)+IF(AQ125="",0,AQ125*5)+IF(AS125="",0,AS125*5)+IF(AU125="",0,AU125*4))/(IF(AO125="",0,5)+IF(AQ125="",0,5)+IF(AS125="",0,5)+IF(AU125="",0,4)))</f>
        <v/>
      </c>
      <c r="AX125" s="14">
        <f>IF((IF(AP125="",0,5)+IF(AR125="",0,5)+IF(AT125="",0,5)+IF(AV125="",0,4))=0,"",(IF(AP125="",0,AP125*5)+IF(AR125="",0,AR125*5)+IF(AT125="",0,AT125*5)+IF(AV125="",0,AV125*4))/19)</f>
        <v/>
      </c>
      <c r="AY125" s="11">
        <f>IF(OR(City_Inputs!$AE125="",Norm_Stats!$F$20="",Norm_Stats!$G$20="",Norm_Stats!$G$20=Norm_Stats!$F$20),"",MAX(0,MIN(100,100*(MIN(MAX(City_Inputs!$AE125,Norm_Stats!$F$20),Norm_Stats!$G$20)-Norm_Stats!$F$20)/(Norm_Stats!$G$20-Norm_Stats!$F$20))))</f>
        <v/>
      </c>
      <c r="AZ125" s="14">
        <f>IF(AY125="","",1)</f>
        <v/>
      </c>
      <c r="BA125" s="11">
        <f>IF(OR(City_Inputs!$AF125="",Norm_Stats!$F$21="",Norm_Stats!$G$21="",Norm_Stats!$G$21=Norm_Stats!$F$21),"",MAX(0,MIN(100,100*(MIN(MAX(City_Inputs!$AF125,Norm_Stats!$F$21),Norm_Stats!$G$21)-Norm_Stats!$F$21)/(Norm_Stats!$G$21-Norm_Stats!$F$21))))</f>
        <v/>
      </c>
      <c r="BB125" s="14">
        <f>IF(BA125="","",1)</f>
        <v/>
      </c>
      <c r="BC125" s="11">
        <f>IF((IF((IF(OR(City_Inputs!$AG125="",Norm_Stats!$F$22="",Norm_Stats!$G$22="",Norm_Stats!$G$22=Norm_Stats!$F$22),"",MAX(0,MIN(100,100*(MIN(MAX(City_Inputs!$AG125,Norm_Stats!$F$22),Norm_Stats!$G$22)-Norm_Stats!$F$22)/(Norm_Stats!$G$22-Norm_Stats!$F$22)))))="",0,0.5)+IF((IF(OR(City_Inputs!$AJ125="",Norm_Stats!$F$23="",Norm_Stats!$G$23="",Norm_Stats!$G$23=Norm_Stats!$F$23),"",MAX(0,MIN(100,100*(MIN(MAX(City_Inputs!$AJ125,Norm_Stats!$F$23),Norm_Stats!$G$23)-Norm_Stats!$F$23)/(Norm_Stats!$G$23-Norm_Stats!$F$23)))))="",0,0.3)+IF((IF(OR(City_Inputs!$AK125="",Norm_Stats!$F$24="",Norm_Stats!$G$24="",Norm_Stats!$G$24=Norm_Stats!$F$24),"",MAX(0,MIN(100,100*(MIN(MAX(City_Inputs!$AK125,Norm_Stats!$F$24),Norm_Stats!$G$24)-Norm_Stats!$F$24)/(Norm_Stats!$G$24-Norm_Stats!$F$24)))))="",0,0.2))=0,"",(IF((IF(OR(City_Inputs!$AG125="",Norm_Stats!$F$22="",Norm_Stats!$G$22="",Norm_Stats!$G$22=Norm_Stats!$F$22),"",MAX(0,MIN(100,100*(MIN(MAX(City_Inputs!$AG125,Norm_Stats!$F$22),Norm_Stats!$G$22)-Norm_Stats!$F$22)/(Norm_Stats!$G$22-Norm_Stats!$F$22)))))="",0,(IF(OR(City_Inputs!$AG125="",Norm_Stats!$F$22="",Norm_Stats!$G$22="",Norm_Stats!$G$22=Norm_Stats!$F$22),"",MAX(0,MIN(100,100*(MIN(MAX(City_Inputs!$AG125,Norm_Stats!$F$22),Norm_Stats!$G$22)-Norm_Stats!$F$22)/(Norm_Stats!$G$22-Norm_Stats!$F$22)))))*0.5)+IF((IF(OR(City_Inputs!$AJ125="",Norm_Stats!$F$23="",Norm_Stats!$G$23="",Norm_Stats!$G$23=Norm_Stats!$F$23),"",MAX(0,MIN(100,100*(MIN(MAX(City_Inputs!$AJ125,Norm_Stats!$F$23),Norm_Stats!$G$23)-Norm_Stats!$F$23)/(Norm_Stats!$G$23-Norm_Stats!$F$23)))))="",0,(IF(OR(City_Inputs!$AJ125="",Norm_Stats!$F$23="",Norm_Stats!$G$23="",Norm_Stats!$G$23=Norm_Stats!$F$23),"",MAX(0,MIN(100,100*(MIN(MAX(City_Inputs!$AJ125,Norm_Stats!$F$23),Norm_Stats!$G$23)-Norm_Stats!$F$23)/(Norm_Stats!$G$23-Norm_Stats!$F$23)))))*0.3)+IF((IF(OR(City_Inputs!$AK125="",Norm_Stats!$F$24="",Norm_Stats!$G$24="",Norm_Stats!$G$24=Norm_Stats!$F$24),"",MAX(0,MIN(100,100*(MIN(MAX(City_Inputs!$AK125,Norm_Stats!$F$24),Norm_Stats!$G$24)-Norm_Stats!$F$24)/(Norm_Stats!$G$24-Norm_Stats!$F$24)))))="",0,(IF(OR(City_Inputs!$AK125="",Norm_Stats!$F$24="",Norm_Stats!$G$24="",Norm_Stats!$G$24=Norm_Stats!$F$24),"",MAX(0,MIN(100,100*(MIN(MAX(City_Inputs!$AK125,Norm_Stats!$F$24),Norm_Stats!$G$24)-Norm_Stats!$F$24)/(Norm_Stats!$G$24-Norm_Stats!$F$24)))))*0.2))/(IF((IF(OR(City_Inputs!$AG125="",Norm_Stats!$F$22="",Norm_Stats!$G$22="",Norm_Stats!$G$22=Norm_Stats!$F$22),"",MAX(0,MIN(100,100*(MIN(MAX(City_Inputs!$AG125,Norm_Stats!$F$22),Norm_Stats!$G$22)-Norm_Stats!$F$22)/(Norm_Stats!$G$22-Norm_Stats!$F$22)))))="",0,0.5)+IF((IF(OR(City_Inputs!$AJ125="",Norm_Stats!$F$23="",Norm_Stats!$G$23="",Norm_Stats!$G$23=Norm_Stats!$F$23),"",MAX(0,MIN(100,100*(MIN(MAX(City_Inputs!$AJ125,Norm_Stats!$F$23),Norm_Stats!$G$23)-Norm_Stats!$F$23)/(Norm_Stats!$G$23-Norm_Stats!$F$23)))))="",0,0.3)+IF((IF(OR(City_Inputs!$AK125="",Norm_Stats!$F$24="",Norm_Stats!$G$24="",Norm_Stats!$G$24=Norm_Stats!$F$24),"",MAX(0,MIN(100,100*(MIN(MAX(City_Inputs!$AK125,Norm_Stats!$F$24),Norm_Stats!$G$24)-Norm_Stats!$F$24)/(Norm_Stats!$G$24-Norm_Stats!$F$24)))))="",0,0.2)))</f>
        <v/>
      </c>
      <c r="BD125" s="14">
        <f>IF((IF((IF(OR(City_Inputs!$AG125="",Norm_Stats!$F$22="",Norm_Stats!$G$22="",Norm_Stats!$G$22=Norm_Stats!$F$22),"",MAX(0,MIN(100,100*(MIN(MAX(City_Inputs!$AG125,Norm_Stats!$F$22),Norm_Stats!$G$22)-Norm_Stats!$F$22)/(Norm_Stats!$G$22-Norm_Stats!$F$22)))))="",0,0.5)+IF((IF(OR(City_Inputs!$AJ125="",Norm_Stats!$F$23="",Norm_Stats!$G$23="",Norm_Stats!$G$23=Norm_Stats!$F$23),"",MAX(0,MIN(100,100*(MIN(MAX(City_Inputs!$AJ125,Norm_Stats!$F$23),Norm_Stats!$G$23)-Norm_Stats!$F$23)/(Norm_Stats!$G$23-Norm_Stats!$F$23)))))="",0,0.3)+IF((IF(OR(City_Inputs!$AK125="",Norm_Stats!$F$24="",Norm_Stats!$G$24="",Norm_Stats!$G$24=Norm_Stats!$F$24),"",MAX(0,MIN(100,100*(MIN(MAX(City_Inputs!$AK125,Norm_Stats!$F$24),Norm_Stats!$G$24)-Norm_Stats!$F$24)/(Norm_Stats!$G$24-Norm_Stats!$F$24)))))="",0,0.2))=0,"",(IF((IF(OR(City_Inputs!$AG125="",Norm_Stats!$F$22="",Norm_Stats!$G$22="",Norm_Stats!$G$22=Norm_Stats!$F$22),"",MAX(0,MIN(100,100*(MIN(MAX(City_Inputs!$AG125,Norm_Stats!$F$22),Norm_Stats!$G$22)-Norm_Stats!$F$22)/(Norm_Stats!$G$22-Norm_Stats!$F$22)))))="",0,0.5)+IF((IF(OR(City_Inputs!$AJ125="",Norm_Stats!$F$23="",Norm_Stats!$G$23="",Norm_Stats!$G$23=Norm_Stats!$F$23),"",MAX(0,MIN(100,100*(MIN(MAX(City_Inputs!$AJ125,Norm_Stats!$F$23),Norm_Stats!$G$23)-Norm_Stats!$F$23)/(Norm_Stats!$G$23-Norm_Stats!$F$23)))))="",0,0.3)+IF((IF(OR(City_Inputs!$AK125="",Norm_Stats!$F$24="",Norm_Stats!$G$24="",Norm_Stats!$G$24=Norm_Stats!$F$24),"",MAX(0,MIN(100,100*(MIN(MAX(City_Inputs!$AK125,Norm_Stats!$F$24),Norm_Stats!$G$24)-Norm_Stats!$F$24)/(Norm_Stats!$G$24-Norm_Stats!$F$24)))))="",0,0.2)))</f>
        <v/>
      </c>
      <c r="BE125" s="11">
        <f>IF(OR(City_Inputs!$AH125="",Norm_Stats!$F$25="",Norm_Stats!$G$25="",Norm_Stats!$G$25=Norm_Stats!$F$25),"",MAX(0,MIN(100,100*(Norm_Stats!$G$25-MIN(MAX(City_Inputs!$AH125,Norm_Stats!$F$25),Norm_Stats!$G$25))/(Norm_Stats!$G$25-Norm_Stats!$F$25))))</f>
        <v/>
      </c>
      <c r="BF125" s="14">
        <f>IF(BE125="","",1)</f>
        <v/>
      </c>
      <c r="BG125" s="15">
        <f>IF((IF(AY125="",0,6)+IF(BA125="",0,5)+IF(BC125="",0,5)+IF(BE125="",0,4))=0,"",(IF(AY125="",0,AY125*6)+IF(BA125="",0,BA125*5)+IF(BC125="",0,BC125*5)+IF(BE125="",0,BE125*4))/(IF(AY125="",0,6)+IF(BA125="",0,5)+IF(BC125="",0,5)+IF(BE125="",0,4)))</f>
        <v/>
      </c>
      <c r="BH125" s="14">
        <f>IF((IF(AZ125="",0,6)+IF(BB125="",0,5)+IF(BD125="",0,5)+IF(BF125="",0,4))=0,"",(IF(AZ125="",0,AZ125*6)+IF(BB125="",0,BB125*5)+IF(BD125="",0,BD125*5)+IF(BF125="",0,BF125*4))/20)</f>
        <v/>
      </c>
      <c r="BI125" s="14">
        <f>IF(AND(R125="",AF125="",AN125="",AX125="",BH125=""),"",((R125*25)+(AF125*22)+(AN125*18)+(AX125*15)+(BH125*20))/100)</f>
        <v/>
      </c>
      <c r="BJ125" s="11">
        <f>IF(BI125="","",IF(BI125&gt;=0.75,"A",IF(BI125&gt;=0.5,"B",IF(BI125&gt;=0.35,"C","Watchlist"))))</f>
        <v/>
      </c>
      <c r="BK125" s="11">
        <f>IF(OR(BI125="",BI125&lt;0.5,R125="",R125&lt;0.35,AF125="",AF125&lt;0.35,AN125="",AN125&lt;0.35,AX125="",AX125&lt;0.35,BH125="",BH125&lt;0.35),"Watchlist","Ranked")</f>
        <v/>
      </c>
      <c r="BL125" s="15">
        <f>IF(AND(Q125="",AE125="",AM125="",AW125="",BG125=""),"",(IF(Q125="",0,Q125*25)+IF(AE125="",0,AE125*22)+IF(AM125="",0,AM125*18)+IF(AW125="",0,AW125*15)+IF(BG125="",0,BG125*20))/(IF(Q125="",0,25)+IF(AE125="",0,22)+IF(AM125="",0,18)+IF(AW125="",0,15)+IF(BG125="",0,20)))</f>
        <v/>
      </c>
      <c r="BM125" s="11">
        <f>IF(BK125="Ranked",1+COUNTIFS($BK$2:$BK$158,"Ranked",$BL$2:$BL$158,"&gt;"&amp;BL125),"")</f>
        <v/>
      </c>
      <c r="BN125" s="11">
        <f>City_Inputs!$AI125</f>
        <v/>
      </c>
    </row>
    <row r="126">
      <c r="A126" t="inlineStr">
        <is>
          <t>lt-vilnius</t>
        </is>
      </c>
      <c r="B126" t="inlineStr">
        <is>
          <t>Vilnius</t>
        </is>
      </c>
      <c r="C126" t="inlineStr">
        <is>
          <t>Lithuania</t>
        </is>
      </c>
      <c r="D126" t="inlineStr">
        <is>
          <t>Southern/Eastern Europe and Eurasia</t>
        </is>
      </c>
      <c r="E126" t="inlineStr">
        <is>
          <t>provisional</t>
        </is>
      </c>
      <c r="F126" t="inlineStr">
        <is>
          <t>primary</t>
        </is>
      </c>
      <c r="G126" s="11">
        <f>IF(OR(City_Inputs!$M126="",Norm_Stats!$F$2="",Norm_Stats!$G$2="",Norm_Stats!$G$2=Norm_Stats!$F$2),"",MAX(0,MIN(100,100*(MIN(MAX(City_Inputs!$M126,Norm_Stats!$F$2),Norm_Stats!$G$2)-Norm_Stats!$F$2)/(Norm_Stats!$G$2-Norm_Stats!$F$2))))</f>
        <v/>
      </c>
      <c r="H126" s="14">
        <f>IF(G126="","",1)</f>
        <v/>
      </c>
      <c r="I126" s="11">
        <f>IF(OR(City_Inputs!$N126="",Norm_Stats!$F$3="",Norm_Stats!$G$3="",Norm_Stats!$G$3=Norm_Stats!$F$3),"",MAX(0,MIN(100,100*(Norm_Stats!$G$3-MIN(MAX(City_Inputs!$N126,Norm_Stats!$F$3),Norm_Stats!$G$3))/(Norm_Stats!$G$3-Norm_Stats!$F$3))))</f>
        <v/>
      </c>
      <c r="J126" s="14">
        <f>IF(I126="","",1)</f>
        <v/>
      </c>
      <c r="K126" s="11">
        <f>IF(OR(City_Inputs!$P126="",Norm_Stats!$F$4="",Norm_Stats!$G$4="",Norm_Stats!$G$4=Norm_Stats!$F$4),"",MAX(0,MIN(100,100*(Norm_Stats!$G$4-MIN(MAX(City_Inputs!$P126,Norm_Stats!$F$4),Norm_Stats!$G$4))/(Norm_Stats!$G$4-Norm_Stats!$F$4))))</f>
        <v/>
      </c>
      <c r="L126" s="14">
        <f>IF(K126="","",1)</f>
        <v/>
      </c>
      <c r="M126" s="11">
        <f>IF(OR(City_Inputs!$Q126="",Norm_Stats!$F$5="",Norm_Stats!$G$5="",Norm_Stats!$G$5=Norm_Stats!$F$5),"",MAX(0,MIN(100,100*(Norm_Stats!$G$5-MIN(MAX(City_Inputs!$Q126,Norm_Stats!$F$5),Norm_Stats!$G$5))/(Norm_Stats!$G$5-Norm_Stats!$F$5))))</f>
        <v/>
      </c>
      <c r="N126" s="14">
        <f>IF(M126="","",1)</f>
        <v/>
      </c>
      <c r="O126" s="11">
        <f>IF(OR(City_Inputs!$R126="",Norm_Stats!$F$6="",Norm_Stats!$G$6="",Norm_Stats!$G$6=Norm_Stats!$F$6),"",MAX(0,MIN(100,100*(Norm_Stats!$G$6-MIN(MAX(City_Inputs!$R126,Norm_Stats!$F$6),Norm_Stats!$G$6))/(Norm_Stats!$G$6-Norm_Stats!$F$6))))</f>
        <v/>
      </c>
      <c r="P126" s="14">
        <f>IF(O126="","",1)</f>
        <v/>
      </c>
      <c r="Q126" s="15">
        <f>IF((IF(G126="",0,9)+IF(I126="",0,5)+IF(K126="",0,4)+IF(M126="",0,4)+IF(O126="",0,5))=0,"",(IF(G126="",0,G126*9)+IF(I126="",0,I126*5)+IF(K126="",0,K126*4)+IF(M126="",0,M126*4)+IF(O126="",0,O126*5))/(IF(G126="",0,9)+IF(I126="",0,5)+IF(K126="",0,4)+IF(M126="",0,4)+IF(O126="",0,5)))</f>
        <v/>
      </c>
      <c r="R126" s="14">
        <f>IF((IF(H126="",0,9)+IF(J126="",0,5)+IF(L126="",0,4)+IF(N126="",0,4)+IF(P126="",0,5))=0,"",(IF(H126="",0,H126*9)+IF(J126="",0,J126*5)+IF(L126="",0,L126*4)+IF(N126="",0,N126*4)+IF(P126="",0,P126*5))/27)</f>
        <v/>
      </c>
      <c r="S126" s="11">
        <f>IF(OR(City_Inputs!$S126="",Norm_Stats!$F$7="",Norm_Stats!$G$7="",Norm_Stats!$G$7=Norm_Stats!$F$7),"",MAX(0,MIN(100,100*(Norm_Stats!$G$7-MIN(MAX(City_Inputs!$S126,Norm_Stats!$F$7),Norm_Stats!$G$7))/(Norm_Stats!$G$7-Norm_Stats!$F$7))))</f>
        <v/>
      </c>
      <c r="T126" s="14">
        <f>IF(S126="","",1)</f>
        <v/>
      </c>
      <c r="U126" s="11">
        <f>IF(OR(City_Inputs!$T126="",Norm_Stats!$F$8="",Norm_Stats!$G$8="",Norm_Stats!$G$8=Norm_Stats!$F$8),"",MAX(0,MIN(100,100*(MIN(MAX(City_Inputs!$T126,Norm_Stats!$F$8),Norm_Stats!$G$8)-Norm_Stats!$F$8)/(Norm_Stats!$G$8-Norm_Stats!$F$8))))</f>
        <v/>
      </c>
      <c r="V126" s="14">
        <f>IF(U126="","",1)</f>
        <v/>
      </c>
      <c r="W126" s="11">
        <f>IF(OR(City_Inputs!$U126="",Norm_Stats!$F$9="",Norm_Stats!$G$9="",Norm_Stats!$G$9=Norm_Stats!$F$9),"",MAX(0,MIN(100,100*(Norm_Stats!$G$9-MIN(MAX(City_Inputs!$U126,Norm_Stats!$F$9),Norm_Stats!$G$9))/(Norm_Stats!$G$9-Norm_Stats!$F$9))))</f>
        <v/>
      </c>
      <c r="X126" s="14">
        <f>IF(W126="","",1)</f>
        <v/>
      </c>
      <c r="Y126" s="11">
        <f>IF(OR(City_Inputs!$V126="",Norm_Stats!$F$10="",Norm_Stats!$G$10="",Norm_Stats!$G$10=Norm_Stats!$F$10),"",MAX(0,MIN(100,100*(MIN(MAX(City_Inputs!$V126,Norm_Stats!$F$10),Norm_Stats!$G$10)-Norm_Stats!$F$10)/(Norm_Stats!$G$10-Norm_Stats!$F$10))))</f>
        <v/>
      </c>
      <c r="Z126" s="14">
        <f>IF(Y126="","",1)</f>
        <v/>
      </c>
      <c r="AA126" s="11">
        <f>IF(OR(City_Inputs!$W126="",Norm_Stats!$F$11="",Norm_Stats!$G$11="",Norm_Stats!$G$11=Norm_Stats!$F$11),"",MAX(0,MIN(100,100*(MIN(MAX(City_Inputs!$W126,Norm_Stats!$F$11),Norm_Stats!$G$11)-Norm_Stats!$F$11)/(Norm_Stats!$G$11-Norm_Stats!$F$11))))</f>
        <v/>
      </c>
      <c r="AB126" s="14">
        <f>IF(AA126="","",1)</f>
        <v/>
      </c>
      <c r="AC126" s="11">
        <f>IF(OR(City_Inputs!$X126="",Norm_Stats!$F$12="",Norm_Stats!$G$12="",Norm_Stats!$G$12=Norm_Stats!$F$12),"",MAX(0,MIN(100,100*(MIN(MAX(City_Inputs!$X126,Norm_Stats!$F$12),Norm_Stats!$G$12)-Norm_Stats!$F$12)/(Norm_Stats!$G$12-Norm_Stats!$F$12))))</f>
        <v/>
      </c>
      <c r="AD126" s="11">
        <f>IF(AC126="","",1)</f>
        <v/>
      </c>
      <c r="AE126" s="15">
        <f>IF((IF(S126="",0,5)+IF(U126="",0,5)+IF(W126="",0,4)+IF(Y126="",0,4)+IF(AA126="",0,4)+IF(AC126="",0,5))=0,"",(IF(S126="",0,S126*5)+IF(U126="",0,U126*5)+IF(W126="",0,W126*4)+IF(Y126="",0,Y126*4)+IF(AA126="",0,AA126*4)+IF(AC126="",0,AC126*5))/(IF(S126="",0,5)+IF(U126="",0,5)+IF(W126="",0,4)+IF(Y126="",0,4)+IF(AA126="",0,4)+IF(AC126="",0,5)))</f>
        <v/>
      </c>
      <c r="AF126" s="14">
        <f>IF((IF(T126="",0,5)+IF(V126="",0,5)+IF(X126="",0,4)+IF(Z126="",0,4)+IF(AB126="",0,4)+IF(AD126="",0,5))=0,"",(IF(T126="",0,T126*5)+IF(V126="",0,V126*5)+IF(X126="",0,X126*4)+IF(Z126="",0,Z126*4)+IF(AB126="",0,AB126*4)+IF(AD126="",0,AD126*5))/27)</f>
        <v/>
      </c>
      <c r="AG126" s="11">
        <f>IF(OR(City_Inputs!$Y126="",Norm_Stats!$F$13="",Norm_Stats!$G$13="",Norm_Stats!$G$13=Norm_Stats!$F$13),"",MAX(0,MIN(100,100*(MIN(MAX(City_Inputs!$Y126,Norm_Stats!$F$13),Norm_Stats!$G$13)-Norm_Stats!$F$13)/(Norm_Stats!$G$13-Norm_Stats!$F$13))))</f>
        <v/>
      </c>
      <c r="AH126" s="14">
        <f>IF(AG126="","",1)</f>
        <v/>
      </c>
      <c r="AI126" s="11">
        <f>IF(OR(City_Inputs!$Z126="",Norm_Stats!$F$14="",Norm_Stats!$G$14="",Norm_Stats!$G$14=Norm_Stats!$F$14),"",MAX(0,MIN(100,100*(MIN(MAX(City_Inputs!$Z126,Norm_Stats!$F$14),Norm_Stats!$G$14)-Norm_Stats!$F$14)/(Norm_Stats!$G$14-Norm_Stats!$F$14))))</f>
        <v/>
      </c>
      <c r="AJ126" s="14">
        <f>IF(AI126="","",1)</f>
        <v/>
      </c>
      <c r="AK126" s="11">
        <f>IF((IF((IF(OR(City_Inputs!$AA126="",Norm_Stats!$F$15="",Norm_Stats!$G$15="",Norm_Stats!$G$15=Norm_Stats!$F$15),"",MAX(0,MIN(100,100*(MIN(MAX(City_Inputs!$AA126,Norm_Stats!$F$15),Norm_Stats!$G$15)-Norm_Stats!$F$15)/(Norm_Stats!$G$15-Norm_Stats!$F$15)))))="",0,0.7)+IF((IF(OR(City_Inputs!$AL126="",Norm_Stats!$F$16="",Norm_Stats!$G$16="",Norm_Stats!$G$16=Norm_Stats!$F$16),"",MAX(0,MIN(100,100*(Norm_Stats!$G$16-MIN(MAX(City_Inputs!$AL126,Norm_Stats!$F$16),Norm_Stats!$G$16))/(Norm_Stats!$G$16-Norm_Stats!$F$16)))))="",0,0.3))=0,"",(IF((IF(OR(City_Inputs!$AA126="",Norm_Stats!$F$15="",Norm_Stats!$G$15="",Norm_Stats!$G$15=Norm_Stats!$F$15),"",MAX(0,MIN(100,100*(MIN(MAX(City_Inputs!$AA126,Norm_Stats!$F$15),Norm_Stats!$G$15)-Norm_Stats!$F$15)/(Norm_Stats!$G$15-Norm_Stats!$F$15)))))="",0,(IF(OR(City_Inputs!$AA126="",Norm_Stats!$F$15="",Norm_Stats!$G$15="",Norm_Stats!$G$15=Norm_Stats!$F$15),"",MAX(0,MIN(100,100*(MIN(MAX(City_Inputs!$AA126,Norm_Stats!$F$15),Norm_Stats!$G$15)-Norm_Stats!$F$15)/(Norm_Stats!$G$15-Norm_Stats!$F$15)))))*0.7)+IF((IF(OR(City_Inputs!$AL126="",Norm_Stats!$F$16="",Norm_Stats!$G$16="",Norm_Stats!$G$16=Norm_Stats!$F$16),"",MAX(0,MIN(100,100*(Norm_Stats!$G$16-MIN(MAX(City_Inputs!$AL126,Norm_Stats!$F$16),Norm_Stats!$G$16))/(Norm_Stats!$G$16-Norm_Stats!$F$16)))))="",0,(IF(OR(City_Inputs!$AL126="",Norm_Stats!$F$16="",Norm_Stats!$G$16="",Norm_Stats!$G$16=Norm_Stats!$F$16),"",MAX(0,MIN(100,100*(Norm_Stats!$G$16-MIN(MAX(City_Inputs!$AL126,Norm_Stats!$F$16),Norm_Stats!$G$16))/(Norm_Stats!$G$16-Norm_Stats!$F$16)))))*0.3))/(IF((IF(OR(City_Inputs!$AA126="",Norm_Stats!$F$15="",Norm_Stats!$G$15="",Norm_Stats!$G$15=Norm_Stats!$F$15),"",MAX(0,MIN(100,100*(MIN(MAX(City_Inputs!$AA126,Norm_Stats!$F$15),Norm_Stats!$G$15)-Norm_Stats!$F$15)/(Norm_Stats!$G$15-Norm_Stats!$F$15)))))="",0,0.7)+IF((IF(OR(City_Inputs!$AL126="",Norm_Stats!$F$16="",Norm_Stats!$G$16="",Norm_Stats!$G$16=Norm_Stats!$F$16),"",MAX(0,MIN(100,100*(Norm_Stats!$G$16-MIN(MAX(City_Inputs!$AL126,Norm_Stats!$F$16),Norm_Stats!$G$16))/(Norm_Stats!$G$16-Norm_Stats!$F$16)))))="",0,0.3)))</f>
        <v/>
      </c>
      <c r="AL126" s="14">
        <f>IF((IF((IF(OR(City_Inputs!$AA126="",Norm_Stats!$F$15="",Norm_Stats!$G$15="",Norm_Stats!$G$15=Norm_Stats!$F$15),"",MAX(0,MIN(100,100*(MIN(MAX(City_Inputs!$AA126,Norm_Stats!$F$15),Norm_Stats!$G$15)-Norm_Stats!$F$15)/(Norm_Stats!$G$15-Norm_Stats!$F$15)))))="",0,0.7)+IF((IF(OR(City_Inputs!$AL126="",Norm_Stats!$F$16="",Norm_Stats!$G$16="",Norm_Stats!$G$16=Norm_Stats!$F$16),"",MAX(0,MIN(100,100*(Norm_Stats!$G$16-MIN(MAX(City_Inputs!$AL126,Norm_Stats!$F$16),Norm_Stats!$G$16))/(Norm_Stats!$G$16-Norm_Stats!$F$16)))))="",0,0.3))=0,"",(IF((IF(OR(City_Inputs!$AA126="",Norm_Stats!$F$15="",Norm_Stats!$G$15="",Norm_Stats!$G$15=Norm_Stats!$F$15),"",MAX(0,MIN(100,100*(MIN(MAX(City_Inputs!$AA126,Norm_Stats!$F$15),Norm_Stats!$G$15)-Norm_Stats!$F$15)/(Norm_Stats!$G$15-Norm_Stats!$F$15)))))="",0,0.7)+IF((IF(OR(City_Inputs!$AL126="",Norm_Stats!$F$16="",Norm_Stats!$G$16="",Norm_Stats!$G$16=Norm_Stats!$F$16),"",MAX(0,MIN(100,100*(Norm_Stats!$G$16-MIN(MAX(City_Inputs!$AL126,Norm_Stats!$F$16),Norm_Stats!$G$16))/(Norm_Stats!$G$16-Norm_Stats!$F$16)))))="",0,0.3)))</f>
        <v/>
      </c>
      <c r="AM126" s="15">
        <f>IF((IF(AG126="",0,8)+IF(AI126="",0,6)+IF(AK126="",0,4))=0,"",(IF(AG126="",0,AG126*8)+IF(AI126="",0,AI126*6)+IF(AK126="",0,AK126*4))/(IF(AG126="",0,8)+IF(AI126="",0,6)+IF(AK126="",0,4)))</f>
        <v/>
      </c>
      <c r="AN126" s="14">
        <f>IF((IF(AH126="",0,8)+IF(AJ126="",0,6)+IF(AL126="",0,4))=0,"",(IF(AH126="",0,AH126*8)+IF(AJ126="",0,AJ126*6)+IF(AL126="",0,AL126*4))/18)</f>
        <v/>
      </c>
      <c r="AO126" s="11">
        <f>IF(OR(City_Inputs!$AB126="",Norm_Stats!$F$17="",Norm_Stats!$G$17="",Norm_Stats!$G$17=Norm_Stats!$F$17),"",MAX(0,MIN(100,100*(MIN(MAX(City_Inputs!$AB126,Norm_Stats!$F$17),Norm_Stats!$G$17)-Norm_Stats!$F$17)/(Norm_Stats!$G$17-Norm_Stats!$F$17))))</f>
        <v/>
      </c>
      <c r="AP126" s="14">
        <f>IF(AO126="","",1)</f>
        <v/>
      </c>
      <c r="AQ126" s="11">
        <f>IF(OR(City_Inputs!$AC126="",Norm_Stats!$F$18="",Norm_Stats!$G$18="",Norm_Stats!$G$18=Norm_Stats!$F$18),"",MAX(0,MIN(100,100*(MIN(MAX(City_Inputs!$AC126,Norm_Stats!$F$18),Norm_Stats!$G$18)-Norm_Stats!$F$18)/(Norm_Stats!$G$18-Norm_Stats!$F$18))))</f>
        <v/>
      </c>
      <c r="AR126" s="14">
        <f>IF(AQ126="","",1)</f>
        <v/>
      </c>
      <c r="AS126" s="11">
        <f>IF(OR(City_Inputs!$AD126="",Norm_Stats!$F$19="",Norm_Stats!$G$19="",Norm_Stats!$G$19=Norm_Stats!$F$19),"",MAX(0,MIN(100,100*(MIN(MAX(City_Inputs!$AD126,Norm_Stats!$F$19),Norm_Stats!$G$19)-Norm_Stats!$F$19)/(Norm_Stats!$G$19-Norm_Stats!$F$19))))</f>
        <v/>
      </c>
      <c r="AT126" s="14">
        <f>IF(AS126="","",1)</f>
        <v/>
      </c>
      <c r="AU126" s="11">
        <f>IF(OR(City_Inputs!$BJ126="",Norm_Stats!$F$26="",Norm_Stats!$G$26="",Norm_Stats!$G$26=Norm_Stats!$F$26),"",MAX(0,MIN(100,100*(MIN(MAX(City_Inputs!$BJ126,Norm_Stats!$F$26),Norm_Stats!$G$26)-Norm_Stats!$F$26)/(Norm_Stats!$G$26-Norm_Stats!$F$26))))</f>
        <v/>
      </c>
      <c r="AV126" s="11">
        <f>IF(AU126="","",1)</f>
        <v/>
      </c>
      <c r="AW126" s="15">
        <f>IF((IF(AO126="",0,5)+IF(AQ126="",0,5)+IF(AS126="",0,5)+IF(AU126="",0,4))=0,"",(IF(AO126="",0,AO126*5)+IF(AQ126="",0,AQ126*5)+IF(AS126="",0,AS126*5)+IF(AU126="",0,AU126*4))/(IF(AO126="",0,5)+IF(AQ126="",0,5)+IF(AS126="",0,5)+IF(AU126="",0,4)))</f>
        <v/>
      </c>
      <c r="AX126" s="14">
        <f>IF((IF(AP126="",0,5)+IF(AR126="",0,5)+IF(AT126="",0,5)+IF(AV126="",0,4))=0,"",(IF(AP126="",0,AP126*5)+IF(AR126="",0,AR126*5)+IF(AT126="",0,AT126*5)+IF(AV126="",0,AV126*4))/19)</f>
        <v/>
      </c>
      <c r="AY126" s="11">
        <f>IF(OR(City_Inputs!$AE126="",Norm_Stats!$F$20="",Norm_Stats!$G$20="",Norm_Stats!$G$20=Norm_Stats!$F$20),"",MAX(0,MIN(100,100*(MIN(MAX(City_Inputs!$AE126,Norm_Stats!$F$20),Norm_Stats!$G$20)-Norm_Stats!$F$20)/(Norm_Stats!$G$20-Norm_Stats!$F$20))))</f>
        <v/>
      </c>
      <c r="AZ126" s="14">
        <f>IF(AY126="","",1)</f>
        <v/>
      </c>
      <c r="BA126" s="11">
        <f>IF(OR(City_Inputs!$AF126="",Norm_Stats!$F$21="",Norm_Stats!$G$21="",Norm_Stats!$G$21=Norm_Stats!$F$21),"",MAX(0,MIN(100,100*(MIN(MAX(City_Inputs!$AF126,Norm_Stats!$F$21),Norm_Stats!$G$21)-Norm_Stats!$F$21)/(Norm_Stats!$G$21-Norm_Stats!$F$21))))</f>
        <v/>
      </c>
      <c r="BB126" s="14">
        <f>IF(BA126="","",1)</f>
        <v/>
      </c>
      <c r="BC126" s="11">
        <f>IF((IF((IF(OR(City_Inputs!$AG126="",Norm_Stats!$F$22="",Norm_Stats!$G$22="",Norm_Stats!$G$22=Norm_Stats!$F$22),"",MAX(0,MIN(100,100*(MIN(MAX(City_Inputs!$AG126,Norm_Stats!$F$22),Norm_Stats!$G$22)-Norm_Stats!$F$22)/(Norm_Stats!$G$22-Norm_Stats!$F$22)))))="",0,0.5)+IF((IF(OR(City_Inputs!$AJ126="",Norm_Stats!$F$23="",Norm_Stats!$G$23="",Norm_Stats!$G$23=Norm_Stats!$F$23),"",MAX(0,MIN(100,100*(MIN(MAX(City_Inputs!$AJ126,Norm_Stats!$F$23),Norm_Stats!$G$23)-Norm_Stats!$F$23)/(Norm_Stats!$G$23-Norm_Stats!$F$23)))))="",0,0.3)+IF((IF(OR(City_Inputs!$AK126="",Norm_Stats!$F$24="",Norm_Stats!$G$24="",Norm_Stats!$G$24=Norm_Stats!$F$24),"",MAX(0,MIN(100,100*(MIN(MAX(City_Inputs!$AK126,Norm_Stats!$F$24),Norm_Stats!$G$24)-Norm_Stats!$F$24)/(Norm_Stats!$G$24-Norm_Stats!$F$24)))))="",0,0.2))=0,"",(IF((IF(OR(City_Inputs!$AG126="",Norm_Stats!$F$22="",Norm_Stats!$G$22="",Norm_Stats!$G$22=Norm_Stats!$F$22),"",MAX(0,MIN(100,100*(MIN(MAX(City_Inputs!$AG126,Norm_Stats!$F$22),Norm_Stats!$G$22)-Norm_Stats!$F$22)/(Norm_Stats!$G$22-Norm_Stats!$F$22)))))="",0,(IF(OR(City_Inputs!$AG126="",Norm_Stats!$F$22="",Norm_Stats!$G$22="",Norm_Stats!$G$22=Norm_Stats!$F$22),"",MAX(0,MIN(100,100*(MIN(MAX(City_Inputs!$AG126,Norm_Stats!$F$22),Norm_Stats!$G$22)-Norm_Stats!$F$22)/(Norm_Stats!$G$22-Norm_Stats!$F$22)))))*0.5)+IF((IF(OR(City_Inputs!$AJ126="",Norm_Stats!$F$23="",Norm_Stats!$G$23="",Norm_Stats!$G$23=Norm_Stats!$F$23),"",MAX(0,MIN(100,100*(MIN(MAX(City_Inputs!$AJ126,Norm_Stats!$F$23),Norm_Stats!$G$23)-Norm_Stats!$F$23)/(Norm_Stats!$G$23-Norm_Stats!$F$23)))))="",0,(IF(OR(City_Inputs!$AJ126="",Norm_Stats!$F$23="",Norm_Stats!$G$23="",Norm_Stats!$G$23=Norm_Stats!$F$23),"",MAX(0,MIN(100,100*(MIN(MAX(City_Inputs!$AJ126,Norm_Stats!$F$23),Norm_Stats!$G$23)-Norm_Stats!$F$23)/(Norm_Stats!$G$23-Norm_Stats!$F$23)))))*0.3)+IF((IF(OR(City_Inputs!$AK126="",Norm_Stats!$F$24="",Norm_Stats!$G$24="",Norm_Stats!$G$24=Norm_Stats!$F$24),"",MAX(0,MIN(100,100*(MIN(MAX(City_Inputs!$AK126,Norm_Stats!$F$24),Norm_Stats!$G$24)-Norm_Stats!$F$24)/(Norm_Stats!$G$24-Norm_Stats!$F$24)))))="",0,(IF(OR(City_Inputs!$AK126="",Norm_Stats!$F$24="",Norm_Stats!$G$24="",Norm_Stats!$G$24=Norm_Stats!$F$24),"",MAX(0,MIN(100,100*(MIN(MAX(City_Inputs!$AK126,Norm_Stats!$F$24),Norm_Stats!$G$24)-Norm_Stats!$F$24)/(Norm_Stats!$G$24-Norm_Stats!$F$24)))))*0.2))/(IF((IF(OR(City_Inputs!$AG126="",Norm_Stats!$F$22="",Norm_Stats!$G$22="",Norm_Stats!$G$22=Norm_Stats!$F$22),"",MAX(0,MIN(100,100*(MIN(MAX(City_Inputs!$AG126,Norm_Stats!$F$22),Norm_Stats!$G$22)-Norm_Stats!$F$22)/(Norm_Stats!$G$22-Norm_Stats!$F$22)))))="",0,0.5)+IF((IF(OR(City_Inputs!$AJ126="",Norm_Stats!$F$23="",Norm_Stats!$G$23="",Norm_Stats!$G$23=Norm_Stats!$F$23),"",MAX(0,MIN(100,100*(MIN(MAX(City_Inputs!$AJ126,Norm_Stats!$F$23),Norm_Stats!$G$23)-Norm_Stats!$F$23)/(Norm_Stats!$G$23-Norm_Stats!$F$23)))))="",0,0.3)+IF((IF(OR(City_Inputs!$AK126="",Norm_Stats!$F$24="",Norm_Stats!$G$24="",Norm_Stats!$G$24=Norm_Stats!$F$24),"",MAX(0,MIN(100,100*(MIN(MAX(City_Inputs!$AK126,Norm_Stats!$F$24),Norm_Stats!$G$24)-Norm_Stats!$F$24)/(Norm_Stats!$G$24-Norm_Stats!$F$24)))))="",0,0.2)))</f>
        <v/>
      </c>
      <c r="BD126" s="14">
        <f>IF((IF((IF(OR(City_Inputs!$AG126="",Norm_Stats!$F$22="",Norm_Stats!$G$22="",Norm_Stats!$G$22=Norm_Stats!$F$22),"",MAX(0,MIN(100,100*(MIN(MAX(City_Inputs!$AG126,Norm_Stats!$F$22),Norm_Stats!$G$22)-Norm_Stats!$F$22)/(Norm_Stats!$G$22-Norm_Stats!$F$22)))))="",0,0.5)+IF((IF(OR(City_Inputs!$AJ126="",Norm_Stats!$F$23="",Norm_Stats!$G$23="",Norm_Stats!$G$23=Norm_Stats!$F$23),"",MAX(0,MIN(100,100*(MIN(MAX(City_Inputs!$AJ126,Norm_Stats!$F$23),Norm_Stats!$G$23)-Norm_Stats!$F$23)/(Norm_Stats!$G$23-Norm_Stats!$F$23)))))="",0,0.3)+IF((IF(OR(City_Inputs!$AK126="",Norm_Stats!$F$24="",Norm_Stats!$G$24="",Norm_Stats!$G$24=Norm_Stats!$F$24),"",MAX(0,MIN(100,100*(MIN(MAX(City_Inputs!$AK126,Norm_Stats!$F$24),Norm_Stats!$G$24)-Norm_Stats!$F$24)/(Norm_Stats!$G$24-Norm_Stats!$F$24)))))="",0,0.2))=0,"",(IF((IF(OR(City_Inputs!$AG126="",Norm_Stats!$F$22="",Norm_Stats!$G$22="",Norm_Stats!$G$22=Norm_Stats!$F$22),"",MAX(0,MIN(100,100*(MIN(MAX(City_Inputs!$AG126,Norm_Stats!$F$22),Norm_Stats!$G$22)-Norm_Stats!$F$22)/(Norm_Stats!$G$22-Norm_Stats!$F$22)))))="",0,0.5)+IF((IF(OR(City_Inputs!$AJ126="",Norm_Stats!$F$23="",Norm_Stats!$G$23="",Norm_Stats!$G$23=Norm_Stats!$F$23),"",MAX(0,MIN(100,100*(MIN(MAX(City_Inputs!$AJ126,Norm_Stats!$F$23),Norm_Stats!$G$23)-Norm_Stats!$F$23)/(Norm_Stats!$G$23-Norm_Stats!$F$23)))))="",0,0.3)+IF((IF(OR(City_Inputs!$AK126="",Norm_Stats!$F$24="",Norm_Stats!$G$24="",Norm_Stats!$G$24=Norm_Stats!$F$24),"",MAX(0,MIN(100,100*(MIN(MAX(City_Inputs!$AK126,Norm_Stats!$F$24),Norm_Stats!$G$24)-Norm_Stats!$F$24)/(Norm_Stats!$G$24-Norm_Stats!$F$24)))))="",0,0.2)))</f>
        <v/>
      </c>
      <c r="BE126" s="11">
        <f>IF(OR(City_Inputs!$AH126="",Norm_Stats!$F$25="",Norm_Stats!$G$25="",Norm_Stats!$G$25=Norm_Stats!$F$25),"",MAX(0,MIN(100,100*(Norm_Stats!$G$25-MIN(MAX(City_Inputs!$AH126,Norm_Stats!$F$25),Norm_Stats!$G$25))/(Norm_Stats!$G$25-Norm_Stats!$F$25))))</f>
        <v/>
      </c>
      <c r="BF126" s="14">
        <f>IF(BE126="","",1)</f>
        <v/>
      </c>
      <c r="BG126" s="15">
        <f>IF((IF(AY126="",0,6)+IF(BA126="",0,5)+IF(BC126="",0,5)+IF(BE126="",0,4))=0,"",(IF(AY126="",0,AY126*6)+IF(BA126="",0,BA126*5)+IF(BC126="",0,BC126*5)+IF(BE126="",0,BE126*4))/(IF(AY126="",0,6)+IF(BA126="",0,5)+IF(BC126="",0,5)+IF(BE126="",0,4)))</f>
        <v/>
      </c>
      <c r="BH126" s="14">
        <f>IF((IF(AZ126="",0,6)+IF(BB126="",0,5)+IF(BD126="",0,5)+IF(BF126="",0,4))=0,"",(IF(AZ126="",0,AZ126*6)+IF(BB126="",0,BB126*5)+IF(BD126="",0,BD126*5)+IF(BF126="",0,BF126*4))/20)</f>
        <v/>
      </c>
      <c r="BI126" s="14">
        <f>IF(AND(R126="",AF126="",AN126="",AX126="",BH126=""),"",((R126*25)+(AF126*22)+(AN126*18)+(AX126*15)+(BH126*20))/100)</f>
        <v/>
      </c>
      <c r="BJ126" s="11">
        <f>IF(BI126="","",IF(BI126&gt;=0.75,"A",IF(BI126&gt;=0.5,"B",IF(BI126&gt;=0.35,"C","Watchlist"))))</f>
        <v/>
      </c>
      <c r="BK126" s="11">
        <f>IF(OR(BI126="",BI126&lt;0.5,R126="",R126&lt;0.35,AF126="",AF126&lt;0.35,AN126="",AN126&lt;0.35,AX126="",AX126&lt;0.35,BH126="",BH126&lt;0.35),"Watchlist","Ranked")</f>
        <v/>
      </c>
      <c r="BL126" s="15">
        <f>IF(AND(Q126="",AE126="",AM126="",AW126="",BG126=""),"",(IF(Q126="",0,Q126*25)+IF(AE126="",0,AE126*22)+IF(AM126="",0,AM126*18)+IF(AW126="",0,AW126*15)+IF(BG126="",0,BG126*20))/(IF(Q126="",0,25)+IF(AE126="",0,22)+IF(AM126="",0,18)+IF(AW126="",0,15)+IF(BG126="",0,20)))</f>
        <v/>
      </c>
      <c r="BM126" s="11">
        <f>IF(BK126="Ranked",1+COUNTIFS($BK$2:$BK$158,"Ranked",$BL$2:$BL$158,"&gt;"&amp;BL126),"")</f>
        <v/>
      </c>
      <c r="BN126" s="11">
        <f>City_Inputs!$AI126</f>
        <v/>
      </c>
    </row>
    <row r="127">
      <c r="A127" t="inlineStr">
        <is>
          <t>lv-riga</t>
        </is>
      </c>
      <c r="B127" t="inlineStr">
        <is>
          <t>Riga</t>
        </is>
      </c>
      <c r="C127" t="inlineStr">
        <is>
          <t>Latvia</t>
        </is>
      </c>
      <c r="D127" t="inlineStr">
        <is>
          <t>Southern/Eastern Europe and Eurasia</t>
        </is>
      </c>
      <c r="E127" t="inlineStr">
        <is>
          <t>provisional</t>
        </is>
      </c>
      <c r="F127" t="inlineStr">
        <is>
          <t>primary</t>
        </is>
      </c>
      <c r="G127" s="11">
        <f>IF(OR(City_Inputs!$M127="",Norm_Stats!$F$2="",Norm_Stats!$G$2="",Norm_Stats!$G$2=Norm_Stats!$F$2),"",MAX(0,MIN(100,100*(MIN(MAX(City_Inputs!$M127,Norm_Stats!$F$2),Norm_Stats!$G$2)-Norm_Stats!$F$2)/(Norm_Stats!$G$2-Norm_Stats!$F$2))))</f>
        <v/>
      </c>
      <c r="H127" s="14">
        <f>IF(G127="","",1)</f>
        <v/>
      </c>
      <c r="I127" s="11">
        <f>IF(OR(City_Inputs!$N127="",Norm_Stats!$F$3="",Norm_Stats!$G$3="",Norm_Stats!$G$3=Norm_Stats!$F$3),"",MAX(0,MIN(100,100*(Norm_Stats!$G$3-MIN(MAX(City_Inputs!$N127,Norm_Stats!$F$3),Norm_Stats!$G$3))/(Norm_Stats!$G$3-Norm_Stats!$F$3))))</f>
        <v/>
      </c>
      <c r="J127" s="14">
        <f>IF(I127="","",1)</f>
        <v/>
      </c>
      <c r="K127" s="11">
        <f>IF(OR(City_Inputs!$P127="",Norm_Stats!$F$4="",Norm_Stats!$G$4="",Norm_Stats!$G$4=Norm_Stats!$F$4),"",MAX(0,MIN(100,100*(Norm_Stats!$G$4-MIN(MAX(City_Inputs!$P127,Norm_Stats!$F$4),Norm_Stats!$G$4))/(Norm_Stats!$G$4-Norm_Stats!$F$4))))</f>
        <v/>
      </c>
      <c r="L127" s="14">
        <f>IF(K127="","",1)</f>
        <v/>
      </c>
      <c r="M127" s="11">
        <f>IF(OR(City_Inputs!$Q127="",Norm_Stats!$F$5="",Norm_Stats!$G$5="",Norm_Stats!$G$5=Norm_Stats!$F$5),"",MAX(0,MIN(100,100*(Norm_Stats!$G$5-MIN(MAX(City_Inputs!$Q127,Norm_Stats!$F$5),Norm_Stats!$G$5))/(Norm_Stats!$G$5-Norm_Stats!$F$5))))</f>
        <v/>
      </c>
      <c r="N127" s="14">
        <f>IF(M127="","",1)</f>
        <v/>
      </c>
      <c r="O127" s="11">
        <f>IF(OR(City_Inputs!$R127="",Norm_Stats!$F$6="",Norm_Stats!$G$6="",Norm_Stats!$G$6=Norm_Stats!$F$6),"",MAX(0,MIN(100,100*(Norm_Stats!$G$6-MIN(MAX(City_Inputs!$R127,Norm_Stats!$F$6),Norm_Stats!$G$6))/(Norm_Stats!$G$6-Norm_Stats!$F$6))))</f>
        <v/>
      </c>
      <c r="P127" s="14">
        <f>IF(O127="","",1)</f>
        <v/>
      </c>
      <c r="Q127" s="15">
        <f>IF((IF(G127="",0,9)+IF(I127="",0,5)+IF(K127="",0,4)+IF(M127="",0,4)+IF(O127="",0,5))=0,"",(IF(G127="",0,G127*9)+IF(I127="",0,I127*5)+IF(K127="",0,K127*4)+IF(M127="",0,M127*4)+IF(O127="",0,O127*5))/(IF(G127="",0,9)+IF(I127="",0,5)+IF(K127="",0,4)+IF(M127="",0,4)+IF(O127="",0,5)))</f>
        <v/>
      </c>
      <c r="R127" s="14">
        <f>IF((IF(H127="",0,9)+IF(J127="",0,5)+IF(L127="",0,4)+IF(N127="",0,4)+IF(P127="",0,5))=0,"",(IF(H127="",0,H127*9)+IF(J127="",0,J127*5)+IF(L127="",0,L127*4)+IF(N127="",0,N127*4)+IF(P127="",0,P127*5))/27)</f>
        <v/>
      </c>
      <c r="S127" s="11">
        <f>IF(OR(City_Inputs!$S127="",Norm_Stats!$F$7="",Norm_Stats!$G$7="",Norm_Stats!$G$7=Norm_Stats!$F$7),"",MAX(0,MIN(100,100*(Norm_Stats!$G$7-MIN(MAX(City_Inputs!$S127,Norm_Stats!$F$7),Norm_Stats!$G$7))/(Norm_Stats!$G$7-Norm_Stats!$F$7))))</f>
        <v/>
      </c>
      <c r="T127" s="14">
        <f>IF(S127="","",1)</f>
        <v/>
      </c>
      <c r="U127" s="11">
        <f>IF(OR(City_Inputs!$T127="",Norm_Stats!$F$8="",Norm_Stats!$G$8="",Norm_Stats!$G$8=Norm_Stats!$F$8),"",MAX(0,MIN(100,100*(MIN(MAX(City_Inputs!$T127,Norm_Stats!$F$8),Norm_Stats!$G$8)-Norm_Stats!$F$8)/(Norm_Stats!$G$8-Norm_Stats!$F$8))))</f>
        <v/>
      </c>
      <c r="V127" s="14">
        <f>IF(U127="","",1)</f>
        <v/>
      </c>
      <c r="W127" s="11">
        <f>IF(OR(City_Inputs!$U127="",Norm_Stats!$F$9="",Norm_Stats!$G$9="",Norm_Stats!$G$9=Norm_Stats!$F$9),"",MAX(0,MIN(100,100*(Norm_Stats!$G$9-MIN(MAX(City_Inputs!$U127,Norm_Stats!$F$9),Norm_Stats!$G$9))/(Norm_Stats!$G$9-Norm_Stats!$F$9))))</f>
        <v/>
      </c>
      <c r="X127" s="14">
        <f>IF(W127="","",1)</f>
        <v/>
      </c>
      <c r="Y127" s="11">
        <f>IF(OR(City_Inputs!$V127="",Norm_Stats!$F$10="",Norm_Stats!$G$10="",Norm_Stats!$G$10=Norm_Stats!$F$10),"",MAX(0,MIN(100,100*(MIN(MAX(City_Inputs!$V127,Norm_Stats!$F$10),Norm_Stats!$G$10)-Norm_Stats!$F$10)/(Norm_Stats!$G$10-Norm_Stats!$F$10))))</f>
        <v/>
      </c>
      <c r="Z127" s="14">
        <f>IF(Y127="","",1)</f>
        <v/>
      </c>
      <c r="AA127" s="11">
        <f>IF(OR(City_Inputs!$W127="",Norm_Stats!$F$11="",Norm_Stats!$G$11="",Norm_Stats!$G$11=Norm_Stats!$F$11),"",MAX(0,MIN(100,100*(MIN(MAX(City_Inputs!$W127,Norm_Stats!$F$11),Norm_Stats!$G$11)-Norm_Stats!$F$11)/(Norm_Stats!$G$11-Norm_Stats!$F$11))))</f>
        <v/>
      </c>
      <c r="AB127" s="14">
        <f>IF(AA127="","",1)</f>
        <v/>
      </c>
      <c r="AC127" s="11">
        <f>IF(OR(City_Inputs!$X127="",Norm_Stats!$F$12="",Norm_Stats!$G$12="",Norm_Stats!$G$12=Norm_Stats!$F$12),"",MAX(0,MIN(100,100*(MIN(MAX(City_Inputs!$X127,Norm_Stats!$F$12),Norm_Stats!$G$12)-Norm_Stats!$F$12)/(Norm_Stats!$G$12-Norm_Stats!$F$12))))</f>
        <v/>
      </c>
      <c r="AD127" s="11">
        <f>IF(AC127="","",1)</f>
        <v/>
      </c>
      <c r="AE127" s="15">
        <f>IF((IF(S127="",0,5)+IF(U127="",0,5)+IF(W127="",0,4)+IF(Y127="",0,4)+IF(AA127="",0,4)+IF(AC127="",0,5))=0,"",(IF(S127="",0,S127*5)+IF(U127="",0,U127*5)+IF(W127="",0,W127*4)+IF(Y127="",0,Y127*4)+IF(AA127="",0,AA127*4)+IF(AC127="",0,AC127*5))/(IF(S127="",0,5)+IF(U127="",0,5)+IF(W127="",0,4)+IF(Y127="",0,4)+IF(AA127="",0,4)+IF(AC127="",0,5)))</f>
        <v/>
      </c>
      <c r="AF127" s="14">
        <f>IF((IF(T127="",0,5)+IF(V127="",0,5)+IF(X127="",0,4)+IF(Z127="",0,4)+IF(AB127="",0,4)+IF(AD127="",0,5))=0,"",(IF(T127="",0,T127*5)+IF(V127="",0,V127*5)+IF(X127="",0,X127*4)+IF(Z127="",0,Z127*4)+IF(AB127="",0,AB127*4)+IF(AD127="",0,AD127*5))/27)</f>
        <v/>
      </c>
      <c r="AG127" s="11">
        <f>IF(OR(City_Inputs!$Y127="",Norm_Stats!$F$13="",Norm_Stats!$G$13="",Norm_Stats!$G$13=Norm_Stats!$F$13),"",MAX(0,MIN(100,100*(MIN(MAX(City_Inputs!$Y127,Norm_Stats!$F$13),Norm_Stats!$G$13)-Norm_Stats!$F$13)/(Norm_Stats!$G$13-Norm_Stats!$F$13))))</f>
        <v/>
      </c>
      <c r="AH127" s="14">
        <f>IF(AG127="","",1)</f>
        <v/>
      </c>
      <c r="AI127" s="11">
        <f>IF(OR(City_Inputs!$Z127="",Norm_Stats!$F$14="",Norm_Stats!$G$14="",Norm_Stats!$G$14=Norm_Stats!$F$14),"",MAX(0,MIN(100,100*(MIN(MAX(City_Inputs!$Z127,Norm_Stats!$F$14),Norm_Stats!$G$14)-Norm_Stats!$F$14)/(Norm_Stats!$G$14-Norm_Stats!$F$14))))</f>
        <v/>
      </c>
      <c r="AJ127" s="14">
        <f>IF(AI127="","",1)</f>
        <v/>
      </c>
      <c r="AK127" s="11">
        <f>IF((IF((IF(OR(City_Inputs!$AA127="",Norm_Stats!$F$15="",Norm_Stats!$G$15="",Norm_Stats!$G$15=Norm_Stats!$F$15),"",MAX(0,MIN(100,100*(MIN(MAX(City_Inputs!$AA127,Norm_Stats!$F$15),Norm_Stats!$G$15)-Norm_Stats!$F$15)/(Norm_Stats!$G$15-Norm_Stats!$F$15)))))="",0,0.7)+IF((IF(OR(City_Inputs!$AL127="",Norm_Stats!$F$16="",Norm_Stats!$G$16="",Norm_Stats!$G$16=Norm_Stats!$F$16),"",MAX(0,MIN(100,100*(Norm_Stats!$G$16-MIN(MAX(City_Inputs!$AL127,Norm_Stats!$F$16),Norm_Stats!$G$16))/(Norm_Stats!$G$16-Norm_Stats!$F$16)))))="",0,0.3))=0,"",(IF((IF(OR(City_Inputs!$AA127="",Norm_Stats!$F$15="",Norm_Stats!$G$15="",Norm_Stats!$G$15=Norm_Stats!$F$15),"",MAX(0,MIN(100,100*(MIN(MAX(City_Inputs!$AA127,Norm_Stats!$F$15),Norm_Stats!$G$15)-Norm_Stats!$F$15)/(Norm_Stats!$G$15-Norm_Stats!$F$15)))))="",0,(IF(OR(City_Inputs!$AA127="",Norm_Stats!$F$15="",Norm_Stats!$G$15="",Norm_Stats!$G$15=Norm_Stats!$F$15),"",MAX(0,MIN(100,100*(MIN(MAX(City_Inputs!$AA127,Norm_Stats!$F$15),Norm_Stats!$G$15)-Norm_Stats!$F$15)/(Norm_Stats!$G$15-Norm_Stats!$F$15)))))*0.7)+IF((IF(OR(City_Inputs!$AL127="",Norm_Stats!$F$16="",Norm_Stats!$G$16="",Norm_Stats!$G$16=Norm_Stats!$F$16),"",MAX(0,MIN(100,100*(Norm_Stats!$G$16-MIN(MAX(City_Inputs!$AL127,Norm_Stats!$F$16),Norm_Stats!$G$16))/(Norm_Stats!$G$16-Norm_Stats!$F$16)))))="",0,(IF(OR(City_Inputs!$AL127="",Norm_Stats!$F$16="",Norm_Stats!$G$16="",Norm_Stats!$G$16=Norm_Stats!$F$16),"",MAX(0,MIN(100,100*(Norm_Stats!$G$16-MIN(MAX(City_Inputs!$AL127,Norm_Stats!$F$16),Norm_Stats!$G$16))/(Norm_Stats!$G$16-Norm_Stats!$F$16)))))*0.3))/(IF((IF(OR(City_Inputs!$AA127="",Norm_Stats!$F$15="",Norm_Stats!$G$15="",Norm_Stats!$G$15=Norm_Stats!$F$15),"",MAX(0,MIN(100,100*(MIN(MAX(City_Inputs!$AA127,Norm_Stats!$F$15),Norm_Stats!$G$15)-Norm_Stats!$F$15)/(Norm_Stats!$G$15-Norm_Stats!$F$15)))))="",0,0.7)+IF((IF(OR(City_Inputs!$AL127="",Norm_Stats!$F$16="",Norm_Stats!$G$16="",Norm_Stats!$G$16=Norm_Stats!$F$16),"",MAX(0,MIN(100,100*(Norm_Stats!$G$16-MIN(MAX(City_Inputs!$AL127,Norm_Stats!$F$16),Norm_Stats!$G$16))/(Norm_Stats!$G$16-Norm_Stats!$F$16)))))="",0,0.3)))</f>
        <v/>
      </c>
      <c r="AL127" s="14">
        <f>IF((IF((IF(OR(City_Inputs!$AA127="",Norm_Stats!$F$15="",Norm_Stats!$G$15="",Norm_Stats!$G$15=Norm_Stats!$F$15),"",MAX(0,MIN(100,100*(MIN(MAX(City_Inputs!$AA127,Norm_Stats!$F$15),Norm_Stats!$G$15)-Norm_Stats!$F$15)/(Norm_Stats!$G$15-Norm_Stats!$F$15)))))="",0,0.7)+IF((IF(OR(City_Inputs!$AL127="",Norm_Stats!$F$16="",Norm_Stats!$G$16="",Norm_Stats!$G$16=Norm_Stats!$F$16),"",MAX(0,MIN(100,100*(Norm_Stats!$G$16-MIN(MAX(City_Inputs!$AL127,Norm_Stats!$F$16),Norm_Stats!$G$16))/(Norm_Stats!$G$16-Norm_Stats!$F$16)))))="",0,0.3))=0,"",(IF((IF(OR(City_Inputs!$AA127="",Norm_Stats!$F$15="",Norm_Stats!$G$15="",Norm_Stats!$G$15=Norm_Stats!$F$15),"",MAX(0,MIN(100,100*(MIN(MAX(City_Inputs!$AA127,Norm_Stats!$F$15),Norm_Stats!$G$15)-Norm_Stats!$F$15)/(Norm_Stats!$G$15-Norm_Stats!$F$15)))))="",0,0.7)+IF((IF(OR(City_Inputs!$AL127="",Norm_Stats!$F$16="",Norm_Stats!$G$16="",Norm_Stats!$G$16=Norm_Stats!$F$16),"",MAX(0,MIN(100,100*(Norm_Stats!$G$16-MIN(MAX(City_Inputs!$AL127,Norm_Stats!$F$16),Norm_Stats!$G$16))/(Norm_Stats!$G$16-Norm_Stats!$F$16)))))="",0,0.3)))</f>
        <v/>
      </c>
      <c r="AM127" s="15">
        <f>IF((IF(AG127="",0,8)+IF(AI127="",0,6)+IF(AK127="",0,4))=0,"",(IF(AG127="",0,AG127*8)+IF(AI127="",0,AI127*6)+IF(AK127="",0,AK127*4))/(IF(AG127="",0,8)+IF(AI127="",0,6)+IF(AK127="",0,4)))</f>
        <v/>
      </c>
      <c r="AN127" s="14">
        <f>IF((IF(AH127="",0,8)+IF(AJ127="",0,6)+IF(AL127="",0,4))=0,"",(IF(AH127="",0,AH127*8)+IF(AJ127="",0,AJ127*6)+IF(AL127="",0,AL127*4))/18)</f>
        <v/>
      </c>
      <c r="AO127" s="11">
        <f>IF(OR(City_Inputs!$AB127="",Norm_Stats!$F$17="",Norm_Stats!$G$17="",Norm_Stats!$G$17=Norm_Stats!$F$17),"",MAX(0,MIN(100,100*(MIN(MAX(City_Inputs!$AB127,Norm_Stats!$F$17),Norm_Stats!$G$17)-Norm_Stats!$F$17)/(Norm_Stats!$G$17-Norm_Stats!$F$17))))</f>
        <v/>
      </c>
      <c r="AP127" s="14">
        <f>IF(AO127="","",1)</f>
        <v/>
      </c>
      <c r="AQ127" s="11">
        <f>IF(OR(City_Inputs!$AC127="",Norm_Stats!$F$18="",Norm_Stats!$G$18="",Norm_Stats!$G$18=Norm_Stats!$F$18),"",MAX(0,MIN(100,100*(MIN(MAX(City_Inputs!$AC127,Norm_Stats!$F$18),Norm_Stats!$G$18)-Norm_Stats!$F$18)/(Norm_Stats!$G$18-Norm_Stats!$F$18))))</f>
        <v/>
      </c>
      <c r="AR127" s="14">
        <f>IF(AQ127="","",1)</f>
        <v/>
      </c>
      <c r="AS127" s="11">
        <f>IF(OR(City_Inputs!$AD127="",Norm_Stats!$F$19="",Norm_Stats!$G$19="",Norm_Stats!$G$19=Norm_Stats!$F$19),"",MAX(0,MIN(100,100*(MIN(MAX(City_Inputs!$AD127,Norm_Stats!$F$19),Norm_Stats!$G$19)-Norm_Stats!$F$19)/(Norm_Stats!$G$19-Norm_Stats!$F$19))))</f>
        <v/>
      </c>
      <c r="AT127" s="14">
        <f>IF(AS127="","",1)</f>
        <v/>
      </c>
      <c r="AU127" s="11">
        <f>IF(OR(City_Inputs!$BJ127="",Norm_Stats!$F$26="",Norm_Stats!$G$26="",Norm_Stats!$G$26=Norm_Stats!$F$26),"",MAX(0,MIN(100,100*(MIN(MAX(City_Inputs!$BJ127,Norm_Stats!$F$26),Norm_Stats!$G$26)-Norm_Stats!$F$26)/(Norm_Stats!$G$26-Norm_Stats!$F$26))))</f>
        <v/>
      </c>
      <c r="AV127" s="11">
        <f>IF(AU127="","",1)</f>
        <v/>
      </c>
      <c r="AW127" s="15">
        <f>IF((IF(AO127="",0,5)+IF(AQ127="",0,5)+IF(AS127="",0,5)+IF(AU127="",0,4))=0,"",(IF(AO127="",0,AO127*5)+IF(AQ127="",0,AQ127*5)+IF(AS127="",0,AS127*5)+IF(AU127="",0,AU127*4))/(IF(AO127="",0,5)+IF(AQ127="",0,5)+IF(AS127="",0,5)+IF(AU127="",0,4)))</f>
        <v/>
      </c>
      <c r="AX127" s="14">
        <f>IF((IF(AP127="",0,5)+IF(AR127="",0,5)+IF(AT127="",0,5)+IF(AV127="",0,4))=0,"",(IF(AP127="",0,AP127*5)+IF(AR127="",0,AR127*5)+IF(AT127="",0,AT127*5)+IF(AV127="",0,AV127*4))/19)</f>
        <v/>
      </c>
      <c r="AY127" s="11">
        <f>IF(OR(City_Inputs!$AE127="",Norm_Stats!$F$20="",Norm_Stats!$G$20="",Norm_Stats!$G$20=Norm_Stats!$F$20),"",MAX(0,MIN(100,100*(MIN(MAX(City_Inputs!$AE127,Norm_Stats!$F$20),Norm_Stats!$G$20)-Norm_Stats!$F$20)/(Norm_Stats!$G$20-Norm_Stats!$F$20))))</f>
        <v/>
      </c>
      <c r="AZ127" s="14">
        <f>IF(AY127="","",1)</f>
        <v/>
      </c>
      <c r="BA127" s="11">
        <f>IF(OR(City_Inputs!$AF127="",Norm_Stats!$F$21="",Norm_Stats!$G$21="",Norm_Stats!$G$21=Norm_Stats!$F$21),"",MAX(0,MIN(100,100*(MIN(MAX(City_Inputs!$AF127,Norm_Stats!$F$21),Norm_Stats!$G$21)-Norm_Stats!$F$21)/(Norm_Stats!$G$21-Norm_Stats!$F$21))))</f>
        <v/>
      </c>
      <c r="BB127" s="14">
        <f>IF(BA127="","",1)</f>
        <v/>
      </c>
      <c r="BC127" s="11">
        <f>IF((IF((IF(OR(City_Inputs!$AG127="",Norm_Stats!$F$22="",Norm_Stats!$G$22="",Norm_Stats!$G$22=Norm_Stats!$F$22),"",MAX(0,MIN(100,100*(MIN(MAX(City_Inputs!$AG127,Norm_Stats!$F$22),Norm_Stats!$G$22)-Norm_Stats!$F$22)/(Norm_Stats!$G$22-Norm_Stats!$F$22)))))="",0,0.5)+IF((IF(OR(City_Inputs!$AJ127="",Norm_Stats!$F$23="",Norm_Stats!$G$23="",Norm_Stats!$G$23=Norm_Stats!$F$23),"",MAX(0,MIN(100,100*(MIN(MAX(City_Inputs!$AJ127,Norm_Stats!$F$23),Norm_Stats!$G$23)-Norm_Stats!$F$23)/(Norm_Stats!$G$23-Norm_Stats!$F$23)))))="",0,0.3)+IF((IF(OR(City_Inputs!$AK127="",Norm_Stats!$F$24="",Norm_Stats!$G$24="",Norm_Stats!$G$24=Norm_Stats!$F$24),"",MAX(0,MIN(100,100*(MIN(MAX(City_Inputs!$AK127,Norm_Stats!$F$24),Norm_Stats!$G$24)-Norm_Stats!$F$24)/(Norm_Stats!$G$24-Norm_Stats!$F$24)))))="",0,0.2))=0,"",(IF((IF(OR(City_Inputs!$AG127="",Norm_Stats!$F$22="",Norm_Stats!$G$22="",Norm_Stats!$G$22=Norm_Stats!$F$22),"",MAX(0,MIN(100,100*(MIN(MAX(City_Inputs!$AG127,Norm_Stats!$F$22),Norm_Stats!$G$22)-Norm_Stats!$F$22)/(Norm_Stats!$G$22-Norm_Stats!$F$22)))))="",0,(IF(OR(City_Inputs!$AG127="",Norm_Stats!$F$22="",Norm_Stats!$G$22="",Norm_Stats!$G$22=Norm_Stats!$F$22),"",MAX(0,MIN(100,100*(MIN(MAX(City_Inputs!$AG127,Norm_Stats!$F$22),Norm_Stats!$G$22)-Norm_Stats!$F$22)/(Norm_Stats!$G$22-Norm_Stats!$F$22)))))*0.5)+IF((IF(OR(City_Inputs!$AJ127="",Norm_Stats!$F$23="",Norm_Stats!$G$23="",Norm_Stats!$G$23=Norm_Stats!$F$23),"",MAX(0,MIN(100,100*(MIN(MAX(City_Inputs!$AJ127,Norm_Stats!$F$23),Norm_Stats!$G$23)-Norm_Stats!$F$23)/(Norm_Stats!$G$23-Norm_Stats!$F$23)))))="",0,(IF(OR(City_Inputs!$AJ127="",Norm_Stats!$F$23="",Norm_Stats!$G$23="",Norm_Stats!$G$23=Norm_Stats!$F$23),"",MAX(0,MIN(100,100*(MIN(MAX(City_Inputs!$AJ127,Norm_Stats!$F$23),Norm_Stats!$G$23)-Norm_Stats!$F$23)/(Norm_Stats!$G$23-Norm_Stats!$F$23)))))*0.3)+IF((IF(OR(City_Inputs!$AK127="",Norm_Stats!$F$24="",Norm_Stats!$G$24="",Norm_Stats!$G$24=Norm_Stats!$F$24),"",MAX(0,MIN(100,100*(MIN(MAX(City_Inputs!$AK127,Norm_Stats!$F$24),Norm_Stats!$G$24)-Norm_Stats!$F$24)/(Norm_Stats!$G$24-Norm_Stats!$F$24)))))="",0,(IF(OR(City_Inputs!$AK127="",Norm_Stats!$F$24="",Norm_Stats!$G$24="",Norm_Stats!$G$24=Norm_Stats!$F$24),"",MAX(0,MIN(100,100*(MIN(MAX(City_Inputs!$AK127,Norm_Stats!$F$24),Norm_Stats!$G$24)-Norm_Stats!$F$24)/(Norm_Stats!$G$24-Norm_Stats!$F$24)))))*0.2))/(IF((IF(OR(City_Inputs!$AG127="",Norm_Stats!$F$22="",Norm_Stats!$G$22="",Norm_Stats!$G$22=Norm_Stats!$F$22),"",MAX(0,MIN(100,100*(MIN(MAX(City_Inputs!$AG127,Norm_Stats!$F$22),Norm_Stats!$G$22)-Norm_Stats!$F$22)/(Norm_Stats!$G$22-Norm_Stats!$F$22)))))="",0,0.5)+IF((IF(OR(City_Inputs!$AJ127="",Norm_Stats!$F$23="",Norm_Stats!$G$23="",Norm_Stats!$G$23=Norm_Stats!$F$23),"",MAX(0,MIN(100,100*(MIN(MAX(City_Inputs!$AJ127,Norm_Stats!$F$23),Norm_Stats!$G$23)-Norm_Stats!$F$23)/(Norm_Stats!$G$23-Norm_Stats!$F$23)))))="",0,0.3)+IF((IF(OR(City_Inputs!$AK127="",Norm_Stats!$F$24="",Norm_Stats!$G$24="",Norm_Stats!$G$24=Norm_Stats!$F$24),"",MAX(0,MIN(100,100*(MIN(MAX(City_Inputs!$AK127,Norm_Stats!$F$24),Norm_Stats!$G$24)-Norm_Stats!$F$24)/(Norm_Stats!$G$24-Norm_Stats!$F$24)))))="",0,0.2)))</f>
        <v/>
      </c>
      <c r="BD127" s="14">
        <f>IF((IF((IF(OR(City_Inputs!$AG127="",Norm_Stats!$F$22="",Norm_Stats!$G$22="",Norm_Stats!$G$22=Norm_Stats!$F$22),"",MAX(0,MIN(100,100*(MIN(MAX(City_Inputs!$AG127,Norm_Stats!$F$22),Norm_Stats!$G$22)-Norm_Stats!$F$22)/(Norm_Stats!$G$22-Norm_Stats!$F$22)))))="",0,0.5)+IF((IF(OR(City_Inputs!$AJ127="",Norm_Stats!$F$23="",Norm_Stats!$G$23="",Norm_Stats!$G$23=Norm_Stats!$F$23),"",MAX(0,MIN(100,100*(MIN(MAX(City_Inputs!$AJ127,Norm_Stats!$F$23),Norm_Stats!$G$23)-Norm_Stats!$F$23)/(Norm_Stats!$G$23-Norm_Stats!$F$23)))))="",0,0.3)+IF((IF(OR(City_Inputs!$AK127="",Norm_Stats!$F$24="",Norm_Stats!$G$24="",Norm_Stats!$G$24=Norm_Stats!$F$24),"",MAX(0,MIN(100,100*(MIN(MAX(City_Inputs!$AK127,Norm_Stats!$F$24),Norm_Stats!$G$24)-Norm_Stats!$F$24)/(Norm_Stats!$G$24-Norm_Stats!$F$24)))))="",0,0.2))=0,"",(IF((IF(OR(City_Inputs!$AG127="",Norm_Stats!$F$22="",Norm_Stats!$G$22="",Norm_Stats!$G$22=Norm_Stats!$F$22),"",MAX(0,MIN(100,100*(MIN(MAX(City_Inputs!$AG127,Norm_Stats!$F$22),Norm_Stats!$G$22)-Norm_Stats!$F$22)/(Norm_Stats!$G$22-Norm_Stats!$F$22)))))="",0,0.5)+IF((IF(OR(City_Inputs!$AJ127="",Norm_Stats!$F$23="",Norm_Stats!$G$23="",Norm_Stats!$G$23=Norm_Stats!$F$23),"",MAX(0,MIN(100,100*(MIN(MAX(City_Inputs!$AJ127,Norm_Stats!$F$23),Norm_Stats!$G$23)-Norm_Stats!$F$23)/(Norm_Stats!$G$23-Norm_Stats!$F$23)))))="",0,0.3)+IF((IF(OR(City_Inputs!$AK127="",Norm_Stats!$F$24="",Norm_Stats!$G$24="",Norm_Stats!$G$24=Norm_Stats!$F$24),"",MAX(0,MIN(100,100*(MIN(MAX(City_Inputs!$AK127,Norm_Stats!$F$24),Norm_Stats!$G$24)-Norm_Stats!$F$24)/(Norm_Stats!$G$24-Norm_Stats!$F$24)))))="",0,0.2)))</f>
        <v/>
      </c>
      <c r="BE127" s="11">
        <f>IF(OR(City_Inputs!$AH127="",Norm_Stats!$F$25="",Norm_Stats!$G$25="",Norm_Stats!$G$25=Norm_Stats!$F$25),"",MAX(0,MIN(100,100*(Norm_Stats!$G$25-MIN(MAX(City_Inputs!$AH127,Norm_Stats!$F$25),Norm_Stats!$G$25))/(Norm_Stats!$G$25-Norm_Stats!$F$25))))</f>
        <v/>
      </c>
      <c r="BF127" s="14">
        <f>IF(BE127="","",1)</f>
        <v/>
      </c>
      <c r="BG127" s="15">
        <f>IF((IF(AY127="",0,6)+IF(BA127="",0,5)+IF(BC127="",0,5)+IF(BE127="",0,4))=0,"",(IF(AY127="",0,AY127*6)+IF(BA127="",0,BA127*5)+IF(BC127="",0,BC127*5)+IF(BE127="",0,BE127*4))/(IF(AY127="",0,6)+IF(BA127="",0,5)+IF(BC127="",0,5)+IF(BE127="",0,4)))</f>
        <v/>
      </c>
      <c r="BH127" s="14">
        <f>IF((IF(AZ127="",0,6)+IF(BB127="",0,5)+IF(BD127="",0,5)+IF(BF127="",0,4))=0,"",(IF(AZ127="",0,AZ127*6)+IF(BB127="",0,BB127*5)+IF(BD127="",0,BD127*5)+IF(BF127="",0,BF127*4))/20)</f>
        <v/>
      </c>
      <c r="BI127" s="14">
        <f>IF(AND(R127="",AF127="",AN127="",AX127="",BH127=""),"",((R127*25)+(AF127*22)+(AN127*18)+(AX127*15)+(BH127*20))/100)</f>
        <v/>
      </c>
      <c r="BJ127" s="11">
        <f>IF(BI127="","",IF(BI127&gt;=0.75,"A",IF(BI127&gt;=0.5,"B",IF(BI127&gt;=0.35,"C","Watchlist"))))</f>
        <v/>
      </c>
      <c r="BK127" s="11">
        <f>IF(OR(BI127="",BI127&lt;0.5,R127="",R127&lt;0.35,AF127="",AF127&lt;0.35,AN127="",AN127&lt;0.35,AX127="",AX127&lt;0.35,BH127="",BH127&lt;0.35),"Watchlist","Ranked")</f>
        <v/>
      </c>
      <c r="BL127" s="15">
        <f>IF(AND(Q127="",AE127="",AM127="",AW127="",BG127=""),"",(IF(Q127="",0,Q127*25)+IF(AE127="",0,AE127*22)+IF(AM127="",0,AM127*18)+IF(AW127="",0,AW127*15)+IF(BG127="",0,BG127*20))/(IF(Q127="",0,25)+IF(AE127="",0,22)+IF(AM127="",0,18)+IF(AW127="",0,15)+IF(BG127="",0,20)))</f>
        <v/>
      </c>
      <c r="BM127" s="11">
        <f>IF(BK127="Ranked",1+COUNTIFS($BK$2:$BK$158,"Ranked",$BL$2:$BL$158,"&gt;"&amp;BL127),"")</f>
        <v/>
      </c>
      <c r="BN127" s="11">
        <f>City_Inputs!$AI127</f>
        <v/>
      </c>
    </row>
    <row r="128">
      <c r="A128" t="inlineStr">
        <is>
          <t>ge-tbilisi</t>
        </is>
      </c>
      <c r="B128" t="inlineStr">
        <is>
          <t>Tbilisi</t>
        </is>
      </c>
      <c r="C128" t="inlineStr">
        <is>
          <t>Georgia</t>
        </is>
      </c>
      <c r="D128" t="inlineStr">
        <is>
          <t>Southern/Eastern Europe and Eurasia</t>
        </is>
      </c>
      <c r="E128" t="inlineStr">
        <is>
          <t>provisional</t>
        </is>
      </c>
      <c r="F128" t="inlineStr">
        <is>
          <t>primary</t>
        </is>
      </c>
      <c r="G128" s="11">
        <f>IF(OR(City_Inputs!$M128="",Norm_Stats!$F$2="",Norm_Stats!$G$2="",Norm_Stats!$G$2=Norm_Stats!$F$2),"",MAX(0,MIN(100,100*(MIN(MAX(City_Inputs!$M128,Norm_Stats!$F$2),Norm_Stats!$G$2)-Norm_Stats!$F$2)/(Norm_Stats!$G$2-Norm_Stats!$F$2))))</f>
        <v/>
      </c>
      <c r="H128" s="14">
        <f>IF(G128="","",1)</f>
        <v/>
      </c>
      <c r="I128" s="11">
        <f>IF(OR(City_Inputs!$N128="",Norm_Stats!$F$3="",Norm_Stats!$G$3="",Norm_Stats!$G$3=Norm_Stats!$F$3),"",MAX(0,MIN(100,100*(Norm_Stats!$G$3-MIN(MAX(City_Inputs!$N128,Norm_Stats!$F$3),Norm_Stats!$G$3))/(Norm_Stats!$G$3-Norm_Stats!$F$3))))</f>
        <v/>
      </c>
      <c r="J128" s="14">
        <f>IF(I128="","",1)</f>
        <v/>
      </c>
      <c r="K128" s="11">
        <f>IF(OR(City_Inputs!$P128="",Norm_Stats!$F$4="",Norm_Stats!$G$4="",Norm_Stats!$G$4=Norm_Stats!$F$4),"",MAX(0,MIN(100,100*(Norm_Stats!$G$4-MIN(MAX(City_Inputs!$P128,Norm_Stats!$F$4),Norm_Stats!$G$4))/(Norm_Stats!$G$4-Norm_Stats!$F$4))))</f>
        <v/>
      </c>
      <c r="L128" s="14">
        <f>IF(K128="","",1)</f>
        <v/>
      </c>
      <c r="M128" s="11">
        <f>IF(OR(City_Inputs!$Q128="",Norm_Stats!$F$5="",Norm_Stats!$G$5="",Norm_Stats!$G$5=Norm_Stats!$F$5),"",MAX(0,MIN(100,100*(Norm_Stats!$G$5-MIN(MAX(City_Inputs!$Q128,Norm_Stats!$F$5),Norm_Stats!$G$5))/(Norm_Stats!$G$5-Norm_Stats!$F$5))))</f>
        <v/>
      </c>
      <c r="N128" s="14">
        <f>IF(M128="","",1)</f>
        <v/>
      </c>
      <c r="O128" s="11">
        <f>IF(OR(City_Inputs!$R128="",Norm_Stats!$F$6="",Norm_Stats!$G$6="",Norm_Stats!$G$6=Norm_Stats!$F$6),"",MAX(0,MIN(100,100*(Norm_Stats!$G$6-MIN(MAX(City_Inputs!$R128,Norm_Stats!$F$6),Norm_Stats!$G$6))/(Norm_Stats!$G$6-Norm_Stats!$F$6))))</f>
        <v/>
      </c>
      <c r="P128" s="14">
        <f>IF(O128="","",1)</f>
        <v/>
      </c>
      <c r="Q128" s="15">
        <f>IF((IF(G128="",0,9)+IF(I128="",0,5)+IF(K128="",0,4)+IF(M128="",0,4)+IF(O128="",0,5))=0,"",(IF(G128="",0,G128*9)+IF(I128="",0,I128*5)+IF(K128="",0,K128*4)+IF(M128="",0,M128*4)+IF(O128="",0,O128*5))/(IF(G128="",0,9)+IF(I128="",0,5)+IF(K128="",0,4)+IF(M128="",0,4)+IF(O128="",0,5)))</f>
        <v/>
      </c>
      <c r="R128" s="14">
        <f>IF((IF(H128="",0,9)+IF(J128="",0,5)+IF(L128="",0,4)+IF(N128="",0,4)+IF(P128="",0,5))=0,"",(IF(H128="",0,H128*9)+IF(J128="",0,J128*5)+IF(L128="",0,L128*4)+IF(N128="",0,N128*4)+IF(P128="",0,P128*5))/27)</f>
        <v/>
      </c>
      <c r="S128" s="11">
        <f>IF(OR(City_Inputs!$S128="",Norm_Stats!$F$7="",Norm_Stats!$G$7="",Norm_Stats!$G$7=Norm_Stats!$F$7),"",MAX(0,MIN(100,100*(Norm_Stats!$G$7-MIN(MAX(City_Inputs!$S128,Norm_Stats!$F$7),Norm_Stats!$G$7))/(Norm_Stats!$G$7-Norm_Stats!$F$7))))</f>
        <v/>
      </c>
      <c r="T128" s="14">
        <f>IF(S128="","",1)</f>
        <v/>
      </c>
      <c r="U128" s="11">
        <f>IF(OR(City_Inputs!$T128="",Norm_Stats!$F$8="",Norm_Stats!$G$8="",Norm_Stats!$G$8=Norm_Stats!$F$8),"",MAX(0,MIN(100,100*(MIN(MAX(City_Inputs!$T128,Norm_Stats!$F$8),Norm_Stats!$G$8)-Norm_Stats!$F$8)/(Norm_Stats!$G$8-Norm_Stats!$F$8))))</f>
        <v/>
      </c>
      <c r="V128" s="14">
        <f>IF(U128="","",1)</f>
        <v/>
      </c>
      <c r="W128" s="11">
        <f>IF(OR(City_Inputs!$U128="",Norm_Stats!$F$9="",Norm_Stats!$G$9="",Norm_Stats!$G$9=Norm_Stats!$F$9),"",MAX(0,MIN(100,100*(Norm_Stats!$G$9-MIN(MAX(City_Inputs!$U128,Norm_Stats!$F$9),Norm_Stats!$G$9))/(Norm_Stats!$G$9-Norm_Stats!$F$9))))</f>
        <v/>
      </c>
      <c r="X128" s="14">
        <f>IF(W128="","",1)</f>
        <v/>
      </c>
      <c r="Y128" s="11">
        <f>IF(OR(City_Inputs!$V128="",Norm_Stats!$F$10="",Norm_Stats!$G$10="",Norm_Stats!$G$10=Norm_Stats!$F$10),"",MAX(0,MIN(100,100*(MIN(MAX(City_Inputs!$V128,Norm_Stats!$F$10),Norm_Stats!$G$10)-Norm_Stats!$F$10)/(Norm_Stats!$G$10-Norm_Stats!$F$10))))</f>
        <v/>
      </c>
      <c r="Z128" s="14">
        <f>IF(Y128="","",1)</f>
        <v/>
      </c>
      <c r="AA128" s="11">
        <f>IF(OR(City_Inputs!$W128="",Norm_Stats!$F$11="",Norm_Stats!$G$11="",Norm_Stats!$G$11=Norm_Stats!$F$11),"",MAX(0,MIN(100,100*(MIN(MAX(City_Inputs!$W128,Norm_Stats!$F$11),Norm_Stats!$G$11)-Norm_Stats!$F$11)/(Norm_Stats!$G$11-Norm_Stats!$F$11))))</f>
        <v/>
      </c>
      <c r="AB128" s="14">
        <f>IF(AA128="","",1)</f>
        <v/>
      </c>
      <c r="AC128" s="11">
        <f>IF(OR(City_Inputs!$X128="",Norm_Stats!$F$12="",Norm_Stats!$G$12="",Norm_Stats!$G$12=Norm_Stats!$F$12),"",MAX(0,MIN(100,100*(MIN(MAX(City_Inputs!$X128,Norm_Stats!$F$12),Norm_Stats!$G$12)-Norm_Stats!$F$12)/(Norm_Stats!$G$12-Norm_Stats!$F$12))))</f>
        <v/>
      </c>
      <c r="AD128" s="11">
        <f>IF(AC128="","",1)</f>
        <v/>
      </c>
      <c r="AE128" s="15">
        <f>IF((IF(S128="",0,5)+IF(U128="",0,5)+IF(W128="",0,4)+IF(Y128="",0,4)+IF(AA128="",0,4)+IF(AC128="",0,5))=0,"",(IF(S128="",0,S128*5)+IF(U128="",0,U128*5)+IF(W128="",0,W128*4)+IF(Y128="",0,Y128*4)+IF(AA128="",0,AA128*4)+IF(AC128="",0,AC128*5))/(IF(S128="",0,5)+IF(U128="",0,5)+IF(W128="",0,4)+IF(Y128="",0,4)+IF(AA128="",0,4)+IF(AC128="",0,5)))</f>
        <v/>
      </c>
      <c r="AF128" s="14">
        <f>IF((IF(T128="",0,5)+IF(V128="",0,5)+IF(X128="",0,4)+IF(Z128="",0,4)+IF(AB128="",0,4)+IF(AD128="",0,5))=0,"",(IF(T128="",0,T128*5)+IF(V128="",0,V128*5)+IF(X128="",0,X128*4)+IF(Z128="",0,Z128*4)+IF(AB128="",0,AB128*4)+IF(AD128="",0,AD128*5))/27)</f>
        <v/>
      </c>
      <c r="AG128" s="11">
        <f>IF(OR(City_Inputs!$Y128="",Norm_Stats!$F$13="",Norm_Stats!$G$13="",Norm_Stats!$G$13=Norm_Stats!$F$13),"",MAX(0,MIN(100,100*(MIN(MAX(City_Inputs!$Y128,Norm_Stats!$F$13),Norm_Stats!$G$13)-Norm_Stats!$F$13)/(Norm_Stats!$G$13-Norm_Stats!$F$13))))</f>
        <v/>
      </c>
      <c r="AH128" s="14">
        <f>IF(AG128="","",1)</f>
        <v/>
      </c>
      <c r="AI128" s="11">
        <f>IF(OR(City_Inputs!$Z128="",Norm_Stats!$F$14="",Norm_Stats!$G$14="",Norm_Stats!$G$14=Norm_Stats!$F$14),"",MAX(0,MIN(100,100*(MIN(MAX(City_Inputs!$Z128,Norm_Stats!$F$14),Norm_Stats!$G$14)-Norm_Stats!$F$14)/(Norm_Stats!$G$14-Norm_Stats!$F$14))))</f>
        <v/>
      </c>
      <c r="AJ128" s="14">
        <f>IF(AI128="","",1)</f>
        <v/>
      </c>
      <c r="AK128" s="11">
        <f>IF((IF((IF(OR(City_Inputs!$AA128="",Norm_Stats!$F$15="",Norm_Stats!$G$15="",Norm_Stats!$G$15=Norm_Stats!$F$15),"",MAX(0,MIN(100,100*(MIN(MAX(City_Inputs!$AA128,Norm_Stats!$F$15),Norm_Stats!$G$15)-Norm_Stats!$F$15)/(Norm_Stats!$G$15-Norm_Stats!$F$15)))))="",0,0.7)+IF((IF(OR(City_Inputs!$AL128="",Norm_Stats!$F$16="",Norm_Stats!$G$16="",Norm_Stats!$G$16=Norm_Stats!$F$16),"",MAX(0,MIN(100,100*(Norm_Stats!$G$16-MIN(MAX(City_Inputs!$AL128,Norm_Stats!$F$16),Norm_Stats!$G$16))/(Norm_Stats!$G$16-Norm_Stats!$F$16)))))="",0,0.3))=0,"",(IF((IF(OR(City_Inputs!$AA128="",Norm_Stats!$F$15="",Norm_Stats!$G$15="",Norm_Stats!$G$15=Norm_Stats!$F$15),"",MAX(0,MIN(100,100*(MIN(MAX(City_Inputs!$AA128,Norm_Stats!$F$15),Norm_Stats!$G$15)-Norm_Stats!$F$15)/(Norm_Stats!$G$15-Norm_Stats!$F$15)))))="",0,(IF(OR(City_Inputs!$AA128="",Norm_Stats!$F$15="",Norm_Stats!$G$15="",Norm_Stats!$G$15=Norm_Stats!$F$15),"",MAX(0,MIN(100,100*(MIN(MAX(City_Inputs!$AA128,Norm_Stats!$F$15),Norm_Stats!$G$15)-Norm_Stats!$F$15)/(Norm_Stats!$G$15-Norm_Stats!$F$15)))))*0.7)+IF((IF(OR(City_Inputs!$AL128="",Norm_Stats!$F$16="",Norm_Stats!$G$16="",Norm_Stats!$G$16=Norm_Stats!$F$16),"",MAX(0,MIN(100,100*(Norm_Stats!$G$16-MIN(MAX(City_Inputs!$AL128,Norm_Stats!$F$16),Norm_Stats!$G$16))/(Norm_Stats!$G$16-Norm_Stats!$F$16)))))="",0,(IF(OR(City_Inputs!$AL128="",Norm_Stats!$F$16="",Norm_Stats!$G$16="",Norm_Stats!$G$16=Norm_Stats!$F$16),"",MAX(0,MIN(100,100*(Norm_Stats!$G$16-MIN(MAX(City_Inputs!$AL128,Norm_Stats!$F$16),Norm_Stats!$G$16))/(Norm_Stats!$G$16-Norm_Stats!$F$16)))))*0.3))/(IF((IF(OR(City_Inputs!$AA128="",Norm_Stats!$F$15="",Norm_Stats!$G$15="",Norm_Stats!$G$15=Norm_Stats!$F$15),"",MAX(0,MIN(100,100*(MIN(MAX(City_Inputs!$AA128,Norm_Stats!$F$15),Norm_Stats!$G$15)-Norm_Stats!$F$15)/(Norm_Stats!$G$15-Norm_Stats!$F$15)))))="",0,0.7)+IF((IF(OR(City_Inputs!$AL128="",Norm_Stats!$F$16="",Norm_Stats!$G$16="",Norm_Stats!$G$16=Norm_Stats!$F$16),"",MAX(0,MIN(100,100*(Norm_Stats!$G$16-MIN(MAX(City_Inputs!$AL128,Norm_Stats!$F$16),Norm_Stats!$G$16))/(Norm_Stats!$G$16-Norm_Stats!$F$16)))))="",0,0.3)))</f>
        <v/>
      </c>
      <c r="AL128" s="14">
        <f>IF((IF((IF(OR(City_Inputs!$AA128="",Norm_Stats!$F$15="",Norm_Stats!$G$15="",Norm_Stats!$G$15=Norm_Stats!$F$15),"",MAX(0,MIN(100,100*(MIN(MAX(City_Inputs!$AA128,Norm_Stats!$F$15),Norm_Stats!$G$15)-Norm_Stats!$F$15)/(Norm_Stats!$G$15-Norm_Stats!$F$15)))))="",0,0.7)+IF((IF(OR(City_Inputs!$AL128="",Norm_Stats!$F$16="",Norm_Stats!$G$16="",Norm_Stats!$G$16=Norm_Stats!$F$16),"",MAX(0,MIN(100,100*(Norm_Stats!$G$16-MIN(MAX(City_Inputs!$AL128,Norm_Stats!$F$16),Norm_Stats!$G$16))/(Norm_Stats!$G$16-Norm_Stats!$F$16)))))="",0,0.3))=0,"",(IF((IF(OR(City_Inputs!$AA128="",Norm_Stats!$F$15="",Norm_Stats!$G$15="",Norm_Stats!$G$15=Norm_Stats!$F$15),"",MAX(0,MIN(100,100*(MIN(MAX(City_Inputs!$AA128,Norm_Stats!$F$15),Norm_Stats!$G$15)-Norm_Stats!$F$15)/(Norm_Stats!$G$15-Norm_Stats!$F$15)))))="",0,0.7)+IF((IF(OR(City_Inputs!$AL128="",Norm_Stats!$F$16="",Norm_Stats!$G$16="",Norm_Stats!$G$16=Norm_Stats!$F$16),"",MAX(0,MIN(100,100*(Norm_Stats!$G$16-MIN(MAX(City_Inputs!$AL128,Norm_Stats!$F$16),Norm_Stats!$G$16))/(Norm_Stats!$G$16-Norm_Stats!$F$16)))))="",0,0.3)))</f>
        <v/>
      </c>
      <c r="AM128" s="15">
        <f>IF((IF(AG128="",0,8)+IF(AI128="",0,6)+IF(AK128="",0,4))=0,"",(IF(AG128="",0,AG128*8)+IF(AI128="",0,AI128*6)+IF(AK128="",0,AK128*4))/(IF(AG128="",0,8)+IF(AI128="",0,6)+IF(AK128="",0,4)))</f>
        <v/>
      </c>
      <c r="AN128" s="14">
        <f>IF((IF(AH128="",0,8)+IF(AJ128="",0,6)+IF(AL128="",0,4))=0,"",(IF(AH128="",0,AH128*8)+IF(AJ128="",0,AJ128*6)+IF(AL128="",0,AL128*4))/18)</f>
        <v/>
      </c>
      <c r="AO128" s="11">
        <f>IF(OR(City_Inputs!$AB128="",Norm_Stats!$F$17="",Norm_Stats!$G$17="",Norm_Stats!$G$17=Norm_Stats!$F$17),"",MAX(0,MIN(100,100*(MIN(MAX(City_Inputs!$AB128,Norm_Stats!$F$17),Norm_Stats!$G$17)-Norm_Stats!$F$17)/(Norm_Stats!$G$17-Norm_Stats!$F$17))))</f>
        <v/>
      </c>
      <c r="AP128" s="14">
        <f>IF(AO128="","",1)</f>
        <v/>
      </c>
      <c r="AQ128" s="11">
        <f>IF(OR(City_Inputs!$AC128="",Norm_Stats!$F$18="",Norm_Stats!$G$18="",Norm_Stats!$G$18=Norm_Stats!$F$18),"",MAX(0,MIN(100,100*(MIN(MAX(City_Inputs!$AC128,Norm_Stats!$F$18),Norm_Stats!$G$18)-Norm_Stats!$F$18)/(Norm_Stats!$G$18-Norm_Stats!$F$18))))</f>
        <v/>
      </c>
      <c r="AR128" s="14">
        <f>IF(AQ128="","",1)</f>
        <v/>
      </c>
      <c r="AS128" s="11">
        <f>IF(OR(City_Inputs!$AD128="",Norm_Stats!$F$19="",Norm_Stats!$G$19="",Norm_Stats!$G$19=Norm_Stats!$F$19),"",MAX(0,MIN(100,100*(MIN(MAX(City_Inputs!$AD128,Norm_Stats!$F$19),Norm_Stats!$G$19)-Norm_Stats!$F$19)/(Norm_Stats!$G$19-Norm_Stats!$F$19))))</f>
        <v/>
      </c>
      <c r="AT128" s="14">
        <f>IF(AS128="","",1)</f>
        <v/>
      </c>
      <c r="AU128" s="11">
        <f>IF(OR(City_Inputs!$BJ128="",Norm_Stats!$F$26="",Norm_Stats!$G$26="",Norm_Stats!$G$26=Norm_Stats!$F$26),"",MAX(0,MIN(100,100*(MIN(MAX(City_Inputs!$BJ128,Norm_Stats!$F$26),Norm_Stats!$G$26)-Norm_Stats!$F$26)/(Norm_Stats!$G$26-Norm_Stats!$F$26))))</f>
        <v/>
      </c>
      <c r="AV128" s="11">
        <f>IF(AU128="","",1)</f>
        <v/>
      </c>
      <c r="AW128" s="15">
        <f>IF((IF(AO128="",0,5)+IF(AQ128="",0,5)+IF(AS128="",0,5)+IF(AU128="",0,4))=0,"",(IF(AO128="",0,AO128*5)+IF(AQ128="",0,AQ128*5)+IF(AS128="",0,AS128*5)+IF(AU128="",0,AU128*4))/(IF(AO128="",0,5)+IF(AQ128="",0,5)+IF(AS128="",0,5)+IF(AU128="",0,4)))</f>
        <v/>
      </c>
      <c r="AX128" s="14">
        <f>IF((IF(AP128="",0,5)+IF(AR128="",0,5)+IF(AT128="",0,5)+IF(AV128="",0,4))=0,"",(IF(AP128="",0,AP128*5)+IF(AR128="",0,AR128*5)+IF(AT128="",0,AT128*5)+IF(AV128="",0,AV128*4))/19)</f>
        <v/>
      </c>
      <c r="AY128" s="11">
        <f>IF(OR(City_Inputs!$AE128="",Norm_Stats!$F$20="",Norm_Stats!$G$20="",Norm_Stats!$G$20=Norm_Stats!$F$20),"",MAX(0,MIN(100,100*(MIN(MAX(City_Inputs!$AE128,Norm_Stats!$F$20),Norm_Stats!$G$20)-Norm_Stats!$F$20)/(Norm_Stats!$G$20-Norm_Stats!$F$20))))</f>
        <v/>
      </c>
      <c r="AZ128" s="14">
        <f>IF(AY128="","",1)</f>
        <v/>
      </c>
      <c r="BA128" s="11">
        <f>IF(OR(City_Inputs!$AF128="",Norm_Stats!$F$21="",Norm_Stats!$G$21="",Norm_Stats!$G$21=Norm_Stats!$F$21),"",MAX(0,MIN(100,100*(MIN(MAX(City_Inputs!$AF128,Norm_Stats!$F$21),Norm_Stats!$G$21)-Norm_Stats!$F$21)/(Norm_Stats!$G$21-Norm_Stats!$F$21))))</f>
        <v/>
      </c>
      <c r="BB128" s="14">
        <f>IF(BA128="","",1)</f>
        <v/>
      </c>
      <c r="BC128" s="11">
        <f>IF((IF((IF(OR(City_Inputs!$AG128="",Norm_Stats!$F$22="",Norm_Stats!$G$22="",Norm_Stats!$G$22=Norm_Stats!$F$22),"",MAX(0,MIN(100,100*(MIN(MAX(City_Inputs!$AG128,Norm_Stats!$F$22),Norm_Stats!$G$22)-Norm_Stats!$F$22)/(Norm_Stats!$G$22-Norm_Stats!$F$22)))))="",0,0.5)+IF((IF(OR(City_Inputs!$AJ128="",Norm_Stats!$F$23="",Norm_Stats!$G$23="",Norm_Stats!$G$23=Norm_Stats!$F$23),"",MAX(0,MIN(100,100*(MIN(MAX(City_Inputs!$AJ128,Norm_Stats!$F$23),Norm_Stats!$G$23)-Norm_Stats!$F$23)/(Norm_Stats!$G$23-Norm_Stats!$F$23)))))="",0,0.3)+IF((IF(OR(City_Inputs!$AK128="",Norm_Stats!$F$24="",Norm_Stats!$G$24="",Norm_Stats!$G$24=Norm_Stats!$F$24),"",MAX(0,MIN(100,100*(MIN(MAX(City_Inputs!$AK128,Norm_Stats!$F$24),Norm_Stats!$G$24)-Norm_Stats!$F$24)/(Norm_Stats!$G$24-Norm_Stats!$F$24)))))="",0,0.2))=0,"",(IF((IF(OR(City_Inputs!$AG128="",Norm_Stats!$F$22="",Norm_Stats!$G$22="",Norm_Stats!$G$22=Norm_Stats!$F$22),"",MAX(0,MIN(100,100*(MIN(MAX(City_Inputs!$AG128,Norm_Stats!$F$22),Norm_Stats!$G$22)-Norm_Stats!$F$22)/(Norm_Stats!$G$22-Norm_Stats!$F$22)))))="",0,(IF(OR(City_Inputs!$AG128="",Norm_Stats!$F$22="",Norm_Stats!$G$22="",Norm_Stats!$G$22=Norm_Stats!$F$22),"",MAX(0,MIN(100,100*(MIN(MAX(City_Inputs!$AG128,Norm_Stats!$F$22),Norm_Stats!$G$22)-Norm_Stats!$F$22)/(Norm_Stats!$G$22-Norm_Stats!$F$22)))))*0.5)+IF((IF(OR(City_Inputs!$AJ128="",Norm_Stats!$F$23="",Norm_Stats!$G$23="",Norm_Stats!$G$23=Norm_Stats!$F$23),"",MAX(0,MIN(100,100*(MIN(MAX(City_Inputs!$AJ128,Norm_Stats!$F$23),Norm_Stats!$G$23)-Norm_Stats!$F$23)/(Norm_Stats!$G$23-Norm_Stats!$F$23)))))="",0,(IF(OR(City_Inputs!$AJ128="",Norm_Stats!$F$23="",Norm_Stats!$G$23="",Norm_Stats!$G$23=Norm_Stats!$F$23),"",MAX(0,MIN(100,100*(MIN(MAX(City_Inputs!$AJ128,Norm_Stats!$F$23),Norm_Stats!$G$23)-Norm_Stats!$F$23)/(Norm_Stats!$G$23-Norm_Stats!$F$23)))))*0.3)+IF((IF(OR(City_Inputs!$AK128="",Norm_Stats!$F$24="",Norm_Stats!$G$24="",Norm_Stats!$G$24=Norm_Stats!$F$24),"",MAX(0,MIN(100,100*(MIN(MAX(City_Inputs!$AK128,Norm_Stats!$F$24),Norm_Stats!$G$24)-Norm_Stats!$F$24)/(Norm_Stats!$G$24-Norm_Stats!$F$24)))))="",0,(IF(OR(City_Inputs!$AK128="",Norm_Stats!$F$24="",Norm_Stats!$G$24="",Norm_Stats!$G$24=Norm_Stats!$F$24),"",MAX(0,MIN(100,100*(MIN(MAX(City_Inputs!$AK128,Norm_Stats!$F$24),Norm_Stats!$G$24)-Norm_Stats!$F$24)/(Norm_Stats!$G$24-Norm_Stats!$F$24)))))*0.2))/(IF((IF(OR(City_Inputs!$AG128="",Norm_Stats!$F$22="",Norm_Stats!$G$22="",Norm_Stats!$G$22=Norm_Stats!$F$22),"",MAX(0,MIN(100,100*(MIN(MAX(City_Inputs!$AG128,Norm_Stats!$F$22),Norm_Stats!$G$22)-Norm_Stats!$F$22)/(Norm_Stats!$G$22-Norm_Stats!$F$22)))))="",0,0.5)+IF((IF(OR(City_Inputs!$AJ128="",Norm_Stats!$F$23="",Norm_Stats!$G$23="",Norm_Stats!$G$23=Norm_Stats!$F$23),"",MAX(0,MIN(100,100*(MIN(MAX(City_Inputs!$AJ128,Norm_Stats!$F$23),Norm_Stats!$G$23)-Norm_Stats!$F$23)/(Norm_Stats!$G$23-Norm_Stats!$F$23)))))="",0,0.3)+IF((IF(OR(City_Inputs!$AK128="",Norm_Stats!$F$24="",Norm_Stats!$G$24="",Norm_Stats!$G$24=Norm_Stats!$F$24),"",MAX(0,MIN(100,100*(MIN(MAX(City_Inputs!$AK128,Norm_Stats!$F$24),Norm_Stats!$G$24)-Norm_Stats!$F$24)/(Norm_Stats!$G$24-Norm_Stats!$F$24)))))="",0,0.2)))</f>
        <v/>
      </c>
      <c r="BD128" s="14">
        <f>IF((IF((IF(OR(City_Inputs!$AG128="",Norm_Stats!$F$22="",Norm_Stats!$G$22="",Norm_Stats!$G$22=Norm_Stats!$F$22),"",MAX(0,MIN(100,100*(MIN(MAX(City_Inputs!$AG128,Norm_Stats!$F$22),Norm_Stats!$G$22)-Norm_Stats!$F$22)/(Norm_Stats!$G$22-Norm_Stats!$F$22)))))="",0,0.5)+IF((IF(OR(City_Inputs!$AJ128="",Norm_Stats!$F$23="",Norm_Stats!$G$23="",Norm_Stats!$G$23=Norm_Stats!$F$23),"",MAX(0,MIN(100,100*(MIN(MAX(City_Inputs!$AJ128,Norm_Stats!$F$23),Norm_Stats!$G$23)-Norm_Stats!$F$23)/(Norm_Stats!$G$23-Norm_Stats!$F$23)))))="",0,0.3)+IF((IF(OR(City_Inputs!$AK128="",Norm_Stats!$F$24="",Norm_Stats!$G$24="",Norm_Stats!$G$24=Norm_Stats!$F$24),"",MAX(0,MIN(100,100*(MIN(MAX(City_Inputs!$AK128,Norm_Stats!$F$24),Norm_Stats!$G$24)-Norm_Stats!$F$24)/(Norm_Stats!$G$24-Norm_Stats!$F$24)))))="",0,0.2))=0,"",(IF((IF(OR(City_Inputs!$AG128="",Norm_Stats!$F$22="",Norm_Stats!$G$22="",Norm_Stats!$G$22=Norm_Stats!$F$22),"",MAX(0,MIN(100,100*(MIN(MAX(City_Inputs!$AG128,Norm_Stats!$F$22),Norm_Stats!$G$22)-Norm_Stats!$F$22)/(Norm_Stats!$G$22-Norm_Stats!$F$22)))))="",0,0.5)+IF((IF(OR(City_Inputs!$AJ128="",Norm_Stats!$F$23="",Norm_Stats!$G$23="",Norm_Stats!$G$23=Norm_Stats!$F$23),"",MAX(0,MIN(100,100*(MIN(MAX(City_Inputs!$AJ128,Norm_Stats!$F$23),Norm_Stats!$G$23)-Norm_Stats!$F$23)/(Norm_Stats!$G$23-Norm_Stats!$F$23)))))="",0,0.3)+IF((IF(OR(City_Inputs!$AK128="",Norm_Stats!$F$24="",Norm_Stats!$G$24="",Norm_Stats!$G$24=Norm_Stats!$F$24),"",MAX(0,MIN(100,100*(MIN(MAX(City_Inputs!$AK128,Norm_Stats!$F$24),Norm_Stats!$G$24)-Norm_Stats!$F$24)/(Norm_Stats!$G$24-Norm_Stats!$F$24)))))="",0,0.2)))</f>
        <v/>
      </c>
      <c r="BE128" s="11">
        <f>IF(OR(City_Inputs!$AH128="",Norm_Stats!$F$25="",Norm_Stats!$G$25="",Norm_Stats!$G$25=Norm_Stats!$F$25),"",MAX(0,MIN(100,100*(Norm_Stats!$G$25-MIN(MAX(City_Inputs!$AH128,Norm_Stats!$F$25),Norm_Stats!$G$25))/(Norm_Stats!$G$25-Norm_Stats!$F$25))))</f>
        <v/>
      </c>
      <c r="BF128" s="14">
        <f>IF(BE128="","",1)</f>
        <v/>
      </c>
      <c r="BG128" s="15">
        <f>IF((IF(AY128="",0,6)+IF(BA128="",0,5)+IF(BC128="",0,5)+IF(BE128="",0,4))=0,"",(IF(AY128="",0,AY128*6)+IF(BA128="",0,BA128*5)+IF(BC128="",0,BC128*5)+IF(BE128="",0,BE128*4))/(IF(AY128="",0,6)+IF(BA128="",0,5)+IF(BC128="",0,5)+IF(BE128="",0,4)))</f>
        <v/>
      </c>
      <c r="BH128" s="14">
        <f>IF((IF(AZ128="",0,6)+IF(BB128="",0,5)+IF(BD128="",0,5)+IF(BF128="",0,4))=0,"",(IF(AZ128="",0,AZ128*6)+IF(BB128="",0,BB128*5)+IF(BD128="",0,BD128*5)+IF(BF128="",0,BF128*4))/20)</f>
        <v/>
      </c>
      <c r="BI128" s="14">
        <f>IF(AND(R128="",AF128="",AN128="",AX128="",BH128=""),"",((R128*25)+(AF128*22)+(AN128*18)+(AX128*15)+(BH128*20))/100)</f>
        <v/>
      </c>
      <c r="BJ128" s="11">
        <f>IF(BI128="","",IF(BI128&gt;=0.75,"A",IF(BI128&gt;=0.5,"B",IF(BI128&gt;=0.35,"C","Watchlist"))))</f>
        <v/>
      </c>
      <c r="BK128" s="11">
        <f>IF(OR(BI128="",BI128&lt;0.5,R128="",R128&lt;0.35,AF128="",AF128&lt;0.35,AN128="",AN128&lt;0.35,AX128="",AX128&lt;0.35,BH128="",BH128&lt;0.35),"Watchlist","Ranked")</f>
        <v/>
      </c>
      <c r="BL128" s="15">
        <f>IF(AND(Q128="",AE128="",AM128="",AW128="",BG128=""),"",(IF(Q128="",0,Q128*25)+IF(AE128="",0,AE128*22)+IF(AM128="",0,AM128*18)+IF(AW128="",0,AW128*15)+IF(BG128="",0,BG128*20))/(IF(Q128="",0,25)+IF(AE128="",0,22)+IF(AM128="",0,18)+IF(AW128="",0,15)+IF(BG128="",0,20)))</f>
        <v/>
      </c>
      <c r="BM128" s="11">
        <f>IF(BK128="Ranked",1+COUNTIFS($BK$2:$BK$158,"Ranked",$BL$2:$BL$158,"&gt;"&amp;BL128),"")</f>
        <v/>
      </c>
      <c r="BN128" s="11">
        <f>City_Inputs!$AI128</f>
        <v/>
      </c>
    </row>
    <row r="129">
      <c r="A129" t="inlineStr">
        <is>
          <t>fr-lyon</t>
        </is>
      </c>
      <c r="B129" t="inlineStr">
        <is>
          <t>Lyon</t>
        </is>
      </c>
      <c r="C129" t="inlineStr">
        <is>
          <t>France</t>
        </is>
      </c>
      <c r="D129" t="inlineStr">
        <is>
          <t>Western, Northern, and Southern Europe</t>
        </is>
      </c>
      <c r="E129" t="inlineStr">
        <is>
          <t>provisional</t>
        </is>
      </c>
      <c r="F129" t="inlineStr">
        <is>
          <t>primary</t>
        </is>
      </c>
      <c r="G129" s="11">
        <f>IF(OR(City_Inputs!$M129="",Norm_Stats!$F$2="",Norm_Stats!$G$2="",Norm_Stats!$G$2=Norm_Stats!$F$2),"",MAX(0,MIN(100,100*(MIN(MAX(City_Inputs!$M129,Norm_Stats!$F$2),Norm_Stats!$G$2)-Norm_Stats!$F$2)/(Norm_Stats!$G$2-Norm_Stats!$F$2))))</f>
        <v/>
      </c>
      <c r="H129" s="14">
        <f>IF(G129="","",1)</f>
        <v/>
      </c>
      <c r="I129" s="11">
        <f>IF(OR(City_Inputs!$N129="",Norm_Stats!$F$3="",Norm_Stats!$G$3="",Norm_Stats!$G$3=Norm_Stats!$F$3),"",MAX(0,MIN(100,100*(Norm_Stats!$G$3-MIN(MAX(City_Inputs!$N129,Norm_Stats!$F$3),Norm_Stats!$G$3))/(Norm_Stats!$G$3-Norm_Stats!$F$3))))</f>
        <v/>
      </c>
      <c r="J129" s="14">
        <f>IF(I129="","",1)</f>
        <v/>
      </c>
      <c r="K129" s="11">
        <f>IF(OR(City_Inputs!$P129="",Norm_Stats!$F$4="",Norm_Stats!$G$4="",Norm_Stats!$G$4=Norm_Stats!$F$4),"",MAX(0,MIN(100,100*(Norm_Stats!$G$4-MIN(MAX(City_Inputs!$P129,Norm_Stats!$F$4),Norm_Stats!$G$4))/(Norm_Stats!$G$4-Norm_Stats!$F$4))))</f>
        <v/>
      </c>
      <c r="L129" s="14">
        <f>IF(K129="","",1)</f>
        <v/>
      </c>
      <c r="M129" s="11">
        <f>IF(OR(City_Inputs!$Q129="",Norm_Stats!$F$5="",Norm_Stats!$G$5="",Norm_Stats!$G$5=Norm_Stats!$F$5),"",MAX(0,MIN(100,100*(Norm_Stats!$G$5-MIN(MAX(City_Inputs!$Q129,Norm_Stats!$F$5),Norm_Stats!$G$5))/(Norm_Stats!$G$5-Norm_Stats!$F$5))))</f>
        <v/>
      </c>
      <c r="N129" s="14">
        <f>IF(M129="","",1)</f>
        <v/>
      </c>
      <c r="O129" s="11">
        <f>IF(OR(City_Inputs!$R129="",Norm_Stats!$F$6="",Norm_Stats!$G$6="",Norm_Stats!$G$6=Norm_Stats!$F$6),"",MAX(0,MIN(100,100*(Norm_Stats!$G$6-MIN(MAX(City_Inputs!$R129,Norm_Stats!$F$6),Norm_Stats!$G$6))/(Norm_Stats!$G$6-Norm_Stats!$F$6))))</f>
        <v/>
      </c>
      <c r="P129" s="14">
        <f>IF(O129="","",1)</f>
        <v/>
      </c>
      <c r="Q129" s="15">
        <f>IF((IF(G129="",0,9)+IF(I129="",0,5)+IF(K129="",0,4)+IF(M129="",0,4)+IF(O129="",0,5))=0,"",(IF(G129="",0,G129*9)+IF(I129="",0,I129*5)+IF(K129="",0,K129*4)+IF(M129="",0,M129*4)+IF(O129="",0,O129*5))/(IF(G129="",0,9)+IF(I129="",0,5)+IF(K129="",0,4)+IF(M129="",0,4)+IF(O129="",0,5)))</f>
        <v/>
      </c>
      <c r="R129" s="14">
        <f>IF((IF(H129="",0,9)+IF(J129="",0,5)+IF(L129="",0,4)+IF(N129="",0,4)+IF(P129="",0,5))=0,"",(IF(H129="",0,H129*9)+IF(J129="",0,J129*5)+IF(L129="",0,L129*4)+IF(N129="",0,N129*4)+IF(P129="",0,P129*5))/27)</f>
        <v/>
      </c>
      <c r="S129" s="11">
        <f>IF(OR(City_Inputs!$S129="",Norm_Stats!$F$7="",Norm_Stats!$G$7="",Norm_Stats!$G$7=Norm_Stats!$F$7),"",MAX(0,MIN(100,100*(Norm_Stats!$G$7-MIN(MAX(City_Inputs!$S129,Norm_Stats!$F$7),Norm_Stats!$G$7))/(Norm_Stats!$G$7-Norm_Stats!$F$7))))</f>
        <v/>
      </c>
      <c r="T129" s="14">
        <f>IF(S129="","",1)</f>
        <v/>
      </c>
      <c r="U129" s="11">
        <f>IF(OR(City_Inputs!$T129="",Norm_Stats!$F$8="",Norm_Stats!$G$8="",Norm_Stats!$G$8=Norm_Stats!$F$8),"",MAX(0,MIN(100,100*(MIN(MAX(City_Inputs!$T129,Norm_Stats!$F$8),Norm_Stats!$G$8)-Norm_Stats!$F$8)/(Norm_Stats!$G$8-Norm_Stats!$F$8))))</f>
        <v/>
      </c>
      <c r="V129" s="14">
        <f>IF(U129="","",1)</f>
        <v/>
      </c>
      <c r="W129" s="11">
        <f>IF(OR(City_Inputs!$U129="",Norm_Stats!$F$9="",Norm_Stats!$G$9="",Norm_Stats!$G$9=Norm_Stats!$F$9),"",MAX(0,MIN(100,100*(Norm_Stats!$G$9-MIN(MAX(City_Inputs!$U129,Norm_Stats!$F$9),Norm_Stats!$G$9))/(Norm_Stats!$G$9-Norm_Stats!$F$9))))</f>
        <v/>
      </c>
      <c r="X129" s="14">
        <f>IF(W129="","",1)</f>
        <v/>
      </c>
      <c r="Y129" s="11">
        <f>IF(OR(City_Inputs!$V129="",Norm_Stats!$F$10="",Norm_Stats!$G$10="",Norm_Stats!$G$10=Norm_Stats!$F$10),"",MAX(0,MIN(100,100*(MIN(MAX(City_Inputs!$V129,Norm_Stats!$F$10),Norm_Stats!$G$10)-Norm_Stats!$F$10)/(Norm_Stats!$G$10-Norm_Stats!$F$10))))</f>
        <v/>
      </c>
      <c r="Z129" s="14">
        <f>IF(Y129="","",1)</f>
        <v/>
      </c>
      <c r="AA129" s="11">
        <f>IF(OR(City_Inputs!$W129="",Norm_Stats!$F$11="",Norm_Stats!$G$11="",Norm_Stats!$G$11=Norm_Stats!$F$11),"",MAX(0,MIN(100,100*(MIN(MAX(City_Inputs!$W129,Norm_Stats!$F$11),Norm_Stats!$G$11)-Norm_Stats!$F$11)/(Norm_Stats!$G$11-Norm_Stats!$F$11))))</f>
        <v/>
      </c>
      <c r="AB129" s="14">
        <f>IF(AA129="","",1)</f>
        <v/>
      </c>
      <c r="AC129" s="11">
        <f>IF(OR(City_Inputs!$X129="",Norm_Stats!$F$12="",Norm_Stats!$G$12="",Norm_Stats!$G$12=Norm_Stats!$F$12),"",MAX(0,MIN(100,100*(MIN(MAX(City_Inputs!$X129,Norm_Stats!$F$12),Norm_Stats!$G$12)-Norm_Stats!$F$12)/(Norm_Stats!$G$12-Norm_Stats!$F$12))))</f>
        <v/>
      </c>
      <c r="AD129" s="11">
        <f>IF(AC129="","",1)</f>
        <v/>
      </c>
      <c r="AE129" s="15">
        <f>IF((IF(S129="",0,5)+IF(U129="",0,5)+IF(W129="",0,4)+IF(Y129="",0,4)+IF(AA129="",0,4)+IF(AC129="",0,5))=0,"",(IF(S129="",0,S129*5)+IF(U129="",0,U129*5)+IF(W129="",0,W129*4)+IF(Y129="",0,Y129*4)+IF(AA129="",0,AA129*4)+IF(AC129="",0,AC129*5))/(IF(S129="",0,5)+IF(U129="",0,5)+IF(W129="",0,4)+IF(Y129="",0,4)+IF(AA129="",0,4)+IF(AC129="",0,5)))</f>
        <v/>
      </c>
      <c r="AF129" s="14">
        <f>IF((IF(T129="",0,5)+IF(V129="",0,5)+IF(X129="",0,4)+IF(Z129="",0,4)+IF(AB129="",0,4)+IF(AD129="",0,5))=0,"",(IF(T129="",0,T129*5)+IF(V129="",0,V129*5)+IF(X129="",0,X129*4)+IF(Z129="",0,Z129*4)+IF(AB129="",0,AB129*4)+IF(AD129="",0,AD129*5))/27)</f>
        <v/>
      </c>
      <c r="AG129" s="11">
        <f>IF(OR(City_Inputs!$Y129="",Norm_Stats!$F$13="",Norm_Stats!$G$13="",Norm_Stats!$G$13=Norm_Stats!$F$13),"",MAX(0,MIN(100,100*(MIN(MAX(City_Inputs!$Y129,Norm_Stats!$F$13),Norm_Stats!$G$13)-Norm_Stats!$F$13)/(Norm_Stats!$G$13-Norm_Stats!$F$13))))</f>
        <v/>
      </c>
      <c r="AH129" s="14">
        <f>IF(AG129="","",1)</f>
        <v/>
      </c>
      <c r="AI129" s="11">
        <f>IF(OR(City_Inputs!$Z129="",Norm_Stats!$F$14="",Norm_Stats!$G$14="",Norm_Stats!$G$14=Norm_Stats!$F$14),"",MAX(0,MIN(100,100*(MIN(MAX(City_Inputs!$Z129,Norm_Stats!$F$14),Norm_Stats!$G$14)-Norm_Stats!$F$14)/(Norm_Stats!$G$14-Norm_Stats!$F$14))))</f>
        <v/>
      </c>
      <c r="AJ129" s="14">
        <f>IF(AI129="","",1)</f>
        <v/>
      </c>
      <c r="AK129" s="11">
        <f>IF((IF((IF(OR(City_Inputs!$AA129="",Norm_Stats!$F$15="",Norm_Stats!$G$15="",Norm_Stats!$G$15=Norm_Stats!$F$15),"",MAX(0,MIN(100,100*(MIN(MAX(City_Inputs!$AA129,Norm_Stats!$F$15),Norm_Stats!$G$15)-Norm_Stats!$F$15)/(Norm_Stats!$G$15-Norm_Stats!$F$15)))))="",0,0.7)+IF((IF(OR(City_Inputs!$AL129="",Norm_Stats!$F$16="",Norm_Stats!$G$16="",Norm_Stats!$G$16=Norm_Stats!$F$16),"",MAX(0,MIN(100,100*(Norm_Stats!$G$16-MIN(MAX(City_Inputs!$AL129,Norm_Stats!$F$16),Norm_Stats!$G$16))/(Norm_Stats!$G$16-Norm_Stats!$F$16)))))="",0,0.3))=0,"",(IF((IF(OR(City_Inputs!$AA129="",Norm_Stats!$F$15="",Norm_Stats!$G$15="",Norm_Stats!$G$15=Norm_Stats!$F$15),"",MAX(0,MIN(100,100*(MIN(MAX(City_Inputs!$AA129,Norm_Stats!$F$15),Norm_Stats!$G$15)-Norm_Stats!$F$15)/(Norm_Stats!$G$15-Norm_Stats!$F$15)))))="",0,(IF(OR(City_Inputs!$AA129="",Norm_Stats!$F$15="",Norm_Stats!$G$15="",Norm_Stats!$G$15=Norm_Stats!$F$15),"",MAX(0,MIN(100,100*(MIN(MAX(City_Inputs!$AA129,Norm_Stats!$F$15),Norm_Stats!$G$15)-Norm_Stats!$F$15)/(Norm_Stats!$G$15-Norm_Stats!$F$15)))))*0.7)+IF((IF(OR(City_Inputs!$AL129="",Norm_Stats!$F$16="",Norm_Stats!$G$16="",Norm_Stats!$G$16=Norm_Stats!$F$16),"",MAX(0,MIN(100,100*(Norm_Stats!$G$16-MIN(MAX(City_Inputs!$AL129,Norm_Stats!$F$16),Norm_Stats!$G$16))/(Norm_Stats!$G$16-Norm_Stats!$F$16)))))="",0,(IF(OR(City_Inputs!$AL129="",Norm_Stats!$F$16="",Norm_Stats!$G$16="",Norm_Stats!$G$16=Norm_Stats!$F$16),"",MAX(0,MIN(100,100*(Norm_Stats!$G$16-MIN(MAX(City_Inputs!$AL129,Norm_Stats!$F$16),Norm_Stats!$G$16))/(Norm_Stats!$G$16-Norm_Stats!$F$16)))))*0.3))/(IF((IF(OR(City_Inputs!$AA129="",Norm_Stats!$F$15="",Norm_Stats!$G$15="",Norm_Stats!$G$15=Norm_Stats!$F$15),"",MAX(0,MIN(100,100*(MIN(MAX(City_Inputs!$AA129,Norm_Stats!$F$15),Norm_Stats!$G$15)-Norm_Stats!$F$15)/(Norm_Stats!$G$15-Norm_Stats!$F$15)))))="",0,0.7)+IF((IF(OR(City_Inputs!$AL129="",Norm_Stats!$F$16="",Norm_Stats!$G$16="",Norm_Stats!$G$16=Norm_Stats!$F$16),"",MAX(0,MIN(100,100*(Norm_Stats!$G$16-MIN(MAX(City_Inputs!$AL129,Norm_Stats!$F$16),Norm_Stats!$G$16))/(Norm_Stats!$G$16-Norm_Stats!$F$16)))))="",0,0.3)))</f>
        <v/>
      </c>
      <c r="AL129" s="14">
        <f>IF((IF((IF(OR(City_Inputs!$AA129="",Norm_Stats!$F$15="",Norm_Stats!$G$15="",Norm_Stats!$G$15=Norm_Stats!$F$15),"",MAX(0,MIN(100,100*(MIN(MAX(City_Inputs!$AA129,Norm_Stats!$F$15),Norm_Stats!$G$15)-Norm_Stats!$F$15)/(Norm_Stats!$G$15-Norm_Stats!$F$15)))))="",0,0.7)+IF((IF(OR(City_Inputs!$AL129="",Norm_Stats!$F$16="",Norm_Stats!$G$16="",Norm_Stats!$G$16=Norm_Stats!$F$16),"",MAX(0,MIN(100,100*(Norm_Stats!$G$16-MIN(MAX(City_Inputs!$AL129,Norm_Stats!$F$16),Norm_Stats!$G$16))/(Norm_Stats!$G$16-Norm_Stats!$F$16)))))="",0,0.3))=0,"",(IF((IF(OR(City_Inputs!$AA129="",Norm_Stats!$F$15="",Norm_Stats!$G$15="",Norm_Stats!$G$15=Norm_Stats!$F$15),"",MAX(0,MIN(100,100*(MIN(MAX(City_Inputs!$AA129,Norm_Stats!$F$15),Norm_Stats!$G$15)-Norm_Stats!$F$15)/(Norm_Stats!$G$15-Norm_Stats!$F$15)))))="",0,0.7)+IF((IF(OR(City_Inputs!$AL129="",Norm_Stats!$F$16="",Norm_Stats!$G$16="",Norm_Stats!$G$16=Norm_Stats!$F$16),"",MAX(0,MIN(100,100*(Norm_Stats!$G$16-MIN(MAX(City_Inputs!$AL129,Norm_Stats!$F$16),Norm_Stats!$G$16))/(Norm_Stats!$G$16-Norm_Stats!$F$16)))))="",0,0.3)))</f>
        <v/>
      </c>
      <c r="AM129" s="15">
        <f>IF((IF(AG129="",0,8)+IF(AI129="",0,6)+IF(AK129="",0,4))=0,"",(IF(AG129="",0,AG129*8)+IF(AI129="",0,AI129*6)+IF(AK129="",0,AK129*4))/(IF(AG129="",0,8)+IF(AI129="",0,6)+IF(AK129="",0,4)))</f>
        <v/>
      </c>
      <c r="AN129" s="14">
        <f>IF((IF(AH129="",0,8)+IF(AJ129="",0,6)+IF(AL129="",0,4))=0,"",(IF(AH129="",0,AH129*8)+IF(AJ129="",0,AJ129*6)+IF(AL129="",0,AL129*4))/18)</f>
        <v/>
      </c>
      <c r="AO129" s="11">
        <f>IF(OR(City_Inputs!$AB129="",Norm_Stats!$F$17="",Norm_Stats!$G$17="",Norm_Stats!$G$17=Norm_Stats!$F$17),"",MAX(0,MIN(100,100*(MIN(MAX(City_Inputs!$AB129,Norm_Stats!$F$17),Norm_Stats!$G$17)-Norm_Stats!$F$17)/(Norm_Stats!$G$17-Norm_Stats!$F$17))))</f>
        <v/>
      </c>
      <c r="AP129" s="14">
        <f>IF(AO129="","",1)</f>
        <v/>
      </c>
      <c r="AQ129" s="11">
        <f>IF(OR(City_Inputs!$AC129="",Norm_Stats!$F$18="",Norm_Stats!$G$18="",Norm_Stats!$G$18=Norm_Stats!$F$18),"",MAX(0,MIN(100,100*(MIN(MAX(City_Inputs!$AC129,Norm_Stats!$F$18),Norm_Stats!$G$18)-Norm_Stats!$F$18)/(Norm_Stats!$G$18-Norm_Stats!$F$18))))</f>
        <v/>
      </c>
      <c r="AR129" s="14">
        <f>IF(AQ129="","",1)</f>
        <v/>
      </c>
      <c r="AS129" s="11">
        <f>IF(OR(City_Inputs!$AD129="",Norm_Stats!$F$19="",Norm_Stats!$G$19="",Norm_Stats!$G$19=Norm_Stats!$F$19),"",MAX(0,MIN(100,100*(MIN(MAX(City_Inputs!$AD129,Norm_Stats!$F$19),Norm_Stats!$G$19)-Norm_Stats!$F$19)/(Norm_Stats!$G$19-Norm_Stats!$F$19))))</f>
        <v/>
      </c>
      <c r="AT129" s="14">
        <f>IF(AS129="","",1)</f>
        <v/>
      </c>
      <c r="AU129" s="11">
        <f>IF(OR(City_Inputs!$BJ129="",Norm_Stats!$F$26="",Norm_Stats!$G$26="",Norm_Stats!$G$26=Norm_Stats!$F$26),"",MAX(0,MIN(100,100*(MIN(MAX(City_Inputs!$BJ129,Norm_Stats!$F$26),Norm_Stats!$G$26)-Norm_Stats!$F$26)/(Norm_Stats!$G$26-Norm_Stats!$F$26))))</f>
        <v/>
      </c>
      <c r="AV129" s="11">
        <f>IF(AU129="","",1)</f>
        <v/>
      </c>
      <c r="AW129" s="15">
        <f>IF((IF(AO129="",0,5)+IF(AQ129="",0,5)+IF(AS129="",0,5)+IF(AU129="",0,4))=0,"",(IF(AO129="",0,AO129*5)+IF(AQ129="",0,AQ129*5)+IF(AS129="",0,AS129*5)+IF(AU129="",0,AU129*4))/(IF(AO129="",0,5)+IF(AQ129="",0,5)+IF(AS129="",0,5)+IF(AU129="",0,4)))</f>
        <v/>
      </c>
      <c r="AX129" s="14">
        <f>IF((IF(AP129="",0,5)+IF(AR129="",0,5)+IF(AT129="",0,5)+IF(AV129="",0,4))=0,"",(IF(AP129="",0,AP129*5)+IF(AR129="",0,AR129*5)+IF(AT129="",0,AT129*5)+IF(AV129="",0,AV129*4))/19)</f>
        <v/>
      </c>
      <c r="AY129" s="11">
        <f>IF(OR(City_Inputs!$AE129="",Norm_Stats!$F$20="",Norm_Stats!$G$20="",Norm_Stats!$G$20=Norm_Stats!$F$20),"",MAX(0,MIN(100,100*(MIN(MAX(City_Inputs!$AE129,Norm_Stats!$F$20),Norm_Stats!$G$20)-Norm_Stats!$F$20)/(Norm_Stats!$G$20-Norm_Stats!$F$20))))</f>
        <v/>
      </c>
      <c r="AZ129" s="14">
        <f>IF(AY129="","",1)</f>
        <v/>
      </c>
      <c r="BA129" s="11">
        <f>IF(OR(City_Inputs!$AF129="",Norm_Stats!$F$21="",Norm_Stats!$G$21="",Norm_Stats!$G$21=Norm_Stats!$F$21),"",MAX(0,MIN(100,100*(MIN(MAX(City_Inputs!$AF129,Norm_Stats!$F$21),Norm_Stats!$G$21)-Norm_Stats!$F$21)/(Norm_Stats!$G$21-Norm_Stats!$F$21))))</f>
        <v/>
      </c>
      <c r="BB129" s="14">
        <f>IF(BA129="","",1)</f>
        <v/>
      </c>
      <c r="BC129" s="11">
        <f>IF((IF((IF(OR(City_Inputs!$AG129="",Norm_Stats!$F$22="",Norm_Stats!$G$22="",Norm_Stats!$G$22=Norm_Stats!$F$22),"",MAX(0,MIN(100,100*(MIN(MAX(City_Inputs!$AG129,Norm_Stats!$F$22),Norm_Stats!$G$22)-Norm_Stats!$F$22)/(Norm_Stats!$G$22-Norm_Stats!$F$22)))))="",0,0.5)+IF((IF(OR(City_Inputs!$AJ129="",Norm_Stats!$F$23="",Norm_Stats!$G$23="",Norm_Stats!$G$23=Norm_Stats!$F$23),"",MAX(0,MIN(100,100*(MIN(MAX(City_Inputs!$AJ129,Norm_Stats!$F$23),Norm_Stats!$G$23)-Norm_Stats!$F$23)/(Norm_Stats!$G$23-Norm_Stats!$F$23)))))="",0,0.3)+IF((IF(OR(City_Inputs!$AK129="",Norm_Stats!$F$24="",Norm_Stats!$G$24="",Norm_Stats!$G$24=Norm_Stats!$F$24),"",MAX(0,MIN(100,100*(MIN(MAX(City_Inputs!$AK129,Norm_Stats!$F$24),Norm_Stats!$G$24)-Norm_Stats!$F$24)/(Norm_Stats!$G$24-Norm_Stats!$F$24)))))="",0,0.2))=0,"",(IF((IF(OR(City_Inputs!$AG129="",Norm_Stats!$F$22="",Norm_Stats!$G$22="",Norm_Stats!$G$22=Norm_Stats!$F$22),"",MAX(0,MIN(100,100*(MIN(MAX(City_Inputs!$AG129,Norm_Stats!$F$22),Norm_Stats!$G$22)-Norm_Stats!$F$22)/(Norm_Stats!$G$22-Norm_Stats!$F$22)))))="",0,(IF(OR(City_Inputs!$AG129="",Norm_Stats!$F$22="",Norm_Stats!$G$22="",Norm_Stats!$G$22=Norm_Stats!$F$22),"",MAX(0,MIN(100,100*(MIN(MAX(City_Inputs!$AG129,Norm_Stats!$F$22),Norm_Stats!$G$22)-Norm_Stats!$F$22)/(Norm_Stats!$G$22-Norm_Stats!$F$22)))))*0.5)+IF((IF(OR(City_Inputs!$AJ129="",Norm_Stats!$F$23="",Norm_Stats!$G$23="",Norm_Stats!$G$23=Norm_Stats!$F$23),"",MAX(0,MIN(100,100*(MIN(MAX(City_Inputs!$AJ129,Norm_Stats!$F$23),Norm_Stats!$G$23)-Norm_Stats!$F$23)/(Norm_Stats!$G$23-Norm_Stats!$F$23)))))="",0,(IF(OR(City_Inputs!$AJ129="",Norm_Stats!$F$23="",Norm_Stats!$G$23="",Norm_Stats!$G$23=Norm_Stats!$F$23),"",MAX(0,MIN(100,100*(MIN(MAX(City_Inputs!$AJ129,Norm_Stats!$F$23),Norm_Stats!$G$23)-Norm_Stats!$F$23)/(Norm_Stats!$G$23-Norm_Stats!$F$23)))))*0.3)+IF((IF(OR(City_Inputs!$AK129="",Norm_Stats!$F$24="",Norm_Stats!$G$24="",Norm_Stats!$G$24=Norm_Stats!$F$24),"",MAX(0,MIN(100,100*(MIN(MAX(City_Inputs!$AK129,Norm_Stats!$F$24),Norm_Stats!$G$24)-Norm_Stats!$F$24)/(Norm_Stats!$G$24-Norm_Stats!$F$24)))))="",0,(IF(OR(City_Inputs!$AK129="",Norm_Stats!$F$24="",Norm_Stats!$G$24="",Norm_Stats!$G$24=Norm_Stats!$F$24),"",MAX(0,MIN(100,100*(MIN(MAX(City_Inputs!$AK129,Norm_Stats!$F$24),Norm_Stats!$G$24)-Norm_Stats!$F$24)/(Norm_Stats!$G$24-Norm_Stats!$F$24)))))*0.2))/(IF((IF(OR(City_Inputs!$AG129="",Norm_Stats!$F$22="",Norm_Stats!$G$22="",Norm_Stats!$G$22=Norm_Stats!$F$22),"",MAX(0,MIN(100,100*(MIN(MAX(City_Inputs!$AG129,Norm_Stats!$F$22),Norm_Stats!$G$22)-Norm_Stats!$F$22)/(Norm_Stats!$G$22-Norm_Stats!$F$22)))))="",0,0.5)+IF((IF(OR(City_Inputs!$AJ129="",Norm_Stats!$F$23="",Norm_Stats!$G$23="",Norm_Stats!$G$23=Norm_Stats!$F$23),"",MAX(0,MIN(100,100*(MIN(MAX(City_Inputs!$AJ129,Norm_Stats!$F$23),Norm_Stats!$G$23)-Norm_Stats!$F$23)/(Norm_Stats!$G$23-Norm_Stats!$F$23)))))="",0,0.3)+IF((IF(OR(City_Inputs!$AK129="",Norm_Stats!$F$24="",Norm_Stats!$G$24="",Norm_Stats!$G$24=Norm_Stats!$F$24),"",MAX(0,MIN(100,100*(MIN(MAX(City_Inputs!$AK129,Norm_Stats!$F$24),Norm_Stats!$G$24)-Norm_Stats!$F$24)/(Norm_Stats!$G$24-Norm_Stats!$F$24)))))="",0,0.2)))</f>
        <v/>
      </c>
      <c r="BD129" s="14">
        <f>IF((IF((IF(OR(City_Inputs!$AG129="",Norm_Stats!$F$22="",Norm_Stats!$G$22="",Norm_Stats!$G$22=Norm_Stats!$F$22),"",MAX(0,MIN(100,100*(MIN(MAX(City_Inputs!$AG129,Norm_Stats!$F$22),Norm_Stats!$G$22)-Norm_Stats!$F$22)/(Norm_Stats!$G$22-Norm_Stats!$F$22)))))="",0,0.5)+IF((IF(OR(City_Inputs!$AJ129="",Norm_Stats!$F$23="",Norm_Stats!$G$23="",Norm_Stats!$G$23=Norm_Stats!$F$23),"",MAX(0,MIN(100,100*(MIN(MAX(City_Inputs!$AJ129,Norm_Stats!$F$23),Norm_Stats!$G$23)-Norm_Stats!$F$23)/(Norm_Stats!$G$23-Norm_Stats!$F$23)))))="",0,0.3)+IF((IF(OR(City_Inputs!$AK129="",Norm_Stats!$F$24="",Norm_Stats!$G$24="",Norm_Stats!$G$24=Norm_Stats!$F$24),"",MAX(0,MIN(100,100*(MIN(MAX(City_Inputs!$AK129,Norm_Stats!$F$24),Norm_Stats!$G$24)-Norm_Stats!$F$24)/(Norm_Stats!$G$24-Norm_Stats!$F$24)))))="",0,0.2))=0,"",(IF((IF(OR(City_Inputs!$AG129="",Norm_Stats!$F$22="",Norm_Stats!$G$22="",Norm_Stats!$G$22=Norm_Stats!$F$22),"",MAX(0,MIN(100,100*(MIN(MAX(City_Inputs!$AG129,Norm_Stats!$F$22),Norm_Stats!$G$22)-Norm_Stats!$F$22)/(Norm_Stats!$G$22-Norm_Stats!$F$22)))))="",0,0.5)+IF((IF(OR(City_Inputs!$AJ129="",Norm_Stats!$F$23="",Norm_Stats!$G$23="",Norm_Stats!$G$23=Norm_Stats!$F$23),"",MAX(0,MIN(100,100*(MIN(MAX(City_Inputs!$AJ129,Norm_Stats!$F$23),Norm_Stats!$G$23)-Norm_Stats!$F$23)/(Norm_Stats!$G$23-Norm_Stats!$F$23)))))="",0,0.3)+IF((IF(OR(City_Inputs!$AK129="",Norm_Stats!$F$24="",Norm_Stats!$G$24="",Norm_Stats!$G$24=Norm_Stats!$F$24),"",MAX(0,MIN(100,100*(MIN(MAX(City_Inputs!$AK129,Norm_Stats!$F$24),Norm_Stats!$G$24)-Norm_Stats!$F$24)/(Norm_Stats!$G$24-Norm_Stats!$F$24)))))="",0,0.2)))</f>
        <v/>
      </c>
      <c r="BE129" s="11">
        <f>IF(OR(City_Inputs!$AH129="",Norm_Stats!$F$25="",Norm_Stats!$G$25="",Norm_Stats!$G$25=Norm_Stats!$F$25),"",MAX(0,MIN(100,100*(Norm_Stats!$G$25-MIN(MAX(City_Inputs!$AH129,Norm_Stats!$F$25),Norm_Stats!$G$25))/(Norm_Stats!$G$25-Norm_Stats!$F$25))))</f>
        <v/>
      </c>
      <c r="BF129" s="14">
        <f>IF(BE129="","",1)</f>
        <v/>
      </c>
      <c r="BG129" s="15">
        <f>IF((IF(AY129="",0,6)+IF(BA129="",0,5)+IF(BC129="",0,5)+IF(BE129="",0,4))=0,"",(IF(AY129="",0,AY129*6)+IF(BA129="",0,BA129*5)+IF(BC129="",0,BC129*5)+IF(BE129="",0,BE129*4))/(IF(AY129="",0,6)+IF(BA129="",0,5)+IF(BC129="",0,5)+IF(BE129="",0,4)))</f>
        <v/>
      </c>
      <c r="BH129" s="14">
        <f>IF((IF(AZ129="",0,6)+IF(BB129="",0,5)+IF(BD129="",0,5)+IF(BF129="",0,4))=0,"",(IF(AZ129="",0,AZ129*6)+IF(BB129="",0,BB129*5)+IF(BD129="",0,BD129*5)+IF(BF129="",0,BF129*4))/20)</f>
        <v/>
      </c>
      <c r="BI129" s="14">
        <f>IF(AND(R129="",AF129="",AN129="",AX129="",BH129=""),"",((R129*25)+(AF129*22)+(AN129*18)+(AX129*15)+(BH129*20))/100)</f>
        <v/>
      </c>
      <c r="BJ129" s="11">
        <f>IF(BI129="","",IF(BI129&gt;=0.75,"A",IF(BI129&gt;=0.5,"B",IF(BI129&gt;=0.35,"C","Watchlist"))))</f>
        <v/>
      </c>
      <c r="BK129" s="11">
        <f>IF(OR(BI129="",BI129&lt;0.5,R129="",R129&lt;0.35,AF129="",AF129&lt;0.35,AN129="",AN129&lt;0.35,AX129="",AX129&lt;0.35,BH129="",BH129&lt;0.35),"Watchlist","Ranked")</f>
        <v/>
      </c>
      <c r="BL129" s="15">
        <f>IF(AND(Q129="",AE129="",AM129="",AW129="",BG129=""),"",(IF(Q129="",0,Q129*25)+IF(AE129="",0,AE129*22)+IF(AM129="",0,AM129*18)+IF(AW129="",0,AW129*15)+IF(BG129="",0,BG129*20))/(IF(Q129="",0,25)+IF(AE129="",0,22)+IF(AM129="",0,18)+IF(AW129="",0,15)+IF(BG129="",0,20)))</f>
        <v/>
      </c>
      <c r="BM129" s="11">
        <f>IF(BK129="Ranked",1+COUNTIFS($BK$2:$BK$158,"Ranked",$BL$2:$BL$158,"&gt;"&amp;BL129),"")</f>
        <v/>
      </c>
      <c r="BN129" s="11">
        <f>City_Inputs!$AI129</f>
        <v/>
      </c>
    </row>
    <row r="130">
      <c r="A130" t="inlineStr">
        <is>
          <t>es-valencia</t>
        </is>
      </c>
      <c r="B130" t="inlineStr">
        <is>
          <t>Valencia</t>
        </is>
      </c>
      <c r="C130" t="inlineStr">
        <is>
          <t>Spain</t>
        </is>
      </c>
      <c r="D130" t="inlineStr">
        <is>
          <t>Western, Northern, and Southern Europe</t>
        </is>
      </c>
      <c r="E130" t="inlineStr">
        <is>
          <t>provisional</t>
        </is>
      </c>
      <c r="F130" t="inlineStr">
        <is>
          <t>primary</t>
        </is>
      </c>
      <c r="G130" s="11">
        <f>IF(OR(City_Inputs!$M130="",Norm_Stats!$F$2="",Norm_Stats!$G$2="",Norm_Stats!$G$2=Norm_Stats!$F$2),"",MAX(0,MIN(100,100*(MIN(MAX(City_Inputs!$M130,Norm_Stats!$F$2),Norm_Stats!$G$2)-Norm_Stats!$F$2)/(Norm_Stats!$G$2-Norm_Stats!$F$2))))</f>
        <v/>
      </c>
      <c r="H130" s="14">
        <f>IF(G130="","",1)</f>
        <v/>
      </c>
      <c r="I130" s="11">
        <f>IF(OR(City_Inputs!$N130="",Norm_Stats!$F$3="",Norm_Stats!$G$3="",Norm_Stats!$G$3=Norm_Stats!$F$3),"",MAX(0,MIN(100,100*(Norm_Stats!$G$3-MIN(MAX(City_Inputs!$N130,Norm_Stats!$F$3),Norm_Stats!$G$3))/(Norm_Stats!$G$3-Norm_Stats!$F$3))))</f>
        <v/>
      </c>
      <c r="J130" s="14">
        <f>IF(I130="","",1)</f>
        <v/>
      </c>
      <c r="K130" s="11">
        <f>IF(OR(City_Inputs!$P130="",Norm_Stats!$F$4="",Norm_Stats!$G$4="",Norm_Stats!$G$4=Norm_Stats!$F$4),"",MAX(0,MIN(100,100*(Norm_Stats!$G$4-MIN(MAX(City_Inputs!$P130,Norm_Stats!$F$4),Norm_Stats!$G$4))/(Norm_Stats!$G$4-Norm_Stats!$F$4))))</f>
        <v/>
      </c>
      <c r="L130" s="14">
        <f>IF(K130="","",1)</f>
        <v/>
      </c>
      <c r="M130" s="11">
        <f>IF(OR(City_Inputs!$Q130="",Norm_Stats!$F$5="",Norm_Stats!$G$5="",Norm_Stats!$G$5=Norm_Stats!$F$5),"",MAX(0,MIN(100,100*(Norm_Stats!$G$5-MIN(MAX(City_Inputs!$Q130,Norm_Stats!$F$5),Norm_Stats!$G$5))/(Norm_Stats!$G$5-Norm_Stats!$F$5))))</f>
        <v/>
      </c>
      <c r="N130" s="14">
        <f>IF(M130="","",1)</f>
        <v/>
      </c>
      <c r="O130" s="11">
        <f>IF(OR(City_Inputs!$R130="",Norm_Stats!$F$6="",Norm_Stats!$G$6="",Norm_Stats!$G$6=Norm_Stats!$F$6),"",MAX(0,MIN(100,100*(Norm_Stats!$G$6-MIN(MAX(City_Inputs!$R130,Norm_Stats!$F$6),Norm_Stats!$G$6))/(Norm_Stats!$G$6-Norm_Stats!$F$6))))</f>
        <v/>
      </c>
      <c r="P130" s="14">
        <f>IF(O130="","",1)</f>
        <v/>
      </c>
      <c r="Q130" s="15">
        <f>IF((IF(G130="",0,9)+IF(I130="",0,5)+IF(K130="",0,4)+IF(M130="",0,4)+IF(O130="",0,5))=0,"",(IF(G130="",0,G130*9)+IF(I130="",0,I130*5)+IF(K130="",0,K130*4)+IF(M130="",0,M130*4)+IF(O130="",0,O130*5))/(IF(G130="",0,9)+IF(I130="",0,5)+IF(K130="",0,4)+IF(M130="",0,4)+IF(O130="",0,5)))</f>
        <v/>
      </c>
      <c r="R130" s="14">
        <f>IF((IF(H130="",0,9)+IF(J130="",0,5)+IF(L130="",0,4)+IF(N130="",0,4)+IF(P130="",0,5))=0,"",(IF(H130="",0,H130*9)+IF(J130="",0,J130*5)+IF(L130="",0,L130*4)+IF(N130="",0,N130*4)+IF(P130="",0,P130*5))/27)</f>
        <v/>
      </c>
      <c r="S130" s="11">
        <f>IF(OR(City_Inputs!$S130="",Norm_Stats!$F$7="",Norm_Stats!$G$7="",Norm_Stats!$G$7=Norm_Stats!$F$7),"",MAX(0,MIN(100,100*(Norm_Stats!$G$7-MIN(MAX(City_Inputs!$S130,Norm_Stats!$F$7),Norm_Stats!$G$7))/(Norm_Stats!$G$7-Norm_Stats!$F$7))))</f>
        <v/>
      </c>
      <c r="T130" s="14">
        <f>IF(S130="","",1)</f>
        <v/>
      </c>
      <c r="U130" s="11">
        <f>IF(OR(City_Inputs!$T130="",Norm_Stats!$F$8="",Norm_Stats!$G$8="",Norm_Stats!$G$8=Norm_Stats!$F$8),"",MAX(0,MIN(100,100*(MIN(MAX(City_Inputs!$T130,Norm_Stats!$F$8),Norm_Stats!$G$8)-Norm_Stats!$F$8)/(Norm_Stats!$G$8-Norm_Stats!$F$8))))</f>
        <v/>
      </c>
      <c r="V130" s="14">
        <f>IF(U130="","",1)</f>
        <v/>
      </c>
      <c r="W130" s="11">
        <f>IF(OR(City_Inputs!$U130="",Norm_Stats!$F$9="",Norm_Stats!$G$9="",Norm_Stats!$G$9=Norm_Stats!$F$9),"",MAX(0,MIN(100,100*(Norm_Stats!$G$9-MIN(MAX(City_Inputs!$U130,Norm_Stats!$F$9),Norm_Stats!$G$9))/(Norm_Stats!$G$9-Norm_Stats!$F$9))))</f>
        <v/>
      </c>
      <c r="X130" s="14">
        <f>IF(W130="","",1)</f>
        <v/>
      </c>
      <c r="Y130" s="11">
        <f>IF(OR(City_Inputs!$V130="",Norm_Stats!$F$10="",Norm_Stats!$G$10="",Norm_Stats!$G$10=Norm_Stats!$F$10),"",MAX(0,MIN(100,100*(MIN(MAX(City_Inputs!$V130,Norm_Stats!$F$10),Norm_Stats!$G$10)-Norm_Stats!$F$10)/(Norm_Stats!$G$10-Norm_Stats!$F$10))))</f>
        <v/>
      </c>
      <c r="Z130" s="14">
        <f>IF(Y130="","",1)</f>
        <v/>
      </c>
      <c r="AA130" s="11">
        <f>IF(OR(City_Inputs!$W130="",Norm_Stats!$F$11="",Norm_Stats!$G$11="",Norm_Stats!$G$11=Norm_Stats!$F$11),"",MAX(0,MIN(100,100*(MIN(MAX(City_Inputs!$W130,Norm_Stats!$F$11),Norm_Stats!$G$11)-Norm_Stats!$F$11)/(Norm_Stats!$G$11-Norm_Stats!$F$11))))</f>
        <v/>
      </c>
      <c r="AB130" s="14">
        <f>IF(AA130="","",1)</f>
        <v/>
      </c>
      <c r="AC130" s="11">
        <f>IF(OR(City_Inputs!$X130="",Norm_Stats!$F$12="",Norm_Stats!$G$12="",Norm_Stats!$G$12=Norm_Stats!$F$12),"",MAX(0,MIN(100,100*(MIN(MAX(City_Inputs!$X130,Norm_Stats!$F$12),Norm_Stats!$G$12)-Norm_Stats!$F$12)/(Norm_Stats!$G$12-Norm_Stats!$F$12))))</f>
        <v/>
      </c>
      <c r="AD130" s="11">
        <f>IF(AC130="","",1)</f>
        <v/>
      </c>
      <c r="AE130" s="15">
        <f>IF((IF(S130="",0,5)+IF(U130="",0,5)+IF(W130="",0,4)+IF(Y130="",0,4)+IF(AA130="",0,4)+IF(AC130="",0,5))=0,"",(IF(S130="",0,S130*5)+IF(U130="",0,U130*5)+IF(W130="",0,W130*4)+IF(Y130="",0,Y130*4)+IF(AA130="",0,AA130*4)+IF(AC130="",0,AC130*5))/(IF(S130="",0,5)+IF(U130="",0,5)+IF(W130="",0,4)+IF(Y130="",0,4)+IF(AA130="",0,4)+IF(AC130="",0,5)))</f>
        <v/>
      </c>
      <c r="AF130" s="14">
        <f>IF((IF(T130="",0,5)+IF(V130="",0,5)+IF(X130="",0,4)+IF(Z130="",0,4)+IF(AB130="",0,4)+IF(AD130="",0,5))=0,"",(IF(T130="",0,T130*5)+IF(V130="",0,V130*5)+IF(X130="",0,X130*4)+IF(Z130="",0,Z130*4)+IF(AB130="",0,AB130*4)+IF(AD130="",0,AD130*5))/27)</f>
        <v/>
      </c>
      <c r="AG130" s="11">
        <f>IF(OR(City_Inputs!$Y130="",Norm_Stats!$F$13="",Norm_Stats!$G$13="",Norm_Stats!$G$13=Norm_Stats!$F$13),"",MAX(0,MIN(100,100*(MIN(MAX(City_Inputs!$Y130,Norm_Stats!$F$13),Norm_Stats!$G$13)-Norm_Stats!$F$13)/(Norm_Stats!$G$13-Norm_Stats!$F$13))))</f>
        <v/>
      </c>
      <c r="AH130" s="14">
        <f>IF(AG130="","",1)</f>
        <v/>
      </c>
      <c r="AI130" s="11">
        <f>IF(OR(City_Inputs!$Z130="",Norm_Stats!$F$14="",Norm_Stats!$G$14="",Norm_Stats!$G$14=Norm_Stats!$F$14),"",MAX(0,MIN(100,100*(MIN(MAX(City_Inputs!$Z130,Norm_Stats!$F$14),Norm_Stats!$G$14)-Norm_Stats!$F$14)/(Norm_Stats!$G$14-Norm_Stats!$F$14))))</f>
        <v/>
      </c>
      <c r="AJ130" s="14">
        <f>IF(AI130="","",1)</f>
        <v/>
      </c>
      <c r="AK130" s="11">
        <f>IF((IF((IF(OR(City_Inputs!$AA130="",Norm_Stats!$F$15="",Norm_Stats!$G$15="",Norm_Stats!$G$15=Norm_Stats!$F$15),"",MAX(0,MIN(100,100*(MIN(MAX(City_Inputs!$AA130,Norm_Stats!$F$15),Norm_Stats!$G$15)-Norm_Stats!$F$15)/(Norm_Stats!$G$15-Norm_Stats!$F$15)))))="",0,0.7)+IF((IF(OR(City_Inputs!$AL130="",Norm_Stats!$F$16="",Norm_Stats!$G$16="",Norm_Stats!$G$16=Norm_Stats!$F$16),"",MAX(0,MIN(100,100*(Norm_Stats!$G$16-MIN(MAX(City_Inputs!$AL130,Norm_Stats!$F$16),Norm_Stats!$G$16))/(Norm_Stats!$G$16-Norm_Stats!$F$16)))))="",0,0.3))=0,"",(IF((IF(OR(City_Inputs!$AA130="",Norm_Stats!$F$15="",Norm_Stats!$G$15="",Norm_Stats!$G$15=Norm_Stats!$F$15),"",MAX(0,MIN(100,100*(MIN(MAX(City_Inputs!$AA130,Norm_Stats!$F$15),Norm_Stats!$G$15)-Norm_Stats!$F$15)/(Norm_Stats!$G$15-Norm_Stats!$F$15)))))="",0,(IF(OR(City_Inputs!$AA130="",Norm_Stats!$F$15="",Norm_Stats!$G$15="",Norm_Stats!$G$15=Norm_Stats!$F$15),"",MAX(0,MIN(100,100*(MIN(MAX(City_Inputs!$AA130,Norm_Stats!$F$15),Norm_Stats!$G$15)-Norm_Stats!$F$15)/(Norm_Stats!$G$15-Norm_Stats!$F$15)))))*0.7)+IF((IF(OR(City_Inputs!$AL130="",Norm_Stats!$F$16="",Norm_Stats!$G$16="",Norm_Stats!$G$16=Norm_Stats!$F$16),"",MAX(0,MIN(100,100*(Norm_Stats!$G$16-MIN(MAX(City_Inputs!$AL130,Norm_Stats!$F$16),Norm_Stats!$G$16))/(Norm_Stats!$G$16-Norm_Stats!$F$16)))))="",0,(IF(OR(City_Inputs!$AL130="",Norm_Stats!$F$16="",Norm_Stats!$G$16="",Norm_Stats!$G$16=Norm_Stats!$F$16),"",MAX(0,MIN(100,100*(Norm_Stats!$G$16-MIN(MAX(City_Inputs!$AL130,Norm_Stats!$F$16),Norm_Stats!$G$16))/(Norm_Stats!$G$16-Norm_Stats!$F$16)))))*0.3))/(IF((IF(OR(City_Inputs!$AA130="",Norm_Stats!$F$15="",Norm_Stats!$G$15="",Norm_Stats!$G$15=Norm_Stats!$F$15),"",MAX(0,MIN(100,100*(MIN(MAX(City_Inputs!$AA130,Norm_Stats!$F$15),Norm_Stats!$G$15)-Norm_Stats!$F$15)/(Norm_Stats!$G$15-Norm_Stats!$F$15)))))="",0,0.7)+IF((IF(OR(City_Inputs!$AL130="",Norm_Stats!$F$16="",Norm_Stats!$G$16="",Norm_Stats!$G$16=Norm_Stats!$F$16),"",MAX(0,MIN(100,100*(Norm_Stats!$G$16-MIN(MAX(City_Inputs!$AL130,Norm_Stats!$F$16),Norm_Stats!$G$16))/(Norm_Stats!$G$16-Norm_Stats!$F$16)))))="",0,0.3)))</f>
        <v/>
      </c>
      <c r="AL130" s="14">
        <f>IF((IF((IF(OR(City_Inputs!$AA130="",Norm_Stats!$F$15="",Norm_Stats!$G$15="",Norm_Stats!$G$15=Norm_Stats!$F$15),"",MAX(0,MIN(100,100*(MIN(MAX(City_Inputs!$AA130,Norm_Stats!$F$15),Norm_Stats!$G$15)-Norm_Stats!$F$15)/(Norm_Stats!$G$15-Norm_Stats!$F$15)))))="",0,0.7)+IF((IF(OR(City_Inputs!$AL130="",Norm_Stats!$F$16="",Norm_Stats!$G$16="",Norm_Stats!$G$16=Norm_Stats!$F$16),"",MAX(0,MIN(100,100*(Norm_Stats!$G$16-MIN(MAX(City_Inputs!$AL130,Norm_Stats!$F$16),Norm_Stats!$G$16))/(Norm_Stats!$G$16-Norm_Stats!$F$16)))))="",0,0.3))=0,"",(IF((IF(OR(City_Inputs!$AA130="",Norm_Stats!$F$15="",Norm_Stats!$G$15="",Norm_Stats!$G$15=Norm_Stats!$F$15),"",MAX(0,MIN(100,100*(MIN(MAX(City_Inputs!$AA130,Norm_Stats!$F$15),Norm_Stats!$G$15)-Norm_Stats!$F$15)/(Norm_Stats!$G$15-Norm_Stats!$F$15)))))="",0,0.7)+IF((IF(OR(City_Inputs!$AL130="",Norm_Stats!$F$16="",Norm_Stats!$G$16="",Norm_Stats!$G$16=Norm_Stats!$F$16),"",MAX(0,MIN(100,100*(Norm_Stats!$G$16-MIN(MAX(City_Inputs!$AL130,Norm_Stats!$F$16),Norm_Stats!$G$16))/(Norm_Stats!$G$16-Norm_Stats!$F$16)))))="",0,0.3)))</f>
        <v/>
      </c>
      <c r="AM130" s="15">
        <f>IF((IF(AG130="",0,8)+IF(AI130="",0,6)+IF(AK130="",0,4))=0,"",(IF(AG130="",0,AG130*8)+IF(AI130="",0,AI130*6)+IF(AK130="",0,AK130*4))/(IF(AG130="",0,8)+IF(AI130="",0,6)+IF(AK130="",0,4)))</f>
        <v/>
      </c>
      <c r="AN130" s="14">
        <f>IF((IF(AH130="",0,8)+IF(AJ130="",0,6)+IF(AL130="",0,4))=0,"",(IF(AH130="",0,AH130*8)+IF(AJ130="",0,AJ130*6)+IF(AL130="",0,AL130*4))/18)</f>
        <v/>
      </c>
      <c r="AO130" s="11">
        <f>IF(OR(City_Inputs!$AB130="",Norm_Stats!$F$17="",Norm_Stats!$G$17="",Norm_Stats!$G$17=Norm_Stats!$F$17),"",MAX(0,MIN(100,100*(MIN(MAX(City_Inputs!$AB130,Norm_Stats!$F$17),Norm_Stats!$G$17)-Norm_Stats!$F$17)/(Norm_Stats!$G$17-Norm_Stats!$F$17))))</f>
        <v/>
      </c>
      <c r="AP130" s="14">
        <f>IF(AO130="","",1)</f>
        <v/>
      </c>
      <c r="AQ130" s="11">
        <f>IF(OR(City_Inputs!$AC130="",Norm_Stats!$F$18="",Norm_Stats!$G$18="",Norm_Stats!$G$18=Norm_Stats!$F$18),"",MAX(0,MIN(100,100*(MIN(MAX(City_Inputs!$AC130,Norm_Stats!$F$18),Norm_Stats!$G$18)-Norm_Stats!$F$18)/(Norm_Stats!$G$18-Norm_Stats!$F$18))))</f>
        <v/>
      </c>
      <c r="AR130" s="14">
        <f>IF(AQ130="","",1)</f>
        <v/>
      </c>
      <c r="AS130" s="11">
        <f>IF(OR(City_Inputs!$AD130="",Norm_Stats!$F$19="",Norm_Stats!$G$19="",Norm_Stats!$G$19=Norm_Stats!$F$19),"",MAX(0,MIN(100,100*(MIN(MAX(City_Inputs!$AD130,Norm_Stats!$F$19),Norm_Stats!$G$19)-Norm_Stats!$F$19)/(Norm_Stats!$G$19-Norm_Stats!$F$19))))</f>
        <v/>
      </c>
      <c r="AT130" s="14">
        <f>IF(AS130="","",1)</f>
        <v/>
      </c>
      <c r="AU130" s="11">
        <f>IF(OR(City_Inputs!$BJ130="",Norm_Stats!$F$26="",Norm_Stats!$G$26="",Norm_Stats!$G$26=Norm_Stats!$F$26),"",MAX(0,MIN(100,100*(MIN(MAX(City_Inputs!$BJ130,Norm_Stats!$F$26),Norm_Stats!$G$26)-Norm_Stats!$F$26)/(Norm_Stats!$G$26-Norm_Stats!$F$26))))</f>
        <v/>
      </c>
      <c r="AV130" s="11">
        <f>IF(AU130="","",1)</f>
        <v/>
      </c>
      <c r="AW130" s="15">
        <f>IF((IF(AO130="",0,5)+IF(AQ130="",0,5)+IF(AS130="",0,5)+IF(AU130="",0,4))=0,"",(IF(AO130="",0,AO130*5)+IF(AQ130="",0,AQ130*5)+IF(AS130="",0,AS130*5)+IF(AU130="",0,AU130*4))/(IF(AO130="",0,5)+IF(AQ130="",0,5)+IF(AS130="",0,5)+IF(AU130="",0,4)))</f>
        <v/>
      </c>
      <c r="AX130" s="14">
        <f>IF((IF(AP130="",0,5)+IF(AR130="",0,5)+IF(AT130="",0,5)+IF(AV130="",0,4))=0,"",(IF(AP130="",0,AP130*5)+IF(AR130="",0,AR130*5)+IF(AT130="",0,AT130*5)+IF(AV130="",0,AV130*4))/19)</f>
        <v/>
      </c>
      <c r="AY130" s="11">
        <f>IF(OR(City_Inputs!$AE130="",Norm_Stats!$F$20="",Norm_Stats!$G$20="",Norm_Stats!$G$20=Norm_Stats!$F$20),"",MAX(0,MIN(100,100*(MIN(MAX(City_Inputs!$AE130,Norm_Stats!$F$20),Norm_Stats!$G$20)-Norm_Stats!$F$20)/(Norm_Stats!$G$20-Norm_Stats!$F$20))))</f>
        <v/>
      </c>
      <c r="AZ130" s="14">
        <f>IF(AY130="","",1)</f>
        <v/>
      </c>
      <c r="BA130" s="11">
        <f>IF(OR(City_Inputs!$AF130="",Norm_Stats!$F$21="",Norm_Stats!$G$21="",Norm_Stats!$G$21=Norm_Stats!$F$21),"",MAX(0,MIN(100,100*(MIN(MAX(City_Inputs!$AF130,Norm_Stats!$F$21),Norm_Stats!$G$21)-Norm_Stats!$F$21)/(Norm_Stats!$G$21-Norm_Stats!$F$21))))</f>
        <v/>
      </c>
      <c r="BB130" s="14">
        <f>IF(BA130="","",1)</f>
        <v/>
      </c>
      <c r="BC130" s="11">
        <f>IF((IF((IF(OR(City_Inputs!$AG130="",Norm_Stats!$F$22="",Norm_Stats!$G$22="",Norm_Stats!$G$22=Norm_Stats!$F$22),"",MAX(0,MIN(100,100*(MIN(MAX(City_Inputs!$AG130,Norm_Stats!$F$22),Norm_Stats!$G$22)-Norm_Stats!$F$22)/(Norm_Stats!$G$22-Norm_Stats!$F$22)))))="",0,0.5)+IF((IF(OR(City_Inputs!$AJ130="",Norm_Stats!$F$23="",Norm_Stats!$G$23="",Norm_Stats!$G$23=Norm_Stats!$F$23),"",MAX(0,MIN(100,100*(MIN(MAX(City_Inputs!$AJ130,Norm_Stats!$F$23),Norm_Stats!$G$23)-Norm_Stats!$F$23)/(Norm_Stats!$G$23-Norm_Stats!$F$23)))))="",0,0.3)+IF((IF(OR(City_Inputs!$AK130="",Norm_Stats!$F$24="",Norm_Stats!$G$24="",Norm_Stats!$G$24=Norm_Stats!$F$24),"",MAX(0,MIN(100,100*(MIN(MAX(City_Inputs!$AK130,Norm_Stats!$F$24),Norm_Stats!$G$24)-Norm_Stats!$F$24)/(Norm_Stats!$G$24-Norm_Stats!$F$24)))))="",0,0.2))=0,"",(IF((IF(OR(City_Inputs!$AG130="",Norm_Stats!$F$22="",Norm_Stats!$G$22="",Norm_Stats!$G$22=Norm_Stats!$F$22),"",MAX(0,MIN(100,100*(MIN(MAX(City_Inputs!$AG130,Norm_Stats!$F$22),Norm_Stats!$G$22)-Norm_Stats!$F$22)/(Norm_Stats!$G$22-Norm_Stats!$F$22)))))="",0,(IF(OR(City_Inputs!$AG130="",Norm_Stats!$F$22="",Norm_Stats!$G$22="",Norm_Stats!$G$22=Norm_Stats!$F$22),"",MAX(0,MIN(100,100*(MIN(MAX(City_Inputs!$AG130,Norm_Stats!$F$22),Norm_Stats!$G$22)-Norm_Stats!$F$22)/(Norm_Stats!$G$22-Norm_Stats!$F$22)))))*0.5)+IF((IF(OR(City_Inputs!$AJ130="",Norm_Stats!$F$23="",Norm_Stats!$G$23="",Norm_Stats!$G$23=Norm_Stats!$F$23),"",MAX(0,MIN(100,100*(MIN(MAX(City_Inputs!$AJ130,Norm_Stats!$F$23),Norm_Stats!$G$23)-Norm_Stats!$F$23)/(Norm_Stats!$G$23-Norm_Stats!$F$23)))))="",0,(IF(OR(City_Inputs!$AJ130="",Norm_Stats!$F$23="",Norm_Stats!$G$23="",Norm_Stats!$G$23=Norm_Stats!$F$23),"",MAX(0,MIN(100,100*(MIN(MAX(City_Inputs!$AJ130,Norm_Stats!$F$23),Norm_Stats!$G$23)-Norm_Stats!$F$23)/(Norm_Stats!$G$23-Norm_Stats!$F$23)))))*0.3)+IF((IF(OR(City_Inputs!$AK130="",Norm_Stats!$F$24="",Norm_Stats!$G$24="",Norm_Stats!$G$24=Norm_Stats!$F$24),"",MAX(0,MIN(100,100*(MIN(MAX(City_Inputs!$AK130,Norm_Stats!$F$24),Norm_Stats!$G$24)-Norm_Stats!$F$24)/(Norm_Stats!$G$24-Norm_Stats!$F$24)))))="",0,(IF(OR(City_Inputs!$AK130="",Norm_Stats!$F$24="",Norm_Stats!$G$24="",Norm_Stats!$G$24=Norm_Stats!$F$24),"",MAX(0,MIN(100,100*(MIN(MAX(City_Inputs!$AK130,Norm_Stats!$F$24),Norm_Stats!$G$24)-Norm_Stats!$F$24)/(Norm_Stats!$G$24-Norm_Stats!$F$24)))))*0.2))/(IF((IF(OR(City_Inputs!$AG130="",Norm_Stats!$F$22="",Norm_Stats!$G$22="",Norm_Stats!$G$22=Norm_Stats!$F$22),"",MAX(0,MIN(100,100*(MIN(MAX(City_Inputs!$AG130,Norm_Stats!$F$22),Norm_Stats!$G$22)-Norm_Stats!$F$22)/(Norm_Stats!$G$22-Norm_Stats!$F$22)))))="",0,0.5)+IF((IF(OR(City_Inputs!$AJ130="",Norm_Stats!$F$23="",Norm_Stats!$G$23="",Norm_Stats!$G$23=Norm_Stats!$F$23),"",MAX(0,MIN(100,100*(MIN(MAX(City_Inputs!$AJ130,Norm_Stats!$F$23),Norm_Stats!$G$23)-Norm_Stats!$F$23)/(Norm_Stats!$G$23-Norm_Stats!$F$23)))))="",0,0.3)+IF((IF(OR(City_Inputs!$AK130="",Norm_Stats!$F$24="",Norm_Stats!$G$24="",Norm_Stats!$G$24=Norm_Stats!$F$24),"",MAX(0,MIN(100,100*(MIN(MAX(City_Inputs!$AK130,Norm_Stats!$F$24),Norm_Stats!$G$24)-Norm_Stats!$F$24)/(Norm_Stats!$G$24-Norm_Stats!$F$24)))))="",0,0.2)))</f>
        <v/>
      </c>
      <c r="BD130" s="14">
        <f>IF((IF((IF(OR(City_Inputs!$AG130="",Norm_Stats!$F$22="",Norm_Stats!$G$22="",Norm_Stats!$G$22=Norm_Stats!$F$22),"",MAX(0,MIN(100,100*(MIN(MAX(City_Inputs!$AG130,Norm_Stats!$F$22),Norm_Stats!$G$22)-Norm_Stats!$F$22)/(Norm_Stats!$G$22-Norm_Stats!$F$22)))))="",0,0.5)+IF((IF(OR(City_Inputs!$AJ130="",Norm_Stats!$F$23="",Norm_Stats!$G$23="",Norm_Stats!$G$23=Norm_Stats!$F$23),"",MAX(0,MIN(100,100*(MIN(MAX(City_Inputs!$AJ130,Norm_Stats!$F$23),Norm_Stats!$G$23)-Norm_Stats!$F$23)/(Norm_Stats!$G$23-Norm_Stats!$F$23)))))="",0,0.3)+IF((IF(OR(City_Inputs!$AK130="",Norm_Stats!$F$24="",Norm_Stats!$G$24="",Norm_Stats!$G$24=Norm_Stats!$F$24),"",MAX(0,MIN(100,100*(MIN(MAX(City_Inputs!$AK130,Norm_Stats!$F$24),Norm_Stats!$G$24)-Norm_Stats!$F$24)/(Norm_Stats!$G$24-Norm_Stats!$F$24)))))="",0,0.2))=0,"",(IF((IF(OR(City_Inputs!$AG130="",Norm_Stats!$F$22="",Norm_Stats!$G$22="",Norm_Stats!$G$22=Norm_Stats!$F$22),"",MAX(0,MIN(100,100*(MIN(MAX(City_Inputs!$AG130,Norm_Stats!$F$22),Norm_Stats!$G$22)-Norm_Stats!$F$22)/(Norm_Stats!$G$22-Norm_Stats!$F$22)))))="",0,0.5)+IF((IF(OR(City_Inputs!$AJ130="",Norm_Stats!$F$23="",Norm_Stats!$G$23="",Norm_Stats!$G$23=Norm_Stats!$F$23),"",MAX(0,MIN(100,100*(MIN(MAX(City_Inputs!$AJ130,Norm_Stats!$F$23),Norm_Stats!$G$23)-Norm_Stats!$F$23)/(Norm_Stats!$G$23-Norm_Stats!$F$23)))))="",0,0.3)+IF((IF(OR(City_Inputs!$AK130="",Norm_Stats!$F$24="",Norm_Stats!$G$24="",Norm_Stats!$G$24=Norm_Stats!$F$24),"",MAX(0,MIN(100,100*(MIN(MAX(City_Inputs!$AK130,Norm_Stats!$F$24),Norm_Stats!$G$24)-Norm_Stats!$F$24)/(Norm_Stats!$G$24-Norm_Stats!$F$24)))))="",0,0.2)))</f>
        <v/>
      </c>
      <c r="BE130" s="11">
        <f>IF(OR(City_Inputs!$AH130="",Norm_Stats!$F$25="",Norm_Stats!$G$25="",Norm_Stats!$G$25=Norm_Stats!$F$25),"",MAX(0,MIN(100,100*(Norm_Stats!$G$25-MIN(MAX(City_Inputs!$AH130,Norm_Stats!$F$25),Norm_Stats!$G$25))/(Norm_Stats!$G$25-Norm_Stats!$F$25))))</f>
        <v/>
      </c>
      <c r="BF130" s="14">
        <f>IF(BE130="","",1)</f>
        <v/>
      </c>
      <c r="BG130" s="15">
        <f>IF((IF(AY130="",0,6)+IF(BA130="",0,5)+IF(BC130="",0,5)+IF(BE130="",0,4))=0,"",(IF(AY130="",0,AY130*6)+IF(BA130="",0,BA130*5)+IF(BC130="",0,BC130*5)+IF(BE130="",0,BE130*4))/(IF(AY130="",0,6)+IF(BA130="",0,5)+IF(BC130="",0,5)+IF(BE130="",0,4)))</f>
        <v/>
      </c>
      <c r="BH130" s="14">
        <f>IF((IF(AZ130="",0,6)+IF(BB130="",0,5)+IF(BD130="",0,5)+IF(BF130="",0,4))=0,"",(IF(AZ130="",0,AZ130*6)+IF(BB130="",0,BB130*5)+IF(BD130="",0,BD130*5)+IF(BF130="",0,BF130*4))/20)</f>
        <v/>
      </c>
      <c r="BI130" s="14">
        <f>IF(AND(R130="",AF130="",AN130="",AX130="",BH130=""),"",((R130*25)+(AF130*22)+(AN130*18)+(AX130*15)+(BH130*20))/100)</f>
        <v/>
      </c>
      <c r="BJ130" s="11">
        <f>IF(BI130="","",IF(BI130&gt;=0.75,"A",IF(BI130&gt;=0.5,"B",IF(BI130&gt;=0.35,"C","Watchlist"))))</f>
        <v/>
      </c>
      <c r="BK130" s="11">
        <f>IF(OR(BI130="",BI130&lt;0.5,R130="",R130&lt;0.35,AF130="",AF130&lt;0.35,AN130="",AN130&lt;0.35,AX130="",AX130&lt;0.35,BH130="",BH130&lt;0.35),"Watchlist","Ranked")</f>
        <v/>
      </c>
      <c r="BL130" s="15">
        <f>IF(AND(Q130="",AE130="",AM130="",AW130="",BG130=""),"",(IF(Q130="",0,Q130*25)+IF(AE130="",0,AE130*22)+IF(AM130="",0,AM130*18)+IF(AW130="",0,AW130*15)+IF(BG130="",0,BG130*20))/(IF(Q130="",0,25)+IF(AE130="",0,22)+IF(AM130="",0,18)+IF(AW130="",0,15)+IF(BG130="",0,20)))</f>
        <v/>
      </c>
      <c r="BM130" s="11">
        <f>IF(BK130="Ranked",1+COUNTIFS($BK$2:$BK$158,"Ranked",$BL$2:$BL$158,"&gt;"&amp;BL130),"")</f>
        <v/>
      </c>
      <c r="BN130" s="11">
        <f>City_Inputs!$AI130</f>
        <v/>
      </c>
    </row>
    <row r="131">
      <c r="A131" t="inlineStr">
        <is>
          <t>de-munich</t>
        </is>
      </c>
      <c r="B131" t="inlineStr">
        <is>
          <t>Munich</t>
        </is>
      </c>
      <c r="C131" t="inlineStr">
        <is>
          <t>Germany</t>
        </is>
      </c>
      <c r="D131" t="inlineStr">
        <is>
          <t>Western, Northern, and Southern Europe</t>
        </is>
      </c>
      <c r="E131" t="inlineStr">
        <is>
          <t>provisional</t>
        </is>
      </c>
      <c r="F131" t="inlineStr">
        <is>
          <t>primary</t>
        </is>
      </c>
      <c r="G131" s="11">
        <f>IF(OR(City_Inputs!$M131="",Norm_Stats!$F$2="",Norm_Stats!$G$2="",Norm_Stats!$G$2=Norm_Stats!$F$2),"",MAX(0,MIN(100,100*(MIN(MAX(City_Inputs!$M131,Norm_Stats!$F$2),Norm_Stats!$G$2)-Norm_Stats!$F$2)/(Norm_Stats!$G$2-Norm_Stats!$F$2))))</f>
        <v/>
      </c>
      <c r="H131" s="14">
        <f>IF(G131="","",1)</f>
        <v/>
      </c>
      <c r="I131" s="11">
        <f>IF(OR(City_Inputs!$N131="",Norm_Stats!$F$3="",Norm_Stats!$G$3="",Norm_Stats!$G$3=Norm_Stats!$F$3),"",MAX(0,MIN(100,100*(Norm_Stats!$G$3-MIN(MAX(City_Inputs!$N131,Norm_Stats!$F$3),Norm_Stats!$G$3))/(Norm_Stats!$G$3-Norm_Stats!$F$3))))</f>
        <v/>
      </c>
      <c r="J131" s="14">
        <f>IF(I131="","",1)</f>
        <v/>
      </c>
      <c r="K131" s="11">
        <f>IF(OR(City_Inputs!$P131="",Norm_Stats!$F$4="",Norm_Stats!$G$4="",Norm_Stats!$G$4=Norm_Stats!$F$4),"",MAX(0,MIN(100,100*(Norm_Stats!$G$4-MIN(MAX(City_Inputs!$P131,Norm_Stats!$F$4),Norm_Stats!$G$4))/(Norm_Stats!$G$4-Norm_Stats!$F$4))))</f>
        <v/>
      </c>
      <c r="L131" s="14">
        <f>IF(K131="","",1)</f>
        <v/>
      </c>
      <c r="M131" s="11">
        <f>IF(OR(City_Inputs!$Q131="",Norm_Stats!$F$5="",Norm_Stats!$G$5="",Norm_Stats!$G$5=Norm_Stats!$F$5),"",MAX(0,MIN(100,100*(Norm_Stats!$G$5-MIN(MAX(City_Inputs!$Q131,Norm_Stats!$F$5),Norm_Stats!$G$5))/(Norm_Stats!$G$5-Norm_Stats!$F$5))))</f>
        <v/>
      </c>
      <c r="N131" s="14">
        <f>IF(M131="","",1)</f>
        <v/>
      </c>
      <c r="O131" s="11">
        <f>IF(OR(City_Inputs!$R131="",Norm_Stats!$F$6="",Norm_Stats!$G$6="",Norm_Stats!$G$6=Norm_Stats!$F$6),"",MAX(0,MIN(100,100*(Norm_Stats!$G$6-MIN(MAX(City_Inputs!$R131,Norm_Stats!$F$6),Norm_Stats!$G$6))/(Norm_Stats!$G$6-Norm_Stats!$F$6))))</f>
        <v/>
      </c>
      <c r="P131" s="14">
        <f>IF(O131="","",1)</f>
        <v/>
      </c>
      <c r="Q131" s="15">
        <f>IF((IF(G131="",0,9)+IF(I131="",0,5)+IF(K131="",0,4)+IF(M131="",0,4)+IF(O131="",0,5))=0,"",(IF(G131="",0,G131*9)+IF(I131="",0,I131*5)+IF(K131="",0,K131*4)+IF(M131="",0,M131*4)+IF(O131="",0,O131*5))/(IF(G131="",0,9)+IF(I131="",0,5)+IF(K131="",0,4)+IF(M131="",0,4)+IF(O131="",0,5)))</f>
        <v/>
      </c>
      <c r="R131" s="14">
        <f>IF((IF(H131="",0,9)+IF(J131="",0,5)+IF(L131="",0,4)+IF(N131="",0,4)+IF(P131="",0,5))=0,"",(IF(H131="",0,H131*9)+IF(J131="",0,J131*5)+IF(L131="",0,L131*4)+IF(N131="",0,N131*4)+IF(P131="",0,P131*5))/27)</f>
        <v/>
      </c>
      <c r="S131" s="11">
        <f>IF(OR(City_Inputs!$S131="",Norm_Stats!$F$7="",Norm_Stats!$G$7="",Norm_Stats!$G$7=Norm_Stats!$F$7),"",MAX(0,MIN(100,100*(Norm_Stats!$G$7-MIN(MAX(City_Inputs!$S131,Norm_Stats!$F$7),Norm_Stats!$G$7))/(Norm_Stats!$G$7-Norm_Stats!$F$7))))</f>
        <v/>
      </c>
      <c r="T131" s="14">
        <f>IF(S131="","",1)</f>
        <v/>
      </c>
      <c r="U131" s="11">
        <f>IF(OR(City_Inputs!$T131="",Norm_Stats!$F$8="",Norm_Stats!$G$8="",Norm_Stats!$G$8=Norm_Stats!$F$8),"",MAX(0,MIN(100,100*(MIN(MAX(City_Inputs!$T131,Norm_Stats!$F$8),Norm_Stats!$G$8)-Norm_Stats!$F$8)/(Norm_Stats!$G$8-Norm_Stats!$F$8))))</f>
        <v/>
      </c>
      <c r="V131" s="14">
        <f>IF(U131="","",1)</f>
        <v/>
      </c>
      <c r="W131" s="11">
        <f>IF(OR(City_Inputs!$U131="",Norm_Stats!$F$9="",Norm_Stats!$G$9="",Norm_Stats!$G$9=Norm_Stats!$F$9),"",MAX(0,MIN(100,100*(Norm_Stats!$G$9-MIN(MAX(City_Inputs!$U131,Norm_Stats!$F$9),Norm_Stats!$G$9))/(Norm_Stats!$G$9-Norm_Stats!$F$9))))</f>
        <v/>
      </c>
      <c r="X131" s="14">
        <f>IF(W131="","",1)</f>
        <v/>
      </c>
      <c r="Y131" s="11">
        <f>IF(OR(City_Inputs!$V131="",Norm_Stats!$F$10="",Norm_Stats!$G$10="",Norm_Stats!$G$10=Norm_Stats!$F$10),"",MAX(0,MIN(100,100*(MIN(MAX(City_Inputs!$V131,Norm_Stats!$F$10),Norm_Stats!$G$10)-Norm_Stats!$F$10)/(Norm_Stats!$G$10-Norm_Stats!$F$10))))</f>
        <v/>
      </c>
      <c r="Z131" s="14">
        <f>IF(Y131="","",1)</f>
        <v/>
      </c>
      <c r="AA131" s="11">
        <f>IF(OR(City_Inputs!$W131="",Norm_Stats!$F$11="",Norm_Stats!$G$11="",Norm_Stats!$G$11=Norm_Stats!$F$11),"",MAX(0,MIN(100,100*(MIN(MAX(City_Inputs!$W131,Norm_Stats!$F$11),Norm_Stats!$G$11)-Norm_Stats!$F$11)/(Norm_Stats!$G$11-Norm_Stats!$F$11))))</f>
        <v/>
      </c>
      <c r="AB131" s="14">
        <f>IF(AA131="","",1)</f>
        <v/>
      </c>
      <c r="AC131" s="11">
        <f>IF(OR(City_Inputs!$X131="",Norm_Stats!$F$12="",Norm_Stats!$G$12="",Norm_Stats!$G$12=Norm_Stats!$F$12),"",MAX(0,MIN(100,100*(MIN(MAX(City_Inputs!$X131,Norm_Stats!$F$12),Norm_Stats!$G$12)-Norm_Stats!$F$12)/(Norm_Stats!$G$12-Norm_Stats!$F$12))))</f>
        <v/>
      </c>
      <c r="AD131" s="11">
        <f>IF(AC131="","",1)</f>
        <v/>
      </c>
      <c r="AE131" s="15">
        <f>IF((IF(S131="",0,5)+IF(U131="",0,5)+IF(W131="",0,4)+IF(Y131="",0,4)+IF(AA131="",0,4)+IF(AC131="",0,5))=0,"",(IF(S131="",0,S131*5)+IF(U131="",0,U131*5)+IF(W131="",0,W131*4)+IF(Y131="",0,Y131*4)+IF(AA131="",0,AA131*4)+IF(AC131="",0,AC131*5))/(IF(S131="",0,5)+IF(U131="",0,5)+IF(W131="",0,4)+IF(Y131="",0,4)+IF(AA131="",0,4)+IF(AC131="",0,5)))</f>
        <v/>
      </c>
      <c r="AF131" s="14">
        <f>IF((IF(T131="",0,5)+IF(V131="",0,5)+IF(X131="",0,4)+IF(Z131="",0,4)+IF(AB131="",0,4)+IF(AD131="",0,5))=0,"",(IF(T131="",0,T131*5)+IF(V131="",0,V131*5)+IF(X131="",0,X131*4)+IF(Z131="",0,Z131*4)+IF(AB131="",0,AB131*4)+IF(AD131="",0,AD131*5))/27)</f>
        <v/>
      </c>
      <c r="AG131" s="11">
        <f>IF(OR(City_Inputs!$Y131="",Norm_Stats!$F$13="",Norm_Stats!$G$13="",Norm_Stats!$G$13=Norm_Stats!$F$13),"",MAX(0,MIN(100,100*(MIN(MAX(City_Inputs!$Y131,Norm_Stats!$F$13),Norm_Stats!$G$13)-Norm_Stats!$F$13)/(Norm_Stats!$G$13-Norm_Stats!$F$13))))</f>
        <v/>
      </c>
      <c r="AH131" s="14">
        <f>IF(AG131="","",1)</f>
        <v/>
      </c>
      <c r="AI131" s="11">
        <f>IF(OR(City_Inputs!$Z131="",Norm_Stats!$F$14="",Norm_Stats!$G$14="",Norm_Stats!$G$14=Norm_Stats!$F$14),"",MAX(0,MIN(100,100*(MIN(MAX(City_Inputs!$Z131,Norm_Stats!$F$14),Norm_Stats!$G$14)-Norm_Stats!$F$14)/(Norm_Stats!$G$14-Norm_Stats!$F$14))))</f>
        <v/>
      </c>
      <c r="AJ131" s="14">
        <f>IF(AI131="","",1)</f>
        <v/>
      </c>
      <c r="AK131" s="11">
        <f>IF((IF((IF(OR(City_Inputs!$AA131="",Norm_Stats!$F$15="",Norm_Stats!$G$15="",Norm_Stats!$G$15=Norm_Stats!$F$15),"",MAX(0,MIN(100,100*(MIN(MAX(City_Inputs!$AA131,Norm_Stats!$F$15),Norm_Stats!$G$15)-Norm_Stats!$F$15)/(Norm_Stats!$G$15-Norm_Stats!$F$15)))))="",0,0.7)+IF((IF(OR(City_Inputs!$AL131="",Norm_Stats!$F$16="",Norm_Stats!$G$16="",Norm_Stats!$G$16=Norm_Stats!$F$16),"",MAX(0,MIN(100,100*(Norm_Stats!$G$16-MIN(MAX(City_Inputs!$AL131,Norm_Stats!$F$16),Norm_Stats!$G$16))/(Norm_Stats!$G$16-Norm_Stats!$F$16)))))="",0,0.3))=0,"",(IF((IF(OR(City_Inputs!$AA131="",Norm_Stats!$F$15="",Norm_Stats!$G$15="",Norm_Stats!$G$15=Norm_Stats!$F$15),"",MAX(0,MIN(100,100*(MIN(MAX(City_Inputs!$AA131,Norm_Stats!$F$15),Norm_Stats!$G$15)-Norm_Stats!$F$15)/(Norm_Stats!$G$15-Norm_Stats!$F$15)))))="",0,(IF(OR(City_Inputs!$AA131="",Norm_Stats!$F$15="",Norm_Stats!$G$15="",Norm_Stats!$G$15=Norm_Stats!$F$15),"",MAX(0,MIN(100,100*(MIN(MAX(City_Inputs!$AA131,Norm_Stats!$F$15),Norm_Stats!$G$15)-Norm_Stats!$F$15)/(Norm_Stats!$G$15-Norm_Stats!$F$15)))))*0.7)+IF((IF(OR(City_Inputs!$AL131="",Norm_Stats!$F$16="",Norm_Stats!$G$16="",Norm_Stats!$G$16=Norm_Stats!$F$16),"",MAX(0,MIN(100,100*(Norm_Stats!$G$16-MIN(MAX(City_Inputs!$AL131,Norm_Stats!$F$16),Norm_Stats!$G$16))/(Norm_Stats!$G$16-Norm_Stats!$F$16)))))="",0,(IF(OR(City_Inputs!$AL131="",Norm_Stats!$F$16="",Norm_Stats!$G$16="",Norm_Stats!$G$16=Norm_Stats!$F$16),"",MAX(0,MIN(100,100*(Norm_Stats!$G$16-MIN(MAX(City_Inputs!$AL131,Norm_Stats!$F$16),Norm_Stats!$G$16))/(Norm_Stats!$G$16-Norm_Stats!$F$16)))))*0.3))/(IF((IF(OR(City_Inputs!$AA131="",Norm_Stats!$F$15="",Norm_Stats!$G$15="",Norm_Stats!$G$15=Norm_Stats!$F$15),"",MAX(0,MIN(100,100*(MIN(MAX(City_Inputs!$AA131,Norm_Stats!$F$15),Norm_Stats!$G$15)-Norm_Stats!$F$15)/(Norm_Stats!$G$15-Norm_Stats!$F$15)))))="",0,0.7)+IF((IF(OR(City_Inputs!$AL131="",Norm_Stats!$F$16="",Norm_Stats!$G$16="",Norm_Stats!$G$16=Norm_Stats!$F$16),"",MAX(0,MIN(100,100*(Norm_Stats!$G$16-MIN(MAX(City_Inputs!$AL131,Norm_Stats!$F$16),Norm_Stats!$G$16))/(Norm_Stats!$G$16-Norm_Stats!$F$16)))))="",0,0.3)))</f>
        <v/>
      </c>
      <c r="AL131" s="14">
        <f>IF((IF((IF(OR(City_Inputs!$AA131="",Norm_Stats!$F$15="",Norm_Stats!$G$15="",Norm_Stats!$G$15=Norm_Stats!$F$15),"",MAX(0,MIN(100,100*(MIN(MAX(City_Inputs!$AA131,Norm_Stats!$F$15),Norm_Stats!$G$15)-Norm_Stats!$F$15)/(Norm_Stats!$G$15-Norm_Stats!$F$15)))))="",0,0.7)+IF((IF(OR(City_Inputs!$AL131="",Norm_Stats!$F$16="",Norm_Stats!$G$16="",Norm_Stats!$G$16=Norm_Stats!$F$16),"",MAX(0,MIN(100,100*(Norm_Stats!$G$16-MIN(MAX(City_Inputs!$AL131,Norm_Stats!$F$16),Norm_Stats!$G$16))/(Norm_Stats!$G$16-Norm_Stats!$F$16)))))="",0,0.3))=0,"",(IF((IF(OR(City_Inputs!$AA131="",Norm_Stats!$F$15="",Norm_Stats!$G$15="",Norm_Stats!$G$15=Norm_Stats!$F$15),"",MAX(0,MIN(100,100*(MIN(MAX(City_Inputs!$AA131,Norm_Stats!$F$15),Norm_Stats!$G$15)-Norm_Stats!$F$15)/(Norm_Stats!$G$15-Norm_Stats!$F$15)))))="",0,0.7)+IF((IF(OR(City_Inputs!$AL131="",Norm_Stats!$F$16="",Norm_Stats!$G$16="",Norm_Stats!$G$16=Norm_Stats!$F$16),"",MAX(0,MIN(100,100*(Norm_Stats!$G$16-MIN(MAX(City_Inputs!$AL131,Norm_Stats!$F$16),Norm_Stats!$G$16))/(Norm_Stats!$G$16-Norm_Stats!$F$16)))))="",0,0.3)))</f>
        <v/>
      </c>
      <c r="AM131" s="15">
        <f>IF((IF(AG131="",0,8)+IF(AI131="",0,6)+IF(AK131="",0,4))=0,"",(IF(AG131="",0,AG131*8)+IF(AI131="",0,AI131*6)+IF(AK131="",0,AK131*4))/(IF(AG131="",0,8)+IF(AI131="",0,6)+IF(AK131="",0,4)))</f>
        <v/>
      </c>
      <c r="AN131" s="14">
        <f>IF((IF(AH131="",0,8)+IF(AJ131="",0,6)+IF(AL131="",0,4))=0,"",(IF(AH131="",0,AH131*8)+IF(AJ131="",0,AJ131*6)+IF(AL131="",0,AL131*4))/18)</f>
        <v/>
      </c>
      <c r="AO131" s="11">
        <f>IF(OR(City_Inputs!$AB131="",Norm_Stats!$F$17="",Norm_Stats!$G$17="",Norm_Stats!$G$17=Norm_Stats!$F$17),"",MAX(0,MIN(100,100*(MIN(MAX(City_Inputs!$AB131,Norm_Stats!$F$17),Norm_Stats!$G$17)-Norm_Stats!$F$17)/(Norm_Stats!$G$17-Norm_Stats!$F$17))))</f>
        <v/>
      </c>
      <c r="AP131" s="14">
        <f>IF(AO131="","",1)</f>
        <v/>
      </c>
      <c r="AQ131" s="11">
        <f>IF(OR(City_Inputs!$AC131="",Norm_Stats!$F$18="",Norm_Stats!$G$18="",Norm_Stats!$G$18=Norm_Stats!$F$18),"",MAX(0,MIN(100,100*(MIN(MAX(City_Inputs!$AC131,Norm_Stats!$F$18),Norm_Stats!$G$18)-Norm_Stats!$F$18)/(Norm_Stats!$G$18-Norm_Stats!$F$18))))</f>
        <v/>
      </c>
      <c r="AR131" s="14">
        <f>IF(AQ131="","",1)</f>
        <v/>
      </c>
      <c r="AS131" s="11">
        <f>IF(OR(City_Inputs!$AD131="",Norm_Stats!$F$19="",Norm_Stats!$G$19="",Norm_Stats!$G$19=Norm_Stats!$F$19),"",MAX(0,MIN(100,100*(MIN(MAX(City_Inputs!$AD131,Norm_Stats!$F$19),Norm_Stats!$G$19)-Norm_Stats!$F$19)/(Norm_Stats!$G$19-Norm_Stats!$F$19))))</f>
        <v/>
      </c>
      <c r="AT131" s="14">
        <f>IF(AS131="","",1)</f>
        <v/>
      </c>
      <c r="AU131" s="11">
        <f>IF(OR(City_Inputs!$BJ131="",Norm_Stats!$F$26="",Norm_Stats!$G$26="",Norm_Stats!$G$26=Norm_Stats!$F$26),"",MAX(0,MIN(100,100*(MIN(MAX(City_Inputs!$BJ131,Norm_Stats!$F$26),Norm_Stats!$G$26)-Norm_Stats!$F$26)/(Norm_Stats!$G$26-Norm_Stats!$F$26))))</f>
        <v/>
      </c>
      <c r="AV131" s="11">
        <f>IF(AU131="","",1)</f>
        <v/>
      </c>
      <c r="AW131" s="15">
        <f>IF((IF(AO131="",0,5)+IF(AQ131="",0,5)+IF(AS131="",0,5)+IF(AU131="",0,4))=0,"",(IF(AO131="",0,AO131*5)+IF(AQ131="",0,AQ131*5)+IF(AS131="",0,AS131*5)+IF(AU131="",0,AU131*4))/(IF(AO131="",0,5)+IF(AQ131="",0,5)+IF(AS131="",0,5)+IF(AU131="",0,4)))</f>
        <v/>
      </c>
      <c r="AX131" s="14">
        <f>IF((IF(AP131="",0,5)+IF(AR131="",0,5)+IF(AT131="",0,5)+IF(AV131="",0,4))=0,"",(IF(AP131="",0,AP131*5)+IF(AR131="",0,AR131*5)+IF(AT131="",0,AT131*5)+IF(AV131="",0,AV131*4))/19)</f>
        <v/>
      </c>
      <c r="AY131" s="11">
        <f>IF(OR(City_Inputs!$AE131="",Norm_Stats!$F$20="",Norm_Stats!$G$20="",Norm_Stats!$G$20=Norm_Stats!$F$20),"",MAX(0,MIN(100,100*(MIN(MAX(City_Inputs!$AE131,Norm_Stats!$F$20),Norm_Stats!$G$20)-Norm_Stats!$F$20)/(Norm_Stats!$G$20-Norm_Stats!$F$20))))</f>
        <v/>
      </c>
      <c r="AZ131" s="14">
        <f>IF(AY131="","",1)</f>
        <v/>
      </c>
      <c r="BA131" s="11">
        <f>IF(OR(City_Inputs!$AF131="",Norm_Stats!$F$21="",Norm_Stats!$G$21="",Norm_Stats!$G$21=Norm_Stats!$F$21),"",MAX(0,MIN(100,100*(MIN(MAX(City_Inputs!$AF131,Norm_Stats!$F$21),Norm_Stats!$G$21)-Norm_Stats!$F$21)/(Norm_Stats!$G$21-Norm_Stats!$F$21))))</f>
        <v/>
      </c>
      <c r="BB131" s="14">
        <f>IF(BA131="","",1)</f>
        <v/>
      </c>
      <c r="BC131" s="11">
        <f>IF((IF((IF(OR(City_Inputs!$AG131="",Norm_Stats!$F$22="",Norm_Stats!$G$22="",Norm_Stats!$G$22=Norm_Stats!$F$22),"",MAX(0,MIN(100,100*(MIN(MAX(City_Inputs!$AG131,Norm_Stats!$F$22),Norm_Stats!$G$22)-Norm_Stats!$F$22)/(Norm_Stats!$G$22-Norm_Stats!$F$22)))))="",0,0.5)+IF((IF(OR(City_Inputs!$AJ131="",Norm_Stats!$F$23="",Norm_Stats!$G$23="",Norm_Stats!$G$23=Norm_Stats!$F$23),"",MAX(0,MIN(100,100*(MIN(MAX(City_Inputs!$AJ131,Norm_Stats!$F$23),Norm_Stats!$G$23)-Norm_Stats!$F$23)/(Norm_Stats!$G$23-Norm_Stats!$F$23)))))="",0,0.3)+IF((IF(OR(City_Inputs!$AK131="",Norm_Stats!$F$24="",Norm_Stats!$G$24="",Norm_Stats!$G$24=Norm_Stats!$F$24),"",MAX(0,MIN(100,100*(MIN(MAX(City_Inputs!$AK131,Norm_Stats!$F$24),Norm_Stats!$G$24)-Norm_Stats!$F$24)/(Norm_Stats!$G$24-Norm_Stats!$F$24)))))="",0,0.2))=0,"",(IF((IF(OR(City_Inputs!$AG131="",Norm_Stats!$F$22="",Norm_Stats!$G$22="",Norm_Stats!$G$22=Norm_Stats!$F$22),"",MAX(0,MIN(100,100*(MIN(MAX(City_Inputs!$AG131,Norm_Stats!$F$22),Norm_Stats!$G$22)-Norm_Stats!$F$22)/(Norm_Stats!$G$22-Norm_Stats!$F$22)))))="",0,(IF(OR(City_Inputs!$AG131="",Norm_Stats!$F$22="",Norm_Stats!$G$22="",Norm_Stats!$G$22=Norm_Stats!$F$22),"",MAX(0,MIN(100,100*(MIN(MAX(City_Inputs!$AG131,Norm_Stats!$F$22),Norm_Stats!$G$22)-Norm_Stats!$F$22)/(Norm_Stats!$G$22-Norm_Stats!$F$22)))))*0.5)+IF((IF(OR(City_Inputs!$AJ131="",Norm_Stats!$F$23="",Norm_Stats!$G$23="",Norm_Stats!$G$23=Norm_Stats!$F$23),"",MAX(0,MIN(100,100*(MIN(MAX(City_Inputs!$AJ131,Norm_Stats!$F$23),Norm_Stats!$G$23)-Norm_Stats!$F$23)/(Norm_Stats!$G$23-Norm_Stats!$F$23)))))="",0,(IF(OR(City_Inputs!$AJ131="",Norm_Stats!$F$23="",Norm_Stats!$G$23="",Norm_Stats!$G$23=Norm_Stats!$F$23),"",MAX(0,MIN(100,100*(MIN(MAX(City_Inputs!$AJ131,Norm_Stats!$F$23),Norm_Stats!$G$23)-Norm_Stats!$F$23)/(Norm_Stats!$G$23-Norm_Stats!$F$23)))))*0.3)+IF((IF(OR(City_Inputs!$AK131="",Norm_Stats!$F$24="",Norm_Stats!$G$24="",Norm_Stats!$G$24=Norm_Stats!$F$24),"",MAX(0,MIN(100,100*(MIN(MAX(City_Inputs!$AK131,Norm_Stats!$F$24),Norm_Stats!$G$24)-Norm_Stats!$F$24)/(Norm_Stats!$G$24-Norm_Stats!$F$24)))))="",0,(IF(OR(City_Inputs!$AK131="",Norm_Stats!$F$24="",Norm_Stats!$G$24="",Norm_Stats!$G$24=Norm_Stats!$F$24),"",MAX(0,MIN(100,100*(MIN(MAX(City_Inputs!$AK131,Norm_Stats!$F$24),Norm_Stats!$G$24)-Norm_Stats!$F$24)/(Norm_Stats!$G$24-Norm_Stats!$F$24)))))*0.2))/(IF((IF(OR(City_Inputs!$AG131="",Norm_Stats!$F$22="",Norm_Stats!$G$22="",Norm_Stats!$G$22=Norm_Stats!$F$22),"",MAX(0,MIN(100,100*(MIN(MAX(City_Inputs!$AG131,Norm_Stats!$F$22),Norm_Stats!$G$22)-Norm_Stats!$F$22)/(Norm_Stats!$G$22-Norm_Stats!$F$22)))))="",0,0.5)+IF((IF(OR(City_Inputs!$AJ131="",Norm_Stats!$F$23="",Norm_Stats!$G$23="",Norm_Stats!$G$23=Norm_Stats!$F$23),"",MAX(0,MIN(100,100*(MIN(MAX(City_Inputs!$AJ131,Norm_Stats!$F$23),Norm_Stats!$G$23)-Norm_Stats!$F$23)/(Norm_Stats!$G$23-Norm_Stats!$F$23)))))="",0,0.3)+IF((IF(OR(City_Inputs!$AK131="",Norm_Stats!$F$24="",Norm_Stats!$G$24="",Norm_Stats!$G$24=Norm_Stats!$F$24),"",MAX(0,MIN(100,100*(MIN(MAX(City_Inputs!$AK131,Norm_Stats!$F$24),Norm_Stats!$G$24)-Norm_Stats!$F$24)/(Norm_Stats!$G$24-Norm_Stats!$F$24)))))="",0,0.2)))</f>
        <v/>
      </c>
      <c r="BD131" s="14">
        <f>IF((IF((IF(OR(City_Inputs!$AG131="",Norm_Stats!$F$22="",Norm_Stats!$G$22="",Norm_Stats!$G$22=Norm_Stats!$F$22),"",MAX(0,MIN(100,100*(MIN(MAX(City_Inputs!$AG131,Norm_Stats!$F$22),Norm_Stats!$G$22)-Norm_Stats!$F$22)/(Norm_Stats!$G$22-Norm_Stats!$F$22)))))="",0,0.5)+IF((IF(OR(City_Inputs!$AJ131="",Norm_Stats!$F$23="",Norm_Stats!$G$23="",Norm_Stats!$G$23=Norm_Stats!$F$23),"",MAX(0,MIN(100,100*(MIN(MAX(City_Inputs!$AJ131,Norm_Stats!$F$23),Norm_Stats!$G$23)-Norm_Stats!$F$23)/(Norm_Stats!$G$23-Norm_Stats!$F$23)))))="",0,0.3)+IF((IF(OR(City_Inputs!$AK131="",Norm_Stats!$F$24="",Norm_Stats!$G$24="",Norm_Stats!$G$24=Norm_Stats!$F$24),"",MAX(0,MIN(100,100*(MIN(MAX(City_Inputs!$AK131,Norm_Stats!$F$24),Norm_Stats!$G$24)-Norm_Stats!$F$24)/(Norm_Stats!$G$24-Norm_Stats!$F$24)))))="",0,0.2))=0,"",(IF((IF(OR(City_Inputs!$AG131="",Norm_Stats!$F$22="",Norm_Stats!$G$22="",Norm_Stats!$G$22=Norm_Stats!$F$22),"",MAX(0,MIN(100,100*(MIN(MAX(City_Inputs!$AG131,Norm_Stats!$F$22),Norm_Stats!$G$22)-Norm_Stats!$F$22)/(Norm_Stats!$G$22-Norm_Stats!$F$22)))))="",0,0.5)+IF((IF(OR(City_Inputs!$AJ131="",Norm_Stats!$F$23="",Norm_Stats!$G$23="",Norm_Stats!$G$23=Norm_Stats!$F$23),"",MAX(0,MIN(100,100*(MIN(MAX(City_Inputs!$AJ131,Norm_Stats!$F$23),Norm_Stats!$G$23)-Norm_Stats!$F$23)/(Norm_Stats!$G$23-Norm_Stats!$F$23)))))="",0,0.3)+IF((IF(OR(City_Inputs!$AK131="",Norm_Stats!$F$24="",Norm_Stats!$G$24="",Norm_Stats!$G$24=Norm_Stats!$F$24),"",MAX(0,MIN(100,100*(MIN(MAX(City_Inputs!$AK131,Norm_Stats!$F$24),Norm_Stats!$G$24)-Norm_Stats!$F$24)/(Norm_Stats!$G$24-Norm_Stats!$F$24)))))="",0,0.2)))</f>
        <v/>
      </c>
      <c r="BE131" s="11">
        <f>IF(OR(City_Inputs!$AH131="",Norm_Stats!$F$25="",Norm_Stats!$G$25="",Norm_Stats!$G$25=Norm_Stats!$F$25),"",MAX(0,MIN(100,100*(Norm_Stats!$G$25-MIN(MAX(City_Inputs!$AH131,Norm_Stats!$F$25),Norm_Stats!$G$25))/(Norm_Stats!$G$25-Norm_Stats!$F$25))))</f>
        <v/>
      </c>
      <c r="BF131" s="14">
        <f>IF(BE131="","",1)</f>
        <v/>
      </c>
      <c r="BG131" s="15">
        <f>IF((IF(AY131="",0,6)+IF(BA131="",0,5)+IF(BC131="",0,5)+IF(BE131="",0,4))=0,"",(IF(AY131="",0,AY131*6)+IF(BA131="",0,BA131*5)+IF(BC131="",0,BC131*5)+IF(BE131="",0,BE131*4))/(IF(AY131="",0,6)+IF(BA131="",0,5)+IF(BC131="",0,5)+IF(BE131="",0,4)))</f>
        <v/>
      </c>
      <c r="BH131" s="14">
        <f>IF((IF(AZ131="",0,6)+IF(BB131="",0,5)+IF(BD131="",0,5)+IF(BF131="",0,4))=0,"",(IF(AZ131="",0,AZ131*6)+IF(BB131="",0,BB131*5)+IF(BD131="",0,BD131*5)+IF(BF131="",0,BF131*4))/20)</f>
        <v/>
      </c>
      <c r="BI131" s="14">
        <f>IF(AND(R131="",AF131="",AN131="",AX131="",BH131=""),"",((R131*25)+(AF131*22)+(AN131*18)+(AX131*15)+(BH131*20))/100)</f>
        <v/>
      </c>
      <c r="BJ131" s="11">
        <f>IF(BI131="","",IF(BI131&gt;=0.75,"A",IF(BI131&gt;=0.5,"B",IF(BI131&gt;=0.35,"C","Watchlist"))))</f>
        <v/>
      </c>
      <c r="BK131" s="11">
        <f>IF(OR(BI131="",BI131&lt;0.5,R131="",R131&lt;0.35,AF131="",AF131&lt;0.35,AN131="",AN131&lt;0.35,AX131="",AX131&lt;0.35,BH131="",BH131&lt;0.35),"Watchlist","Ranked")</f>
        <v/>
      </c>
      <c r="BL131" s="15">
        <f>IF(AND(Q131="",AE131="",AM131="",AW131="",BG131=""),"",(IF(Q131="",0,Q131*25)+IF(AE131="",0,AE131*22)+IF(AM131="",0,AM131*18)+IF(AW131="",0,AW131*15)+IF(BG131="",0,BG131*20))/(IF(Q131="",0,25)+IF(AE131="",0,22)+IF(AM131="",0,18)+IF(AW131="",0,15)+IF(BG131="",0,20)))</f>
        <v/>
      </c>
      <c r="BM131" s="11">
        <f>IF(BK131="Ranked",1+COUNTIFS($BK$2:$BK$158,"Ranked",$BL$2:$BL$158,"&gt;"&amp;BL131),"")</f>
        <v/>
      </c>
      <c r="BN131" s="11">
        <f>City_Inputs!$AI131</f>
        <v/>
      </c>
    </row>
    <row r="132">
      <c r="A132" t="inlineStr">
        <is>
          <t>be-antwerp</t>
        </is>
      </c>
      <c r="B132" t="inlineStr">
        <is>
          <t>Antwerp</t>
        </is>
      </c>
      <c r="C132" t="inlineStr">
        <is>
          <t>Belgium</t>
        </is>
      </c>
      <c r="D132" t="inlineStr">
        <is>
          <t>Western, Northern, and Southern Europe</t>
        </is>
      </c>
      <c r="E132" t="inlineStr">
        <is>
          <t>provisional</t>
        </is>
      </c>
      <c r="F132" t="inlineStr">
        <is>
          <t>secondary</t>
        </is>
      </c>
      <c r="G132" s="11">
        <f>IF(OR(City_Inputs!$M132="",Norm_Stats!$F$2="",Norm_Stats!$G$2="",Norm_Stats!$G$2=Norm_Stats!$F$2),"",MAX(0,MIN(100,100*(MIN(MAX(City_Inputs!$M132,Norm_Stats!$F$2),Norm_Stats!$G$2)-Norm_Stats!$F$2)/(Norm_Stats!$G$2-Norm_Stats!$F$2))))</f>
        <v/>
      </c>
      <c r="H132" s="14">
        <f>IF(G132="","",1)</f>
        <v/>
      </c>
      <c r="I132" s="11">
        <f>IF(OR(City_Inputs!$N132="",Norm_Stats!$F$3="",Norm_Stats!$G$3="",Norm_Stats!$G$3=Norm_Stats!$F$3),"",MAX(0,MIN(100,100*(Norm_Stats!$G$3-MIN(MAX(City_Inputs!$N132,Norm_Stats!$F$3),Norm_Stats!$G$3))/(Norm_Stats!$G$3-Norm_Stats!$F$3))))</f>
        <v/>
      </c>
      <c r="J132" s="14">
        <f>IF(I132="","",1)</f>
        <v/>
      </c>
      <c r="K132" s="11">
        <f>IF(OR(City_Inputs!$P132="",Norm_Stats!$F$4="",Norm_Stats!$G$4="",Norm_Stats!$G$4=Norm_Stats!$F$4),"",MAX(0,MIN(100,100*(Norm_Stats!$G$4-MIN(MAX(City_Inputs!$P132,Norm_Stats!$F$4),Norm_Stats!$G$4))/(Norm_Stats!$G$4-Norm_Stats!$F$4))))</f>
        <v/>
      </c>
      <c r="L132" s="14">
        <f>IF(K132="","",1)</f>
        <v/>
      </c>
      <c r="M132" s="11">
        <f>IF(OR(City_Inputs!$Q132="",Norm_Stats!$F$5="",Norm_Stats!$G$5="",Norm_Stats!$G$5=Norm_Stats!$F$5),"",MAX(0,MIN(100,100*(Norm_Stats!$G$5-MIN(MAX(City_Inputs!$Q132,Norm_Stats!$F$5),Norm_Stats!$G$5))/(Norm_Stats!$G$5-Norm_Stats!$F$5))))</f>
        <v/>
      </c>
      <c r="N132" s="14">
        <f>IF(M132="","",1)</f>
        <v/>
      </c>
      <c r="O132" s="11">
        <f>IF(OR(City_Inputs!$R132="",Norm_Stats!$F$6="",Norm_Stats!$G$6="",Norm_Stats!$G$6=Norm_Stats!$F$6),"",MAX(0,MIN(100,100*(Norm_Stats!$G$6-MIN(MAX(City_Inputs!$R132,Norm_Stats!$F$6),Norm_Stats!$G$6))/(Norm_Stats!$G$6-Norm_Stats!$F$6))))</f>
        <v/>
      </c>
      <c r="P132" s="14">
        <f>IF(O132="","",1)</f>
        <v/>
      </c>
      <c r="Q132" s="15">
        <f>IF((IF(G132="",0,9)+IF(I132="",0,5)+IF(K132="",0,4)+IF(M132="",0,4)+IF(O132="",0,5))=0,"",(IF(G132="",0,G132*9)+IF(I132="",0,I132*5)+IF(K132="",0,K132*4)+IF(M132="",0,M132*4)+IF(O132="",0,O132*5))/(IF(G132="",0,9)+IF(I132="",0,5)+IF(K132="",0,4)+IF(M132="",0,4)+IF(O132="",0,5)))</f>
        <v/>
      </c>
      <c r="R132" s="14">
        <f>IF((IF(H132="",0,9)+IF(J132="",0,5)+IF(L132="",0,4)+IF(N132="",0,4)+IF(P132="",0,5))=0,"",(IF(H132="",0,H132*9)+IF(J132="",0,J132*5)+IF(L132="",0,L132*4)+IF(N132="",0,N132*4)+IF(P132="",0,P132*5))/27)</f>
        <v/>
      </c>
      <c r="S132" s="11">
        <f>IF(OR(City_Inputs!$S132="",Norm_Stats!$F$7="",Norm_Stats!$G$7="",Norm_Stats!$G$7=Norm_Stats!$F$7),"",MAX(0,MIN(100,100*(Norm_Stats!$G$7-MIN(MAX(City_Inputs!$S132,Norm_Stats!$F$7),Norm_Stats!$G$7))/(Norm_Stats!$G$7-Norm_Stats!$F$7))))</f>
        <v/>
      </c>
      <c r="T132" s="14">
        <f>IF(S132="","",1)</f>
        <v/>
      </c>
      <c r="U132" s="11">
        <f>IF(OR(City_Inputs!$T132="",Norm_Stats!$F$8="",Norm_Stats!$G$8="",Norm_Stats!$G$8=Norm_Stats!$F$8),"",MAX(0,MIN(100,100*(MIN(MAX(City_Inputs!$T132,Norm_Stats!$F$8),Norm_Stats!$G$8)-Norm_Stats!$F$8)/(Norm_Stats!$G$8-Norm_Stats!$F$8))))</f>
        <v/>
      </c>
      <c r="V132" s="14">
        <f>IF(U132="","",1)</f>
        <v/>
      </c>
      <c r="W132" s="11">
        <f>IF(OR(City_Inputs!$U132="",Norm_Stats!$F$9="",Norm_Stats!$G$9="",Norm_Stats!$G$9=Norm_Stats!$F$9),"",MAX(0,MIN(100,100*(Norm_Stats!$G$9-MIN(MAX(City_Inputs!$U132,Norm_Stats!$F$9),Norm_Stats!$G$9))/(Norm_Stats!$G$9-Norm_Stats!$F$9))))</f>
        <v/>
      </c>
      <c r="X132" s="14">
        <f>IF(W132="","",1)</f>
        <v/>
      </c>
      <c r="Y132" s="11">
        <f>IF(OR(City_Inputs!$V132="",Norm_Stats!$F$10="",Norm_Stats!$G$10="",Norm_Stats!$G$10=Norm_Stats!$F$10),"",MAX(0,MIN(100,100*(MIN(MAX(City_Inputs!$V132,Norm_Stats!$F$10),Norm_Stats!$G$10)-Norm_Stats!$F$10)/(Norm_Stats!$G$10-Norm_Stats!$F$10))))</f>
        <v/>
      </c>
      <c r="Z132" s="14">
        <f>IF(Y132="","",1)</f>
        <v/>
      </c>
      <c r="AA132" s="11">
        <f>IF(OR(City_Inputs!$W132="",Norm_Stats!$F$11="",Norm_Stats!$G$11="",Norm_Stats!$G$11=Norm_Stats!$F$11),"",MAX(0,MIN(100,100*(MIN(MAX(City_Inputs!$W132,Norm_Stats!$F$11),Norm_Stats!$G$11)-Norm_Stats!$F$11)/(Norm_Stats!$G$11-Norm_Stats!$F$11))))</f>
        <v/>
      </c>
      <c r="AB132" s="14">
        <f>IF(AA132="","",1)</f>
        <v/>
      </c>
      <c r="AC132" s="11">
        <f>IF(OR(City_Inputs!$X132="",Norm_Stats!$F$12="",Norm_Stats!$G$12="",Norm_Stats!$G$12=Norm_Stats!$F$12),"",MAX(0,MIN(100,100*(MIN(MAX(City_Inputs!$X132,Norm_Stats!$F$12),Norm_Stats!$G$12)-Norm_Stats!$F$12)/(Norm_Stats!$G$12-Norm_Stats!$F$12))))</f>
        <v/>
      </c>
      <c r="AD132" s="11">
        <f>IF(AC132="","",1)</f>
        <v/>
      </c>
      <c r="AE132" s="15">
        <f>IF((IF(S132="",0,5)+IF(U132="",0,5)+IF(W132="",0,4)+IF(Y132="",0,4)+IF(AA132="",0,4)+IF(AC132="",0,5))=0,"",(IF(S132="",0,S132*5)+IF(U132="",0,U132*5)+IF(W132="",0,W132*4)+IF(Y132="",0,Y132*4)+IF(AA132="",0,AA132*4)+IF(AC132="",0,AC132*5))/(IF(S132="",0,5)+IF(U132="",0,5)+IF(W132="",0,4)+IF(Y132="",0,4)+IF(AA132="",0,4)+IF(AC132="",0,5)))</f>
        <v/>
      </c>
      <c r="AF132" s="14">
        <f>IF((IF(T132="",0,5)+IF(V132="",0,5)+IF(X132="",0,4)+IF(Z132="",0,4)+IF(AB132="",0,4)+IF(AD132="",0,5))=0,"",(IF(T132="",0,T132*5)+IF(V132="",0,V132*5)+IF(X132="",0,X132*4)+IF(Z132="",0,Z132*4)+IF(AB132="",0,AB132*4)+IF(AD132="",0,AD132*5))/27)</f>
        <v/>
      </c>
      <c r="AG132" s="11">
        <f>IF(OR(City_Inputs!$Y132="",Norm_Stats!$F$13="",Norm_Stats!$G$13="",Norm_Stats!$G$13=Norm_Stats!$F$13),"",MAX(0,MIN(100,100*(MIN(MAX(City_Inputs!$Y132,Norm_Stats!$F$13),Norm_Stats!$G$13)-Norm_Stats!$F$13)/(Norm_Stats!$G$13-Norm_Stats!$F$13))))</f>
        <v/>
      </c>
      <c r="AH132" s="14">
        <f>IF(AG132="","",1)</f>
        <v/>
      </c>
      <c r="AI132" s="11">
        <f>IF(OR(City_Inputs!$Z132="",Norm_Stats!$F$14="",Norm_Stats!$G$14="",Norm_Stats!$G$14=Norm_Stats!$F$14),"",MAX(0,MIN(100,100*(MIN(MAX(City_Inputs!$Z132,Norm_Stats!$F$14),Norm_Stats!$G$14)-Norm_Stats!$F$14)/(Norm_Stats!$G$14-Norm_Stats!$F$14))))</f>
        <v/>
      </c>
      <c r="AJ132" s="14">
        <f>IF(AI132="","",1)</f>
        <v/>
      </c>
      <c r="AK132" s="11">
        <f>IF((IF((IF(OR(City_Inputs!$AA132="",Norm_Stats!$F$15="",Norm_Stats!$G$15="",Norm_Stats!$G$15=Norm_Stats!$F$15),"",MAX(0,MIN(100,100*(MIN(MAX(City_Inputs!$AA132,Norm_Stats!$F$15),Norm_Stats!$G$15)-Norm_Stats!$F$15)/(Norm_Stats!$G$15-Norm_Stats!$F$15)))))="",0,0.7)+IF((IF(OR(City_Inputs!$AL132="",Norm_Stats!$F$16="",Norm_Stats!$G$16="",Norm_Stats!$G$16=Norm_Stats!$F$16),"",MAX(0,MIN(100,100*(Norm_Stats!$G$16-MIN(MAX(City_Inputs!$AL132,Norm_Stats!$F$16),Norm_Stats!$G$16))/(Norm_Stats!$G$16-Norm_Stats!$F$16)))))="",0,0.3))=0,"",(IF((IF(OR(City_Inputs!$AA132="",Norm_Stats!$F$15="",Norm_Stats!$G$15="",Norm_Stats!$G$15=Norm_Stats!$F$15),"",MAX(0,MIN(100,100*(MIN(MAX(City_Inputs!$AA132,Norm_Stats!$F$15),Norm_Stats!$G$15)-Norm_Stats!$F$15)/(Norm_Stats!$G$15-Norm_Stats!$F$15)))))="",0,(IF(OR(City_Inputs!$AA132="",Norm_Stats!$F$15="",Norm_Stats!$G$15="",Norm_Stats!$G$15=Norm_Stats!$F$15),"",MAX(0,MIN(100,100*(MIN(MAX(City_Inputs!$AA132,Norm_Stats!$F$15),Norm_Stats!$G$15)-Norm_Stats!$F$15)/(Norm_Stats!$G$15-Norm_Stats!$F$15)))))*0.7)+IF((IF(OR(City_Inputs!$AL132="",Norm_Stats!$F$16="",Norm_Stats!$G$16="",Norm_Stats!$G$16=Norm_Stats!$F$16),"",MAX(0,MIN(100,100*(Norm_Stats!$G$16-MIN(MAX(City_Inputs!$AL132,Norm_Stats!$F$16),Norm_Stats!$G$16))/(Norm_Stats!$G$16-Norm_Stats!$F$16)))))="",0,(IF(OR(City_Inputs!$AL132="",Norm_Stats!$F$16="",Norm_Stats!$G$16="",Norm_Stats!$G$16=Norm_Stats!$F$16),"",MAX(0,MIN(100,100*(Norm_Stats!$G$16-MIN(MAX(City_Inputs!$AL132,Norm_Stats!$F$16),Norm_Stats!$G$16))/(Norm_Stats!$G$16-Norm_Stats!$F$16)))))*0.3))/(IF((IF(OR(City_Inputs!$AA132="",Norm_Stats!$F$15="",Norm_Stats!$G$15="",Norm_Stats!$G$15=Norm_Stats!$F$15),"",MAX(0,MIN(100,100*(MIN(MAX(City_Inputs!$AA132,Norm_Stats!$F$15),Norm_Stats!$G$15)-Norm_Stats!$F$15)/(Norm_Stats!$G$15-Norm_Stats!$F$15)))))="",0,0.7)+IF((IF(OR(City_Inputs!$AL132="",Norm_Stats!$F$16="",Norm_Stats!$G$16="",Norm_Stats!$G$16=Norm_Stats!$F$16),"",MAX(0,MIN(100,100*(Norm_Stats!$G$16-MIN(MAX(City_Inputs!$AL132,Norm_Stats!$F$16),Norm_Stats!$G$16))/(Norm_Stats!$G$16-Norm_Stats!$F$16)))))="",0,0.3)))</f>
        <v/>
      </c>
      <c r="AL132" s="14">
        <f>IF((IF((IF(OR(City_Inputs!$AA132="",Norm_Stats!$F$15="",Norm_Stats!$G$15="",Norm_Stats!$G$15=Norm_Stats!$F$15),"",MAX(0,MIN(100,100*(MIN(MAX(City_Inputs!$AA132,Norm_Stats!$F$15),Norm_Stats!$G$15)-Norm_Stats!$F$15)/(Norm_Stats!$G$15-Norm_Stats!$F$15)))))="",0,0.7)+IF((IF(OR(City_Inputs!$AL132="",Norm_Stats!$F$16="",Norm_Stats!$G$16="",Norm_Stats!$G$16=Norm_Stats!$F$16),"",MAX(0,MIN(100,100*(Norm_Stats!$G$16-MIN(MAX(City_Inputs!$AL132,Norm_Stats!$F$16),Norm_Stats!$G$16))/(Norm_Stats!$G$16-Norm_Stats!$F$16)))))="",0,0.3))=0,"",(IF((IF(OR(City_Inputs!$AA132="",Norm_Stats!$F$15="",Norm_Stats!$G$15="",Norm_Stats!$G$15=Norm_Stats!$F$15),"",MAX(0,MIN(100,100*(MIN(MAX(City_Inputs!$AA132,Norm_Stats!$F$15),Norm_Stats!$G$15)-Norm_Stats!$F$15)/(Norm_Stats!$G$15-Norm_Stats!$F$15)))))="",0,0.7)+IF((IF(OR(City_Inputs!$AL132="",Norm_Stats!$F$16="",Norm_Stats!$G$16="",Norm_Stats!$G$16=Norm_Stats!$F$16),"",MAX(0,MIN(100,100*(Norm_Stats!$G$16-MIN(MAX(City_Inputs!$AL132,Norm_Stats!$F$16),Norm_Stats!$G$16))/(Norm_Stats!$G$16-Norm_Stats!$F$16)))))="",0,0.3)))</f>
        <v/>
      </c>
      <c r="AM132" s="15">
        <f>IF((IF(AG132="",0,8)+IF(AI132="",0,6)+IF(AK132="",0,4))=0,"",(IF(AG132="",0,AG132*8)+IF(AI132="",0,AI132*6)+IF(AK132="",0,AK132*4))/(IF(AG132="",0,8)+IF(AI132="",0,6)+IF(AK132="",0,4)))</f>
        <v/>
      </c>
      <c r="AN132" s="14">
        <f>IF((IF(AH132="",0,8)+IF(AJ132="",0,6)+IF(AL132="",0,4))=0,"",(IF(AH132="",0,AH132*8)+IF(AJ132="",0,AJ132*6)+IF(AL132="",0,AL132*4))/18)</f>
        <v/>
      </c>
      <c r="AO132" s="11">
        <f>IF(OR(City_Inputs!$AB132="",Norm_Stats!$F$17="",Norm_Stats!$G$17="",Norm_Stats!$G$17=Norm_Stats!$F$17),"",MAX(0,MIN(100,100*(MIN(MAX(City_Inputs!$AB132,Norm_Stats!$F$17),Norm_Stats!$G$17)-Norm_Stats!$F$17)/(Norm_Stats!$G$17-Norm_Stats!$F$17))))</f>
        <v/>
      </c>
      <c r="AP132" s="14">
        <f>IF(AO132="","",1)</f>
        <v/>
      </c>
      <c r="AQ132" s="11">
        <f>IF(OR(City_Inputs!$AC132="",Norm_Stats!$F$18="",Norm_Stats!$G$18="",Norm_Stats!$G$18=Norm_Stats!$F$18),"",MAX(0,MIN(100,100*(MIN(MAX(City_Inputs!$AC132,Norm_Stats!$F$18),Norm_Stats!$G$18)-Norm_Stats!$F$18)/(Norm_Stats!$G$18-Norm_Stats!$F$18))))</f>
        <v/>
      </c>
      <c r="AR132" s="14">
        <f>IF(AQ132="","",1)</f>
        <v/>
      </c>
      <c r="AS132" s="11">
        <f>IF(OR(City_Inputs!$AD132="",Norm_Stats!$F$19="",Norm_Stats!$G$19="",Norm_Stats!$G$19=Norm_Stats!$F$19),"",MAX(0,MIN(100,100*(MIN(MAX(City_Inputs!$AD132,Norm_Stats!$F$19),Norm_Stats!$G$19)-Norm_Stats!$F$19)/(Norm_Stats!$G$19-Norm_Stats!$F$19))))</f>
        <v/>
      </c>
      <c r="AT132" s="14">
        <f>IF(AS132="","",1)</f>
        <v/>
      </c>
      <c r="AU132" s="11">
        <f>IF(OR(City_Inputs!$BJ132="",Norm_Stats!$F$26="",Norm_Stats!$G$26="",Norm_Stats!$G$26=Norm_Stats!$F$26),"",MAX(0,MIN(100,100*(MIN(MAX(City_Inputs!$BJ132,Norm_Stats!$F$26),Norm_Stats!$G$26)-Norm_Stats!$F$26)/(Norm_Stats!$G$26-Norm_Stats!$F$26))))</f>
        <v/>
      </c>
      <c r="AV132" s="11">
        <f>IF(AU132="","",1)</f>
        <v/>
      </c>
      <c r="AW132" s="15">
        <f>IF((IF(AO132="",0,5)+IF(AQ132="",0,5)+IF(AS132="",0,5)+IF(AU132="",0,4))=0,"",(IF(AO132="",0,AO132*5)+IF(AQ132="",0,AQ132*5)+IF(AS132="",0,AS132*5)+IF(AU132="",0,AU132*4))/(IF(AO132="",0,5)+IF(AQ132="",0,5)+IF(AS132="",0,5)+IF(AU132="",0,4)))</f>
        <v/>
      </c>
      <c r="AX132" s="14">
        <f>IF((IF(AP132="",0,5)+IF(AR132="",0,5)+IF(AT132="",0,5)+IF(AV132="",0,4))=0,"",(IF(AP132="",0,AP132*5)+IF(AR132="",0,AR132*5)+IF(AT132="",0,AT132*5)+IF(AV132="",0,AV132*4))/19)</f>
        <v/>
      </c>
      <c r="AY132" s="11">
        <f>IF(OR(City_Inputs!$AE132="",Norm_Stats!$F$20="",Norm_Stats!$G$20="",Norm_Stats!$G$20=Norm_Stats!$F$20),"",MAX(0,MIN(100,100*(MIN(MAX(City_Inputs!$AE132,Norm_Stats!$F$20),Norm_Stats!$G$20)-Norm_Stats!$F$20)/(Norm_Stats!$G$20-Norm_Stats!$F$20))))</f>
        <v/>
      </c>
      <c r="AZ132" s="14">
        <f>IF(AY132="","",1)</f>
        <v/>
      </c>
      <c r="BA132" s="11">
        <f>IF(OR(City_Inputs!$AF132="",Norm_Stats!$F$21="",Norm_Stats!$G$21="",Norm_Stats!$G$21=Norm_Stats!$F$21),"",MAX(0,MIN(100,100*(MIN(MAX(City_Inputs!$AF132,Norm_Stats!$F$21),Norm_Stats!$G$21)-Norm_Stats!$F$21)/(Norm_Stats!$G$21-Norm_Stats!$F$21))))</f>
        <v/>
      </c>
      <c r="BB132" s="14">
        <f>IF(BA132="","",1)</f>
        <v/>
      </c>
      <c r="BC132" s="11">
        <f>IF((IF((IF(OR(City_Inputs!$AG132="",Norm_Stats!$F$22="",Norm_Stats!$G$22="",Norm_Stats!$G$22=Norm_Stats!$F$22),"",MAX(0,MIN(100,100*(MIN(MAX(City_Inputs!$AG132,Norm_Stats!$F$22),Norm_Stats!$G$22)-Norm_Stats!$F$22)/(Norm_Stats!$G$22-Norm_Stats!$F$22)))))="",0,0.5)+IF((IF(OR(City_Inputs!$AJ132="",Norm_Stats!$F$23="",Norm_Stats!$G$23="",Norm_Stats!$G$23=Norm_Stats!$F$23),"",MAX(0,MIN(100,100*(MIN(MAX(City_Inputs!$AJ132,Norm_Stats!$F$23),Norm_Stats!$G$23)-Norm_Stats!$F$23)/(Norm_Stats!$G$23-Norm_Stats!$F$23)))))="",0,0.3)+IF((IF(OR(City_Inputs!$AK132="",Norm_Stats!$F$24="",Norm_Stats!$G$24="",Norm_Stats!$G$24=Norm_Stats!$F$24),"",MAX(0,MIN(100,100*(MIN(MAX(City_Inputs!$AK132,Norm_Stats!$F$24),Norm_Stats!$G$24)-Norm_Stats!$F$24)/(Norm_Stats!$G$24-Norm_Stats!$F$24)))))="",0,0.2))=0,"",(IF((IF(OR(City_Inputs!$AG132="",Norm_Stats!$F$22="",Norm_Stats!$G$22="",Norm_Stats!$G$22=Norm_Stats!$F$22),"",MAX(0,MIN(100,100*(MIN(MAX(City_Inputs!$AG132,Norm_Stats!$F$22),Norm_Stats!$G$22)-Norm_Stats!$F$22)/(Norm_Stats!$G$22-Norm_Stats!$F$22)))))="",0,(IF(OR(City_Inputs!$AG132="",Norm_Stats!$F$22="",Norm_Stats!$G$22="",Norm_Stats!$G$22=Norm_Stats!$F$22),"",MAX(0,MIN(100,100*(MIN(MAX(City_Inputs!$AG132,Norm_Stats!$F$22),Norm_Stats!$G$22)-Norm_Stats!$F$22)/(Norm_Stats!$G$22-Norm_Stats!$F$22)))))*0.5)+IF((IF(OR(City_Inputs!$AJ132="",Norm_Stats!$F$23="",Norm_Stats!$G$23="",Norm_Stats!$G$23=Norm_Stats!$F$23),"",MAX(0,MIN(100,100*(MIN(MAX(City_Inputs!$AJ132,Norm_Stats!$F$23),Norm_Stats!$G$23)-Norm_Stats!$F$23)/(Norm_Stats!$G$23-Norm_Stats!$F$23)))))="",0,(IF(OR(City_Inputs!$AJ132="",Norm_Stats!$F$23="",Norm_Stats!$G$23="",Norm_Stats!$G$23=Norm_Stats!$F$23),"",MAX(0,MIN(100,100*(MIN(MAX(City_Inputs!$AJ132,Norm_Stats!$F$23),Norm_Stats!$G$23)-Norm_Stats!$F$23)/(Norm_Stats!$G$23-Norm_Stats!$F$23)))))*0.3)+IF((IF(OR(City_Inputs!$AK132="",Norm_Stats!$F$24="",Norm_Stats!$G$24="",Norm_Stats!$G$24=Norm_Stats!$F$24),"",MAX(0,MIN(100,100*(MIN(MAX(City_Inputs!$AK132,Norm_Stats!$F$24),Norm_Stats!$G$24)-Norm_Stats!$F$24)/(Norm_Stats!$G$24-Norm_Stats!$F$24)))))="",0,(IF(OR(City_Inputs!$AK132="",Norm_Stats!$F$24="",Norm_Stats!$G$24="",Norm_Stats!$G$24=Norm_Stats!$F$24),"",MAX(0,MIN(100,100*(MIN(MAX(City_Inputs!$AK132,Norm_Stats!$F$24),Norm_Stats!$G$24)-Norm_Stats!$F$24)/(Norm_Stats!$G$24-Norm_Stats!$F$24)))))*0.2))/(IF((IF(OR(City_Inputs!$AG132="",Norm_Stats!$F$22="",Norm_Stats!$G$22="",Norm_Stats!$G$22=Norm_Stats!$F$22),"",MAX(0,MIN(100,100*(MIN(MAX(City_Inputs!$AG132,Norm_Stats!$F$22),Norm_Stats!$G$22)-Norm_Stats!$F$22)/(Norm_Stats!$G$22-Norm_Stats!$F$22)))))="",0,0.5)+IF((IF(OR(City_Inputs!$AJ132="",Norm_Stats!$F$23="",Norm_Stats!$G$23="",Norm_Stats!$G$23=Norm_Stats!$F$23),"",MAX(0,MIN(100,100*(MIN(MAX(City_Inputs!$AJ132,Norm_Stats!$F$23),Norm_Stats!$G$23)-Norm_Stats!$F$23)/(Norm_Stats!$G$23-Norm_Stats!$F$23)))))="",0,0.3)+IF((IF(OR(City_Inputs!$AK132="",Norm_Stats!$F$24="",Norm_Stats!$G$24="",Norm_Stats!$G$24=Norm_Stats!$F$24),"",MAX(0,MIN(100,100*(MIN(MAX(City_Inputs!$AK132,Norm_Stats!$F$24),Norm_Stats!$G$24)-Norm_Stats!$F$24)/(Norm_Stats!$G$24-Norm_Stats!$F$24)))))="",0,0.2)))</f>
        <v/>
      </c>
      <c r="BD132" s="14">
        <f>IF((IF((IF(OR(City_Inputs!$AG132="",Norm_Stats!$F$22="",Norm_Stats!$G$22="",Norm_Stats!$G$22=Norm_Stats!$F$22),"",MAX(0,MIN(100,100*(MIN(MAX(City_Inputs!$AG132,Norm_Stats!$F$22),Norm_Stats!$G$22)-Norm_Stats!$F$22)/(Norm_Stats!$G$22-Norm_Stats!$F$22)))))="",0,0.5)+IF((IF(OR(City_Inputs!$AJ132="",Norm_Stats!$F$23="",Norm_Stats!$G$23="",Norm_Stats!$G$23=Norm_Stats!$F$23),"",MAX(0,MIN(100,100*(MIN(MAX(City_Inputs!$AJ132,Norm_Stats!$F$23),Norm_Stats!$G$23)-Norm_Stats!$F$23)/(Norm_Stats!$G$23-Norm_Stats!$F$23)))))="",0,0.3)+IF((IF(OR(City_Inputs!$AK132="",Norm_Stats!$F$24="",Norm_Stats!$G$24="",Norm_Stats!$G$24=Norm_Stats!$F$24),"",MAX(0,MIN(100,100*(MIN(MAX(City_Inputs!$AK132,Norm_Stats!$F$24),Norm_Stats!$G$24)-Norm_Stats!$F$24)/(Norm_Stats!$G$24-Norm_Stats!$F$24)))))="",0,0.2))=0,"",(IF((IF(OR(City_Inputs!$AG132="",Norm_Stats!$F$22="",Norm_Stats!$G$22="",Norm_Stats!$G$22=Norm_Stats!$F$22),"",MAX(0,MIN(100,100*(MIN(MAX(City_Inputs!$AG132,Norm_Stats!$F$22),Norm_Stats!$G$22)-Norm_Stats!$F$22)/(Norm_Stats!$G$22-Norm_Stats!$F$22)))))="",0,0.5)+IF((IF(OR(City_Inputs!$AJ132="",Norm_Stats!$F$23="",Norm_Stats!$G$23="",Norm_Stats!$G$23=Norm_Stats!$F$23),"",MAX(0,MIN(100,100*(MIN(MAX(City_Inputs!$AJ132,Norm_Stats!$F$23),Norm_Stats!$G$23)-Norm_Stats!$F$23)/(Norm_Stats!$G$23-Norm_Stats!$F$23)))))="",0,0.3)+IF((IF(OR(City_Inputs!$AK132="",Norm_Stats!$F$24="",Norm_Stats!$G$24="",Norm_Stats!$G$24=Norm_Stats!$F$24),"",MAX(0,MIN(100,100*(MIN(MAX(City_Inputs!$AK132,Norm_Stats!$F$24),Norm_Stats!$G$24)-Norm_Stats!$F$24)/(Norm_Stats!$G$24-Norm_Stats!$F$24)))))="",0,0.2)))</f>
        <v/>
      </c>
      <c r="BE132" s="11">
        <f>IF(OR(City_Inputs!$AH132="",Norm_Stats!$F$25="",Norm_Stats!$G$25="",Norm_Stats!$G$25=Norm_Stats!$F$25),"",MAX(0,MIN(100,100*(Norm_Stats!$G$25-MIN(MAX(City_Inputs!$AH132,Norm_Stats!$F$25),Norm_Stats!$G$25))/(Norm_Stats!$G$25-Norm_Stats!$F$25))))</f>
        <v/>
      </c>
      <c r="BF132" s="14">
        <f>IF(BE132="","",1)</f>
        <v/>
      </c>
      <c r="BG132" s="15">
        <f>IF((IF(AY132="",0,6)+IF(BA132="",0,5)+IF(BC132="",0,5)+IF(BE132="",0,4))=0,"",(IF(AY132="",0,AY132*6)+IF(BA132="",0,BA132*5)+IF(BC132="",0,BC132*5)+IF(BE132="",0,BE132*4))/(IF(AY132="",0,6)+IF(BA132="",0,5)+IF(BC132="",0,5)+IF(BE132="",0,4)))</f>
        <v/>
      </c>
      <c r="BH132" s="14">
        <f>IF((IF(AZ132="",0,6)+IF(BB132="",0,5)+IF(BD132="",0,5)+IF(BF132="",0,4))=0,"",(IF(AZ132="",0,AZ132*6)+IF(BB132="",0,BB132*5)+IF(BD132="",0,BD132*5)+IF(BF132="",0,BF132*4))/20)</f>
        <v/>
      </c>
      <c r="BI132" s="14">
        <f>IF(AND(R132="",AF132="",AN132="",AX132="",BH132=""),"",((R132*25)+(AF132*22)+(AN132*18)+(AX132*15)+(BH132*20))/100)</f>
        <v/>
      </c>
      <c r="BJ132" s="11">
        <f>IF(BI132="","",IF(BI132&gt;=0.75,"A",IF(BI132&gt;=0.5,"B",IF(BI132&gt;=0.35,"C","Watchlist"))))</f>
        <v/>
      </c>
      <c r="BK132" s="11">
        <f>IF(OR(BI132="",BI132&lt;0.5,R132="",R132&lt;0.35,AF132="",AF132&lt;0.35,AN132="",AN132&lt;0.35,AX132="",AX132&lt;0.35,BH132="",BH132&lt;0.35),"Watchlist","Ranked")</f>
        <v/>
      </c>
      <c r="BL132" s="15">
        <f>IF(AND(Q132="",AE132="",AM132="",AW132="",BG132=""),"",(IF(Q132="",0,Q132*25)+IF(AE132="",0,AE132*22)+IF(AM132="",0,AM132*18)+IF(AW132="",0,AW132*15)+IF(BG132="",0,BG132*20))/(IF(Q132="",0,25)+IF(AE132="",0,22)+IF(AM132="",0,18)+IF(AW132="",0,15)+IF(BG132="",0,20)))</f>
        <v/>
      </c>
      <c r="BM132" s="11">
        <f>IF(BK132="Ranked",1+COUNTIFS($BK$2:$BK$158,"Ranked",$BL$2:$BL$158,"&gt;"&amp;BL132),"")</f>
        <v/>
      </c>
      <c r="BN132" s="11">
        <f>City_Inputs!$AI132</f>
        <v/>
      </c>
    </row>
    <row r="133">
      <c r="A133" t="inlineStr">
        <is>
          <t>ie-cork</t>
        </is>
      </c>
      <c r="B133" t="inlineStr">
        <is>
          <t>Cork</t>
        </is>
      </c>
      <c r="C133" t="inlineStr">
        <is>
          <t>Ireland</t>
        </is>
      </c>
      <c r="D133" t="inlineStr">
        <is>
          <t>Western, Northern, and Southern Europe</t>
        </is>
      </c>
      <c r="E133" t="inlineStr">
        <is>
          <t>provisional</t>
        </is>
      </c>
      <c r="F133" t="inlineStr">
        <is>
          <t>secondary</t>
        </is>
      </c>
      <c r="G133" s="11">
        <f>IF(OR(City_Inputs!$M133="",Norm_Stats!$F$2="",Norm_Stats!$G$2="",Norm_Stats!$G$2=Norm_Stats!$F$2),"",MAX(0,MIN(100,100*(MIN(MAX(City_Inputs!$M133,Norm_Stats!$F$2),Norm_Stats!$G$2)-Norm_Stats!$F$2)/(Norm_Stats!$G$2-Norm_Stats!$F$2))))</f>
        <v/>
      </c>
      <c r="H133" s="14">
        <f>IF(G133="","",1)</f>
        <v/>
      </c>
      <c r="I133" s="11">
        <f>IF(OR(City_Inputs!$N133="",Norm_Stats!$F$3="",Norm_Stats!$G$3="",Norm_Stats!$G$3=Norm_Stats!$F$3),"",MAX(0,MIN(100,100*(Norm_Stats!$G$3-MIN(MAX(City_Inputs!$N133,Norm_Stats!$F$3),Norm_Stats!$G$3))/(Norm_Stats!$G$3-Norm_Stats!$F$3))))</f>
        <v/>
      </c>
      <c r="J133" s="14">
        <f>IF(I133="","",1)</f>
        <v/>
      </c>
      <c r="K133" s="11">
        <f>IF(OR(City_Inputs!$P133="",Norm_Stats!$F$4="",Norm_Stats!$G$4="",Norm_Stats!$G$4=Norm_Stats!$F$4),"",MAX(0,MIN(100,100*(Norm_Stats!$G$4-MIN(MAX(City_Inputs!$P133,Norm_Stats!$F$4),Norm_Stats!$G$4))/(Norm_Stats!$G$4-Norm_Stats!$F$4))))</f>
        <v/>
      </c>
      <c r="L133" s="14">
        <f>IF(K133="","",1)</f>
        <v/>
      </c>
      <c r="M133" s="11">
        <f>IF(OR(City_Inputs!$Q133="",Norm_Stats!$F$5="",Norm_Stats!$G$5="",Norm_Stats!$G$5=Norm_Stats!$F$5),"",MAX(0,MIN(100,100*(Norm_Stats!$G$5-MIN(MAX(City_Inputs!$Q133,Norm_Stats!$F$5),Norm_Stats!$G$5))/(Norm_Stats!$G$5-Norm_Stats!$F$5))))</f>
        <v/>
      </c>
      <c r="N133" s="14">
        <f>IF(M133="","",1)</f>
        <v/>
      </c>
      <c r="O133" s="11">
        <f>IF(OR(City_Inputs!$R133="",Norm_Stats!$F$6="",Norm_Stats!$G$6="",Norm_Stats!$G$6=Norm_Stats!$F$6),"",MAX(0,MIN(100,100*(Norm_Stats!$G$6-MIN(MAX(City_Inputs!$R133,Norm_Stats!$F$6),Norm_Stats!$G$6))/(Norm_Stats!$G$6-Norm_Stats!$F$6))))</f>
        <v/>
      </c>
      <c r="P133" s="14">
        <f>IF(O133="","",1)</f>
        <v/>
      </c>
      <c r="Q133" s="15">
        <f>IF((IF(G133="",0,9)+IF(I133="",0,5)+IF(K133="",0,4)+IF(M133="",0,4)+IF(O133="",0,5))=0,"",(IF(G133="",0,G133*9)+IF(I133="",0,I133*5)+IF(K133="",0,K133*4)+IF(M133="",0,M133*4)+IF(O133="",0,O133*5))/(IF(G133="",0,9)+IF(I133="",0,5)+IF(K133="",0,4)+IF(M133="",0,4)+IF(O133="",0,5)))</f>
        <v/>
      </c>
      <c r="R133" s="14">
        <f>IF((IF(H133="",0,9)+IF(J133="",0,5)+IF(L133="",0,4)+IF(N133="",0,4)+IF(P133="",0,5))=0,"",(IF(H133="",0,H133*9)+IF(J133="",0,J133*5)+IF(L133="",0,L133*4)+IF(N133="",0,N133*4)+IF(P133="",0,P133*5))/27)</f>
        <v/>
      </c>
      <c r="S133" s="11">
        <f>IF(OR(City_Inputs!$S133="",Norm_Stats!$F$7="",Norm_Stats!$G$7="",Norm_Stats!$G$7=Norm_Stats!$F$7),"",MAX(0,MIN(100,100*(Norm_Stats!$G$7-MIN(MAX(City_Inputs!$S133,Norm_Stats!$F$7),Norm_Stats!$G$7))/(Norm_Stats!$G$7-Norm_Stats!$F$7))))</f>
        <v/>
      </c>
      <c r="T133" s="14">
        <f>IF(S133="","",1)</f>
        <v/>
      </c>
      <c r="U133" s="11">
        <f>IF(OR(City_Inputs!$T133="",Norm_Stats!$F$8="",Norm_Stats!$G$8="",Norm_Stats!$G$8=Norm_Stats!$F$8),"",MAX(0,MIN(100,100*(MIN(MAX(City_Inputs!$T133,Norm_Stats!$F$8),Norm_Stats!$G$8)-Norm_Stats!$F$8)/(Norm_Stats!$G$8-Norm_Stats!$F$8))))</f>
        <v/>
      </c>
      <c r="V133" s="14">
        <f>IF(U133="","",1)</f>
        <v/>
      </c>
      <c r="W133" s="11">
        <f>IF(OR(City_Inputs!$U133="",Norm_Stats!$F$9="",Norm_Stats!$G$9="",Norm_Stats!$G$9=Norm_Stats!$F$9),"",MAX(0,MIN(100,100*(Norm_Stats!$G$9-MIN(MAX(City_Inputs!$U133,Norm_Stats!$F$9),Norm_Stats!$G$9))/(Norm_Stats!$G$9-Norm_Stats!$F$9))))</f>
        <v/>
      </c>
      <c r="X133" s="14">
        <f>IF(W133="","",1)</f>
        <v/>
      </c>
      <c r="Y133" s="11">
        <f>IF(OR(City_Inputs!$V133="",Norm_Stats!$F$10="",Norm_Stats!$G$10="",Norm_Stats!$G$10=Norm_Stats!$F$10),"",MAX(0,MIN(100,100*(MIN(MAX(City_Inputs!$V133,Norm_Stats!$F$10),Norm_Stats!$G$10)-Norm_Stats!$F$10)/(Norm_Stats!$G$10-Norm_Stats!$F$10))))</f>
        <v/>
      </c>
      <c r="Z133" s="14">
        <f>IF(Y133="","",1)</f>
        <v/>
      </c>
      <c r="AA133" s="11">
        <f>IF(OR(City_Inputs!$W133="",Norm_Stats!$F$11="",Norm_Stats!$G$11="",Norm_Stats!$G$11=Norm_Stats!$F$11),"",MAX(0,MIN(100,100*(MIN(MAX(City_Inputs!$W133,Norm_Stats!$F$11),Norm_Stats!$G$11)-Norm_Stats!$F$11)/(Norm_Stats!$G$11-Norm_Stats!$F$11))))</f>
        <v/>
      </c>
      <c r="AB133" s="14">
        <f>IF(AA133="","",1)</f>
        <v/>
      </c>
      <c r="AC133" s="11">
        <f>IF(OR(City_Inputs!$X133="",Norm_Stats!$F$12="",Norm_Stats!$G$12="",Norm_Stats!$G$12=Norm_Stats!$F$12),"",MAX(0,MIN(100,100*(MIN(MAX(City_Inputs!$X133,Norm_Stats!$F$12),Norm_Stats!$G$12)-Norm_Stats!$F$12)/(Norm_Stats!$G$12-Norm_Stats!$F$12))))</f>
        <v/>
      </c>
      <c r="AD133" s="11">
        <f>IF(AC133="","",1)</f>
        <v/>
      </c>
      <c r="AE133" s="15">
        <f>IF((IF(S133="",0,5)+IF(U133="",0,5)+IF(W133="",0,4)+IF(Y133="",0,4)+IF(AA133="",0,4)+IF(AC133="",0,5))=0,"",(IF(S133="",0,S133*5)+IF(U133="",0,U133*5)+IF(W133="",0,W133*4)+IF(Y133="",0,Y133*4)+IF(AA133="",0,AA133*4)+IF(AC133="",0,AC133*5))/(IF(S133="",0,5)+IF(U133="",0,5)+IF(W133="",0,4)+IF(Y133="",0,4)+IF(AA133="",0,4)+IF(AC133="",0,5)))</f>
        <v/>
      </c>
      <c r="AF133" s="14">
        <f>IF((IF(T133="",0,5)+IF(V133="",0,5)+IF(X133="",0,4)+IF(Z133="",0,4)+IF(AB133="",0,4)+IF(AD133="",0,5))=0,"",(IF(T133="",0,T133*5)+IF(V133="",0,V133*5)+IF(X133="",0,X133*4)+IF(Z133="",0,Z133*4)+IF(AB133="",0,AB133*4)+IF(AD133="",0,AD133*5))/27)</f>
        <v/>
      </c>
      <c r="AG133" s="11">
        <f>IF(OR(City_Inputs!$Y133="",Norm_Stats!$F$13="",Norm_Stats!$G$13="",Norm_Stats!$G$13=Norm_Stats!$F$13),"",MAX(0,MIN(100,100*(MIN(MAX(City_Inputs!$Y133,Norm_Stats!$F$13),Norm_Stats!$G$13)-Norm_Stats!$F$13)/(Norm_Stats!$G$13-Norm_Stats!$F$13))))</f>
        <v/>
      </c>
      <c r="AH133" s="14">
        <f>IF(AG133="","",1)</f>
        <v/>
      </c>
      <c r="AI133" s="11">
        <f>IF(OR(City_Inputs!$Z133="",Norm_Stats!$F$14="",Norm_Stats!$G$14="",Norm_Stats!$G$14=Norm_Stats!$F$14),"",MAX(0,MIN(100,100*(MIN(MAX(City_Inputs!$Z133,Norm_Stats!$F$14),Norm_Stats!$G$14)-Norm_Stats!$F$14)/(Norm_Stats!$G$14-Norm_Stats!$F$14))))</f>
        <v/>
      </c>
      <c r="AJ133" s="14">
        <f>IF(AI133="","",1)</f>
        <v/>
      </c>
      <c r="AK133" s="11">
        <f>IF((IF((IF(OR(City_Inputs!$AA133="",Norm_Stats!$F$15="",Norm_Stats!$G$15="",Norm_Stats!$G$15=Norm_Stats!$F$15),"",MAX(0,MIN(100,100*(MIN(MAX(City_Inputs!$AA133,Norm_Stats!$F$15),Norm_Stats!$G$15)-Norm_Stats!$F$15)/(Norm_Stats!$G$15-Norm_Stats!$F$15)))))="",0,0.7)+IF((IF(OR(City_Inputs!$AL133="",Norm_Stats!$F$16="",Norm_Stats!$G$16="",Norm_Stats!$G$16=Norm_Stats!$F$16),"",MAX(0,MIN(100,100*(Norm_Stats!$G$16-MIN(MAX(City_Inputs!$AL133,Norm_Stats!$F$16),Norm_Stats!$G$16))/(Norm_Stats!$G$16-Norm_Stats!$F$16)))))="",0,0.3))=0,"",(IF((IF(OR(City_Inputs!$AA133="",Norm_Stats!$F$15="",Norm_Stats!$G$15="",Norm_Stats!$G$15=Norm_Stats!$F$15),"",MAX(0,MIN(100,100*(MIN(MAX(City_Inputs!$AA133,Norm_Stats!$F$15),Norm_Stats!$G$15)-Norm_Stats!$F$15)/(Norm_Stats!$G$15-Norm_Stats!$F$15)))))="",0,(IF(OR(City_Inputs!$AA133="",Norm_Stats!$F$15="",Norm_Stats!$G$15="",Norm_Stats!$G$15=Norm_Stats!$F$15),"",MAX(0,MIN(100,100*(MIN(MAX(City_Inputs!$AA133,Norm_Stats!$F$15),Norm_Stats!$G$15)-Norm_Stats!$F$15)/(Norm_Stats!$G$15-Norm_Stats!$F$15)))))*0.7)+IF((IF(OR(City_Inputs!$AL133="",Norm_Stats!$F$16="",Norm_Stats!$G$16="",Norm_Stats!$G$16=Norm_Stats!$F$16),"",MAX(0,MIN(100,100*(Norm_Stats!$G$16-MIN(MAX(City_Inputs!$AL133,Norm_Stats!$F$16),Norm_Stats!$G$16))/(Norm_Stats!$G$16-Norm_Stats!$F$16)))))="",0,(IF(OR(City_Inputs!$AL133="",Norm_Stats!$F$16="",Norm_Stats!$G$16="",Norm_Stats!$G$16=Norm_Stats!$F$16),"",MAX(0,MIN(100,100*(Norm_Stats!$G$16-MIN(MAX(City_Inputs!$AL133,Norm_Stats!$F$16),Norm_Stats!$G$16))/(Norm_Stats!$G$16-Norm_Stats!$F$16)))))*0.3))/(IF((IF(OR(City_Inputs!$AA133="",Norm_Stats!$F$15="",Norm_Stats!$G$15="",Norm_Stats!$G$15=Norm_Stats!$F$15),"",MAX(0,MIN(100,100*(MIN(MAX(City_Inputs!$AA133,Norm_Stats!$F$15),Norm_Stats!$G$15)-Norm_Stats!$F$15)/(Norm_Stats!$G$15-Norm_Stats!$F$15)))))="",0,0.7)+IF((IF(OR(City_Inputs!$AL133="",Norm_Stats!$F$16="",Norm_Stats!$G$16="",Norm_Stats!$G$16=Norm_Stats!$F$16),"",MAX(0,MIN(100,100*(Norm_Stats!$G$16-MIN(MAX(City_Inputs!$AL133,Norm_Stats!$F$16),Norm_Stats!$G$16))/(Norm_Stats!$G$16-Norm_Stats!$F$16)))))="",0,0.3)))</f>
        <v/>
      </c>
      <c r="AL133" s="14">
        <f>IF((IF((IF(OR(City_Inputs!$AA133="",Norm_Stats!$F$15="",Norm_Stats!$G$15="",Norm_Stats!$G$15=Norm_Stats!$F$15),"",MAX(0,MIN(100,100*(MIN(MAX(City_Inputs!$AA133,Norm_Stats!$F$15),Norm_Stats!$G$15)-Norm_Stats!$F$15)/(Norm_Stats!$G$15-Norm_Stats!$F$15)))))="",0,0.7)+IF((IF(OR(City_Inputs!$AL133="",Norm_Stats!$F$16="",Norm_Stats!$G$16="",Norm_Stats!$G$16=Norm_Stats!$F$16),"",MAX(0,MIN(100,100*(Norm_Stats!$G$16-MIN(MAX(City_Inputs!$AL133,Norm_Stats!$F$16),Norm_Stats!$G$16))/(Norm_Stats!$G$16-Norm_Stats!$F$16)))))="",0,0.3))=0,"",(IF((IF(OR(City_Inputs!$AA133="",Norm_Stats!$F$15="",Norm_Stats!$G$15="",Norm_Stats!$G$15=Norm_Stats!$F$15),"",MAX(0,MIN(100,100*(MIN(MAX(City_Inputs!$AA133,Norm_Stats!$F$15),Norm_Stats!$G$15)-Norm_Stats!$F$15)/(Norm_Stats!$G$15-Norm_Stats!$F$15)))))="",0,0.7)+IF((IF(OR(City_Inputs!$AL133="",Norm_Stats!$F$16="",Norm_Stats!$G$16="",Norm_Stats!$G$16=Norm_Stats!$F$16),"",MAX(0,MIN(100,100*(Norm_Stats!$G$16-MIN(MAX(City_Inputs!$AL133,Norm_Stats!$F$16),Norm_Stats!$G$16))/(Norm_Stats!$G$16-Norm_Stats!$F$16)))))="",0,0.3)))</f>
        <v/>
      </c>
      <c r="AM133" s="15">
        <f>IF((IF(AG133="",0,8)+IF(AI133="",0,6)+IF(AK133="",0,4))=0,"",(IF(AG133="",0,AG133*8)+IF(AI133="",0,AI133*6)+IF(AK133="",0,AK133*4))/(IF(AG133="",0,8)+IF(AI133="",0,6)+IF(AK133="",0,4)))</f>
        <v/>
      </c>
      <c r="AN133" s="14">
        <f>IF((IF(AH133="",0,8)+IF(AJ133="",0,6)+IF(AL133="",0,4))=0,"",(IF(AH133="",0,AH133*8)+IF(AJ133="",0,AJ133*6)+IF(AL133="",0,AL133*4))/18)</f>
        <v/>
      </c>
      <c r="AO133" s="11">
        <f>IF(OR(City_Inputs!$AB133="",Norm_Stats!$F$17="",Norm_Stats!$G$17="",Norm_Stats!$G$17=Norm_Stats!$F$17),"",MAX(0,MIN(100,100*(MIN(MAX(City_Inputs!$AB133,Norm_Stats!$F$17),Norm_Stats!$G$17)-Norm_Stats!$F$17)/(Norm_Stats!$G$17-Norm_Stats!$F$17))))</f>
        <v/>
      </c>
      <c r="AP133" s="14">
        <f>IF(AO133="","",1)</f>
        <v/>
      </c>
      <c r="AQ133" s="11">
        <f>IF(OR(City_Inputs!$AC133="",Norm_Stats!$F$18="",Norm_Stats!$G$18="",Norm_Stats!$G$18=Norm_Stats!$F$18),"",MAX(0,MIN(100,100*(MIN(MAX(City_Inputs!$AC133,Norm_Stats!$F$18),Norm_Stats!$G$18)-Norm_Stats!$F$18)/(Norm_Stats!$G$18-Norm_Stats!$F$18))))</f>
        <v/>
      </c>
      <c r="AR133" s="14">
        <f>IF(AQ133="","",1)</f>
        <v/>
      </c>
      <c r="AS133" s="11">
        <f>IF(OR(City_Inputs!$AD133="",Norm_Stats!$F$19="",Norm_Stats!$G$19="",Norm_Stats!$G$19=Norm_Stats!$F$19),"",MAX(0,MIN(100,100*(MIN(MAX(City_Inputs!$AD133,Norm_Stats!$F$19),Norm_Stats!$G$19)-Norm_Stats!$F$19)/(Norm_Stats!$G$19-Norm_Stats!$F$19))))</f>
        <v/>
      </c>
      <c r="AT133" s="14">
        <f>IF(AS133="","",1)</f>
        <v/>
      </c>
      <c r="AU133" s="11">
        <f>IF(OR(City_Inputs!$BJ133="",Norm_Stats!$F$26="",Norm_Stats!$G$26="",Norm_Stats!$G$26=Norm_Stats!$F$26),"",MAX(0,MIN(100,100*(MIN(MAX(City_Inputs!$BJ133,Norm_Stats!$F$26),Norm_Stats!$G$26)-Norm_Stats!$F$26)/(Norm_Stats!$G$26-Norm_Stats!$F$26))))</f>
        <v/>
      </c>
      <c r="AV133" s="11">
        <f>IF(AU133="","",1)</f>
        <v/>
      </c>
      <c r="AW133" s="15">
        <f>IF((IF(AO133="",0,5)+IF(AQ133="",0,5)+IF(AS133="",0,5)+IF(AU133="",0,4))=0,"",(IF(AO133="",0,AO133*5)+IF(AQ133="",0,AQ133*5)+IF(AS133="",0,AS133*5)+IF(AU133="",0,AU133*4))/(IF(AO133="",0,5)+IF(AQ133="",0,5)+IF(AS133="",0,5)+IF(AU133="",0,4)))</f>
        <v/>
      </c>
      <c r="AX133" s="14">
        <f>IF((IF(AP133="",0,5)+IF(AR133="",0,5)+IF(AT133="",0,5)+IF(AV133="",0,4))=0,"",(IF(AP133="",0,AP133*5)+IF(AR133="",0,AR133*5)+IF(AT133="",0,AT133*5)+IF(AV133="",0,AV133*4))/19)</f>
        <v/>
      </c>
      <c r="AY133" s="11">
        <f>IF(OR(City_Inputs!$AE133="",Norm_Stats!$F$20="",Norm_Stats!$G$20="",Norm_Stats!$G$20=Norm_Stats!$F$20),"",MAX(0,MIN(100,100*(MIN(MAX(City_Inputs!$AE133,Norm_Stats!$F$20),Norm_Stats!$G$20)-Norm_Stats!$F$20)/(Norm_Stats!$G$20-Norm_Stats!$F$20))))</f>
        <v/>
      </c>
      <c r="AZ133" s="14">
        <f>IF(AY133="","",1)</f>
        <v/>
      </c>
      <c r="BA133" s="11">
        <f>IF(OR(City_Inputs!$AF133="",Norm_Stats!$F$21="",Norm_Stats!$G$21="",Norm_Stats!$G$21=Norm_Stats!$F$21),"",MAX(0,MIN(100,100*(MIN(MAX(City_Inputs!$AF133,Norm_Stats!$F$21),Norm_Stats!$G$21)-Norm_Stats!$F$21)/(Norm_Stats!$G$21-Norm_Stats!$F$21))))</f>
        <v/>
      </c>
      <c r="BB133" s="14">
        <f>IF(BA133="","",1)</f>
        <v/>
      </c>
      <c r="BC133" s="11">
        <f>IF((IF((IF(OR(City_Inputs!$AG133="",Norm_Stats!$F$22="",Norm_Stats!$G$22="",Norm_Stats!$G$22=Norm_Stats!$F$22),"",MAX(0,MIN(100,100*(MIN(MAX(City_Inputs!$AG133,Norm_Stats!$F$22),Norm_Stats!$G$22)-Norm_Stats!$F$22)/(Norm_Stats!$G$22-Norm_Stats!$F$22)))))="",0,0.5)+IF((IF(OR(City_Inputs!$AJ133="",Norm_Stats!$F$23="",Norm_Stats!$G$23="",Norm_Stats!$G$23=Norm_Stats!$F$23),"",MAX(0,MIN(100,100*(MIN(MAX(City_Inputs!$AJ133,Norm_Stats!$F$23),Norm_Stats!$G$23)-Norm_Stats!$F$23)/(Norm_Stats!$G$23-Norm_Stats!$F$23)))))="",0,0.3)+IF((IF(OR(City_Inputs!$AK133="",Norm_Stats!$F$24="",Norm_Stats!$G$24="",Norm_Stats!$G$24=Norm_Stats!$F$24),"",MAX(0,MIN(100,100*(MIN(MAX(City_Inputs!$AK133,Norm_Stats!$F$24),Norm_Stats!$G$24)-Norm_Stats!$F$24)/(Norm_Stats!$G$24-Norm_Stats!$F$24)))))="",0,0.2))=0,"",(IF((IF(OR(City_Inputs!$AG133="",Norm_Stats!$F$22="",Norm_Stats!$G$22="",Norm_Stats!$G$22=Norm_Stats!$F$22),"",MAX(0,MIN(100,100*(MIN(MAX(City_Inputs!$AG133,Norm_Stats!$F$22),Norm_Stats!$G$22)-Norm_Stats!$F$22)/(Norm_Stats!$G$22-Norm_Stats!$F$22)))))="",0,(IF(OR(City_Inputs!$AG133="",Norm_Stats!$F$22="",Norm_Stats!$G$22="",Norm_Stats!$G$22=Norm_Stats!$F$22),"",MAX(0,MIN(100,100*(MIN(MAX(City_Inputs!$AG133,Norm_Stats!$F$22),Norm_Stats!$G$22)-Norm_Stats!$F$22)/(Norm_Stats!$G$22-Norm_Stats!$F$22)))))*0.5)+IF((IF(OR(City_Inputs!$AJ133="",Norm_Stats!$F$23="",Norm_Stats!$G$23="",Norm_Stats!$G$23=Norm_Stats!$F$23),"",MAX(0,MIN(100,100*(MIN(MAX(City_Inputs!$AJ133,Norm_Stats!$F$23),Norm_Stats!$G$23)-Norm_Stats!$F$23)/(Norm_Stats!$G$23-Norm_Stats!$F$23)))))="",0,(IF(OR(City_Inputs!$AJ133="",Norm_Stats!$F$23="",Norm_Stats!$G$23="",Norm_Stats!$G$23=Norm_Stats!$F$23),"",MAX(0,MIN(100,100*(MIN(MAX(City_Inputs!$AJ133,Norm_Stats!$F$23),Norm_Stats!$G$23)-Norm_Stats!$F$23)/(Norm_Stats!$G$23-Norm_Stats!$F$23)))))*0.3)+IF((IF(OR(City_Inputs!$AK133="",Norm_Stats!$F$24="",Norm_Stats!$G$24="",Norm_Stats!$G$24=Norm_Stats!$F$24),"",MAX(0,MIN(100,100*(MIN(MAX(City_Inputs!$AK133,Norm_Stats!$F$24),Norm_Stats!$G$24)-Norm_Stats!$F$24)/(Norm_Stats!$G$24-Norm_Stats!$F$24)))))="",0,(IF(OR(City_Inputs!$AK133="",Norm_Stats!$F$24="",Norm_Stats!$G$24="",Norm_Stats!$G$24=Norm_Stats!$F$24),"",MAX(0,MIN(100,100*(MIN(MAX(City_Inputs!$AK133,Norm_Stats!$F$24),Norm_Stats!$G$24)-Norm_Stats!$F$24)/(Norm_Stats!$G$24-Norm_Stats!$F$24)))))*0.2))/(IF((IF(OR(City_Inputs!$AG133="",Norm_Stats!$F$22="",Norm_Stats!$G$22="",Norm_Stats!$G$22=Norm_Stats!$F$22),"",MAX(0,MIN(100,100*(MIN(MAX(City_Inputs!$AG133,Norm_Stats!$F$22),Norm_Stats!$G$22)-Norm_Stats!$F$22)/(Norm_Stats!$G$22-Norm_Stats!$F$22)))))="",0,0.5)+IF((IF(OR(City_Inputs!$AJ133="",Norm_Stats!$F$23="",Norm_Stats!$G$23="",Norm_Stats!$G$23=Norm_Stats!$F$23),"",MAX(0,MIN(100,100*(MIN(MAX(City_Inputs!$AJ133,Norm_Stats!$F$23),Norm_Stats!$G$23)-Norm_Stats!$F$23)/(Norm_Stats!$G$23-Norm_Stats!$F$23)))))="",0,0.3)+IF((IF(OR(City_Inputs!$AK133="",Norm_Stats!$F$24="",Norm_Stats!$G$24="",Norm_Stats!$G$24=Norm_Stats!$F$24),"",MAX(0,MIN(100,100*(MIN(MAX(City_Inputs!$AK133,Norm_Stats!$F$24),Norm_Stats!$G$24)-Norm_Stats!$F$24)/(Norm_Stats!$G$24-Norm_Stats!$F$24)))))="",0,0.2)))</f>
        <v/>
      </c>
      <c r="BD133" s="14">
        <f>IF((IF((IF(OR(City_Inputs!$AG133="",Norm_Stats!$F$22="",Norm_Stats!$G$22="",Norm_Stats!$G$22=Norm_Stats!$F$22),"",MAX(0,MIN(100,100*(MIN(MAX(City_Inputs!$AG133,Norm_Stats!$F$22),Norm_Stats!$G$22)-Norm_Stats!$F$22)/(Norm_Stats!$G$22-Norm_Stats!$F$22)))))="",0,0.5)+IF((IF(OR(City_Inputs!$AJ133="",Norm_Stats!$F$23="",Norm_Stats!$G$23="",Norm_Stats!$G$23=Norm_Stats!$F$23),"",MAX(0,MIN(100,100*(MIN(MAX(City_Inputs!$AJ133,Norm_Stats!$F$23),Norm_Stats!$G$23)-Norm_Stats!$F$23)/(Norm_Stats!$G$23-Norm_Stats!$F$23)))))="",0,0.3)+IF((IF(OR(City_Inputs!$AK133="",Norm_Stats!$F$24="",Norm_Stats!$G$24="",Norm_Stats!$G$24=Norm_Stats!$F$24),"",MAX(0,MIN(100,100*(MIN(MAX(City_Inputs!$AK133,Norm_Stats!$F$24),Norm_Stats!$G$24)-Norm_Stats!$F$24)/(Norm_Stats!$G$24-Norm_Stats!$F$24)))))="",0,0.2))=0,"",(IF((IF(OR(City_Inputs!$AG133="",Norm_Stats!$F$22="",Norm_Stats!$G$22="",Norm_Stats!$G$22=Norm_Stats!$F$22),"",MAX(0,MIN(100,100*(MIN(MAX(City_Inputs!$AG133,Norm_Stats!$F$22),Norm_Stats!$G$22)-Norm_Stats!$F$22)/(Norm_Stats!$G$22-Norm_Stats!$F$22)))))="",0,0.5)+IF((IF(OR(City_Inputs!$AJ133="",Norm_Stats!$F$23="",Norm_Stats!$G$23="",Norm_Stats!$G$23=Norm_Stats!$F$23),"",MAX(0,MIN(100,100*(MIN(MAX(City_Inputs!$AJ133,Norm_Stats!$F$23),Norm_Stats!$G$23)-Norm_Stats!$F$23)/(Norm_Stats!$G$23-Norm_Stats!$F$23)))))="",0,0.3)+IF((IF(OR(City_Inputs!$AK133="",Norm_Stats!$F$24="",Norm_Stats!$G$24="",Norm_Stats!$G$24=Norm_Stats!$F$24),"",MAX(0,MIN(100,100*(MIN(MAX(City_Inputs!$AK133,Norm_Stats!$F$24),Norm_Stats!$G$24)-Norm_Stats!$F$24)/(Norm_Stats!$G$24-Norm_Stats!$F$24)))))="",0,0.2)))</f>
        <v/>
      </c>
      <c r="BE133" s="11">
        <f>IF(OR(City_Inputs!$AH133="",Norm_Stats!$F$25="",Norm_Stats!$G$25="",Norm_Stats!$G$25=Norm_Stats!$F$25),"",MAX(0,MIN(100,100*(Norm_Stats!$G$25-MIN(MAX(City_Inputs!$AH133,Norm_Stats!$F$25),Norm_Stats!$G$25))/(Norm_Stats!$G$25-Norm_Stats!$F$25))))</f>
        <v/>
      </c>
      <c r="BF133" s="14">
        <f>IF(BE133="","",1)</f>
        <v/>
      </c>
      <c r="BG133" s="15">
        <f>IF((IF(AY133="",0,6)+IF(BA133="",0,5)+IF(BC133="",0,5)+IF(BE133="",0,4))=0,"",(IF(AY133="",0,AY133*6)+IF(BA133="",0,BA133*5)+IF(BC133="",0,BC133*5)+IF(BE133="",0,BE133*4))/(IF(AY133="",0,6)+IF(BA133="",0,5)+IF(BC133="",0,5)+IF(BE133="",0,4)))</f>
        <v/>
      </c>
      <c r="BH133" s="14">
        <f>IF((IF(AZ133="",0,6)+IF(BB133="",0,5)+IF(BD133="",0,5)+IF(BF133="",0,4))=0,"",(IF(AZ133="",0,AZ133*6)+IF(BB133="",0,BB133*5)+IF(BD133="",0,BD133*5)+IF(BF133="",0,BF133*4))/20)</f>
        <v/>
      </c>
      <c r="BI133" s="14">
        <f>IF(AND(R133="",AF133="",AN133="",AX133="",BH133=""),"",((R133*25)+(AF133*22)+(AN133*18)+(AX133*15)+(BH133*20))/100)</f>
        <v/>
      </c>
      <c r="BJ133" s="11">
        <f>IF(BI133="","",IF(BI133&gt;=0.75,"A",IF(BI133&gt;=0.5,"B",IF(BI133&gt;=0.35,"C","Watchlist"))))</f>
        <v/>
      </c>
      <c r="BK133" s="11">
        <f>IF(OR(BI133="",BI133&lt;0.5,R133="",R133&lt;0.35,AF133="",AF133&lt;0.35,AN133="",AN133&lt;0.35,AX133="",AX133&lt;0.35,BH133="",BH133&lt;0.35),"Watchlist","Ranked")</f>
        <v/>
      </c>
      <c r="BL133" s="15">
        <f>IF(AND(Q133="",AE133="",AM133="",AW133="",BG133=""),"",(IF(Q133="",0,Q133*25)+IF(AE133="",0,AE133*22)+IF(AM133="",0,AM133*18)+IF(AW133="",0,AW133*15)+IF(BG133="",0,BG133*20))/(IF(Q133="",0,25)+IF(AE133="",0,22)+IF(AM133="",0,18)+IF(AW133="",0,15)+IF(BG133="",0,20)))</f>
        <v/>
      </c>
      <c r="BM133" s="11">
        <f>IF(BK133="Ranked",1+COUNTIFS($BK$2:$BK$158,"Ranked",$BL$2:$BL$158,"&gt;"&amp;BL133),"")</f>
        <v/>
      </c>
      <c r="BN133" s="11">
        <f>City_Inputs!$AI133</f>
        <v/>
      </c>
    </row>
    <row r="134">
      <c r="A134" t="inlineStr">
        <is>
          <t>se-gothenburg</t>
        </is>
      </c>
      <c r="B134" t="inlineStr">
        <is>
          <t>Gothenburg</t>
        </is>
      </c>
      <c r="C134" t="inlineStr">
        <is>
          <t>Sweden</t>
        </is>
      </c>
      <c r="D134" t="inlineStr">
        <is>
          <t>Western, Northern, and Southern Europe</t>
        </is>
      </c>
      <c r="E134" t="inlineStr">
        <is>
          <t>provisional</t>
        </is>
      </c>
      <c r="F134" t="inlineStr">
        <is>
          <t>primary</t>
        </is>
      </c>
      <c r="G134" s="11">
        <f>IF(OR(City_Inputs!$M134="",Norm_Stats!$F$2="",Norm_Stats!$G$2="",Norm_Stats!$G$2=Norm_Stats!$F$2),"",MAX(0,MIN(100,100*(MIN(MAX(City_Inputs!$M134,Norm_Stats!$F$2),Norm_Stats!$G$2)-Norm_Stats!$F$2)/(Norm_Stats!$G$2-Norm_Stats!$F$2))))</f>
        <v/>
      </c>
      <c r="H134" s="14">
        <f>IF(G134="","",1)</f>
        <v/>
      </c>
      <c r="I134" s="11">
        <f>IF(OR(City_Inputs!$N134="",Norm_Stats!$F$3="",Norm_Stats!$G$3="",Norm_Stats!$G$3=Norm_Stats!$F$3),"",MAX(0,MIN(100,100*(Norm_Stats!$G$3-MIN(MAX(City_Inputs!$N134,Norm_Stats!$F$3),Norm_Stats!$G$3))/(Norm_Stats!$G$3-Norm_Stats!$F$3))))</f>
        <v/>
      </c>
      <c r="J134" s="14">
        <f>IF(I134="","",1)</f>
        <v/>
      </c>
      <c r="K134" s="11">
        <f>IF(OR(City_Inputs!$P134="",Norm_Stats!$F$4="",Norm_Stats!$G$4="",Norm_Stats!$G$4=Norm_Stats!$F$4),"",MAX(0,MIN(100,100*(Norm_Stats!$G$4-MIN(MAX(City_Inputs!$P134,Norm_Stats!$F$4),Norm_Stats!$G$4))/(Norm_Stats!$G$4-Norm_Stats!$F$4))))</f>
        <v/>
      </c>
      <c r="L134" s="14">
        <f>IF(K134="","",1)</f>
        <v/>
      </c>
      <c r="M134" s="11">
        <f>IF(OR(City_Inputs!$Q134="",Norm_Stats!$F$5="",Norm_Stats!$G$5="",Norm_Stats!$G$5=Norm_Stats!$F$5),"",MAX(0,MIN(100,100*(Norm_Stats!$G$5-MIN(MAX(City_Inputs!$Q134,Norm_Stats!$F$5),Norm_Stats!$G$5))/(Norm_Stats!$G$5-Norm_Stats!$F$5))))</f>
        <v/>
      </c>
      <c r="N134" s="14">
        <f>IF(M134="","",1)</f>
        <v/>
      </c>
      <c r="O134" s="11">
        <f>IF(OR(City_Inputs!$R134="",Norm_Stats!$F$6="",Norm_Stats!$G$6="",Norm_Stats!$G$6=Norm_Stats!$F$6),"",MAX(0,MIN(100,100*(Norm_Stats!$G$6-MIN(MAX(City_Inputs!$R134,Norm_Stats!$F$6),Norm_Stats!$G$6))/(Norm_Stats!$G$6-Norm_Stats!$F$6))))</f>
        <v/>
      </c>
      <c r="P134" s="14">
        <f>IF(O134="","",1)</f>
        <v/>
      </c>
      <c r="Q134" s="15">
        <f>IF((IF(G134="",0,9)+IF(I134="",0,5)+IF(K134="",0,4)+IF(M134="",0,4)+IF(O134="",0,5))=0,"",(IF(G134="",0,G134*9)+IF(I134="",0,I134*5)+IF(K134="",0,K134*4)+IF(M134="",0,M134*4)+IF(O134="",0,O134*5))/(IF(G134="",0,9)+IF(I134="",0,5)+IF(K134="",0,4)+IF(M134="",0,4)+IF(O134="",0,5)))</f>
        <v/>
      </c>
      <c r="R134" s="14">
        <f>IF((IF(H134="",0,9)+IF(J134="",0,5)+IF(L134="",0,4)+IF(N134="",0,4)+IF(P134="",0,5))=0,"",(IF(H134="",0,H134*9)+IF(J134="",0,J134*5)+IF(L134="",0,L134*4)+IF(N134="",0,N134*4)+IF(P134="",0,P134*5))/27)</f>
        <v/>
      </c>
      <c r="S134" s="11">
        <f>IF(OR(City_Inputs!$S134="",Norm_Stats!$F$7="",Norm_Stats!$G$7="",Norm_Stats!$G$7=Norm_Stats!$F$7),"",MAX(0,MIN(100,100*(Norm_Stats!$G$7-MIN(MAX(City_Inputs!$S134,Norm_Stats!$F$7),Norm_Stats!$G$7))/(Norm_Stats!$G$7-Norm_Stats!$F$7))))</f>
        <v/>
      </c>
      <c r="T134" s="14">
        <f>IF(S134="","",1)</f>
        <v/>
      </c>
      <c r="U134" s="11">
        <f>IF(OR(City_Inputs!$T134="",Norm_Stats!$F$8="",Norm_Stats!$G$8="",Norm_Stats!$G$8=Norm_Stats!$F$8),"",MAX(0,MIN(100,100*(MIN(MAX(City_Inputs!$T134,Norm_Stats!$F$8),Norm_Stats!$G$8)-Norm_Stats!$F$8)/(Norm_Stats!$G$8-Norm_Stats!$F$8))))</f>
        <v/>
      </c>
      <c r="V134" s="14">
        <f>IF(U134="","",1)</f>
        <v/>
      </c>
      <c r="W134" s="11">
        <f>IF(OR(City_Inputs!$U134="",Norm_Stats!$F$9="",Norm_Stats!$G$9="",Norm_Stats!$G$9=Norm_Stats!$F$9),"",MAX(0,MIN(100,100*(Norm_Stats!$G$9-MIN(MAX(City_Inputs!$U134,Norm_Stats!$F$9),Norm_Stats!$G$9))/(Norm_Stats!$G$9-Norm_Stats!$F$9))))</f>
        <v/>
      </c>
      <c r="X134" s="14">
        <f>IF(W134="","",1)</f>
        <v/>
      </c>
      <c r="Y134" s="11">
        <f>IF(OR(City_Inputs!$V134="",Norm_Stats!$F$10="",Norm_Stats!$G$10="",Norm_Stats!$G$10=Norm_Stats!$F$10),"",MAX(0,MIN(100,100*(MIN(MAX(City_Inputs!$V134,Norm_Stats!$F$10),Norm_Stats!$G$10)-Norm_Stats!$F$10)/(Norm_Stats!$G$10-Norm_Stats!$F$10))))</f>
        <v/>
      </c>
      <c r="Z134" s="14">
        <f>IF(Y134="","",1)</f>
        <v/>
      </c>
      <c r="AA134" s="11">
        <f>IF(OR(City_Inputs!$W134="",Norm_Stats!$F$11="",Norm_Stats!$G$11="",Norm_Stats!$G$11=Norm_Stats!$F$11),"",MAX(0,MIN(100,100*(MIN(MAX(City_Inputs!$W134,Norm_Stats!$F$11),Norm_Stats!$G$11)-Norm_Stats!$F$11)/(Norm_Stats!$G$11-Norm_Stats!$F$11))))</f>
        <v/>
      </c>
      <c r="AB134" s="14">
        <f>IF(AA134="","",1)</f>
        <v/>
      </c>
      <c r="AC134" s="11">
        <f>IF(OR(City_Inputs!$X134="",Norm_Stats!$F$12="",Norm_Stats!$G$12="",Norm_Stats!$G$12=Norm_Stats!$F$12),"",MAX(0,MIN(100,100*(MIN(MAX(City_Inputs!$X134,Norm_Stats!$F$12),Norm_Stats!$G$12)-Norm_Stats!$F$12)/(Norm_Stats!$G$12-Norm_Stats!$F$12))))</f>
        <v/>
      </c>
      <c r="AD134" s="11">
        <f>IF(AC134="","",1)</f>
        <v/>
      </c>
      <c r="AE134" s="15">
        <f>IF((IF(S134="",0,5)+IF(U134="",0,5)+IF(W134="",0,4)+IF(Y134="",0,4)+IF(AA134="",0,4)+IF(AC134="",0,5))=0,"",(IF(S134="",0,S134*5)+IF(U134="",0,U134*5)+IF(W134="",0,W134*4)+IF(Y134="",0,Y134*4)+IF(AA134="",0,AA134*4)+IF(AC134="",0,AC134*5))/(IF(S134="",0,5)+IF(U134="",0,5)+IF(W134="",0,4)+IF(Y134="",0,4)+IF(AA134="",0,4)+IF(AC134="",0,5)))</f>
        <v/>
      </c>
      <c r="AF134" s="14">
        <f>IF((IF(T134="",0,5)+IF(V134="",0,5)+IF(X134="",0,4)+IF(Z134="",0,4)+IF(AB134="",0,4)+IF(AD134="",0,5))=0,"",(IF(T134="",0,T134*5)+IF(V134="",0,V134*5)+IF(X134="",0,X134*4)+IF(Z134="",0,Z134*4)+IF(AB134="",0,AB134*4)+IF(AD134="",0,AD134*5))/27)</f>
        <v/>
      </c>
      <c r="AG134" s="11">
        <f>IF(OR(City_Inputs!$Y134="",Norm_Stats!$F$13="",Norm_Stats!$G$13="",Norm_Stats!$G$13=Norm_Stats!$F$13),"",MAX(0,MIN(100,100*(MIN(MAX(City_Inputs!$Y134,Norm_Stats!$F$13),Norm_Stats!$G$13)-Norm_Stats!$F$13)/(Norm_Stats!$G$13-Norm_Stats!$F$13))))</f>
        <v/>
      </c>
      <c r="AH134" s="14">
        <f>IF(AG134="","",1)</f>
        <v/>
      </c>
      <c r="AI134" s="11">
        <f>IF(OR(City_Inputs!$Z134="",Norm_Stats!$F$14="",Norm_Stats!$G$14="",Norm_Stats!$G$14=Norm_Stats!$F$14),"",MAX(0,MIN(100,100*(MIN(MAX(City_Inputs!$Z134,Norm_Stats!$F$14),Norm_Stats!$G$14)-Norm_Stats!$F$14)/(Norm_Stats!$G$14-Norm_Stats!$F$14))))</f>
        <v/>
      </c>
      <c r="AJ134" s="14">
        <f>IF(AI134="","",1)</f>
        <v/>
      </c>
      <c r="AK134" s="11">
        <f>IF((IF((IF(OR(City_Inputs!$AA134="",Norm_Stats!$F$15="",Norm_Stats!$G$15="",Norm_Stats!$G$15=Norm_Stats!$F$15),"",MAX(0,MIN(100,100*(MIN(MAX(City_Inputs!$AA134,Norm_Stats!$F$15),Norm_Stats!$G$15)-Norm_Stats!$F$15)/(Norm_Stats!$G$15-Norm_Stats!$F$15)))))="",0,0.7)+IF((IF(OR(City_Inputs!$AL134="",Norm_Stats!$F$16="",Norm_Stats!$G$16="",Norm_Stats!$G$16=Norm_Stats!$F$16),"",MAX(0,MIN(100,100*(Norm_Stats!$G$16-MIN(MAX(City_Inputs!$AL134,Norm_Stats!$F$16),Norm_Stats!$G$16))/(Norm_Stats!$G$16-Norm_Stats!$F$16)))))="",0,0.3))=0,"",(IF((IF(OR(City_Inputs!$AA134="",Norm_Stats!$F$15="",Norm_Stats!$G$15="",Norm_Stats!$G$15=Norm_Stats!$F$15),"",MAX(0,MIN(100,100*(MIN(MAX(City_Inputs!$AA134,Norm_Stats!$F$15),Norm_Stats!$G$15)-Norm_Stats!$F$15)/(Norm_Stats!$G$15-Norm_Stats!$F$15)))))="",0,(IF(OR(City_Inputs!$AA134="",Norm_Stats!$F$15="",Norm_Stats!$G$15="",Norm_Stats!$G$15=Norm_Stats!$F$15),"",MAX(0,MIN(100,100*(MIN(MAX(City_Inputs!$AA134,Norm_Stats!$F$15),Norm_Stats!$G$15)-Norm_Stats!$F$15)/(Norm_Stats!$G$15-Norm_Stats!$F$15)))))*0.7)+IF((IF(OR(City_Inputs!$AL134="",Norm_Stats!$F$16="",Norm_Stats!$G$16="",Norm_Stats!$G$16=Norm_Stats!$F$16),"",MAX(0,MIN(100,100*(Norm_Stats!$G$16-MIN(MAX(City_Inputs!$AL134,Norm_Stats!$F$16),Norm_Stats!$G$16))/(Norm_Stats!$G$16-Norm_Stats!$F$16)))))="",0,(IF(OR(City_Inputs!$AL134="",Norm_Stats!$F$16="",Norm_Stats!$G$16="",Norm_Stats!$G$16=Norm_Stats!$F$16),"",MAX(0,MIN(100,100*(Norm_Stats!$G$16-MIN(MAX(City_Inputs!$AL134,Norm_Stats!$F$16),Norm_Stats!$G$16))/(Norm_Stats!$G$16-Norm_Stats!$F$16)))))*0.3))/(IF((IF(OR(City_Inputs!$AA134="",Norm_Stats!$F$15="",Norm_Stats!$G$15="",Norm_Stats!$G$15=Norm_Stats!$F$15),"",MAX(0,MIN(100,100*(MIN(MAX(City_Inputs!$AA134,Norm_Stats!$F$15),Norm_Stats!$G$15)-Norm_Stats!$F$15)/(Norm_Stats!$G$15-Norm_Stats!$F$15)))))="",0,0.7)+IF((IF(OR(City_Inputs!$AL134="",Norm_Stats!$F$16="",Norm_Stats!$G$16="",Norm_Stats!$G$16=Norm_Stats!$F$16),"",MAX(0,MIN(100,100*(Norm_Stats!$G$16-MIN(MAX(City_Inputs!$AL134,Norm_Stats!$F$16),Norm_Stats!$G$16))/(Norm_Stats!$G$16-Norm_Stats!$F$16)))))="",0,0.3)))</f>
        <v/>
      </c>
      <c r="AL134" s="14">
        <f>IF((IF((IF(OR(City_Inputs!$AA134="",Norm_Stats!$F$15="",Norm_Stats!$G$15="",Norm_Stats!$G$15=Norm_Stats!$F$15),"",MAX(0,MIN(100,100*(MIN(MAX(City_Inputs!$AA134,Norm_Stats!$F$15),Norm_Stats!$G$15)-Norm_Stats!$F$15)/(Norm_Stats!$G$15-Norm_Stats!$F$15)))))="",0,0.7)+IF((IF(OR(City_Inputs!$AL134="",Norm_Stats!$F$16="",Norm_Stats!$G$16="",Norm_Stats!$G$16=Norm_Stats!$F$16),"",MAX(0,MIN(100,100*(Norm_Stats!$G$16-MIN(MAX(City_Inputs!$AL134,Norm_Stats!$F$16),Norm_Stats!$G$16))/(Norm_Stats!$G$16-Norm_Stats!$F$16)))))="",0,0.3))=0,"",(IF((IF(OR(City_Inputs!$AA134="",Norm_Stats!$F$15="",Norm_Stats!$G$15="",Norm_Stats!$G$15=Norm_Stats!$F$15),"",MAX(0,MIN(100,100*(MIN(MAX(City_Inputs!$AA134,Norm_Stats!$F$15),Norm_Stats!$G$15)-Norm_Stats!$F$15)/(Norm_Stats!$G$15-Norm_Stats!$F$15)))))="",0,0.7)+IF((IF(OR(City_Inputs!$AL134="",Norm_Stats!$F$16="",Norm_Stats!$G$16="",Norm_Stats!$G$16=Norm_Stats!$F$16),"",MAX(0,MIN(100,100*(Norm_Stats!$G$16-MIN(MAX(City_Inputs!$AL134,Norm_Stats!$F$16),Norm_Stats!$G$16))/(Norm_Stats!$G$16-Norm_Stats!$F$16)))))="",0,0.3)))</f>
        <v/>
      </c>
      <c r="AM134" s="15">
        <f>IF((IF(AG134="",0,8)+IF(AI134="",0,6)+IF(AK134="",0,4))=0,"",(IF(AG134="",0,AG134*8)+IF(AI134="",0,AI134*6)+IF(AK134="",0,AK134*4))/(IF(AG134="",0,8)+IF(AI134="",0,6)+IF(AK134="",0,4)))</f>
        <v/>
      </c>
      <c r="AN134" s="14">
        <f>IF((IF(AH134="",0,8)+IF(AJ134="",0,6)+IF(AL134="",0,4))=0,"",(IF(AH134="",0,AH134*8)+IF(AJ134="",0,AJ134*6)+IF(AL134="",0,AL134*4))/18)</f>
        <v/>
      </c>
      <c r="AO134" s="11">
        <f>IF(OR(City_Inputs!$AB134="",Norm_Stats!$F$17="",Norm_Stats!$G$17="",Norm_Stats!$G$17=Norm_Stats!$F$17),"",MAX(0,MIN(100,100*(MIN(MAX(City_Inputs!$AB134,Norm_Stats!$F$17),Norm_Stats!$G$17)-Norm_Stats!$F$17)/(Norm_Stats!$G$17-Norm_Stats!$F$17))))</f>
        <v/>
      </c>
      <c r="AP134" s="14">
        <f>IF(AO134="","",1)</f>
        <v/>
      </c>
      <c r="AQ134" s="11">
        <f>IF(OR(City_Inputs!$AC134="",Norm_Stats!$F$18="",Norm_Stats!$G$18="",Norm_Stats!$G$18=Norm_Stats!$F$18),"",MAX(0,MIN(100,100*(MIN(MAX(City_Inputs!$AC134,Norm_Stats!$F$18),Norm_Stats!$G$18)-Norm_Stats!$F$18)/(Norm_Stats!$G$18-Norm_Stats!$F$18))))</f>
        <v/>
      </c>
      <c r="AR134" s="14">
        <f>IF(AQ134="","",1)</f>
        <v/>
      </c>
      <c r="AS134" s="11">
        <f>IF(OR(City_Inputs!$AD134="",Norm_Stats!$F$19="",Norm_Stats!$G$19="",Norm_Stats!$G$19=Norm_Stats!$F$19),"",MAX(0,MIN(100,100*(MIN(MAX(City_Inputs!$AD134,Norm_Stats!$F$19),Norm_Stats!$G$19)-Norm_Stats!$F$19)/(Norm_Stats!$G$19-Norm_Stats!$F$19))))</f>
        <v/>
      </c>
      <c r="AT134" s="14">
        <f>IF(AS134="","",1)</f>
        <v/>
      </c>
      <c r="AU134" s="11">
        <f>IF(OR(City_Inputs!$BJ134="",Norm_Stats!$F$26="",Norm_Stats!$G$26="",Norm_Stats!$G$26=Norm_Stats!$F$26),"",MAX(0,MIN(100,100*(MIN(MAX(City_Inputs!$BJ134,Norm_Stats!$F$26),Norm_Stats!$G$26)-Norm_Stats!$F$26)/(Norm_Stats!$G$26-Norm_Stats!$F$26))))</f>
        <v/>
      </c>
      <c r="AV134" s="11">
        <f>IF(AU134="","",1)</f>
        <v/>
      </c>
      <c r="AW134" s="15">
        <f>IF((IF(AO134="",0,5)+IF(AQ134="",0,5)+IF(AS134="",0,5)+IF(AU134="",0,4))=0,"",(IF(AO134="",0,AO134*5)+IF(AQ134="",0,AQ134*5)+IF(AS134="",0,AS134*5)+IF(AU134="",0,AU134*4))/(IF(AO134="",0,5)+IF(AQ134="",0,5)+IF(AS134="",0,5)+IF(AU134="",0,4)))</f>
        <v/>
      </c>
      <c r="AX134" s="14">
        <f>IF((IF(AP134="",0,5)+IF(AR134="",0,5)+IF(AT134="",0,5)+IF(AV134="",0,4))=0,"",(IF(AP134="",0,AP134*5)+IF(AR134="",0,AR134*5)+IF(AT134="",0,AT134*5)+IF(AV134="",0,AV134*4))/19)</f>
        <v/>
      </c>
      <c r="AY134" s="11">
        <f>IF(OR(City_Inputs!$AE134="",Norm_Stats!$F$20="",Norm_Stats!$G$20="",Norm_Stats!$G$20=Norm_Stats!$F$20),"",MAX(0,MIN(100,100*(MIN(MAX(City_Inputs!$AE134,Norm_Stats!$F$20),Norm_Stats!$G$20)-Norm_Stats!$F$20)/(Norm_Stats!$G$20-Norm_Stats!$F$20))))</f>
        <v/>
      </c>
      <c r="AZ134" s="14">
        <f>IF(AY134="","",1)</f>
        <v/>
      </c>
      <c r="BA134" s="11">
        <f>IF(OR(City_Inputs!$AF134="",Norm_Stats!$F$21="",Norm_Stats!$G$21="",Norm_Stats!$G$21=Norm_Stats!$F$21),"",MAX(0,MIN(100,100*(MIN(MAX(City_Inputs!$AF134,Norm_Stats!$F$21),Norm_Stats!$G$21)-Norm_Stats!$F$21)/(Norm_Stats!$G$21-Norm_Stats!$F$21))))</f>
        <v/>
      </c>
      <c r="BB134" s="14">
        <f>IF(BA134="","",1)</f>
        <v/>
      </c>
      <c r="BC134" s="11">
        <f>IF((IF((IF(OR(City_Inputs!$AG134="",Norm_Stats!$F$22="",Norm_Stats!$G$22="",Norm_Stats!$G$22=Norm_Stats!$F$22),"",MAX(0,MIN(100,100*(MIN(MAX(City_Inputs!$AG134,Norm_Stats!$F$22),Norm_Stats!$G$22)-Norm_Stats!$F$22)/(Norm_Stats!$G$22-Norm_Stats!$F$22)))))="",0,0.5)+IF((IF(OR(City_Inputs!$AJ134="",Norm_Stats!$F$23="",Norm_Stats!$G$23="",Norm_Stats!$G$23=Norm_Stats!$F$23),"",MAX(0,MIN(100,100*(MIN(MAX(City_Inputs!$AJ134,Norm_Stats!$F$23),Norm_Stats!$G$23)-Norm_Stats!$F$23)/(Norm_Stats!$G$23-Norm_Stats!$F$23)))))="",0,0.3)+IF((IF(OR(City_Inputs!$AK134="",Norm_Stats!$F$24="",Norm_Stats!$G$24="",Norm_Stats!$G$24=Norm_Stats!$F$24),"",MAX(0,MIN(100,100*(MIN(MAX(City_Inputs!$AK134,Norm_Stats!$F$24),Norm_Stats!$G$24)-Norm_Stats!$F$24)/(Norm_Stats!$G$24-Norm_Stats!$F$24)))))="",0,0.2))=0,"",(IF((IF(OR(City_Inputs!$AG134="",Norm_Stats!$F$22="",Norm_Stats!$G$22="",Norm_Stats!$G$22=Norm_Stats!$F$22),"",MAX(0,MIN(100,100*(MIN(MAX(City_Inputs!$AG134,Norm_Stats!$F$22),Norm_Stats!$G$22)-Norm_Stats!$F$22)/(Norm_Stats!$G$22-Norm_Stats!$F$22)))))="",0,(IF(OR(City_Inputs!$AG134="",Norm_Stats!$F$22="",Norm_Stats!$G$22="",Norm_Stats!$G$22=Norm_Stats!$F$22),"",MAX(0,MIN(100,100*(MIN(MAX(City_Inputs!$AG134,Norm_Stats!$F$22),Norm_Stats!$G$22)-Norm_Stats!$F$22)/(Norm_Stats!$G$22-Norm_Stats!$F$22)))))*0.5)+IF((IF(OR(City_Inputs!$AJ134="",Norm_Stats!$F$23="",Norm_Stats!$G$23="",Norm_Stats!$G$23=Norm_Stats!$F$23),"",MAX(0,MIN(100,100*(MIN(MAX(City_Inputs!$AJ134,Norm_Stats!$F$23),Norm_Stats!$G$23)-Norm_Stats!$F$23)/(Norm_Stats!$G$23-Norm_Stats!$F$23)))))="",0,(IF(OR(City_Inputs!$AJ134="",Norm_Stats!$F$23="",Norm_Stats!$G$23="",Norm_Stats!$G$23=Norm_Stats!$F$23),"",MAX(0,MIN(100,100*(MIN(MAX(City_Inputs!$AJ134,Norm_Stats!$F$23),Norm_Stats!$G$23)-Norm_Stats!$F$23)/(Norm_Stats!$G$23-Norm_Stats!$F$23)))))*0.3)+IF((IF(OR(City_Inputs!$AK134="",Norm_Stats!$F$24="",Norm_Stats!$G$24="",Norm_Stats!$G$24=Norm_Stats!$F$24),"",MAX(0,MIN(100,100*(MIN(MAX(City_Inputs!$AK134,Norm_Stats!$F$24),Norm_Stats!$G$24)-Norm_Stats!$F$24)/(Norm_Stats!$G$24-Norm_Stats!$F$24)))))="",0,(IF(OR(City_Inputs!$AK134="",Norm_Stats!$F$24="",Norm_Stats!$G$24="",Norm_Stats!$G$24=Norm_Stats!$F$24),"",MAX(0,MIN(100,100*(MIN(MAX(City_Inputs!$AK134,Norm_Stats!$F$24),Norm_Stats!$G$24)-Norm_Stats!$F$24)/(Norm_Stats!$G$24-Norm_Stats!$F$24)))))*0.2))/(IF((IF(OR(City_Inputs!$AG134="",Norm_Stats!$F$22="",Norm_Stats!$G$22="",Norm_Stats!$G$22=Norm_Stats!$F$22),"",MAX(0,MIN(100,100*(MIN(MAX(City_Inputs!$AG134,Norm_Stats!$F$22),Norm_Stats!$G$22)-Norm_Stats!$F$22)/(Norm_Stats!$G$22-Norm_Stats!$F$22)))))="",0,0.5)+IF((IF(OR(City_Inputs!$AJ134="",Norm_Stats!$F$23="",Norm_Stats!$G$23="",Norm_Stats!$G$23=Norm_Stats!$F$23),"",MAX(0,MIN(100,100*(MIN(MAX(City_Inputs!$AJ134,Norm_Stats!$F$23),Norm_Stats!$G$23)-Norm_Stats!$F$23)/(Norm_Stats!$G$23-Norm_Stats!$F$23)))))="",0,0.3)+IF((IF(OR(City_Inputs!$AK134="",Norm_Stats!$F$24="",Norm_Stats!$G$24="",Norm_Stats!$G$24=Norm_Stats!$F$24),"",MAX(0,MIN(100,100*(MIN(MAX(City_Inputs!$AK134,Norm_Stats!$F$24),Norm_Stats!$G$24)-Norm_Stats!$F$24)/(Norm_Stats!$G$24-Norm_Stats!$F$24)))))="",0,0.2)))</f>
        <v/>
      </c>
      <c r="BD134" s="14">
        <f>IF((IF((IF(OR(City_Inputs!$AG134="",Norm_Stats!$F$22="",Norm_Stats!$G$22="",Norm_Stats!$G$22=Norm_Stats!$F$22),"",MAX(0,MIN(100,100*(MIN(MAX(City_Inputs!$AG134,Norm_Stats!$F$22),Norm_Stats!$G$22)-Norm_Stats!$F$22)/(Norm_Stats!$G$22-Norm_Stats!$F$22)))))="",0,0.5)+IF((IF(OR(City_Inputs!$AJ134="",Norm_Stats!$F$23="",Norm_Stats!$G$23="",Norm_Stats!$G$23=Norm_Stats!$F$23),"",MAX(0,MIN(100,100*(MIN(MAX(City_Inputs!$AJ134,Norm_Stats!$F$23),Norm_Stats!$G$23)-Norm_Stats!$F$23)/(Norm_Stats!$G$23-Norm_Stats!$F$23)))))="",0,0.3)+IF((IF(OR(City_Inputs!$AK134="",Norm_Stats!$F$24="",Norm_Stats!$G$24="",Norm_Stats!$G$24=Norm_Stats!$F$24),"",MAX(0,MIN(100,100*(MIN(MAX(City_Inputs!$AK134,Norm_Stats!$F$24),Norm_Stats!$G$24)-Norm_Stats!$F$24)/(Norm_Stats!$G$24-Norm_Stats!$F$24)))))="",0,0.2))=0,"",(IF((IF(OR(City_Inputs!$AG134="",Norm_Stats!$F$22="",Norm_Stats!$G$22="",Norm_Stats!$G$22=Norm_Stats!$F$22),"",MAX(0,MIN(100,100*(MIN(MAX(City_Inputs!$AG134,Norm_Stats!$F$22),Norm_Stats!$G$22)-Norm_Stats!$F$22)/(Norm_Stats!$G$22-Norm_Stats!$F$22)))))="",0,0.5)+IF((IF(OR(City_Inputs!$AJ134="",Norm_Stats!$F$23="",Norm_Stats!$G$23="",Norm_Stats!$G$23=Norm_Stats!$F$23),"",MAX(0,MIN(100,100*(MIN(MAX(City_Inputs!$AJ134,Norm_Stats!$F$23),Norm_Stats!$G$23)-Norm_Stats!$F$23)/(Norm_Stats!$G$23-Norm_Stats!$F$23)))))="",0,0.3)+IF((IF(OR(City_Inputs!$AK134="",Norm_Stats!$F$24="",Norm_Stats!$G$24="",Norm_Stats!$G$24=Norm_Stats!$F$24),"",MAX(0,MIN(100,100*(MIN(MAX(City_Inputs!$AK134,Norm_Stats!$F$24),Norm_Stats!$G$24)-Norm_Stats!$F$24)/(Norm_Stats!$G$24-Norm_Stats!$F$24)))))="",0,0.2)))</f>
        <v/>
      </c>
      <c r="BE134" s="11">
        <f>IF(OR(City_Inputs!$AH134="",Norm_Stats!$F$25="",Norm_Stats!$G$25="",Norm_Stats!$G$25=Norm_Stats!$F$25),"",MAX(0,MIN(100,100*(Norm_Stats!$G$25-MIN(MAX(City_Inputs!$AH134,Norm_Stats!$F$25),Norm_Stats!$G$25))/(Norm_Stats!$G$25-Norm_Stats!$F$25))))</f>
        <v/>
      </c>
      <c r="BF134" s="14">
        <f>IF(BE134="","",1)</f>
        <v/>
      </c>
      <c r="BG134" s="15">
        <f>IF((IF(AY134="",0,6)+IF(BA134="",0,5)+IF(BC134="",0,5)+IF(BE134="",0,4))=0,"",(IF(AY134="",0,AY134*6)+IF(BA134="",0,BA134*5)+IF(BC134="",0,BC134*5)+IF(BE134="",0,BE134*4))/(IF(AY134="",0,6)+IF(BA134="",0,5)+IF(BC134="",0,5)+IF(BE134="",0,4)))</f>
        <v/>
      </c>
      <c r="BH134" s="14">
        <f>IF((IF(AZ134="",0,6)+IF(BB134="",0,5)+IF(BD134="",0,5)+IF(BF134="",0,4))=0,"",(IF(AZ134="",0,AZ134*6)+IF(BB134="",0,BB134*5)+IF(BD134="",0,BD134*5)+IF(BF134="",0,BF134*4))/20)</f>
        <v/>
      </c>
      <c r="BI134" s="14">
        <f>IF(AND(R134="",AF134="",AN134="",AX134="",BH134=""),"",((R134*25)+(AF134*22)+(AN134*18)+(AX134*15)+(BH134*20))/100)</f>
        <v/>
      </c>
      <c r="BJ134" s="11">
        <f>IF(BI134="","",IF(BI134&gt;=0.75,"A",IF(BI134&gt;=0.5,"B",IF(BI134&gt;=0.35,"C","Watchlist"))))</f>
        <v/>
      </c>
      <c r="BK134" s="11">
        <f>IF(OR(BI134="",BI134&lt;0.5,R134="",R134&lt;0.35,AF134="",AF134&lt;0.35,AN134="",AN134&lt;0.35,AX134="",AX134&lt;0.35,BH134="",BH134&lt;0.35),"Watchlist","Ranked")</f>
        <v/>
      </c>
      <c r="BL134" s="15">
        <f>IF(AND(Q134="",AE134="",AM134="",AW134="",BG134=""),"",(IF(Q134="",0,Q134*25)+IF(AE134="",0,AE134*22)+IF(AM134="",0,AM134*18)+IF(AW134="",0,AW134*15)+IF(BG134="",0,BG134*20))/(IF(Q134="",0,25)+IF(AE134="",0,22)+IF(AM134="",0,18)+IF(AW134="",0,15)+IF(BG134="",0,20)))</f>
        <v/>
      </c>
      <c r="BM134" s="11">
        <f>IF(BK134="Ranked",1+COUNTIFS($BK$2:$BK$158,"Ranked",$BL$2:$BL$158,"&gt;"&amp;BL134),"")</f>
        <v/>
      </c>
      <c r="BN134" s="11">
        <f>City_Inputs!$AI134</f>
        <v/>
      </c>
    </row>
    <row r="135">
      <c r="A135" t="inlineStr">
        <is>
          <t>no-bergen</t>
        </is>
      </c>
      <c r="B135" t="inlineStr">
        <is>
          <t>Bergen</t>
        </is>
      </c>
      <c r="C135" t="inlineStr">
        <is>
          <t>Norway</t>
        </is>
      </c>
      <c r="D135" t="inlineStr">
        <is>
          <t>Western, Northern, and Southern Europe</t>
        </is>
      </c>
      <c r="E135" t="inlineStr">
        <is>
          <t>provisional</t>
        </is>
      </c>
      <c r="F135" t="inlineStr">
        <is>
          <t>secondary</t>
        </is>
      </c>
      <c r="G135" s="11">
        <f>IF(OR(City_Inputs!$M135="",Norm_Stats!$F$2="",Norm_Stats!$G$2="",Norm_Stats!$G$2=Norm_Stats!$F$2),"",MAX(0,MIN(100,100*(MIN(MAX(City_Inputs!$M135,Norm_Stats!$F$2),Norm_Stats!$G$2)-Norm_Stats!$F$2)/(Norm_Stats!$G$2-Norm_Stats!$F$2))))</f>
        <v/>
      </c>
      <c r="H135" s="14">
        <f>IF(G135="","",1)</f>
        <v/>
      </c>
      <c r="I135" s="11">
        <f>IF(OR(City_Inputs!$N135="",Norm_Stats!$F$3="",Norm_Stats!$G$3="",Norm_Stats!$G$3=Norm_Stats!$F$3),"",MAX(0,MIN(100,100*(Norm_Stats!$G$3-MIN(MAX(City_Inputs!$N135,Norm_Stats!$F$3),Norm_Stats!$G$3))/(Norm_Stats!$G$3-Norm_Stats!$F$3))))</f>
        <v/>
      </c>
      <c r="J135" s="14">
        <f>IF(I135="","",1)</f>
        <v/>
      </c>
      <c r="K135" s="11">
        <f>IF(OR(City_Inputs!$P135="",Norm_Stats!$F$4="",Norm_Stats!$G$4="",Norm_Stats!$G$4=Norm_Stats!$F$4),"",MAX(0,MIN(100,100*(Norm_Stats!$G$4-MIN(MAX(City_Inputs!$P135,Norm_Stats!$F$4),Norm_Stats!$G$4))/(Norm_Stats!$G$4-Norm_Stats!$F$4))))</f>
        <v/>
      </c>
      <c r="L135" s="14">
        <f>IF(K135="","",1)</f>
        <v/>
      </c>
      <c r="M135" s="11">
        <f>IF(OR(City_Inputs!$Q135="",Norm_Stats!$F$5="",Norm_Stats!$G$5="",Norm_Stats!$G$5=Norm_Stats!$F$5),"",MAX(0,MIN(100,100*(Norm_Stats!$G$5-MIN(MAX(City_Inputs!$Q135,Norm_Stats!$F$5),Norm_Stats!$G$5))/(Norm_Stats!$G$5-Norm_Stats!$F$5))))</f>
        <v/>
      </c>
      <c r="N135" s="14">
        <f>IF(M135="","",1)</f>
        <v/>
      </c>
      <c r="O135" s="11">
        <f>IF(OR(City_Inputs!$R135="",Norm_Stats!$F$6="",Norm_Stats!$G$6="",Norm_Stats!$G$6=Norm_Stats!$F$6),"",MAX(0,MIN(100,100*(Norm_Stats!$G$6-MIN(MAX(City_Inputs!$R135,Norm_Stats!$F$6),Norm_Stats!$G$6))/(Norm_Stats!$G$6-Norm_Stats!$F$6))))</f>
        <v/>
      </c>
      <c r="P135" s="14">
        <f>IF(O135="","",1)</f>
        <v/>
      </c>
      <c r="Q135" s="15">
        <f>IF((IF(G135="",0,9)+IF(I135="",0,5)+IF(K135="",0,4)+IF(M135="",0,4)+IF(O135="",0,5))=0,"",(IF(G135="",0,G135*9)+IF(I135="",0,I135*5)+IF(K135="",0,K135*4)+IF(M135="",0,M135*4)+IF(O135="",0,O135*5))/(IF(G135="",0,9)+IF(I135="",0,5)+IF(K135="",0,4)+IF(M135="",0,4)+IF(O135="",0,5)))</f>
        <v/>
      </c>
      <c r="R135" s="14">
        <f>IF((IF(H135="",0,9)+IF(J135="",0,5)+IF(L135="",0,4)+IF(N135="",0,4)+IF(P135="",0,5))=0,"",(IF(H135="",0,H135*9)+IF(J135="",0,J135*5)+IF(L135="",0,L135*4)+IF(N135="",0,N135*4)+IF(P135="",0,P135*5))/27)</f>
        <v/>
      </c>
      <c r="S135" s="11">
        <f>IF(OR(City_Inputs!$S135="",Norm_Stats!$F$7="",Norm_Stats!$G$7="",Norm_Stats!$G$7=Norm_Stats!$F$7),"",MAX(0,MIN(100,100*(Norm_Stats!$G$7-MIN(MAX(City_Inputs!$S135,Norm_Stats!$F$7),Norm_Stats!$G$7))/(Norm_Stats!$G$7-Norm_Stats!$F$7))))</f>
        <v/>
      </c>
      <c r="T135" s="14">
        <f>IF(S135="","",1)</f>
        <v/>
      </c>
      <c r="U135" s="11">
        <f>IF(OR(City_Inputs!$T135="",Norm_Stats!$F$8="",Norm_Stats!$G$8="",Norm_Stats!$G$8=Norm_Stats!$F$8),"",MAX(0,MIN(100,100*(MIN(MAX(City_Inputs!$T135,Norm_Stats!$F$8),Norm_Stats!$G$8)-Norm_Stats!$F$8)/(Norm_Stats!$G$8-Norm_Stats!$F$8))))</f>
        <v/>
      </c>
      <c r="V135" s="14">
        <f>IF(U135="","",1)</f>
        <v/>
      </c>
      <c r="W135" s="11">
        <f>IF(OR(City_Inputs!$U135="",Norm_Stats!$F$9="",Norm_Stats!$G$9="",Norm_Stats!$G$9=Norm_Stats!$F$9),"",MAX(0,MIN(100,100*(Norm_Stats!$G$9-MIN(MAX(City_Inputs!$U135,Norm_Stats!$F$9),Norm_Stats!$G$9))/(Norm_Stats!$G$9-Norm_Stats!$F$9))))</f>
        <v/>
      </c>
      <c r="X135" s="14">
        <f>IF(W135="","",1)</f>
        <v/>
      </c>
      <c r="Y135" s="11">
        <f>IF(OR(City_Inputs!$V135="",Norm_Stats!$F$10="",Norm_Stats!$G$10="",Norm_Stats!$G$10=Norm_Stats!$F$10),"",MAX(0,MIN(100,100*(MIN(MAX(City_Inputs!$V135,Norm_Stats!$F$10),Norm_Stats!$G$10)-Norm_Stats!$F$10)/(Norm_Stats!$G$10-Norm_Stats!$F$10))))</f>
        <v/>
      </c>
      <c r="Z135" s="14">
        <f>IF(Y135="","",1)</f>
        <v/>
      </c>
      <c r="AA135" s="11">
        <f>IF(OR(City_Inputs!$W135="",Norm_Stats!$F$11="",Norm_Stats!$G$11="",Norm_Stats!$G$11=Norm_Stats!$F$11),"",MAX(0,MIN(100,100*(MIN(MAX(City_Inputs!$W135,Norm_Stats!$F$11),Norm_Stats!$G$11)-Norm_Stats!$F$11)/(Norm_Stats!$G$11-Norm_Stats!$F$11))))</f>
        <v/>
      </c>
      <c r="AB135" s="14">
        <f>IF(AA135="","",1)</f>
        <v/>
      </c>
      <c r="AC135" s="11">
        <f>IF(OR(City_Inputs!$X135="",Norm_Stats!$F$12="",Norm_Stats!$G$12="",Norm_Stats!$G$12=Norm_Stats!$F$12),"",MAX(0,MIN(100,100*(MIN(MAX(City_Inputs!$X135,Norm_Stats!$F$12),Norm_Stats!$G$12)-Norm_Stats!$F$12)/(Norm_Stats!$G$12-Norm_Stats!$F$12))))</f>
        <v/>
      </c>
      <c r="AD135" s="11">
        <f>IF(AC135="","",1)</f>
        <v/>
      </c>
      <c r="AE135" s="15">
        <f>IF((IF(S135="",0,5)+IF(U135="",0,5)+IF(W135="",0,4)+IF(Y135="",0,4)+IF(AA135="",0,4)+IF(AC135="",0,5))=0,"",(IF(S135="",0,S135*5)+IF(U135="",0,U135*5)+IF(W135="",0,W135*4)+IF(Y135="",0,Y135*4)+IF(AA135="",0,AA135*4)+IF(AC135="",0,AC135*5))/(IF(S135="",0,5)+IF(U135="",0,5)+IF(W135="",0,4)+IF(Y135="",0,4)+IF(AA135="",0,4)+IF(AC135="",0,5)))</f>
        <v/>
      </c>
      <c r="AF135" s="14">
        <f>IF((IF(T135="",0,5)+IF(V135="",0,5)+IF(X135="",0,4)+IF(Z135="",0,4)+IF(AB135="",0,4)+IF(AD135="",0,5))=0,"",(IF(T135="",0,T135*5)+IF(V135="",0,V135*5)+IF(X135="",0,X135*4)+IF(Z135="",0,Z135*4)+IF(AB135="",0,AB135*4)+IF(AD135="",0,AD135*5))/27)</f>
        <v/>
      </c>
      <c r="AG135" s="11">
        <f>IF(OR(City_Inputs!$Y135="",Norm_Stats!$F$13="",Norm_Stats!$G$13="",Norm_Stats!$G$13=Norm_Stats!$F$13),"",MAX(0,MIN(100,100*(MIN(MAX(City_Inputs!$Y135,Norm_Stats!$F$13),Norm_Stats!$G$13)-Norm_Stats!$F$13)/(Norm_Stats!$G$13-Norm_Stats!$F$13))))</f>
        <v/>
      </c>
      <c r="AH135" s="14">
        <f>IF(AG135="","",1)</f>
        <v/>
      </c>
      <c r="AI135" s="11">
        <f>IF(OR(City_Inputs!$Z135="",Norm_Stats!$F$14="",Norm_Stats!$G$14="",Norm_Stats!$G$14=Norm_Stats!$F$14),"",MAX(0,MIN(100,100*(MIN(MAX(City_Inputs!$Z135,Norm_Stats!$F$14),Norm_Stats!$G$14)-Norm_Stats!$F$14)/(Norm_Stats!$G$14-Norm_Stats!$F$14))))</f>
        <v/>
      </c>
      <c r="AJ135" s="14">
        <f>IF(AI135="","",1)</f>
        <v/>
      </c>
      <c r="AK135" s="11">
        <f>IF((IF((IF(OR(City_Inputs!$AA135="",Norm_Stats!$F$15="",Norm_Stats!$G$15="",Norm_Stats!$G$15=Norm_Stats!$F$15),"",MAX(0,MIN(100,100*(MIN(MAX(City_Inputs!$AA135,Norm_Stats!$F$15),Norm_Stats!$G$15)-Norm_Stats!$F$15)/(Norm_Stats!$G$15-Norm_Stats!$F$15)))))="",0,0.7)+IF((IF(OR(City_Inputs!$AL135="",Norm_Stats!$F$16="",Norm_Stats!$G$16="",Norm_Stats!$G$16=Norm_Stats!$F$16),"",MAX(0,MIN(100,100*(Norm_Stats!$G$16-MIN(MAX(City_Inputs!$AL135,Norm_Stats!$F$16),Norm_Stats!$G$16))/(Norm_Stats!$G$16-Norm_Stats!$F$16)))))="",0,0.3))=0,"",(IF((IF(OR(City_Inputs!$AA135="",Norm_Stats!$F$15="",Norm_Stats!$G$15="",Norm_Stats!$G$15=Norm_Stats!$F$15),"",MAX(0,MIN(100,100*(MIN(MAX(City_Inputs!$AA135,Norm_Stats!$F$15),Norm_Stats!$G$15)-Norm_Stats!$F$15)/(Norm_Stats!$G$15-Norm_Stats!$F$15)))))="",0,(IF(OR(City_Inputs!$AA135="",Norm_Stats!$F$15="",Norm_Stats!$G$15="",Norm_Stats!$G$15=Norm_Stats!$F$15),"",MAX(0,MIN(100,100*(MIN(MAX(City_Inputs!$AA135,Norm_Stats!$F$15),Norm_Stats!$G$15)-Norm_Stats!$F$15)/(Norm_Stats!$G$15-Norm_Stats!$F$15)))))*0.7)+IF((IF(OR(City_Inputs!$AL135="",Norm_Stats!$F$16="",Norm_Stats!$G$16="",Norm_Stats!$G$16=Norm_Stats!$F$16),"",MAX(0,MIN(100,100*(Norm_Stats!$G$16-MIN(MAX(City_Inputs!$AL135,Norm_Stats!$F$16),Norm_Stats!$G$16))/(Norm_Stats!$G$16-Norm_Stats!$F$16)))))="",0,(IF(OR(City_Inputs!$AL135="",Norm_Stats!$F$16="",Norm_Stats!$G$16="",Norm_Stats!$G$16=Norm_Stats!$F$16),"",MAX(0,MIN(100,100*(Norm_Stats!$G$16-MIN(MAX(City_Inputs!$AL135,Norm_Stats!$F$16),Norm_Stats!$G$16))/(Norm_Stats!$G$16-Norm_Stats!$F$16)))))*0.3))/(IF((IF(OR(City_Inputs!$AA135="",Norm_Stats!$F$15="",Norm_Stats!$G$15="",Norm_Stats!$G$15=Norm_Stats!$F$15),"",MAX(0,MIN(100,100*(MIN(MAX(City_Inputs!$AA135,Norm_Stats!$F$15),Norm_Stats!$G$15)-Norm_Stats!$F$15)/(Norm_Stats!$G$15-Norm_Stats!$F$15)))))="",0,0.7)+IF((IF(OR(City_Inputs!$AL135="",Norm_Stats!$F$16="",Norm_Stats!$G$16="",Norm_Stats!$G$16=Norm_Stats!$F$16),"",MAX(0,MIN(100,100*(Norm_Stats!$G$16-MIN(MAX(City_Inputs!$AL135,Norm_Stats!$F$16),Norm_Stats!$G$16))/(Norm_Stats!$G$16-Norm_Stats!$F$16)))))="",0,0.3)))</f>
        <v/>
      </c>
      <c r="AL135" s="14">
        <f>IF((IF((IF(OR(City_Inputs!$AA135="",Norm_Stats!$F$15="",Norm_Stats!$G$15="",Norm_Stats!$G$15=Norm_Stats!$F$15),"",MAX(0,MIN(100,100*(MIN(MAX(City_Inputs!$AA135,Norm_Stats!$F$15),Norm_Stats!$G$15)-Norm_Stats!$F$15)/(Norm_Stats!$G$15-Norm_Stats!$F$15)))))="",0,0.7)+IF((IF(OR(City_Inputs!$AL135="",Norm_Stats!$F$16="",Norm_Stats!$G$16="",Norm_Stats!$G$16=Norm_Stats!$F$16),"",MAX(0,MIN(100,100*(Norm_Stats!$G$16-MIN(MAX(City_Inputs!$AL135,Norm_Stats!$F$16),Norm_Stats!$G$16))/(Norm_Stats!$G$16-Norm_Stats!$F$16)))))="",0,0.3))=0,"",(IF((IF(OR(City_Inputs!$AA135="",Norm_Stats!$F$15="",Norm_Stats!$G$15="",Norm_Stats!$G$15=Norm_Stats!$F$15),"",MAX(0,MIN(100,100*(MIN(MAX(City_Inputs!$AA135,Norm_Stats!$F$15),Norm_Stats!$G$15)-Norm_Stats!$F$15)/(Norm_Stats!$G$15-Norm_Stats!$F$15)))))="",0,0.7)+IF((IF(OR(City_Inputs!$AL135="",Norm_Stats!$F$16="",Norm_Stats!$G$16="",Norm_Stats!$G$16=Norm_Stats!$F$16),"",MAX(0,MIN(100,100*(Norm_Stats!$G$16-MIN(MAX(City_Inputs!$AL135,Norm_Stats!$F$16),Norm_Stats!$G$16))/(Norm_Stats!$G$16-Norm_Stats!$F$16)))))="",0,0.3)))</f>
        <v/>
      </c>
      <c r="AM135" s="15">
        <f>IF((IF(AG135="",0,8)+IF(AI135="",0,6)+IF(AK135="",0,4))=0,"",(IF(AG135="",0,AG135*8)+IF(AI135="",0,AI135*6)+IF(AK135="",0,AK135*4))/(IF(AG135="",0,8)+IF(AI135="",0,6)+IF(AK135="",0,4)))</f>
        <v/>
      </c>
      <c r="AN135" s="14">
        <f>IF((IF(AH135="",0,8)+IF(AJ135="",0,6)+IF(AL135="",0,4))=0,"",(IF(AH135="",0,AH135*8)+IF(AJ135="",0,AJ135*6)+IF(AL135="",0,AL135*4))/18)</f>
        <v/>
      </c>
      <c r="AO135" s="11">
        <f>IF(OR(City_Inputs!$AB135="",Norm_Stats!$F$17="",Norm_Stats!$G$17="",Norm_Stats!$G$17=Norm_Stats!$F$17),"",MAX(0,MIN(100,100*(MIN(MAX(City_Inputs!$AB135,Norm_Stats!$F$17),Norm_Stats!$G$17)-Norm_Stats!$F$17)/(Norm_Stats!$G$17-Norm_Stats!$F$17))))</f>
        <v/>
      </c>
      <c r="AP135" s="14">
        <f>IF(AO135="","",1)</f>
        <v/>
      </c>
      <c r="AQ135" s="11">
        <f>IF(OR(City_Inputs!$AC135="",Norm_Stats!$F$18="",Norm_Stats!$G$18="",Norm_Stats!$G$18=Norm_Stats!$F$18),"",MAX(0,MIN(100,100*(MIN(MAX(City_Inputs!$AC135,Norm_Stats!$F$18),Norm_Stats!$G$18)-Norm_Stats!$F$18)/(Norm_Stats!$G$18-Norm_Stats!$F$18))))</f>
        <v/>
      </c>
      <c r="AR135" s="14">
        <f>IF(AQ135="","",1)</f>
        <v/>
      </c>
      <c r="AS135" s="11">
        <f>IF(OR(City_Inputs!$AD135="",Norm_Stats!$F$19="",Norm_Stats!$G$19="",Norm_Stats!$G$19=Norm_Stats!$F$19),"",MAX(0,MIN(100,100*(MIN(MAX(City_Inputs!$AD135,Norm_Stats!$F$19),Norm_Stats!$G$19)-Norm_Stats!$F$19)/(Norm_Stats!$G$19-Norm_Stats!$F$19))))</f>
        <v/>
      </c>
      <c r="AT135" s="14">
        <f>IF(AS135="","",1)</f>
        <v/>
      </c>
      <c r="AU135" s="11">
        <f>IF(OR(City_Inputs!$BJ135="",Norm_Stats!$F$26="",Norm_Stats!$G$26="",Norm_Stats!$G$26=Norm_Stats!$F$26),"",MAX(0,MIN(100,100*(MIN(MAX(City_Inputs!$BJ135,Norm_Stats!$F$26),Norm_Stats!$G$26)-Norm_Stats!$F$26)/(Norm_Stats!$G$26-Norm_Stats!$F$26))))</f>
        <v/>
      </c>
      <c r="AV135" s="11">
        <f>IF(AU135="","",1)</f>
        <v/>
      </c>
      <c r="AW135" s="15">
        <f>IF((IF(AO135="",0,5)+IF(AQ135="",0,5)+IF(AS135="",0,5)+IF(AU135="",0,4))=0,"",(IF(AO135="",0,AO135*5)+IF(AQ135="",0,AQ135*5)+IF(AS135="",0,AS135*5)+IF(AU135="",0,AU135*4))/(IF(AO135="",0,5)+IF(AQ135="",0,5)+IF(AS135="",0,5)+IF(AU135="",0,4)))</f>
        <v/>
      </c>
      <c r="AX135" s="14">
        <f>IF((IF(AP135="",0,5)+IF(AR135="",0,5)+IF(AT135="",0,5)+IF(AV135="",0,4))=0,"",(IF(AP135="",0,AP135*5)+IF(AR135="",0,AR135*5)+IF(AT135="",0,AT135*5)+IF(AV135="",0,AV135*4))/19)</f>
        <v/>
      </c>
      <c r="AY135" s="11">
        <f>IF(OR(City_Inputs!$AE135="",Norm_Stats!$F$20="",Norm_Stats!$G$20="",Norm_Stats!$G$20=Norm_Stats!$F$20),"",MAX(0,MIN(100,100*(MIN(MAX(City_Inputs!$AE135,Norm_Stats!$F$20),Norm_Stats!$G$20)-Norm_Stats!$F$20)/(Norm_Stats!$G$20-Norm_Stats!$F$20))))</f>
        <v/>
      </c>
      <c r="AZ135" s="14">
        <f>IF(AY135="","",1)</f>
        <v/>
      </c>
      <c r="BA135" s="11">
        <f>IF(OR(City_Inputs!$AF135="",Norm_Stats!$F$21="",Norm_Stats!$G$21="",Norm_Stats!$G$21=Norm_Stats!$F$21),"",MAX(0,MIN(100,100*(MIN(MAX(City_Inputs!$AF135,Norm_Stats!$F$21),Norm_Stats!$G$21)-Norm_Stats!$F$21)/(Norm_Stats!$G$21-Norm_Stats!$F$21))))</f>
        <v/>
      </c>
      <c r="BB135" s="14">
        <f>IF(BA135="","",1)</f>
        <v/>
      </c>
      <c r="BC135" s="11">
        <f>IF((IF((IF(OR(City_Inputs!$AG135="",Norm_Stats!$F$22="",Norm_Stats!$G$22="",Norm_Stats!$G$22=Norm_Stats!$F$22),"",MAX(0,MIN(100,100*(MIN(MAX(City_Inputs!$AG135,Norm_Stats!$F$22),Norm_Stats!$G$22)-Norm_Stats!$F$22)/(Norm_Stats!$G$22-Norm_Stats!$F$22)))))="",0,0.5)+IF((IF(OR(City_Inputs!$AJ135="",Norm_Stats!$F$23="",Norm_Stats!$G$23="",Norm_Stats!$G$23=Norm_Stats!$F$23),"",MAX(0,MIN(100,100*(MIN(MAX(City_Inputs!$AJ135,Norm_Stats!$F$23),Norm_Stats!$G$23)-Norm_Stats!$F$23)/(Norm_Stats!$G$23-Norm_Stats!$F$23)))))="",0,0.3)+IF((IF(OR(City_Inputs!$AK135="",Norm_Stats!$F$24="",Norm_Stats!$G$24="",Norm_Stats!$G$24=Norm_Stats!$F$24),"",MAX(0,MIN(100,100*(MIN(MAX(City_Inputs!$AK135,Norm_Stats!$F$24),Norm_Stats!$G$24)-Norm_Stats!$F$24)/(Norm_Stats!$G$24-Norm_Stats!$F$24)))))="",0,0.2))=0,"",(IF((IF(OR(City_Inputs!$AG135="",Norm_Stats!$F$22="",Norm_Stats!$G$22="",Norm_Stats!$G$22=Norm_Stats!$F$22),"",MAX(0,MIN(100,100*(MIN(MAX(City_Inputs!$AG135,Norm_Stats!$F$22),Norm_Stats!$G$22)-Norm_Stats!$F$22)/(Norm_Stats!$G$22-Norm_Stats!$F$22)))))="",0,(IF(OR(City_Inputs!$AG135="",Norm_Stats!$F$22="",Norm_Stats!$G$22="",Norm_Stats!$G$22=Norm_Stats!$F$22),"",MAX(0,MIN(100,100*(MIN(MAX(City_Inputs!$AG135,Norm_Stats!$F$22),Norm_Stats!$G$22)-Norm_Stats!$F$22)/(Norm_Stats!$G$22-Norm_Stats!$F$22)))))*0.5)+IF((IF(OR(City_Inputs!$AJ135="",Norm_Stats!$F$23="",Norm_Stats!$G$23="",Norm_Stats!$G$23=Norm_Stats!$F$23),"",MAX(0,MIN(100,100*(MIN(MAX(City_Inputs!$AJ135,Norm_Stats!$F$23),Norm_Stats!$G$23)-Norm_Stats!$F$23)/(Norm_Stats!$G$23-Norm_Stats!$F$23)))))="",0,(IF(OR(City_Inputs!$AJ135="",Norm_Stats!$F$23="",Norm_Stats!$G$23="",Norm_Stats!$G$23=Norm_Stats!$F$23),"",MAX(0,MIN(100,100*(MIN(MAX(City_Inputs!$AJ135,Norm_Stats!$F$23),Norm_Stats!$G$23)-Norm_Stats!$F$23)/(Norm_Stats!$G$23-Norm_Stats!$F$23)))))*0.3)+IF((IF(OR(City_Inputs!$AK135="",Norm_Stats!$F$24="",Norm_Stats!$G$24="",Norm_Stats!$G$24=Norm_Stats!$F$24),"",MAX(0,MIN(100,100*(MIN(MAX(City_Inputs!$AK135,Norm_Stats!$F$24),Norm_Stats!$G$24)-Norm_Stats!$F$24)/(Norm_Stats!$G$24-Norm_Stats!$F$24)))))="",0,(IF(OR(City_Inputs!$AK135="",Norm_Stats!$F$24="",Norm_Stats!$G$24="",Norm_Stats!$G$24=Norm_Stats!$F$24),"",MAX(0,MIN(100,100*(MIN(MAX(City_Inputs!$AK135,Norm_Stats!$F$24),Norm_Stats!$G$24)-Norm_Stats!$F$24)/(Norm_Stats!$G$24-Norm_Stats!$F$24)))))*0.2))/(IF((IF(OR(City_Inputs!$AG135="",Norm_Stats!$F$22="",Norm_Stats!$G$22="",Norm_Stats!$G$22=Norm_Stats!$F$22),"",MAX(0,MIN(100,100*(MIN(MAX(City_Inputs!$AG135,Norm_Stats!$F$22),Norm_Stats!$G$22)-Norm_Stats!$F$22)/(Norm_Stats!$G$22-Norm_Stats!$F$22)))))="",0,0.5)+IF((IF(OR(City_Inputs!$AJ135="",Norm_Stats!$F$23="",Norm_Stats!$G$23="",Norm_Stats!$G$23=Norm_Stats!$F$23),"",MAX(0,MIN(100,100*(MIN(MAX(City_Inputs!$AJ135,Norm_Stats!$F$23),Norm_Stats!$G$23)-Norm_Stats!$F$23)/(Norm_Stats!$G$23-Norm_Stats!$F$23)))))="",0,0.3)+IF((IF(OR(City_Inputs!$AK135="",Norm_Stats!$F$24="",Norm_Stats!$G$24="",Norm_Stats!$G$24=Norm_Stats!$F$24),"",MAX(0,MIN(100,100*(MIN(MAX(City_Inputs!$AK135,Norm_Stats!$F$24),Norm_Stats!$G$24)-Norm_Stats!$F$24)/(Norm_Stats!$G$24-Norm_Stats!$F$24)))))="",0,0.2)))</f>
        <v/>
      </c>
      <c r="BD135" s="14">
        <f>IF((IF((IF(OR(City_Inputs!$AG135="",Norm_Stats!$F$22="",Norm_Stats!$G$22="",Norm_Stats!$G$22=Norm_Stats!$F$22),"",MAX(0,MIN(100,100*(MIN(MAX(City_Inputs!$AG135,Norm_Stats!$F$22),Norm_Stats!$G$22)-Norm_Stats!$F$22)/(Norm_Stats!$G$22-Norm_Stats!$F$22)))))="",0,0.5)+IF((IF(OR(City_Inputs!$AJ135="",Norm_Stats!$F$23="",Norm_Stats!$G$23="",Norm_Stats!$G$23=Norm_Stats!$F$23),"",MAX(0,MIN(100,100*(MIN(MAX(City_Inputs!$AJ135,Norm_Stats!$F$23),Norm_Stats!$G$23)-Norm_Stats!$F$23)/(Norm_Stats!$G$23-Norm_Stats!$F$23)))))="",0,0.3)+IF((IF(OR(City_Inputs!$AK135="",Norm_Stats!$F$24="",Norm_Stats!$G$24="",Norm_Stats!$G$24=Norm_Stats!$F$24),"",MAX(0,MIN(100,100*(MIN(MAX(City_Inputs!$AK135,Norm_Stats!$F$24),Norm_Stats!$G$24)-Norm_Stats!$F$24)/(Norm_Stats!$G$24-Norm_Stats!$F$24)))))="",0,0.2))=0,"",(IF((IF(OR(City_Inputs!$AG135="",Norm_Stats!$F$22="",Norm_Stats!$G$22="",Norm_Stats!$G$22=Norm_Stats!$F$22),"",MAX(0,MIN(100,100*(MIN(MAX(City_Inputs!$AG135,Norm_Stats!$F$22),Norm_Stats!$G$22)-Norm_Stats!$F$22)/(Norm_Stats!$G$22-Norm_Stats!$F$22)))))="",0,0.5)+IF((IF(OR(City_Inputs!$AJ135="",Norm_Stats!$F$23="",Norm_Stats!$G$23="",Norm_Stats!$G$23=Norm_Stats!$F$23),"",MAX(0,MIN(100,100*(MIN(MAX(City_Inputs!$AJ135,Norm_Stats!$F$23),Norm_Stats!$G$23)-Norm_Stats!$F$23)/(Norm_Stats!$G$23-Norm_Stats!$F$23)))))="",0,0.3)+IF((IF(OR(City_Inputs!$AK135="",Norm_Stats!$F$24="",Norm_Stats!$G$24="",Norm_Stats!$G$24=Norm_Stats!$F$24),"",MAX(0,MIN(100,100*(MIN(MAX(City_Inputs!$AK135,Norm_Stats!$F$24),Norm_Stats!$G$24)-Norm_Stats!$F$24)/(Norm_Stats!$G$24-Norm_Stats!$F$24)))))="",0,0.2)))</f>
        <v/>
      </c>
      <c r="BE135" s="11">
        <f>IF(OR(City_Inputs!$AH135="",Norm_Stats!$F$25="",Norm_Stats!$G$25="",Norm_Stats!$G$25=Norm_Stats!$F$25),"",MAX(0,MIN(100,100*(Norm_Stats!$G$25-MIN(MAX(City_Inputs!$AH135,Norm_Stats!$F$25),Norm_Stats!$G$25))/(Norm_Stats!$G$25-Norm_Stats!$F$25))))</f>
        <v/>
      </c>
      <c r="BF135" s="14">
        <f>IF(BE135="","",1)</f>
        <v/>
      </c>
      <c r="BG135" s="15">
        <f>IF((IF(AY135="",0,6)+IF(BA135="",0,5)+IF(BC135="",0,5)+IF(BE135="",0,4))=0,"",(IF(AY135="",0,AY135*6)+IF(BA135="",0,BA135*5)+IF(BC135="",0,BC135*5)+IF(BE135="",0,BE135*4))/(IF(AY135="",0,6)+IF(BA135="",0,5)+IF(BC135="",0,5)+IF(BE135="",0,4)))</f>
        <v/>
      </c>
      <c r="BH135" s="14">
        <f>IF((IF(AZ135="",0,6)+IF(BB135="",0,5)+IF(BD135="",0,5)+IF(BF135="",0,4))=0,"",(IF(AZ135="",0,AZ135*6)+IF(BB135="",0,BB135*5)+IF(BD135="",0,BD135*5)+IF(BF135="",0,BF135*4))/20)</f>
        <v/>
      </c>
      <c r="BI135" s="14">
        <f>IF(AND(R135="",AF135="",AN135="",AX135="",BH135=""),"",((R135*25)+(AF135*22)+(AN135*18)+(AX135*15)+(BH135*20))/100)</f>
        <v/>
      </c>
      <c r="BJ135" s="11">
        <f>IF(BI135="","",IF(BI135&gt;=0.75,"A",IF(BI135&gt;=0.5,"B",IF(BI135&gt;=0.35,"C","Watchlist"))))</f>
        <v/>
      </c>
      <c r="BK135" s="11">
        <f>IF(OR(BI135="",BI135&lt;0.5,R135="",R135&lt;0.35,AF135="",AF135&lt;0.35,AN135="",AN135&lt;0.35,AX135="",AX135&lt;0.35,BH135="",BH135&lt;0.35),"Watchlist","Ranked")</f>
        <v/>
      </c>
      <c r="BL135" s="15">
        <f>IF(AND(Q135="",AE135="",AM135="",AW135="",BG135=""),"",(IF(Q135="",0,Q135*25)+IF(AE135="",0,AE135*22)+IF(AM135="",0,AM135*18)+IF(AW135="",0,AW135*15)+IF(BG135="",0,BG135*20))/(IF(Q135="",0,25)+IF(AE135="",0,22)+IF(AM135="",0,18)+IF(AW135="",0,15)+IF(BG135="",0,20)))</f>
        <v/>
      </c>
      <c r="BM135" s="11">
        <f>IF(BK135="Ranked",1+COUNTIFS($BK$2:$BK$158,"Ranked",$BL$2:$BL$158,"&gt;"&amp;BL135),"")</f>
        <v/>
      </c>
      <c r="BN135" s="11">
        <f>City_Inputs!$AI135</f>
        <v/>
      </c>
    </row>
    <row r="136">
      <c r="A136" t="inlineStr">
        <is>
          <t>nl-eindhoven</t>
        </is>
      </c>
      <c r="B136" t="inlineStr">
        <is>
          <t>Eindhoven</t>
        </is>
      </c>
      <c r="C136" t="inlineStr">
        <is>
          <t>Netherlands</t>
        </is>
      </c>
      <c r="D136" t="inlineStr">
        <is>
          <t>Western, Northern, and Southern Europe</t>
        </is>
      </c>
      <c r="E136" t="inlineStr">
        <is>
          <t>provisional</t>
        </is>
      </c>
      <c r="F136" t="inlineStr">
        <is>
          <t>secondary</t>
        </is>
      </c>
      <c r="G136" s="11">
        <f>IF(OR(City_Inputs!$M136="",Norm_Stats!$F$2="",Norm_Stats!$G$2="",Norm_Stats!$G$2=Norm_Stats!$F$2),"",MAX(0,MIN(100,100*(MIN(MAX(City_Inputs!$M136,Norm_Stats!$F$2),Norm_Stats!$G$2)-Norm_Stats!$F$2)/(Norm_Stats!$G$2-Norm_Stats!$F$2))))</f>
        <v/>
      </c>
      <c r="H136" s="14">
        <f>IF(G136="","",1)</f>
        <v/>
      </c>
      <c r="I136" s="11">
        <f>IF(OR(City_Inputs!$N136="",Norm_Stats!$F$3="",Norm_Stats!$G$3="",Norm_Stats!$G$3=Norm_Stats!$F$3),"",MAX(0,MIN(100,100*(Norm_Stats!$G$3-MIN(MAX(City_Inputs!$N136,Norm_Stats!$F$3),Norm_Stats!$G$3))/(Norm_Stats!$G$3-Norm_Stats!$F$3))))</f>
        <v/>
      </c>
      <c r="J136" s="14">
        <f>IF(I136="","",1)</f>
        <v/>
      </c>
      <c r="K136" s="11">
        <f>IF(OR(City_Inputs!$P136="",Norm_Stats!$F$4="",Norm_Stats!$G$4="",Norm_Stats!$G$4=Norm_Stats!$F$4),"",MAX(0,MIN(100,100*(Norm_Stats!$G$4-MIN(MAX(City_Inputs!$P136,Norm_Stats!$F$4),Norm_Stats!$G$4))/(Norm_Stats!$G$4-Norm_Stats!$F$4))))</f>
        <v/>
      </c>
      <c r="L136" s="14">
        <f>IF(K136="","",1)</f>
        <v/>
      </c>
      <c r="M136" s="11">
        <f>IF(OR(City_Inputs!$Q136="",Norm_Stats!$F$5="",Norm_Stats!$G$5="",Norm_Stats!$G$5=Norm_Stats!$F$5),"",MAX(0,MIN(100,100*(Norm_Stats!$G$5-MIN(MAX(City_Inputs!$Q136,Norm_Stats!$F$5),Norm_Stats!$G$5))/(Norm_Stats!$G$5-Norm_Stats!$F$5))))</f>
        <v/>
      </c>
      <c r="N136" s="14">
        <f>IF(M136="","",1)</f>
        <v/>
      </c>
      <c r="O136" s="11">
        <f>IF(OR(City_Inputs!$R136="",Norm_Stats!$F$6="",Norm_Stats!$G$6="",Norm_Stats!$G$6=Norm_Stats!$F$6),"",MAX(0,MIN(100,100*(Norm_Stats!$G$6-MIN(MAX(City_Inputs!$R136,Norm_Stats!$F$6),Norm_Stats!$G$6))/(Norm_Stats!$G$6-Norm_Stats!$F$6))))</f>
        <v/>
      </c>
      <c r="P136" s="14">
        <f>IF(O136="","",1)</f>
        <v/>
      </c>
      <c r="Q136" s="15">
        <f>IF((IF(G136="",0,9)+IF(I136="",0,5)+IF(K136="",0,4)+IF(M136="",0,4)+IF(O136="",0,5))=0,"",(IF(G136="",0,G136*9)+IF(I136="",0,I136*5)+IF(K136="",0,K136*4)+IF(M136="",0,M136*4)+IF(O136="",0,O136*5))/(IF(G136="",0,9)+IF(I136="",0,5)+IF(K136="",0,4)+IF(M136="",0,4)+IF(O136="",0,5)))</f>
        <v/>
      </c>
      <c r="R136" s="14">
        <f>IF((IF(H136="",0,9)+IF(J136="",0,5)+IF(L136="",0,4)+IF(N136="",0,4)+IF(P136="",0,5))=0,"",(IF(H136="",0,H136*9)+IF(J136="",0,J136*5)+IF(L136="",0,L136*4)+IF(N136="",0,N136*4)+IF(P136="",0,P136*5))/27)</f>
        <v/>
      </c>
      <c r="S136" s="11">
        <f>IF(OR(City_Inputs!$S136="",Norm_Stats!$F$7="",Norm_Stats!$G$7="",Norm_Stats!$G$7=Norm_Stats!$F$7),"",MAX(0,MIN(100,100*(Norm_Stats!$G$7-MIN(MAX(City_Inputs!$S136,Norm_Stats!$F$7),Norm_Stats!$G$7))/(Norm_Stats!$G$7-Norm_Stats!$F$7))))</f>
        <v/>
      </c>
      <c r="T136" s="14">
        <f>IF(S136="","",1)</f>
        <v/>
      </c>
      <c r="U136" s="11">
        <f>IF(OR(City_Inputs!$T136="",Norm_Stats!$F$8="",Norm_Stats!$G$8="",Norm_Stats!$G$8=Norm_Stats!$F$8),"",MAX(0,MIN(100,100*(MIN(MAX(City_Inputs!$T136,Norm_Stats!$F$8),Norm_Stats!$G$8)-Norm_Stats!$F$8)/(Norm_Stats!$G$8-Norm_Stats!$F$8))))</f>
        <v/>
      </c>
      <c r="V136" s="14">
        <f>IF(U136="","",1)</f>
        <v/>
      </c>
      <c r="W136" s="11">
        <f>IF(OR(City_Inputs!$U136="",Norm_Stats!$F$9="",Norm_Stats!$G$9="",Norm_Stats!$G$9=Norm_Stats!$F$9),"",MAX(0,MIN(100,100*(Norm_Stats!$G$9-MIN(MAX(City_Inputs!$U136,Norm_Stats!$F$9),Norm_Stats!$G$9))/(Norm_Stats!$G$9-Norm_Stats!$F$9))))</f>
        <v/>
      </c>
      <c r="X136" s="14">
        <f>IF(W136="","",1)</f>
        <v/>
      </c>
      <c r="Y136" s="11">
        <f>IF(OR(City_Inputs!$V136="",Norm_Stats!$F$10="",Norm_Stats!$G$10="",Norm_Stats!$G$10=Norm_Stats!$F$10),"",MAX(0,MIN(100,100*(MIN(MAX(City_Inputs!$V136,Norm_Stats!$F$10),Norm_Stats!$G$10)-Norm_Stats!$F$10)/(Norm_Stats!$G$10-Norm_Stats!$F$10))))</f>
        <v/>
      </c>
      <c r="Z136" s="14">
        <f>IF(Y136="","",1)</f>
        <v/>
      </c>
      <c r="AA136" s="11">
        <f>IF(OR(City_Inputs!$W136="",Norm_Stats!$F$11="",Norm_Stats!$G$11="",Norm_Stats!$G$11=Norm_Stats!$F$11),"",MAX(0,MIN(100,100*(MIN(MAX(City_Inputs!$W136,Norm_Stats!$F$11),Norm_Stats!$G$11)-Norm_Stats!$F$11)/(Norm_Stats!$G$11-Norm_Stats!$F$11))))</f>
        <v/>
      </c>
      <c r="AB136" s="14">
        <f>IF(AA136="","",1)</f>
        <v/>
      </c>
      <c r="AC136" s="11">
        <f>IF(OR(City_Inputs!$X136="",Norm_Stats!$F$12="",Norm_Stats!$G$12="",Norm_Stats!$G$12=Norm_Stats!$F$12),"",MAX(0,MIN(100,100*(MIN(MAX(City_Inputs!$X136,Norm_Stats!$F$12),Norm_Stats!$G$12)-Norm_Stats!$F$12)/(Norm_Stats!$G$12-Norm_Stats!$F$12))))</f>
        <v/>
      </c>
      <c r="AD136" s="11">
        <f>IF(AC136="","",1)</f>
        <v/>
      </c>
      <c r="AE136" s="15">
        <f>IF((IF(S136="",0,5)+IF(U136="",0,5)+IF(W136="",0,4)+IF(Y136="",0,4)+IF(AA136="",0,4)+IF(AC136="",0,5))=0,"",(IF(S136="",0,S136*5)+IF(U136="",0,U136*5)+IF(W136="",0,W136*4)+IF(Y136="",0,Y136*4)+IF(AA136="",0,AA136*4)+IF(AC136="",0,AC136*5))/(IF(S136="",0,5)+IF(U136="",0,5)+IF(W136="",0,4)+IF(Y136="",0,4)+IF(AA136="",0,4)+IF(AC136="",0,5)))</f>
        <v/>
      </c>
      <c r="AF136" s="14">
        <f>IF((IF(T136="",0,5)+IF(V136="",0,5)+IF(X136="",0,4)+IF(Z136="",0,4)+IF(AB136="",0,4)+IF(AD136="",0,5))=0,"",(IF(T136="",0,T136*5)+IF(V136="",0,V136*5)+IF(X136="",0,X136*4)+IF(Z136="",0,Z136*4)+IF(AB136="",0,AB136*4)+IF(AD136="",0,AD136*5))/27)</f>
        <v/>
      </c>
      <c r="AG136" s="11">
        <f>IF(OR(City_Inputs!$Y136="",Norm_Stats!$F$13="",Norm_Stats!$G$13="",Norm_Stats!$G$13=Norm_Stats!$F$13),"",MAX(0,MIN(100,100*(MIN(MAX(City_Inputs!$Y136,Norm_Stats!$F$13),Norm_Stats!$G$13)-Norm_Stats!$F$13)/(Norm_Stats!$G$13-Norm_Stats!$F$13))))</f>
        <v/>
      </c>
      <c r="AH136" s="14">
        <f>IF(AG136="","",1)</f>
        <v/>
      </c>
      <c r="AI136" s="11">
        <f>IF(OR(City_Inputs!$Z136="",Norm_Stats!$F$14="",Norm_Stats!$G$14="",Norm_Stats!$G$14=Norm_Stats!$F$14),"",MAX(0,MIN(100,100*(MIN(MAX(City_Inputs!$Z136,Norm_Stats!$F$14),Norm_Stats!$G$14)-Norm_Stats!$F$14)/(Norm_Stats!$G$14-Norm_Stats!$F$14))))</f>
        <v/>
      </c>
      <c r="AJ136" s="14">
        <f>IF(AI136="","",1)</f>
        <v/>
      </c>
      <c r="AK136" s="11">
        <f>IF((IF((IF(OR(City_Inputs!$AA136="",Norm_Stats!$F$15="",Norm_Stats!$G$15="",Norm_Stats!$G$15=Norm_Stats!$F$15),"",MAX(0,MIN(100,100*(MIN(MAX(City_Inputs!$AA136,Norm_Stats!$F$15),Norm_Stats!$G$15)-Norm_Stats!$F$15)/(Norm_Stats!$G$15-Norm_Stats!$F$15)))))="",0,0.7)+IF((IF(OR(City_Inputs!$AL136="",Norm_Stats!$F$16="",Norm_Stats!$G$16="",Norm_Stats!$G$16=Norm_Stats!$F$16),"",MAX(0,MIN(100,100*(Norm_Stats!$G$16-MIN(MAX(City_Inputs!$AL136,Norm_Stats!$F$16),Norm_Stats!$G$16))/(Norm_Stats!$G$16-Norm_Stats!$F$16)))))="",0,0.3))=0,"",(IF((IF(OR(City_Inputs!$AA136="",Norm_Stats!$F$15="",Norm_Stats!$G$15="",Norm_Stats!$G$15=Norm_Stats!$F$15),"",MAX(0,MIN(100,100*(MIN(MAX(City_Inputs!$AA136,Norm_Stats!$F$15),Norm_Stats!$G$15)-Norm_Stats!$F$15)/(Norm_Stats!$G$15-Norm_Stats!$F$15)))))="",0,(IF(OR(City_Inputs!$AA136="",Norm_Stats!$F$15="",Norm_Stats!$G$15="",Norm_Stats!$G$15=Norm_Stats!$F$15),"",MAX(0,MIN(100,100*(MIN(MAX(City_Inputs!$AA136,Norm_Stats!$F$15),Norm_Stats!$G$15)-Norm_Stats!$F$15)/(Norm_Stats!$G$15-Norm_Stats!$F$15)))))*0.7)+IF((IF(OR(City_Inputs!$AL136="",Norm_Stats!$F$16="",Norm_Stats!$G$16="",Norm_Stats!$G$16=Norm_Stats!$F$16),"",MAX(0,MIN(100,100*(Norm_Stats!$G$16-MIN(MAX(City_Inputs!$AL136,Norm_Stats!$F$16),Norm_Stats!$G$16))/(Norm_Stats!$G$16-Norm_Stats!$F$16)))))="",0,(IF(OR(City_Inputs!$AL136="",Norm_Stats!$F$16="",Norm_Stats!$G$16="",Norm_Stats!$G$16=Norm_Stats!$F$16),"",MAX(0,MIN(100,100*(Norm_Stats!$G$16-MIN(MAX(City_Inputs!$AL136,Norm_Stats!$F$16),Norm_Stats!$G$16))/(Norm_Stats!$G$16-Norm_Stats!$F$16)))))*0.3))/(IF((IF(OR(City_Inputs!$AA136="",Norm_Stats!$F$15="",Norm_Stats!$G$15="",Norm_Stats!$G$15=Norm_Stats!$F$15),"",MAX(0,MIN(100,100*(MIN(MAX(City_Inputs!$AA136,Norm_Stats!$F$15),Norm_Stats!$G$15)-Norm_Stats!$F$15)/(Norm_Stats!$G$15-Norm_Stats!$F$15)))))="",0,0.7)+IF((IF(OR(City_Inputs!$AL136="",Norm_Stats!$F$16="",Norm_Stats!$G$16="",Norm_Stats!$G$16=Norm_Stats!$F$16),"",MAX(0,MIN(100,100*(Norm_Stats!$G$16-MIN(MAX(City_Inputs!$AL136,Norm_Stats!$F$16),Norm_Stats!$G$16))/(Norm_Stats!$G$16-Norm_Stats!$F$16)))))="",0,0.3)))</f>
        <v/>
      </c>
      <c r="AL136" s="14">
        <f>IF((IF((IF(OR(City_Inputs!$AA136="",Norm_Stats!$F$15="",Norm_Stats!$G$15="",Norm_Stats!$G$15=Norm_Stats!$F$15),"",MAX(0,MIN(100,100*(MIN(MAX(City_Inputs!$AA136,Norm_Stats!$F$15),Norm_Stats!$G$15)-Norm_Stats!$F$15)/(Norm_Stats!$G$15-Norm_Stats!$F$15)))))="",0,0.7)+IF((IF(OR(City_Inputs!$AL136="",Norm_Stats!$F$16="",Norm_Stats!$G$16="",Norm_Stats!$G$16=Norm_Stats!$F$16),"",MAX(0,MIN(100,100*(Norm_Stats!$G$16-MIN(MAX(City_Inputs!$AL136,Norm_Stats!$F$16),Norm_Stats!$G$16))/(Norm_Stats!$G$16-Norm_Stats!$F$16)))))="",0,0.3))=0,"",(IF((IF(OR(City_Inputs!$AA136="",Norm_Stats!$F$15="",Norm_Stats!$G$15="",Norm_Stats!$G$15=Norm_Stats!$F$15),"",MAX(0,MIN(100,100*(MIN(MAX(City_Inputs!$AA136,Norm_Stats!$F$15),Norm_Stats!$G$15)-Norm_Stats!$F$15)/(Norm_Stats!$G$15-Norm_Stats!$F$15)))))="",0,0.7)+IF((IF(OR(City_Inputs!$AL136="",Norm_Stats!$F$16="",Norm_Stats!$G$16="",Norm_Stats!$G$16=Norm_Stats!$F$16),"",MAX(0,MIN(100,100*(Norm_Stats!$G$16-MIN(MAX(City_Inputs!$AL136,Norm_Stats!$F$16),Norm_Stats!$G$16))/(Norm_Stats!$G$16-Norm_Stats!$F$16)))))="",0,0.3)))</f>
        <v/>
      </c>
      <c r="AM136" s="15">
        <f>IF((IF(AG136="",0,8)+IF(AI136="",0,6)+IF(AK136="",0,4))=0,"",(IF(AG136="",0,AG136*8)+IF(AI136="",0,AI136*6)+IF(AK136="",0,AK136*4))/(IF(AG136="",0,8)+IF(AI136="",0,6)+IF(AK136="",0,4)))</f>
        <v/>
      </c>
      <c r="AN136" s="14">
        <f>IF((IF(AH136="",0,8)+IF(AJ136="",0,6)+IF(AL136="",0,4))=0,"",(IF(AH136="",0,AH136*8)+IF(AJ136="",0,AJ136*6)+IF(AL136="",0,AL136*4))/18)</f>
        <v/>
      </c>
      <c r="AO136" s="11">
        <f>IF(OR(City_Inputs!$AB136="",Norm_Stats!$F$17="",Norm_Stats!$G$17="",Norm_Stats!$G$17=Norm_Stats!$F$17),"",MAX(0,MIN(100,100*(MIN(MAX(City_Inputs!$AB136,Norm_Stats!$F$17),Norm_Stats!$G$17)-Norm_Stats!$F$17)/(Norm_Stats!$G$17-Norm_Stats!$F$17))))</f>
        <v/>
      </c>
      <c r="AP136" s="14">
        <f>IF(AO136="","",1)</f>
        <v/>
      </c>
      <c r="AQ136" s="11">
        <f>IF(OR(City_Inputs!$AC136="",Norm_Stats!$F$18="",Norm_Stats!$G$18="",Norm_Stats!$G$18=Norm_Stats!$F$18),"",MAX(0,MIN(100,100*(MIN(MAX(City_Inputs!$AC136,Norm_Stats!$F$18),Norm_Stats!$G$18)-Norm_Stats!$F$18)/(Norm_Stats!$G$18-Norm_Stats!$F$18))))</f>
        <v/>
      </c>
      <c r="AR136" s="14">
        <f>IF(AQ136="","",1)</f>
        <v/>
      </c>
      <c r="AS136" s="11">
        <f>IF(OR(City_Inputs!$AD136="",Norm_Stats!$F$19="",Norm_Stats!$G$19="",Norm_Stats!$G$19=Norm_Stats!$F$19),"",MAX(0,MIN(100,100*(MIN(MAX(City_Inputs!$AD136,Norm_Stats!$F$19),Norm_Stats!$G$19)-Norm_Stats!$F$19)/(Norm_Stats!$G$19-Norm_Stats!$F$19))))</f>
        <v/>
      </c>
      <c r="AT136" s="14">
        <f>IF(AS136="","",1)</f>
        <v/>
      </c>
      <c r="AU136" s="11">
        <f>IF(OR(City_Inputs!$BJ136="",Norm_Stats!$F$26="",Norm_Stats!$G$26="",Norm_Stats!$G$26=Norm_Stats!$F$26),"",MAX(0,MIN(100,100*(MIN(MAX(City_Inputs!$BJ136,Norm_Stats!$F$26),Norm_Stats!$G$26)-Norm_Stats!$F$26)/(Norm_Stats!$G$26-Norm_Stats!$F$26))))</f>
        <v/>
      </c>
      <c r="AV136" s="11">
        <f>IF(AU136="","",1)</f>
        <v/>
      </c>
      <c r="AW136" s="15">
        <f>IF((IF(AO136="",0,5)+IF(AQ136="",0,5)+IF(AS136="",0,5)+IF(AU136="",0,4))=0,"",(IF(AO136="",0,AO136*5)+IF(AQ136="",0,AQ136*5)+IF(AS136="",0,AS136*5)+IF(AU136="",0,AU136*4))/(IF(AO136="",0,5)+IF(AQ136="",0,5)+IF(AS136="",0,5)+IF(AU136="",0,4)))</f>
        <v/>
      </c>
      <c r="AX136" s="14">
        <f>IF((IF(AP136="",0,5)+IF(AR136="",0,5)+IF(AT136="",0,5)+IF(AV136="",0,4))=0,"",(IF(AP136="",0,AP136*5)+IF(AR136="",0,AR136*5)+IF(AT136="",0,AT136*5)+IF(AV136="",0,AV136*4))/19)</f>
        <v/>
      </c>
      <c r="AY136" s="11">
        <f>IF(OR(City_Inputs!$AE136="",Norm_Stats!$F$20="",Norm_Stats!$G$20="",Norm_Stats!$G$20=Norm_Stats!$F$20),"",MAX(0,MIN(100,100*(MIN(MAX(City_Inputs!$AE136,Norm_Stats!$F$20),Norm_Stats!$G$20)-Norm_Stats!$F$20)/(Norm_Stats!$G$20-Norm_Stats!$F$20))))</f>
        <v/>
      </c>
      <c r="AZ136" s="14">
        <f>IF(AY136="","",1)</f>
        <v/>
      </c>
      <c r="BA136" s="11">
        <f>IF(OR(City_Inputs!$AF136="",Norm_Stats!$F$21="",Norm_Stats!$G$21="",Norm_Stats!$G$21=Norm_Stats!$F$21),"",MAX(0,MIN(100,100*(MIN(MAX(City_Inputs!$AF136,Norm_Stats!$F$21),Norm_Stats!$G$21)-Norm_Stats!$F$21)/(Norm_Stats!$G$21-Norm_Stats!$F$21))))</f>
        <v/>
      </c>
      <c r="BB136" s="14">
        <f>IF(BA136="","",1)</f>
        <v/>
      </c>
      <c r="BC136" s="11">
        <f>IF((IF((IF(OR(City_Inputs!$AG136="",Norm_Stats!$F$22="",Norm_Stats!$G$22="",Norm_Stats!$G$22=Norm_Stats!$F$22),"",MAX(0,MIN(100,100*(MIN(MAX(City_Inputs!$AG136,Norm_Stats!$F$22),Norm_Stats!$G$22)-Norm_Stats!$F$22)/(Norm_Stats!$G$22-Norm_Stats!$F$22)))))="",0,0.5)+IF((IF(OR(City_Inputs!$AJ136="",Norm_Stats!$F$23="",Norm_Stats!$G$23="",Norm_Stats!$G$23=Norm_Stats!$F$23),"",MAX(0,MIN(100,100*(MIN(MAX(City_Inputs!$AJ136,Norm_Stats!$F$23),Norm_Stats!$G$23)-Norm_Stats!$F$23)/(Norm_Stats!$G$23-Norm_Stats!$F$23)))))="",0,0.3)+IF((IF(OR(City_Inputs!$AK136="",Norm_Stats!$F$24="",Norm_Stats!$G$24="",Norm_Stats!$G$24=Norm_Stats!$F$24),"",MAX(0,MIN(100,100*(MIN(MAX(City_Inputs!$AK136,Norm_Stats!$F$24),Norm_Stats!$G$24)-Norm_Stats!$F$24)/(Norm_Stats!$G$24-Norm_Stats!$F$24)))))="",0,0.2))=0,"",(IF((IF(OR(City_Inputs!$AG136="",Norm_Stats!$F$22="",Norm_Stats!$G$22="",Norm_Stats!$G$22=Norm_Stats!$F$22),"",MAX(0,MIN(100,100*(MIN(MAX(City_Inputs!$AG136,Norm_Stats!$F$22),Norm_Stats!$G$22)-Norm_Stats!$F$22)/(Norm_Stats!$G$22-Norm_Stats!$F$22)))))="",0,(IF(OR(City_Inputs!$AG136="",Norm_Stats!$F$22="",Norm_Stats!$G$22="",Norm_Stats!$G$22=Norm_Stats!$F$22),"",MAX(0,MIN(100,100*(MIN(MAX(City_Inputs!$AG136,Norm_Stats!$F$22),Norm_Stats!$G$22)-Norm_Stats!$F$22)/(Norm_Stats!$G$22-Norm_Stats!$F$22)))))*0.5)+IF((IF(OR(City_Inputs!$AJ136="",Norm_Stats!$F$23="",Norm_Stats!$G$23="",Norm_Stats!$G$23=Norm_Stats!$F$23),"",MAX(0,MIN(100,100*(MIN(MAX(City_Inputs!$AJ136,Norm_Stats!$F$23),Norm_Stats!$G$23)-Norm_Stats!$F$23)/(Norm_Stats!$G$23-Norm_Stats!$F$23)))))="",0,(IF(OR(City_Inputs!$AJ136="",Norm_Stats!$F$23="",Norm_Stats!$G$23="",Norm_Stats!$G$23=Norm_Stats!$F$23),"",MAX(0,MIN(100,100*(MIN(MAX(City_Inputs!$AJ136,Norm_Stats!$F$23),Norm_Stats!$G$23)-Norm_Stats!$F$23)/(Norm_Stats!$G$23-Norm_Stats!$F$23)))))*0.3)+IF((IF(OR(City_Inputs!$AK136="",Norm_Stats!$F$24="",Norm_Stats!$G$24="",Norm_Stats!$G$24=Norm_Stats!$F$24),"",MAX(0,MIN(100,100*(MIN(MAX(City_Inputs!$AK136,Norm_Stats!$F$24),Norm_Stats!$G$24)-Norm_Stats!$F$24)/(Norm_Stats!$G$24-Norm_Stats!$F$24)))))="",0,(IF(OR(City_Inputs!$AK136="",Norm_Stats!$F$24="",Norm_Stats!$G$24="",Norm_Stats!$G$24=Norm_Stats!$F$24),"",MAX(0,MIN(100,100*(MIN(MAX(City_Inputs!$AK136,Norm_Stats!$F$24),Norm_Stats!$G$24)-Norm_Stats!$F$24)/(Norm_Stats!$G$24-Norm_Stats!$F$24)))))*0.2))/(IF((IF(OR(City_Inputs!$AG136="",Norm_Stats!$F$22="",Norm_Stats!$G$22="",Norm_Stats!$G$22=Norm_Stats!$F$22),"",MAX(0,MIN(100,100*(MIN(MAX(City_Inputs!$AG136,Norm_Stats!$F$22),Norm_Stats!$G$22)-Norm_Stats!$F$22)/(Norm_Stats!$G$22-Norm_Stats!$F$22)))))="",0,0.5)+IF((IF(OR(City_Inputs!$AJ136="",Norm_Stats!$F$23="",Norm_Stats!$G$23="",Norm_Stats!$G$23=Norm_Stats!$F$23),"",MAX(0,MIN(100,100*(MIN(MAX(City_Inputs!$AJ136,Norm_Stats!$F$23),Norm_Stats!$G$23)-Norm_Stats!$F$23)/(Norm_Stats!$G$23-Norm_Stats!$F$23)))))="",0,0.3)+IF((IF(OR(City_Inputs!$AK136="",Norm_Stats!$F$24="",Norm_Stats!$G$24="",Norm_Stats!$G$24=Norm_Stats!$F$24),"",MAX(0,MIN(100,100*(MIN(MAX(City_Inputs!$AK136,Norm_Stats!$F$24),Norm_Stats!$G$24)-Norm_Stats!$F$24)/(Norm_Stats!$G$24-Norm_Stats!$F$24)))))="",0,0.2)))</f>
        <v/>
      </c>
      <c r="BD136" s="14">
        <f>IF((IF((IF(OR(City_Inputs!$AG136="",Norm_Stats!$F$22="",Norm_Stats!$G$22="",Norm_Stats!$G$22=Norm_Stats!$F$22),"",MAX(0,MIN(100,100*(MIN(MAX(City_Inputs!$AG136,Norm_Stats!$F$22),Norm_Stats!$G$22)-Norm_Stats!$F$22)/(Norm_Stats!$G$22-Norm_Stats!$F$22)))))="",0,0.5)+IF((IF(OR(City_Inputs!$AJ136="",Norm_Stats!$F$23="",Norm_Stats!$G$23="",Norm_Stats!$G$23=Norm_Stats!$F$23),"",MAX(0,MIN(100,100*(MIN(MAX(City_Inputs!$AJ136,Norm_Stats!$F$23),Norm_Stats!$G$23)-Norm_Stats!$F$23)/(Norm_Stats!$G$23-Norm_Stats!$F$23)))))="",0,0.3)+IF((IF(OR(City_Inputs!$AK136="",Norm_Stats!$F$24="",Norm_Stats!$G$24="",Norm_Stats!$G$24=Norm_Stats!$F$24),"",MAX(0,MIN(100,100*(MIN(MAX(City_Inputs!$AK136,Norm_Stats!$F$24),Norm_Stats!$G$24)-Norm_Stats!$F$24)/(Norm_Stats!$G$24-Norm_Stats!$F$24)))))="",0,0.2))=0,"",(IF((IF(OR(City_Inputs!$AG136="",Norm_Stats!$F$22="",Norm_Stats!$G$22="",Norm_Stats!$G$22=Norm_Stats!$F$22),"",MAX(0,MIN(100,100*(MIN(MAX(City_Inputs!$AG136,Norm_Stats!$F$22),Norm_Stats!$G$22)-Norm_Stats!$F$22)/(Norm_Stats!$G$22-Norm_Stats!$F$22)))))="",0,0.5)+IF((IF(OR(City_Inputs!$AJ136="",Norm_Stats!$F$23="",Norm_Stats!$G$23="",Norm_Stats!$G$23=Norm_Stats!$F$23),"",MAX(0,MIN(100,100*(MIN(MAX(City_Inputs!$AJ136,Norm_Stats!$F$23),Norm_Stats!$G$23)-Norm_Stats!$F$23)/(Norm_Stats!$G$23-Norm_Stats!$F$23)))))="",0,0.3)+IF((IF(OR(City_Inputs!$AK136="",Norm_Stats!$F$24="",Norm_Stats!$G$24="",Norm_Stats!$G$24=Norm_Stats!$F$24),"",MAX(0,MIN(100,100*(MIN(MAX(City_Inputs!$AK136,Norm_Stats!$F$24),Norm_Stats!$G$24)-Norm_Stats!$F$24)/(Norm_Stats!$G$24-Norm_Stats!$F$24)))))="",0,0.2)))</f>
        <v/>
      </c>
      <c r="BE136" s="11">
        <f>IF(OR(City_Inputs!$AH136="",Norm_Stats!$F$25="",Norm_Stats!$G$25="",Norm_Stats!$G$25=Norm_Stats!$F$25),"",MAX(0,MIN(100,100*(Norm_Stats!$G$25-MIN(MAX(City_Inputs!$AH136,Norm_Stats!$F$25),Norm_Stats!$G$25))/(Norm_Stats!$G$25-Norm_Stats!$F$25))))</f>
        <v/>
      </c>
      <c r="BF136" s="14">
        <f>IF(BE136="","",1)</f>
        <v/>
      </c>
      <c r="BG136" s="15">
        <f>IF((IF(AY136="",0,6)+IF(BA136="",0,5)+IF(BC136="",0,5)+IF(BE136="",0,4))=0,"",(IF(AY136="",0,AY136*6)+IF(BA136="",0,BA136*5)+IF(BC136="",0,BC136*5)+IF(BE136="",0,BE136*4))/(IF(AY136="",0,6)+IF(BA136="",0,5)+IF(BC136="",0,5)+IF(BE136="",0,4)))</f>
        <v/>
      </c>
      <c r="BH136" s="14">
        <f>IF((IF(AZ136="",0,6)+IF(BB136="",0,5)+IF(BD136="",0,5)+IF(BF136="",0,4))=0,"",(IF(AZ136="",0,AZ136*6)+IF(BB136="",0,BB136*5)+IF(BD136="",0,BD136*5)+IF(BF136="",0,BF136*4))/20)</f>
        <v/>
      </c>
      <c r="BI136" s="14">
        <f>IF(AND(R136="",AF136="",AN136="",AX136="",BH136=""),"",((R136*25)+(AF136*22)+(AN136*18)+(AX136*15)+(BH136*20))/100)</f>
        <v/>
      </c>
      <c r="BJ136" s="11">
        <f>IF(BI136="","",IF(BI136&gt;=0.75,"A",IF(BI136&gt;=0.5,"B",IF(BI136&gt;=0.35,"C","Watchlist"))))</f>
        <v/>
      </c>
      <c r="BK136" s="11">
        <f>IF(OR(BI136="",BI136&lt;0.5,R136="",R136&lt;0.35,AF136="",AF136&lt;0.35,AN136="",AN136&lt;0.35,AX136="",AX136&lt;0.35,BH136="",BH136&lt;0.35),"Watchlist","Ranked")</f>
        <v/>
      </c>
      <c r="BL136" s="15">
        <f>IF(AND(Q136="",AE136="",AM136="",AW136="",BG136=""),"",(IF(Q136="",0,Q136*25)+IF(AE136="",0,AE136*22)+IF(AM136="",0,AM136*18)+IF(AW136="",0,AW136*15)+IF(BG136="",0,BG136*20))/(IF(Q136="",0,25)+IF(AE136="",0,22)+IF(AM136="",0,18)+IF(AW136="",0,15)+IF(BG136="",0,20)))</f>
        <v/>
      </c>
      <c r="BM136" s="11">
        <f>IF(BK136="Ranked",1+COUNTIFS($BK$2:$BK$158,"Ranked",$BL$2:$BL$158,"&gt;"&amp;BL136),"")</f>
        <v/>
      </c>
      <c r="BN136" s="11">
        <f>City_Inputs!$AI136</f>
        <v/>
      </c>
    </row>
    <row r="137">
      <c r="A137" t="inlineStr">
        <is>
          <t>ca-vancouver</t>
        </is>
      </c>
      <c r="B137" t="inlineStr">
        <is>
          <t>Vancouver</t>
        </is>
      </c>
      <c r="C137" t="inlineStr">
        <is>
          <t>Canada</t>
        </is>
      </c>
      <c r="D137" t="inlineStr">
        <is>
          <t>North America</t>
        </is>
      </c>
      <c r="E137" t="inlineStr">
        <is>
          <t>provisional</t>
        </is>
      </c>
      <c r="F137" t="inlineStr">
        <is>
          <t>primary</t>
        </is>
      </c>
      <c r="G137" s="11">
        <f>IF(OR(City_Inputs!$M137="",Norm_Stats!$F$2="",Norm_Stats!$G$2="",Norm_Stats!$G$2=Norm_Stats!$F$2),"",MAX(0,MIN(100,100*(MIN(MAX(City_Inputs!$M137,Norm_Stats!$F$2),Norm_Stats!$G$2)-Norm_Stats!$F$2)/(Norm_Stats!$G$2-Norm_Stats!$F$2))))</f>
        <v/>
      </c>
      <c r="H137" s="14">
        <f>IF(G137="","",1)</f>
        <v/>
      </c>
      <c r="I137" s="11">
        <f>IF(OR(City_Inputs!$N137="",Norm_Stats!$F$3="",Norm_Stats!$G$3="",Norm_Stats!$G$3=Norm_Stats!$F$3),"",MAX(0,MIN(100,100*(Norm_Stats!$G$3-MIN(MAX(City_Inputs!$N137,Norm_Stats!$F$3),Norm_Stats!$G$3))/(Norm_Stats!$G$3-Norm_Stats!$F$3))))</f>
        <v/>
      </c>
      <c r="J137" s="14">
        <f>IF(I137="","",1)</f>
        <v/>
      </c>
      <c r="K137" s="11">
        <f>IF(OR(City_Inputs!$P137="",Norm_Stats!$F$4="",Norm_Stats!$G$4="",Norm_Stats!$G$4=Norm_Stats!$F$4),"",MAX(0,MIN(100,100*(Norm_Stats!$G$4-MIN(MAX(City_Inputs!$P137,Norm_Stats!$F$4),Norm_Stats!$G$4))/(Norm_Stats!$G$4-Norm_Stats!$F$4))))</f>
        <v/>
      </c>
      <c r="L137" s="14">
        <f>IF(K137="","",1)</f>
        <v/>
      </c>
      <c r="M137" s="11">
        <f>IF(OR(City_Inputs!$Q137="",Norm_Stats!$F$5="",Norm_Stats!$G$5="",Norm_Stats!$G$5=Norm_Stats!$F$5),"",MAX(0,MIN(100,100*(Norm_Stats!$G$5-MIN(MAX(City_Inputs!$Q137,Norm_Stats!$F$5),Norm_Stats!$G$5))/(Norm_Stats!$G$5-Norm_Stats!$F$5))))</f>
        <v/>
      </c>
      <c r="N137" s="14">
        <f>IF(M137="","",1)</f>
        <v/>
      </c>
      <c r="O137" s="11">
        <f>IF(OR(City_Inputs!$R137="",Norm_Stats!$F$6="",Norm_Stats!$G$6="",Norm_Stats!$G$6=Norm_Stats!$F$6),"",MAX(0,MIN(100,100*(Norm_Stats!$G$6-MIN(MAX(City_Inputs!$R137,Norm_Stats!$F$6),Norm_Stats!$G$6))/(Norm_Stats!$G$6-Norm_Stats!$F$6))))</f>
        <v/>
      </c>
      <c r="P137" s="14">
        <f>IF(O137="","",1)</f>
        <v/>
      </c>
      <c r="Q137" s="15">
        <f>IF((IF(G137="",0,9)+IF(I137="",0,5)+IF(K137="",0,4)+IF(M137="",0,4)+IF(O137="",0,5))=0,"",(IF(G137="",0,G137*9)+IF(I137="",0,I137*5)+IF(K137="",0,K137*4)+IF(M137="",0,M137*4)+IF(O137="",0,O137*5))/(IF(G137="",0,9)+IF(I137="",0,5)+IF(K137="",0,4)+IF(M137="",0,4)+IF(O137="",0,5)))</f>
        <v/>
      </c>
      <c r="R137" s="14">
        <f>IF((IF(H137="",0,9)+IF(J137="",0,5)+IF(L137="",0,4)+IF(N137="",0,4)+IF(P137="",0,5))=0,"",(IF(H137="",0,H137*9)+IF(J137="",0,J137*5)+IF(L137="",0,L137*4)+IF(N137="",0,N137*4)+IF(P137="",0,P137*5))/27)</f>
        <v/>
      </c>
      <c r="S137" s="11">
        <f>IF(OR(City_Inputs!$S137="",Norm_Stats!$F$7="",Norm_Stats!$G$7="",Norm_Stats!$G$7=Norm_Stats!$F$7),"",MAX(0,MIN(100,100*(Norm_Stats!$G$7-MIN(MAX(City_Inputs!$S137,Norm_Stats!$F$7),Norm_Stats!$G$7))/(Norm_Stats!$G$7-Norm_Stats!$F$7))))</f>
        <v/>
      </c>
      <c r="T137" s="14">
        <f>IF(S137="","",1)</f>
        <v/>
      </c>
      <c r="U137" s="11">
        <f>IF(OR(City_Inputs!$T137="",Norm_Stats!$F$8="",Norm_Stats!$G$8="",Norm_Stats!$G$8=Norm_Stats!$F$8),"",MAX(0,MIN(100,100*(MIN(MAX(City_Inputs!$T137,Norm_Stats!$F$8),Norm_Stats!$G$8)-Norm_Stats!$F$8)/(Norm_Stats!$G$8-Norm_Stats!$F$8))))</f>
        <v/>
      </c>
      <c r="V137" s="14">
        <f>IF(U137="","",1)</f>
        <v/>
      </c>
      <c r="W137" s="11">
        <f>IF(OR(City_Inputs!$U137="",Norm_Stats!$F$9="",Norm_Stats!$G$9="",Norm_Stats!$G$9=Norm_Stats!$F$9),"",MAX(0,MIN(100,100*(Norm_Stats!$G$9-MIN(MAX(City_Inputs!$U137,Norm_Stats!$F$9),Norm_Stats!$G$9))/(Norm_Stats!$G$9-Norm_Stats!$F$9))))</f>
        <v/>
      </c>
      <c r="X137" s="14">
        <f>IF(W137="","",1)</f>
        <v/>
      </c>
      <c r="Y137" s="11">
        <f>IF(OR(City_Inputs!$V137="",Norm_Stats!$F$10="",Norm_Stats!$G$10="",Norm_Stats!$G$10=Norm_Stats!$F$10),"",MAX(0,MIN(100,100*(MIN(MAX(City_Inputs!$V137,Norm_Stats!$F$10),Norm_Stats!$G$10)-Norm_Stats!$F$10)/(Norm_Stats!$G$10-Norm_Stats!$F$10))))</f>
        <v/>
      </c>
      <c r="Z137" s="14">
        <f>IF(Y137="","",1)</f>
        <v/>
      </c>
      <c r="AA137" s="11">
        <f>IF(OR(City_Inputs!$W137="",Norm_Stats!$F$11="",Norm_Stats!$G$11="",Norm_Stats!$G$11=Norm_Stats!$F$11),"",MAX(0,MIN(100,100*(MIN(MAX(City_Inputs!$W137,Norm_Stats!$F$11),Norm_Stats!$G$11)-Norm_Stats!$F$11)/(Norm_Stats!$G$11-Norm_Stats!$F$11))))</f>
        <v/>
      </c>
      <c r="AB137" s="14">
        <f>IF(AA137="","",1)</f>
        <v/>
      </c>
      <c r="AC137" s="11">
        <f>IF(OR(City_Inputs!$X137="",Norm_Stats!$F$12="",Norm_Stats!$G$12="",Norm_Stats!$G$12=Norm_Stats!$F$12),"",MAX(0,MIN(100,100*(MIN(MAX(City_Inputs!$X137,Norm_Stats!$F$12),Norm_Stats!$G$12)-Norm_Stats!$F$12)/(Norm_Stats!$G$12-Norm_Stats!$F$12))))</f>
        <v/>
      </c>
      <c r="AD137" s="11">
        <f>IF(AC137="","",1)</f>
        <v/>
      </c>
      <c r="AE137" s="15">
        <f>IF((IF(S137="",0,5)+IF(U137="",0,5)+IF(W137="",0,4)+IF(Y137="",0,4)+IF(AA137="",0,4)+IF(AC137="",0,5))=0,"",(IF(S137="",0,S137*5)+IF(U137="",0,U137*5)+IF(W137="",0,W137*4)+IF(Y137="",0,Y137*4)+IF(AA137="",0,AA137*4)+IF(AC137="",0,AC137*5))/(IF(S137="",0,5)+IF(U137="",0,5)+IF(W137="",0,4)+IF(Y137="",0,4)+IF(AA137="",0,4)+IF(AC137="",0,5)))</f>
        <v/>
      </c>
      <c r="AF137" s="14">
        <f>IF((IF(T137="",0,5)+IF(V137="",0,5)+IF(X137="",0,4)+IF(Z137="",0,4)+IF(AB137="",0,4)+IF(AD137="",0,5))=0,"",(IF(T137="",0,T137*5)+IF(V137="",0,V137*5)+IF(X137="",0,X137*4)+IF(Z137="",0,Z137*4)+IF(AB137="",0,AB137*4)+IF(AD137="",0,AD137*5))/27)</f>
        <v/>
      </c>
      <c r="AG137" s="11">
        <f>IF(OR(City_Inputs!$Y137="",Norm_Stats!$F$13="",Norm_Stats!$G$13="",Norm_Stats!$G$13=Norm_Stats!$F$13),"",MAX(0,MIN(100,100*(MIN(MAX(City_Inputs!$Y137,Norm_Stats!$F$13),Norm_Stats!$G$13)-Norm_Stats!$F$13)/(Norm_Stats!$G$13-Norm_Stats!$F$13))))</f>
        <v/>
      </c>
      <c r="AH137" s="14">
        <f>IF(AG137="","",1)</f>
        <v/>
      </c>
      <c r="AI137" s="11">
        <f>IF(OR(City_Inputs!$Z137="",Norm_Stats!$F$14="",Norm_Stats!$G$14="",Norm_Stats!$G$14=Norm_Stats!$F$14),"",MAX(0,MIN(100,100*(MIN(MAX(City_Inputs!$Z137,Norm_Stats!$F$14),Norm_Stats!$G$14)-Norm_Stats!$F$14)/(Norm_Stats!$G$14-Norm_Stats!$F$14))))</f>
        <v/>
      </c>
      <c r="AJ137" s="14">
        <f>IF(AI137="","",1)</f>
        <v/>
      </c>
      <c r="AK137" s="11">
        <f>IF((IF((IF(OR(City_Inputs!$AA137="",Norm_Stats!$F$15="",Norm_Stats!$G$15="",Norm_Stats!$G$15=Norm_Stats!$F$15),"",MAX(0,MIN(100,100*(MIN(MAX(City_Inputs!$AA137,Norm_Stats!$F$15),Norm_Stats!$G$15)-Norm_Stats!$F$15)/(Norm_Stats!$G$15-Norm_Stats!$F$15)))))="",0,0.7)+IF((IF(OR(City_Inputs!$AL137="",Norm_Stats!$F$16="",Norm_Stats!$G$16="",Norm_Stats!$G$16=Norm_Stats!$F$16),"",MAX(0,MIN(100,100*(Norm_Stats!$G$16-MIN(MAX(City_Inputs!$AL137,Norm_Stats!$F$16),Norm_Stats!$G$16))/(Norm_Stats!$G$16-Norm_Stats!$F$16)))))="",0,0.3))=0,"",(IF((IF(OR(City_Inputs!$AA137="",Norm_Stats!$F$15="",Norm_Stats!$G$15="",Norm_Stats!$G$15=Norm_Stats!$F$15),"",MAX(0,MIN(100,100*(MIN(MAX(City_Inputs!$AA137,Norm_Stats!$F$15),Norm_Stats!$G$15)-Norm_Stats!$F$15)/(Norm_Stats!$G$15-Norm_Stats!$F$15)))))="",0,(IF(OR(City_Inputs!$AA137="",Norm_Stats!$F$15="",Norm_Stats!$G$15="",Norm_Stats!$G$15=Norm_Stats!$F$15),"",MAX(0,MIN(100,100*(MIN(MAX(City_Inputs!$AA137,Norm_Stats!$F$15),Norm_Stats!$G$15)-Norm_Stats!$F$15)/(Norm_Stats!$G$15-Norm_Stats!$F$15)))))*0.7)+IF((IF(OR(City_Inputs!$AL137="",Norm_Stats!$F$16="",Norm_Stats!$G$16="",Norm_Stats!$G$16=Norm_Stats!$F$16),"",MAX(0,MIN(100,100*(Norm_Stats!$G$16-MIN(MAX(City_Inputs!$AL137,Norm_Stats!$F$16),Norm_Stats!$G$16))/(Norm_Stats!$G$16-Norm_Stats!$F$16)))))="",0,(IF(OR(City_Inputs!$AL137="",Norm_Stats!$F$16="",Norm_Stats!$G$16="",Norm_Stats!$G$16=Norm_Stats!$F$16),"",MAX(0,MIN(100,100*(Norm_Stats!$G$16-MIN(MAX(City_Inputs!$AL137,Norm_Stats!$F$16),Norm_Stats!$G$16))/(Norm_Stats!$G$16-Norm_Stats!$F$16)))))*0.3))/(IF((IF(OR(City_Inputs!$AA137="",Norm_Stats!$F$15="",Norm_Stats!$G$15="",Norm_Stats!$G$15=Norm_Stats!$F$15),"",MAX(0,MIN(100,100*(MIN(MAX(City_Inputs!$AA137,Norm_Stats!$F$15),Norm_Stats!$G$15)-Norm_Stats!$F$15)/(Norm_Stats!$G$15-Norm_Stats!$F$15)))))="",0,0.7)+IF((IF(OR(City_Inputs!$AL137="",Norm_Stats!$F$16="",Norm_Stats!$G$16="",Norm_Stats!$G$16=Norm_Stats!$F$16),"",MAX(0,MIN(100,100*(Norm_Stats!$G$16-MIN(MAX(City_Inputs!$AL137,Norm_Stats!$F$16),Norm_Stats!$G$16))/(Norm_Stats!$G$16-Norm_Stats!$F$16)))))="",0,0.3)))</f>
        <v/>
      </c>
      <c r="AL137" s="14">
        <f>IF((IF((IF(OR(City_Inputs!$AA137="",Norm_Stats!$F$15="",Norm_Stats!$G$15="",Norm_Stats!$G$15=Norm_Stats!$F$15),"",MAX(0,MIN(100,100*(MIN(MAX(City_Inputs!$AA137,Norm_Stats!$F$15),Norm_Stats!$G$15)-Norm_Stats!$F$15)/(Norm_Stats!$G$15-Norm_Stats!$F$15)))))="",0,0.7)+IF((IF(OR(City_Inputs!$AL137="",Norm_Stats!$F$16="",Norm_Stats!$G$16="",Norm_Stats!$G$16=Norm_Stats!$F$16),"",MAX(0,MIN(100,100*(Norm_Stats!$G$16-MIN(MAX(City_Inputs!$AL137,Norm_Stats!$F$16),Norm_Stats!$G$16))/(Norm_Stats!$G$16-Norm_Stats!$F$16)))))="",0,0.3))=0,"",(IF((IF(OR(City_Inputs!$AA137="",Norm_Stats!$F$15="",Norm_Stats!$G$15="",Norm_Stats!$G$15=Norm_Stats!$F$15),"",MAX(0,MIN(100,100*(MIN(MAX(City_Inputs!$AA137,Norm_Stats!$F$15),Norm_Stats!$G$15)-Norm_Stats!$F$15)/(Norm_Stats!$G$15-Norm_Stats!$F$15)))))="",0,0.7)+IF((IF(OR(City_Inputs!$AL137="",Norm_Stats!$F$16="",Norm_Stats!$G$16="",Norm_Stats!$G$16=Norm_Stats!$F$16),"",MAX(0,MIN(100,100*(Norm_Stats!$G$16-MIN(MAX(City_Inputs!$AL137,Norm_Stats!$F$16),Norm_Stats!$G$16))/(Norm_Stats!$G$16-Norm_Stats!$F$16)))))="",0,0.3)))</f>
        <v/>
      </c>
      <c r="AM137" s="15">
        <f>IF((IF(AG137="",0,8)+IF(AI137="",0,6)+IF(AK137="",0,4))=0,"",(IF(AG137="",0,AG137*8)+IF(AI137="",0,AI137*6)+IF(AK137="",0,AK137*4))/(IF(AG137="",0,8)+IF(AI137="",0,6)+IF(AK137="",0,4)))</f>
        <v/>
      </c>
      <c r="AN137" s="14">
        <f>IF((IF(AH137="",0,8)+IF(AJ137="",0,6)+IF(AL137="",0,4))=0,"",(IF(AH137="",0,AH137*8)+IF(AJ137="",0,AJ137*6)+IF(AL137="",0,AL137*4))/18)</f>
        <v/>
      </c>
      <c r="AO137" s="11">
        <f>IF(OR(City_Inputs!$AB137="",Norm_Stats!$F$17="",Norm_Stats!$G$17="",Norm_Stats!$G$17=Norm_Stats!$F$17),"",MAX(0,MIN(100,100*(MIN(MAX(City_Inputs!$AB137,Norm_Stats!$F$17),Norm_Stats!$G$17)-Norm_Stats!$F$17)/(Norm_Stats!$G$17-Norm_Stats!$F$17))))</f>
        <v/>
      </c>
      <c r="AP137" s="14">
        <f>IF(AO137="","",1)</f>
        <v/>
      </c>
      <c r="AQ137" s="11">
        <f>IF(OR(City_Inputs!$AC137="",Norm_Stats!$F$18="",Norm_Stats!$G$18="",Norm_Stats!$G$18=Norm_Stats!$F$18),"",MAX(0,MIN(100,100*(MIN(MAX(City_Inputs!$AC137,Norm_Stats!$F$18),Norm_Stats!$G$18)-Norm_Stats!$F$18)/(Norm_Stats!$G$18-Norm_Stats!$F$18))))</f>
        <v/>
      </c>
      <c r="AR137" s="14">
        <f>IF(AQ137="","",1)</f>
        <v/>
      </c>
      <c r="AS137" s="11">
        <f>IF(OR(City_Inputs!$AD137="",Norm_Stats!$F$19="",Norm_Stats!$G$19="",Norm_Stats!$G$19=Norm_Stats!$F$19),"",MAX(0,MIN(100,100*(MIN(MAX(City_Inputs!$AD137,Norm_Stats!$F$19),Norm_Stats!$G$19)-Norm_Stats!$F$19)/(Norm_Stats!$G$19-Norm_Stats!$F$19))))</f>
        <v/>
      </c>
      <c r="AT137" s="14">
        <f>IF(AS137="","",1)</f>
        <v/>
      </c>
      <c r="AU137" s="11">
        <f>IF(OR(City_Inputs!$BJ137="",Norm_Stats!$F$26="",Norm_Stats!$G$26="",Norm_Stats!$G$26=Norm_Stats!$F$26),"",MAX(0,MIN(100,100*(MIN(MAX(City_Inputs!$BJ137,Norm_Stats!$F$26),Norm_Stats!$G$26)-Norm_Stats!$F$26)/(Norm_Stats!$G$26-Norm_Stats!$F$26))))</f>
        <v/>
      </c>
      <c r="AV137" s="11">
        <f>IF(AU137="","",1)</f>
        <v/>
      </c>
      <c r="AW137" s="15">
        <f>IF((IF(AO137="",0,5)+IF(AQ137="",0,5)+IF(AS137="",0,5)+IF(AU137="",0,4))=0,"",(IF(AO137="",0,AO137*5)+IF(AQ137="",0,AQ137*5)+IF(AS137="",0,AS137*5)+IF(AU137="",0,AU137*4))/(IF(AO137="",0,5)+IF(AQ137="",0,5)+IF(AS137="",0,5)+IF(AU137="",0,4)))</f>
        <v/>
      </c>
      <c r="AX137" s="14">
        <f>IF((IF(AP137="",0,5)+IF(AR137="",0,5)+IF(AT137="",0,5)+IF(AV137="",0,4))=0,"",(IF(AP137="",0,AP137*5)+IF(AR137="",0,AR137*5)+IF(AT137="",0,AT137*5)+IF(AV137="",0,AV137*4))/19)</f>
        <v/>
      </c>
      <c r="AY137" s="11">
        <f>IF(OR(City_Inputs!$AE137="",Norm_Stats!$F$20="",Norm_Stats!$G$20="",Norm_Stats!$G$20=Norm_Stats!$F$20),"",MAX(0,MIN(100,100*(MIN(MAX(City_Inputs!$AE137,Norm_Stats!$F$20),Norm_Stats!$G$20)-Norm_Stats!$F$20)/(Norm_Stats!$G$20-Norm_Stats!$F$20))))</f>
        <v/>
      </c>
      <c r="AZ137" s="14">
        <f>IF(AY137="","",1)</f>
        <v/>
      </c>
      <c r="BA137" s="11">
        <f>IF(OR(City_Inputs!$AF137="",Norm_Stats!$F$21="",Norm_Stats!$G$21="",Norm_Stats!$G$21=Norm_Stats!$F$21),"",MAX(0,MIN(100,100*(MIN(MAX(City_Inputs!$AF137,Norm_Stats!$F$21),Norm_Stats!$G$21)-Norm_Stats!$F$21)/(Norm_Stats!$G$21-Norm_Stats!$F$21))))</f>
        <v/>
      </c>
      <c r="BB137" s="14">
        <f>IF(BA137="","",1)</f>
        <v/>
      </c>
      <c r="BC137" s="11">
        <f>IF((IF((IF(OR(City_Inputs!$AG137="",Norm_Stats!$F$22="",Norm_Stats!$G$22="",Norm_Stats!$G$22=Norm_Stats!$F$22),"",MAX(0,MIN(100,100*(MIN(MAX(City_Inputs!$AG137,Norm_Stats!$F$22),Norm_Stats!$G$22)-Norm_Stats!$F$22)/(Norm_Stats!$G$22-Norm_Stats!$F$22)))))="",0,0.5)+IF((IF(OR(City_Inputs!$AJ137="",Norm_Stats!$F$23="",Norm_Stats!$G$23="",Norm_Stats!$G$23=Norm_Stats!$F$23),"",MAX(0,MIN(100,100*(MIN(MAX(City_Inputs!$AJ137,Norm_Stats!$F$23),Norm_Stats!$G$23)-Norm_Stats!$F$23)/(Norm_Stats!$G$23-Norm_Stats!$F$23)))))="",0,0.3)+IF((IF(OR(City_Inputs!$AK137="",Norm_Stats!$F$24="",Norm_Stats!$G$24="",Norm_Stats!$G$24=Norm_Stats!$F$24),"",MAX(0,MIN(100,100*(MIN(MAX(City_Inputs!$AK137,Norm_Stats!$F$24),Norm_Stats!$G$24)-Norm_Stats!$F$24)/(Norm_Stats!$G$24-Norm_Stats!$F$24)))))="",0,0.2))=0,"",(IF((IF(OR(City_Inputs!$AG137="",Norm_Stats!$F$22="",Norm_Stats!$G$22="",Norm_Stats!$G$22=Norm_Stats!$F$22),"",MAX(0,MIN(100,100*(MIN(MAX(City_Inputs!$AG137,Norm_Stats!$F$22),Norm_Stats!$G$22)-Norm_Stats!$F$22)/(Norm_Stats!$G$22-Norm_Stats!$F$22)))))="",0,(IF(OR(City_Inputs!$AG137="",Norm_Stats!$F$22="",Norm_Stats!$G$22="",Norm_Stats!$G$22=Norm_Stats!$F$22),"",MAX(0,MIN(100,100*(MIN(MAX(City_Inputs!$AG137,Norm_Stats!$F$22),Norm_Stats!$G$22)-Norm_Stats!$F$22)/(Norm_Stats!$G$22-Norm_Stats!$F$22)))))*0.5)+IF((IF(OR(City_Inputs!$AJ137="",Norm_Stats!$F$23="",Norm_Stats!$G$23="",Norm_Stats!$G$23=Norm_Stats!$F$23),"",MAX(0,MIN(100,100*(MIN(MAX(City_Inputs!$AJ137,Norm_Stats!$F$23),Norm_Stats!$G$23)-Norm_Stats!$F$23)/(Norm_Stats!$G$23-Norm_Stats!$F$23)))))="",0,(IF(OR(City_Inputs!$AJ137="",Norm_Stats!$F$23="",Norm_Stats!$G$23="",Norm_Stats!$G$23=Norm_Stats!$F$23),"",MAX(0,MIN(100,100*(MIN(MAX(City_Inputs!$AJ137,Norm_Stats!$F$23),Norm_Stats!$G$23)-Norm_Stats!$F$23)/(Norm_Stats!$G$23-Norm_Stats!$F$23)))))*0.3)+IF((IF(OR(City_Inputs!$AK137="",Norm_Stats!$F$24="",Norm_Stats!$G$24="",Norm_Stats!$G$24=Norm_Stats!$F$24),"",MAX(0,MIN(100,100*(MIN(MAX(City_Inputs!$AK137,Norm_Stats!$F$24),Norm_Stats!$G$24)-Norm_Stats!$F$24)/(Norm_Stats!$G$24-Norm_Stats!$F$24)))))="",0,(IF(OR(City_Inputs!$AK137="",Norm_Stats!$F$24="",Norm_Stats!$G$24="",Norm_Stats!$G$24=Norm_Stats!$F$24),"",MAX(0,MIN(100,100*(MIN(MAX(City_Inputs!$AK137,Norm_Stats!$F$24),Norm_Stats!$G$24)-Norm_Stats!$F$24)/(Norm_Stats!$G$24-Norm_Stats!$F$24)))))*0.2))/(IF((IF(OR(City_Inputs!$AG137="",Norm_Stats!$F$22="",Norm_Stats!$G$22="",Norm_Stats!$G$22=Norm_Stats!$F$22),"",MAX(0,MIN(100,100*(MIN(MAX(City_Inputs!$AG137,Norm_Stats!$F$22),Norm_Stats!$G$22)-Norm_Stats!$F$22)/(Norm_Stats!$G$22-Norm_Stats!$F$22)))))="",0,0.5)+IF((IF(OR(City_Inputs!$AJ137="",Norm_Stats!$F$23="",Norm_Stats!$G$23="",Norm_Stats!$G$23=Norm_Stats!$F$23),"",MAX(0,MIN(100,100*(MIN(MAX(City_Inputs!$AJ137,Norm_Stats!$F$23),Norm_Stats!$G$23)-Norm_Stats!$F$23)/(Norm_Stats!$G$23-Norm_Stats!$F$23)))))="",0,0.3)+IF((IF(OR(City_Inputs!$AK137="",Norm_Stats!$F$24="",Norm_Stats!$G$24="",Norm_Stats!$G$24=Norm_Stats!$F$24),"",MAX(0,MIN(100,100*(MIN(MAX(City_Inputs!$AK137,Norm_Stats!$F$24),Norm_Stats!$G$24)-Norm_Stats!$F$24)/(Norm_Stats!$G$24-Norm_Stats!$F$24)))))="",0,0.2)))</f>
        <v/>
      </c>
      <c r="BD137" s="14">
        <f>IF((IF((IF(OR(City_Inputs!$AG137="",Norm_Stats!$F$22="",Norm_Stats!$G$22="",Norm_Stats!$G$22=Norm_Stats!$F$22),"",MAX(0,MIN(100,100*(MIN(MAX(City_Inputs!$AG137,Norm_Stats!$F$22),Norm_Stats!$G$22)-Norm_Stats!$F$22)/(Norm_Stats!$G$22-Norm_Stats!$F$22)))))="",0,0.5)+IF((IF(OR(City_Inputs!$AJ137="",Norm_Stats!$F$23="",Norm_Stats!$G$23="",Norm_Stats!$G$23=Norm_Stats!$F$23),"",MAX(0,MIN(100,100*(MIN(MAX(City_Inputs!$AJ137,Norm_Stats!$F$23),Norm_Stats!$G$23)-Norm_Stats!$F$23)/(Norm_Stats!$G$23-Norm_Stats!$F$23)))))="",0,0.3)+IF((IF(OR(City_Inputs!$AK137="",Norm_Stats!$F$24="",Norm_Stats!$G$24="",Norm_Stats!$G$24=Norm_Stats!$F$24),"",MAX(0,MIN(100,100*(MIN(MAX(City_Inputs!$AK137,Norm_Stats!$F$24),Norm_Stats!$G$24)-Norm_Stats!$F$24)/(Norm_Stats!$G$24-Norm_Stats!$F$24)))))="",0,0.2))=0,"",(IF((IF(OR(City_Inputs!$AG137="",Norm_Stats!$F$22="",Norm_Stats!$G$22="",Norm_Stats!$G$22=Norm_Stats!$F$22),"",MAX(0,MIN(100,100*(MIN(MAX(City_Inputs!$AG137,Norm_Stats!$F$22),Norm_Stats!$G$22)-Norm_Stats!$F$22)/(Norm_Stats!$G$22-Norm_Stats!$F$22)))))="",0,0.5)+IF((IF(OR(City_Inputs!$AJ137="",Norm_Stats!$F$23="",Norm_Stats!$G$23="",Norm_Stats!$G$23=Norm_Stats!$F$23),"",MAX(0,MIN(100,100*(MIN(MAX(City_Inputs!$AJ137,Norm_Stats!$F$23),Norm_Stats!$G$23)-Norm_Stats!$F$23)/(Norm_Stats!$G$23-Norm_Stats!$F$23)))))="",0,0.3)+IF((IF(OR(City_Inputs!$AK137="",Norm_Stats!$F$24="",Norm_Stats!$G$24="",Norm_Stats!$G$24=Norm_Stats!$F$24),"",MAX(0,MIN(100,100*(MIN(MAX(City_Inputs!$AK137,Norm_Stats!$F$24),Norm_Stats!$G$24)-Norm_Stats!$F$24)/(Norm_Stats!$G$24-Norm_Stats!$F$24)))))="",0,0.2)))</f>
        <v/>
      </c>
      <c r="BE137" s="11">
        <f>IF(OR(City_Inputs!$AH137="",Norm_Stats!$F$25="",Norm_Stats!$G$25="",Norm_Stats!$G$25=Norm_Stats!$F$25),"",MAX(0,MIN(100,100*(Norm_Stats!$G$25-MIN(MAX(City_Inputs!$AH137,Norm_Stats!$F$25),Norm_Stats!$G$25))/(Norm_Stats!$G$25-Norm_Stats!$F$25))))</f>
        <v/>
      </c>
      <c r="BF137" s="14">
        <f>IF(BE137="","",1)</f>
        <v/>
      </c>
      <c r="BG137" s="15">
        <f>IF((IF(AY137="",0,6)+IF(BA137="",0,5)+IF(BC137="",0,5)+IF(BE137="",0,4))=0,"",(IF(AY137="",0,AY137*6)+IF(BA137="",0,BA137*5)+IF(BC137="",0,BC137*5)+IF(BE137="",0,BE137*4))/(IF(AY137="",0,6)+IF(BA137="",0,5)+IF(BC137="",0,5)+IF(BE137="",0,4)))</f>
        <v/>
      </c>
      <c r="BH137" s="14">
        <f>IF((IF(AZ137="",0,6)+IF(BB137="",0,5)+IF(BD137="",0,5)+IF(BF137="",0,4))=0,"",(IF(AZ137="",0,AZ137*6)+IF(BB137="",0,BB137*5)+IF(BD137="",0,BD137*5)+IF(BF137="",0,BF137*4))/20)</f>
        <v/>
      </c>
      <c r="BI137" s="14">
        <f>IF(AND(R137="",AF137="",AN137="",AX137="",BH137=""),"",((R137*25)+(AF137*22)+(AN137*18)+(AX137*15)+(BH137*20))/100)</f>
        <v/>
      </c>
      <c r="BJ137" s="11">
        <f>IF(BI137="","",IF(BI137&gt;=0.75,"A",IF(BI137&gt;=0.5,"B",IF(BI137&gt;=0.35,"C","Watchlist"))))</f>
        <v/>
      </c>
      <c r="BK137" s="11">
        <f>IF(OR(BI137="",BI137&lt;0.5,R137="",R137&lt;0.35,AF137="",AF137&lt;0.35,AN137="",AN137&lt;0.35,AX137="",AX137&lt;0.35,BH137="",BH137&lt;0.35),"Watchlist","Ranked")</f>
        <v/>
      </c>
      <c r="BL137" s="15">
        <f>IF(AND(Q137="",AE137="",AM137="",AW137="",BG137=""),"",(IF(Q137="",0,Q137*25)+IF(AE137="",0,AE137*22)+IF(AM137="",0,AM137*18)+IF(AW137="",0,AW137*15)+IF(BG137="",0,BG137*20))/(IF(Q137="",0,25)+IF(AE137="",0,22)+IF(AM137="",0,18)+IF(AW137="",0,15)+IF(BG137="",0,20)))</f>
        <v/>
      </c>
      <c r="BM137" s="11">
        <f>IF(BK137="Ranked",1+COUNTIFS($BK$2:$BK$158,"Ranked",$BL$2:$BL$158,"&gt;"&amp;BL137),"")</f>
        <v/>
      </c>
      <c r="BN137" s="11">
        <f>City_Inputs!$AI137</f>
        <v/>
      </c>
    </row>
    <row r="138">
      <c r="A138" t="inlineStr">
        <is>
          <t>ca-ottawa</t>
        </is>
      </c>
      <c r="B138" t="inlineStr">
        <is>
          <t>Ottawa</t>
        </is>
      </c>
      <c r="C138" t="inlineStr">
        <is>
          <t>Canada</t>
        </is>
      </c>
      <c r="D138" t="inlineStr">
        <is>
          <t>North America</t>
        </is>
      </c>
      <c r="E138" t="inlineStr">
        <is>
          <t>provisional</t>
        </is>
      </c>
      <c r="F138" t="inlineStr">
        <is>
          <t>primary</t>
        </is>
      </c>
      <c r="G138" s="11">
        <f>IF(OR(City_Inputs!$M138="",Norm_Stats!$F$2="",Norm_Stats!$G$2="",Norm_Stats!$G$2=Norm_Stats!$F$2),"",MAX(0,MIN(100,100*(MIN(MAX(City_Inputs!$M138,Norm_Stats!$F$2),Norm_Stats!$G$2)-Norm_Stats!$F$2)/(Norm_Stats!$G$2-Norm_Stats!$F$2))))</f>
        <v/>
      </c>
      <c r="H138" s="14">
        <f>IF(G138="","",1)</f>
        <v/>
      </c>
      <c r="I138" s="11">
        <f>IF(OR(City_Inputs!$N138="",Norm_Stats!$F$3="",Norm_Stats!$G$3="",Norm_Stats!$G$3=Norm_Stats!$F$3),"",MAX(0,MIN(100,100*(Norm_Stats!$G$3-MIN(MAX(City_Inputs!$N138,Norm_Stats!$F$3),Norm_Stats!$G$3))/(Norm_Stats!$G$3-Norm_Stats!$F$3))))</f>
        <v/>
      </c>
      <c r="J138" s="14">
        <f>IF(I138="","",1)</f>
        <v/>
      </c>
      <c r="K138" s="11">
        <f>IF(OR(City_Inputs!$P138="",Norm_Stats!$F$4="",Norm_Stats!$G$4="",Norm_Stats!$G$4=Norm_Stats!$F$4),"",MAX(0,MIN(100,100*(Norm_Stats!$G$4-MIN(MAX(City_Inputs!$P138,Norm_Stats!$F$4),Norm_Stats!$G$4))/(Norm_Stats!$G$4-Norm_Stats!$F$4))))</f>
        <v/>
      </c>
      <c r="L138" s="14">
        <f>IF(K138="","",1)</f>
        <v/>
      </c>
      <c r="M138" s="11">
        <f>IF(OR(City_Inputs!$Q138="",Norm_Stats!$F$5="",Norm_Stats!$G$5="",Norm_Stats!$G$5=Norm_Stats!$F$5),"",MAX(0,MIN(100,100*(Norm_Stats!$G$5-MIN(MAX(City_Inputs!$Q138,Norm_Stats!$F$5),Norm_Stats!$G$5))/(Norm_Stats!$G$5-Norm_Stats!$F$5))))</f>
        <v/>
      </c>
      <c r="N138" s="14">
        <f>IF(M138="","",1)</f>
        <v/>
      </c>
      <c r="O138" s="11">
        <f>IF(OR(City_Inputs!$R138="",Norm_Stats!$F$6="",Norm_Stats!$G$6="",Norm_Stats!$G$6=Norm_Stats!$F$6),"",MAX(0,MIN(100,100*(Norm_Stats!$G$6-MIN(MAX(City_Inputs!$R138,Norm_Stats!$F$6),Norm_Stats!$G$6))/(Norm_Stats!$G$6-Norm_Stats!$F$6))))</f>
        <v/>
      </c>
      <c r="P138" s="14">
        <f>IF(O138="","",1)</f>
        <v/>
      </c>
      <c r="Q138" s="15">
        <f>IF((IF(G138="",0,9)+IF(I138="",0,5)+IF(K138="",0,4)+IF(M138="",0,4)+IF(O138="",0,5))=0,"",(IF(G138="",0,G138*9)+IF(I138="",0,I138*5)+IF(K138="",0,K138*4)+IF(M138="",0,M138*4)+IF(O138="",0,O138*5))/(IF(G138="",0,9)+IF(I138="",0,5)+IF(K138="",0,4)+IF(M138="",0,4)+IF(O138="",0,5)))</f>
        <v/>
      </c>
      <c r="R138" s="14">
        <f>IF((IF(H138="",0,9)+IF(J138="",0,5)+IF(L138="",0,4)+IF(N138="",0,4)+IF(P138="",0,5))=0,"",(IF(H138="",0,H138*9)+IF(J138="",0,J138*5)+IF(L138="",0,L138*4)+IF(N138="",0,N138*4)+IF(P138="",0,P138*5))/27)</f>
        <v/>
      </c>
      <c r="S138" s="11">
        <f>IF(OR(City_Inputs!$S138="",Norm_Stats!$F$7="",Norm_Stats!$G$7="",Norm_Stats!$G$7=Norm_Stats!$F$7),"",MAX(0,MIN(100,100*(Norm_Stats!$G$7-MIN(MAX(City_Inputs!$S138,Norm_Stats!$F$7),Norm_Stats!$G$7))/(Norm_Stats!$G$7-Norm_Stats!$F$7))))</f>
        <v/>
      </c>
      <c r="T138" s="14">
        <f>IF(S138="","",1)</f>
        <v/>
      </c>
      <c r="U138" s="11">
        <f>IF(OR(City_Inputs!$T138="",Norm_Stats!$F$8="",Norm_Stats!$G$8="",Norm_Stats!$G$8=Norm_Stats!$F$8),"",MAX(0,MIN(100,100*(MIN(MAX(City_Inputs!$T138,Norm_Stats!$F$8),Norm_Stats!$G$8)-Norm_Stats!$F$8)/(Norm_Stats!$G$8-Norm_Stats!$F$8))))</f>
        <v/>
      </c>
      <c r="V138" s="14">
        <f>IF(U138="","",1)</f>
        <v/>
      </c>
      <c r="W138" s="11">
        <f>IF(OR(City_Inputs!$U138="",Norm_Stats!$F$9="",Norm_Stats!$G$9="",Norm_Stats!$G$9=Norm_Stats!$F$9),"",MAX(0,MIN(100,100*(Norm_Stats!$G$9-MIN(MAX(City_Inputs!$U138,Norm_Stats!$F$9),Norm_Stats!$G$9))/(Norm_Stats!$G$9-Norm_Stats!$F$9))))</f>
        <v/>
      </c>
      <c r="X138" s="14">
        <f>IF(W138="","",1)</f>
        <v/>
      </c>
      <c r="Y138" s="11">
        <f>IF(OR(City_Inputs!$V138="",Norm_Stats!$F$10="",Norm_Stats!$G$10="",Norm_Stats!$G$10=Norm_Stats!$F$10),"",MAX(0,MIN(100,100*(MIN(MAX(City_Inputs!$V138,Norm_Stats!$F$10),Norm_Stats!$G$10)-Norm_Stats!$F$10)/(Norm_Stats!$G$10-Norm_Stats!$F$10))))</f>
        <v/>
      </c>
      <c r="Z138" s="14">
        <f>IF(Y138="","",1)</f>
        <v/>
      </c>
      <c r="AA138" s="11">
        <f>IF(OR(City_Inputs!$W138="",Norm_Stats!$F$11="",Norm_Stats!$G$11="",Norm_Stats!$G$11=Norm_Stats!$F$11),"",MAX(0,MIN(100,100*(MIN(MAX(City_Inputs!$W138,Norm_Stats!$F$11),Norm_Stats!$G$11)-Norm_Stats!$F$11)/(Norm_Stats!$G$11-Norm_Stats!$F$11))))</f>
        <v/>
      </c>
      <c r="AB138" s="14">
        <f>IF(AA138="","",1)</f>
        <v/>
      </c>
      <c r="AC138" s="11">
        <f>IF(OR(City_Inputs!$X138="",Norm_Stats!$F$12="",Norm_Stats!$G$12="",Norm_Stats!$G$12=Norm_Stats!$F$12),"",MAX(0,MIN(100,100*(MIN(MAX(City_Inputs!$X138,Norm_Stats!$F$12),Norm_Stats!$G$12)-Norm_Stats!$F$12)/(Norm_Stats!$G$12-Norm_Stats!$F$12))))</f>
        <v/>
      </c>
      <c r="AD138" s="11">
        <f>IF(AC138="","",1)</f>
        <v/>
      </c>
      <c r="AE138" s="15">
        <f>IF((IF(S138="",0,5)+IF(U138="",0,5)+IF(W138="",0,4)+IF(Y138="",0,4)+IF(AA138="",0,4)+IF(AC138="",0,5))=0,"",(IF(S138="",0,S138*5)+IF(U138="",0,U138*5)+IF(W138="",0,W138*4)+IF(Y138="",0,Y138*4)+IF(AA138="",0,AA138*4)+IF(AC138="",0,AC138*5))/(IF(S138="",0,5)+IF(U138="",0,5)+IF(W138="",0,4)+IF(Y138="",0,4)+IF(AA138="",0,4)+IF(AC138="",0,5)))</f>
        <v/>
      </c>
      <c r="AF138" s="14">
        <f>IF((IF(T138="",0,5)+IF(V138="",0,5)+IF(X138="",0,4)+IF(Z138="",0,4)+IF(AB138="",0,4)+IF(AD138="",0,5))=0,"",(IF(T138="",0,T138*5)+IF(V138="",0,V138*5)+IF(X138="",0,X138*4)+IF(Z138="",0,Z138*4)+IF(AB138="",0,AB138*4)+IF(AD138="",0,AD138*5))/27)</f>
        <v/>
      </c>
      <c r="AG138" s="11">
        <f>IF(OR(City_Inputs!$Y138="",Norm_Stats!$F$13="",Norm_Stats!$G$13="",Norm_Stats!$G$13=Norm_Stats!$F$13),"",MAX(0,MIN(100,100*(MIN(MAX(City_Inputs!$Y138,Norm_Stats!$F$13),Norm_Stats!$G$13)-Norm_Stats!$F$13)/(Norm_Stats!$G$13-Norm_Stats!$F$13))))</f>
        <v/>
      </c>
      <c r="AH138" s="14">
        <f>IF(AG138="","",1)</f>
        <v/>
      </c>
      <c r="AI138" s="11">
        <f>IF(OR(City_Inputs!$Z138="",Norm_Stats!$F$14="",Norm_Stats!$G$14="",Norm_Stats!$G$14=Norm_Stats!$F$14),"",MAX(0,MIN(100,100*(MIN(MAX(City_Inputs!$Z138,Norm_Stats!$F$14),Norm_Stats!$G$14)-Norm_Stats!$F$14)/(Norm_Stats!$G$14-Norm_Stats!$F$14))))</f>
        <v/>
      </c>
      <c r="AJ138" s="14">
        <f>IF(AI138="","",1)</f>
        <v/>
      </c>
      <c r="AK138" s="11">
        <f>IF((IF((IF(OR(City_Inputs!$AA138="",Norm_Stats!$F$15="",Norm_Stats!$G$15="",Norm_Stats!$G$15=Norm_Stats!$F$15),"",MAX(0,MIN(100,100*(MIN(MAX(City_Inputs!$AA138,Norm_Stats!$F$15),Norm_Stats!$G$15)-Norm_Stats!$F$15)/(Norm_Stats!$G$15-Norm_Stats!$F$15)))))="",0,0.7)+IF((IF(OR(City_Inputs!$AL138="",Norm_Stats!$F$16="",Norm_Stats!$G$16="",Norm_Stats!$G$16=Norm_Stats!$F$16),"",MAX(0,MIN(100,100*(Norm_Stats!$G$16-MIN(MAX(City_Inputs!$AL138,Norm_Stats!$F$16),Norm_Stats!$G$16))/(Norm_Stats!$G$16-Norm_Stats!$F$16)))))="",0,0.3))=0,"",(IF((IF(OR(City_Inputs!$AA138="",Norm_Stats!$F$15="",Norm_Stats!$G$15="",Norm_Stats!$G$15=Norm_Stats!$F$15),"",MAX(0,MIN(100,100*(MIN(MAX(City_Inputs!$AA138,Norm_Stats!$F$15),Norm_Stats!$G$15)-Norm_Stats!$F$15)/(Norm_Stats!$G$15-Norm_Stats!$F$15)))))="",0,(IF(OR(City_Inputs!$AA138="",Norm_Stats!$F$15="",Norm_Stats!$G$15="",Norm_Stats!$G$15=Norm_Stats!$F$15),"",MAX(0,MIN(100,100*(MIN(MAX(City_Inputs!$AA138,Norm_Stats!$F$15),Norm_Stats!$G$15)-Norm_Stats!$F$15)/(Norm_Stats!$G$15-Norm_Stats!$F$15)))))*0.7)+IF((IF(OR(City_Inputs!$AL138="",Norm_Stats!$F$16="",Norm_Stats!$G$16="",Norm_Stats!$G$16=Norm_Stats!$F$16),"",MAX(0,MIN(100,100*(Norm_Stats!$G$16-MIN(MAX(City_Inputs!$AL138,Norm_Stats!$F$16),Norm_Stats!$G$16))/(Norm_Stats!$G$16-Norm_Stats!$F$16)))))="",0,(IF(OR(City_Inputs!$AL138="",Norm_Stats!$F$16="",Norm_Stats!$G$16="",Norm_Stats!$G$16=Norm_Stats!$F$16),"",MAX(0,MIN(100,100*(Norm_Stats!$G$16-MIN(MAX(City_Inputs!$AL138,Norm_Stats!$F$16),Norm_Stats!$G$16))/(Norm_Stats!$G$16-Norm_Stats!$F$16)))))*0.3))/(IF((IF(OR(City_Inputs!$AA138="",Norm_Stats!$F$15="",Norm_Stats!$G$15="",Norm_Stats!$G$15=Norm_Stats!$F$15),"",MAX(0,MIN(100,100*(MIN(MAX(City_Inputs!$AA138,Norm_Stats!$F$15),Norm_Stats!$G$15)-Norm_Stats!$F$15)/(Norm_Stats!$G$15-Norm_Stats!$F$15)))))="",0,0.7)+IF((IF(OR(City_Inputs!$AL138="",Norm_Stats!$F$16="",Norm_Stats!$G$16="",Norm_Stats!$G$16=Norm_Stats!$F$16),"",MAX(0,MIN(100,100*(Norm_Stats!$G$16-MIN(MAX(City_Inputs!$AL138,Norm_Stats!$F$16),Norm_Stats!$G$16))/(Norm_Stats!$G$16-Norm_Stats!$F$16)))))="",0,0.3)))</f>
        <v/>
      </c>
      <c r="AL138" s="14">
        <f>IF((IF((IF(OR(City_Inputs!$AA138="",Norm_Stats!$F$15="",Norm_Stats!$G$15="",Norm_Stats!$G$15=Norm_Stats!$F$15),"",MAX(0,MIN(100,100*(MIN(MAX(City_Inputs!$AA138,Norm_Stats!$F$15),Norm_Stats!$G$15)-Norm_Stats!$F$15)/(Norm_Stats!$G$15-Norm_Stats!$F$15)))))="",0,0.7)+IF((IF(OR(City_Inputs!$AL138="",Norm_Stats!$F$16="",Norm_Stats!$G$16="",Norm_Stats!$G$16=Norm_Stats!$F$16),"",MAX(0,MIN(100,100*(Norm_Stats!$G$16-MIN(MAX(City_Inputs!$AL138,Norm_Stats!$F$16),Norm_Stats!$G$16))/(Norm_Stats!$G$16-Norm_Stats!$F$16)))))="",0,0.3))=0,"",(IF((IF(OR(City_Inputs!$AA138="",Norm_Stats!$F$15="",Norm_Stats!$G$15="",Norm_Stats!$G$15=Norm_Stats!$F$15),"",MAX(0,MIN(100,100*(MIN(MAX(City_Inputs!$AA138,Norm_Stats!$F$15),Norm_Stats!$G$15)-Norm_Stats!$F$15)/(Norm_Stats!$G$15-Norm_Stats!$F$15)))))="",0,0.7)+IF((IF(OR(City_Inputs!$AL138="",Norm_Stats!$F$16="",Norm_Stats!$G$16="",Norm_Stats!$G$16=Norm_Stats!$F$16),"",MAX(0,MIN(100,100*(Norm_Stats!$G$16-MIN(MAX(City_Inputs!$AL138,Norm_Stats!$F$16),Norm_Stats!$G$16))/(Norm_Stats!$G$16-Norm_Stats!$F$16)))))="",0,0.3)))</f>
        <v/>
      </c>
      <c r="AM138" s="15">
        <f>IF((IF(AG138="",0,8)+IF(AI138="",0,6)+IF(AK138="",0,4))=0,"",(IF(AG138="",0,AG138*8)+IF(AI138="",0,AI138*6)+IF(AK138="",0,AK138*4))/(IF(AG138="",0,8)+IF(AI138="",0,6)+IF(AK138="",0,4)))</f>
        <v/>
      </c>
      <c r="AN138" s="14">
        <f>IF((IF(AH138="",0,8)+IF(AJ138="",0,6)+IF(AL138="",0,4))=0,"",(IF(AH138="",0,AH138*8)+IF(AJ138="",0,AJ138*6)+IF(AL138="",0,AL138*4))/18)</f>
        <v/>
      </c>
      <c r="AO138" s="11">
        <f>IF(OR(City_Inputs!$AB138="",Norm_Stats!$F$17="",Norm_Stats!$G$17="",Norm_Stats!$G$17=Norm_Stats!$F$17),"",MAX(0,MIN(100,100*(MIN(MAX(City_Inputs!$AB138,Norm_Stats!$F$17),Norm_Stats!$G$17)-Norm_Stats!$F$17)/(Norm_Stats!$G$17-Norm_Stats!$F$17))))</f>
        <v/>
      </c>
      <c r="AP138" s="14">
        <f>IF(AO138="","",1)</f>
        <v/>
      </c>
      <c r="AQ138" s="11">
        <f>IF(OR(City_Inputs!$AC138="",Norm_Stats!$F$18="",Norm_Stats!$G$18="",Norm_Stats!$G$18=Norm_Stats!$F$18),"",MAX(0,MIN(100,100*(MIN(MAX(City_Inputs!$AC138,Norm_Stats!$F$18),Norm_Stats!$G$18)-Norm_Stats!$F$18)/(Norm_Stats!$G$18-Norm_Stats!$F$18))))</f>
        <v/>
      </c>
      <c r="AR138" s="14">
        <f>IF(AQ138="","",1)</f>
        <v/>
      </c>
      <c r="AS138" s="11">
        <f>IF(OR(City_Inputs!$AD138="",Norm_Stats!$F$19="",Norm_Stats!$G$19="",Norm_Stats!$G$19=Norm_Stats!$F$19),"",MAX(0,MIN(100,100*(MIN(MAX(City_Inputs!$AD138,Norm_Stats!$F$19),Norm_Stats!$G$19)-Norm_Stats!$F$19)/(Norm_Stats!$G$19-Norm_Stats!$F$19))))</f>
        <v/>
      </c>
      <c r="AT138" s="14">
        <f>IF(AS138="","",1)</f>
        <v/>
      </c>
      <c r="AU138" s="11">
        <f>IF(OR(City_Inputs!$BJ138="",Norm_Stats!$F$26="",Norm_Stats!$G$26="",Norm_Stats!$G$26=Norm_Stats!$F$26),"",MAX(0,MIN(100,100*(MIN(MAX(City_Inputs!$BJ138,Norm_Stats!$F$26),Norm_Stats!$G$26)-Norm_Stats!$F$26)/(Norm_Stats!$G$26-Norm_Stats!$F$26))))</f>
        <v/>
      </c>
      <c r="AV138" s="11">
        <f>IF(AU138="","",1)</f>
        <v/>
      </c>
      <c r="AW138" s="15">
        <f>IF((IF(AO138="",0,5)+IF(AQ138="",0,5)+IF(AS138="",0,5)+IF(AU138="",0,4))=0,"",(IF(AO138="",0,AO138*5)+IF(AQ138="",0,AQ138*5)+IF(AS138="",0,AS138*5)+IF(AU138="",0,AU138*4))/(IF(AO138="",0,5)+IF(AQ138="",0,5)+IF(AS138="",0,5)+IF(AU138="",0,4)))</f>
        <v/>
      </c>
      <c r="AX138" s="14">
        <f>IF((IF(AP138="",0,5)+IF(AR138="",0,5)+IF(AT138="",0,5)+IF(AV138="",0,4))=0,"",(IF(AP138="",0,AP138*5)+IF(AR138="",0,AR138*5)+IF(AT138="",0,AT138*5)+IF(AV138="",0,AV138*4))/19)</f>
        <v/>
      </c>
      <c r="AY138" s="11">
        <f>IF(OR(City_Inputs!$AE138="",Norm_Stats!$F$20="",Norm_Stats!$G$20="",Norm_Stats!$G$20=Norm_Stats!$F$20),"",MAX(0,MIN(100,100*(MIN(MAX(City_Inputs!$AE138,Norm_Stats!$F$20),Norm_Stats!$G$20)-Norm_Stats!$F$20)/(Norm_Stats!$G$20-Norm_Stats!$F$20))))</f>
        <v/>
      </c>
      <c r="AZ138" s="14">
        <f>IF(AY138="","",1)</f>
        <v/>
      </c>
      <c r="BA138" s="11">
        <f>IF(OR(City_Inputs!$AF138="",Norm_Stats!$F$21="",Norm_Stats!$G$21="",Norm_Stats!$G$21=Norm_Stats!$F$21),"",MAX(0,MIN(100,100*(MIN(MAX(City_Inputs!$AF138,Norm_Stats!$F$21),Norm_Stats!$G$21)-Norm_Stats!$F$21)/(Norm_Stats!$G$21-Norm_Stats!$F$21))))</f>
        <v/>
      </c>
      <c r="BB138" s="14">
        <f>IF(BA138="","",1)</f>
        <v/>
      </c>
      <c r="BC138" s="11">
        <f>IF((IF((IF(OR(City_Inputs!$AG138="",Norm_Stats!$F$22="",Norm_Stats!$G$22="",Norm_Stats!$G$22=Norm_Stats!$F$22),"",MAX(0,MIN(100,100*(MIN(MAX(City_Inputs!$AG138,Norm_Stats!$F$22),Norm_Stats!$G$22)-Norm_Stats!$F$22)/(Norm_Stats!$G$22-Norm_Stats!$F$22)))))="",0,0.5)+IF((IF(OR(City_Inputs!$AJ138="",Norm_Stats!$F$23="",Norm_Stats!$G$23="",Norm_Stats!$G$23=Norm_Stats!$F$23),"",MAX(0,MIN(100,100*(MIN(MAX(City_Inputs!$AJ138,Norm_Stats!$F$23),Norm_Stats!$G$23)-Norm_Stats!$F$23)/(Norm_Stats!$G$23-Norm_Stats!$F$23)))))="",0,0.3)+IF((IF(OR(City_Inputs!$AK138="",Norm_Stats!$F$24="",Norm_Stats!$G$24="",Norm_Stats!$G$24=Norm_Stats!$F$24),"",MAX(0,MIN(100,100*(MIN(MAX(City_Inputs!$AK138,Norm_Stats!$F$24),Norm_Stats!$G$24)-Norm_Stats!$F$24)/(Norm_Stats!$G$24-Norm_Stats!$F$24)))))="",0,0.2))=0,"",(IF((IF(OR(City_Inputs!$AG138="",Norm_Stats!$F$22="",Norm_Stats!$G$22="",Norm_Stats!$G$22=Norm_Stats!$F$22),"",MAX(0,MIN(100,100*(MIN(MAX(City_Inputs!$AG138,Norm_Stats!$F$22),Norm_Stats!$G$22)-Norm_Stats!$F$22)/(Norm_Stats!$G$22-Norm_Stats!$F$22)))))="",0,(IF(OR(City_Inputs!$AG138="",Norm_Stats!$F$22="",Norm_Stats!$G$22="",Norm_Stats!$G$22=Norm_Stats!$F$22),"",MAX(0,MIN(100,100*(MIN(MAX(City_Inputs!$AG138,Norm_Stats!$F$22),Norm_Stats!$G$22)-Norm_Stats!$F$22)/(Norm_Stats!$G$22-Norm_Stats!$F$22)))))*0.5)+IF((IF(OR(City_Inputs!$AJ138="",Norm_Stats!$F$23="",Norm_Stats!$G$23="",Norm_Stats!$G$23=Norm_Stats!$F$23),"",MAX(0,MIN(100,100*(MIN(MAX(City_Inputs!$AJ138,Norm_Stats!$F$23),Norm_Stats!$G$23)-Norm_Stats!$F$23)/(Norm_Stats!$G$23-Norm_Stats!$F$23)))))="",0,(IF(OR(City_Inputs!$AJ138="",Norm_Stats!$F$23="",Norm_Stats!$G$23="",Norm_Stats!$G$23=Norm_Stats!$F$23),"",MAX(0,MIN(100,100*(MIN(MAX(City_Inputs!$AJ138,Norm_Stats!$F$23),Norm_Stats!$G$23)-Norm_Stats!$F$23)/(Norm_Stats!$G$23-Norm_Stats!$F$23)))))*0.3)+IF((IF(OR(City_Inputs!$AK138="",Norm_Stats!$F$24="",Norm_Stats!$G$24="",Norm_Stats!$G$24=Norm_Stats!$F$24),"",MAX(0,MIN(100,100*(MIN(MAX(City_Inputs!$AK138,Norm_Stats!$F$24),Norm_Stats!$G$24)-Norm_Stats!$F$24)/(Norm_Stats!$G$24-Norm_Stats!$F$24)))))="",0,(IF(OR(City_Inputs!$AK138="",Norm_Stats!$F$24="",Norm_Stats!$G$24="",Norm_Stats!$G$24=Norm_Stats!$F$24),"",MAX(0,MIN(100,100*(MIN(MAX(City_Inputs!$AK138,Norm_Stats!$F$24),Norm_Stats!$G$24)-Norm_Stats!$F$24)/(Norm_Stats!$G$24-Norm_Stats!$F$24)))))*0.2))/(IF((IF(OR(City_Inputs!$AG138="",Norm_Stats!$F$22="",Norm_Stats!$G$22="",Norm_Stats!$G$22=Norm_Stats!$F$22),"",MAX(0,MIN(100,100*(MIN(MAX(City_Inputs!$AG138,Norm_Stats!$F$22),Norm_Stats!$G$22)-Norm_Stats!$F$22)/(Norm_Stats!$G$22-Norm_Stats!$F$22)))))="",0,0.5)+IF((IF(OR(City_Inputs!$AJ138="",Norm_Stats!$F$23="",Norm_Stats!$G$23="",Norm_Stats!$G$23=Norm_Stats!$F$23),"",MAX(0,MIN(100,100*(MIN(MAX(City_Inputs!$AJ138,Norm_Stats!$F$23),Norm_Stats!$G$23)-Norm_Stats!$F$23)/(Norm_Stats!$G$23-Norm_Stats!$F$23)))))="",0,0.3)+IF((IF(OR(City_Inputs!$AK138="",Norm_Stats!$F$24="",Norm_Stats!$G$24="",Norm_Stats!$G$24=Norm_Stats!$F$24),"",MAX(0,MIN(100,100*(MIN(MAX(City_Inputs!$AK138,Norm_Stats!$F$24),Norm_Stats!$G$24)-Norm_Stats!$F$24)/(Norm_Stats!$G$24-Norm_Stats!$F$24)))))="",0,0.2)))</f>
        <v/>
      </c>
      <c r="BD138" s="14">
        <f>IF((IF((IF(OR(City_Inputs!$AG138="",Norm_Stats!$F$22="",Norm_Stats!$G$22="",Norm_Stats!$G$22=Norm_Stats!$F$22),"",MAX(0,MIN(100,100*(MIN(MAX(City_Inputs!$AG138,Norm_Stats!$F$22),Norm_Stats!$G$22)-Norm_Stats!$F$22)/(Norm_Stats!$G$22-Norm_Stats!$F$22)))))="",0,0.5)+IF((IF(OR(City_Inputs!$AJ138="",Norm_Stats!$F$23="",Norm_Stats!$G$23="",Norm_Stats!$G$23=Norm_Stats!$F$23),"",MAX(0,MIN(100,100*(MIN(MAX(City_Inputs!$AJ138,Norm_Stats!$F$23),Norm_Stats!$G$23)-Norm_Stats!$F$23)/(Norm_Stats!$G$23-Norm_Stats!$F$23)))))="",0,0.3)+IF((IF(OR(City_Inputs!$AK138="",Norm_Stats!$F$24="",Norm_Stats!$G$24="",Norm_Stats!$G$24=Norm_Stats!$F$24),"",MAX(0,MIN(100,100*(MIN(MAX(City_Inputs!$AK138,Norm_Stats!$F$24),Norm_Stats!$G$24)-Norm_Stats!$F$24)/(Norm_Stats!$G$24-Norm_Stats!$F$24)))))="",0,0.2))=0,"",(IF((IF(OR(City_Inputs!$AG138="",Norm_Stats!$F$22="",Norm_Stats!$G$22="",Norm_Stats!$G$22=Norm_Stats!$F$22),"",MAX(0,MIN(100,100*(MIN(MAX(City_Inputs!$AG138,Norm_Stats!$F$22),Norm_Stats!$G$22)-Norm_Stats!$F$22)/(Norm_Stats!$G$22-Norm_Stats!$F$22)))))="",0,0.5)+IF((IF(OR(City_Inputs!$AJ138="",Norm_Stats!$F$23="",Norm_Stats!$G$23="",Norm_Stats!$G$23=Norm_Stats!$F$23),"",MAX(0,MIN(100,100*(MIN(MAX(City_Inputs!$AJ138,Norm_Stats!$F$23),Norm_Stats!$G$23)-Norm_Stats!$F$23)/(Norm_Stats!$G$23-Norm_Stats!$F$23)))))="",0,0.3)+IF((IF(OR(City_Inputs!$AK138="",Norm_Stats!$F$24="",Norm_Stats!$G$24="",Norm_Stats!$G$24=Norm_Stats!$F$24),"",MAX(0,MIN(100,100*(MIN(MAX(City_Inputs!$AK138,Norm_Stats!$F$24),Norm_Stats!$G$24)-Norm_Stats!$F$24)/(Norm_Stats!$G$24-Norm_Stats!$F$24)))))="",0,0.2)))</f>
        <v/>
      </c>
      <c r="BE138" s="11">
        <f>IF(OR(City_Inputs!$AH138="",Norm_Stats!$F$25="",Norm_Stats!$G$25="",Norm_Stats!$G$25=Norm_Stats!$F$25),"",MAX(0,MIN(100,100*(Norm_Stats!$G$25-MIN(MAX(City_Inputs!$AH138,Norm_Stats!$F$25),Norm_Stats!$G$25))/(Norm_Stats!$G$25-Norm_Stats!$F$25))))</f>
        <v/>
      </c>
      <c r="BF138" s="14">
        <f>IF(BE138="","",1)</f>
        <v/>
      </c>
      <c r="BG138" s="15">
        <f>IF((IF(AY138="",0,6)+IF(BA138="",0,5)+IF(BC138="",0,5)+IF(BE138="",0,4))=0,"",(IF(AY138="",0,AY138*6)+IF(BA138="",0,BA138*5)+IF(BC138="",0,BC138*5)+IF(BE138="",0,BE138*4))/(IF(AY138="",0,6)+IF(BA138="",0,5)+IF(BC138="",0,5)+IF(BE138="",0,4)))</f>
        <v/>
      </c>
      <c r="BH138" s="14">
        <f>IF((IF(AZ138="",0,6)+IF(BB138="",0,5)+IF(BD138="",0,5)+IF(BF138="",0,4))=0,"",(IF(AZ138="",0,AZ138*6)+IF(BB138="",0,BB138*5)+IF(BD138="",0,BD138*5)+IF(BF138="",0,BF138*4))/20)</f>
        <v/>
      </c>
      <c r="BI138" s="14">
        <f>IF(AND(R138="",AF138="",AN138="",AX138="",BH138=""),"",((R138*25)+(AF138*22)+(AN138*18)+(AX138*15)+(BH138*20))/100)</f>
        <v/>
      </c>
      <c r="BJ138" s="11">
        <f>IF(BI138="","",IF(BI138&gt;=0.75,"A",IF(BI138&gt;=0.5,"B",IF(BI138&gt;=0.35,"C","Watchlist"))))</f>
        <v/>
      </c>
      <c r="BK138" s="11">
        <f>IF(OR(BI138="",BI138&lt;0.5,R138="",R138&lt;0.35,AF138="",AF138&lt;0.35,AN138="",AN138&lt;0.35,AX138="",AX138&lt;0.35,BH138="",BH138&lt;0.35),"Watchlist","Ranked")</f>
        <v/>
      </c>
      <c r="BL138" s="15">
        <f>IF(AND(Q138="",AE138="",AM138="",AW138="",BG138=""),"",(IF(Q138="",0,Q138*25)+IF(AE138="",0,AE138*22)+IF(AM138="",0,AM138*18)+IF(AW138="",0,AW138*15)+IF(BG138="",0,BG138*20))/(IF(Q138="",0,25)+IF(AE138="",0,22)+IF(AM138="",0,18)+IF(AW138="",0,15)+IF(BG138="",0,20)))</f>
        <v/>
      </c>
      <c r="BM138" s="11">
        <f>IF(BK138="Ranked",1+COUNTIFS($BK$2:$BK$158,"Ranked",$BL$2:$BL$158,"&gt;"&amp;BL138),"")</f>
        <v/>
      </c>
      <c r="BN138" s="11">
        <f>City_Inputs!$AI138</f>
        <v/>
      </c>
    </row>
    <row r="139">
      <c r="A139" t="inlineStr">
        <is>
          <t>us-minneapolis</t>
        </is>
      </c>
      <c r="B139" t="inlineStr">
        <is>
          <t>Minneapolis</t>
        </is>
      </c>
      <c r="C139" t="inlineStr">
        <is>
          <t>United States</t>
        </is>
      </c>
      <c r="D139" t="inlineStr">
        <is>
          <t>North America</t>
        </is>
      </c>
      <c r="E139" t="inlineStr">
        <is>
          <t>provisional</t>
        </is>
      </c>
      <c r="F139" t="inlineStr">
        <is>
          <t>primary</t>
        </is>
      </c>
      <c r="G139" s="11">
        <f>IF(OR(City_Inputs!$M139="",Norm_Stats!$F$2="",Norm_Stats!$G$2="",Norm_Stats!$G$2=Norm_Stats!$F$2),"",MAX(0,MIN(100,100*(MIN(MAX(City_Inputs!$M139,Norm_Stats!$F$2),Norm_Stats!$G$2)-Norm_Stats!$F$2)/(Norm_Stats!$G$2-Norm_Stats!$F$2))))</f>
        <v/>
      </c>
      <c r="H139" s="14">
        <f>IF(G139="","",1)</f>
        <v/>
      </c>
      <c r="I139" s="11">
        <f>IF(OR(City_Inputs!$N139="",Norm_Stats!$F$3="",Norm_Stats!$G$3="",Norm_Stats!$G$3=Norm_Stats!$F$3),"",MAX(0,MIN(100,100*(Norm_Stats!$G$3-MIN(MAX(City_Inputs!$N139,Norm_Stats!$F$3),Norm_Stats!$G$3))/(Norm_Stats!$G$3-Norm_Stats!$F$3))))</f>
        <v/>
      </c>
      <c r="J139" s="14">
        <f>IF(I139="","",1)</f>
        <v/>
      </c>
      <c r="K139" s="11">
        <f>IF(OR(City_Inputs!$P139="",Norm_Stats!$F$4="",Norm_Stats!$G$4="",Norm_Stats!$G$4=Norm_Stats!$F$4),"",MAX(0,MIN(100,100*(Norm_Stats!$G$4-MIN(MAX(City_Inputs!$P139,Norm_Stats!$F$4),Norm_Stats!$G$4))/(Norm_Stats!$G$4-Norm_Stats!$F$4))))</f>
        <v/>
      </c>
      <c r="L139" s="14">
        <f>IF(K139="","",1)</f>
        <v/>
      </c>
      <c r="M139" s="11">
        <f>IF(OR(City_Inputs!$Q139="",Norm_Stats!$F$5="",Norm_Stats!$G$5="",Norm_Stats!$G$5=Norm_Stats!$F$5),"",MAX(0,MIN(100,100*(Norm_Stats!$G$5-MIN(MAX(City_Inputs!$Q139,Norm_Stats!$F$5),Norm_Stats!$G$5))/(Norm_Stats!$G$5-Norm_Stats!$F$5))))</f>
        <v/>
      </c>
      <c r="N139" s="14">
        <f>IF(M139="","",1)</f>
        <v/>
      </c>
      <c r="O139" s="11">
        <f>IF(OR(City_Inputs!$R139="",Norm_Stats!$F$6="",Norm_Stats!$G$6="",Norm_Stats!$G$6=Norm_Stats!$F$6),"",MAX(0,MIN(100,100*(Norm_Stats!$G$6-MIN(MAX(City_Inputs!$R139,Norm_Stats!$F$6),Norm_Stats!$G$6))/(Norm_Stats!$G$6-Norm_Stats!$F$6))))</f>
        <v/>
      </c>
      <c r="P139" s="14">
        <f>IF(O139="","",1)</f>
        <v/>
      </c>
      <c r="Q139" s="15">
        <f>IF((IF(G139="",0,9)+IF(I139="",0,5)+IF(K139="",0,4)+IF(M139="",0,4)+IF(O139="",0,5))=0,"",(IF(G139="",0,G139*9)+IF(I139="",0,I139*5)+IF(K139="",0,K139*4)+IF(M139="",0,M139*4)+IF(O139="",0,O139*5))/(IF(G139="",0,9)+IF(I139="",0,5)+IF(K139="",0,4)+IF(M139="",0,4)+IF(O139="",0,5)))</f>
        <v/>
      </c>
      <c r="R139" s="14">
        <f>IF((IF(H139="",0,9)+IF(J139="",0,5)+IF(L139="",0,4)+IF(N139="",0,4)+IF(P139="",0,5))=0,"",(IF(H139="",0,H139*9)+IF(J139="",0,J139*5)+IF(L139="",0,L139*4)+IF(N139="",0,N139*4)+IF(P139="",0,P139*5))/27)</f>
        <v/>
      </c>
      <c r="S139" s="11">
        <f>IF(OR(City_Inputs!$S139="",Norm_Stats!$F$7="",Norm_Stats!$G$7="",Norm_Stats!$G$7=Norm_Stats!$F$7),"",MAX(0,MIN(100,100*(Norm_Stats!$G$7-MIN(MAX(City_Inputs!$S139,Norm_Stats!$F$7),Norm_Stats!$G$7))/(Norm_Stats!$G$7-Norm_Stats!$F$7))))</f>
        <v/>
      </c>
      <c r="T139" s="14">
        <f>IF(S139="","",1)</f>
        <v/>
      </c>
      <c r="U139" s="11">
        <f>IF(OR(City_Inputs!$T139="",Norm_Stats!$F$8="",Norm_Stats!$G$8="",Norm_Stats!$G$8=Norm_Stats!$F$8),"",MAX(0,MIN(100,100*(MIN(MAX(City_Inputs!$T139,Norm_Stats!$F$8),Norm_Stats!$G$8)-Norm_Stats!$F$8)/(Norm_Stats!$G$8-Norm_Stats!$F$8))))</f>
        <v/>
      </c>
      <c r="V139" s="14">
        <f>IF(U139="","",1)</f>
        <v/>
      </c>
      <c r="W139" s="11">
        <f>IF(OR(City_Inputs!$U139="",Norm_Stats!$F$9="",Norm_Stats!$G$9="",Norm_Stats!$G$9=Norm_Stats!$F$9),"",MAX(0,MIN(100,100*(Norm_Stats!$G$9-MIN(MAX(City_Inputs!$U139,Norm_Stats!$F$9),Norm_Stats!$G$9))/(Norm_Stats!$G$9-Norm_Stats!$F$9))))</f>
        <v/>
      </c>
      <c r="X139" s="14">
        <f>IF(W139="","",1)</f>
        <v/>
      </c>
      <c r="Y139" s="11">
        <f>IF(OR(City_Inputs!$V139="",Norm_Stats!$F$10="",Norm_Stats!$G$10="",Norm_Stats!$G$10=Norm_Stats!$F$10),"",MAX(0,MIN(100,100*(MIN(MAX(City_Inputs!$V139,Norm_Stats!$F$10),Norm_Stats!$G$10)-Norm_Stats!$F$10)/(Norm_Stats!$G$10-Norm_Stats!$F$10))))</f>
        <v/>
      </c>
      <c r="Z139" s="14">
        <f>IF(Y139="","",1)</f>
        <v/>
      </c>
      <c r="AA139" s="11">
        <f>IF(OR(City_Inputs!$W139="",Norm_Stats!$F$11="",Norm_Stats!$G$11="",Norm_Stats!$G$11=Norm_Stats!$F$11),"",MAX(0,MIN(100,100*(MIN(MAX(City_Inputs!$W139,Norm_Stats!$F$11),Norm_Stats!$G$11)-Norm_Stats!$F$11)/(Norm_Stats!$G$11-Norm_Stats!$F$11))))</f>
        <v/>
      </c>
      <c r="AB139" s="14">
        <f>IF(AA139="","",1)</f>
        <v/>
      </c>
      <c r="AC139" s="11">
        <f>IF(OR(City_Inputs!$X139="",Norm_Stats!$F$12="",Norm_Stats!$G$12="",Norm_Stats!$G$12=Norm_Stats!$F$12),"",MAX(0,MIN(100,100*(MIN(MAX(City_Inputs!$X139,Norm_Stats!$F$12),Norm_Stats!$G$12)-Norm_Stats!$F$12)/(Norm_Stats!$G$12-Norm_Stats!$F$12))))</f>
        <v/>
      </c>
      <c r="AD139" s="11">
        <f>IF(AC139="","",1)</f>
        <v/>
      </c>
      <c r="AE139" s="15">
        <f>IF((IF(S139="",0,5)+IF(U139="",0,5)+IF(W139="",0,4)+IF(Y139="",0,4)+IF(AA139="",0,4)+IF(AC139="",0,5))=0,"",(IF(S139="",0,S139*5)+IF(U139="",0,U139*5)+IF(W139="",0,W139*4)+IF(Y139="",0,Y139*4)+IF(AA139="",0,AA139*4)+IF(AC139="",0,AC139*5))/(IF(S139="",0,5)+IF(U139="",0,5)+IF(W139="",0,4)+IF(Y139="",0,4)+IF(AA139="",0,4)+IF(AC139="",0,5)))</f>
        <v/>
      </c>
      <c r="AF139" s="14">
        <f>IF((IF(T139="",0,5)+IF(V139="",0,5)+IF(X139="",0,4)+IF(Z139="",0,4)+IF(AB139="",0,4)+IF(AD139="",0,5))=0,"",(IF(T139="",0,T139*5)+IF(V139="",0,V139*5)+IF(X139="",0,X139*4)+IF(Z139="",0,Z139*4)+IF(AB139="",0,AB139*4)+IF(AD139="",0,AD139*5))/27)</f>
        <v/>
      </c>
      <c r="AG139" s="11">
        <f>IF(OR(City_Inputs!$Y139="",Norm_Stats!$F$13="",Norm_Stats!$G$13="",Norm_Stats!$G$13=Norm_Stats!$F$13),"",MAX(0,MIN(100,100*(MIN(MAX(City_Inputs!$Y139,Norm_Stats!$F$13),Norm_Stats!$G$13)-Norm_Stats!$F$13)/(Norm_Stats!$G$13-Norm_Stats!$F$13))))</f>
        <v/>
      </c>
      <c r="AH139" s="14">
        <f>IF(AG139="","",1)</f>
        <v/>
      </c>
      <c r="AI139" s="11">
        <f>IF(OR(City_Inputs!$Z139="",Norm_Stats!$F$14="",Norm_Stats!$G$14="",Norm_Stats!$G$14=Norm_Stats!$F$14),"",MAX(0,MIN(100,100*(MIN(MAX(City_Inputs!$Z139,Norm_Stats!$F$14),Norm_Stats!$G$14)-Norm_Stats!$F$14)/(Norm_Stats!$G$14-Norm_Stats!$F$14))))</f>
        <v/>
      </c>
      <c r="AJ139" s="14">
        <f>IF(AI139="","",1)</f>
        <v/>
      </c>
      <c r="AK139" s="11">
        <f>IF((IF((IF(OR(City_Inputs!$AA139="",Norm_Stats!$F$15="",Norm_Stats!$G$15="",Norm_Stats!$G$15=Norm_Stats!$F$15),"",MAX(0,MIN(100,100*(MIN(MAX(City_Inputs!$AA139,Norm_Stats!$F$15),Norm_Stats!$G$15)-Norm_Stats!$F$15)/(Norm_Stats!$G$15-Norm_Stats!$F$15)))))="",0,0.7)+IF((IF(OR(City_Inputs!$AL139="",Norm_Stats!$F$16="",Norm_Stats!$G$16="",Norm_Stats!$G$16=Norm_Stats!$F$16),"",MAX(0,MIN(100,100*(Norm_Stats!$G$16-MIN(MAX(City_Inputs!$AL139,Norm_Stats!$F$16),Norm_Stats!$G$16))/(Norm_Stats!$G$16-Norm_Stats!$F$16)))))="",0,0.3))=0,"",(IF((IF(OR(City_Inputs!$AA139="",Norm_Stats!$F$15="",Norm_Stats!$G$15="",Norm_Stats!$G$15=Norm_Stats!$F$15),"",MAX(0,MIN(100,100*(MIN(MAX(City_Inputs!$AA139,Norm_Stats!$F$15),Norm_Stats!$G$15)-Norm_Stats!$F$15)/(Norm_Stats!$G$15-Norm_Stats!$F$15)))))="",0,(IF(OR(City_Inputs!$AA139="",Norm_Stats!$F$15="",Norm_Stats!$G$15="",Norm_Stats!$G$15=Norm_Stats!$F$15),"",MAX(0,MIN(100,100*(MIN(MAX(City_Inputs!$AA139,Norm_Stats!$F$15),Norm_Stats!$G$15)-Norm_Stats!$F$15)/(Norm_Stats!$G$15-Norm_Stats!$F$15)))))*0.7)+IF((IF(OR(City_Inputs!$AL139="",Norm_Stats!$F$16="",Norm_Stats!$G$16="",Norm_Stats!$G$16=Norm_Stats!$F$16),"",MAX(0,MIN(100,100*(Norm_Stats!$G$16-MIN(MAX(City_Inputs!$AL139,Norm_Stats!$F$16),Norm_Stats!$G$16))/(Norm_Stats!$G$16-Norm_Stats!$F$16)))))="",0,(IF(OR(City_Inputs!$AL139="",Norm_Stats!$F$16="",Norm_Stats!$G$16="",Norm_Stats!$G$16=Norm_Stats!$F$16),"",MAX(0,MIN(100,100*(Norm_Stats!$G$16-MIN(MAX(City_Inputs!$AL139,Norm_Stats!$F$16),Norm_Stats!$G$16))/(Norm_Stats!$G$16-Norm_Stats!$F$16)))))*0.3))/(IF((IF(OR(City_Inputs!$AA139="",Norm_Stats!$F$15="",Norm_Stats!$G$15="",Norm_Stats!$G$15=Norm_Stats!$F$15),"",MAX(0,MIN(100,100*(MIN(MAX(City_Inputs!$AA139,Norm_Stats!$F$15),Norm_Stats!$G$15)-Norm_Stats!$F$15)/(Norm_Stats!$G$15-Norm_Stats!$F$15)))))="",0,0.7)+IF((IF(OR(City_Inputs!$AL139="",Norm_Stats!$F$16="",Norm_Stats!$G$16="",Norm_Stats!$G$16=Norm_Stats!$F$16),"",MAX(0,MIN(100,100*(Norm_Stats!$G$16-MIN(MAX(City_Inputs!$AL139,Norm_Stats!$F$16),Norm_Stats!$G$16))/(Norm_Stats!$G$16-Norm_Stats!$F$16)))))="",0,0.3)))</f>
        <v/>
      </c>
      <c r="AL139" s="14">
        <f>IF((IF((IF(OR(City_Inputs!$AA139="",Norm_Stats!$F$15="",Norm_Stats!$G$15="",Norm_Stats!$G$15=Norm_Stats!$F$15),"",MAX(0,MIN(100,100*(MIN(MAX(City_Inputs!$AA139,Norm_Stats!$F$15),Norm_Stats!$G$15)-Norm_Stats!$F$15)/(Norm_Stats!$G$15-Norm_Stats!$F$15)))))="",0,0.7)+IF((IF(OR(City_Inputs!$AL139="",Norm_Stats!$F$16="",Norm_Stats!$G$16="",Norm_Stats!$G$16=Norm_Stats!$F$16),"",MAX(0,MIN(100,100*(Norm_Stats!$G$16-MIN(MAX(City_Inputs!$AL139,Norm_Stats!$F$16),Norm_Stats!$G$16))/(Norm_Stats!$G$16-Norm_Stats!$F$16)))))="",0,0.3))=0,"",(IF((IF(OR(City_Inputs!$AA139="",Norm_Stats!$F$15="",Norm_Stats!$G$15="",Norm_Stats!$G$15=Norm_Stats!$F$15),"",MAX(0,MIN(100,100*(MIN(MAX(City_Inputs!$AA139,Norm_Stats!$F$15),Norm_Stats!$G$15)-Norm_Stats!$F$15)/(Norm_Stats!$G$15-Norm_Stats!$F$15)))))="",0,0.7)+IF((IF(OR(City_Inputs!$AL139="",Norm_Stats!$F$16="",Norm_Stats!$G$16="",Norm_Stats!$G$16=Norm_Stats!$F$16),"",MAX(0,MIN(100,100*(Norm_Stats!$G$16-MIN(MAX(City_Inputs!$AL139,Norm_Stats!$F$16),Norm_Stats!$G$16))/(Norm_Stats!$G$16-Norm_Stats!$F$16)))))="",0,0.3)))</f>
        <v/>
      </c>
      <c r="AM139" s="15">
        <f>IF((IF(AG139="",0,8)+IF(AI139="",0,6)+IF(AK139="",0,4))=0,"",(IF(AG139="",0,AG139*8)+IF(AI139="",0,AI139*6)+IF(AK139="",0,AK139*4))/(IF(AG139="",0,8)+IF(AI139="",0,6)+IF(AK139="",0,4)))</f>
        <v/>
      </c>
      <c r="AN139" s="14">
        <f>IF((IF(AH139="",0,8)+IF(AJ139="",0,6)+IF(AL139="",0,4))=0,"",(IF(AH139="",0,AH139*8)+IF(AJ139="",0,AJ139*6)+IF(AL139="",0,AL139*4))/18)</f>
        <v/>
      </c>
      <c r="AO139" s="11">
        <f>IF(OR(City_Inputs!$AB139="",Norm_Stats!$F$17="",Norm_Stats!$G$17="",Norm_Stats!$G$17=Norm_Stats!$F$17),"",MAX(0,MIN(100,100*(MIN(MAX(City_Inputs!$AB139,Norm_Stats!$F$17),Norm_Stats!$G$17)-Norm_Stats!$F$17)/(Norm_Stats!$G$17-Norm_Stats!$F$17))))</f>
        <v/>
      </c>
      <c r="AP139" s="14">
        <f>IF(AO139="","",1)</f>
        <v/>
      </c>
      <c r="AQ139" s="11">
        <f>IF(OR(City_Inputs!$AC139="",Norm_Stats!$F$18="",Norm_Stats!$G$18="",Norm_Stats!$G$18=Norm_Stats!$F$18),"",MAX(0,MIN(100,100*(MIN(MAX(City_Inputs!$AC139,Norm_Stats!$F$18),Norm_Stats!$G$18)-Norm_Stats!$F$18)/(Norm_Stats!$G$18-Norm_Stats!$F$18))))</f>
        <v/>
      </c>
      <c r="AR139" s="14">
        <f>IF(AQ139="","",1)</f>
        <v/>
      </c>
      <c r="AS139" s="11">
        <f>IF(OR(City_Inputs!$AD139="",Norm_Stats!$F$19="",Norm_Stats!$G$19="",Norm_Stats!$G$19=Norm_Stats!$F$19),"",MAX(0,MIN(100,100*(MIN(MAX(City_Inputs!$AD139,Norm_Stats!$F$19),Norm_Stats!$G$19)-Norm_Stats!$F$19)/(Norm_Stats!$G$19-Norm_Stats!$F$19))))</f>
        <v/>
      </c>
      <c r="AT139" s="14">
        <f>IF(AS139="","",1)</f>
        <v/>
      </c>
      <c r="AU139" s="11">
        <f>IF(OR(City_Inputs!$BJ139="",Norm_Stats!$F$26="",Norm_Stats!$G$26="",Norm_Stats!$G$26=Norm_Stats!$F$26),"",MAX(0,MIN(100,100*(MIN(MAX(City_Inputs!$BJ139,Norm_Stats!$F$26),Norm_Stats!$G$26)-Norm_Stats!$F$26)/(Norm_Stats!$G$26-Norm_Stats!$F$26))))</f>
        <v/>
      </c>
      <c r="AV139" s="11">
        <f>IF(AU139="","",1)</f>
        <v/>
      </c>
      <c r="AW139" s="15">
        <f>IF((IF(AO139="",0,5)+IF(AQ139="",0,5)+IF(AS139="",0,5)+IF(AU139="",0,4))=0,"",(IF(AO139="",0,AO139*5)+IF(AQ139="",0,AQ139*5)+IF(AS139="",0,AS139*5)+IF(AU139="",0,AU139*4))/(IF(AO139="",0,5)+IF(AQ139="",0,5)+IF(AS139="",0,5)+IF(AU139="",0,4)))</f>
        <v/>
      </c>
      <c r="AX139" s="14">
        <f>IF((IF(AP139="",0,5)+IF(AR139="",0,5)+IF(AT139="",0,5)+IF(AV139="",0,4))=0,"",(IF(AP139="",0,AP139*5)+IF(AR139="",0,AR139*5)+IF(AT139="",0,AT139*5)+IF(AV139="",0,AV139*4))/19)</f>
        <v/>
      </c>
      <c r="AY139" s="11">
        <f>IF(OR(City_Inputs!$AE139="",Norm_Stats!$F$20="",Norm_Stats!$G$20="",Norm_Stats!$G$20=Norm_Stats!$F$20),"",MAX(0,MIN(100,100*(MIN(MAX(City_Inputs!$AE139,Norm_Stats!$F$20),Norm_Stats!$G$20)-Norm_Stats!$F$20)/(Norm_Stats!$G$20-Norm_Stats!$F$20))))</f>
        <v/>
      </c>
      <c r="AZ139" s="14">
        <f>IF(AY139="","",1)</f>
        <v/>
      </c>
      <c r="BA139" s="11">
        <f>IF(OR(City_Inputs!$AF139="",Norm_Stats!$F$21="",Norm_Stats!$G$21="",Norm_Stats!$G$21=Norm_Stats!$F$21),"",MAX(0,MIN(100,100*(MIN(MAX(City_Inputs!$AF139,Norm_Stats!$F$21),Norm_Stats!$G$21)-Norm_Stats!$F$21)/(Norm_Stats!$G$21-Norm_Stats!$F$21))))</f>
        <v/>
      </c>
      <c r="BB139" s="14">
        <f>IF(BA139="","",1)</f>
        <v/>
      </c>
      <c r="BC139" s="11">
        <f>IF((IF((IF(OR(City_Inputs!$AG139="",Norm_Stats!$F$22="",Norm_Stats!$G$22="",Norm_Stats!$G$22=Norm_Stats!$F$22),"",MAX(0,MIN(100,100*(MIN(MAX(City_Inputs!$AG139,Norm_Stats!$F$22),Norm_Stats!$G$22)-Norm_Stats!$F$22)/(Norm_Stats!$G$22-Norm_Stats!$F$22)))))="",0,0.5)+IF((IF(OR(City_Inputs!$AJ139="",Norm_Stats!$F$23="",Norm_Stats!$G$23="",Norm_Stats!$G$23=Norm_Stats!$F$23),"",MAX(0,MIN(100,100*(MIN(MAX(City_Inputs!$AJ139,Norm_Stats!$F$23),Norm_Stats!$G$23)-Norm_Stats!$F$23)/(Norm_Stats!$G$23-Norm_Stats!$F$23)))))="",0,0.3)+IF((IF(OR(City_Inputs!$AK139="",Norm_Stats!$F$24="",Norm_Stats!$G$24="",Norm_Stats!$G$24=Norm_Stats!$F$24),"",MAX(0,MIN(100,100*(MIN(MAX(City_Inputs!$AK139,Norm_Stats!$F$24),Norm_Stats!$G$24)-Norm_Stats!$F$24)/(Norm_Stats!$G$24-Norm_Stats!$F$24)))))="",0,0.2))=0,"",(IF((IF(OR(City_Inputs!$AG139="",Norm_Stats!$F$22="",Norm_Stats!$G$22="",Norm_Stats!$G$22=Norm_Stats!$F$22),"",MAX(0,MIN(100,100*(MIN(MAX(City_Inputs!$AG139,Norm_Stats!$F$22),Norm_Stats!$G$22)-Norm_Stats!$F$22)/(Norm_Stats!$G$22-Norm_Stats!$F$22)))))="",0,(IF(OR(City_Inputs!$AG139="",Norm_Stats!$F$22="",Norm_Stats!$G$22="",Norm_Stats!$G$22=Norm_Stats!$F$22),"",MAX(0,MIN(100,100*(MIN(MAX(City_Inputs!$AG139,Norm_Stats!$F$22),Norm_Stats!$G$22)-Norm_Stats!$F$22)/(Norm_Stats!$G$22-Norm_Stats!$F$22)))))*0.5)+IF((IF(OR(City_Inputs!$AJ139="",Norm_Stats!$F$23="",Norm_Stats!$G$23="",Norm_Stats!$G$23=Norm_Stats!$F$23),"",MAX(0,MIN(100,100*(MIN(MAX(City_Inputs!$AJ139,Norm_Stats!$F$23),Norm_Stats!$G$23)-Norm_Stats!$F$23)/(Norm_Stats!$G$23-Norm_Stats!$F$23)))))="",0,(IF(OR(City_Inputs!$AJ139="",Norm_Stats!$F$23="",Norm_Stats!$G$23="",Norm_Stats!$G$23=Norm_Stats!$F$23),"",MAX(0,MIN(100,100*(MIN(MAX(City_Inputs!$AJ139,Norm_Stats!$F$23),Norm_Stats!$G$23)-Norm_Stats!$F$23)/(Norm_Stats!$G$23-Norm_Stats!$F$23)))))*0.3)+IF((IF(OR(City_Inputs!$AK139="",Norm_Stats!$F$24="",Norm_Stats!$G$24="",Norm_Stats!$G$24=Norm_Stats!$F$24),"",MAX(0,MIN(100,100*(MIN(MAX(City_Inputs!$AK139,Norm_Stats!$F$24),Norm_Stats!$G$24)-Norm_Stats!$F$24)/(Norm_Stats!$G$24-Norm_Stats!$F$24)))))="",0,(IF(OR(City_Inputs!$AK139="",Norm_Stats!$F$24="",Norm_Stats!$G$24="",Norm_Stats!$G$24=Norm_Stats!$F$24),"",MAX(0,MIN(100,100*(MIN(MAX(City_Inputs!$AK139,Norm_Stats!$F$24),Norm_Stats!$G$24)-Norm_Stats!$F$24)/(Norm_Stats!$G$24-Norm_Stats!$F$24)))))*0.2))/(IF((IF(OR(City_Inputs!$AG139="",Norm_Stats!$F$22="",Norm_Stats!$G$22="",Norm_Stats!$G$22=Norm_Stats!$F$22),"",MAX(0,MIN(100,100*(MIN(MAX(City_Inputs!$AG139,Norm_Stats!$F$22),Norm_Stats!$G$22)-Norm_Stats!$F$22)/(Norm_Stats!$G$22-Norm_Stats!$F$22)))))="",0,0.5)+IF((IF(OR(City_Inputs!$AJ139="",Norm_Stats!$F$23="",Norm_Stats!$G$23="",Norm_Stats!$G$23=Norm_Stats!$F$23),"",MAX(0,MIN(100,100*(MIN(MAX(City_Inputs!$AJ139,Norm_Stats!$F$23),Norm_Stats!$G$23)-Norm_Stats!$F$23)/(Norm_Stats!$G$23-Norm_Stats!$F$23)))))="",0,0.3)+IF((IF(OR(City_Inputs!$AK139="",Norm_Stats!$F$24="",Norm_Stats!$G$24="",Norm_Stats!$G$24=Norm_Stats!$F$24),"",MAX(0,MIN(100,100*(MIN(MAX(City_Inputs!$AK139,Norm_Stats!$F$24),Norm_Stats!$G$24)-Norm_Stats!$F$24)/(Norm_Stats!$G$24-Norm_Stats!$F$24)))))="",0,0.2)))</f>
        <v/>
      </c>
      <c r="BD139" s="14">
        <f>IF((IF((IF(OR(City_Inputs!$AG139="",Norm_Stats!$F$22="",Norm_Stats!$G$22="",Norm_Stats!$G$22=Norm_Stats!$F$22),"",MAX(0,MIN(100,100*(MIN(MAX(City_Inputs!$AG139,Norm_Stats!$F$22),Norm_Stats!$G$22)-Norm_Stats!$F$22)/(Norm_Stats!$G$22-Norm_Stats!$F$22)))))="",0,0.5)+IF((IF(OR(City_Inputs!$AJ139="",Norm_Stats!$F$23="",Norm_Stats!$G$23="",Norm_Stats!$G$23=Norm_Stats!$F$23),"",MAX(0,MIN(100,100*(MIN(MAX(City_Inputs!$AJ139,Norm_Stats!$F$23),Norm_Stats!$G$23)-Norm_Stats!$F$23)/(Norm_Stats!$G$23-Norm_Stats!$F$23)))))="",0,0.3)+IF((IF(OR(City_Inputs!$AK139="",Norm_Stats!$F$24="",Norm_Stats!$G$24="",Norm_Stats!$G$24=Norm_Stats!$F$24),"",MAX(0,MIN(100,100*(MIN(MAX(City_Inputs!$AK139,Norm_Stats!$F$24),Norm_Stats!$G$24)-Norm_Stats!$F$24)/(Norm_Stats!$G$24-Norm_Stats!$F$24)))))="",0,0.2))=0,"",(IF((IF(OR(City_Inputs!$AG139="",Norm_Stats!$F$22="",Norm_Stats!$G$22="",Norm_Stats!$G$22=Norm_Stats!$F$22),"",MAX(0,MIN(100,100*(MIN(MAX(City_Inputs!$AG139,Norm_Stats!$F$22),Norm_Stats!$G$22)-Norm_Stats!$F$22)/(Norm_Stats!$G$22-Norm_Stats!$F$22)))))="",0,0.5)+IF((IF(OR(City_Inputs!$AJ139="",Norm_Stats!$F$23="",Norm_Stats!$G$23="",Norm_Stats!$G$23=Norm_Stats!$F$23),"",MAX(0,MIN(100,100*(MIN(MAX(City_Inputs!$AJ139,Norm_Stats!$F$23),Norm_Stats!$G$23)-Norm_Stats!$F$23)/(Norm_Stats!$G$23-Norm_Stats!$F$23)))))="",0,0.3)+IF((IF(OR(City_Inputs!$AK139="",Norm_Stats!$F$24="",Norm_Stats!$G$24="",Norm_Stats!$G$24=Norm_Stats!$F$24),"",MAX(0,MIN(100,100*(MIN(MAX(City_Inputs!$AK139,Norm_Stats!$F$24),Norm_Stats!$G$24)-Norm_Stats!$F$24)/(Norm_Stats!$G$24-Norm_Stats!$F$24)))))="",0,0.2)))</f>
        <v/>
      </c>
      <c r="BE139" s="11">
        <f>IF(OR(City_Inputs!$AH139="",Norm_Stats!$F$25="",Norm_Stats!$G$25="",Norm_Stats!$G$25=Norm_Stats!$F$25),"",MAX(0,MIN(100,100*(Norm_Stats!$G$25-MIN(MAX(City_Inputs!$AH139,Norm_Stats!$F$25),Norm_Stats!$G$25))/(Norm_Stats!$G$25-Norm_Stats!$F$25))))</f>
        <v/>
      </c>
      <c r="BF139" s="14">
        <f>IF(BE139="","",1)</f>
        <v/>
      </c>
      <c r="BG139" s="15">
        <f>IF((IF(AY139="",0,6)+IF(BA139="",0,5)+IF(BC139="",0,5)+IF(BE139="",0,4))=0,"",(IF(AY139="",0,AY139*6)+IF(BA139="",0,BA139*5)+IF(BC139="",0,BC139*5)+IF(BE139="",0,BE139*4))/(IF(AY139="",0,6)+IF(BA139="",0,5)+IF(BC139="",0,5)+IF(BE139="",0,4)))</f>
        <v/>
      </c>
      <c r="BH139" s="14">
        <f>IF((IF(AZ139="",0,6)+IF(BB139="",0,5)+IF(BD139="",0,5)+IF(BF139="",0,4))=0,"",(IF(AZ139="",0,AZ139*6)+IF(BB139="",0,BB139*5)+IF(BD139="",0,BD139*5)+IF(BF139="",0,BF139*4))/20)</f>
        <v/>
      </c>
      <c r="BI139" s="14">
        <f>IF(AND(R139="",AF139="",AN139="",AX139="",BH139=""),"",((R139*25)+(AF139*22)+(AN139*18)+(AX139*15)+(BH139*20))/100)</f>
        <v/>
      </c>
      <c r="BJ139" s="11">
        <f>IF(BI139="","",IF(BI139&gt;=0.75,"A",IF(BI139&gt;=0.5,"B",IF(BI139&gt;=0.35,"C","Watchlist"))))</f>
        <v/>
      </c>
      <c r="BK139" s="11">
        <f>IF(OR(BI139="",BI139&lt;0.5,R139="",R139&lt;0.35,AF139="",AF139&lt;0.35,AN139="",AN139&lt;0.35,AX139="",AX139&lt;0.35,BH139="",BH139&lt;0.35),"Watchlist","Ranked")</f>
        <v/>
      </c>
      <c r="BL139" s="15">
        <f>IF(AND(Q139="",AE139="",AM139="",AW139="",BG139=""),"",(IF(Q139="",0,Q139*25)+IF(AE139="",0,AE139*22)+IF(AM139="",0,AM139*18)+IF(AW139="",0,AW139*15)+IF(BG139="",0,BG139*20))/(IF(Q139="",0,25)+IF(AE139="",0,22)+IF(AM139="",0,18)+IF(AW139="",0,15)+IF(BG139="",0,20)))</f>
        <v/>
      </c>
      <c r="BM139" s="11">
        <f>IF(BK139="Ranked",1+COUNTIFS($BK$2:$BK$158,"Ranked",$BL$2:$BL$158,"&gt;"&amp;BL139),"")</f>
        <v/>
      </c>
      <c r="BN139" s="11">
        <f>City_Inputs!$AI139</f>
        <v/>
      </c>
    </row>
    <row r="140">
      <c r="A140" t="inlineStr">
        <is>
          <t>us-raleigh</t>
        </is>
      </c>
      <c r="B140" t="inlineStr">
        <is>
          <t>Raleigh</t>
        </is>
      </c>
      <c r="C140" t="inlineStr">
        <is>
          <t>United States</t>
        </is>
      </c>
      <c r="D140" t="inlineStr">
        <is>
          <t>North America</t>
        </is>
      </c>
      <c r="E140" t="inlineStr">
        <is>
          <t>provisional</t>
        </is>
      </c>
      <c r="F140" t="inlineStr">
        <is>
          <t>secondary</t>
        </is>
      </c>
      <c r="G140" s="11">
        <f>IF(OR(City_Inputs!$M140="",Norm_Stats!$F$2="",Norm_Stats!$G$2="",Norm_Stats!$G$2=Norm_Stats!$F$2),"",MAX(0,MIN(100,100*(MIN(MAX(City_Inputs!$M140,Norm_Stats!$F$2),Norm_Stats!$G$2)-Norm_Stats!$F$2)/(Norm_Stats!$G$2-Norm_Stats!$F$2))))</f>
        <v/>
      </c>
      <c r="H140" s="14">
        <f>IF(G140="","",1)</f>
        <v/>
      </c>
      <c r="I140" s="11">
        <f>IF(OR(City_Inputs!$N140="",Norm_Stats!$F$3="",Norm_Stats!$G$3="",Norm_Stats!$G$3=Norm_Stats!$F$3),"",MAX(0,MIN(100,100*(Norm_Stats!$G$3-MIN(MAX(City_Inputs!$N140,Norm_Stats!$F$3),Norm_Stats!$G$3))/(Norm_Stats!$G$3-Norm_Stats!$F$3))))</f>
        <v/>
      </c>
      <c r="J140" s="14">
        <f>IF(I140="","",1)</f>
        <v/>
      </c>
      <c r="K140" s="11">
        <f>IF(OR(City_Inputs!$P140="",Norm_Stats!$F$4="",Norm_Stats!$G$4="",Norm_Stats!$G$4=Norm_Stats!$F$4),"",MAX(0,MIN(100,100*(Norm_Stats!$G$4-MIN(MAX(City_Inputs!$P140,Norm_Stats!$F$4),Norm_Stats!$G$4))/(Norm_Stats!$G$4-Norm_Stats!$F$4))))</f>
        <v/>
      </c>
      <c r="L140" s="14">
        <f>IF(K140="","",1)</f>
        <v/>
      </c>
      <c r="M140" s="11">
        <f>IF(OR(City_Inputs!$Q140="",Norm_Stats!$F$5="",Norm_Stats!$G$5="",Norm_Stats!$G$5=Norm_Stats!$F$5),"",MAX(0,MIN(100,100*(Norm_Stats!$G$5-MIN(MAX(City_Inputs!$Q140,Norm_Stats!$F$5),Norm_Stats!$G$5))/(Norm_Stats!$G$5-Norm_Stats!$F$5))))</f>
        <v/>
      </c>
      <c r="N140" s="14">
        <f>IF(M140="","",1)</f>
        <v/>
      </c>
      <c r="O140" s="11">
        <f>IF(OR(City_Inputs!$R140="",Norm_Stats!$F$6="",Norm_Stats!$G$6="",Norm_Stats!$G$6=Norm_Stats!$F$6),"",MAX(0,MIN(100,100*(Norm_Stats!$G$6-MIN(MAX(City_Inputs!$R140,Norm_Stats!$F$6),Norm_Stats!$G$6))/(Norm_Stats!$G$6-Norm_Stats!$F$6))))</f>
        <v/>
      </c>
      <c r="P140" s="14">
        <f>IF(O140="","",1)</f>
        <v/>
      </c>
      <c r="Q140" s="15">
        <f>IF((IF(G140="",0,9)+IF(I140="",0,5)+IF(K140="",0,4)+IF(M140="",0,4)+IF(O140="",0,5))=0,"",(IF(G140="",0,G140*9)+IF(I140="",0,I140*5)+IF(K140="",0,K140*4)+IF(M140="",0,M140*4)+IF(O140="",0,O140*5))/(IF(G140="",0,9)+IF(I140="",0,5)+IF(K140="",0,4)+IF(M140="",0,4)+IF(O140="",0,5)))</f>
        <v/>
      </c>
      <c r="R140" s="14">
        <f>IF((IF(H140="",0,9)+IF(J140="",0,5)+IF(L140="",0,4)+IF(N140="",0,4)+IF(P140="",0,5))=0,"",(IF(H140="",0,H140*9)+IF(J140="",0,J140*5)+IF(L140="",0,L140*4)+IF(N140="",0,N140*4)+IF(P140="",0,P140*5))/27)</f>
        <v/>
      </c>
      <c r="S140" s="11">
        <f>IF(OR(City_Inputs!$S140="",Norm_Stats!$F$7="",Norm_Stats!$G$7="",Norm_Stats!$G$7=Norm_Stats!$F$7),"",MAX(0,MIN(100,100*(Norm_Stats!$G$7-MIN(MAX(City_Inputs!$S140,Norm_Stats!$F$7),Norm_Stats!$G$7))/(Norm_Stats!$G$7-Norm_Stats!$F$7))))</f>
        <v/>
      </c>
      <c r="T140" s="14">
        <f>IF(S140="","",1)</f>
        <v/>
      </c>
      <c r="U140" s="11">
        <f>IF(OR(City_Inputs!$T140="",Norm_Stats!$F$8="",Norm_Stats!$G$8="",Norm_Stats!$G$8=Norm_Stats!$F$8),"",MAX(0,MIN(100,100*(MIN(MAX(City_Inputs!$T140,Norm_Stats!$F$8),Norm_Stats!$G$8)-Norm_Stats!$F$8)/(Norm_Stats!$G$8-Norm_Stats!$F$8))))</f>
        <v/>
      </c>
      <c r="V140" s="14">
        <f>IF(U140="","",1)</f>
        <v/>
      </c>
      <c r="W140" s="11">
        <f>IF(OR(City_Inputs!$U140="",Norm_Stats!$F$9="",Norm_Stats!$G$9="",Norm_Stats!$G$9=Norm_Stats!$F$9),"",MAX(0,MIN(100,100*(Norm_Stats!$G$9-MIN(MAX(City_Inputs!$U140,Norm_Stats!$F$9),Norm_Stats!$G$9))/(Norm_Stats!$G$9-Norm_Stats!$F$9))))</f>
        <v/>
      </c>
      <c r="X140" s="14">
        <f>IF(W140="","",1)</f>
        <v/>
      </c>
      <c r="Y140" s="11">
        <f>IF(OR(City_Inputs!$V140="",Norm_Stats!$F$10="",Norm_Stats!$G$10="",Norm_Stats!$G$10=Norm_Stats!$F$10),"",MAX(0,MIN(100,100*(MIN(MAX(City_Inputs!$V140,Norm_Stats!$F$10),Norm_Stats!$G$10)-Norm_Stats!$F$10)/(Norm_Stats!$G$10-Norm_Stats!$F$10))))</f>
        <v/>
      </c>
      <c r="Z140" s="14">
        <f>IF(Y140="","",1)</f>
        <v/>
      </c>
      <c r="AA140" s="11">
        <f>IF(OR(City_Inputs!$W140="",Norm_Stats!$F$11="",Norm_Stats!$G$11="",Norm_Stats!$G$11=Norm_Stats!$F$11),"",MAX(0,MIN(100,100*(MIN(MAX(City_Inputs!$W140,Norm_Stats!$F$11),Norm_Stats!$G$11)-Norm_Stats!$F$11)/(Norm_Stats!$G$11-Norm_Stats!$F$11))))</f>
        <v/>
      </c>
      <c r="AB140" s="14">
        <f>IF(AA140="","",1)</f>
        <v/>
      </c>
      <c r="AC140" s="11">
        <f>IF(OR(City_Inputs!$X140="",Norm_Stats!$F$12="",Norm_Stats!$G$12="",Norm_Stats!$G$12=Norm_Stats!$F$12),"",MAX(0,MIN(100,100*(MIN(MAX(City_Inputs!$X140,Norm_Stats!$F$12),Norm_Stats!$G$12)-Norm_Stats!$F$12)/(Norm_Stats!$G$12-Norm_Stats!$F$12))))</f>
        <v/>
      </c>
      <c r="AD140" s="11">
        <f>IF(AC140="","",1)</f>
        <v/>
      </c>
      <c r="AE140" s="15">
        <f>IF((IF(S140="",0,5)+IF(U140="",0,5)+IF(W140="",0,4)+IF(Y140="",0,4)+IF(AA140="",0,4)+IF(AC140="",0,5))=0,"",(IF(S140="",0,S140*5)+IF(U140="",0,U140*5)+IF(W140="",0,W140*4)+IF(Y140="",0,Y140*4)+IF(AA140="",0,AA140*4)+IF(AC140="",0,AC140*5))/(IF(S140="",0,5)+IF(U140="",0,5)+IF(W140="",0,4)+IF(Y140="",0,4)+IF(AA140="",0,4)+IF(AC140="",0,5)))</f>
        <v/>
      </c>
      <c r="AF140" s="14">
        <f>IF((IF(T140="",0,5)+IF(V140="",0,5)+IF(X140="",0,4)+IF(Z140="",0,4)+IF(AB140="",0,4)+IF(AD140="",0,5))=0,"",(IF(T140="",0,T140*5)+IF(V140="",0,V140*5)+IF(X140="",0,X140*4)+IF(Z140="",0,Z140*4)+IF(AB140="",0,AB140*4)+IF(AD140="",0,AD140*5))/27)</f>
        <v/>
      </c>
      <c r="AG140" s="11">
        <f>IF(OR(City_Inputs!$Y140="",Norm_Stats!$F$13="",Norm_Stats!$G$13="",Norm_Stats!$G$13=Norm_Stats!$F$13),"",MAX(0,MIN(100,100*(MIN(MAX(City_Inputs!$Y140,Norm_Stats!$F$13),Norm_Stats!$G$13)-Norm_Stats!$F$13)/(Norm_Stats!$G$13-Norm_Stats!$F$13))))</f>
        <v/>
      </c>
      <c r="AH140" s="14">
        <f>IF(AG140="","",1)</f>
        <v/>
      </c>
      <c r="AI140" s="11">
        <f>IF(OR(City_Inputs!$Z140="",Norm_Stats!$F$14="",Norm_Stats!$G$14="",Norm_Stats!$G$14=Norm_Stats!$F$14),"",MAX(0,MIN(100,100*(MIN(MAX(City_Inputs!$Z140,Norm_Stats!$F$14),Norm_Stats!$G$14)-Norm_Stats!$F$14)/(Norm_Stats!$G$14-Norm_Stats!$F$14))))</f>
        <v/>
      </c>
      <c r="AJ140" s="14">
        <f>IF(AI140="","",1)</f>
        <v/>
      </c>
      <c r="AK140" s="11">
        <f>IF((IF((IF(OR(City_Inputs!$AA140="",Norm_Stats!$F$15="",Norm_Stats!$G$15="",Norm_Stats!$G$15=Norm_Stats!$F$15),"",MAX(0,MIN(100,100*(MIN(MAX(City_Inputs!$AA140,Norm_Stats!$F$15),Norm_Stats!$G$15)-Norm_Stats!$F$15)/(Norm_Stats!$G$15-Norm_Stats!$F$15)))))="",0,0.7)+IF((IF(OR(City_Inputs!$AL140="",Norm_Stats!$F$16="",Norm_Stats!$G$16="",Norm_Stats!$G$16=Norm_Stats!$F$16),"",MAX(0,MIN(100,100*(Norm_Stats!$G$16-MIN(MAX(City_Inputs!$AL140,Norm_Stats!$F$16),Norm_Stats!$G$16))/(Norm_Stats!$G$16-Norm_Stats!$F$16)))))="",0,0.3))=0,"",(IF((IF(OR(City_Inputs!$AA140="",Norm_Stats!$F$15="",Norm_Stats!$G$15="",Norm_Stats!$G$15=Norm_Stats!$F$15),"",MAX(0,MIN(100,100*(MIN(MAX(City_Inputs!$AA140,Norm_Stats!$F$15),Norm_Stats!$G$15)-Norm_Stats!$F$15)/(Norm_Stats!$G$15-Norm_Stats!$F$15)))))="",0,(IF(OR(City_Inputs!$AA140="",Norm_Stats!$F$15="",Norm_Stats!$G$15="",Norm_Stats!$G$15=Norm_Stats!$F$15),"",MAX(0,MIN(100,100*(MIN(MAX(City_Inputs!$AA140,Norm_Stats!$F$15),Norm_Stats!$G$15)-Norm_Stats!$F$15)/(Norm_Stats!$G$15-Norm_Stats!$F$15)))))*0.7)+IF((IF(OR(City_Inputs!$AL140="",Norm_Stats!$F$16="",Norm_Stats!$G$16="",Norm_Stats!$G$16=Norm_Stats!$F$16),"",MAX(0,MIN(100,100*(Norm_Stats!$G$16-MIN(MAX(City_Inputs!$AL140,Norm_Stats!$F$16),Norm_Stats!$G$16))/(Norm_Stats!$G$16-Norm_Stats!$F$16)))))="",0,(IF(OR(City_Inputs!$AL140="",Norm_Stats!$F$16="",Norm_Stats!$G$16="",Norm_Stats!$G$16=Norm_Stats!$F$16),"",MAX(0,MIN(100,100*(Norm_Stats!$G$16-MIN(MAX(City_Inputs!$AL140,Norm_Stats!$F$16),Norm_Stats!$G$16))/(Norm_Stats!$G$16-Norm_Stats!$F$16)))))*0.3))/(IF((IF(OR(City_Inputs!$AA140="",Norm_Stats!$F$15="",Norm_Stats!$G$15="",Norm_Stats!$G$15=Norm_Stats!$F$15),"",MAX(0,MIN(100,100*(MIN(MAX(City_Inputs!$AA140,Norm_Stats!$F$15),Norm_Stats!$G$15)-Norm_Stats!$F$15)/(Norm_Stats!$G$15-Norm_Stats!$F$15)))))="",0,0.7)+IF((IF(OR(City_Inputs!$AL140="",Norm_Stats!$F$16="",Norm_Stats!$G$16="",Norm_Stats!$G$16=Norm_Stats!$F$16),"",MAX(0,MIN(100,100*(Norm_Stats!$G$16-MIN(MAX(City_Inputs!$AL140,Norm_Stats!$F$16),Norm_Stats!$G$16))/(Norm_Stats!$G$16-Norm_Stats!$F$16)))))="",0,0.3)))</f>
        <v/>
      </c>
      <c r="AL140" s="14">
        <f>IF((IF((IF(OR(City_Inputs!$AA140="",Norm_Stats!$F$15="",Norm_Stats!$G$15="",Norm_Stats!$G$15=Norm_Stats!$F$15),"",MAX(0,MIN(100,100*(MIN(MAX(City_Inputs!$AA140,Norm_Stats!$F$15),Norm_Stats!$G$15)-Norm_Stats!$F$15)/(Norm_Stats!$G$15-Norm_Stats!$F$15)))))="",0,0.7)+IF((IF(OR(City_Inputs!$AL140="",Norm_Stats!$F$16="",Norm_Stats!$G$16="",Norm_Stats!$G$16=Norm_Stats!$F$16),"",MAX(0,MIN(100,100*(Norm_Stats!$G$16-MIN(MAX(City_Inputs!$AL140,Norm_Stats!$F$16),Norm_Stats!$G$16))/(Norm_Stats!$G$16-Norm_Stats!$F$16)))))="",0,0.3))=0,"",(IF((IF(OR(City_Inputs!$AA140="",Norm_Stats!$F$15="",Norm_Stats!$G$15="",Norm_Stats!$G$15=Norm_Stats!$F$15),"",MAX(0,MIN(100,100*(MIN(MAX(City_Inputs!$AA140,Norm_Stats!$F$15),Norm_Stats!$G$15)-Norm_Stats!$F$15)/(Norm_Stats!$G$15-Norm_Stats!$F$15)))))="",0,0.7)+IF((IF(OR(City_Inputs!$AL140="",Norm_Stats!$F$16="",Norm_Stats!$G$16="",Norm_Stats!$G$16=Norm_Stats!$F$16),"",MAX(0,MIN(100,100*(Norm_Stats!$G$16-MIN(MAX(City_Inputs!$AL140,Norm_Stats!$F$16),Norm_Stats!$G$16))/(Norm_Stats!$G$16-Norm_Stats!$F$16)))))="",0,0.3)))</f>
        <v/>
      </c>
      <c r="AM140" s="15">
        <f>IF((IF(AG140="",0,8)+IF(AI140="",0,6)+IF(AK140="",0,4))=0,"",(IF(AG140="",0,AG140*8)+IF(AI140="",0,AI140*6)+IF(AK140="",0,AK140*4))/(IF(AG140="",0,8)+IF(AI140="",0,6)+IF(AK140="",0,4)))</f>
        <v/>
      </c>
      <c r="AN140" s="14">
        <f>IF((IF(AH140="",0,8)+IF(AJ140="",0,6)+IF(AL140="",0,4))=0,"",(IF(AH140="",0,AH140*8)+IF(AJ140="",0,AJ140*6)+IF(AL140="",0,AL140*4))/18)</f>
        <v/>
      </c>
      <c r="AO140" s="11">
        <f>IF(OR(City_Inputs!$AB140="",Norm_Stats!$F$17="",Norm_Stats!$G$17="",Norm_Stats!$G$17=Norm_Stats!$F$17),"",MAX(0,MIN(100,100*(MIN(MAX(City_Inputs!$AB140,Norm_Stats!$F$17),Norm_Stats!$G$17)-Norm_Stats!$F$17)/(Norm_Stats!$G$17-Norm_Stats!$F$17))))</f>
        <v/>
      </c>
      <c r="AP140" s="14">
        <f>IF(AO140="","",1)</f>
        <v/>
      </c>
      <c r="AQ140" s="11">
        <f>IF(OR(City_Inputs!$AC140="",Norm_Stats!$F$18="",Norm_Stats!$G$18="",Norm_Stats!$G$18=Norm_Stats!$F$18),"",MAX(0,MIN(100,100*(MIN(MAX(City_Inputs!$AC140,Norm_Stats!$F$18),Norm_Stats!$G$18)-Norm_Stats!$F$18)/(Norm_Stats!$G$18-Norm_Stats!$F$18))))</f>
        <v/>
      </c>
      <c r="AR140" s="14">
        <f>IF(AQ140="","",1)</f>
        <v/>
      </c>
      <c r="AS140" s="11">
        <f>IF(OR(City_Inputs!$AD140="",Norm_Stats!$F$19="",Norm_Stats!$G$19="",Norm_Stats!$G$19=Norm_Stats!$F$19),"",MAX(0,MIN(100,100*(MIN(MAX(City_Inputs!$AD140,Norm_Stats!$F$19),Norm_Stats!$G$19)-Norm_Stats!$F$19)/(Norm_Stats!$G$19-Norm_Stats!$F$19))))</f>
        <v/>
      </c>
      <c r="AT140" s="14">
        <f>IF(AS140="","",1)</f>
        <v/>
      </c>
      <c r="AU140" s="11">
        <f>IF(OR(City_Inputs!$BJ140="",Norm_Stats!$F$26="",Norm_Stats!$G$26="",Norm_Stats!$G$26=Norm_Stats!$F$26),"",MAX(0,MIN(100,100*(MIN(MAX(City_Inputs!$BJ140,Norm_Stats!$F$26),Norm_Stats!$G$26)-Norm_Stats!$F$26)/(Norm_Stats!$G$26-Norm_Stats!$F$26))))</f>
        <v/>
      </c>
      <c r="AV140" s="11">
        <f>IF(AU140="","",1)</f>
        <v/>
      </c>
      <c r="AW140" s="15">
        <f>IF((IF(AO140="",0,5)+IF(AQ140="",0,5)+IF(AS140="",0,5)+IF(AU140="",0,4))=0,"",(IF(AO140="",0,AO140*5)+IF(AQ140="",0,AQ140*5)+IF(AS140="",0,AS140*5)+IF(AU140="",0,AU140*4))/(IF(AO140="",0,5)+IF(AQ140="",0,5)+IF(AS140="",0,5)+IF(AU140="",0,4)))</f>
        <v/>
      </c>
      <c r="AX140" s="14">
        <f>IF((IF(AP140="",0,5)+IF(AR140="",0,5)+IF(AT140="",0,5)+IF(AV140="",0,4))=0,"",(IF(AP140="",0,AP140*5)+IF(AR140="",0,AR140*5)+IF(AT140="",0,AT140*5)+IF(AV140="",0,AV140*4))/19)</f>
        <v/>
      </c>
      <c r="AY140" s="11">
        <f>IF(OR(City_Inputs!$AE140="",Norm_Stats!$F$20="",Norm_Stats!$G$20="",Norm_Stats!$G$20=Norm_Stats!$F$20),"",MAX(0,MIN(100,100*(MIN(MAX(City_Inputs!$AE140,Norm_Stats!$F$20),Norm_Stats!$G$20)-Norm_Stats!$F$20)/(Norm_Stats!$G$20-Norm_Stats!$F$20))))</f>
        <v/>
      </c>
      <c r="AZ140" s="14">
        <f>IF(AY140="","",1)</f>
        <v/>
      </c>
      <c r="BA140" s="11">
        <f>IF(OR(City_Inputs!$AF140="",Norm_Stats!$F$21="",Norm_Stats!$G$21="",Norm_Stats!$G$21=Norm_Stats!$F$21),"",MAX(0,MIN(100,100*(MIN(MAX(City_Inputs!$AF140,Norm_Stats!$F$21),Norm_Stats!$G$21)-Norm_Stats!$F$21)/(Norm_Stats!$G$21-Norm_Stats!$F$21))))</f>
        <v/>
      </c>
      <c r="BB140" s="14">
        <f>IF(BA140="","",1)</f>
        <v/>
      </c>
      <c r="BC140" s="11">
        <f>IF((IF((IF(OR(City_Inputs!$AG140="",Norm_Stats!$F$22="",Norm_Stats!$G$22="",Norm_Stats!$G$22=Norm_Stats!$F$22),"",MAX(0,MIN(100,100*(MIN(MAX(City_Inputs!$AG140,Norm_Stats!$F$22),Norm_Stats!$G$22)-Norm_Stats!$F$22)/(Norm_Stats!$G$22-Norm_Stats!$F$22)))))="",0,0.5)+IF((IF(OR(City_Inputs!$AJ140="",Norm_Stats!$F$23="",Norm_Stats!$G$23="",Norm_Stats!$G$23=Norm_Stats!$F$23),"",MAX(0,MIN(100,100*(MIN(MAX(City_Inputs!$AJ140,Norm_Stats!$F$23),Norm_Stats!$G$23)-Norm_Stats!$F$23)/(Norm_Stats!$G$23-Norm_Stats!$F$23)))))="",0,0.3)+IF((IF(OR(City_Inputs!$AK140="",Norm_Stats!$F$24="",Norm_Stats!$G$24="",Norm_Stats!$G$24=Norm_Stats!$F$24),"",MAX(0,MIN(100,100*(MIN(MAX(City_Inputs!$AK140,Norm_Stats!$F$24),Norm_Stats!$G$24)-Norm_Stats!$F$24)/(Norm_Stats!$G$24-Norm_Stats!$F$24)))))="",0,0.2))=0,"",(IF((IF(OR(City_Inputs!$AG140="",Norm_Stats!$F$22="",Norm_Stats!$G$22="",Norm_Stats!$G$22=Norm_Stats!$F$22),"",MAX(0,MIN(100,100*(MIN(MAX(City_Inputs!$AG140,Norm_Stats!$F$22),Norm_Stats!$G$22)-Norm_Stats!$F$22)/(Norm_Stats!$G$22-Norm_Stats!$F$22)))))="",0,(IF(OR(City_Inputs!$AG140="",Norm_Stats!$F$22="",Norm_Stats!$G$22="",Norm_Stats!$G$22=Norm_Stats!$F$22),"",MAX(0,MIN(100,100*(MIN(MAX(City_Inputs!$AG140,Norm_Stats!$F$22),Norm_Stats!$G$22)-Norm_Stats!$F$22)/(Norm_Stats!$G$22-Norm_Stats!$F$22)))))*0.5)+IF((IF(OR(City_Inputs!$AJ140="",Norm_Stats!$F$23="",Norm_Stats!$G$23="",Norm_Stats!$G$23=Norm_Stats!$F$23),"",MAX(0,MIN(100,100*(MIN(MAX(City_Inputs!$AJ140,Norm_Stats!$F$23),Norm_Stats!$G$23)-Norm_Stats!$F$23)/(Norm_Stats!$G$23-Norm_Stats!$F$23)))))="",0,(IF(OR(City_Inputs!$AJ140="",Norm_Stats!$F$23="",Norm_Stats!$G$23="",Norm_Stats!$G$23=Norm_Stats!$F$23),"",MAX(0,MIN(100,100*(MIN(MAX(City_Inputs!$AJ140,Norm_Stats!$F$23),Norm_Stats!$G$23)-Norm_Stats!$F$23)/(Norm_Stats!$G$23-Norm_Stats!$F$23)))))*0.3)+IF((IF(OR(City_Inputs!$AK140="",Norm_Stats!$F$24="",Norm_Stats!$G$24="",Norm_Stats!$G$24=Norm_Stats!$F$24),"",MAX(0,MIN(100,100*(MIN(MAX(City_Inputs!$AK140,Norm_Stats!$F$24),Norm_Stats!$G$24)-Norm_Stats!$F$24)/(Norm_Stats!$G$24-Norm_Stats!$F$24)))))="",0,(IF(OR(City_Inputs!$AK140="",Norm_Stats!$F$24="",Norm_Stats!$G$24="",Norm_Stats!$G$24=Norm_Stats!$F$24),"",MAX(0,MIN(100,100*(MIN(MAX(City_Inputs!$AK140,Norm_Stats!$F$24),Norm_Stats!$G$24)-Norm_Stats!$F$24)/(Norm_Stats!$G$24-Norm_Stats!$F$24)))))*0.2))/(IF((IF(OR(City_Inputs!$AG140="",Norm_Stats!$F$22="",Norm_Stats!$G$22="",Norm_Stats!$G$22=Norm_Stats!$F$22),"",MAX(0,MIN(100,100*(MIN(MAX(City_Inputs!$AG140,Norm_Stats!$F$22),Norm_Stats!$G$22)-Norm_Stats!$F$22)/(Norm_Stats!$G$22-Norm_Stats!$F$22)))))="",0,0.5)+IF((IF(OR(City_Inputs!$AJ140="",Norm_Stats!$F$23="",Norm_Stats!$G$23="",Norm_Stats!$G$23=Norm_Stats!$F$23),"",MAX(0,MIN(100,100*(MIN(MAX(City_Inputs!$AJ140,Norm_Stats!$F$23),Norm_Stats!$G$23)-Norm_Stats!$F$23)/(Norm_Stats!$G$23-Norm_Stats!$F$23)))))="",0,0.3)+IF((IF(OR(City_Inputs!$AK140="",Norm_Stats!$F$24="",Norm_Stats!$G$24="",Norm_Stats!$G$24=Norm_Stats!$F$24),"",MAX(0,MIN(100,100*(MIN(MAX(City_Inputs!$AK140,Norm_Stats!$F$24),Norm_Stats!$G$24)-Norm_Stats!$F$24)/(Norm_Stats!$G$24-Norm_Stats!$F$24)))))="",0,0.2)))</f>
        <v/>
      </c>
      <c r="BD140" s="14">
        <f>IF((IF((IF(OR(City_Inputs!$AG140="",Norm_Stats!$F$22="",Norm_Stats!$G$22="",Norm_Stats!$G$22=Norm_Stats!$F$22),"",MAX(0,MIN(100,100*(MIN(MAX(City_Inputs!$AG140,Norm_Stats!$F$22),Norm_Stats!$G$22)-Norm_Stats!$F$22)/(Norm_Stats!$G$22-Norm_Stats!$F$22)))))="",0,0.5)+IF((IF(OR(City_Inputs!$AJ140="",Norm_Stats!$F$23="",Norm_Stats!$G$23="",Norm_Stats!$G$23=Norm_Stats!$F$23),"",MAX(0,MIN(100,100*(MIN(MAX(City_Inputs!$AJ140,Norm_Stats!$F$23),Norm_Stats!$G$23)-Norm_Stats!$F$23)/(Norm_Stats!$G$23-Norm_Stats!$F$23)))))="",0,0.3)+IF((IF(OR(City_Inputs!$AK140="",Norm_Stats!$F$24="",Norm_Stats!$G$24="",Norm_Stats!$G$24=Norm_Stats!$F$24),"",MAX(0,MIN(100,100*(MIN(MAX(City_Inputs!$AK140,Norm_Stats!$F$24),Norm_Stats!$G$24)-Norm_Stats!$F$24)/(Norm_Stats!$G$24-Norm_Stats!$F$24)))))="",0,0.2))=0,"",(IF((IF(OR(City_Inputs!$AG140="",Norm_Stats!$F$22="",Norm_Stats!$G$22="",Norm_Stats!$G$22=Norm_Stats!$F$22),"",MAX(0,MIN(100,100*(MIN(MAX(City_Inputs!$AG140,Norm_Stats!$F$22),Norm_Stats!$G$22)-Norm_Stats!$F$22)/(Norm_Stats!$G$22-Norm_Stats!$F$22)))))="",0,0.5)+IF((IF(OR(City_Inputs!$AJ140="",Norm_Stats!$F$23="",Norm_Stats!$G$23="",Norm_Stats!$G$23=Norm_Stats!$F$23),"",MAX(0,MIN(100,100*(MIN(MAX(City_Inputs!$AJ140,Norm_Stats!$F$23),Norm_Stats!$G$23)-Norm_Stats!$F$23)/(Norm_Stats!$G$23-Norm_Stats!$F$23)))))="",0,0.3)+IF((IF(OR(City_Inputs!$AK140="",Norm_Stats!$F$24="",Norm_Stats!$G$24="",Norm_Stats!$G$24=Norm_Stats!$F$24),"",MAX(0,MIN(100,100*(MIN(MAX(City_Inputs!$AK140,Norm_Stats!$F$24),Norm_Stats!$G$24)-Norm_Stats!$F$24)/(Norm_Stats!$G$24-Norm_Stats!$F$24)))))="",0,0.2)))</f>
        <v/>
      </c>
      <c r="BE140" s="11">
        <f>IF(OR(City_Inputs!$AH140="",Norm_Stats!$F$25="",Norm_Stats!$G$25="",Norm_Stats!$G$25=Norm_Stats!$F$25),"",MAX(0,MIN(100,100*(Norm_Stats!$G$25-MIN(MAX(City_Inputs!$AH140,Norm_Stats!$F$25),Norm_Stats!$G$25))/(Norm_Stats!$G$25-Norm_Stats!$F$25))))</f>
        <v/>
      </c>
      <c r="BF140" s="14">
        <f>IF(BE140="","",1)</f>
        <v/>
      </c>
      <c r="BG140" s="15">
        <f>IF((IF(AY140="",0,6)+IF(BA140="",0,5)+IF(BC140="",0,5)+IF(BE140="",0,4))=0,"",(IF(AY140="",0,AY140*6)+IF(BA140="",0,BA140*5)+IF(BC140="",0,BC140*5)+IF(BE140="",0,BE140*4))/(IF(AY140="",0,6)+IF(BA140="",0,5)+IF(BC140="",0,5)+IF(BE140="",0,4)))</f>
        <v/>
      </c>
      <c r="BH140" s="14">
        <f>IF((IF(AZ140="",0,6)+IF(BB140="",0,5)+IF(BD140="",0,5)+IF(BF140="",0,4))=0,"",(IF(AZ140="",0,AZ140*6)+IF(BB140="",0,BB140*5)+IF(BD140="",0,BD140*5)+IF(BF140="",0,BF140*4))/20)</f>
        <v/>
      </c>
      <c r="BI140" s="14">
        <f>IF(AND(R140="",AF140="",AN140="",AX140="",BH140=""),"",((R140*25)+(AF140*22)+(AN140*18)+(AX140*15)+(BH140*20))/100)</f>
        <v/>
      </c>
      <c r="BJ140" s="11">
        <f>IF(BI140="","",IF(BI140&gt;=0.75,"A",IF(BI140&gt;=0.5,"B",IF(BI140&gt;=0.35,"C","Watchlist"))))</f>
        <v/>
      </c>
      <c r="BK140" s="11">
        <f>IF(OR(BI140="",BI140&lt;0.5,R140="",R140&lt;0.35,AF140="",AF140&lt;0.35,AN140="",AN140&lt;0.35,AX140="",AX140&lt;0.35,BH140="",BH140&lt;0.35),"Watchlist","Ranked")</f>
        <v/>
      </c>
      <c r="BL140" s="15">
        <f>IF(AND(Q140="",AE140="",AM140="",AW140="",BG140=""),"",(IF(Q140="",0,Q140*25)+IF(AE140="",0,AE140*22)+IF(AM140="",0,AM140*18)+IF(AW140="",0,AW140*15)+IF(BG140="",0,BG140*20))/(IF(Q140="",0,25)+IF(AE140="",0,22)+IF(AM140="",0,18)+IF(AW140="",0,15)+IF(BG140="",0,20)))</f>
        <v/>
      </c>
      <c r="BM140" s="11">
        <f>IF(BK140="Ranked",1+COUNTIFS($BK$2:$BK$158,"Ranked",$BL$2:$BL$158,"&gt;"&amp;BL140),"")</f>
        <v/>
      </c>
      <c r="BN140" s="11">
        <f>City_Inputs!$AI140</f>
        <v/>
      </c>
    </row>
    <row r="141">
      <c r="A141" t="inlineStr">
        <is>
          <t>do-santo-domingo</t>
        </is>
      </c>
      <c r="B141" t="inlineStr">
        <is>
          <t>Santo Domingo</t>
        </is>
      </c>
      <c r="C141" t="inlineStr">
        <is>
          <t>Dominican Republic</t>
        </is>
      </c>
      <c r="D141" t="inlineStr">
        <is>
          <t>North America</t>
        </is>
      </c>
      <c r="E141" t="inlineStr">
        <is>
          <t>provisional</t>
        </is>
      </c>
      <c r="F141" t="inlineStr">
        <is>
          <t>primary</t>
        </is>
      </c>
      <c r="G141" s="11">
        <f>IF(OR(City_Inputs!$M141="",Norm_Stats!$F$2="",Norm_Stats!$G$2="",Norm_Stats!$G$2=Norm_Stats!$F$2),"",MAX(0,MIN(100,100*(MIN(MAX(City_Inputs!$M141,Norm_Stats!$F$2),Norm_Stats!$G$2)-Norm_Stats!$F$2)/(Norm_Stats!$G$2-Norm_Stats!$F$2))))</f>
        <v/>
      </c>
      <c r="H141" s="14">
        <f>IF(G141="","",1)</f>
        <v/>
      </c>
      <c r="I141" s="11">
        <f>IF(OR(City_Inputs!$N141="",Norm_Stats!$F$3="",Norm_Stats!$G$3="",Norm_Stats!$G$3=Norm_Stats!$F$3),"",MAX(0,MIN(100,100*(Norm_Stats!$G$3-MIN(MAX(City_Inputs!$N141,Norm_Stats!$F$3),Norm_Stats!$G$3))/(Norm_Stats!$G$3-Norm_Stats!$F$3))))</f>
        <v/>
      </c>
      <c r="J141" s="14">
        <f>IF(I141="","",1)</f>
        <v/>
      </c>
      <c r="K141" s="11">
        <f>IF(OR(City_Inputs!$P141="",Norm_Stats!$F$4="",Norm_Stats!$G$4="",Norm_Stats!$G$4=Norm_Stats!$F$4),"",MAX(0,MIN(100,100*(Norm_Stats!$G$4-MIN(MAX(City_Inputs!$P141,Norm_Stats!$F$4),Norm_Stats!$G$4))/(Norm_Stats!$G$4-Norm_Stats!$F$4))))</f>
        <v/>
      </c>
      <c r="L141" s="14">
        <f>IF(K141="","",1)</f>
        <v/>
      </c>
      <c r="M141" s="11">
        <f>IF(OR(City_Inputs!$Q141="",Norm_Stats!$F$5="",Norm_Stats!$G$5="",Norm_Stats!$G$5=Norm_Stats!$F$5),"",MAX(0,MIN(100,100*(Norm_Stats!$G$5-MIN(MAX(City_Inputs!$Q141,Norm_Stats!$F$5),Norm_Stats!$G$5))/(Norm_Stats!$G$5-Norm_Stats!$F$5))))</f>
        <v/>
      </c>
      <c r="N141" s="14">
        <f>IF(M141="","",1)</f>
        <v/>
      </c>
      <c r="O141" s="11">
        <f>IF(OR(City_Inputs!$R141="",Norm_Stats!$F$6="",Norm_Stats!$G$6="",Norm_Stats!$G$6=Norm_Stats!$F$6),"",MAX(0,MIN(100,100*(Norm_Stats!$G$6-MIN(MAX(City_Inputs!$R141,Norm_Stats!$F$6),Norm_Stats!$G$6))/(Norm_Stats!$G$6-Norm_Stats!$F$6))))</f>
        <v/>
      </c>
      <c r="P141" s="14">
        <f>IF(O141="","",1)</f>
        <v/>
      </c>
      <c r="Q141" s="15">
        <f>IF((IF(G141="",0,9)+IF(I141="",0,5)+IF(K141="",0,4)+IF(M141="",0,4)+IF(O141="",0,5))=0,"",(IF(G141="",0,G141*9)+IF(I141="",0,I141*5)+IF(K141="",0,K141*4)+IF(M141="",0,M141*4)+IF(O141="",0,O141*5))/(IF(G141="",0,9)+IF(I141="",0,5)+IF(K141="",0,4)+IF(M141="",0,4)+IF(O141="",0,5)))</f>
        <v/>
      </c>
      <c r="R141" s="14">
        <f>IF((IF(H141="",0,9)+IF(J141="",0,5)+IF(L141="",0,4)+IF(N141="",0,4)+IF(P141="",0,5))=0,"",(IF(H141="",0,H141*9)+IF(J141="",0,J141*5)+IF(L141="",0,L141*4)+IF(N141="",0,N141*4)+IF(P141="",0,P141*5))/27)</f>
        <v/>
      </c>
      <c r="S141" s="11">
        <f>IF(OR(City_Inputs!$S141="",Norm_Stats!$F$7="",Norm_Stats!$G$7="",Norm_Stats!$G$7=Norm_Stats!$F$7),"",MAX(0,MIN(100,100*(Norm_Stats!$G$7-MIN(MAX(City_Inputs!$S141,Norm_Stats!$F$7),Norm_Stats!$G$7))/(Norm_Stats!$G$7-Norm_Stats!$F$7))))</f>
        <v/>
      </c>
      <c r="T141" s="14">
        <f>IF(S141="","",1)</f>
        <v/>
      </c>
      <c r="U141" s="11">
        <f>IF(OR(City_Inputs!$T141="",Norm_Stats!$F$8="",Norm_Stats!$G$8="",Norm_Stats!$G$8=Norm_Stats!$F$8),"",MAX(0,MIN(100,100*(MIN(MAX(City_Inputs!$T141,Norm_Stats!$F$8),Norm_Stats!$G$8)-Norm_Stats!$F$8)/(Norm_Stats!$G$8-Norm_Stats!$F$8))))</f>
        <v/>
      </c>
      <c r="V141" s="14">
        <f>IF(U141="","",1)</f>
        <v/>
      </c>
      <c r="W141" s="11">
        <f>IF(OR(City_Inputs!$U141="",Norm_Stats!$F$9="",Norm_Stats!$G$9="",Norm_Stats!$G$9=Norm_Stats!$F$9),"",MAX(0,MIN(100,100*(Norm_Stats!$G$9-MIN(MAX(City_Inputs!$U141,Norm_Stats!$F$9),Norm_Stats!$G$9))/(Norm_Stats!$G$9-Norm_Stats!$F$9))))</f>
        <v/>
      </c>
      <c r="X141" s="14">
        <f>IF(W141="","",1)</f>
        <v/>
      </c>
      <c r="Y141" s="11">
        <f>IF(OR(City_Inputs!$V141="",Norm_Stats!$F$10="",Norm_Stats!$G$10="",Norm_Stats!$G$10=Norm_Stats!$F$10),"",MAX(0,MIN(100,100*(MIN(MAX(City_Inputs!$V141,Norm_Stats!$F$10),Norm_Stats!$G$10)-Norm_Stats!$F$10)/(Norm_Stats!$G$10-Norm_Stats!$F$10))))</f>
        <v/>
      </c>
      <c r="Z141" s="14">
        <f>IF(Y141="","",1)</f>
        <v/>
      </c>
      <c r="AA141" s="11">
        <f>IF(OR(City_Inputs!$W141="",Norm_Stats!$F$11="",Norm_Stats!$G$11="",Norm_Stats!$G$11=Norm_Stats!$F$11),"",MAX(0,MIN(100,100*(MIN(MAX(City_Inputs!$W141,Norm_Stats!$F$11),Norm_Stats!$G$11)-Norm_Stats!$F$11)/(Norm_Stats!$G$11-Norm_Stats!$F$11))))</f>
        <v/>
      </c>
      <c r="AB141" s="14">
        <f>IF(AA141="","",1)</f>
        <v/>
      </c>
      <c r="AC141" s="11">
        <f>IF(OR(City_Inputs!$X141="",Norm_Stats!$F$12="",Norm_Stats!$G$12="",Norm_Stats!$G$12=Norm_Stats!$F$12),"",MAX(0,MIN(100,100*(MIN(MAX(City_Inputs!$X141,Norm_Stats!$F$12),Norm_Stats!$G$12)-Norm_Stats!$F$12)/(Norm_Stats!$G$12-Norm_Stats!$F$12))))</f>
        <v/>
      </c>
      <c r="AD141" s="11">
        <f>IF(AC141="","",1)</f>
        <v/>
      </c>
      <c r="AE141" s="15">
        <f>IF((IF(S141="",0,5)+IF(U141="",0,5)+IF(W141="",0,4)+IF(Y141="",0,4)+IF(AA141="",0,4)+IF(AC141="",0,5))=0,"",(IF(S141="",0,S141*5)+IF(U141="",0,U141*5)+IF(W141="",0,W141*4)+IF(Y141="",0,Y141*4)+IF(AA141="",0,AA141*4)+IF(AC141="",0,AC141*5))/(IF(S141="",0,5)+IF(U141="",0,5)+IF(W141="",0,4)+IF(Y141="",0,4)+IF(AA141="",0,4)+IF(AC141="",0,5)))</f>
        <v/>
      </c>
      <c r="AF141" s="14">
        <f>IF((IF(T141="",0,5)+IF(V141="",0,5)+IF(X141="",0,4)+IF(Z141="",0,4)+IF(AB141="",0,4)+IF(AD141="",0,5))=0,"",(IF(T141="",0,T141*5)+IF(V141="",0,V141*5)+IF(X141="",0,X141*4)+IF(Z141="",0,Z141*4)+IF(AB141="",0,AB141*4)+IF(AD141="",0,AD141*5))/27)</f>
        <v/>
      </c>
      <c r="AG141" s="11">
        <f>IF(OR(City_Inputs!$Y141="",Norm_Stats!$F$13="",Norm_Stats!$G$13="",Norm_Stats!$G$13=Norm_Stats!$F$13),"",MAX(0,MIN(100,100*(MIN(MAX(City_Inputs!$Y141,Norm_Stats!$F$13),Norm_Stats!$G$13)-Norm_Stats!$F$13)/(Norm_Stats!$G$13-Norm_Stats!$F$13))))</f>
        <v/>
      </c>
      <c r="AH141" s="14">
        <f>IF(AG141="","",1)</f>
        <v/>
      </c>
      <c r="AI141" s="11">
        <f>IF(OR(City_Inputs!$Z141="",Norm_Stats!$F$14="",Norm_Stats!$G$14="",Norm_Stats!$G$14=Norm_Stats!$F$14),"",MAX(0,MIN(100,100*(MIN(MAX(City_Inputs!$Z141,Norm_Stats!$F$14),Norm_Stats!$G$14)-Norm_Stats!$F$14)/(Norm_Stats!$G$14-Norm_Stats!$F$14))))</f>
        <v/>
      </c>
      <c r="AJ141" s="14">
        <f>IF(AI141="","",1)</f>
        <v/>
      </c>
      <c r="AK141" s="11">
        <f>IF((IF((IF(OR(City_Inputs!$AA141="",Norm_Stats!$F$15="",Norm_Stats!$G$15="",Norm_Stats!$G$15=Norm_Stats!$F$15),"",MAX(0,MIN(100,100*(MIN(MAX(City_Inputs!$AA141,Norm_Stats!$F$15),Norm_Stats!$G$15)-Norm_Stats!$F$15)/(Norm_Stats!$G$15-Norm_Stats!$F$15)))))="",0,0.7)+IF((IF(OR(City_Inputs!$AL141="",Norm_Stats!$F$16="",Norm_Stats!$G$16="",Norm_Stats!$G$16=Norm_Stats!$F$16),"",MAX(0,MIN(100,100*(Norm_Stats!$G$16-MIN(MAX(City_Inputs!$AL141,Norm_Stats!$F$16),Norm_Stats!$G$16))/(Norm_Stats!$G$16-Norm_Stats!$F$16)))))="",0,0.3))=0,"",(IF((IF(OR(City_Inputs!$AA141="",Norm_Stats!$F$15="",Norm_Stats!$G$15="",Norm_Stats!$G$15=Norm_Stats!$F$15),"",MAX(0,MIN(100,100*(MIN(MAX(City_Inputs!$AA141,Norm_Stats!$F$15),Norm_Stats!$G$15)-Norm_Stats!$F$15)/(Norm_Stats!$G$15-Norm_Stats!$F$15)))))="",0,(IF(OR(City_Inputs!$AA141="",Norm_Stats!$F$15="",Norm_Stats!$G$15="",Norm_Stats!$G$15=Norm_Stats!$F$15),"",MAX(0,MIN(100,100*(MIN(MAX(City_Inputs!$AA141,Norm_Stats!$F$15),Norm_Stats!$G$15)-Norm_Stats!$F$15)/(Norm_Stats!$G$15-Norm_Stats!$F$15)))))*0.7)+IF((IF(OR(City_Inputs!$AL141="",Norm_Stats!$F$16="",Norm_Stats!$G$16="",Norm_Stats!$G$16=Norm_Stats!$F$16),"",MAX(0,MIN(100,100*(Norm_Stats!$G$16-MIN(MAX(City_Inputs!$AL141,Norm_Stats!$F$16),Norm_Stats!$G$16))/(Norm_Stats!$G$16-Norm_Stats!$F$16)))))="",0,(IF(OR(City_Inputs!$AL141="",Norm_Stats!$F$16="",Norm_Stats!$G$16="",Norm_Stats!$G$16=Norm_Stats!$F$16),"",MAX(0,MIN(100,100*(Norm_Stats!$G$16-MIN(MAX(City_Inputs!$AL141,Norm_Stats!$F$16),Norm_Stats!$G$16))/(Norm_Stats!$G$16-Norm_Stats!$F$16)))))*0.3))/(IF((IF(OR(City_Inputs!$AA141="",Norm_Stats!$F$15="",Norm_Stats!$G$15="",Norm_Stats!$G$15=Norm_Stats!$F$15),"",MAX(0,MIN(100,100*(MIN(MAX(City_Inputs!$AA141,Norm_Stats!$F$15),Norm_Stats!$G$15)-Norm_Stats!$F$15)/(Norm_Stats!$G$15-Norm_Stats!$F$15)))))="",0,0.7)+IF((IF(OR(City_Inputs!$AL141="",Norm_Stats!$F$16="",Norm_Stats!$G$16="",Norm_Stats!$G$16=Norm_Stats!$F$16),"",MAX(0,MIN(100,100*(Norm_Stats!$G$16-MIN(MAX(City_Inputs!$AL141,Norm_Stats!$F$16),Norm_Stats!$G$16))/(Norm_Stats!$G$16-Norm_Stats!$F$16)))))="",0,0.3)))</f>
        <v/>
      </c>
      <c r="AL141" s="14">
        <f>IF((IF((IF(OR(City_Inputs!$AA141="",Norm_Stats!$F$15="",Norm_Stats!$G$15="",Norm_Stats!$G$15=Norm_Stats!$F$15),"",MAX(0,MIN(100,100*(MIN(MAX(City_Inputs!$AA141,Norm_Stats!$F$15),Norm_Stats!$G$15)-Norm_Stats!$F$15)/(Norm_Stats!$G$15-Norm_Stats!$F$15)))))="",0,0.7)+IF((IF(OR(City_Inputs!$AL141="",Norm_Stats!$F$16="",Norm_Stats!$G$16="",Norm_Stats!$G$16=Norm_Stats!$F$16),"",MAX(0,MIN(100,100*(Norm_Stats!$G$16-MIN(MAX(City_Inputs!$AL141,Norm_Stats!$F$16),Norm_Stats!$G$16))/(Norm_Stats!$G$16-Norm_Stats!$F$16)))))="",0,0.3))=0,"",(IF((IF(OR(City_Inputs!$AA141="",Norm_Stats!$F$15="",Norm_Stats!$G$15="",Norm_Stats!$G$15=Norm_Stats!$F$15),"",MAX(0,MIN(100,100*(MIN(MAX(City_Inputs!$AA141,Norm_Stats!$F$15),Norm_Stats!$G$15)-Norm_Stats!$F$15)/(Norm_Stats!$G$15-Norm_Stats!$F$15)))))="",0,0.7)+IF((IF(OR(City_Inputs!$AL141="",Norm_Stats!$F$16="",Norm_Stats!$G$16="",Norm_Stats!$G$16=Norm_Stats!$F$16),"",MAX(0,MIN(100,100*(Norm_Stats!$G$16-MIN(MAX(City_Inputs!$AL141,Norm_Stats!$F$16),Norm_Stats!$G$16))/(Norm_Stats!$G$16-Norm_Stats!$F$16)))))="",0,0.3)))</f>
        <v/>
      </c>
      <c r="AM141" s="15">
        <f>IF((IF(AG141="",0,8)+IF(AI141="",0,6)+IF(AK141="",0,4))=0,"",(IF(AG141="",0,AG141*8)+IF(AI141="",0,AI141*6)+IF(AK141="",0,AK141*4))/(IF(AG141="",0,8)+IF(AI141="",0,6)+IF(AK141="",0,4)))</f>
        <v/>
      </c>
      <c r="AN141" s="14">
        <f>IF((IF(AH141="",0,8)+IF(AJ141="",0,6)+IF(AL141="",0,4))=0,"",(IF(AH141="",0,AH141*8)+IF(AJ141="",0,AJ141*6)+IF(AL141="",0,AL141*4))/18)</f>
        <v/>
      </c>
      <c r="AO141" s="11">
        <f>IF(OR(City_Inputs!$AB141="",Norm_Stats!$F$17="",Norm_Stats!$G$17="",Norm_Stats!$G$17=Norm_Stats!$F$17),"",MAX(0,MIN(100,100*(MIN(MAX(City_Inputs!$AB141,Norm_Stats!$F$17),Norm_Stats!$G$17)-Norm_Stats!$F$17)/(Norm_Stats!$G$17-Norm_Stats!$F$17))))</f>
        <v/>
      </c>
      <c r="AP141" s="14">
        <f>IF(AO141="","",1)</f>
        <v/>
      </c>
      <c r="AQ141" s="11">
        <f>IF(OR(City_Inputs!$AC141="",Norm_Stats!$F$18="",Norm_Stats!$G$18="",Norm_Stats!$G$18=Norm_Stats!$F$18),"",MAX(0,MIN(100,100*(MIN(MAX(City_Inputs!$AC141,Norm_Stats!$F$18),Norm_Stats!$G$18)-Norm_Stats!$F$18)/(Norm_Stats!$G$18-Norm_Stats!$F$18))))</f>
        <v/>
      </c>
      <c r="AR141" s="14">
        <f>IF(AQ141="","",1)</f>
        <v/>
      </c>
      <c r="AS141" s="11">
        <f>IF(OR(City_Inputs!$AD141="",Norm_Stats!$F$19="",Norm_Stats!$G$19="",Norm_Stats!$G$19=Norm_Stats!$F$19),"",MAX(0,MIN(100,100*(MIN(MAX(City_Inputs!$AD141,Norm_Stats!$F$19),Norm_Stats!$G$19)-Norm_Stats!$F$19)/(Norm_Stats!$G$19-Norm_Stats!$F$19))))</f>
        <v/>
      </c>
      <c r="AT141" s="14">
        <f>IF(AS141="","",1)</f>
        <v/>
      </c>
      <c r="AU141" s="11">
        <f>IF(OR(City_Inputs!$BJ141="",Norm_Stats!$F$26="",Norm_Stats!$G$26="",Norm_Stats!$G$26=Norm_Stats!$F$26),"",MAX(0,MIN(100,100*(MIN(MAX(City_Inputs!$BJ141,Norm_Stats!$F$26),Norm_Stats!$G$26)-Norm_Stats!$F$26)/(Norm_Stats!$G$26-Norm_Stats!$F$26))))</f>
        <v/>
      </c>
      <c r="AV141" s="11">
        <f>IF(AU141="","",1)</f>
        <v/>
      </c>
      <c r="AW141" s="15">
        <f>IF((IF(AO141="",0,5)+IF(AQ141="",0,5)+IF(AS141="",0,5)+IF(AU141="",0,4))=0,"",(IF(AO141="",0,AO141*5)+IF(AQ141="",0,AQ141*5)+IF(AS141="",0,AS141*5)+IF(AU141="",0,AU141*4))/(IF(AO141="",0,5)+IF(AQ141="",0,5)+IF(AS141="",0,5)+IF(AU141="",0,4)))</f>
        <v/>
      </c>
      <c r="AX141" s="14">
        <f>IF((IF(AP141="",0,5)+IF(AR141="",0,5)+IF(AT141="",0,5)+IF(AV141="",0,4))=0,"",(IF(AP141="",0,AP141*5)+IF(AR141="",0,AR141*5)+IF(AT141="",0,AT141*5)+IF(AV141="",0,AV141*4))/19)</f>
        <v/>
      </c>
      <c r="AY141" s="11">
        <f>IF(OR(City_Inputs!$AE141="",Norm_Stats!$F$20="",Norm_Stats!$G$20="",Norm_Stats!$G$20=Norm_Stats!$F$20),"",MAX(0,MIN(100,100*(MIN(MAX(City_Inputs!$AE141,Norm_Stats!$F$20),Norm_Stats!$G$20)-Norm_Stats!$F$20)/(Norm_Stats!$G$20-Norm_Stats!$F$20))))</f>
        <v/>
      </c>
      <c r="AZ141" s="14">
        <f>IF(AY141="","",1)</f>
        <v/>
      </c>
      <c r="BA141" s="11">
        <f>IF(OR(City_Inputs!$AF141="",Norm_Stats!$F$21="",Norm_Stats!$G$21="",Norm_Stats!$G$21=Norm_Stats!$F$21),"",MAX(0,MIN(100,100*(MIN(MAX(City_Inputs!$AF141,Norm_Stats!$F$21),Norm_Stats!$G$21)-Norm_Stats!$F$21)/(Norm_Stats!$G$21-Norm_Stats!$F$21))))</f>
        <v/>
      </c>
      <c r="BB141" s="14">
        <f>IF(BA141="","",1)</f>
        <v/>
      </c>
      <c r="BC141" s="11">
        <f>IF((IF((IF(OR(City_Inputs!$AG141="",Norm_Stats!$F$22="",Norm_Stats!$G$22="",Norm_Stats!$G$22=Norm_Stats!$F$22),"",MAX(0,MIN(100,100*(MIN(MAX(City_Inputs!$AG141,Norm_Stats!$F$22),Norm_Stats!$G$22)-Norm_Stats!$F$22)/(Norm_Stats!$G$22-Norm_Stats!$F$22)))))="",0,0.5)+IF((IF(OR(City_Inputs!$AJ141="",Norm_Stats!$F$23="",Norm_Stats!$G$23="",Norm_Stats!$G$23=Norm_Stats!$F$23),"",MAX(0,MIN(100,100*(MIN(MAX(City_Inputs!$AJ141,Norm_Stats!$F$23),Norm_Stats!$G$23)-Norm_Stats!$F$23)/(Norm_Stats!$G$23-Norm_Stats!$F$23)))))="",0,0.3)+IF((IF(OR(City_Inputs!$AK141="",Norm_Stats!$F$24="",Norm_Stats!$G$24="",Norm_Stats!$G$24=Norm_Stats!$F$24),"",MAX(0,MIN(100,100*(MIN(MAX(City_Inputs!$AK141,Norm_Stats!$F$24),Norm_Stats!$G$24)-Norm_Stats!$F$24)/(Norm_Stats!$G$24-Norm_Stats!$F$24)))))="",0,0.2))=0,"",(IF((IF(OR(City_Inputs!$AG141="",Norm_Stats!$F$22="",Norm_Stats!$G$22="",Norm_Stats!$G$22=Norm_Stats!$F$22),"",MAX(0,MIN(100,100*(MIN(MAX(City_Inputs!$AG141,Norm_Stats!$F$22),Norm_Stats!$G$22)-Norm_Stats!$F$22)/(Norm_Stats!$G$22-Norm_Stats!$F$22)))))="",0,(IF(OR(City_Inputs!$AG141="",Norm_Stats!$F$22="",Norm_Stats!$G$22="",Norm_Stats!$G$22=Norm_Stats!$F$22),"",MAX(0,MIN(100,100*(MIN(MAX(City_Inputs!$AG141,Norm_Stats!$F$22),Norm_Stats!$G$22)-Norm_Stats!$F$22)/(Norm_Stats!$G$22-Norm_Stats!$F$22)))))*0.5)+IF((IF(OR(City_Inputs!$AJ141="",Norm_Stats!$F$23="",Norm_Stats!$G$23="",Norm_Stats!$G$23=Norm_Stats!$F$23),"",MAX(0,MIN(100,100*(MIN(MAX(City_Inputs!$AJ141,Norm_Stats!$F$23),Norm_Stats!$G$23)-Norm_Stats!$F$23)/(Norm_Stats!$G$23-Norm_Stats!$F$23)))))="",0,(IF(OR(City_Inputs!$AJ141="",Norm_Stats!$F$23="",Norm_Stats!$G$23="",Norm_Stats!$G$23=Norm_Stats!$F$23),"",MAX(0,MIN(100,100*(MIN(MAX(City_Inputs!$AJ141,Norm_Stats!$F$23),Norm_Stats!$G$23)-Norm_Stats!$F$23)/(Norm_Stats!$G$23-Norm_Stats!$F$23)))))*0.3)+IF((IF(OR(City_Inputs!$AK141="",Norm_Stats!$F$24="",Norm_Stats!$G$24="",Norm_Stats!$G$24=Norm_Stats!$F$24),"",MAX(0,MIN(100,100*(MIN(MAX(City_Inputs!$AK141,Norm_Stats!$F$24),Norm_Stats!$G$24)-Norm_Stats!$F$24)/(Norm_Stats!$G$24-Norm_Stats!$F$24)))))="",0,(IF(OR(City_Inputs!$AK141="",Norm_Stats!$F$24="",Norm_Stats!$G$24="",Norm_Stats!$G$24=Norm_Stats!$F$24),"",MAX(0,MIN(100,100*(MIN(MAX(City_Inputs!$AK141,Norm_Stats!$F$24),Norm_Stats!$G$24)-Norm_Stats!$F$24)/(Norm_Stats!$G$24-Norm_Stats!$F$24)))))*0.2))/(IF((IF(OR(City_Inputs!$AG141="",Norm_Stats!$F$22="",Norm_Stats!$G$22="",Norm_Stats!$G$22=Norm_Stats!$F$22),"",MAX(0,MIN(100,100*(MIN(MAX(City_Inputs!$AG141,Norm_Stats!$F$22),Norm_Stats!$G$22)-Norm_Stats!$F$22)/(Norm_Stats!$G$22-Norm_Stats!$F$22)))))="",0,0.5)+IF((IF(OR(City_Inputs!$AJ141="",Norm_Stats!$F$23="",Norm_Stats!$G$23="",Norm_Stats!$G$23=Norm_Stats!$F$23),"",MAX(0,MIN(100,100*(MIN(MAX(City_Inputs!$AJ141,Norm_Stats!$F$23),Norm_Stats!$G$23)-Norm_Stats!$F$23)/(Norm_Stats!$G$23-Norm_Stats!$F$23)))))="",0,0.3)+IF((IF(OR(City_Inputs!$AK141="",Norm_Stats!$F$24="",Norm_Stats!$G$24="",Norm_Stats!$G$24=Norm_Stats!$F$24),"",MAX(0,MIN(100,100*(MIN(MAX(City_Inputs!$AK141,Norm_Stats!$F$24),Norm_Stats!$G$24)-Norm_Stats!$F$24)/(Norm_Stats!$G$24-Norm_Stats!$F$24)))))="",0,0.2)))</f>
        <v/>
      </c>
      <c r="BD141" s="14">
        <f>IF((IF((IF(OR(City_Inputs!$AG141="",Norm_Stats!$F$22="",Norm_Stats!$G$22="",Norm_Stats!$G$22=Norm_Stats!$F$22),"",MAX(0,MIN(100,100*(MIN(MAX(City_Inputs!$AG141,Norm_Stats!$F$22),Norm_Stats!$G$22)-Norm_Stats!$F$22)/(Norm_Stats!$G$22-Norm_Stats!$F$22)))))="",0,0.5)+IF((IF(OR(City_Inputs!$AJ141="",Norm_Stats!$F$23="",Norm_Stats!$G$23="",Norm_Stats!$G$23=Norm_Stats!$F$23),"",MAX(0,MIN(100,100*(MIN(MAX(City_Inputs!$AJ141,Norm_Stats!$F$23),Norm_Stats!$G$23)-Norm_Stats!$F$23)/(Norm_Stats!$G$23-Norm_Stats!$F$23)))))="",0,0.3)+IF((IF(OR(City_Inputs!$AK141="",Norm_Stats!$F$24="",Norm_Stats!$G$24="",Norm_Stats!$G$24=Norm_Stats!$F$24),"",MAX(0,MIN(100,100*(MIN(MAX(City_Inputs!$AK141,Norm_Stats!$F$24),Norm_Stats!$G$24)-Norm_Stats!$F$24)/(Norm_Stats!$G$24-Norm_Stats!$F$24)))))="",0,0.2))=0,"",(IF((IF(OR(City_Inputs!$AG141="",Norm_Stats!$F$22="",Norm_Stats!$G$22="",Norm_Stats!$G$22=Norm_Stats!$F$22),"",MAX(0,MIN(100,100*(MIN(MAX(City_Inputs!$AG141,Norm_Stats!$F$22),Norm_Stats!$G$22)-Norm_Stats!$F$22)/(Norm_Stats!$G$22-Norm_Stats!$F$22)))))="",0,0.5)+IF((IF(OR(City_Inputs!$AJ141="",Norm_Stats!$F$23="",Norm_Stats!$G$23="",Norm_Stats!$G$23=Norm_Stats!$F$23),"",MAX(0,MIN(100,100*(MIN(MAX(City_Inputs!$AJ141,Norm_Stats!$F$23),Norm_Stats!$G$23)-Norm_Stats!$F$23)/(Norm_Stats!$G$23-Norm_Stats!$F$23)))))="",0,0.3)+IF((IF(OR(City_Inputs!$AK141="",Norm_Stats!$F$24="",Norm_Stats!$G$24="",Norm_Stats!$G$24=Norm_Stats!$F$24),"",MAX(0,MIN(100,100*(MIN(MAX(City_Inputs!$AK141,Norm_Stats!$F$24),Norm_Stats!$G$24)-Norm_Stats!$F$24)/(Norm_Stats!$G$24-Norm_Stats!$F$24)))))="",0,0.2)))</f>
        <v/>
      </c>
      <c r="BE141" s="11">
        <f>IF(OR(City_Inputs!$AH141="",Norm_Stats!$F$25="",Norm_Stats!$G$25="",Norm_Stats!$G$25=Norm_Stats!$F$25),"",MAX(0,MIN(100,100*(Norm_Stats!$G$25-MIN(MAX(City_Inputs!$AH141,Norm_Stats!$F$25),Norm_Stats!$G$25))/(Norm_Stats!$G$25-Norm_Stats!$F$25))))</f>
        <v/>
      </c>
      <c r="BF141" s="14">
        <f>IF(BE141="","",1)</f>
        <v/>
      </c>
      <c r="BG141" s="15">
        <f>IF((IF(AY141="",0,6)+IF(BA141="",0,5)+IF(BC141="",0,5)+IF(BE141="",0,4))=0,"",(IF(AY141="",0,AY141*6)+IF(BA141="",0,BA141*5)+IF(BC141="",0,BC141*5)+IF(BE141="",0,BE141*4))/(IF(AY141="",0,6)+IF(BA141="",0,5)+IF(BC141="",0,5)+IF(BE141="",0,4)))</f>
        <v/>
      </c>
      <c r="BH141" s="14">
        <f>IF((IF(AZ141="",0,6)+IF(BB141="",0,5)+IF(BD141="",0,5)+IF(BF141="",0,4))=0,"",(IF(AZ141="",0,AZ141*6)+IF(BB141="",0,BB141*5)+IF(BD141="",0,BD141*5)+IF(BF141="",0,BF141*4))/20)</f>
        <v/>
      </c>
      <c r="BI141" s="14">
        <f>IF(AND(R141="",AF141="",AN141="",AX141="",BH141=""),"",((R141*25)+(AF141*22)+(AN141*18)+(AX141*15)+(BH141*20))/100)</f>
        <v/>
      </c>
      <c r="BJ141" s="11">
        <f>IF(BI141="","",IF(BI141&gt;=0.75,"A",IF(BI141&gt;=0.5,"B",IF(BI141&gt;=0.35,"C","Watchlist"))))</f>
        <v/>
      </c>
      <c r="BK141" s="11">
        <f>IF(OR(BI141="",BI141&lt;0.5,R141="",R141&lt;0.35,AF141="",AF141&lt;0.35,AN141="",AN141&lt;0.35,AX141="",AX141&lt;0.35,BH141="",BH141&lt;0.35),"Watchlist","Ranked")</f>
        <v/>
      </c>
      <c r="BL141" s="15">
        <f>IF(AND(Q141="",AE141="",AM141="",AW141="",BG141=""),"",(IF(Q141="",0,Q141*25)+IF(AE141="",0,AE141*22)+IF(AM141="",0,AM141*18)+IF(AW141="",0,AW141*15)+IF(BG141="",0,BG141*20))/(IF(Q141="",0,25)+IF(AE141="",0,22)+IF(AM141="",0,18)+IF(AW141="",0,15)+IF(BG141="",0,20)))</f>
        <v/>
      </c>
      <c r="BM141" s="11">
        <f>IF(BK141="Ranked",1+COUNTIFS($BK$2:$BK$158,"Ranked",$BL$2:$BL$158,"&gt;"&amp;BL141),"")</f>
        <v/>
      </c>
      <c r="BN141" s="11">
        <f>City_Inputs!$AI141</f>
        <v/>
      </c>
    </row>
    <row r="142">
      <c r="A142" t="inlineStr">
        <is>
          <t>br-florianopolis</t>
        </is>
      </c>
      <c r="B142" t="inlineStr">
        <is>
          <t>Florianopolis</t>
        </is>
      </c>
      <c r="C142" t="inlineStr">
        <is>
          <t>Brazil</t>
        </is>
      </c>
      <c r="D142" t="inlineStr">
        <is>
          <t>Latin America</t>
        </is>
      </c>
      <c r="E142" t="inlineStr">
        <is>
          <t>provisional</t>
        </is>
      </c>
      <c r="F142" t="inlineStr">
        <is>
          <t>secondary</t>
        </is>
      </c>
      <c r="G142" s="11">
        <f>IF(OR(City_Inputs!$M142="",Norm_Stats!$F$2="",Norm_Stats!$G$2="",Norm_Stats!$G$2=Norm_Stats!$F$2),"",MAX(0,MIN(100,100*(MIN(MAX(City_Inputs!$M142,Norm_Stats!$F$2),Norm_Stats!$G$2)-Norm_Stats!$F$2)/(Norm_Stats!$G$2-Norm_Stats!$F$2))))</f>
        <v/>
      </c>
      <c r="H142" s="14">
        <f>IF(G142="","",1)</f>
        <v/>
      </c>
      <c r="I142" s="11">
        <f>IF(OR(City_Inputs!$N142="",Norm_Stats!$F$3="",Norm_Stats!$G$3="",Norm_Stats!$G$3=Norm_Stats!$F$3),"",MAX(0,MIN(100,100*(Norm_Stats!$G$3-MIN(MAX(City_Inputs!$N142,Norm_Stats!$F$3),Norm_Stats!$G$3))/(Norm_Stats!$G$3-Norm_Stats!$F$3))))</f>
        <v/>
      </c>
      <c r="J142" s="14">
        <f>IF(I142="","",1)</f>
        <v/>
      </c>
      <c r="K142" s="11">
        <f>IF(OR(City_Inputs!$P142="",Norm_Stats!$F$4="",Norm_Stats!$G$4="",Norm_Stats!$G$4=Norm_Stats!$F$4),"",MAX(0,MIN(100,100*(Norm_Stats!$G$4-MIN(MAX(City_Inputs!$P142,Norm_Stats!$F$4),Norm_Stats!$G$4))/(Norm_Stats!$G$4-Norm_Stats!$F$4))))</f>
        <v/>
      </c>
      <c r="L142" s="14">
        <f>IF(K142="","",1)</f>
        <v/>
      </c>
      <c r="M142" s="11">
        <f>IF(OR(City_Inputs!$Q142="",Norm_Stats!$F$5="",Norm_Stats!$G$5="",Norm_Stats!$G$5=Norm_Stats!$F$5),"",MAX(0,MIN(100,100*(Norm_Stats!$G$5-MIN(MAX(City_Inputs!$Q142,Norm_Stats!$F$5),Norm_Stats!$G$5))/(Norm_Stats!$G$5-Norm_Stats!$F$5))))</f>
        <v/>
      </c>
      <c r="N142" s="14">
        <f>IF(M142="","",1)</f>
        <v/>
      </c>
      <c r="O142" s="11">
        <f>IF(OR(City_Inputs!$R142="",Norm_Stats!$F$6="",Norm_Stats!$G$6="",Norm_Stats!$G$6=Norm_Stats!$F$6),"",MAX(0,MIN(100,100*(Norm_Stats!$G$6-MIN(MAX(City_Inputs!$R142,Norm_Stats!$F$6),Norm_Stats!$G$6))/(Norm_Stats!$G$6-Norm_Stats!$F$6))))</f>
        <v/>
      </c>
      <c r="P142" s="14">
        <f>IF(O142="","",1)</f>
        <v/>
      </c>
      <c r="Q142" s="15">
        <f>IF((IF(G142="",0,9)+IF(I142="",0,5)+IF(K142="",0,4)+IF(M142="",0,4)+IF(O142="",0,5))=0,"",(IF(G142="",0,G142*9)+IF(I142="",0,I142*5)+IF(K142="",0,K142*4)+IF(M142="",0,M142*4)+IF(O142="",0,O142*5))/(IF(G142="",0,9)+IF(I142="",0,5)+IF(K142="",0,4)+IF(M142="",0,4)+IF(O142="",0,5)))</f>
        <v/>
      </c>
      <c r="R142" s="14">
        <f>IF((IF(H142="",0,9)+IF(J142="",0,5)+IF(L142="",0,4)+IF(N142="",0,4)+IF(P142="",0,5))=0,"",(IF(H142="",0,H142*9)+IF(J142="",0,J142*5)+IF(L142="",0,L142*4)+IF(N142="",0,N142*4)+IF(P142="",0,P142*5))/27)</f>
        <v/>
      </c>
      <c r="S142" s="11">
        <f>IF(OR(City_Inputs!$S142="",Norm_Stats!$F$7="",Norm_Stats!$G$7="",Norm_Stats!$G$7=Norm_Stats!$F$7),"",MAX(0,MIN(100,100*(Norm_Stats!$G$7-MIN(MAX(City_Inputs!$S142,Norm_Stats!$F$7),Norm_Stats!$G$7))/(Norm_Stats!$G$7-Norm_Stats!$F$7))))</f>
        <v/>
      </c>
      <c r="T142" s="14">
        <f>IF(S142="","",1)</f>
        <v/>
      </c>
      <c r="U142" s="11">
        <f>IF(OR(City_Inputs!$T142="",Norm_Stats!$F$8="",Norm_Stats!$G$8="",Norm_Stats!$G$8=Norm_Stats!$F$8),"",MAX(0,MIN(100,100*(MIN(MAX(City_Inputs!$T142,Norm_Stats!$F$8),Norm_Stats!$G$8)-Norm_Stats!$F$8)/(Norm_Stats!$G$8-Norm_Stats!$F$8))))</f>
        <v/>
      </c>
      <c r="V142" s="14">
        <f>IF(U142="","",1)</f>
        <v/>
      </c>
      <c r="W142" s="11">
        <f>IF(OR(City_Inputs!$U142="",Norm_Stats!$F$9="",Norm_Stats!$G$9="",Norm_Stats!$G$9=Norm_Stats!$F$9),"",MAX(0,MIN(100,100*(Norm_Stats!$G$9-MIN(MAX(City_Inputs!$U142,Norm_Stats!$F$9),Norm_Stats!$G$9))/(Norm_Stats!$G$9-Norm_Stats!$F$9))))</f>
        <v/>
      </c>
      <c r="X142" s="14">
        <f>IF(W142="","",1)</f>
        <v/>
      </c>
      <c r="Y142" s="11">
        <f>IF(OR(City_Inputs!$V142="",Norm_Stats!$F$10="",Norm_Stats!$G$10="",Norm_Stats!$G$10=Norm_Stats!$F$10),"",MAX(0,MIN(100,100*(MIN(MAX(City_Inputs!$V142,Norm_Stats!$F$10),Norm_Stats!$G$10)-Norm_Stats!$F$10)/(Norm_Stats!$G$10-Norm_Stats!$F$10))))</f>
        <v/>
      </c>
      <c r="Z142" s="14">
        <f>IF(Y142="","",1)</f>
        <v/>
      </c>
      <c r="AA142" s="11">
        <f>IF(OR(City_Inputs!$W142="",Norm_Stats!$F$11="",Norm_Stats!$G$11="",Norm_Stats!$G$11=Norm_Stats!$F$11),"",MAX(0,MIN(100,100*(MIN(MAX(City_Inputs!$W142,Norm_Stats!$F$11),Norm_Stats!$G$11)-Norm_Stats!$F$11)/(Norm_Stats!$G$11-Norm_Stats!$F$11))))</f>
        <v/>
      </c>
      <c r="AB142" s="14">
        <f>IF(AA142="","",1)</f>
        <v/>
      </c>
      <c r="AC142" s="11">
        <f>IF(OR(City_Inputs!$X142="",Norm_Stats!$F$12="",Norm_Stats!$G$12="",Norm_Stats!$G$12=Norm_Stats!$F$12),"",MAX(0,MIN(100,100*(MIN(MAX(City_Inputs!$X142,Norm_Stats!$F$12),Norm_Stats!$G$12)-Norm_Stats!$F$12)/(Norm_Stats!$G$12-Norm_Stats!$F$12))))</f>
        <v/>
      </c>
      <c r="AD142" s="11">
        <f>IF(AC142="","",1)</f>
        <v/>
      </c>
      <c r="AE142" s="15">
        <f>IF((IF(S142="",0,5)+IF(U142="",0,5)+IF(W142="",0,4)+IF(Y142="",0,4)+IF(AA142="",0,4)+IF(AC142="",0,5))=0,"",(IF(S142="",0,S142*5)+IF(U142="",0,U142*5)+IF(W142="",0,W142*4)+IF(Y142="",0,Y142*4)+IF(AA142="",0,AA142*4)+IF(AC142="",0,AC142*5))/(IF(S142="",0,5)+IF(U142="",0,5)+IF(W142="",0,4)+IF(Y142="",0,4)+IF(AA142="",0,4)+IF(AC142="",0,5)))</f>
        <v/>
      </c>
      <c r="AF142" s="14">
        <f>IF((IF(T142="",0,5)+IF(V142="",0,5)+IF(X142="",0,4)+IF(Z142="",0,4)+IF(AB142="",0,4)+IF(AD142="",0,5))=0,"",(IF(T142="",0,T142*5)+IF(V142="",0,V142*5)+IF(X142="",0,X142*4)+IF(Z142="",0,Z142*4)+IF(AB142="",0,AB142*4)+IF(AD142="",0,AD142*5))/27)</f>
        <v/>
      </c>
      <c r="AG142" s="11">
        <f>IF(OR(City_Inputs!$Y142="",Norm_Stats!$F$13="",Norm_Stats!$G$13="",Norm_Stats!$G$13=Norm_Stats!$F$13),"",MAX(0,MIN(100,100*(MIN(MAX(City_Inputs!$Y142,Norm_Stats!$F$13),Norm_Stats!$G$13)-Norm_Stats!$F$13)/(Norm_Stats!$G$13-Norm_Stats!$F$13))))</f>
        <v/>
      </c>
      <c r="AH142" s="14">
        <f>IF(AG142="","",1)</f>
        <v/>
      </c>
      <c r="AI142" s="11">
        <f>IF(OR(City_Inputs!$Z142="",Norm_Stats!$F$14="",Norm_Stats!$G$14="",Norm_Stats!$G$14=Norm_Stats!$F$14),"",MAX(0,MIN(100,100*(MIN(MAX(City_Inputs!$Z142,Norm_Stats!$F$14),Norm_Stats!$G$14)-Norm_Stats!$F$14)/(Norm_Stats!$G$14-Norm_Stats!$F$14))))</f>
        <v/>
      </c>
      <c r="AJ142" s="14">
        <f>IF(AI142="","",1)</f>
        <v/>
      </c>
      <c r="AK142" s="11">
        <f>IF((IF((IF(OR(City_Inputs!$AA142="",Norm_Stats!$F$15="",Norm_Stats!$G$15="",Norm_Stats!$G$15=Norm_Stats!$F$15),"",MAX(0,MIN(100,100*(MIN(MAX(City_Inputs!$AA142,Norm_Stats!$F$15),Norm_Stats!$G$15)-Norm_Stats!$F$15)/(Norm_Stats!$G$15-Norm_Stats!$F$15)))))="",0,0.7)+IF((IF(OR(City_Inputs!$AL142="",Norm_Stats!$F$16="",Norm_Stats!$G$16="",Norm_Stats!$G$16=Norm_Stats!$F$16),"",MAX(0,MIN(100,100*(Norm_Stats!$G$16-MIN(MAX(City_Inputs!$AL142,Norm_Stats!$F$16),Norm_Stats!$G$16))/(Norm_Stats!$G$16-Norm_Stats!$F$16)))))="",0,0.3))=0,"",(IF((IF(OR(City_Inputs!$AA142="",Norm_Stats!$F$15="",Norm_Stats!$G$15="",Norm_Stats!$G$15=Norm_Stats!$F$15),"",MAX(0,MIN(100,100*(MIN(MAX(City_Inputs!$AA142,Norm_Stats!$F$15),Norm_Stats!$G$15)-Norm_Stats!$F$15)/(Norm_Stats!$G$15-Norm_Stats!$F$15)))))="",0,(IF(OR(City_Inputs!$AA142="",Norm_Stats!$F$15="",Norm_Stats!$G$15="",Norm_Stats!$G$15=Norm_Stats!$F$15),"",MAX(0,MIN(100,100*(MIN(MAX(City_Inputs!$AA142,Norm_Stats!$F$15),Norm_Stats!$G$15)-Norm_Stats!$F$15)/(Norm_Stats!$G$15-Norm_Stats!$F$15)))))*0.7)+IF((IF(OR(City_Inputs!$AL142="",Norm_Stats!$F$16="",Norm_Stats!$G$16="",Norm_Stats!$G$16=Norm_Stats!$F$16),"",MAX(0,MIN(100,100*(Norm_Stats!$G$16-MIN(MAX(City_Inputs!$AL142,Norm_Stats!$F$16),Norm_Stats!$G$16))/(Norm_Stats!$G$16-Norm_Stats!$F$16)))))="",0,(IF(OR(City_Inputs!$AL142="",Norm_Stats!$F$16="",Norm_Stats!$G$16="",Norm_Stats!$G$16=Norm_Stats!$F$16),"",MAX(0,MIN(100,100*(Norm_Stats!$G$16-MIN(MAX(City_Inputs!$AL142,Norm_Stats!$F$16),Norm_Stats!$G$16))/(Norm_Stats!$G$16-Norm_Stats!$F$16)))))*0.3))/(IF((IF(OR(City_Inputs!$AA142="",Norm_Stats!$F$15="",Norm_Stats!$G$15="",Norm_Stats!$G$15=Norm_Stats!$F$15),"",MAX(0,MIN(100,100*(MIN(MAX(City_Inputs!$AA142,Norm_Stats!$F$15),Norm_Stats!$G$15)-Norm_Stats!$F$15)/(Norm_Stats!$G$15-Norm_Stats!$F$15)))))="",0,0.7)+IF((IF(OR(City_Inputs!$AL142="",Norm_Stats!$F$16="",Norm_Stats!$G$16="",Norm_Stats!$G$16=Norm_Stats!$F$16),"",MAX(0,MIN(100,100*(Norm_Stats!$G$16-MIN(MAX(City_Inputs!$AL142,Norm_Stats!$F$16),Norm_Stats!$G$16))/(Norm_Stats!$G$16-Norm_Stats!$F$16)))))="",0,0.3)))</f>
        <v/>
      </c>
      <c r="AL142" s="14">
        <f>IF((IF((IF(OR(City_Inputs!$AA142="",Norm_Stats!$F$15="",Norm_Stats!$G$15="",Norm_Stats!$G$15=Norm_Stats!$F$15),"",MAX(0,MIN(100,100*(MIN(MAX(City_Inputs!$AA142,Norm_Stats!$F$15),Norm_Stats!$G$15)-Norm_Stats!$F$15)/(Norm_Stats!$G$15-Norm_Stats!$F$15)))))="",0,0.7)+IF((IF(OR(City_Inputs!$AL142="",Norm_Stats!$F$16="",Norm_Stats!$G$16="",Norm_Stats!$G$16=Norm_Stats!$F$16),"",MAX(0,MIN(100,100*(Norm_Stats!$G$16-MIN(MAX(City_Inputs!$AL142,Norm_Stats!$F$16),Norm_Stats!$G$16))/(Norm_Stats!$G$16-Norm_Stats!$F$16)))))="",0,0.3))=0,"",(IF((IF(OR(City_Inputs!$AA142="",Norm_Stats!$F$15="",Norm_Stats!$G$15="",Norm_Stats!$G$15=Norm_Stats!$F$15),"",MAX(0,MIN(100,100*(MIN(MAX(City_Inputs!$AA142,Norm_Stats!$F$15),Norm_Stats!$G$15)-Norm_Stats!$F$15)/(Norm_Stats!$G$15-Norm_Stats!$F$15)))))="",0,0.7)+IF((IF(OR(City_Inputs!$AL142="",Norm_Stats!$F$16="",Norm_Stats!$G$16="",Norm_Stats!$G$16=Norm_Stats!$F$16),"",MAX(0,MIN(100,100*(Norm_Stats!$G$16-MIN(MAX(City_Inputs!$AL142,Norm_Stats!$F$16),Norm_Stats!$G$16))/(Norm_Stats!$G$16-Norm_Stats!$F$16)))))="",0,0.3)))</f>
        <v/>
      </c>
      <c r="AM142" s="15">
        <f>IF((IF(AG142="",0,8)+IF(AI142="",0,6)+IF(AK142="",0,4))=0,"",(IF(AG142="",0,AG142*8)+IF(AI142="",0,AI142*6)+IF(AK142="",0,AK142*4))/(IF(AG142="",0,8)+IF(AI142="",0,6)+IF(AK142="",0,4)))</f>
        <v/>
      </c>
      <c r="AN142" s="14">
        <f>IF((IF(AH142="",0,8)+IF(AJ142="",0,6)+IF(AL142="",0,4))=0,"",(IF(AH142="",0,AH142*8)+IF(AJ142="",0,AJ142*6)+IF(AL142="",0,AL142*4))/18)</f>
        <v/>
      </c>
      <c r="AO142" s="11">
        <f>IF(OR(City_Inputs!$AB142="",Norm_Stats!$F$17="",Norm_Stats!$G$17="",Norm_Stats!$G$17=Norm_Stats!$F$17),"",MAX(0,MIN(100,100*(MIN(MAX(City_Inputs!$AB142,Norm_Stats!$F$17),Norm_Stats!$G$17)-Norm_Stats!$F$17)/(Norm_Stats!$G$17-Norm_Stats!$F$17))))</f>
        <v/>
      </c>
      <c r="AP142" s="14">
        <f>IF(AO142="","",1)</f>
        <v/>
      </c>
      <c r="AQ142" s="11">
        <f>IF(OR(City_Inputs!$AC142="",Norm_Stats!$F$18="",Norm_Stats!$G$18="",Norm_Stats!$G$18=Norm_Stats!$F$18),"",MAX(0,MIN(100,100*(MIN(MAX(City_Inputs!$AC142,Norm_Stats!$F$18),Norm_Stats!$G$18)-Norm_Stats!$F$18)/(Norm_Stats!$G$18-Norm_Stats!$F$18))))</f>
        <v/>
      </c>
      <c r="AR142" s="14">
        <f>IF(AQ142="","",1)</f>
        <v/>
      </c>
      <c r="AS142" s="11">
        <f>IF(OR(City_Inputs!$AD142="",Norm_Stats!$F$19="",Norm_Stats!$G$19="",Norm_Stats!$G$19=Norm_Stats!$F$19),"",MAX(0,MIN(100,100*(MIN(MAX(City_Inputs!$AD142,Norm_Stats!$F$19),Norm_Stats!$G$19)-Norm_Stats!$F$19)/(Norm_Stats!$G$19-Norm_Stats!$F$19))))</f>
        <v/>
      </c>
      <c r="AT142" s="14">
        <f>IF(AS142="","",1)</f>
        <v/>
      </c>
      <c r="AU142" s="11">
        <f>IF(OR(City_Inputs!$BJ142="",Norm_Stats!$F$26="",Norm_Stats!$G$26="",Norm_Stats!$G$26=Norm_Stats!$F$26),"",MAX(0,MIN(100,100*(MIN(MAX(City_Inputs!$BJ142,Norm_Stats!$F$26),Norm_Stats!$G$26)-Norm_Stats!$F$26)/(Norm_Stats!$G$26-Norm_Stats!$F$26))))</f>
        <v/>
      </c>
      <c r="AV142" s="11">
        <f>IF(AU142="","",1)</f>
        <v/>
      </c>
      <c r="AW142" s="15">
        <f>IF((IF(AO142="",0,5)+IF(AQ142="",0,5)+IF(AS142="",0,5)+IF(AU142="",0,4))=0,"",(IF(AO142="",0,AO142*5)+IF(AQ142="",0,AQ142*5)+IF(AS142="",0,AS142*5)+IF(AU142="",0,AU142*4))/(IF(AO142="",0,5)+IF(AQ142="",0,5)+IF(AS142="",0,5)+IF(AU142="",0,4)))</f>
        <v/>
      </c>
      <c r="AX142" s="14">
        <f>IF((IF(AP142="",0,5)+IF(AR142="",0,5)+IF(AT142="",0,5)+IF(AV142="",0,4))=0,"",(IF(AP142="",0,AP142*5)+IF(AR142="",0,AR142*5)+IF(AT142="",0,AT142*5)+IF(AV142="",0,AV142*4))/19)</f>
        <v/>
      </c>
      <c r="AY142" s="11">
        <f>IF(OR(City_Inputs!$AE142="",Norm_Stats!$F$20="",Norm_Stats!$G$20="",Norm_Stats!$G$20=Norm_Stats!$F$20),"",MAX(0,MIN(100,100*(MIN(MAX(City_Inputs!$AE142,Norm_Stats!$F$20),Norm_Stats!$G$20)-Norm_Stats!$F$20)/(Norm_Stats!$G$20-Norm_Stats!$F$20))))</f>
        <v/>
      </c>
      <c r="AZ142" s="14">
        <f>IF(AY142="","",1)</f>
        <v/>
      </c>
      <c r="BA142" s="11">
        <f>IF(OR(City_Inputs!$AF142="",Norm_Stats!$F$21="",Norm_Stats!$G$21="",Norm_Stats!$G$21=Norm_Stats!$F$21),"",MAX(0,MIN(100,100*(MIN(MAX(City_Inputs!$AF142,Norm_Stats!$F$21),Norm_Stats!$G$21)-Norm_Stats!$F$21)/(Norm_Stats!$G$21-Norm_Stats!$F$21))))</f>
        <v/>
      </c>
      <c r="BB142" s="14">
        <f>IF(BA142="","",1)</f>
        <v/>
      </c>
      <c r="BC142" s="11">
        <f>IF((IF((IF(OR(City_Inputs!$AG142="",Norm_Stats!$F$22="",Norm_Stats!$G$22="",Norm_Stats!$G$22=Norm_Stats!$F$22),"",MAX(0,MIN(100,100*(MIN(MAX(City_Inputs!$AG142,Norm_Stats!$F$22),Norm_Stats!$G$22)-Norm_Stats!$F$22)/(Norm_Stats!$G$22-Norm_Stats!$F$22)))))="",0,0.5)+IF((IF(OR(City_Inputs!$AJ142="",Norm_Stats!$F$23="",Norm_Stats!$G$23="",Norm_Stats!$G$23=Norm_Stats!$F$23),"",MAX(0,MIN(100,100*(MIN(MAX(City_Inputs!$AJ142,Norm_Stats!$F$23),Norm_Stats!$G$23)-Norm_Stats!$F$23)/(Norm_Stats!$G$23-Norm_Stats!$F$23)))))="",0,0.3)+IF((IF(OR(City_Inputs!$AK142="",Norm_Stats!$F$24="",Norm_Stats!$G$24="",Norm_Stats!$G$24=Norm_Stats!$F$24),"",MAX(0,MIN(100,100*(MIN(MAX(City_Inputs!$AK142,Norm_Stats!$F$24),Norm_Stats!$G$24)-Norm_Stats!$F$24)/(Norm_Stats!$G$24-Norm_Stats!$F$24)))))="",0,0.2))=0,"",(IF((IF(OR(City_Inputs!$AG142="",Norm_Stats!$F$22="",Norm_Stats!$G$22="",Norm_Stats!$G$22=Norm_Stats!$F$22),"",MAX(0,MIN(100,100*(MIN(MAX(City_Inputs!$AG142,Norm_Stats!$F$22),Norm_Stats!$G$22)-Norm_Stats!$F$22)/(Norm_Stats!$G$22-Norm_Stats!$F$22)))))="",0,(IF(OR(City_Inputs!$AG142="",Norm_Stats!$F$22="",Norm_Stats!$G$22="",Norm_Stats!$G$22=Norm_Stats!$F$22),"",MAX(0,MIN(100,100*(MIN(MAX(City_Inputs!$AG142,Norm_Stats!$F$22),Norm_Stats!$G$22)-Norm_Stats!$F$22)/(Norm_Stats!$G$22-Norm_Stats!$F$22)))))*0.5)+IF((IF(OR(City_Inputs!$AJ142="",Norm_Stats!$F$23="",Norm_Stats!$G$23="",Norm_Stats!$G$23=Norm_Stats!$F$23),"",MAX(0,MIN(100,100*(MIN(MAX(City_Inputs!$AJ142,Norm_Stats!$F$23),Norm_Stats!$G$23)-Norm_Stats!$F$23)/(Norm_Stats!$G$23-Norm_Stats!$F$23)))))="",0,(IF(OR(City_Inputs!$AJ142="",Norm_Stats!$F$23="",Norm_Stats!$G$23="",Norm_Stats!$G$23=Norm_Stats!$F$23),"",MAX(0,MIN(100,100*(MIN(MAX(City_Inputs!$AJ142,Norm_Stats!$F$23),Norm_Stats!$G$23)-Norm_Stats!$F$23)/(Norm_Stats!$G$23-Norm_Stats!$F$23)))))*0.3)+IF((IF(OR(City_Inputs!$AK142="",Norm_Stats!$F$24="",Norm_Stats!$G$24="",Norm_Stats!$G$24=Norm_Stats!$F$24),"",MAX(0,MIN(100,100*(MIN(MAX(City_Inputs!$AK142,Norm_Stats!$F$24),Norm_Stats!$G$24)-Norm_Stats!$F$24)/(Norm_Stats!$G$24-Norm_Stats!$F$24)))))="",0,(IF(OR(City_Inputs!$AK142="",Norm_Stats!$F$24="",Norm_Stats!$G$24="",Norm_Stats!$G$24=Norm_Stats!$F$24),"",MAX(0,MIN(100,100*(MIN(MAX(City_Inputs!$AK142,Norm_Stats!$F$24),Norm_Stats!$G$24)-Norm_Stats!$F$24)/(Norm_Stats!$G$24-Norm_Stats!$F$24)))))*0.2))/(IF((IF(OR(City_Inputs!$AG142="",Norm_Stats!$F$22="",Norm_Stats!$G$22="",Norm_Stats!$G$22=Norm_Stats!$F$22),"",MAX(0,MIN(100,100*(MIN(MAX(City_Inputs!$AG142,Norm_Stats!$F$22),Norm_Stats!$G$22)-Norm_Stats!$F$22)/(Norm_Stats!$G$22-Norm_Stats!$F$22)))))="",0,0.5)+IF((IF(OR(City_Inputs!$AJ142="",Norm_Stats!$F$23="",Norm_Stats!$G$23="",Norm_Stats!$G$23=Norm_Stats!$F$23),"",MAX(0,MIN(100,100*(MIN(MAX(City_Inputs!$AJ142,Norm_Stats!$F$23),Norm_Stats!$G$23)-Norm_Stats!$F$23)/(Norm_Stats!$G$23-Norm_Stats!$F$23)))))="",0,0.3)+IF((IF(OR(City_Inputs!$AK142="",Norm_Stats!$F$24="",Norm_Stats!$G$24="",Norm_Stats!$G$24=Norm_Stats!$F$24),"",MAX(0,MIN(100,100*(MIN(MAX(City_Inputs!$AK142,Norm_Stats!$F$24),Norm_Stats!$G$24)-Norm_Stats!$F$24)/(Norm_Stats!$G$24-Norm_Stats!$F$24)))))="",0,0.2)))</f>
        <v/>
      </c>
      <c r="BD142" s="14">
        <f>IF((IF((IF(OR(City_Inputs!$AG142="",Norm_Stats!$F$22="",Norm_Stats!$G$22="",Norm_Stats!$G$22=Norm_Stats!$F$22),"",MAX(0,MIN(100,100*(MIN(MAX(City_Inputs!$AG142,Norm_Stats!$F$22),Norm_Stats!$G$22)-Norm_Stats!$F$22)/(Norm_Stats!$G$22-Norm_Stats!$F$22)))))="",0,0.5)+IF((IF(OR(City_Inputs!$AJ142="",Norm_Stats!$F$23="",Norm_Stats!$G$23="",Norm_Stats!$G$23=Norm_Stats!$F$23),"",MAX(0,MIN(100,100*(MIN(MAX(City_Inputs!$AJ142,Norm_Stats!$F$23),Norm_Stats!$G$23)-Norm_Stats!$F$23)/(Norm_Stats!$G$23-Norm_Stats!$F$23)))))="",0,0.3)+IF((IF(OR(City_Inputs!$AK142="",Norm_Stats!$F$24="",Norm_Stats!$G$24="",Norm_Stats!$G$24=Norm_Stats!$F$24),"",MAX(0,MIN(100,100*(MIN(MAX(City_Inputs!$AK142,Norm_Stats!$F$24),Norm_Stats!$G$24)-Norm_Stats!$F$24)/(Norm_Stats!$G$24-Norm_Stats!$F$24)))))="",0,0.2))=0,"",(IF((IF(OR(City_Inputs!$AG142="",Norm_Stats!$F$22="",Norm_Stats!$G$22="",Norm_Stats!$G$22=Norm_Stats!$F$22),"",MAX(0,MIN(100,100*(MIN(MAX(City_Inputs!$AG142,Norm_Stats!$F$22),Norm_Stats!$G$22)-Norm_Stats!$F$22)/(Norm_Stats!$G$22-Norm_Stats!$F$22)))))="",0,0.5)+IF((IF(OR(City_Inputs!$AJ142="",Norm_Stats!$F$23="",Norm_Stats!$G$23="",Norm_Stats!$G$23=Norm_Stats!$F$23),"",MAX(0,MIN(100,100*(MIN(MAX(City_Inputs!$AJ142,Norm_Stats!$F$23),Norm_Stats!$G$23)-Norm_Stats!$F$23)/(Norm_Stats!$G$23-Norm_Stats!$F$23)))))="",0,0.3)+IF((IF(OR(City_Inputs!$AK142="",Norm_Stats!$F$24="",Norm_Stats!$G$24="",Norm_Stats!$G$24=Norm_Stats!$F$24),"",MAX(0,MIN(100,100*(MIN(MAX(City_Inputs!$AK142,Norm_Stats!$F$24),Norm_Stats!$G$24)-Norm_Stats!$F$24)/(Norm_Stats!$G$24-Norm_Stats!$F$24)))))="",0,0.2)))</f>
        <v/>
      </c>
      <c r="BE142" s="11">
        <f>IF(OR(City_Inputs!$AH142="",Norm_Stats!$F$25="",Norm_Stats!$G$25="",Norm_Stats!$G$25=Norm_Stats!$F$25),"",MAX(0,MIN(100,100*(Norm_Stats!$G$25-MIN(MAX(City_Inputs!$AH142,Norm_Stats!$F$25),Norm_Stats!$G$25))/(Norm_Stats!$G$25-Norm_Stats!$F$25))))</f>
        <v/>
      </c>
      <c r="BF142" s="14">
        <f>IF(BE142="","",1)</f>
        <v/>
      </c>
      <c r="BG142" s="15">
        <f>IF((IF(AY142="",0,6)+IF(BA142="",0,5)+IF(BC142="",0,5)+IF(BE142="",0,4))=0,"",(IF(AY142="",0,AY142*6)+IF(BA142="",0,BA142*5)+IF(BC142="",0,BC142*5)+IF(BE142="",0,BE142*4))/(IF(AY142="",0,6)+IF(BA142="",0,5)+IF(BC142="",0,5)+IF(BE142="",0,4)))</f>
        <v/>
      </c>
      <c r="BH142" s="14">
        <f>IF((IF(AZ142="",0,6)+IF(BB142="",0,5)+IF(BD142="",0,5)+IF(BF142="",0,4))=0,"",(IF(AZ142="",0,AZ142*6)+IF(BB142="",0,BB142*5)+IF(BD142="",0,BD142*5)+IF(BF142="",0,BF142*4))/20)</f>
        <v/>
      </c>
      <c r="BI142" s="14">
        <f>IF(AND(R142="",AF142="",AN142="",AX142="",BH142=""),"",((R142*25)+(AF142*22)+(AN142*18)+(AX142*15)+(BH142*20))/100)</f>
        <v/>
      </c>
      <c r="BJ142" s="11">
        <f>IF(BI142="","",IF(BI142&gt;=0.75,"A",IF(BI142&gt;=0.5,"B",IF(BI142&gt;=0.35,"C","Watchlist"))))</f>
        <v/>
      </c>
      <c r="BK142" s="11">
        <f>IF(OR(BI142="",BI142&lt;0.5,R142="",R142&lt;0.35,AF142="",AF142&lt;0.35,AN142="",AN142&lt;0.35,AX142="",AX142&lt;0.35,BH142="",BH142&lt;0.35),"Watchlist","Ranked")</f>
        <v/>
      </c>
      <c r="BL142" s="15">
        <f>IF(AND(Q142="",AE142="",AM142="",AW142="",BG142=""),"",(IF(Q142="",0,Q142*25)+IF(AE142="",0,AE142*22)+IF(AM142="",0,AM142*18)+IF(AW142="",0,AW142*15)+IF(BG142="",0,BG142*20))/(IF(Q142="",0,25)+IF(AE142="",0,22)+IF(AM142="",0,18)+IF(AW142="",0,15)+IF(BG142="",0,20)))</f>
        <v/>
      </c>
      <c r="BM142" s="11">
        <f>IF(BK142="Ranked",1+COUNTIFS($BK$2:$BK$158,"Ranked",$BL$2:$BL$158,"&gt;"&amp;BL142),"")</f>
        <v/>
      </c>
      <c r="BN142" s="11">
        <f>City_Inputs!$AI142</f>
        <v/>
      </c>
    </row>
    <row r="143">
      <c r="A143" t="inlineStr">
        <is>
          <t>pe-arequipa</t>
        </is>
      </c>
      <c r="B143" t="inlineStr">
        <is>
          <t>Arequipa</t>
        </is>
      </c>
      <c r="C143" t="inlineStr">
        <is>
          <t>Peru</t>
        </is>
      </c>
      <c r="D143" t="inlineStr">
        <is>
          <t>Latin America</t>
        </is>
      </c>
      <c r="E143" t="inlineStr">
        <is>
          <t>provisional</t>
        </is>
      </c>
      <c r="F143" t="inlineStr">
        <is>
          <t>secondary</t>
        </is>
      </c>
      <c r="G143" s="11">
        <f>IF(OR(City_Inputs!$M143="",Norm_Stats!$F$2="",Norm_Stats!$G$2="",Norm_Stats!$G$2=Norm_Stats!$F$2),"",MAX(0,MIN(100,100*(MIN(MAX(City_Inputs!$M143,Norm_Stats!$F$2),Norm_Stats!$G$2)-Norm_Stats!$F$2)/(Norm_Stats!$G$2-Norm_Stats!$F$2))))</f>
        <v/>
      </c>
      <c r="H143" s="14">
        <f>IF(G143="","",1)</f>
        <v/>
      </c>
      <c r="I143" s="11">
        <f>IF(OR(City_Inputs!$N143="",Norm_Stats!$F$3="",Norm_Stats!$G$3="",Norm_Stats!$G$3=Norm_Stats!$F$3),"",MAX(0,MIN(100,100*(Norm_Stats!$G$3-MIN(MAX(City_Inputs!$N143,Norm_Stats!$F$3),Norm_Stats!$G$3))/(Norm_Stats!$G$3-Norm_Stats!$F$3))))</f>
        <v/>
      </c>
      <c r="J143" s="14">
        <f>IF(I143="","",1)</f>
        <v/>
      </c>
      <c r="K143" s="11">
        <f>IF(OR(City_Inputs!$P143="",Norm_Stats!$F$4="",Norm_Stats!$G$4="",Norm_Stats!$G$4=Norm_Stats!$F$4),"",MAX(0,MIN(100,100*(Norm_Stats!$G$4-MIN(MAX(City_Inputs!$P143,Norm_Stats!$F$4),Norm_Stats!$G$4))/(Norm_Stats!$G$4-Norm_Stats!$F$4))))</f>
        <v/>
      </c>
      <c r="L143" s="14">
        <f>IF(K143="","",1)</f>
        <v/>
      </c>
      <c r="M143" s="11">
        <f>IF(OR(City_Inputs!$Q143="",Norm_Stats!$F$5="",Norm_Stats!$G$5="",Norm_Stats!$G$5=Norm_Stats!$F$5),"",MAX(0,MIN(100,100*(Norm_Stats!$G$5-MIN(MAX(City_Inputs!$Q143,Norm_Stats!$F$5),Norm_Stats!$G$5))/(Norm_Stats!$G$5-Norm_Stats!$F$5))))</f>
        <v/>
      </c>
      <c r="N143" s="14">
        <f>IF(M143="","",1)</f>
        <v/>
      </c>
      <c r="O143" s="11">
        <f>IF(OR(City_Inputs!$R143="",Norm_Stats!$F$6="",Norm_Stats!$G$6="",Norm_Stats!$G$6=Norm_Stats!$F$6),"",MAX(0,MIN(100,100*(Norm_Stats!$G$6-MIN(MAX(City_Inputs!$R143,Norm_Stats!$F$6),Norm_Stats!$G$6))/(Norm_Stats!$G$6-Norm_Stats!$F$6))))</f>
        <v/>
      </c>
      <c r="P143" s="14">
        <f>IF(O143="","",1)</f>
        <v/>
      </c>
      <c r="Q143" s="15">
        <f>IF((IF(G143="",0,9)+IF(I143="",0,5)+IF(K143="",0,4)+IF(M143="",0,4)+IF(O143="",0,5))=0,"",(IF(G143="",0,G143*9)+IF(I143="",0,I143*5)+IF(K143="",0,K143*4)+IF(M143="",0,M143*4)+IF(O143="",0,O143*5))/(IF(G143="",0,9)+IF(I143="",0,5)+IF(K143="",0,4)+IF(M143="",0,4)+IF(O143="",0,5)))</f>
        <v/>
      </c>
      <c r="R143" s="14">
        <f>IF((IF(H143="",0,9)+IF(J143="",0,5)+IF(L143="",0,4)+IF(N143="",0,4)+IF(P143="",0,5))=0,"",(IF(H143="",0,H143*9)+IF(J143="",0,J143*5)+IF(L143="",0,L143*4)+IF(N143="",0,N143*4)+IF(P143="",0,P143*5))/27)</f>
        <v/>
      </c>
      <c r="S143" s="11">
        <f>IF(OR(City_Inputs!$S143="",Norm_Stats!$F$7="",Norm_Stats!$G$7="",Norm_Stats!$G$7=Norm_Stats!$F$7),"",MAX(0,MIN(100,100*(Norm_Stats!$G$7-MIN(MAX(City_Inputs!$S143,Norm_Stats!$F$7),Norm_Stats!$G$7))/(Norm_Stats!$G$7-Norm_Stats!$F$7))))</f>
        <v/>
      </c>
      <c r="T143" s="14">
        <f>IF(S143="","",1)</f>
        <v/>
      </c>
      <c r="U143" s="11">
        <f>IF(OR(City_Inputs!$T143="",Norm_Stats!$F$8="",Norm_Stats!$G$8="",Norm_Stats!$G$8=Norm_Stats!$F$8),"",MAX(0,MIN(100,100*(MIN(MAX(City_Inputs!$T143,Norm_Stats!$F$8),Norm_Stats!$G$8)-Norm_Stats!$F$8)/(Norm_Stats!$G$8-Norm_Stats!$F$8))))</f>
        <v/>
      </c>
      <c r="V143" s="14">
        <f>IF(U143="","",1)</f>
        <v/>
      </c>
      <c r="W143" s="11">
        <f>IF(OR(City_Inputs!$U143="",Norm_Stats!$F$9="",Norm_Stats!$G$9="",Norm_Stats!$G$9=Norm_Stats!$F$9),"",MAX(0,MIN(100,100*(Norm_Stats!$G$9-MIN(MAX(City_Inputs!$U143,Norm_Stats!$F$9),Norm_Stats!$G$9))/(Norm_Stats!$G$9-Norm_Stats!$F$9))))</f>
        <v/>
      </c>
      <c r="X143" s="14">
        <f>IF(W143="","",1)</f>
        <v/>
      </c>
      <c r="Y143" s="11">
        <f>IF(OR(City_Inputs!$V143="",Norm_Stats!$F$10="",Norm_Stats!$G$10="",Norm_Stats!$G$10=Norm_Stats!$F$10),"",MAX(0,MIN(100,100*(MIN(MAX(City_Inputs!$V143,Norm_Stats!$F$10),Norm_Stats!$G$10)-Norm_Stats!$F$10)/(Norm_Stats!$G$10-Norm_Stats!$F$10))))</f>
        <v/>
      </c>
      <c r="Z143" s="14">
        <f>IF(Y143="","",1)</f>
        <v/>
      </c>
      <c r="AA143" s="11">
        <f>IF(OR(City_Inputs!$W143="",Norm_Stats!$F$11="",Norm_Stats!$G$11="",Norm_Stats!$G$11=Norm_Stats!$F$11),"",MAX(0,MIN(100,100*(MIN(MAX(City_Inputs!$W143,Norm_Stats!$F$11),Norm_Stats!$G$11)-Norm_Stats!$F$11)/(Norm_Stats!$G$11-Norm_Stats!$F$11))))</f>
        <v/>
      </c>
      <c r="AB143" s="14">
        <f>IF(AA143="","",1)</f>
        <v/>
      </c>
      <c r="AC143" s="11">
        <f>IF(OR(City_Inputs!$X143="",Norm_Stats!$F$12="",Norm_Stats!$G$12="",Norm_Stats!$G$12=Norm_Stats!$F$12),"",MAX(0,MIN(100,100*(MIN(MAX(City_Inputs!$X143,Norm_Stats!$F$12),Norm_Stats!$G$12)-Norm_Stats!$F$12)/(Norm_Stats!$G$12-Norm_Stats!$F$12))))</f>
        <v/>
      </c>
      <c r="AD143" s="11">
        <f>IF(AC143="","",1)</f>
        <v/>
      </c>
      <c r="AE143" s="15">
        <f>IF((IF(S143="",0,5)+IF(U143="",0,5)+IF(W143="",0,4)+IF(Y143="",0,4)+IF(AA143="",0,4)+IF(AC143="",0,5))=0,"",(IF(S143="",0,S143*5)+IF(U143="",0,U143*5)+IF(W143="",0,W143*4)+IF(Y143="",0,Y143*4)+IF(AA143="",0,AA143*4)+IF(AC143="",0,AC143*5))/(IF(S143="",0,5)+IF(U143="",0,5)+IF(W143="",0,4)+IF(Y143="",0,4)+IF(AA143="",0,4)+IF(AC143="",0,5)))</f>
        <v/>
      </c>
      <c r="AF143" s="14">
        <f>IF((IF(T143="",0,5)+IF(V143="",0,5)+IF(X143="",0,4)+IF(Z143="",0,4)+IF(AB143="",0,4)+IF(AD143="",0,5))=0,"",(IF(T143="",0,T143*5)+IF(V143="",0,V143*5)+IF(X143="",0,X143*4)+IF(Z143="",0,Z143*4)+IF(AB143="",0,AB143*4)+IF(AD143="",0,AD143*5))/27)</f>
        <v/>
      </c>
      <c r="AG143" s="11">
        <f>IF(OR(City_Inputs!$Y143="",Norm_Stats!$F$13="",Norm_Stats!$G$13="",Norm_Stats!$G$13=Norm_Stats!$F$13),"",MAX(0,MIN(100,100*(MIN(MAX(City_Inputs!$Y143,Norm_Stats!$F$13),Norm_Stats!$G$13)-Norm_Stats!$F$13)/(Norm_Stats!$G$13-Norm_Stats!$F$13))))</f>
        <v/>
      </c>
      <c r="AH143" s="14">
        <f>IF(AG143="","",1)</f>
        <v/>
      </c>
      <c r="AI143" s="11">
        <f>IF(OR(City_Inputs!$Z143="",Norm_Stats!$F$14="",Norm_Stats!$G$14="",Norm_Stats!$G$14=Norm_Stats!$F$14),"",MAX(0,MIN(100,100*(MIN(MAX(City_Inputs!$Z143,Norm_Stats!$F$14),Norm_Stats!$G$14)-Norm_Stats!$F$14)/(Norm_Stats!$G$14-Norm_Stats!$F$14))))</f>
        <v/>
      </c>
      <c r="AJ143" s="14">
        <f>IF(AI143="","",1)</f>
        <v/>
      </c>
      <c r="AK143" s="11">
        <f>IF((IF((IF(OR(City_Inputs!$AA143="",Norm_Stats!$F$15="",Norm_Stats!$G$15="",Norm_Stats!$G$15=Norm_Stats!$F$15),"",MAX(0,MIN(100,100*(MIN(MAX(City_Inputs!$AA143,Norm_Stats!$F$15),Norm_Stats!$G$15)-Norm_Stats!$F$15)/(Norm_Stats!$G$15-Norm_Stats!$F$15)))))="",0,0.7)+IF((IF(OR(City_Inputs!$AL143="",Norm_Stats!$F$16="",Norm_Stats!$G$16="",Norm_Stats!$G$16=Norm_Stats!$F$16),"",MAX(0,MIN(100,100*(Norm_Stats!$G$16-MIN(MAX(City_Inputs!$AL143,Norm_Stats!$F$16),Norm_Stats!$G$16))/(Norm_Stats!$G$16-Norm_Stats!$F$16)))))="",0,0.3))=0,"",(IF((IF(OR(City_Inputs!$AA143="",Norm_Stats!$F$15="",Norm_Stats!$G$15="",Norm_Stats!$G$15=Norm_Stats!$F$15),"",MAX(0,MIN(100,100*(MIN(MAX(City_Inputs!$AA143,Norm_Stats!$F$15),Norm_Stats!$G$15)-Norm_Stats!$F$15)/(Norm_Stats!$G$15-Norm_Stats!$F$15)))))="",0,(IF(OR(City_Inputs!$AA143="",Norm_Stats!$F$15="",Norm_Stats!$G$15="",Norm_Stats!$G$15=Norm_Stats!$F$15),"",MAX(0,MIN(100,100*(MIN(MAX(City_Inputs!$AA143,Norm_Stats!$F$15),Norm_Stats!$G$15)-Norm_Stats!$F$15)/(Norm_Stats!$G$15-Norm_Stats!$F$15)))))*0.7)+IF((IF(OR(City_Inputs!$AL143="",Norm_Stats!$F$16="",Norm_Stats!$G$16="",Norm_Stats!$G$16=Norm_Stats!$F$16),"",MAX(0,MIN(100,100*(Norm_Stats!$G$16-MIN(MAX(City_Inputs!$AL143,Norm_Stats!$F$16),Norm_Stats!$G$16))/(Norm_Stats!$G$16-Norm_Stats!$F$16)))))="",0,(IF(OR(City_Inputs!$AL143="",Norm_Stats!$F$16="",Norm_Stats!$G$16="",Norm_Stats!$G$16=Norm_Stats!$F$16),"",MAX(0,MIN(100,100*(Norm_Stats!$G$16-MIN(MAX(City_Inputs!$AL143,Norm_Stats!$F$16),Norm_Stats!$G$16))/(Norm_Stats!$G$16-Norm_Stats!$F$16)))))*0.3))/(IF((IF(OR(City_Inputs!$AA143="",Norm_Stats!$F$15="",Norm_Stats!$G$15="",Norm_Stats!$G$15=Norm_Stats!$F$15),"",MAX(0,MIN(100,100*(MIN(MAX(City_Inputs!$AA143,Norm_Stats!$F$15),Norm_Stats!$G$15)-Norm_Stats!$F$15)/(Norm_Stats!$G$15-Norm_Stats!$F$15)))))="",0,0.7)+IF((IF(OR(City_Inputs!$AL143="",Norm_Stats!$F$16="",Norm_Stats!$G$16="",Norm_Stats!$G$16=Norm_Stats!$F$16),"",MAX(0,MIN(100,100*(Norm_Stats!$G$16-MIN(MAX(City_Inputs!$AL143,Norm_Stats!$F$16),Norm_Stats!$G$16))/(Norm_Stats!$G$16-Norm_Stats!$F$16)))))="",0,0.3)))</f>
        <v/>
      </c>
      <c r="AL143" s="14">
        <f>IF((IF((IF(OR(City_Inputs!$AA143="",Norm_Stats!$F$15="",Norm_Stats!$G$15="",Norm_Stats!$G$15=Norm_Stats!$F$15),"",MAX(0,MIN(100,100*(MIN(MAX(City_Inputs!$AA143,Norm_Stats!$F$15),Norm_Stats!$G$15)-Norm_Stats!$F$15)/(Norm_Stats!$G$15-Norm_Stats!$F$15)))))="",0,0.7)+IF((IF(OR(City_Inputs!$AL143="",Norm_Stats!$F$16="",Norm_Stats!$G$16="",Norm_Stats!$G$16=Norm_Stats!$F$16),"",MAX(0,MIN(100,100*(Norm_Stats!$G$16-MIN(MAX(City_Inputs!$AL143,Norm_Stats!$F$16),Norm_Stats!$G$16))/(Norm_Stats!$G$16-Norm_Stats!$F$16)))))="",0,0.3))=0,"",(IF((IF(OR(City_Inputs!$AA143="",Norm_Stats!$F$15="",Norm_Stats!$G$15="",Norm_Stats!$G$15=Norm_Stats!$F$15),"",MAX(0,MIN(100,100*(MIN(MAX(City_Inputs!$AA143,Norm_Stats!$F$15),Norm_Stats!$G$15)-Norm_Stats!$F$15)/(Norm_Stats!$G$15-Norm_Stats!$F$15)))))="",0,0.7)+IF((IF(OR(City_Inputs!$AL143="",Norm_Stats!$F$16="",Norm_Stats!$G$16="",Norm_Stats!$G$16=Norm_Stats!$F$16),"",MAX(0,MIN(100,100*(Norm_Stats!$G$16-MIN(MAX(City_Inputs!$AL143,Norm_Stats!$F$16),Norm_Stats!$G$16))/(Norm_Stats!$G$16-Norm_Stats!$F$16)))))="",0,0.3)))</f>
        <v/>
      </c>
      <c r="AM143" s="15">
        <f>IF((IF(AG143="",0,8)+IF(AI143="",0,6)+IF(AK143="",0,4))=0,"",(IF(AG143="",0,AG143*8)+IF(AI143="",0,AI143*6)+IF(AK143="",0,AK143*4))/(IF(AG143="",0,8)+IF(AI143="",0,6)+IF(AK143="",0,4)))</f>
        <v/>
      </c>
      <c r="AN143" s="14">
        <f>IF((IF(AH143="",0,8)+IF(AJ143="",0,6)+IF(AL143="",0,4))=0,"",(IF(AH143="",0,AH143*8)+IF(AJ143="",0,AJ143*6)+IF(AL143="",0,AL143*4))/18)</f>
        <v/>
      </c>
      <c r="AO143" s="11">
        <f>IF(OR(City_Inputs!$AB143="",Norm_Stats!$F$17="",Norm_Stats!$G$17="",Norm_Stats!$G$17=Norm_Stats!$F$17),"",MAX(0,MIN(100,100*(MIN(MAX(City_Inputs!$AB143,Norm_Stats!$F$17),Norm_Stats!$G$17)-Norm_Stats!$F$17)/(Norm_Stats!$G$17-Norm_Stats!$F$17))))</f>
        <v/>
      </c>
      <c r="AP143" s="14">
        <f>IF(AO143="","",1)</f>
        <v/>
      </c>
      <c r="AQ143" s="11">
        <f>IF(OR(City_Inputs!$AC143="",Norm_Stats!$F$18="",Norm_Stats!$G$18="",Norm_Stats!$G$18=Norm_Stats!$F$18),"",MAX(0,MIN(100,100*(MIN(MAX(City_Inputs!$AC143,Norm_Stats!$F$18),Norm_Stats!$G$18)-Norm_Stats!$F$18)/(Norm_Stats!$G$18-Norm_Stats!$F$18))))</f>
        <v/>
      </c>
      <c r="AR143" s="14">
        <f>IF(AQ143="","",1)</f>
        <v/>
      </c>
      <c r="AS143" s="11">
        <f>IF(OR(City_Inputs!$AD143="",Norm_Stats!$F$19="",Norm_Stats!$G$19="",Norm_Stats!$G$19=Norm_Stats!$F$19),"",MAX(0,MIN(100,100*(MIN(MAX(City_Inputs!$AD143,Norm_Stats!$F$19),Norm_Stats!$G$19)-Norm_Stats!$F$19)/(Norm_Stats!$G$19-Norm_Stats!$F$19))))</f>
        <v/>
      </c>
      <c r="AT143" s="14">
        <f>IF(AS143="","",1)</f>
        <v/>
      </c>
      <c r="AU143" s="11">
        <f>IF(OR(City_Inputs!$BJ143="",Norm_Stats!$F$26="",Norm_Stats!$G$26="",Norm_Stats!$G$26=Norm_Stats!$F$26),"",MAX(0,MIN(100,100*(MIN(MAX(City_Inputs!$BJ143,Norm_Stats!$F$26),Norm_Stats!$G$26)-Norm_Stats!$F$26)/(Norm_Stats!$G$26-Norm_Stats!$F$26))))</f>
        <v/>
      </c>
      <c r="AV143" s="11">
        <f>IF(AU143="","",1)</f>
        <v/>
      </c>
      <c r="AW143" s="15">
        <f>IF((IF(AO143="",0,5)+IF(AQ143="",0,5)+IF(AS143="",0,5)+IF(AU143="",0,4))=0,"",(IF(AO143="",0,AO143*5)+IF(AQ143="",0,AQ143*5)+IF(AS143="",0,AS143*5)+IF(AU143="",0,AU143*4))/(IF(AO143="",0,5)+IF(AQ143="",0,5)+IF(AS143="",0,5)+IF(AU143="",0,4)))</f>
        <v/>
      </c>
      <c r="AX143" s="14">
        <f>IF((IF(AP143="",0,5)+IF(AR143="",0,5)+IF(AT143="",0,5)+IF(AV143="",0,4))=0,"",(IF(AP143="",0,AP143*5)+IF(AR143="",0,AR143*5)+IF(AT143="",0,AT143*5)+IF(AV143="",0,AV143*4))/19)</f>
        <v/>
      </c>
      <c r="AY143" s="11">
        <f>IF(OR(City_Inputs!$AE143="",Norm_Stats!$F$20="",Norm_Stats!$G$20="",Norm_Stats!$G$20=Norm_Stats!$F$20),"",MAX(0,MIN(100,100*(MIN(MAX(City_Inputs!$AE143,Norm_Stats!$F$20),Norm_Stats!$G$20)-Norm_Stats!$F$20)/(Norm_Stats!$G$20-Norm_Stats!$F$20))))</f>
        <v/>
      </c>
      <c r="AZ143" s="14">
        <f>IF(AY143="","",1)</f>
        <v/>
      </c>
      <c r="BA143" s="11">
        <f>IF(OR(City_Inputs!$AF143="",Norm_Stats!$F$21="",Norm_Stats!$G$21="",Norm_Stats!$G$21=Norm_Stats!$F$21),"",MAX(0,MIN(100,100*(MIN(MAX(City_Inputs!$AF143,Norm_Stats!$F$21),Norm_Stats!$G$21)-Norm_Stats!$F$21)/(Norm_Stats!$G$21-Norm_Stats!$F$21))))</f>
        <v/>
      </c>
      <c r="BB143" s="14">
        <f>IF(BA143="","",1)</f>
        <v/>
      </c>
      <c r="BC143" s="11">
        <f>IF((IF((IF(OR(City_Inputs!$AG143="",Norm_Stats!$F$22="",Norm_Stats!$G$22="",Norm_Stats!$G$22=Norm_Stats!$F$22),"",MAX(0,MIN(100,100*(MIN(MAX(City_Inputs!$AG143,Norm_Stats!$F$22),Norm_Stats!$G$22)-Norm_Stats!$F$22)/(Norm_Stats!$G$22-Norm_Stats!$F$22)))))="",0,0.5)+IF((IF(OR(City_Inputs!$AJ143="",Norm_Stats!$F$23="",Norm_Stats!$G$23="",Norm_Stats!$G$23=Norm_Stats!$F$23),"",MAX(0,MIN(100,100*(MIN(MAX(City_Inputs!$AJ143,Norm_Stats!$F$23),Norm_Stats!$G$23)-Norm_Stats!$F$23)/(Norm_Stats!$G$23-Norm_Stats!$F$23)))))="",0,0.3)+IF((IF(OR(City_Inputs!$AK143="",Norm_Stats!$F$24="",Norm_Stats!$G$24="",Norm_Stats!$G$24=Norm_Stats!$F$24),"",MAX(0,MIN(100,100*(MIN(MAX(City_Inputs!$AK143,Norm_Stats!$F$24),Norm_Stats!$G$24)-Norm_Stats!$F$24)/(Norm_Stats!$G$24-Norm_Stats!$F$24)))))="",0,0.2))=0,"",(IF((IF(OR(City_Inputs!$AG143="",Norm_Stats!$F$22="",Norm_Stats!$G$22="",Norm_Stats!$G$22=Norm_Stats!$F$22),"",MAX(0,MIN(100,100*(MIN(MAX(City_Inputs!$AG143,Norm_Stats!$F$22),Norm_Stats!$G$22)-Norm_Stats!$F$22)/(Norm_Stats!$G$22-Norm_Stats!$F$22)))))="",0,(IF(OR(City_Inputs!$AG143="",Norm_Stats!$F$22="",Norm_Stats!$G$22="",Norm_Stats!$G$22=Norm_Stats!$F$22),"",MAX(0,MIN(100,100*(MIN(MAX(City_Inputs!$AG143,Norm_Stats!$F$22),Norm_Stats!$G$22)-Norm_Stats!$F$22)/(Norm_Stats!$G$22-Norm_Stats!$F$22)))))*0.5)+IF((IF(OR(City_Inputs!$AJ143="",Norm_Stats!$F$23="",Norm_Stats!$G$23="",Norm_Stats!$G$23=Norm_Stats!$F$23),"",MAX(0,MIN(100,100*(MIN(MAX(City_Inputs!$AJ143,Norm_Stats!$F$23),Norm_Stats!$G$23)-Norm_Stats!$F$23)/(Norm_Stats!$G$23-Norm_Stats!$F$23)))))="",0,(IF(OR(City_Inputs!$AJ143="",Norm_Stats!$F$23="",Norm_Stats!$G$23="",Norm_Stats!$G$23=Norm_Stats!$F$23),"",MAX(0,MIN(100,100*(MIN(MAX(City_Inputs!$AJ143,Norm_Stats!$F$23),Norm_Stats!$G$23)-Norm_Stats!$F$23)/(Norm_Stats!$G$23-Norm_Stats!$F$23)))))*0.3)+IF((IF(OR(City_Inputs!$AK143="",Norm_Stats!$F$24="",Norm_Stats!$G$24="",Norm_Stats!$G$24=Norm_Stats!$F$24),"",MAX(0,MIN(100,100*(MIN(MAX(City_Inputs!$AK143,Norm_Stats!$F$24),Norm_Stats!$G$24)-Norm_Stats!$F$24)/(Norm_Stats!$G$24-Norm_Stats!$F$24)))))="",0,(IF(OR(City_Inputs!$AK143="",Norm_Stats!$F$24="",Norm_Stats!$G$24="",Norm_Stats!$G$24=Norm_Stats!$F$24),"",MAX(0,MIN(100,100*(MIN(MAX(City_Inputs!$AK143,Norm_Stats!$F$24),Norm_Stats!$G$24)-Norm_Stats!$F$24)/(Norm_Stats!$G$24-Norm_Stats!$F$24)))))*0.2))/(IF((IF(OR(City_Inputs!$AG143="",Norm_Stats!$F$22="",Norm_Stats!$G$22="",Norm_Stats!$G$22=Norm_Stats!$F$22),"",MAX(0,MIN(100,100*(MIN(MAX(City_Inputs!$AG143,Norm_Stats!$F$22),Norm_Stats!$G$22)-Norm_Stats!$F$22)/(Norm_Stats!$G$22-Norm_Stats!$F$22)))))="",0,0.5)+IF((IF(OR(City_Inputs!$AJ143="",Norm_Stats!$F$23="",Norm_Stats!$G$23="",Norm_Stats!$G$23=Norm_Stats!$F$23),"",MAX(0,MIN(100,100*(MIN(MAX(City_Inputs!$AJ143,Norm_Stats!$F$23),Norm_Stats!$G$23)-Norm_Stats!$F$23)/(Norm_Stats!$G$23-Norm_Stats!$F$23)))))="",0,0.3)+IF((IF(OR(City_Inputs!$AK143="",Norm_Stats!$F$24="",Norm_Stats!$G$24="",Norm_Stats!$G$24=Norm_Stats!$F$24),"",MAX(0,MIN(100,100*(MIN(MAX(City_Inputs!$AK143,Norm_Stats!$F$24),Norm_Stats!$G$24)-Norm_Stats!$F$24)/(Norm_Stats!$G$24-Norm_Stats!$F$24)))))="",0,0.2)))</f>
        <v/>
      </c>
      <c r="BD143" s="14">
        <f>IF((IF((IF(OR(City_Inputs!$AG143="",Norm_Stats!$F$22="",Norm_Stats!$G$22="",Norm_Stats!$G$22=Norm_Stats!$F$22),"",MAX(0,MIN(100,100*(MIN(MAX(City_Inputs!$AG143,Norm_Stats!$F$22),Norm_Stats!$G$22)-Norm_Stats!$F$22)/(Norm_Stats!$G$22-Norm_Stats!$F$22)))))="",0,0.5)+IF((IF(OR(City_Inputs!$AJ143="",Norm_Stats!$F$23="",Norm_Stats!$G$23="",Norm_Stats!$G$23=Norm_Stats!$F$23),"",MAX(0,MIN(100,100*(MIN(MAX(City_Inputs!$AJ143,Norm_Stats!$F$23),Norm_Stats!$G$23)-Norm_Stats!$F$23)/(Norm_Stats!$G$23-Norm_Stats!$F$23)))))="",0,0.3)+IF((IF(OR(City_Inputs!$AK143="",Norm_Stats!$F$24="",Norm_Stats!$G$24="",Norm_Stats!$G$24=Norm_Stats!$F$24),"",MAX(0,MIN(100,100*(MIN(MAX(City_Inputs!$AK143,Norm_Stats!$F$24),Norm_Stats!$G$24)-Norm_Stats!$F$24)/(Norm_Stats!$G$24-Norm_Stats!$F$24)))))="",0,0.2))=0,"",(IF((IF(OR(City_Inputs!$AG143="",Norm_Stats!$F$22="",Norm_Stats!$G$22="",Norm_Stats!$G$22=Norm_Stats!$F$22),"",MAX(0,MIN(100,100*(MIN(MAX(City_Inputs!$AG143,Norm_Stats!$F$22),Norm_Stats!$G$22)-Norm_Stats!$F$22)/(Norm_Stats!$G$22-Norm_Stats!$F$22)))))="",0,0.5)+IF((IF(OR(City_Inputs!$AJ143="",Norm_Stats!$F$23="",Norm_Stats!$G$23="",Norm_Stats!$G$23=Norm_Stats!$F$23),"",MAX(0,MIN(100,100*(MIN(MAX(City_Inputs!$AJ143,Norm_Stats!$F$23),Norm_Stats!$G$23)-Norm_Stats!$F$23)/(Norm_Stats!$G$23-Norm_Stats!$F$23)))))="",0,0.3)+IF((IF(OR(City_Inputs!$AK143="",Norm_Stats!$F$24="",Norm_Stats!$G$24="",Norm_Stats!$G$24=Norm_Stats!$F$24),"",MAX(0,MIN(100,100*(MIN(MAX(City_Inputs!$AK143,Norm_Stats!$F$24),Norm_Stats!$G$24)-Norm_Stats!$F$24)/(Norm_Stats!$G$24-Norm_Stats!$F$24)))))="",0,0.2)))</f>
        <v/>
      </c>
      <c r="BE143" s="11">
        <f>IF(OR(City_Inputs!$AH143="",Norm_Stats!$F$25="",Norm_Stats!$G$25="",Norm_Stats!$G$25=Norm_Stats!$F$25),"",MAX(0,MIN(100,100*(Norm_Stats!$G$25-MIN(MAX(City_Inputs!$AH143,Norm_Stats!$F$25),Norm_Stats!$G$25))/(Norm_Stats!$G$25-Norm_Stats!$F$25))))</f>
        <v/>
      </c>
      <c r="BF143" s="14">
        <f>IF(BE143="","",1)</f>
        <v/>
      </c>
      <c r="BG143" s="15">
        <f>IF((IF(AY143="",0,6)+IF(BA143="",0,5)+IF(BC143="",0,5)+IF(BE143="",0,4))=0,"",(IF(AY143="",0,AY143*6)+IF(BA143="",0,BA143*5)+IF(BC143="",0,BC143*5)+IF(BE143="",0,BE143*4))/(IF(AY143="",0,6)+IF(BA143="",0,5)+IF(BC143="",0,5)+IF(BE143="",0,4)))</f>
        <v/>
      </c>
      <c r="BH143" s="14">
        <f>IF((IF(AZ143="",0,6)+IF(BB143="",0,5)+IF(BD143="",0,5)+IF(BF143="",0,4))=0,"",(IF(AZ143="",0,AZ143*6)+IF(BB143="",0,BB143*5)+IF(BD143="",0,BD143*5)+IF(BF143="",0,BF143*4))/20)</f>
        <v/>
      </c>
      <c r="BI143" s="14">
        <f>IF(AND(R143="",AF143="",AN143="",AX143="",BH143=""),"",((R143*25)+(AF143*22)+(AN143*18)+(AX143*15)+(BH143*20))/100)</f>
        <v/>
      </c>
      <c r="BJ143" s="11">
        <f>IF(BI143="","",IF(BI143&gt;=0.75,"A",IF(BI143&gt;=0.5,"B",IF(BI143&gt;=0.35,"C","Watchlist"))))</f>
        <v/>
      </c>
      <c r="BK143" s="11">
        <f>IF(OR(BI143="",BI143&lt;0.5,R143="",R143&lt;0.35,AF143="",AF143&lt;0.35,AN143="",AN143&lt;0.35,AX143="",AX143&lt;0.35,BH143="",BH143&lt;0.35),"Watchlist","Ranked")</f>
        <v/>
      </c>
      <c r="BL143" s="15">
        <f>IF(AND(Q143="",AE143="",AM143="",AW143="",BG143=""),"",(IF(Q143="",0,Q143*25)+IF(AE143="",0,AE143*22)+IF(AM143="",0,AM143*18)+IF(AW143="",0,AW143*15)+IF(BG143="",0,BG143*20))/(IF(Q143="",0,25)+IF(AE143="",0,22)+IF(AM143="",0,18)+IF(AW143="",0,15)+IF(BG143="",0,20)))</f>
        <v/>
      </c>
      <c r="BM143" s="11">
        <f>IF(BK143="Ranked",1+COUNTIFS($BK$2:$BK$158,"Ranked",$BL$2:$BL$158,"&gt;"&amp;BL143),"")</f>
        <v/>
      </c>
      <c r="BN143" s="11">
        <f>City_Inputs!$AI143</f>
        <v/>
      </c>
    </row>
    <row r="144">
      <c r="A144" t="inlineStr">
        <is>
          <t>ec-cuenca</t>
        </is>
      </c>
      <c r="B144" t="inlineStr">
        <is>
          <t>Cuenca</t>
        </is>
      </c>
      <c r="C144" t="inlineStr">
        <is>
          <t>Ecuador</t>
        </is>
      </c>
      <c r="D144" t="inlineStr">
        <is>
          <t>Latin America</t>
        </is>
      </c>
      <c r="E144" t="inlineStr">
        <is>
          <t>provisional</t>
        </is>
      </c>
      <c r="F144" t="inlineStr">
        <is>
          <t>secondary</t>
        </is>
      </c>
      <c r="G144" s="11">
        <f>IF(OR(City_Inputs!$M144="",Norm_Stats!$F$2="",Norm_Stats!$G$2="",Norm_Stats!$G$2=Norm_Stats!$F$2),"",MAX(0,MIN(100,100*(MIN(MAX(City_Inputs!$M144,Norm_Stats!$F$2),Norm_Stats!$G$2)-Norm_Stats!$F$2)/(Norm_Stats!$G$2-Norm_Stats!$F$2))))</f>
        <v/>
      </c>
      <c r="H144" s="14">
        <f>IF(G144="","",1)</f>
        <v/>
      </c>
      <c r="I144" s="11">
        <f>IF(OR(City_Inputs!$N144="",Norm_Stats!$F$3="",Norm_Stats!$G$3="",Norm_Stats!$G$3=Norm_Stats!$F$3),"",MAX(0,MIN(100,100*(Norm_Stats!$G$3-MIN(MAX(City_Inputs!$N144,Norm_Stats!$F$3),Norm_Stats!$G$3))/(Norm_Stats!$G$3-Norm_Stats!$F$3))))</f>
        <v/>
      </c>
      <c r="J144" s="14">
        <f>IF(I144="","",1)</f>
        <v/>
      </c>
      <c r="K144" s="11">
        <f>IF(OR(City_Inputs!$P144="",Norm_Stats!$F$4="",Norm_Stats!$G$4="",Norm_Stats!$G$4=Norm_Stats!$F$4),"",MAX(0,MIN(100,100*(Norm_Stats!$G$4-MIN(MAX(City_Inputs!$P144,Norm_Stats!$F$4),Norm_Stats!$G$4))/(Norm_Stats!$G$4-Norm_Stats!$F$4))))</f>
        <v/>
      </c>
      <c r="L144" s="14">
        <f>IF(K144="","",1)</f>
        <v/>
      </c>
      <c r="M144" s="11">
        <f>IF(OR(City_Inputs!$Q144="",Norm_Stats!$F$5="",Norm_Stats!$G$5="",Norm_Stats!$G$5=Norm_Stats!$F$5),"",MAX(0,MIN(100,100*(Norm_Stats!$G$5-MIN(MAX(City_Inputs!$Q144,Norm_Stats!$F$5),Norm_Stats!$G$5))/(Norm_Stats!$G$5-Norm_Stats!$F$5))))</f>
        <v/>
      </c>
      <c r="N144" s="14">
        <f>IF(M144="","",1)</f>
        <v/>
      </c>
      <c r="O144" s="11">
        <f>IF(OR(City_Inputs!$R144="",Norm_Stats!$F$6="",Norm_Stats!$G$6="",Norm_Stats!$G$6=Norm_Stats!$F$6),"",MAX(0,MIN(100,100*(Norm_Stats!$G$6-MIN(MAX(City_Inputs!$R144,Norm_Stats!$F$6),Norm_Stats!$G$6))/(Norm_Stats!$G$6-Norm_Stats!$F$6))))</f>
        <v/>
      </c>
      <c r="P144" s="14">
        <f>IF(O144="","",1)</f>
        <v/>
      </c>
      <c r="Q144" s="15">
        <f>IF((IF(G144="",0,9)+IF(I144="",0,5)+IF(K144="",0,4)+IF(M144="",0,4)+IF(O144="",0,5))=0,"",(IF(G144="",0,G144*9)+IF(I144="",0,I144*5)+IF(K144="",0,K144*4)+IF(M144="",0,M144*4)+IF(O144="",0,O144*5))/(IF(G144="",0,9)+IF(I144="",0,5)+IF(K144="",0,4)+IF(M144="",0,4)+IF(O144="",0,5)))</f>
        <v/>
      </c>
      <c r="R144" s="14">
        <f>IF((IF(H144="",0,9)+IF(J144="",0,5)+IF(L144="",0,4)+IF(N144="",0,4)+IF(P144="",0,5))=0,"",(IF(H144="",0,H144*9)+IF(J144="",0,J144*5)+IF(L144="",0,L144*4)+IF(N144="",0,N144*4)+IF(P144="",0,P144*5))/27)</f>
        <v/>
      </c>
      <c r="S144" s="11">
        <f>IF(OR(City_Inputs!$S144="",Norm_Stats!$F$7="",Norm_Stats!$G$7="",Norm_Stats!$G$7=Norm_Stats!$F$7),"",MAX(0,MIN(100,100*(Norm_Stats!$G$7-MIN(MAX(City_Inputs!$S144,Norm_Stats!$F$7),Norm_Stats!$G$7))/(Norm_Stats!$G$7-Norm_Stats!$F$7))))</f>
        <v/>
      </c>
      <c r="T144" s="14">
        <f>IF(S144="","",1)</f>
        <v/>
      </c>
      <c r="U144" s="11">
        <f>IF(OR(City_Inputs!$T144="",Norm_Stats!$F$8="",Norm_Stats!$G$8="",Norm_Stats!$G$8=Norm_Stats!$F$8),"",MAX(0,MIN(100,100*(MIN(MAX(City_Inputs!$T144,Norm_Stats!$F$8),Norm_Stats!$G$8)-Norm_Stats!$F$8)/(Norm_Stats!$G$8-Norm_Stats!$F$8))))</f>
        <v/>
      </c>
      <c r="V144" s="14">
        <f>IF(U144="","",1)</f>
        <v/>
      </c>
      <c r="W144" s="11">
        <f>IF(OR(City_Inputs!$U144="",Norm_Stats!$F$9="",Norm_Stats!$G$9="",Norm_Stats!$G$9=Norm_Stats!$F$9),"",MAX(0,MIN(100,100*(Norm_Stats!$G$9-MIN(MAX(City_Inputs!$U144,Norm_Stats!$F$9),Norm_Stats!$G$9))/(Norm_Stats!$G$9-Norm_Stats!$F$9))))</f>
        <v/>
      </c>
      <c r="X144" s="14">
        <f>IF(W144="","",1)</f>
        <v/>
      </c>
      <c r="Y144" s="11">
        <f>IF(OR(City_Inputs!$V144="",Norm_Stats!$F$10="",Norm_Stats!$G$10="",Norm_Stats!$G$10=Norm_Stats!$F$10),"",MAX(0,MIN(100,100*(MIN(MAX(City_Inputs!$V144,Norm_Stats!$F$10),Norm_Stats!$G$10)-Norm_Stats!$F$10)/(Norm_Stats!$G$10-Norm_Stats!$F$10))))</f>
        <v/>
      </c>
      <c r="Z144" s="14">
        <f>IF(Y144="","",1)</f>
        <v/>
      </c>
      <c r="AA144" s="11">
        <f>IF(OR(City_Inputs!$W144="",Norm_Stats!$F$11="",Norm_Stats!$G$11="",Norm_Stats!$G$11=Norm_Stats!$F$11),"",MAX(0,MIN(100,100*(MIN(MAX(City_Inputs!$W144,Norm_Stats!$F$11),Norm_Stats!$G$11)-Norm_Stats!$F$11)/(Norm_Stats!$G$11-Norm_Stats!$F$11))))</f>
        <v/>
      </c>
      <c r="AB144" s="14">
        <f>IF(AA144="","",1)</f>
        <v/>
      </c>
      <c r="AC144" s="11">
        <f>IF(OR(City_Inputs!$X144="",Norm_Stats!$F$12="",Norm_Stats!$G$12="",Norm_Stats!$G$12=Norm_Stats!$F$12),"",MAX(0,MIN(100,100*(MIN(MAX(City_Inputs!$X144,Norm_Stats!$F$12),Norm_Stats!$G$12)-Norm_Stats!$F$12)/(Norm_Stats!$G$12-Norm_Stats!$F$12))))</f>
        <v/>
      </c>
      <c r="AD144" s="11">
        <f>IF(AC144="","",1)</f>
        <v/>
      </c>
      <c r="AE144" s="15">
        <f>IF((IF(S144="",0,5)+IF(U144="",0,5)+IF(W144="",0,4)+IF(Y144="",0,4)+IF(AA144="",0,4)+IF(AC144="",0,5))=0,"",(IF(S144="",0,S144*5)+IF(U144="",0,U144*5)+IF(W144="",0,W144*4)+IF(Y144="",0,Y144*4)+IF(AA144="",0,AA144*4)+IF(AC144="",0,AC144*5))/(IF(S144="",0,5)+IF(U144="",0,5)+IF(W144="",0,4)+IF(Y144="",0,4)+IF(AA144="",0,4)+IF(AC144="",0,5)))</f>
        <v/>
      </c>
      <c r="AF144" s="14">
        <f>IF((IF(T144="",0,5)+IF(V144="",0,5)+IF(X144="",0,4)+IF(Z144="",0,4)+IF(AB144="",0,4)+IF(AD144="",0,5))=0,"",(IF(T144="",0,T144*5)+IF(V144="",0,V144*5)+IF(X144="",0,X144*4)+IF(Z144="",0,Z144*4)+IF(AB144="",0,AB144*4)+IF(AD144="",0,AD144*5))/27)</f>
        <v/>
      </c>
      <c r="AG144" s="11">
        <f>IF(OR(City_Inputs!$Y144="",Norm_Stats!$F$13="",Norm_Stats!$G$13="",Norm_Stats!$G$13=Norm_Stats!$F$13),"",MAX(0,MIN(100,100*(MIN(MAX(City_Inputs!$Y144,Norm_Stats!$F$13),Norm_Stats!$G$13)-Norm_Stats!$F$13)/(Norm_Stats!$G$13-Norm_Stats!$F$13))))</f>
        <v/>
      </c>
      <c r="AH144" s="14">
        <f>IF(AG144="","",1)</f>
        <v/>
      </c>
      <c r="AI144" s="11">
        <f>IF(OR(City_Inputs!$Z144="",Norm_Stats!$F$14="",Norm_Stats!$G$14="",Norm_Stats!$G$14=Norm_Stats!$F$14),"",MAX(0,MIN(100,100*(MIN(MAX(City_Inputs!$Z144,Norm_Stats!$F$14),Norm_Stats!$G$14)-Norm_Stats!$F$14)/(Norm_Stats!$G$14-Norm_Stats!$F$14))))</f>
        <v/>
      </c>
      <c r="AJ144" s="14">
        <f>IF(AI144="","",1)</f>
        <v/>
      </c>
      <c r="AK144" s="11">
        <f>IF((IF((IF(OR(City_Inputs!$AA144="",Norm_Stats!$F$15="",Norm_Stats!$G$15="",Norm_Stats!$G$15=Norm_Stats!$F$15),"",MAX(0,MIN(100,100*(MIN(MAX(City_Inputs!$AA144,Norm_Stats!$F$15),Norm_Stats!$G$15)-Norm_Stats!$F$15)/(Norm_Stats!$G$15-Norm_Stats!$F$15)))))="",0,0.7)+IF((IF(OR(City_Inputs!$AL144="",Norm_Stats!$F$16="",Norm_Stats!$G$16="",Norm_Stats!$G$16=Norm_Stats!$F$16),"",MAX(0,MIN(100,100*(Norm_Stats!$G$16-MIN(MAX(City_Inputs!$AL144,Norm_Stats!$F$16),Norm_Stats!$G$16))/(Norm_Stats!$G$16-Norm_Stats!$F$16)))))="",0,0.3))=0,"",(IF((IF(OR(City_Inputs!$AA144="",Norm_Stats!$F$15="",Norm_Stats!$G$15="",Norm_Stats!$G$15=Norm_Stats!$F$15),"",MAX(0,MIN(100,100*(MIN(MAX(City_Inputs!$AA144,Norm_Stats!$F$15),Norm_Stats!$G$15)-Norm_Stats!$F$15)/(Norm_Stats!$G$15-Norm_Stats!$F$15)))))="",0,(IF(OR(City_Inputs!$AA144="",Norm_Stats!$F$15="",Norm_Stats!$G$15="",Norm_Stats!$G$15=Norm_Stats!$F$15),"",MAX(0,MIN(100,100*(MIN(MAX(City_Inputs!$AA144,Norm_Stats!$F$15),Norm_Stats!$G$15)-Norm_Stats!$F$15)/(Norm_Stats!$G$15-Norm_Stats!$F$15)))))*0.7)+IF((IF(OR(City_Inputs!$AL144="",Norm_Stats!$F$16="",Norm_Stats!$G$16="",Norm_Stats!$G$16=Norm_Stats!$F$16),"",MAX(0,MIN(100,100*(Norm_Stats!$G$16-MIN(MAX(City_Inputs!$AL144,Norm_Stats!$F$16),Norm_Stats!$G$16))/(Norm_Stats!$G$16-Norm_Stats!$F$16)))))="",0,(IF(OR(City_Inputs!$AL144="",Norm_Stats!$F$16="",Norm_Stats!$G$16="",Norm_Stats!$G$16=Norm_Stats!$F$16),"",MAX(0,MIN(100,100*(Norm_Stats!$G$16-MIN(MAX(City_Inputs!$AL144,Norm_Stats!$F$16),Norm_Stats!$G$16))/(Norm_Stats!$G$16-Norm_Stats!$F$16)))))*0.3))/(IF((IF(OR(City_Inputs!$AA144="",Norm_Stats!$F$15="",Norm_Stats!$G$15="",Norm_Stats!$G$15=Norm_Stats!$F$15),"",MAX(0,MIN(100,100*(MIN(MAX(City_Inputs!$AA144,Norm_Stats!$F$15),Norm_Stats!$G$15)-Norm_Stats!$F$15)/(Norm_Stats!$G$15-Norm_Stats!$F$15)))))="",0,0.7)+IF((IF(OR(City_Inputs!$AL144="",Norm_Stats!$F$16="",Norm_Stats!$G$16="",Norm_Stats!$G$16=Norm_Stats!$F$16),"",MAX(0,MIN(100,100*(Norm_Stats!$G$16-MIN(MAX(City_Inputs!$AL144,Norm_Stats!$F$16),Norm_Stats!$G$16))/(Norm_Stats!$G$16-Norm_Stats!$F$16)))))="",0,0.3)))</f>
        <v/>
      </c>
      <c r="AL144" s="14">
        <f>IF((IF((IF(OR(City_Inputs!$AA144="",Norm_Stats!$F$15="",Norm_Stats!$G$15="",Norm_Stats!$G$15=Norm_Stats!$F$15),"",MAX(0,MIN(100,100*(MIN(MAX(City_Inputs!$AA144,Norm_Stats!$F$15),Norm_Stats!$G$15)-Norm_Stats!$F$15)/(Norm_Stats!$G$15-Norm_Stats!$F$15)))))="",0,0.7)+IF((IF(OR(City_Inputs!$AL144="",Norm_Stats!$F$16="",Norm_Stats!$G$16="",Norm_Stats!$G$16=Norm_Stats!$F$16),"",MAX(0,MIN(100,100*(Norm_Stats!$G$16-MIN(MAX(City_Inputs!$AL144,Norm_Stats!$F$16),Norm_Stats!$G$16))/(Norm_Stats!$G$16-Norm_Stats!$F$16)))))="",0,0.3))=0,"",(IF((IF(OR(City_Inputs!$AA144="",Norm_Stats!$F$15="",Norm_Stats!$G$15="",Norm_Stats!$G$15=Norm_Stats!$F$15),"",MAX(0,MIN(100,100*(MIN(MAX(City_Inputs!$AA144,Norm_Stats!$F$15),Norm_Stats!$G$15)-Norm_Stats!$F$15)/(Norm_Stats!$G$15-Norm_Stats!$F$15)))))="",0,0.7)+IF((IF(OR(City_Inputs!$AL144="",Norm_Stats!$F$16="",Norm_Stats!$G$16="",Norm_Stats!$G$16=Norm_Stats!$F$16),"",MAX(0,MIN(100,100*(Norm_Stats!$G$16-MIN(MAX(City_Inputs!$AL144,Norm_Stats!$F$16),Norm_Stats!$G$16))/(Norm_Stats!$G$16-Norm_Stats!$F$16)))))="",0,0.3)))</f>
        <v/>
      </c>
      <c r="AM144" s="15">
        <f>IF((IF(AG144="",0,8)+IF(AI144="",0,6)+IF(AK144="",0,4))=0,"",(IF(AG144="",0,AG144*8)+IF(AI144="",0,AI144*6)+IF(AK144="",0,AK144*4))/(IF(AG144="",0,8)+IF(AI144="",0,6)+IF(AK144="",0,4)))</f>
        <v/>
      </c>
      <c r="AN144" s="14">
        <f>IF((IF(AH144="",0,8)+IF(AJ144="",0,6)+IF(AL144="",0,4))=0,"",(IF(AH144="",0,AH144*8)+IF(AJ144="",0,AJ144*6)+IF(AL144="",0,AL144*4))/18)</f>
        <v/>
      </c>
      <c r="AO144" s="11">
        <f>IF(OR(City_Inputs!$AB144="",Norm_Stats!$F$17="",Norm_Stats!$G$17="",Norm_Stats!$G$17=Norm_Stats!$F$17),"",MAX(0,MIN(100,100*(MIN(MAX(City_Inputs!$AB144,Norm_Stats!$F$17),Norm_Stats!$G$17)-Norm_Stats!$F$17)/(Norm_Stats!$G$17-Norm_Stats!$F$17))))</f>
        <v/>
      </c>
      <c r="AP144" s="14">
        <f>IF(AO144="","",1)</f>
        <v/>
      </c>
      <c r="AQ144" s="11">
        <f>IF(OR(City_Inputs!$AC144="",Norm_Stats!$F$18="",Norm_Stats!$G$18="",Norm_Stats!$G$18=Norm_Stats!$F$18),"",MAX(0,MIN(100,100*(MIN(MAX(City_Inputs!$AC144,Norm_Stats!$F$18),Norm_Stats!$G$18)-Norm_Stats!$F$18)/(Norm_Stats!$G$18-Norm_Stats!$F$18))))</f>
        <v/>
      </c>
      <c r="AR144" s="14">
        <f>IF(AQ144="","",1)</f>
        <v/>
      </c>
      <c r="AS144" s="11">
        <f>IF(OR(City_Inputs!$AD144="",Norm_Stats!$F$19="",Norm_Stats!$G$19="",Norm_Stats!$G$19=Norm_Stats!$F$19),"",MAX(0,MIN(100,100*(MIN(MAX(City_Inputs!$AD144,Norm_Stats!$F$19),Norm_Stats!$G$19)-Norm_Stats!$F$19)/(Norm_Stats!$G$19-Norm_Stats!$F$19))))</f>
        <v/>
      </c>
      <c r="AT144" s="14">
        <f>IF(AS144="","",1)</f>
        <v/>
      </c>
      <c r="AU144" s="11">
        <f>IF(OR(City_Inputs!$BJ144="",Norm_Stats!$F$26="",Norm_Stats!$G$26="",Norm_Stats!$G$26=Norm_Stats!$F$26),"",MAX(0,MIN(100,100*(MIN(MAX(City_Inputs!$BJ144,Norm_Stats!$F$26),Norm_Stats!$G$26)-Norm_Stats!$F$26)/(Norm_Stats!$G$26-Norm_Stats!$F$26))))</f>
        <v/>
      </c>
      <c r="AV144" s="11">
        <f>IF(AU144="","",1)</f>
        <v/>
      </c>
      <c r="AW144" s="15">
        <f>IF((IF(AO144="",0,5)+IF(AQ144="",0,5)+IF(AS144="",0,5)+IF(AU144="",0,4))=0,"",(IF(AO144="",0,AO144*5)+IF(AQ144="",0,AQ144*5)+IF(AS144="",0,AS144*5)+IF(AU144="",0,AU144*4))/(IF(AO144="",0,5)+IF(AQ144="",0,5)+IF(AS144="",0,5)+IF(AU144="",0,4)))</f>
        <v/>
      </c>
      <c r="AX144" s="14">
        <f>IF((IF(AP144="",0,5)+IF(AR144="",0,5)+IF(AT144="",0,5)+IF(AV144="",0,4))=0,"",(IF(AP144="",0,AP144*5)+IF(AR144="",0,AR144*5)+IF(AT144="",0,AT144*5)+IF(AV144="",0,AV144*4))/19)</f>
        <v/>
      </c>
      <c r="AY144" s="11">
        <f>IF(OR(City_Inputs!$AE144="",Norm_Stats!$F$20="",Norm_Stats!$G$20="",Norm_Stats!$G$20=Norm_Stats!$F$20),"",MAX(0,MIN(100,100*(MIN(MAX(City_Inputs!$AE144,Norm_Stats!$F$20),Norm_Stats!$G$20)-Norm_Stats!$F$20)/(Norm_Stats!$G$20-Norm_Stats!$F$20))))</f>
        <v/>
      </c>
      <c r="AZ144" s="14">
        <f>IF(AY144="","",1)</f>
        <v/>
      </c>
      <c r="BA144" s="11">
        <f>IF(OR(City_Inputs!$AF144="",Norm_Stats!$F$21="",Norm_Stats!$G$21="",Norm_Stats!$G$21=Norm_Stats!$F$21),"",MAX(0,MIN(100,100*(MIN(MAX(City_Inputs!$AF144,Norm_Stats!$F$21),Norm_Stats!$G$21)-Norm_Stats!$F$21)/(Norm_Stats!$G$21-Norm_Stats!$F$21))))</f>
        <v/>
      </c>
      <c r="BB144" s="14">
        <f>IF(BA144="","",1)</f>
        <v/>
      </c>
      <c r="BC144" s="11">
        <f>IF((IF((IF(OR(City_Inputs!$AG144="",Norm_Stats!$F$22="",Norm_Stats!$G$22="",Norm_Stats!$G$22=Norm_Stats!$F$22),"",MAX(0,MIN(100,100*(MIN(MAX(City_Inputs!$AG144,Norm_Stats!$F$22),Norm_Stats!$G$22)-Norm_Stats!$F$22)/(Norm_Stats!$G$22-Norm_Stats!$F$22)))))="",0,0.5)+IF((IF(OR(City_Inputs!$AJ144="",Norm_Stats!$F$23="",Norm_Stats!$G$23="",Norm_Stats!$G$23=Norm_Stats!$F$23),"",MAX(0,MIN(100,100*(MIN(MAX(City_Inputs!$AJ144,Norm_Stats!$F$23),Norm_Stats!$G$23)-Norm_Stats!$F$23)/(Norm_Stats!$G$23-Norm_Stats!$F$23)))))="",0,0.3)+IF((IF(OR(City_Inputs!$AK144="",Norm_Stats!$F$24="",Norm_Stats!$G$24="",Norm_Stats!$G$24=Norm_Stats!$F$24),"",MAX(0,MIN(100,100*(MIN(MAX(City_Inputs!$AK144,Norm_Stats!$F$24),Norm_Stats!$G$24)-Norm_Stats!$F$24)/(Norm_Stats!$G$24-Norm_Stats!$F$24)))))="",0,0.2))=0,"",(IF((IF(OR(City_Inputs!$AG144="",Norm_Stats!$F$22="",Norm_Stats!$G$22="",Norm_Stats!$G$22=Norm_Stats!$F$22),"",MAX(0,MIN(100,100*(MIN(MAX(City_Inputs!$AG144,Norm_Stats!$F$22),Norm_Stats!$G$22)-Norm_Stats!$F$22)/(Norm_Stats!$G$22-Norm_Stats!$F$22)))))="",0,(IF(OR(City_Inputs!$AG144="",Norm_Stats!$F$22="",Norm_Stats!$G$22="",Norm_Stats!$G$22=Norm_Stats!$F$22),"",MAX(0,MIN(100,100*(MIN(MAX(City_Inputs!$AG144,Norm_Stats!$F$22),Norm_Stats!$G$22)-Norm_Stats!$F$22)/(Norm_Stats!$G$22-Norm_Stats!$F$22)))))*0.5)+IF((IF(OR(City_Inputs!$AJ144="",Norm_Stats!$F$23="",Norm_Stats!$G$23="",Norm_Stats!$G$23=Norm_Stats!$F$23),"",MAX(0,MIN(100,100*(MIN(MAX(City_Inputs!$AJ144,Norm_Stats!$F$23),Norm_Stats!$G$23)-Norm_Stats!$F$23)/(Norm_Stats!$G$23-Norm_Stats!$F$23)))))="",0,(IF(OR(City_Inputs!$AJ144="",Norm_Stats!$F$23="",Norm_Stats!$G$23="",Norm_Stats!$G$23=Norm_Stats!$F$23),"",MAX(0,MIN(100,100*(MIN(MAX(City_Inputs!$AJ144,Norm_Stats!$F$23),Norm_Stats!$G$23)-Norm_Stats!$F$23)/(Norm_Stats!$G$23-Norm_Stats!$F$23)))))*0.3)+IF((IF(OR(City_Inputs!$AK144="",Norm_Stats!$F$24="",Norm_Stats!$G$24="",Norm_Stats!$G$24=Norm_Stats!$F$24),"",MAX(0,MIN(100,100*(MIN(MAX(City_Inputs!$AK144,Norm_Stats!$F$24),Norm_Stats!$G$24)-Norm_Stats!$F$24)/(Norm_Stats!$G$24-Norm_Stats!$F$24)))))="",0,(IF(OR(City_Inputs!$AK144="",Norm_Stats!$F$24="",Norm_Stats!$G$24="",Norm_Stats!$G$24=Norm_Stats!$F$24),"",MAX(0,MIN(100,100*(MIN(MAX(City_Inputs!$AK144,Norm_Stats!$F$24),Norm_Stats!$G$24)-Norm_Stats!$F$24)/(Norm_Stats!$G$24-Norm_Stats!$F$24)))))*0.2))/(IF((IF(OR(City_Inputs!$AG144="",Norm_Stats!$F$22="",Norm_Stats!$G$22="",Norm_Stats!$G$22=Norm_Stats!$F$22),"",MAX(0,MIN(100,100*(MIN(MAX(City_Inputs!$AG144,Norm_Stats!$F$22),Norm_Stats!$G$22)-Norm_Stats!$F$22)/(Norm_Stats!$G$22-Norm_Stats!$F$22)))))="",0,0.5)+IF((IF(OR(City_Inputs!$AJ144="",Norm_Stats!$F$23="",Norm_Stats!$G$23="",Norm_Stats!$G$23=Norm_Stats!$F$23),"",MAX(0,MIN(100,100*(MIN(MAX(City_Inputs!$AJ144,Norm_Stats!$F$23),Norm_Stats!$G$23)-Norm_Stats!$F$23)/(Norm_Stats!$G$23-Norm_Stats!$F$23)))))="",0,0.3)+IF((IF(OR(City_Inputs!$AK144="",Norm_Stats!$F$24="",Norm_Stats!$G$24="",Norm_Stats!$G$24=Norm_Stats!$F$24),"",MAX(0,MIN(100,100*(MIN(MAX(City_Inputs!$AK144,Norm_Stats!$F$24),Norm_Stats!$G$24)-Norm_Stats!$F$24)/(Norm_Stats!$G$24-Norm_Stats!$F$24)))))="",0,0.2)))</f>
        <v/>
      </c>
      <c r="BD144" s="14">
        <f>IF((IF((IF(OR(City_Inputs!$AG144="",Norm_Stats!$F$22="",Norm_Stats!$G$22="",Norm_Stats!$G$22=Norm_Stats!$F$22),"",MAX(0,MIN(100,100*(MIN(MAX(City_Inputs!$AG144,Norm_Stats!$F$22),Norm_Stats!$G$22)-Norm_Stats!$F$22)/(Norm_Stats!$G$22-Norm_Stats!$F$22)))))="",0,0.5)+IF((IF(OR(City_Inputs!$AJ144="",Norm_Stats!$F$23="",Norm_Stats!$G$23="",Norm_Stats!$G$23=Norm_Stats!$F$23),"",MAX(0,MIN(100,100*(MIN(MAX(City_Inputs!$AJ144,Norm_Stats!$F$23),Norm_Stats!$G$23)-Norm_Stats!$F$23)/(Norm_Stats!$G$23-Norm_Stats!$F$23)))))="",0,0.3)+IF((IF(OR(City_Inputs!$AK144="",Norm_Stats!$F$24="",Norm_Stats!$G$24="",Norm_Stats!$G$24=Norm_Stats!$F$24),"",MAX(0,MIN(100,100*(MIN(MAX(City_Inputs!$AK144,Norm_Stats!$F$24),Norm_Stats!$G$24)-Norm_Stats!$F$24)/(Norm_Stats!$G$24-Norm_Stats!$F$24)))))="",0,0.2))=0,"",(IF((IF(OR(City_Inputs!$AG144="",Norm_Stats!$F$22="",Norm_Stats!$G$22="",Norm_Stats!$G$22=Norm_Stats!$F$22),"",MAX(0,MIN(100,100*(MIN(MAX(City_Inputs!$AG144,Norm_Stats!$F$22),Norm_Stats!$G$22)-Norm_Stats!$F$22)/(Norm_Stats!$G$22-Norm_Stats!$F$22)))))="",0,0.5)+IF((IF(OR(City_Inputs!$AJ144="",Norm_Stats!$F$23="",Norm_Stats!$G$23="",Norm_Stats!$G$23=Norm_Stats!$F$23),"",MAX(0,MIN(100,100*(MIN(MAX(City_Inputs!$AJ144,Norm_Stats!$F$23),Norm_Stats!$G$23)-Norm_Stats!$F$23)/(Norm_Stats!$G$23-Norm_Stats!$F$23)))))="",0,0.3)+IF((IF(OR(City_Inputs!$AK144="",Norm_Stats!$F$24="",Norm_Stats!$G$24="",Norm_Stats!$G$24=Norm_Stats!$F$24),"",MAX(0,MIN(100,100*(MIN(MAX(City_Inputs!$AK144,Norm_Stats!$F$24),Norm_Stats!$G$24)-Norm_Stats!$F$24)/(Norm_Stats!$G$24-Norm_Stats!$F$24)))))="",0,0.2)))</f>
        <v/>
      </c>
      <c r="BE144" s="11">
        <f>IF(OR(City_Inputs!$AH144="",Norm_Stats!$F$25="",Norm_Stats!$G$25="",Norm_Stats!$G$25=Norm_Stats!$F$25),"",MAX(0,MIN(100,100*(Norm_Stats!$G$25-MIN(MAX(City_Inputs!$AH144,Norm_Stats!$F$25),Norm_Stats!$G$25))/(Norm_Stats!$G$25-Norm_Stats!$F$25))))</f>
        <v/>
      </c>
      <c r="BF144" s="14">
        <f>IF(BE144="","",1)</f>
        <v/>
      </c>
      <c r="BG144" s="15">
        <f>IF((IF(AY144="",0,6)+IF(BA144="",0,5)+IF(BC144="",0,5)+IF(BE144="",0,4))=0,"",(IF(AY144="",0,AY144*6)+IF(BA144="",0,BA144*5)+IF(BC144="",0,BC144*5)+IF(BE144="",0,BE144*4))/(IF(AY144="",0,6)+IF(BA144="",0,5)+IF(BC144="",0,5)+IF(BE144="",0,4)))</f>
        <v/>
      </c>
      <c r="BH144" s="14">
        <f>IF((IF(AZ144="",0,6)+IF(BB144="",0,5)+IF(BD144="",0,5)+IF(BF144="",0,4))=0,"",(IF(AZ144="",0,AZ144*6)+IF(BB144="",0,BB144*5)+IF(BD144="",0,BD144*5)+IF(BF144="",0,BF144*4))/20)</f>
        <v/>
      </c>
      <c r="BI144" s="14">
        <f>IF(AND(R144="",AF144="",AN144="",AX144="",BH144=""),"",((R144*25)+(AF144*22)+(AN144*18)+(AX144*15)+(BH144*20))/100)</f>
        <v/>
      </c>
      <c r="BJ144" s="11">
        <f>IF(BI144="","",IF(BI144&gt;=0.75,"A",IF(BI144&gt;=0.5,"B",IF(BI144&gt;=0.35,"C","Watchlist"))))</f>
        <v/>
      </c>
      <c r="BK144" s="11">
        <f>IF(OR(BI144="",BI144&lt;0.5,R144="",R144&lt;0.35,AF144="",AF144&lt;0.35,AN144="",AN144&lt;0.35,AX144="",AX144&lt;0.35,BH144="",BH144&lt;0.35),"Watchlist","Ranked")</f>
        <v/>
      </c>
      <c r="BL144" s="15">
        <f>IF(AND(Q144="",AE144="",AM144="",AW144="",BG144=""),"",(IF(Q144="",0,Q144*25)+IF(AE144="",0,AE144*22)+IF(AM144="",0,AM144*18)+IF(AW144="",0,AW144*15)+IF(BG144="",0,BG144*20))/(IF(Q144="",0,25)+IF(AE144="",0,22)+IF(AM144="",0,18)+IF(AW144="",0,15)+IF(BG144="",0,20)))</f>
        <v/>
      </c>
      <c r="BM144" s="11">
        <f>IF(BK144="Ranked",1+COUNTIFS($BK$2:$BK$158,"Ranked",$BL$2:$BL$158,"&gt;"&amp;BL144),"")</f>
        <v/>
      </c>
      <c r="BN144" s="11">
        <f>City_Inputs!$AI144</f>
        <v/>
      </c>
    </row>
    <row r="145">
      <c r="A145" t="inlineStr">
        <is>
          <t>py-asuncion</t>
        </is>
      </c>
      <c r="B145" t="inlineStr">
        <is>
          <t>Asuncion</t>
        </is>
      </c>
      <c r="C145" t="inlineStr">
        <is>
          <t>Paraguay</t>
        </is>
      </c>
      <c r="D145" t="inlineStr">
        <is>
          <t>Latin America</t>
        </is>
      </c>
      <c r="E145" t="inlineStr">
        <is>
          <t>provisional</t>
        </is>
      </c>
      <c r="F145" t="inlineStr">
        <is>
          <t>primary</t>
        </is>
      </c>
      <c r="G145" s="11">
        <f>IF(OR(City_Inputs!$M145="",Norm_Stats!$F$2="",Norm_Stats!$G$2="",Norm_Stats!$G$2=Norm_Stats!$F$2),"",MAX(0,MIN(100,100*(MIN(MAX(City_Inputs!$M145,Norm_Stats!$F$2),Norm_Stats!$G$2)-Norm_Stats!$F$2)/(Norm_Stats!$G$2-Norm_Stats!$F$2))))</f>
        <v/>
      </c>
      <c r="H145" s="14">
        <f>IF(G145="","",1)</f>
        <v/>
      </c>
      <c r="I145" s="11">
        <f>IF(OR(City_Inputs!$N145="",Norm_Stats!$F$3="",Norm_Stats!$G$3="",Norm_Stats!$G$3=Norm_Stats!$F$3),"",MAX(0,MIN(100,100*(Norm_Stats!$G$3-MIN(MAX(City_Inputs!$N145,Norm_Stats!$F$3),Norm_Stats!$G$3))/(Norm_Stats!$G$3-Norm_Stats!$F$3))))</f>
        <v/>
      </c>
      <c r="J145" s="14">
        <f>IF(I145="","",1)</f>
        <v/>
      </c>
      <c r="K145" s="11">
        <f>IF(OR(City_Inputs!$P145="",Norm_Stats!$F$4="",Norm_Stats!$G$4="",Norm_Stats!$G$4=Norm_Stats!$F$4),"",MAX(0,MIN(100,100*(Norm_Stats!$G$4-MIN(MAX(City_Inputs!$P145,Norm_Stats!$F$4),Norm_Stats!$G$4))/(Norm_Stats!$G$4-Norm_Stats!$F$4))))</f>
        <v/>
      </c>
      <c r="L145" s="14">
        <f>IF(K145="","",1)</f>
        <v/>
      </c>
      <c r="M145" s="11">
        <f>IF(OR(City_Inputs!$Q145="",Norm_Stats!$F$5="",Norm_Stats!$G$5="",Norm_Stats!$G$5=Norm_Stats!$F$5),"",MAX(0,MIN(100,100*(Norm_Stats!$G$5-MIN(MAX(City_Inputs!$Q145,Norm_Stats!$F$5),Norm_Stats!$G$5))/(Norm_Stats!$G$5-Norm_Stats!$F$5))))</f>
        <v/>
      </c>
      <c r="N145" s="14">
        <f>IF(M145="","",1)</f>
        <v/>
      </c>
      <c r="O145" s="11">
        <f>IF(OR(City_Inputs!$R145="",Norm_Stats!$F$6="",Norm_Stats!$G$6="",Norm_Stats!$G$6=Norm_Stats!$F$6),"",MAX(0,MIN(100,100*(Norm_Stats!$G$6-MIN(MAX(City_Inputs!$R145,Norm_Stats!$F$6),Norm_Stats!$G$6))/(Norm_Stats!$G$6-Norm_Stats!$F$6))))</f>
        <v/>
      </c>
      <c r="P145" s="14">
        <f>IF(O145="","",1)</f>
        <v/>
      </c>
      <c r="Q145" s="15">
        <f>IF((IF(G145="",0,9)+IF(I145="",0,5)+IF(K145="",0,4)+IF(M145="",0,4)+IF(O145="",0,5))=0,"",(IF(G145="",0,G145*9)+IF(I145="",0,I145*5)+IF(K145="",0,K145*4)+IF(M145="",0,M145*4)+IF(O145="",0,O145*5))/(IF(G145="",0,9)+IF(I145="",0,5)+IF(K145="",0,4)+IF(M145="",0,4)+IF(O145="",0,5)))</f>
        <v/>
      </c>
      <c r="R145" s="14">
        <f>IF((IF(H145="",0,9)+IF(J145="",0,5)+IF(L145="",0,4)+IF(N145="",0,4)+IF(P145="",0,5))=0,"",(IF(H145="",0,H145*9)+IF(J145="",0,J145*5)+IF(L145="",0,L145*4)+IF(N145="",0,N145*4)+IF(P145="",0,P145*5))/27)</f>
        <v/>
      </c>
      <c r="S145" s="11">
        <f>IF(OR(City_Inputs!$S145="",Norm_Stats!$F$7="",Norm_Stats!$G$7="",Norm_Stats!$G$7=Norm_Stats!$F$7),"",MAX(0,MIN(100,100*(Norm_Stats!$G$7-MIN(MAX(City_Inputs!$S145,Norm_Stats!$F$7),Norm_Stats!$G$7))/(Norm_Stats!$G$7-Norm_Stats!$F$7))))</f>
        <v/>
      </c>
      <c r="T145" s="14">
        <f>IF(S145="","",1)</f>
        <v/>
      </c>
      <c r="U145" s="11">
        <f>IF(OR(City_Inputs!$T145="",Norm_Stats!$F$8="",Norm_Stats!$G$8="",Norm_Stats!$G$8=Norm_Stats!$F$8),"",MAX(0,MIN(100,100*(MIN(MAX(City_Inputs!$T145,Norm_Stats!$F$8),Norm_Stats!$G$8)-Norm_Stats!$F$8)/(Norm_Stats!$G$8-Norm_Stats!$F$8))))</f>
        <v/>
      </c>
      <c r="V145" s="14">
        <f>IF(U145="","",1)</f>
        <v/>
      </c>
      <c r="W145" s="11">
        <f>IF(OR(City_Inputs!$U145="",Norm_Stats!$F$9="",Norm_Stats!$G$9="",Norm_Stats!$G$9=Norm_Stats!$F$9),"",MAX(0,MIN(100,100*(Norm_Stats!$G$9-MIN(MAX(City_Inputs!$U145,Norm_Stats!$F$9),Norm_Stats!$G$9))/(Norm_Stats!$G$9-Norm_Stats!$F$9))))</f>
        <v/>
      </c>
      <c r="X145" s="14">
        <f>IF(W145="","",1)</f>
        <v/>
      </c>
      <c r="Y145" s="11">
        <f>IF(OR(City_Inputs!$V145="",Norm_Stats!$F$10="",Norm_Stats!$G$10="",Norm_Stats!$G$10=Norm_Stats!$F$10),"",MAX(0,MIN(100,100*(MIN(MAX(City_Inputs!$V145,Norm_Stats!$F$10),Norm_Stats!$G$10)-Norm_Stats!$F$10)/(Norm_Stats!$G$10-Norm_Stats!$F$10))))</f>
        <v/>
      </c>
      <c r="Z145" s="14">
        <f>IF(Y145="","",1)</f>
        <v/>
      </c>
      <c r="AA145" s="11">
        <f>IF(OR(City_Inputs!$W145="",Norm_Stats!$F$11="",Norm_Stats!$G$11="",Norm_Stats!$G$11=Norm_Stats!$F$11),"",MAX(0,MIN(100,100*(MIN(MAX(City_Inputs!$W145,Norm_Stats!$F$11),Norm_Stats!$G$11)-Norm_Stats!$F$11)/(Norm_Stats!$G$11-Norm_Stats!$F$11))))</f>
        <v/>
      </c>
      <c r="AB145" s="14">
        <f>IF(AA145="","",1)</f>
        <v/>
      </c>
      <c r="AC145" s="11">
        <f>IF(OR(City_Inputs!$X145="",Norm_Stats!$F$12="",Norm_Stats!$G$12="",Norm_Stats!$G$12=Norm_Stats!$F$12),"",MAX(0,MIN(100,100*(MIN(MAX(City_Inputs!$X145,Norm_Stats!$F$12),Norm_Stats!$G$12)-Norm_Stats!$F$12)/(Norm_Stats!$G$12-Norm_Stats!$F$12))))</f>
        <v/>
      </c>
      <c r="AD145" s="11">
        <f>IF(AC145="","",1)</f>
        <v/>
      </c>
      <c r="AE145" s="15">
        <f>IF((IF(S145="",0,5)+IF(U145="",0,5)+IF(W145="",0,4)+IF(Y145="",0,4)+IF(AA145="",0,4)+IF(AC145="",0,5))=0,"",(IF(S145="",0,S145*5)+IF(U145="",0,U145*5)+IF(W145="",0,W145*4)+IF(Y145="",0,Y145*4)+IF(AA145="",0,AA145*4)+IF(AC145="",0,AC145*5))/(IF(S145="",0,5)+IF(U145="",0,5)+IF(W145="",0,4)+IF(Y145="",0,4)+IF(AA145="",0,4)+IF(AC145="",0,5)))</f>
        <v/>
      </c>
      <c r="AF145" s="14">
        <f>IF((IF(T145="",0,5)+IF(V145="",0,5)+IF(X145="",0,4)+IF(Z145="",0,4)+IF(AB145="",0,4)+IF(AD145="",0,5))=0,"",(IF(T145="",0,T145*5)+IF(V145="",0,V145*5)+IF(X145="",0,X145*4)+IF(Z145="",0,Z145*4)+IF(AB145="",0,AB145*4)+IF(AD145="",0,AD145*5))/27)</f>
        <v/>
      </c>
      <c r="AG145" s="11">
        <f>IF(OR(City_Inputs!$Y145="",Norm_Stats!$F$13="",Norm_Stats!$G$13="",Norm_Stats!$G$13=Norm_Stats!$F$13),"",MAX(0,MIN(100,100*(MIN(MAX(City_Inputs!$Y145,Norm_Stats!$F$13),Norm_Stats!$G$13)-Norm_Stats!$F$13)/(Norm_Stats!$G$13-Norm_Stats!$F$13))))</f>
        <v/>
      </c>
      <c r="AH145" s="14">
        <f>IF(AG145="","",1)</f>
        <v/>
      </c>
      <c r="AI145" s="11">
        <f>IF(OR(City_Inputs!$Z145="",Norm_Stats!$F$14="",Norm_Stats!$G$14="",Norm_Stats!$G$14=Norm_Stats!$F$14),"",MAX(0,MIN(100,100*(MIN(MAX(City_Inputs!$Z145,Norm_Stats!$F$14),Norm_Stats!$G$14)-Norm_Stats!$F$14)/(Norm_Stats!$G$14-Norm_Stats!$F$14))))</f>
        <v/>
      </c>
      <c r="AJ145" s="14">
        <f>IF(AI145="","",1)</f>
        <v/>
      </c>
      <c r="AK145" s="11">
        <f>IF((IF((IF(OR(City_Inputs!$AA145="",Norm_Stats!$F$15="",Norm_Stats!$G$15="",Norm_Stats!$G$15=Norm_Stats!$F$15),"",MAX(0,MIN(100,100*(MIN(MAX(City_Inputs!$AA145,Norm_Stats!$F$15),Norm_Stats!$G$15)-Norm_Stats!$F$15)/(Norm_Stats!$G$15-Norm_Stats!$F$15)))))="",0,0.7)+IF((IF(OR(City_Inputs!$AL145="",Norm_Stats!$F$16="",Norm_Stats!$G$16="",Norm_Stats!$G$16=Norm_Stats!$F$16),"",MAX(0,MIN(100,100*(Norm_Stats!$G$16-MIN(MAX(City_Inputs!$AL145,Norm_Stats!$F$16),Norm_Stats!$G$16))/(Norm_Stats!$G$16-Norm_Stats!$F$16)))))="",0,0.3))=0,"",(IF((IF(OR(City_Inputs!$AA145="",Norm_Stats!$F$15="",Norm_Stats!$G$15="",Norm_Stats!$G$15=Norm_Stats!$F$15),"",MAX(0,MIN(100,100*(MIN(MAX(City_Inputs!$AA145,Norm_Stats!$F$15),Norm_Stats!$G$15)-Norm_Stats!$F$15)/(Norm_Stats!$G$15-Norm_Stats!$F$15)))))="",0,(IF(OR(City_Inputs!$AA145="",Norm_Stats!$F$15="",Norm_Stats!$G$15="",Norm_Stats!$G$15=Norm_Stats!$F$15),"",MAX(0,MIN(100,100*(MIN(MAX(City_Inputs!$AA145,Norm_Stats!$F$15),Norm_Stats!$G$15)-Norm_Stats!$F$15)/(Norm_Stats!$G$15-Norm_Stats!$F$15)))))*0.7)+IF((IF(OR(City_Inputs!$AL145="",Norm_Stats!$F$16="",Norm_Stats!$G$16="",Norm_Stats!$G$16=Norm_Stats!$F$16),"",MAX(0,MIN(100,100*(Norm_Stats!$G$16-MIN(MAX(City_Inputs!$AL145,Norm_Stats!$F$16),Norm_Stats!$G$16))/(Norm_Stats!$G$16-Norm_Stats!$F$16)))))="",0,(IF(OR(City_Inputs!$AL145="",Norm_Stats!$F$16="",Norm_Stats!$G$16="",Norm_Stats!$G$16=Norm_Stats!$F$16),"",MAX(0,MIN(100,100*(Norm_Stats!$G$16-MIN(MAX(City_Inputs!$AL145,Norm_Stats!$F$16),Norm_Stats!$G$16))/(Norm_Stats!$G$16-Norm_Stats!$F$16)))))*0.3))/(IF((IF(OR(City_Inputs!$AA145="",Norm_Stats!$F$15="",Norm_Stats!$G$15="",Norm_Stats!$G$15=Norm_Stats!$F$15),"",MAX(0,MIN(100,100*(MIN(MAX(City_Inputs!$AA145,Norm_Stats!$F$15),Norm_Stats!$G$15)-Norm_Stats!$F$15)/(Norm_Stats!$G$15-Norm_Stats!$F$15)))))="",0,0.7)+IF((IF(OR(City_Inputs!$AL145="",Norm_Stats!$F$16="",Norm_Stats!$G$16="",Norm_Stats!$G$16=Norm_Stats!$F$16),"",MAX(0,MIN(100,100*(Norm_Stats!$G$16-MIN(MAX(City_Inputs!$AL145,Norm_Stats!$F$16),Norm_Stats!$G$16))/(Norm_Stats!$G$16-Norm_Stats!$F$16)))))="",0,0.3)))</f>
        <v/>
      </c>
      <c r="AL145" s="14">
        <f>IF((IF((IF(OR(City_Inputs!$AA145="",Norm_Stats!$F$15="",Norm_Stats!$G$15="",Norm_Stats!$G$15=Norm_Stats!$F$15),"",MAX(0,MIN(100,100*(MIN(MAX(City_Inputs!$AA145,Norm_Stats!$F$15),Norm_Stats!$G$15)-Norm_Stats!$F$15)/(Norm_Stats!$G$15-Norm_Stats!$F$15)))))="",0,0.7)+IF((IF(OR(City_Inputs!$AL145="",Norm_Stats!$F$16="",Norm_Stats!$G$16="",Norm_Stats!$G$16=Norm_Stats!$F$16),"",MAX(0,MIN(100,100*(Norm_Stats!$G$16-MIN(MAX(City_Inputs!$AL145,Norm_Stats!$F$16),Norm_Stats!$G$16))/(Norm_Stats!$G$16-Norm_Stats!$F$16)))))="",0,0.3))=0,"",(IF((IF(OR(City_Inputs!$AA145="",Norm_Stats!$F$15="",Norm_Stats!$G$15="",Norm_Stats!$G$15=Norm_Stats!$F$15),"",MAX(0,MIN(100,100*(MIN(MAX(City_Inputs!$AA145,Norm_Stats!$F$15),Norm_Stats!$G$15)-Norm_Stats!$F$15)/(Norm_Stats!$G$15-Norm_Stats!$F$15)))))="",0,0.7)+IF((IF(OR(City_Inputs!$AL145="",Norm_Stats!$F$16="",Norm_Stats!$G$16="",Norm_Stats!$G$16=Norm_Stats!$F$16),"",MAX(0,MIN(100,100*(Norm_Stats!$G$16-MIN(MAX(City_Inputs!$AL145,Norm_Stats!$F$16),Norm_Stats!$G$16))/(Norm_Stats!$G$16-Norm_Stats!$F$16)))))="",0,0.3)))</f>
        <v/>
      </c>
      <c r="AM145" s="15">
        <f>IF((IF(AG145="",0,8)+IF(AI145="",0,6)+IF(AK145="",0,4))=0,"",(IF(AG145="",0,AG145*8)+IF(AI145="",0,AI145*6)+IF(AK145="",0,AK145*4))/(IF(AG145="",0,8)+IF(AI145="",0,6)+IF(AK145="",0,4)))</f>
        <v/>
      </c>
      <c r="AN145" s="14">
        <f>IF((IF(AH145="",0,8)+IF(AJ145="",0,6)+IF(AL145="",0,4))=0,"",(IF(AH145="",0,AH145*8)+IF(AJ145="",0,AJ145*6)+IF(AL145="",0,AL145*4))/18)</f>
        <v/>
      </c>
      <c r="AO145" s="11">
        <f>IF(OR(City_Inputs!$AB145="",Norm_Stats!$F$17="",Norm_Stats!$G$17="",Norm_Stats!$G$17=Norm_Stats!$F$17),"",MAX(0,MIN(100,100*(MIN(MAX(City_Inputs!$AB145,Norm_Stats!$F$17),Norm_Stats!$G$17)-Norm_Stats!$F$17)/(Norm_Stats!$G$17-Norm_Stats!$F$17))))</f>
        <v/>
      </c>
      <c r="AP145" s="14">
        <f>IF(AO145="","",1)</f>
        <v/>
      </c>
      <c r="AQ145" s="11">
        <f>IF(OR(City_Inputs!$AC145="",Norm_Stats!$F$18="",Norm_Stats!$G$18="",Norm_Stats!$G$18=Norm_Stats!$F$18),"",MAX(0,MIN(100,100*(MIN(MAX(City_Inputs!$AC145,Norm_Stats!$F$18),Norm_Stats!$G$18)-Norm_Stats!$F$18)/(Norm_Stats!$G$18-Norm_Stats!$F$18))))</f>
        <v/>
      </c>
      <c r="AR145" s="14">
        <f>IF(AQ145="","",1)</f>
        <v/>
      </c>
      <c r="AS145" s="11">
        <f>IF(OR(City_Inputs!$AD145="",Norm_Stats!$F$19="",Norm_Stats!$G$19="",Norm_Stats!$G$19=Norm_Stats!$F$19),"",MAX(0,MIN(100,100*(MIN(MAX(City_Inputs!$AD145,Norm_Stats!$F$19),Norm_Stats!$G$19)-Norm_Stats!$F$19)/(Norm_Stats!$G$19-Norm_Stats!$F$19))))</f>
        <v/>
      </c>
      <c r="AT145" s="14">
        <f>IF(AS145="","",1)</f>
        <v/>
      </c>
      <c r="AU145" s="11">
        <f>IF(OR(City_Inputs!$BJ145="",Norm_Stats!$F$26="",Norm_Stats!$G$26="",Norm_Stats!$G$26=Norm_Stats!$F$26),"",MAX(0,MIN(100,100*(MIN(MAX(City_Inputs!$BJ145,Norm_Stats!$F$26),Norm_Stats!$G$26)-Norm_Stats!$F$26)/(Norm_Stats!$G$26-Norm_Stats!$F$26))))</f>
        <v/>
      </c>
      <c r="AV145" s="11">
        <f>IF(AU145="","",1)</f>
        <v/>
      </c>
      <c r="AW145" s="15">
        <f>IF((IF(AO145="",0,5)+IF(AQ145="",0,5)+IF(AS145="",0,5)+IF(AU145="",0,4))=0,"",(IF(AO145="",0,AO145*5)+IF(AQ145="",0,AQ145*5)+IF(AS145="",0,AS145*5)+IF(AU145="",0,AU145*4))/(IF(AO145="",0,5)+IF(AQ145="",0,5)+IF(AS145="",0,5)+IF(AU145="",0,4)))</f>
        <v/>
      </c>
      <c r="AX145" s="14">
        <f>IF((IF(AP145="",0,5)+IF(AR145="",0,5)+IF(AT145="",0,5)+IF(AV145="",0,4))=0,"",(IF(AP145="",0,AP145*5)+IF(AR145="",0,AR145*5)+IF(AT145="",0,AT145*5)+IF(AV145="",0,AV145*4))/19)</f>
        <v/>
      </c>
      <c r="AY145" s="11">
        <f>IF(OR(City_Inputs!$AE145="",Norm_Stats!$F$20="",Norm_Stats!$G$20="",Norm_Stats!$G$20=Norm_Stats!$F$20),"",MAX(0,MIN(100,100*(MIN(MAX(City_Inputs!$AE145,Norm_Stats!$F$20),Norm_Stats!$G$20)-Norm_Stats!$F$20)/(Norm_Stats!$G$20-Norm_Stats!$F$20))))</f>
        <v/>
      </c>
      <c r="AZ145" s="14">
        <f>IF(AY145="","",1)</f>
        <v/>
      </c>
      <c r="BA145" s="11">
        <f>IF(OR(City_Inputs!$AF145="",Norm_Stats!$F$21="",Norm_Stats!$G$21="",Norm_Stats!$G$21=Norm_Stats!$F$21),"",MAX(0,MIN(100,100*(MIN(MAX(City_Inputs!$AF145,Norm_Stats!$F$21),Norm_Stats!$G$21)-Norm_Stats!$F$21)/(Norm_Stats!$G$21-Norm_Stats!$F$21))))</f>
        <v/>
      </c>
      <c r="BB145" s="14">
        <f>IF(BA145="","",1)</f>
        <v/>
      </c>
      <c r="BC145" s="11">
        <f>IF((IF((IF(OR(City_Inputs!$AG145="",Norm_Stats!$F$22="",Norm_Stats!$G$22="",Norm_Stats!$G$22=Norm_Stats!$F$22),"",MAX(0,MIN(100,100*(MIN(MAX(City_Inputs!$AG145,Norm_Stats!$F$22),Norm_Stats!$G$22)-Norm_Stats!$F$22)/(Norm_Stats!$G$22-Norm_Stats!$F$22)))))="",0,0.5)+IF((IF(OR(City_Inputs!$AJ145="",Norm_Stats!$F$23="",Norm_Stats!$G$23="",Norm_Stats!$G$23=Norm_Stats!$F$23),"",MAX(0,MIN(100,100*(MIN(MAX(City_Inputs!$AJ145,Norm_Stats!$F$23),Norm_Stats!$G$23)-Norm_Stats!$F$23)/(Norm_Stats!$G$23-Norm_Stats!$F$23)))))="",0,0.3)+IF((IF(OR(City_Inputs!$AK145="",Norm_Stats!$F$24="",Norm_Stats!$G$24="",Norm_Stats!$G$24=Norm_Stats!$F$24),"",MAX(0,MIN(100,100*(MIN(MAX(City_Inputs!$AK145,Norm_Stats!$F$24),Norm_Stats!$G$24)-Norm_Stats!$F$24)/(Norm_Stats!$G$24-Norm_Stats!$F$24)))))="",0,0.2))=0,"",(IF((IF(OR(City_Inputs!$AG145="",Norm_Stats!$F$22="",Norm_Stats!$G$22="",Norm_Stats!$G$22=Norm_Stats!$F$22),"",MAX(0,MIN(100,100*(MIN(MAX(City_Inputs!$AG145,Norm_Stats!$F$22),Norm_Stats!$G$22)-Norm_Stats!$F$22)/(Norm_Stats!$G$22-Norm_Stats!$F$22)))))="",0,(IF(OR(City_Inputs!$AG145="",Norm_Stats!$F$22="",Norm_Stats!$G$22="",Norm_Stats!$G$22=Norm_Stats!$F$22),"",MAX(0,MIN(100,100*(MIN(MAX(City_Inputs!$AG145,Norm_Stats!$F$22),Norm_Stats!$G$22)-Norm_Stats!$F$22)/(Norm_Stats!$G$22-Norm_Stats!$F$22)))))*0.5)+IF((IF(OR(City_Inputs!$AJ145="",Norm_Stats!$F$23="",Norm_Stats!$G$23="",Norm_Stats!$G$23=Norm_Stats!$F$23),"",MAX(0,MIN(100,100*(MIN(MAX(City_Inputs!$AJ145,Norm_Stats!$F$23),Norm_Stats!$G$23)-Norm_Stats!$F$23)/(Norm_Stats!$G$23-Norm_Stats!$F$23)))))="",0,(IF(OR(City_Inputs!$AJ145="",Norm_Stats!$F$23="",Norm_Stats!$G$23="",Norm_Stats!$G$23=Norm_Stats!$F$23),"",MAX(0,MIN(100,100*(MIN(MAX(City_Inputs!$AJ145,Norm_Stats!$F$23),Norm_Stats!$G$23)-Norm_Stats!$F$23)/(Norm_Stats!$G$23-Norm_Stats!$F$23)))))*0.3)+IF((IF(OR(City_Inputs!$AK145="",Norm_Stats!$F$24="",Norm_Stats!$G$24="",Norm_Stats!$G$24=Norm_Stats!$F$24),"",MAX(0,MIN(100,100*(MIN(MAX(City_Inputs!$AK145,Norm_Stats!$F$24),Norm_Stats!$G$24)-Norm_Stats!$F$24)/(Norm_Stats!$G$24-Norm_Stats!$F$24)))))="",0,(IF(OR(City_Inputs!$AK145="",Norm_Stats!$F$24="",Norm_Stats!$G$24="",Norm_Stats!$G$24=Norm_Stats!$F$24),"",MAX(0,MIN(100,100*(MIN(MAX(City_Inputs!$AK145,Norm_Stats!$F$24),Norm_Stats!$G$24)-Norm_Stats!$F$24)/(Norm_Stats!$G$24-Norm_Stats!$F$24)))))*0.2))/(IF((IF(OR(City_Inputs!$AG145="",Norm_Stats!$F$22="",Norm_Stats!$G$22="",Norm_Stats!$G$22=Norm_Stats!$F$22),"",MAX(0,MIN(100,100*(MIN(MAX(City_Inputs!$AG145,Norm_Stats!$F$22),Norm_Stats!$G$22)-Norm_Stats!$F$22)/(Norm_Stats!$G$22-Norm_Stats!$F$22)))))="",0,0.5)+IF((IF(OR(City_Inputs!$AJ145="",Norm_Stats!$F$23="",Norm_Stats!$G$23="",Norm_Stats!$G$23=Norm_Stats!$F$23),"",MAX(0,MIN(100,100*(MIN(MAX(City_Inputs!$AJ145,Norm_Stats!$F$23),Norm_Stats!$G$23)-Norm_Stats!$F$23)/(Norm_Stats!$G$23-Norm_Stats!$F$23)))))="",0,0.3)+IF((IF(OR(City_Inputs!$AK145="",Norm_Stats!$F$24="",Norm_Stats!$G$24="",Norm_Stats!$G$24=Norm_Stats!$F$24),"",MAX(0,MIN(100,100*(MIN(MAX(City_Inputs!$AK145,Norm_Stats!$F$24),Norm_Stats!$G$24)-Norm_Stats!$F$24)/(Norm_Stats!$G$24-Norm_Stats!$F$24)))))="",0,0.2)))</f>
        <v/>
      </c>
      <c r="BD145" s="14">
        <f>IF((IF((IF(OR(City_Inputs!$AG145="",Norm_Stats!$F$22="",Norm_Stats!$G$22="",Norm_Stats!$G$22=Norm_Stats!$F$22),"",MAX(0,MIN(100,100*(MIN(MAX(City_Inputs!$AG145,Norm_Stats!$F$22),Norm_Stats!$G$22)-Norm_Stats!$F$22)/(Norm_Stats!$G$22-Norm_Stats!$F$22)))))="",0,0.5)+IF((IF(OR(City_Inputs!$AJ145="",Norm_Stats!$F$23="",Norm_Stats!$G$23="",Norm_Stats!$G$23=Norm_Stats!$F$23),"",MAX(0,MIN(100,100*(MIN(MAX(City_Inputs!$AJ145,Norm_Stats!$F$23),Norm_Stats!$G$23)-Norm_Stats!$F$23)/(Norm_Stats!$G$23-Norm_Stats!$F$23)))))="",0,0.3)+IF((IF(OR(City_Inputs!$AK145="",Norm_Stats!$F$24="",Norm_Stats!$G$24="",Norm_Stats!$G$24=Norm_Stats!$F$24),"",MAX(0,MIN(100,100*(MIN(MAX(City_Inputs!$AK145,Norm_Stats!$F$24),Norm_Stats!$G$24)-Norm_Stats!$F$24)/(Norm_Stats!$G$24-Norm_Stats!$F$24)))))="",0,0.2))=0,"",(IF((IF(OR(City_Inputs!$AG145="",Norm_Stats!$F$22="",Norm_Stats!$G$22="",Norm_Stats!$G$22=Norm_Stats!$F$22),"",MAX(0,MIN(100,100*(MIN(MAX(City_Inputs!$AG145,Norm_Stats!$F$22),Norm_Stats!$G$22)-Norm_Stats!$F$22)/(Norm_Stats!$G$22-Norm_Stats!$F$22)))))="",0,0.5)+IF((IF(OR(City_Inputs!$AJ145="",Norm_Stats!$F$23="",Norm_Stats!$G$23="",Norm_Stats!$G$23=Norm_Stats!$F$23),"",MAX(0,MIN(100,100*(MIN(MAX(City_Inputs!$AJ145,Norm_Stats!$F$23),Norm_Stats!$G$23)-Norm_Stats!$F$23)/(Norm_Stats!$G$23-Norm_Stats!$F$23)))))="",0,0.3)+IF((IF(OR(City_Inputs!$AK145="",Norm_Stats!$F$24="",Norm_Stats!$G$24="",Norm_Stats!$G$24=Norm_Stats!$F$24),"",MAX(0,MIN(100,100*(MIN(MAX(City_Inputs!$AK145,Norm_Stats!$F$24),Norm_Stats!$G$24)-Norm_Stats!$F$24)/(Norm_Stats!$G$24-Norm_Stats!$F$24)))))="",0,0.2)))</f>
        <v/>
      </c>
      <c r="BE145" s="11">
        <f>IF(OR(City_Inputs!$AH145="",Norm_Stats!$F$25="",Norm_Stats!$G$25="",Norm_Stats!$G$25=Norm_Stats!$F$25),"",MAX(0,MIN(100,100*(Norm_Stats!$G$25-MIN(MAX(City_Inputs!$AH145,Norm_Stats!$F$25),Norm_Stats!$G$25))/(Norm_Stats!$G$25-Norm_Stats!$F$25))))</f>
        <v/>
      </c>
      <c r="BF145" s="14">
        <f>IF(BE145="","",1)</f>
        <v/>
      </c>
      <c r="BG145" s="15">
        <f>IF((IF(AY145="",0,6)+IF(BA145="",0,5)+IF(BC145="",0,5)+IF(BE145="",0,4))=0,"",(IF(AY145="",0,AY145*6)+IF(BA145="",0,BA145*5)+IF(BC145="",0,BC145*5)+IF(BE145="",0,BE145*4))/(IF(AY145="",0,6)+IF(BA145="",0,5)+IF(BC145="",0,5)+IF(BE145="",0,4)))</f>
        <v/>
      </c>
      <c r="BH145" s="14">
        <f>IF((IF(AZ145="",0,6)+IF(BB145="",0,5)+IF(BD145="",0,5)+IF(BF145="",0,4))=0,"",(IF(AZ145="",0,AZ145*6)+IF(BB145="",0,BB145*5)+IF(BD145="",0,BD145*5)+IF(BF145="",0,BF145*4))/20)</f>
        <v/>
      </c>
      <c r="BI145" s="14">
        <f>IF(AND(R145="",AF145="",AN145="",AX145="",BH145=""),"",((R145*25)+(AF145*22)+(AN145*18)+(AX145*15)+(BH145*20))/100)</f>
        <v/>
      </c>
      <c r="BJ145" s="11">
        <f>IF(BI145="","",IF(BI145&gt;=0.75,"A",IF(BI145&gt;=0.5,"B",IF(BI145&gt;=0.35,"C","Watchlist"))))</f>
        <v/>
      </c>
      <c r="BK145" s="11">
        <f>IF(OR(BI145="",BI145&lt;0.5,R145="",R145&lt;0.35,AF145="",AF145&lt;0.35,AN145="",AN145&lt;0.35,AX145="",AX145&lt;0.35,BH145="",BH145&lt;0.35),"Watchlist","Ranked")</f>
        <v/>
      </c>
      <c r="BL145" s="15">
        <f>IF(AND(Q145="",AE145="",AM145="",AW145="",BG145=""),"",(IF(Q145="",0,Q145*25)+IF(AE145="",0,AE145*22)+IF(AM145="",0,AM145*18)+IF(AW145="",0,AW145*15)+IF(BG145="",0,BG145*20))/(IF(Q145="",0,25)+IF(AE145="",0,22)+IF(AM145="",0,18)+IF(AW145="",0,15)+IF(BG145="",0,20)))</f>
        <v/>
      </c>
      <c r="BM145" s="11">
        <f>IF(BK145="Ranked",1+COUNTIFS($BK$2:$BK$158,"Ranked",$BL$2:$BL$158,"&gt;"&amp;BL145),"")</f>
        <v/>
      </c>
      <c r="BN145" s="11">
        <f>City_Inputs!$AI145</f>
        <v/>
      </c>
    </row>
    <row r="146">
      <c r="A146" t="inlineStr">
        <is>
          <t>il-haifa</t>
        </is>
      </c>
      <c r="B146" t="inlineStr">
        <is>
          <t>Haifa</t>
        </is>
      </c>
      <c r="C146" t="inlineStr">
        <is>
          <t>Israel</t>
        </is>
      </c>
      <c r="D146" t="inlineStr">
        <is>
          <t>Middle East</t>
        </is>
      </c>
      <c r="E146" t="inlineStr">
        <is>
          <t>provisional</t>
        </is>
      </c>
      <c r="F146" t="inlineStr">
        <is>
          <t>secondary</t>
        </is>
      </c>
      <c r="G146" s="11">
        <f>IF(OR(City_Inputs!$M146="",Norm_Stats!$F$2="",Norm_Stats!$G$2="",Norm_Stats!$G$2=Norm_Stats!$F$2),"",MAX(0,MIN(100,100*(MIN(MAX(City_Inputs!$M146,Norm_Stats!$F$2),Norm_Stats!$G$2)-Norm_Stats!$F$2)/(Norm_Stats!$G$2-Norm_Stats!$F$2))))</f>
        <v/>
      </c>
      <c r="H146" s="14">
        <f>IF(G146="","",1)</f>
        <v/>
      </c>
      <c r="I146" s="11">
        <f>IF(OR(City_Inputs!$N146="",Norm_Stats!$F$3="",Norm_Stats!$G$3="",Norm_Stats!$G$3=Norm_Stats!$F$3),"",MAX(0,MIN(100,100*(Norm_Stats!$G$3-MIN(MAX(City_Inputs!$N146,Norm_Stats!$F$3),Norm_Stats!$G$3))/(Norm_Stats!$G$3-Norm_Stats!$F$3))))</f>
        <v/>
      </c>
      <c r="J146" s="14">
        <f>IF(I146="","",1)</f>
        <v/>
      </c>
      <c r="K146" s="11">
        <f>IF(OR(City_Inputs!$P146="",Norm_Stats!$F$4="",Norm_Stats!$G$4="",Norm_Stats!$G$4=Norm_Stats!$F$4),"",MAX(0,MIN(100,100*(Norm_Stats!$G$4-MIN(MAX(City_Inputs!$P146,Norm_Stats!$F$4),Norm_Stats!$G$4))/(Norm_Stats!$G$4-Norm_Stats!$F$4))))</f>
        <v/>
      </c>
      <c r="L146" s="14">
        <f>IF(K146="","",1)</f>
        <v/>
      </c>
      <c r="M146" s="11">
        <f>IF(OR(City_Inputs!$Q146="",Norm_Stats!$F$5="",Norm_Stats!$G$5="",Norm_Stats!$G$5=Norm_Stats!$F$5),"",MAX(0,MIN(100,100*(Norm_Stats!$G$5-MIN(MAX(City_Inputs!$Q146,Norm_Stats!$F$5),Norm_Stats!$G$5))/(Norm_Stats!$G$5-Norm_Stats!$F$5))))</f>
        <v/>
      </c>
      <c r="N146" s="14">
        <f>IF(M146="","",1)</f>
        <v/>
      </c>
      <c r="O146" s="11">
        <f>IF(OR(City_Inputs!$R146="",Norm_Stats!$F$6="",Norm_Stats!$G$6="",Norm_Stats!$G$6=Norm_Stats!$F$6),"",MAX(0,MIN(100,100*(Norm_Stats!$G$6-MIN(MAX(City_Inputs!$R146,Norm_Stats!$F$6),Norm_Stats!$G$6))/(Norm_Stats!$G$6-Norm_Stats!$F$6))))</f>
        <v/>
      </c>
      <c r="P146" s="14">
        <f>IF(O146="","",1)</f>
        <v/>
      </c>
      <c r="Q146" s="15">
        <f>IF((IF(G146="",0,9)+IF(I146="",0,5)+IF(K146="",0,4)+IF(M146="",0,4)+IF(O146="",0,5))=0,"",(IF(G146="",0,G146*9)+IF(I146="",0,I146*5)+IF(K146="",0,K146*4)+IF(M146="",0,M146*4)+IF(O146="",0,O146*5))/(IF(G146="",0,9)+IF(I146="",0,5)+IF(K146="",0,4)+IF(M146="",0,4)+IF(O146="",0,5)))</f>
        <v/>
      </c>
      <c r="R146" s="14">
        <f>IF((IF(H146="",0,9)+IF(J146="",0,5)+IF(L146="",0,4)+IF(N146="",0,4)+IF(P146="",0,5))=0,"",(IF(H146="",0,H146*9)+IF(J146="",0,J146*5)+IF(L146="",0,L146*4)+IF(N146="",0,N146*4)+IF(P146="",0,P146*5))/27)</f>
        <v/>
      </c>
      <c r="S146" s="11">
        <f>IF(OR(City_Inputs!$S146="",Norm_Stats!$F$7="",Norm_Stats!$G$7="",Norm_Stats!$G$7=Norm_Stats!$F$7),"",MAX(0,MIN(100,100*(Norm_Stats!$G$7-MIN(MAX(City_Inputs!$S146,Norm_Stats!$F$7),Norm_Stats!$G$7))/(Norm_Stats!$G$7-Norm_Stats!$F$7))))</f>
        <v/>
      </c>
      <c r="T146" s="14">
        <f>IF(S146="","",1)</f>
        <v/>
      </c>
      <c r="U146" s="11">
        <f>IF(OR(City_Inputs!$T146="",Norm_Stats!$F$8="",Norm_Stats!$G$8="",Norm_Stats!$G$8=Norm_Stats!$F$8),"",MAX(0,MIN(100,100*(MIN(MAX(City_Inputs!$T146,Norm_Stats!$F$8),Norm_Stats!$G$8)-Norm_Stats!$F$8)/(Norm_Stats!$G$8-Norm_Stats!$F$8))))</f>
        <v/>
      </c>
      <c r="V146" s="14">
        <f>IF(U146="","",1)</f>
        <v/>
      </c>
      <c r="W146" s="11">
        <f>IF(OR(City_Inputs!$U146="",Norm_Stats!$F$9="",Norm_Stats!$G$9="",Norm_Stats!$G$9=Norm_Stats!$F$9),"",MAX(0,MIN(100,100*(Norm_Stats!$G$9-MIN(MAX(City_Inputs!$U146,Norm_Stats!$F$9),Norm_Stats!$G$9))/(Norm_Stats!$G$9-Norm_Stats!$F$9))))</f>
        <v/>
      </c>
      <c r="X146" s="14">
        <f>IF(W146="","",1)</f>
        <v/>
      </c>
      <c r="Y146" s="11">
        <f>IF(OR(City_Inputs!$V146="",Norm_Stats!$F$10="",Norm_Stats!$G$10="",Norm_Stats!$G$10=Norm_Stats!$F$10),"",MAX(0,MIN(100,100*(MIN(MAX(City_Inputs!$V146,Norm_Stats!$F$10),Norm_Stats!$G$10)-Norm_Stats!$F$10)/(Norm_Stats!$G$10-Norm_Stats!$F$10))))</f>
        <v/>
      </c>
      <c r="Z146" s="14">
        <f>IF(Y146="","",1)</f>
        <v/>
      </c>
      <c r="AA146" s="11">
        <f>IF(OR(City_Inputs!$W146="",Norm_Stats!$F$11="",Norm_Stats!$G$11="",Norm_Stats!$G$11=Norm_Stats!$F$11),"",MAX(0,MIN(100,100*(MIN(MAX(City_Inputs!$W146,Norm_Stats!$F$11),Norm_Stats!$G$11)-Norm_Stats!$F$11)/(Norm_Stats!$G$11-Norm_Stats!$F$11))))</f>
        <v/>
      </c>
      <c r="AB146" s="14">
        <f>IF(AA146="","",1)</f>
        <v/>
      </c>
      <c r="AC146" s="11">
        <f>IF(OR(City_Inputs!$X146="",Norm_Stats!$F$12="",Norm_Stats!$G$12="",Norm_Stats!$G$12=Norm_Stats!$F$12),"",MAX(0,MIN(100,100*(MIN(MAX(City_Inputs!$X146,Norm_Stats!$F$12),Norm_Stats!$G$12)-Norm_Stats!$F$12)/(Norm_Stats!$G$12-Norm_Stats!$F$12))))</f>
        <v/>
      </c>
      <c r="AD146" s="11">
        <f>IF(AC146="","",1)</f>
        <v/>
      </c>
      <c r="AE146" s="15">
        <f>IF((IF(S146="",0,5)+IF(U146="",0,5)+IF(W146="",0,4)+IF(Y146="",0,4)+IF(AA146="",0,4)+IF(AC146="",0,5))=0,"",(IF(S146="",0,S146*5)+IF(U146="",0,U146*5)+IF(W146="",0,W146*4)+IF(Y146="",0,Y146*4)+IF(AA146="",0,AA146*4)+IF(AC146="",0,AC146*5))/(IF(S146="",0,5)+IF(U146="",0,5)+IF(W146="",0,4)+IF(Y146="",0,4)+IF(AA146="",0,4)+IF(AC146="",0,5)))</f>
        <v/>
      </c>
      <c r="AF146" s="14">
        <f>IF((IF(T146="",0,5)+IF(V146="",0,5)+IF(X146="",0,4)+IF(Z146="",0,4)+IF(AB146="",0,4)+IF(AD146="",0,5))=0,"",(IF(T146="",0,T146*5)+IF(V146="",0,V146*5)+IF(X146="",0,X146*4)+IF(Z146="",0,Z146*4)+IF(AB146="",0,AB146*4)+IF(AD146="",0,AD146*5))/27)</f>
        <v/>
      </c>
      <c r="AG146" s="11">
        <f>IF(OR(City_Inputs!$Y146="",Norm_Stats!$F$13="",Norm_Stats!$G$13="",Norm_Stats!$G$13=Norm_Stats!$F$13),"",MAX(0,MIN(100,100*(MIN(MAX(City_Inputs!$Y146,Norm_Stats!$F$13),Norm_Stats!$G$13)-Norm_Stats!$F$13)/(Norm_Stats!$G$13-Norm_Stats!$F$13))))</f>
        <v/>
      </c>
      <c r="AH146" s="14">
        <f>IF(AG146="","",1)</f>
        <v/>
      </c>
      <c r="AI146" s="11">
        <f>IF(OR(City_Inputs!$Z146="",Norm_Stats!$F$14="",Norm_Stats!$G$14="",Norm_Stats!$G$14=Norm_Stats!$F$14),"",MAX(0,MIN(100,100*(MIN(MAX(City_Inputs!$Z146,Norm_Stats!$F$14),Norm_Stats!$G$14)-Norm_Stats!$F$14)/(Norm_Stats!$G$14-Norm_Stats!$F$14))))</f>
        <v/>
      </c>
      <c r="AJ146" s="14">
        <f>IF(AI146="","",1)</f>
        <v/>
      </c>
      <c r="AK146" s="11">
        <f>IF((IF((IF(OR(City_Inputs!$AA146="",Norm_Stats!$F$15="",Norm_Stats!$G$15="",Norm_Stats!$G$15=Norm_Stats!$F$15),"",MAX(0,MIN(100,100*(MIN(MAX(City_Inputs!$AA146,Norm_Stats!$F$15),Norm_Stats!$G$15)-Norm_Stats!$F$15)/(Norm_Stats!$G$15-Norm_Stats!$F$15)))))="",0,0.7)+IF((IF(OR(City_Inputs!$AL146="",Norm_Stats!$F$16="",Norm_Stats!$G$16="",Norm_Stats!$G$16=Norm_Stats!$F$16),"",MAX(0,MIN(100,100*(Norm_Stats!$G$16-MIN(MAX(City_Inputs!$AL146,Norm_Stats!$F$16),Norm_Stats!$G$16))/(Norm_Stats!$G$16-Norm_Stats!$F$16)))))="",0,0.3))=0,"",(IF((IF(OR(City_Inputs!$AA146="",Norm_Stats!$F$15="",Norm_Stats!$G$15="",Norm_Stats!$G$15=Norm_Stats!$F$15),"",MAX(0,MIN(100,100*(MIN(MAX(City_Inputs!$AA146,Norm_Stats!$F$15),Norm_Stats!$G$15)-Norm_Stats!$F$15)/(Norm_Stats!$G$15-Norm_Stats!$F$15)))))="",0,(IF(OR(City_Inputs!$AA146="",Norm_Stats!$F$15="",Norm_Stats!$G$15="",Norm_Stats!$G$15=Norm_Stats!$F$15),"",MAX(0,MIN(100,100*(MIN(MAX(City_Inputs!$AA146,Norm_Stats!$F$15),Norm_Stats!$G$15)-Norm_Stats!$F$15)/(Norm_Stats!$G$15-Norm_Stats!$F$15)))))*0.7)+IF((IF(OR(City_Inputs!$AL146="",Norm_Stats!$F$16="",Norm_Stats!$G$16="",Norm_Stats!$G$16=Norm_Stats!$F$16),"",MAX(0,MIN(100,100*(Norm_Stats!$G$16-MIN(MAX(City_Inputs!$AL146,Norm_Stats!$F$16),Norm_Stats!$G$16))/(Norm_Stats!$G$16-Norm_Stats!$F$16)))))="",0,(IF(OR(City_Inputs!$AL146="",Norm_Stats!$F$16="",Norm_Stats!$G$16="",Norm_Stats!$G$16=Norm_Stats!$F$16),"",MAX(0,MIN(100,100*(Norm_Stats!$G$16-MIN(MAX(City_Inputs!$AL146,Norm_Stats!$F$16),Norm_Stats!$G$16))/(Norm_Stats!$G$16-Norm_Stats!$F$16)))))*0.3))/(IF((IF(OR(City_Inputs!$AA146="",Norm_Stats!$F$15="",Norm_Stats!$G$15="",Norm_Stats!$G$15=Norm_Stats!$F$15),"",MAX(0,MIN(100,100*(MIN(MAX(City_Inputs!$AA146,Norm_Stats!$F$15),Norm_Stats!$G$15)-Norm_Stats!$F$15)/(Norm_Stats!$G$15-Norm_Stats!$F$15)))))="",0,0.7)+IF((IF(OR(City_Inputs!$AL146="",Norm_Stats!$F$16="",Norm_Stats!$G$16="",Norm_Stats!$G$16=Norm_Stats!$F$16),"",MAX(0,MIN(100,100*(Norm_Stats!$G$16-MIN(MAX(City_Inputs!$AL146,Norm_Stats!$F$16),Norm_Stats!$G$16))/(Norm_Stats!$G$16-Norm_Stats!$F$16)))))="",0,0.3)))</f>
        <v/>
      </c>
      <c r="AL146" s="14">
        <f>IF((IF((IF(OR(City_Inputs!$AA146="",Norm_Stats!$F$15="",Norm_Stats!$G$15="",Norm_Stats!$G$15=Norm_Stats!$F$15),"",MAX(0,MIN(100,100*(MIN(MAX(City_Inputs!$AA146,Norm_Stats!$F$15),Norm_Stats!$G$15)-Norm_Stats!$F$15)/(Norm_Stats!$G$15-Norm_Stats!$F$15)))))="",0,0.7)+IF((IF(OR(City_Inputs!$AL146="",Norm_Stats!$F$16="",Norm_Stats!$G$16="",Norm_Stats!$G$16=Norm_Stats!$F$16),"",MAX(0,MIN(100,100*(Norm_Stats!$G$16-MIN(MAX(City_Inputs!$AL146,Norm_Stats!$F$16),Norm_Stats!$G$16))/(Norm_Stats!$G$16-Norm_Stats!$F$16)))))="",0,0.3))=0,"",(IF((IF(OR(City_Inputs!$AA146="",Norm_Stats!$F$15="",Norm_Stats!$G$15="",Norm_Stats!$G$15=Norm_Stats!$F$15),"",MAX(0,MIN(100,100*(MIN(MAX(City_Inputs!$AA146,Norm_Stats!$F$15),Norm_Stats!$G$15)-Norm_Stats!$F$15)/(Norm_Stats!$G$15-Norm_Stats!$F$15)))))="",0,0.7)+IF((IF(OR(City_Inputs!$AL146="",Norm_Stats!$F$16="",Norm_Stats!$G$16="",Norm_Stats!$G$16=Norm_Stats!$F$16),"",MAX(0,MIN(100,100*(Norm_Stats!$G$16-MIN(MAX(City_Inputs!$AL146,Norm_Stats!$F$16),Norm_Stats!$G$16))/(Norm_Stats!$G$16-Norm_Stats!$F$16)))))="",0,0.3)))</f>
        <v/>
      </c>
      <c r="AM146" s="15">
        <f>IF((IF(AG146="",0,8)+IF(AI146="",0,6)+IF(AK146="",0,4))=0,"",(IF(AG146="",0,AG146*8)+IF(AI146="",0,AI146*6)+IF(AK146="",0,AK146*4))/(IF(AG146="",0,8)+IF(AI146="",0,6)+IF(AK146="",0,4)))</f>
        <v/>
      </c>
      <c r="AN146" s="14">
        <f>IF((IF(AH146="",0,8)+IF(AJ146="",0,6)+IF(AL146="",0,4))=0,"",(IF(AH146="",0,AH146*8)+IF(AJ146="",0,AJ146*6)+IF(AL146="",0,AL146*4))/18)</f>
        <v/>
      </c>
      <c r="AO146" s="11">
        <f>IF(OR(City_Inputs!$AB146="",Norm_Stats!$F$17="",Norm_Stats!$G$17="",Norm_Stats!$G$17=Norm_Stats!$F$17),"",MAX(0,MIN(100,100*(MIN(MAX(City_Inputs!$AB146,Norm_Stats!$F$17),Norm_Stats!$G$17)-Norm_Stats!$F$17)/(Norm_Stats!$G$17-Norm_Stats!$F$17))))</f>
        <v/>
      </c>
      <c r="AP146" s="14">
        <f>IF(AO146="","",1)</f>
        <v/>
      </c>
      <c r="AQ146" s="11">
        <f>IF(OR(City_Inputs!$AC146="",Norm_Stats!$F$18="",Norm_Stats!$G$18="",Norm_Stats!$G$18=Norm_Stats!$F$18),"",MAX(0,MIN(100,100*(MIN(MAX(City_Inputs!$AC146,Norm_Stats!$F$18),Norm_Stats!$G$18)-Norm_Stats!$F$18)/(Norm_Stats!$G$18-Norm_Stats!$F$18))))</f>
        <v/>
      </c>
      <c r="AR146" s="14">
        <f>IF(AQ146="","",1)</f>
        <v/>
      </c>
      <c r="AS146" s="11">
        <f>IF(OR(City_Inputs!$AD146="",Norm_Stats!$F$19="",Norm_Stats!$G$19="",Norm_Stats!$G$19=Norm_Stats!$F$19),"",MAX(0,MIN(100,100*(MIN(MAX(City_Inputs!$AD146,Norm_Stats!$F$19),Norm_Stats!$G$19)-Norm_Stats!$F$19)/(Norm_Stats!$G$19-Norm_Stats!$F$19))))</f>
        <v/>
      </c>
      <c r="AT146" s="14">
        <f>IF(AS146="","",1)</f>
        <v/>
      </c>
      <c r="AU146" s="11">
        <f>IF(OR(City_Inputs!$BJ146="",Norm_Stats!$F$26="",Norm_Stats!$G$26="",Norm_Stats!$G$26=Norm_Stats!$F$26),"",MAX(0,MIN(100,100*(MIN(MAX(City_Inputs!$BJ146,Norm_Stats!$F$26),Norm_Stats!$G$26)-Norm_Stats!$F$26)/(Norm_Stats!$G$26-Norm_Stats!$F$26))))</f>
        <v/>
      </c>
      <c r="AV146" s="11">
        <f>IF(AU146="","",1)</f>
        <v/>
      </c>
      <c r="AW146" s="15">
        <f>IF((IF(AO146="",0,5)+IF(AQ146="",0,5)+IF(AS146="",0,5)+IF(AU146="",0,4))=0,"",(IF(AO146="",0,AO146*5)+IF(AQ146="",0,AQ146*5)+IF(AS146="",0,AS146*5)+IF(AU146="",0,AU146*4))/(IF(AO146="",0,5)+IF(AQ146="",0,5)+IF(AS146="",0,5)+IF(AU146="",0,4)))</f>
        <v/>
      </c>
      <c r="AX146" s="14">
        <f>IF((IF(AP146="",0,5)+IF(AR146="",0,5)+IF(AT146="",0,5)+IF(AV146="",0,4))=0,"",(IF(AP146="",0,AP146*5)+IF(AR146="",0,AR146*5)+IF(AT146="",0,AT146*5)+IF(AV146="",0,AV146*4))/19)</f>
        <v/>
      </c>
      <c r="AY146" s="11">
        <f>IF(OR(City_Inputs!$AE146="",Norm_Stats!$F$20="",Norm_Stats!$G$20="",Norm_Stats!$G$20=Norm_Stats!$F$20),"",MAX(0,MIN(100,100*(MIN(MAX(City_Inputs!$AE146,Norm_Stats!$F$20),Norm_Stats!$G$20)-Norm_Stats!$F$20)/(Norm_Stats!$G$20-Norm_Stats!$F$20))))</f>
        <v/>
      </c>
      <c r="AZ146" s="14">
        <f>IF(AY146="","",1)</f>
        <v/>
      </c>
      <c r="BA146" s="11">
        <f>IF(OR(City_Inputs!$AF146="",Norm_Stats!$F$21="",Norm_Stats!$G$21="",Norm_Stats!$G$21=Norm_Stats!$F$21),"",MAX(0,MIN(100,100*(MIN(MAX(City_Inputs!$AF146,Norm_Stats!$F$21),Norm_Stats!$G$21)-Norm_Stats!$F$21)/(Norm_Stats!$G$21-Norm_Stats!$F$21))))</f>
        <v/>
      </c>
      <c r="BB146" s="14">
        <f>IF(BA146="","",1)</f>
        <v/>
      </c>
      <c r="BC146" s="11">
        <f>IF((IF((IF(OR(City_Inputs!$AG146="",Norm_Stats!$F$22="",Norm_Stats!$G$22="",Norm_Stats!$G$22=Norm_Stats!$F$22),"",MAX(0,MIN(100,100*(MIN(MAX(City_Inputs!$AG146,Norm_Stats!$F$22),Norm_Stats!$G$22)-Norm_Stats!$F$22)/(Norm_Stats!$G$22-Norm_Stats!$F$22)))))="",0,0.5)+IF((IF(OR(City_Inputs!$AJ146="",Norm_Stats!$F$23="",Norm_Stats!$G$23="",Norm_Stats!$G$23=Norm_Stats!$F$23),"",MAX(0,MIN(100,100*(MIN(MAX(City_Inputs!$AJ146,Norm_Stats!$F$23),Norm_Stats!$G$23)-Norm_Stats!$F$23)/(Norm_Stats!$G$23-Norm_Stats!$F$23)))))="",0,0.3)+IF((IF(OR(City_Inputs!$AK146="",Norm_Stats!$F$24="",Norm_Stats!$G$24="",Norm_Stats!$G$24=Norm_Stats!$F$24),"",MAX(0,MIN(100,100*(MIN(MAX(City_Inputs!$AK146,Norm_Stats!$F$24),Norm_Stats!$G$24)-Norm_Stats!$F$24)/(Norm_Stats!$G$24-Norm_Stats!$F$24)))))="",0,0.2))=0,"",(IF((IF(OR(City_Inputs!$AG146="",Norm_Stats!$F$22="",Norm_Stats!$G$22="",Norm_Stats!$G$22=Norm_Stats!$F$22),"",MAX(0,MIN(100,100*(MIN(MAX(City_Inputs!$AG146,Norm_Stats!$F$22),Norm_Stats!$G$22)-Norm_Stats!$F$22)/(Norm_Stats!$G$22-Norm_Stats!$F$22)))))="",0,(IF(OR(City_Inputs!$AG146="",Norm_Stats!$F$22="",Norm_Stats!$G$22="",Norm_Stats!$G$22=Norm_Stats!$F$22),"",MAX(0,MIN(100,100*(MIN(MAX(City_Inputs!$AG146,Norm_Stats!$F$22),Norm_Stats!$G$22)-Norm_Stats!$F$22)/(Norm_Stats!$G$22-Norm_Stats!$F$22)))))*0.5)+IF((IF(OR(City_Inputs!$AJ146="",Norm_Stats!$F$23="",Norm_Stats!$G$23="",Norm_Stats!$G$23=Norm_Stats!$F$23),"",MAX(0,MIN(100,100*(MIN(MAX(City_Inputs!$AJ146,Norm_Stats!$F$23),Norm_Stats!$G$23)-Norm_Stats!$F$23)/(Norm_Stats!$G$23-Norm_Stats!$F$23)))))="",0,(IF(OR(City_Inputs!$AJ146="",Norm_Stats!$F$23="",Norm_Stats!$G$23="",Norm_Stats!$G$23=Norm_Stats!$F$23),"",MAX(0,MIN(100,100*(MIN(MAX(City_Inputs!$AJ146,Norm_Stats!$F$23),Norm_Stats!$G$23)-Norm_Stats!$F$23)/(Norm_Stats!$G$23-Norm_Stats!$F$23)))))*0.3)+IF((IF(OR(City_Inputs!$AK146="",Norm_Stats!$F$24="",Norm_Stats!$G$24="",Norm_Stats!$G$24=Norm_Stats!$F$24),"",MAX(0,MIN(100,100*(MIN(MAX(City_Inputs!$AK146,Norm_Stats!$F$24),Norm_Stats!$G$24)-Norm_Stats!$F$24)/(Norm_Stats!$G$24-Norm_Stats!$F$24)))))="",0,(IF(OR(City_Inputs!$AK146="",Norm_Stats!$F$24="",Norm_Stats!$G$24="",Norm_Stats!$G$24=Norm_Stats!$F$24),"",MAX(0,MIN(100,100*(MIN(MAX(City_Inputs!$AK146,Norm_Stats!$F$24),Norm_Stats!$G$24)-Norm_Stats!$F$24)/(Norm_Stats!$G$24-Norm_Stats!$F$24)))))*0.2))/(IF((IF(OR(City_Inputs!$AG146="",Norm_Stats!$F$22="",Norm_Stats!$G$22="",Norm_Stats!$G$22=Norm_Stats!$F$22),"",MAX(0,MIN(100,100*(MIN(MAX(City_Inputs!$AG146,Norm_Stats!$F$22),Norm_Stats!$G$22)-Norm_Stats!$F$22)/(Norm_Stats!$G$22-Norm_Stats!$F$22)))))="",0,0.5)+IF((IF(OR(City_Inputs!$AJ146="",Norm_Stats!$F$23="",Norm_Stats!$G$23="",Norm_Stats!$G$23=Norm_Stats!$F$23),"",MAX(0,MIN(100,100*(MIN(MAX(City_Inputs!$AJ146,Norm_Stats!$F$23),Norm_Stats!$G$23)-Norm_Stats!$F$23)/(Norm_Stats!$G$23-Norm_Stats!$F$23)))))="",0,0.3)+IF((IF(OR(City_Inputs!$AK146="",Norm_Stats!$F$24="",Norm_Stats!$G$24="",Norm_Stats!$G$24=Norm_Stats!$F$24),"",MAX(0,MIN(100,100*(MIN(MAX(City_Inputs!$AK146,Norm_Stats!$F$24),Norm_Stats!$G$24)-Norm_Stats!$F$24)/(Norm_Stats!$G$24-Norm_Stats!$F$24)))))="",0,0.2)))</f>
        <v/>
      </c>
      <c r="BD146" s="14">
        <f>IF((IF((IF(OR(City_Inputs!$AG146="",Norm_Stats!$F$22="",Norm_Stats!$G$22="",Norm_Stats!$G$22=Norm_Stats!$F$22),"",MAX(0,MIN(100,100*(MIN(MAX(City_Inputs!$AG146,Norm_Stats!$F$22),Norm_Stats!$G$22)-Norm_Stats!$F$22)/(Norm_Stats!$G$22-Norm_Stats!$F$22)))))="",0,0.5)+IF((IF(OR(City_Inputs!$AJ146="",Norm_Stats!$F$23="",Norm_Stats!$G$23="",Norm_Stats!$G$23=Norm_Stats!$F$23),"",MAX(0,MIN(100,100*(MIN(MAX(City_Inputs!$AJ146,Norm_Stats!$F$23),Norm_Stats!$G$23)-Norm_Stats!$F$23)/(Norm_Stats!$G$23-Norm_Stats!$F$23)))))="",0,0.3)+IF((IF(OR(City_Inputs!$AK146="",Norm_Stats!$F$24="",Norm_Stats!$G$24="",Norm_Stats!$G$24=Norm_Stats!$F$24),"",MAX(0,MIN(100,100*(MIN(MAX(City_Inputs!$AK146,Norm_Stats!$F$24),Norm_Stats!$G$24)-Norm_Stats!$F$24)/(Norm_Stats!$G$24-Norm_Stats!$F$24)))))="",0,0.2))=0,"",(IF((IF(OR(City_Inputs!$AG146="",Norm_Stats!$F$22="",Norm_Stats!$G$22="",Norm_Stats!$G$22=Norm_Stats!$F$22),"",MAX(0,MIN(100,100*(MIN(MAX(City_Inputs!$AG146,Norm_Stats!$F$22),Norm_Stats!$G$22)-Norm_Stats!$F$22)/(Norm_Stats!$G$22-Norm_Stats!$F$22)))))="",0,0.5)+IF((IF(OR(City_Inputs!$AJ146="",Norm_Stats!$F$23="",Norm_Stats!$G$23="",Norm_Stats!$G$23=Norm_Stats!$F$23),"",MAX(0,MIN(100,100*(MIN(MAX(City_Inputs!$AJ146,Norm_Stats!$F$23),Norm_Stats!$G$23)-Norm_Stats!$F$23)/(Norm_Stats!$G$23-Norm_Stats!$F$23)))))="",0,0.3)+IF((IF(OR(City_Inputs!$AK146="",Norm_Stats!$F$24="",Norm_Stats!$G$24="",Norm_Stats!$G$24=Norm_Stats!$F$24),"",MAX(0,MIN(100,100*(MIN(MAX(City_Inputs!$AK146,Norm_Stats!$F$24),Norm_Stats!$G$24)-Norm_Stats!$F$24)/(Norm_Stats!$G$24-Norm_Stats!$F$24)))))="",0,0.2)))</f>
        <v/>
      </c>
      <c r="BE146" s="11">
        <f>IF(OR(City_Inputs!$AH146="",Norm_Stats!$F$25="",Norm_Stats!$G$25="",Norm_Stats!$G$25=Norm_Stats!$F$25),"",MAX(0,MIN(100,100*(Norm_Stats!$G$25-MIN(MAX(City_Inputs!$AH146,Norm_Stats!$F$25),Norm_Stats!$G$25))/(Norm_Stats!$G$25-Norm_Stats!$F$25))))</f>
        <v/>
      </c>
      <c r="BF146" s="14">
        <f>IF(BE146="","",1)</f>
        <v/>
      </c>
      <c r="BG146" s="15">
        <f>IF((IF(AY146="",0,6)+IF(BA146="",0,5)+IF(BC146="",0,5)+IF(BE146="",0,4))=0,"",(IF(AY146="",0,AY146*6)+IF(BA146="",0,BA146*5)+IF(BC146="",0,BC146*5)+IF(BE146="",0,BE146*4))/(IF(AY146="",0,6)+IF(BA146="",0,5)+IF(BC146="",0,5)+IF(BE146="",0,4)))</f>
        <v/>
      </c>
      <c r="BH146" s="14">
        <f>IF((IF(AZ146="",0,6)+IF(BB146="",0,5)+IF(BD146="",0,5)+IF(BF146="",0,4))=0,"",(IF(AZ146="",0,AZ146*6)+IF(BB146="",0,BB146*5)+IF(BD146="",0,BD146*5)+IF(BF146="",0,BF146*4))/20)</f>
        <v/>
      </c>
      <c r="BI146" s="14">
        <f>IF(AND(R146="",AF146="",AN146="",AX146="",BH146=""),"",((R146*25)+(AF146*22)+(AN146*18)+(AX146*15)+(BH146*20))/100)</f>
        <v/>
      </c>
      <c r="BJ146" s="11">
        <f>IF(BI146="","",IF(BI146&gt;=0.75,"A",IF(BI146&gt;=0.5,"B",IF(BI146&gt;=0.35,"C","Watchlist"))))</f>
        <v/>
      </c>
      <c r="BK146" s="11">
        <f>IF(OR(BI146="",BI146&lt;0.5,R146="",R146&lt;0.35,AF146="",AF146&lt;0.35,AN146="",AN146&lt;0.35,AX146="",AX146&lt;0.35,BH146="",BH146&lt;0.35),"Watchlist","Ranked")</f>
        <v/>
      </c>
      <c r="BL146" s="15">
        <f>IF(AND(Q146="",AE146="",AM146="",AW146="",BG146=""),"",(IF(Q146="",0,Q146*25)+IF(AE146="",0,AE146*22)+IF(AM146="",0,AM146*18)+IF(AW146="",0,AW146*15)+IF(BG146="",0,BG146*20))/(IF(Q146="",0,25)+IF(AE146="",0,22)+IF(AM146="",0,18)+IF(AW146="",0,15)+IF(BG146="",0,20)))</f>
        <v/>
      </c>
      <c r="BM146" s="11">
        <f>IF(BK146="Ranked",1+COUNTIFS($BK$2:$BK$158,"Ranked",$BL$2:$BL$158,"&gt;"&amp;BL146),"")</f>
        <v/>
      </c>
      <c r="BN146" s="11">
        <f>City_Inputs!$AI146</f>
        <v/>
      </c>
    </row>
    <row r="147">
      <c r="A147" t="inlineStr">
        <is>
          <t>om-salalah</t>
        </is>
      </c>
      <c r="B147" t="inlineStr">
        <is>
          <t>Salalah</t>
        </is>
      </c>
      <c r="C147" t="inlineStr">
        <is>
          <t>Oman</t>
        </is>
      </c>
      <c r="D147" t="inlineStr">
        <is>
          <t>Middle East</t>
        </is>
      </c>
      <c r="E147" t="inlineStr">
        <is>
          <t>provisional</t>
        </is>
      </c>
      <c r="F147" t="inlineStr">
        <is>
          <t>secondary</t>
        </is>
      </c>
      <c r="G147" s="11">
        <f>IF(OR(City_Inputs!$M147="",Norm_Stats!$F$2="",Norm_Stats!$G$2="",Norm_Stats!$G$2=Norm_Stats!$F$2),"",MAX(0,MIN(100,100*(MIN(MAX(City_Inputs!$M147,Norm_Stats!$F$2),Norm_Stats!$G$2)-Norm_Stats!$F$2)/(Norm_Stats!$G$2-Norm_Stats!$F$2))))</f>
        <v/>
      </c>
      <c r="H147" s="14">
        <f>IF(G147="","",1)</f>
        <v/>
      </c>
      <c r="I147" s="11">
        <f>IF(OR(City_Inputs!$N147="",Norm_Stats!$F$3="",Norm_Stats!$G$3="",Norm_Stats!$G$3=Norm_Stats!$F$3),"",MAX(0,MIN(100,100*(Norm_Stats!$G$3-MIN(MAX(City_Inputs!$N147,Norm_Stats!$F$3),Norm_Stats!$G$3))/(Norm_Stats!$G$3-Norm_Stats!$F$3))))</f>
        <v/>
      </c>
      <c r="J147" s="14">
        <f>IF(I147="","",1)</f>
        <v/>
      </c>
      <c r="K147" s="11">
        <f>IF(OR(City_Inputs!$P147="",Norm_Stats!$F$4="",Norm_Stats!$G$4="",Norm_Stats!$G$4=Norm_Stats!$F$4),"",MAX(0,MIN(100,100*(Norm_Stats!$G$4-MIN(MAX(City_Inputs!$P147,Norm_Stats!$F$4),Norm_Stats!$G$4))/(Norm_Stats!$G$4-Norm_Stats!$F$4))))</f>
        <v/>
      </c>
      <c r="L147" s="14">
        <f>IF(K147="","",1)</f>
        <v/>
      </c>
      <c r="M147" s="11">
        <f>IF(OR(City_Inputs!$Q147="",Norm_Stats!$F$5="",Norm_Stats!$G$5="",Norm_Stats!$G$5=Norm_Stats!$F$5),"",MAX(0,MIN(100,100*(Norm_Stats!$G$5-MIN(MAX(City_Inputs!$Q147,Norm_Stats!$F$5),Norm_Stats!$G$5))/(Norm_Stats!$G$5-Norm_Stats!$F$5))))</f>
        <v/>
      </c>
      <c r="N147" s="14">
        <f>IF(M147="","",1)</f>
        <v/>
      </c>
      <c r="O147" s="11">
        <f>IF(OR(City_Inputs!$R147="",Norm_Stats!$F$6="",Norm_Stats!$G$6="",Norm_Stats!$G$6=Norm_Stats!$F$6),"",MAX(0,MIN(100,100*(Norm_Stats!$G$6-MIN(MAX(City_Inputs!$R147,Norm_Stats!$F$6),Norm_Stats!$G$6))/(Norm_Stats!$G$6-Norm_Stats!$F$6))))</f>
        <v/>
      </c>
      <c r="P147" s="14">
        <f>IF(O147="","",1)</f>
        <v/>
      </c>
      <c r="Q147" s="15">
        <f>IF((IF(G147="",0,9)+IF(I147="",0,5)+IF(K147="",0,4)+IF(M147="",0,4)+IF(O147="",0,5))=0,"",(IF(G147="",0,G147*9)+IF(I147="",0,I147*5)+IF(K147="",0,K147*4)+IF(M147="",0,M147*4)+IF(O147="",0,O147*5))/(IF(G147="",0,9)+IF(I147="",0,5)+IF(K147="",0,4)+IF(M147="",0,4)+IF(O147="",0,5)))</f>
        <v/>
      </c>
      <c r="R147" s="14">
        <f>IF((IF(H147="",0,9)+IF(J147="",0,5)+IF(L147="",0,4)+IF(N147="",0,4)+IF(P147="",0,5))=0,"",(IF(H147="",0,H147*9)+IF(J147="",0,J147*5)+IF(L147="",0,L147*4)+IF(N147="",0,N147*4)+IF(P147="",0,P147*5))/27)</f>
        <v/>
      </c>
      <c r="S147" s="11">
        <f>IF(OR(City_Inputs!$S147="",Norm_Stats!$F$7="",Norm_Stats!$G$7="",Norm_Stats!$G$7=Norm_Stats!$F$7),"",MAX(0,MIN(100,100*(Norm_Stats!$G$7-MIN(MAX(City_Inputs!$S147,Norm_Stats!$F$7),Norm_Stats!$G$7))/(Norm_Stats!$G$7-Norm_Stats!$F$7))))</f>
        <v/>
      </c>
      <c r="T147" s="14">
        <f>IF(S147="","",1)</f>
        <v/>
      </c>
      <c r="U147" s="11">
        <f>IF(OR(City_Inputs!$T147="",Norm_Stats!$F$8="",Norm_Stats!$G$8="",Norm_Stats!$G$8=Norm_Stats!$F$8),"",MAX(0,MIN(100,100*(MIN(MAX(City_Inputs!$T147,Norm_Stats!$F$8),Norm_Stats!$G$8)-Norm_Stats!$F$8)/(Norm_Stats!$G$8-Norm_Stats!$F$8))))</f>
        <v/>
      </c>
      <c r="V147" s="14">
        <f>IF(U147="","",1)</f>
        <v/>
      </c>
      <c r="W147" s="11">
        <f>IF(OR(City_Inputs!$U147="",Norm_Stats!$F$9="",Norm_Stats!$G$9="",Norm_Stats!$G$9=Norm_Stats!$F$9),"",MAX(0,MIN(100,100*(Norm_Stats!$G$9-MIN(MAX(City_Inputs!$U147,Norm_Stats!$F$9),Norm_Stats!$G$9))/(Norm_Stats!$G$9-Norm_Stats!$F$9))))</f>
        <v/>
      </c>
      <c r="X147" s="14">
        <f>IF(W147="","",1)</f>
        <v/>
      </c>
      <c r="Y147" s="11">
        <f>IF(OR(City_Inputs!$V147="",Norm_Stats!$F$10="",Norm_Stats!$G$10="",Norm_Stats!$G$10=Norm_Stats!$F$10),"",MAX(0,MIN(100,100*(MIN(MAX(City_Inputs!$V147,Norm_Stats!$F$10),Norm_Stats!$G$10)-Norm_Stats!$F$10)/(Norm_Stats!$G$10-Norm_Stats!$F$10))))</f>
        <v/>
      </c>
      <c r="Z147" s="14">
        <f>IF(Y147="","",1)</f>
        <v/>
      </c>
      <c r="AA147" s="11">
        <f>IF(OR(City_Inputs!$W147="",Norm_Stats!$F$11="",Norm_Stats!$G$11="",Norm_Stats!$G$11=Norm_Stats!$F$11),"",MAX(0,MIN(100,100*(MIN(MAX(City_Inputs!$W147,Norm_Stats!$F$11),Norm_Stats!$G$11)-Norm_Stats!$F$11)/(Norm_Stats!$G$11-Norm_Stats!$F$11))))</f>
        <v/>
      </c>
      <c r="AB147" s="14">
        <f>IF(AA147="","",1)</f>
        <v/>
      </c>
      <c r="AC147" s="11">
        <f>IF(OR(City_Inputs!$X147="",Norm_Stats!$F$12="",Norm_Stats!$G$12="",Norm_Stats!$G$12=Norm_Stats!$F$12),"",MAX(0,MIN(100,100*(MIN(MAX(City_Inputs!$X147,Norm_Stats!$F$12),Norm_Stats!$G$12)-Norm_Stats!$F$12)/(Norm_Stats!$G$12-Norm_Stats!$F$12))))</f>
        <v/>
      </c>
      <c r="AD147" s="11">
        <f>IF(AC147="","",1)</f>
        <v/>
      </c>
      <c r="AE147" s="15">
        <f>IF((IF(S147="",0,5)+IF(U147="",0,5)+IF(W147="",0,4)+IF(Y147="",0,4)+IF(AA147="",0,4)+IF(AC147="",0,5))=0,"",(IF(S147="",0,S147*5)+IF(U147="",0,U147*5)+IF(W147="",0,W147*4)+IF(Y147="",0,Y147*4)+IF(AA147="",0,AA147*4)+IF(AC147="",0,AC147*5))/(IF(S147="",0,5)+IF(U147="",0,5)+IF(W147="",0,4)+IF(Y147="",0,4)+IF(AA147="",0,4)+IF(AC147="",0,5)))</f>
        <v/>
      </c>
      <c r="AF147" s="14">
        <f>IF((IF(T147="",0,5)+IF(V147="",0,5)+IF(X147="",0,4)+IF(Z147="",0,4)+IF(AB147="",0,4)+IF(AD147="",0,5))=0,"",(IF(T147="",0,T147*5)+IF(V147="",0,V147*5)+IF(X147="",0,X147*4)+IF(Z147="",0,Z147*4)+IF(AB147="",0,AB147*4)+IF(AD147="",0,AD147*5))/27)</f>
        <v/>
      </c>
      <c r="AG147" s="11">
        <f>IF(OR(City_Inputs!$Y147="",Norm_Stats!$F$13="",Norm_Stats!$G$13="",Norm_Stats!$G$13=Norm_Stats!$F$13),"",MAX(0,MIN(100,100*(MIN(MAX(City_Inputs!$Y147,Norm_Stats!$F$13),Norm_Stats!$G$13)-Norm_Stats!$F$13)/(Norm_Stats!$G$13-Norm_Stats!$F$13))))</f>
        <v/>
      </c>
      <c r="AH147" s="14">
        <f>IF(AG147="","",1)</f>
        <v/>
      </c>
      <c r="AI147" s="11">
        <f>IF(OR(City_Inputs!$Z147="",Norm_Stats!$F$14="",Norm_Stats!$G$14="",Norm_Stats!$G$14=Norm_Stats!$F$14),"",MAX(0,MIN(100,100*(MIN(MAX(City_Inputs!$Z147,Norm_Stats!$F$14),Norm_Stats!$G$14)-Norm_Stats!$F$14)/(Norm_Stats!$G$14-Norm_Stats!$F$14))))</f>
        <v/>
      </c>
      <c r="AJ147" s="14">
        <f>IF(AI147="","",1)</f>
        <v/>
      </c>
      <c r="AK147" s="11">
        <f>IF((IF((IF(OR(City_Inputs!$AA147="",Norm_Stats!$F$15="",Norm_Stats!$G$15="",Norm_Stats!$G$15=Norm_Stats!$F$15),"",MAX(0,MIN(100,100*(MIN(MAX(City_Inputs!$AA147,Norm_Stats!$F$15),Norm_Stats!$G$15)-Norm_Stats!$F$15)/(Norm_Stats!$G$15-Norm_Stats!$F$15)))))="",0,0.7)+IF((IF(OR(City_Inputs!$AL147="",Norm_Stats!$F$16="",Norm_Stats!$G$16="",Norm_Stats!$G$16=Norm_Stats!$F$16),"",MAX(0,MIN(100,100*(Norm_Stats!$G$16-MIN(MAX(City_Inputs!$AL147,Norm_Stats!$F$16),Norm_Stats!$G$16))/(Norm_Stats!$G$16-Norm_Stats!$F$16)))))="",0,0.3))=0,"",(IF((IF(OR(City_Inputs!$AA147="",Norm_Stats!$F$15="",Norm_Stats!$G$15="",Norm_Stats!$G$15=Norm_Stats!$F$15),"",MAX(0,MIN(100,100*(MIN(MAX(City_Inputs!$AA147,Norm_Stats!$F$15),Norm_Stats!$G$15)-Norm_Stats!$F$15)/(Norm_Stats!$G$15-Norm_Stats!$F$15)))))="",0,(IF(OR(City_Inputs!$AA147="",Norm_Stats!$F$15="",Norm_Stats!$G$15="",Norm_Stats!$G$15=Norm_Stats!$F$15),"",MAX(0,MIN(100,100*(MIN(MAX(City_Inputs!$AA147,Norm_Stats!$F$15),Norm_Stats!$G$15)-Norm_Stats!$F$15)/(Norm_Stats!$G$15-Norm_Stats!$F$15)))))*0.7)+IF((IF(OR(City_Inputs!$AL147="",Norm_Stats!$F$16="",Norm_Stats!$G$16="",Norm_Stats!$G$16=Norm_Stats!$F$16),"",MAX(0,MIN(100,100*(Norm_Stats!$G$16-MIN(MAX(City_Inputs!$AL147,Norm_Stats!$F$16),Norm_Stats!$G$16))/(Norm_Stats!$G$16-Norm_Stats!$F$16)))))="",0,(IF(OR(City_Inputs!$AL147="",Norm_Stats!$F$16="",Norm_Stats!$G$16="",Norm_Stats!$G$16=Norm_Stats!$F$16),"",MAX(0,MIN(100,100*(Norm_Stats!$G$16-MIN(MAX(City_Inputs!$AL147,Norm_Stats!$F$16),Norm_Stats!$G$16))/(Norm_Stats!$G$16-Norm_Stats!$F$16)))))*0.3))/(IF((IF(OR(City_Inputs!$AA147="",Norm_Stats!$F$15="",Norm_Stats!$G$15="",Norm_Stats!$G$15=Norm_Stats!$F$15),"",MAX(0,MIN(100,100*(MIN(MAX(City_Inputs!$AA147,Norm_Stats!$F$15),Norm_Stats!$G$15)-Norm_Stats!$F$15)/(Norm_Stats!$G$15-Norm_Stats!$F$15)))))="",0,0.7)+IF((IF(OR(City_Inputs!$AL147="",Norm_Stats!$F$16="",Norm_Stats!$G$16="",Norm_Stats!$G$16=Norm_Stats!$F$16),"",MAX(0,MIN(100,100*(Norm_Stats!$G$16-MIN(MAX(City_Inputs!$AL147,Norm_Stats!$F$16),Norm_Stats!$G$16))/(Norm_Stats!$G$16-Norm_Stats!$F$16)))))="",0,0.3)))</f>
        <v/>
      </c>
      <c r="AL147" s="14">
        <f>IF((IF((IF(OR(City_Inputs!$AA147="",Norm_Stats!$F$15="",Norm_Stats!$G$15="",Norm_Stats!$G$15=Norm_Stats!$F$15),"",MAX(0,MIN(100,100*(MIN(MAX(City_Inputs!$AA147,Norm_Stats!$F$15),Norm_Stats!$G$15)-Norm_Stats!$F$15)/(Norm_Stats!$G$15-Norm_Stats!$F$15)))))="",0,0.7)+IF((IF(OR(City_Inputs!$AL147="",Norm_Stats!$F$16="",Norm_Stats!$G$16="",Norm_Stats!$G$16=Norm_Stats!$F$16),"",MAX(0,MIN(100,100*(Norm_Stats!$G$16-MIN(MAX(City_Inputs!$AL147,Norm_Stats!$F$16),Norm_Stats!$G$16))/(Norm_Stats!$G$16-Norm_Stats!$F$16)))))="",0,0.3))=0,"",(IF((IF(OR(City_Inputs!$AA147="",Norm_Stats!$F$15="",Norm_Stats!$G$15="",Norm_Stats!$G$15=Norm_Stats!$F$15),"",MAX(0,MIN(100,100*(MIN(MAX(City_Inputs!$AA147,Norm_Stats!$F$15),Norm_Stats!$G$15)-Norm_Stats!$F$15)/(Norm_Stats!$G$15-Norm_Stats!$F$15)))))="",0,0.7)+IF((IF(OR(City_Inputs!$AL147="",Norm_Stats!$F$16="",Norm_Stats!$G$16="",Norm_Stats!$G$16=Norm_Stats!$F$16),"",MAX(0,MIN(100,100*(Norm_Stats!$G$16-MIN(MAX(City_Inputs!$AL147,Norm_Stats!$F$16),Norm_Stats!$G$16))/(Norm_Stats!$G$16-Norm_Stats!$F$16)))))="",0,0.3)))</f>
        <v/>
      </c>
      <c r="AM147" s="15">
        <f>IF((IF(AG147="",0,8)+IF(AI147="",0,6)+IF(AK147="",0,4))=0,"",(IF(AG147="",0,AG147*8)+IF(AI147="",0,AI147*6)+IF(AK147="",0,AK147*4))/(IF(AG147="",0,8)+IF(AI147="",0,6)+IF(AK147="",0,4)))</f>
        <v/>
      </c>
      <c r="AN147" s="14">
        <f>IF((IF(AH147="",0,8)+IF(AJ147="",0,6)+IF(AL147="",0,4))=0,"",(IF(AH147="",0,AH147*8)+IF(AJ147="",0,AJ147*6)+IF(AL147="",0,AL147*4))/18)</f>
        <v/>
      </c>
      <c r="AO147" s="11">
        <f>IF(OR(City_Inputs!$AB147="",Norm_Stats!$F$17="",Norm_Stats!$G$17="",Norm_Stats!$G$17=Norm_Stats!$F$17),"",MAX(0,MIN(100,100*(MIN(MAX(City_Inputs!$AB147,Norm_Stats!$F$17),Norm_Stats!$G$17)-Norm_Stats!$F$17)/(Norm_Stats!$G$17-Norm_Stats!$F$17))))</f>
        <v/>
      </c>
      <c r="AP147" s="14">
        <f>IF(AO147="","",1)</f>
        <v/>
      </c>
      <c r="AQ147" s="11">
        <f>IF(OR(City_Inputs!$AC147="",Norm_Stats!$F$18="",Norm_Stats!$G$18="",Norm_Stats!$G$18=Norm_Stats!$F$18),"",MAX(0,MIN(100,100*(MIN(MAX(City_Inputs!$AC147,Norm_Stats!$F$18),Norm_Stats!$G$18)-Norm_Stats!$F$18)/(Norm_Stats!$G$18-Norm_Stats!$F$18))))</f>
        <v/>
      </c>
      <c r="AR147" s="14">
        <f>IF(AQ147="","",1)</f>
        <v/>
      </c>
      <c r="AS147" s="11">
        <f>IF(OR(City_Inputs!$AD147="",Norm_Stats!$F$19="",Norm_Stats!$G$19="",Norm_Stats!$G$19=Norm_Stats!$F$19),"",MAX(0,MIN(100,100*(MIN(MAX(City_Inputs!$AD147,Norm_Stats!$F$19),Norm_Stats!$G$19)-Norm_Stats!$F$19)/(Norm_Stats!$G$19-Norm_Stats!$F$19))))</f>
        <v/>
      </c>
      <c r="AT147" s="14">
        <f>IF(AS147="","",1)</f>
        <v/>
      </c>
      <c r="AU147" s="11">
        <f>IF(OR(City_Inputs!$BJ147="",Norm_Stats!$F$26="",Norm_Stats!$G$26="",Norm_Stats!$G$26=Norm_Stats!$F$26),"",MAX(0,MIN(100,100*(MIN(MAX(City_Inputs!$BJ147,Norm_Stats!$F$26),Norm_Stats!$G$26)-Norm_Stats!$F$26)/(Norm_Stats!$G$26-Norm_Stats!$F$26))))</f>
        <v/>
      </c>
      <c r="AV147" s="11">
        <f>IF(AU147="","",1)</f>
        <v/>
      </c>
      <c r="AW147" s="15">
        <f>IF((IF(AO147="",0,5)+IF(AQ147="",0,5)+IF(AS147="",0,5)+IF(AU147="",0,4))=0,"",(IF(AO147="",0,AO147*5)+IF(AQ147="",0,AQ147*5)+IF(AS147="",0,AS147*5)+IF(AU147="",0,AU147*4))/(IF(AO147="",0,5)+IF(AQ147="",0,5)+IF(AS147="",0,5)+IF(AU147="",0,4)))</f>
        <v/>
      </c>
      <c r="AX147" s="14">
        <f>IF((IF(AP147="",0,5)+IF(AR147="",0,5)+IF(AT147="",0,5)+IF(AV147="",0,4))=0,"",(IF(AP147="",0,AP147*5)+IF(AR147="",0,AR147*5)+IF(AT147="",0,AT147*5)+IF(AV147="",0,AV147*4))/19)</f>
        <v/>
      </c>
      <c r="AY147" s="11">
        <f>IF(OR(City_Inputs!$AE147="",Norm_Stats!$F$20="",Norm_Stats!$G$20="",Norm_Stats!$G$20=Norm_Stats!$F$20),"",MAX(0,MIN(100,100*(MIN(MAX(City_Inputs!$AE147,Norm_Stats!$F$20),Norm_Stats!$G$20)-Norm_Stats!$F$20)/(Norm_Stats!$G$20-Norm_Stats!$F$20))))</f>
        <v/>
      </c>
      <c r="AZ147" s="14">
        <f>IF(AY147="","",1)</f>
        <v/>
      </c>
      <c r="BA147" s="11">
        <f>IF(OR(City_Inputs!$AF147="",Norm_Stats!$F$21="",Norm_Stats!$G$21="",Norm_Stats!$G$21=Norm_Stats!$F$21),"",MAX(0,MIN(100,100*(MIN(MAX(City_Inputs!$AF147,Norm_Stats!$F$21),Norm_Stats!$G$21)-Norm_Stats!$F$21)/(Norm_Stats!$G$21-Norm_Stats!$F$21))))</f>
        <v/>
      </c>
      <c r="BB147" s="14">
        <f>IF(BA147="","",1)</f>
        <v/>
      </c>
      <c r="BC147" s="11">
        <f>IF((IF((IF(OR(City_Inputs!$AG147="",Norm_Stats!$F$22="",Norm_Stats!$G$22="",Norm_Stats!$G$22=Norm_Stats!$F$22),"",MAX(0,MIN(100,100*(MIN(MAX(City_Inputs!$AG147,Norm_Stats!$F$22),Norm_Stats!$G$22)-Norm_Stats!$F$22)/(Norm_Stats!$G$22-Norm_Stats!$F$22)))))="",0,0.5)+IF((IF(OR(City_Inputs!$AJ147="",Norm_Stats!$F$23="",Norm_Stats!$G$23="",Norm_Stats!$G$23=Norm_Stats!$F$23),"",MAX(0,MIN(100,100*(MIN(MAX(City_Inputs!$AJ147,Norm_Stats!$F$23),Norm_Stats!$G$23)-Norm_Stats!$F$23)/(Norm_Stats!$G$23-Norm_Stats!$F$23)))))="",0,0.3)+IF((IF(OR(City_Inputs!$AK147="",Norm_Stats!$F$24="",Norm_Stats!$G$24="",Norm_Stats!$G$24=Norm_Stats!$F$24),"",MAX(0,MIN(100,100*(MIN(MAX(City_Inputs!$AK147,Norm_Stats!$F$24),Norm_Stats!$G$24)-Norm_Stats!$F$24)/(Norm_Stats!$G$24-Norm_Stats!$F$24)))))="",0,0.2))=0,"",(IF((IF(OR(City_Inputs!$AG147="",Norm_Stats!$F$22="",Norm_Stats!$G$22="",Norm_Stats!$G$22=Norm_Stats!$F$22),"",MAX(0,MIN(100,100*(MIN(MAX(City_Inputs!$AG147,Norm_Stats!$F$22),Norm_Stats!$G$22)-Norm_Stats!$F$22)/(Norm_Stats!$G$22-Norm_Stats!$F$22)))))="",0,(IF(OR(City_Inputs!$AG147="",Norm_Stats!$F$22="",Norm_Stats!$G$22="",Norm_Stats!$G$22=Norm_Stats!$F$22),"",MAX(0,MIN(100,100*(MIN(MAX(City_Inputs!$AG147,Norm_Stats!$F$22),Norm_Stats!$G$22)-Norm_Stats!$F$22)/(Norm_Stats!$G$22-Norm_Stats!$F$22)))))*0.5)+IF((IF(OR(City_Inputs!$AJ147="",Norm_Stats!$F$23="",Norm_Stats!$G$23="",Norm_Stats!$G$23=Norm_Stats!$F$23),"",MAX(0,MIN(100,100*(MIN(MAX(City_Inputs!$AJ147,Norm_Stats!$F$23),Norm_Stats!$G$23)-Norm_Stats!$F$23)/(Norm_Stats!$G$23-Norm_Stats!$F$23)))))="",0,(IF(OR(City_Inputs!$AJ147="",Norm_Stats!$F$23="",Norm_Stats!$G$23="",Norm_Stats!$G$23=Norm_Stats!$F$23),"",MAX(0,MIN(100,100*(MIN(MAX(City_Inputs!$AJ147,Norm_Stats!$F$23),Norm_Stats!$G$23)-Norm_Stats!$F$23)/(Norm_Stats!$G$23-Norm_Stats!$F$23)))))*0.3)+IF((IF(OR(City_Inputs!$AK147="",Norm_Stats!$F$24="",Norm_Stats!$G$24="",Norm_Stats!$G$24=Norm_Stats!$F$24),"",MAX(0,MIN(100,100*(MIN(MAX(City_Inputs!$AK147,Norm_Stats!$F$24),Norm_Stats!$G$24)-Norm_Stats!$F$24)/(Norm_Stats!$G$24-Norm_Stats!$F$24)))))="",0,(IF(OR(City_Inputs!$AK147="",Norm_Stats!$F$24="",Norm_Stats!$G$24="",Norm_Stats!$G$24=Norm_Stats!$F$24),"",MAX(0,MIN(100,100*(MIN(MAX(City_Inputs!$AK147,Norm_Stats!$F$24),Norm_Stats!$G$24)-Norm_Stats!$F$24)/(Norm_Stats!$G$24-Norm_Stats!$F$24)))))*0.2))/(IF((IF(OR(City_Inputs!$AG147="",Norm_Stats!$F$22="",Norm_Stats!$G$22="",Norm_Stats!$G$22=Norm_Stats!$F$22),"",MAX(0,MIN(100,100*(MIN(MAX(City_Inputs!$AG147,Norm_Stats!$F$22),Norm_Stats!$G$22)-Norm_Stats!$F$22)/(Norm_Stats!$G$22-Norm_Stats!$F$22)))))="",0,0.5)+IF((IF(OR(City_Inputs!$AJ147="",Norm_Stats!$F$23="",Norm_Stats!$G$23="",Norm_Stats!$G$23=Norm_Stats!$F$23),"",MAX(0,MIN(100,100*(MIN(MAX(City_Inputs!$AJ147,Norm_Stats!$F$23),Norm_Stats!$G$23)-Norm_Stats!$F$23)/(Norm_Stats!$G$23-Norm_Stats!$F$23)))))="",0,0.3)+IF((IF(OR(City_Inputs!$AK147="",Norm_Stats!$F$24="",Norm_Stats!$G$24="",Norm_Stats!$G$24=Norm_Stats!$F$24),"",MAX(0,MIN(100,100*(MIN(MAX(City_Inputs!$AK147,Norm_Stats!$F$24),Norm_Stats!$G$24)-Norm_Stats!$F$24)/(Norm_Stats!$G$24-Norm_Stats!$F$24)))))="",0,0.2)))</f>
        <v/>
      </c>
      <c r="BD147" s="14">
        <f>IF((IF((IF(OR(City_Inputs!$AG147="",Norm_Stats!$F$22="",Norm_Stats!$G$22="",Norm_Stats!$G$22=Norm_Stats!$F$22),"",MAX(0,MIN(100,100*(MIN(MAX(City_Inputs!$AG147,Norm_Stats!$F$22),Norm_Stats!$G$22)-Norm_Stats!$F$22)/(Norm_Stats!$G$22-Norm_Stats!$F$22)))))="",0,0.5)+IF((IF(OR(City_Inputs!$AJ147="",Norm_Stats!$F$23="",Norm_Stats!$G$23="",Norm_Stats!$G$23=Norm_Stats!$F$23),"",MAX(0,MIN(100,100*(MIN(MAX(City_Inputs!$AJ147,Norm_Stats!$F$23),Norm_Stats!$G$23)-Norm_Stats!$F$23)/(Norm_Stats!$G$23-Norm_Stats!$F$23)))))="",0,0.3)+IF((IF(OR(City_Inputs!$AK147="",Norm_Stats!$F$24="",Norm_Stats!$G$24="",Norm_Stats!$G$24=Norm_Stats!$F$24),"",MAX(0,MIN(100,100*(MIN(MAX(City_Inputs!$AK147,Norm_Stats!$F$24),Norm_Stats!$G$24)-Norm_Stats!$F$24)/(Norm_Stats!$G$24-Norm_Stats!$F$24)))))="",0,0.2))=0,"",(IF((IF(OR(City_Inputs!$AG147="",Norm_Stats!$F$22="",Norm_Stats!$G$22="",Norm_Stats!$G$22=Norm_Stats!$F$22),"",MAX(0,MIN(100,100*(MIN(MAX(City_Inputs!$AG147,Norm_Stats!$F$22),Norm_Stats!$G$22)-Norm_Stats!$F$22)/(Norm_Stats!$G$22-Norm_Stats!$F$22)))))="",0,0.5)+IF((IF(OR(City_Inputs!$AJ147="",Norm_Stats!$F$23="",Norm_Stats!$G$23="",Norm_Stats!$G$23=Norm_Stats!$F$23),"",MAX(0,MIN(100,100*(MIN(MAX(City_Inputs!$AJ147,Norm_Stats!$F$23),Norm_Stats!$G$23)-Norm_Stats!$F$23)/(Norm_Stats!$G$23-Norm_Stats!$F$23)))))="",0,0.3)+IF((IF(OR(City_Inputs!$AK147="",Norm_Stats!$F$24="",Norm_Stats!$G$24="",Norm_Stats!$G$24=Norm_Stats!$F$24),"",MAX(0,MIN(100,100*(MIN(MAX(City_Inputs!$AK147,Norm_Stats!$F$24),Norm_Stats!$G$24)-Norm_Stats!$F$24)/(Norm_Stats!$G$24-Norm_Stats!$F$24)))))="",0,0.2)))</f>
        <v/>
      </c>
      <c r="BE147" s="11">
        <f>IF(OR(City_Inputs!$AH147="",Norm_Stats!$F$25="",Norm_Stats!$G$25="",Norm_Stats!$G$25=Norm_Stats!$F$25),"",MAX(0,MIN(100,100*(Norm_Stats!$G$25-MIN(MAX(City_Inputs!$AH147,Norm_Stats!$F$25),Norm_Stats!$G$25))/(Norm_Stats!$G$25-Norm_Stats!$F$25))))</f>
        <v/>
      </c>
      <c r="BF147" s="14">
        <f>IF(BE147="","",1)</f>
        <v/>
      </c>
      <c r="BG147" s="15">
        <f>IF((IF(AY147="",0,6)+IF(BA147="",0,5)+IF(BC147="",0,5)+IF(BE147="",0,4))=0,"",(IF(AY147="",0,AY147*6)+IF(BA147="",0,BA147*5)+IF(BC147="",0,BC147*5)+IF(BE147="",0,BE147*4))/(IF(AY147="",0,6)+IF(BA147="",0,5)+IF(BC147="",0,5)+IF(BE147="",0,4)))</f>
        <v/>
      </c>
      <c r="BH147" s="14">
        <f>IF((IF(AZ147="",0,6)+IF(BB147="",0,5)+IF(BD147="",0,5)+IF(BF147="",0,4))=0,"",(IF(AZ147="",0,AZ147*6)+IF(BB147="",0,BB147*5)+IF(BD147="",0,BD147*5)+IF(BF147="",0,BF147*4))/20)</f>
        <v/>
      </c>
      <c r="BI147" s="14">
        <f>IF(AND(R147="",AF147="",AN147="",AX147="",BH147=""),"",((R147*25)+(AF147*22)+(AN147*18)+(AX147*15)+(BH147*20))/100)</f>
        <v/>
      </c>
      <c r="BJ147" s="11">
        <f>IF(BI147="","",IF(BI147&gt;=0.75,"A",IF(BI147&gt;=0.5,"B",IF(BI147&gt;=0.35,"C","Watchlist"))))</f>
        <v/>
      </c>
      <c r="BK147" s="11">
        <f>IF(OR(BI147="",BI147&lt;0.5,R147="",R147&lt;0.35,AF147="",AF147&lt;0.35,AN147="",AN147&lt;0.35,AX147="",AX147&lt;0.35,BH147="",BH147&lt;0.35),"Watchlist","Ranked")</f>
        <v/>
      </c>
      <c r="BL147" s="15">
        <f>IF(AND(Q147="",AE147="",AM147="",AW147="",BG147=""),"",(IF(Q147="",0,Q147*25)+IF(AE147="",0,AE147*22)+IF(AM147="",0,AM147*18)+IF(AW147="",0,AW147*15)+IF(BG147="",0,BG147*20))/(IF(Q147="",0,25)+IF(AE147="",0,22)+IF(AM147="",0,18)+IF(AW147="",0,15)+IF(BG147="",0,20)))</f>
        <v/>
      </c>
      <c r="BM147" s="11">
        <f>IF(BK147="Ranked",1+COUNTIFS($BK$2:$BK$158,"Ranked",$BL$2:$BL$158,"&gt;"&amp;BL147),"")</f>
        <v/>
      </c>
      <c r="BN147" s="11">
        <f>City_Inputs!$AI147</f>
        <v/>
      </c>
    </row>
    <row r="148">
      <c r="A148" t="inlineStr">
        <is>
          <t>jo-aqaba</t>
        </is>
      </c>
      <c r="B148" t="inlineStr">
        <is>
          <t>Aqaba</t>
        </is>
      </c>
      <c r="C148" t="inlineStr">
        <is>
          <t>Jordan</t>
        </is>
      </c>
      <c r="D148" t="inlineStr">
        <is>
          <t>Middle East</t>
        </is>
      </c>
      <c r="E148" t="inlineStr">
        <is>
          <t>provisional</t>
        </is>
      </c>
      <c r="F148" t="inlineStr">
        <is>
          <t>secondary</t>
        </is>
      </c>
      <c r="G148" s="11">
        <f>IF(OR(City_Inputs!$M148="",Norm_Stats!$F$2="",Norm_Stats!$G$2="",Norm_Stats!$G$2=Norm_Stats!$F$2),"",MAX(0,MIN(100,100*(MIN(MAX(City_Inputs!$M148,Norm_Stats!$F$2),Norm_Stats!$G$2)-Norm_Stats!$F$2)/(Norm_Stats!$G$2-Norm_Stats!$F$2))))</f>
        <v/>
      </c>
      <c r="H148" s="14">
        <f>IF(G148="","",1)</f>
        <v/>
      </c>
      <c r="I148" s="11">
        <f>IF(OR(City_Inputs!$N148="",Norm_Stats!$F$3="",Norm_Stats!$G$3="",Norm_Stats!$G$3=Norm_Stats!$F$3),"",MAX(0,MIN(100,100*(Norm_Stats!$G$3-MIN(MAX(City_Inputs!$N148,Norm_Stats!$F$3),Norm_Stats!$G$3))/(Norm_Stats!$G$3-Norm_Stats!$F$3))))</f>
        <v/>
      </c>
      <c r="J148" s="14">
        <f>IF(I148="","",1)</f>
        <v/>
      </c>
      <c r="K148" s="11">
        <f>IF(OR(City_Inputs!$P148="",Norm_Stats!$F$4="",Norm_Stats!$G$4="",Norm_Stats!$G$4=Norm_Stats!$F$4),"",MAX(0,MIN(100,100*(Norm_Stats!$G$4-MIN(MAX(City_Inputs!$P148,Norm_Stats!$F$4),Norm_Stats!$G$4))/(Norm_Stats!$G$4-Norm_Stats!$F$4))))</f>
        <v/>
      </c>
      <c r="L148" s="14">
        <f>IF(K148="","",1)</f>
        <v/>
      </c>
      <c r="M148" s="11">
        <f>IF(OR(City_Inputs!$Q148="",Norm_Stats!$F$5="",Norm_Stats!$G$5="",Norm_Stats!$G$5=Norm_Stats!$F$5),"",MAX(0,MIN(100,100*(Norm_Stats!$G$5-MIN(MAX(City_Inputs!$Q148,Norm_Stats!$F$5),Norm_Stats!$G$5))/(Norm_Stats!$G$5-Norm_Stats!$F$5))))</f>
        <v/>
      </c>
      <c r="N148" s="14">
        <f>IF(M148="","",1)</f>
        <v/>
      </c>
      <c r="O148" s="11">
        <f>IF(OR(City_Inputs!$R148="",Norm_Stats!$F$6="",Norm_Stats!$G$6="",Norm_Stats!$G$6=Norm_Stats!$F$6),"",MAX(0,MIN(100,100*(Norm_Stats!$G$6-MIN(MAX(City_Inputs!$R148,Norm_Stats!$F$6),Norm_Stats!$G$6))/(Norm_Stats!$G$6-Norm_Stats!$F$6))))</f>
        <v/>
      </c>
      <c r="P148" s="14">
        <f>IF(O148="","",1)</f>
        <v/>
      </c>
      <c r="Q148" s="15">
        <f>IF((IF(G148="",0,9)+IF(I148="",0,5)+IF(K148="",0,4)+IF(M148="",0,4)+IF(O148="",0,5))=0,"",(IF(G148="",0,G148*9)+IF(I148="",0,I148*5)+IF(K148="",0,K148*4)+IF(M148="",0,M148*4)+IF(O148="",0,O148*5))/(IF(G148="",0,9)+IF(I148="",0,5)+IF(K148="",0,4)+IF(M148="",0,4)+IF(O148="",0,5)))</f>
        <v/>
      </c>
      <c r="R148" s="14">
        <f>IF((IF(H148="",0,9)+IF(J148="",0,5)+IF(L148="",0,4)+IF(N148="",0,4)+IF(P148="",0,5))=0,"",(IF(H148="",0,H148*9)+IF(J148="",0,J148*5)+IF(L148="",0,L148*4)+IF(N148="",0,N148*4)+IF(P148="",0,P148*5))/27)</f>
        <v/>
      </c>
      <c r="S148" s="11">
        <f>IF(OR(City_Inputs!$S148="",Norm_Stats!$F$7="",Norm_Stats!$G$7="",Norm_Stats!$G$7=Norm_Stats!$F$7),"",MAX(0,MIN(100,100*(Norm_Stats!$G$7-MIN(MAX(City_Inputs!$S148,Norm_Stats!$F$7),Norm_Stats!$G$7))/(Norm_Stats!$G$7-Norm_Stats!$F$7))))</f>
        <v/>
      </c>
      <c r="T148" s="14">
        <f>IF(S148="","",1)</f>
        <v/>
      </c>
      <c r="U148" s="11">
        <f>IF(OR(City_Inputs!$T148="",Norm_Stats!$F$8="",Norm_Stats!$G$8="",Norm_Stats!$G$8=Norm_Stats!$F$8),"",MAX(0,MIN(100,100*(MIN(MAX(City_Inputs!$T148,Norm_Stats!$F$8),Norm_Stats!$G$8)-Norm_Stats!$F$8)/(Norm_Stats!$G$8-Norm_Stats!$F$8))))</f>
        <v/>
      </c>
      <c r="V148" s="14">
        <f>IF(U148="","",1)</f>
        <v/>
      </c>
      <c r="W148" s="11">
        <f>IF(OR(City_Inputs!$U148="",Norm_Stats!$F$9="",Norm_Stats!$G$9="",Norm_Stats!$G$9=Norm_Stats!$F$9),"",MAX(0,MIN(100,100*(Norm_Stats!$G$9-MIN(MAX(City_Inputs!$U148,Norm_Stats!$F$9),Norm_Stats!$G$9))/(Norm_Stats!$G$9-Norm_Stats!$F$9))))</f>
        <v/>
      </c>
      <c r="X148" s="14">
        <f>IF(W148="","",1)</f>
        <v/>
      </c>
      <c r="Y148" s="11">
        <f>IF(OR(City_Inputs!$V148="",Norm_Stats!$F$10="",Norm_Stats!$G$10="",Norm_Stats!$G$10=Norm_Stats!$F$10),"",MAX(0,MIN(100,100*(MIN(MAX(City_Inputs!$V148,Norm_Stats!$F$10),Norm_Stats!$G$10)-Norm_Stats!$F$10)/(Norm_Stats!$G$10-Norm_Stats!$F$10))))</f>
        <v/>
      </c>
      <c r="Z148" s="14">
        <f>IF(Y148="","",1)</f>
        <v/>
      </c>
      <c r="AA148" s="11">
        <f>IF(OR(City_Inputs!$W148="",Norm_Stats!$F$11="",Norm_Stats!$G$11="",Norm_Stats!$G$11=Norm_Stats!$F$11),"",MAX(0,MIN(100,100*(MIN(MAX(City_Inputs!$W148,Norm_Stats!$F$11),Norm_Stats!$G$11)-Norm_Stats!$F$11)/(Norm_Stats!$G$11-Norm_Stats!$F$11))))</f>
        <v/>
      </c>
      <c r="AB148" s="14">
        <f>IF(AA148="","",1)</f>
        <v/>
      </c>
      <c r="AC148" s="11">
        <f>IF(OR(City_Inputs!$X148="",Norm_Stats!$F$12="",Norm_Stats!$G$12="",Norm_Stats!$G$12=Norm_Stats!$F$12),"",MAX(0,MIN(100,100*(MIN(MAX(City_Inputs!$X148,Norm_Stats!$F$12),Norm_Stats!$G$12)-Norm_Stats!$F$12)/(Norm_Stats!$G$12-Norm_Stats!$F$12))))</f>
        <v/>
      </c>
      <c r="AD148" s="11">
        <f>IF(AC148="","",1)</f>
        <v/>
      </c>
      <c r="AE148" s="15">
        <f>IF((IF(S148="",0,5)+IF(U148="",0,5)+IF(W148="",0,4)+IF(Y148="",0,4)+IF(AA148="",0,4)+IF(AC148="",0,5))=0,"",(IF(S148="",0,S148*5)+IF(U148="",0,U148*5)+IF(W148="",0,W148*4)+IF(Y148="",0,Y148*4)+IF(AA148="",0,AA148*4)+IF(AC148="",0,AC148*5))/(IF(S148="",0,5)+IF(U148="",0,5)+IF(W148="",0,4)+IF(Y148="",0,4)+IF(AA148="",0,4)+IF(AC148="",0,5)))</f>
        <v/>
      </c>
      <c r="AF148" s="14">
        <f>IF((IF(T148="",0,5)+IF(V148="",0,5)+IF(X148="",0,4)+IF(Z148="",0,4)+IF(AB148="",0,4)+IF(AD148="",0,5))=0,"",(IF(T148="",0,T148*5)+IF(V148="",0,V148*5)+IF(X148="",0,X148*4)+IF(Z148="",0,Z148*4)+IF(AB148="",0,AB148*4)+IF(AD148="",0,AD148*5))/27)</f>
        <v/>
      </c>
      <c r="AG148" s="11">
        <f>IF(OR(City_Inputs!$Y148="",Norm_Stats!$F$13="",Norm_Stats!$G$13="",Norm_Stats!$G$13=Norm_Stats!$F$13),"",MAX(0,MIN(100,100*(MIN(MAX(City_Inputs!$Y148,Norm_Stats!$F$13),Norm_Stats!$G$13)-Norm_Stats!$F$13)/(Norm_Stats!$G$13-Norm_Stats!$F$13))))</f>
        <v/>
      </c>
      <c r="AH148" s="14">
        <f>IF(AG148="","",1)</f>
        <v/>
      </c>
      <c r="AI148" s="11">
        <f>IF(OR(City_Inputs!$Z148="",Norm_Stats!$F$14="",Norm_Stats!$G$14="",Norm_Stats!$G$14=Norm_Stats!$F$14),"",MAX(0,MIN(100,100*(MIN(MAX(City_Inputs!$Z148,Norm_Stats!$F$14),Norm_Stats!$G$14)-Norm_Stats!$F$14)/(Norm_Stats!$G$14-Norm_Stats!$F$14))))</f>
        <v/>
      </c>
      <c r="AJ148" s="14">
        <f>IF(AI148="","",1)</f>
        <v/>
      </c>
      <c r="AK148" s="11">
        <f>IF((IF((IF(OR(City_Inputs!$AA148="",Norm_Stats!$F$15="",Norm_Stats!$G$15="",Norm_Stats!$G$15=Norm_Stats!$F$15),"",MAX(0,MIN(100,100*(MIN(MAX(City_Inputs!$AA148,Norm_Stats!$F$15),Norm_Stats!$G$15)-Norm_Stats!$F$15)/(Norm_Stats!$G$15-Norm_Stats!$F$15)))))="",0,0.7)+IF((IF(OR(City_Inputs!$AL148="",Norm_Stats!$F$16="",Norm_Stats!$G$16="",Norm_Stats!$G$16=Norm_Stats!$F$16),"",MAX(0,MIN(100,100*(Norm_Stats!$G$16-MIN(MAX(City_Inputs!$AL148,Norm_Stats!$F$16),Norm_Stats!$G$16))/(Norm_Stats!$G$16-Norm_Stats!$F$16)))))="",0,0.3))=0,"",(IF((IF(OR(City_Inputs!$AA148="",Norm_Stats!$F$15="",Norm_Stats!$G$15="",Norm_Stats!$G$15=Norm_Stats!$F$15),"",MAX(0,MIN(100,100*(MIN(MAX(City_Inputs!$AA148,Norm_Stats!$F$15),Norm_Stats!$G$15)-Norm_Stats!$F$15)/(Norm_Stats!$G$15-Norm_Stats!$F$15)))))="",0,(IF(OR(City_Inputs!$AA148="",Norm_Stats!$F$15="",Norm_Stats!$G$15="",Norm_Stats!$G$15=Norm_Stats!$F$15),"",MAX(0,MIN(100,100*(MIN(MAX(City_Inputs!$AA148,Norm_Stats!$F$15),Norm_Stats!$G$15)-Norm_Stats!$F$15)/(Norm_Stats!$G$15-Norm_Stats!$F$15)))))*0.7)+IF((IF(OR(City_Inputs!$AL148="",Norm_Stats!$F$16="",Norm_Stats!$G$16="",Norm_Stats!$G$16=Norm_Stats!$F$16),"",MAX(0,MIN(100,100*(Norm_Stats!$G$16-MIN(MAX(City_Inputs!$AL148,Norm_Stats!$F$16),Norm_Stats!$G$16))/(Norm_Stats!$G$16-Norm_Stats!$F$16)))))="",0,(IF(OR(City_Inputs!$AL148="",Norm_Stats!$F$16="",Norm_Stats!$G$16="",Norm_Stats!$G$16=Norm_Stats!$F$16),"",MAX(0,MIN(100,100*(Norm_Stats!$G$16-MIN(MAX(City_Inputs!$AL148,Norm_Stats!$F$16),Norm_Stats!$G$16))/(Norm_Stats!$G$16-Norm_Stats!$F$16)))))*0.3))/(IF((IF(OR(City_Inputs!$AA148="",Norm_Stats!$F$15="",Norm_Stats!$G$15="",Norm_Stats!$G$15=Norm_Stats!$F$15),"",MAX(0,MIN(100,100*(MIN(MAX(City_Inputs!$AA148,Norm_Stats!$F$15),Norm_Stats!$G$15)-Norm_Stats!$F$15)/(Norm_Stats!$G$15-Norm_Stats!$F$15)))))="",0,0.7)+IF((IF(OR(City_Inputs!$AL148="",Norm_Stats!$F$16="",Norm_Stats!$G$16="",Norm_Stats!$G$16=Norm_Stats!$F$16),"",MAX(0,MIN(100,100*(Norm_Stats!$G$16-MIN(MAX(City_Inputs!$AL148,Norm_Stats!$F$16),Norm_Stats!$G$16))/(Norm_Stats!$G$16-Norm_Stats!$F$16)))))="",0,0.3)))</f>
        <v/>
      </c>
      <c r="AL148" s="14">
        <f>IF((IF((IF(OR(City_Inputs!$AA148="",Norm_Stats!$F$15="",Norm_Stats!$G$15="",Norm_Stats!$G$15=Norm_Stats!$F$15),"",MAX(0,MIN(100,100*(MIN(MAX(City_Inputs!$AA148,Norm_Stats!$F$15),Norm_Stats!$G$15)-Norm_Stats!$F$15)/(Norm_Stats!$G$15-Norm_Stats!$F$15)))))="",0,0.7)+IF((IF(OR(City_Inputs!$AL148="",Norm_Stats!$F$16="",Norm_Stats!$G$16="",Norm_Stats!$G$16=Norm_Stats!$F$16),"",MAX(0,MIN(100,100*(Norm_Stats!$G$16-MIN(MAX(City_Inputs!$AL148,Norm_Stats!$F$16),Norm_Stats!$G$16))/(Norm_Stats!$G$16-Norm_Stats!$F$16)))))="",0,0.3))=0,"",(IF((IF(OR(City_Inputs!$AA148="",Norm_Stats!$F$15="",Norm_Stats!$G$15="",Norm_Stats!$G$15=Norm_Stats!$F$15),"",MAX(0,MIN(100,100*(MIN(MAX(City_Inputs!$AA148,Norm_Stats!$F$15),Norm_Stats!$G$15)-Norm_Stats!$F$15)/(Norm_Stats!$G$15-Norm_Stats!$F$15)))))="",0,0.7)+IF((IF(OR(City_Inputs!$AL148="",Norm_Stats!$F$16="",Norm_Stats!$G$16="",Norm_Stats!$G$16=Norm_Stats!$F$16),"",MAX(0,MIN(100,100*(Norm_Stats!$G$16-MIN(MAX(City_Inputs!$AL148,Norm_Stats!$F$16),Norm_Stats!$G$16))/(Norm_Stats!$G$16-Norm_Stats!$F$16)))))="",0,0.3)))</f>
        <v/>
      </c>
      <c r="AM148" s="15">
        <f>IF((IF(AG148="",0,8)+IF(AI148="",0,6)+IF(AK148="",0,4))=0,"",(IF(AG148="",0,AG148*8)+IF(AI148="",0,AI148*6)+IF(AK148="",0,AK148*4))/(IF(AG148="",0,8)+IF(AI148="",0,6)+IF(AK148="",0,4)))</f>
        <v/>
      </c>
      <c r="AN148" s="14">
        <f>IF((IF(AH148="",0,8)+IF(AJ148="",0,6)+IF(AL148="",0,4))=0,"",(IF(AH148="",0,AH148*8)+IF(AJ148="",0,AJ148*6)+IF(AL148="",0,AL148*4))/18)</f>
        <v/>
      </c>
      <c r="AO148" s="11">
        <f>IF(OR(City_Inputs!$AB148="",Norm_Stats!$F$17="",Norm_Stats!$G$17="",Norm_Stats!$G$17=Norm_Stats!$F$17),"",MAX(0,MIN(100,100*(MIN(MAX(City_Inputs!$AB148,Norm_Stats!$F$17),Norm_Stats!$G$17)-Norm_Stats!$F$17)/(Norm_Stats!$G$17-Norm_Stats!$F$17))))</f>
        <v/>
      </c>
      <c r="AP148" s="14">
        <f>IF(AO148="","",1)</f>
        <v/>
      </c>
      <c r="AQ148" s="11">
        <f>IF(OR(City_Inputs!$AC148="",Norm_Stats!$F$18="",Norm_Stats!$G$18="",Norm_Stats!$G$18=Norm_Stats!$F$18),"",MAX(0,MIN(100,100*(MIN(MAX(City_Inputs!$AC148,Norm_Stats!$F$18),Norm_Stats!$G$18)-Norm_Stats!$F$18)/(Norm_Stats!$G$18-Norm_Stats!$F$18))))</f>
        <v/>
      </c>
      <c r="AR148" s="14">
        <f>IF(AQ148="","",1)</f>
        <v/>
      </c>
      <c r="AS148" s="11">
        <f>IF(OR(City_Inputs!$AD148="",Norm_Stats!$F$19="",Norm_Stats!$G$19="",Norm_Stats!$G$19=Norm_Stats!$F$19),"",MAX(0,MIN(100,100*(MIN(MAX(City_Inputs!$AD148,Norm_Stats!$F$19),Norm_Stats!$G$19)-Norm_Stats!$F$19)/(Norm_Stats!$G$19-Norm_Stats!$F$19))))</f>
        <v/>
      </c>
      <c r="AT148" s="14">
        <f>IF(AS148="","",1)</f>
        <v/>
      </c>
      <c r="AU148" s="11">
        <f>IF(OR(City_Inputs!$BJ148="",Norm_Stats!$F$26="",Norm_Stats!$G$26="",Norm_Stats!$G$26=Norm_Stats!$F$26),"",MAX(0,MIN(100,100*(MIN(MAX(City_Inputs!$BJ148,Norm_Stats!$F$26),Norm_Stats!$G$26)-Norm_Stats!$F$26)/(Norm_Stats!$G$26-Norm_Stats!$F$26))))</f>
        <v/>
      </c>
      <c r="AV148" s="11">
        <f>IF(AU148="","",1)</f>
        <v/>
      </c>
      <c r="AW148" s="15">
        <f>IF((IF(AO148="",0,5)+IF(AQ148="",0,5)+IF(AS148="",0,5)+IF(AU148="",0,4))=0,"",(IF(AO148="",0,AO148*5)+IF(AQ148="",0,AQ148*5)+IF(AS148="",0,AS148*5)+IF(AU148="",0,AU148*4))/(IF(AO148="",0,5)+IF(AQ148="",0,5)+IF(AS148="",0,5)+IF(AU148="",0,4)))</f>
        <v/>
      </c>
      <c r="AX148" s="14">
        <f>IF((IF(AP148="",0,5)+IF(AR148="",0,5)+IF(AT148="",0,5)+IF(AV148="",0,4))=0,"",(IF(AP148="",0,AP148*5)+IF(AR148="",0,AR148*5)+IF(AT148="",0,AT148*5)+IF(AV148="",0,AV148*4))/19)</f>
        <v/>
      </c>
      <c r="AY148" s="11">
        <f>IF(OR(City_Inputs!$AE148="",Norm_Stats!$F$20="",Norm_Stats!$G$20="",Norm_Stats!$G$20=Norm_Stats!$F$20),"",MAX(0,MIN(100,100*(MIN(MAX(City_Inputs!$AE148,Norm_Stats!$F$20),Norm_Stats!$G$20)-Norm_Stats!$F$20)/(Norm_Stats!$G$20-Norm_Stats!$F$20))))</f>
        <v/>
      </c>
      <c r="AZ148" s="14">
        <f>IF(AY148="","",1)</f>
        <v/>
      </c>
      <c r="BA148" s="11">
        <f>IF(OR(City_Inputs!$AF148="",Norm_Stats!$F$21="",Norm_Stats!$G$21="",Norm_Stats!$G$21=Norm_Stats!$F$21),"",MAX(0,MIN(100,100*(MIN(MAX(City_Inputs!$AF148,Norm_Stats!$F$21),Norm_Stats!$G$21)-Norm_Stats!$F$21)/(Norm_Stats!$G$21-Norm_Stats!$F$21))))</f>
        <v/>
      </c>
      <c r="BB148" s="14">
        <f>IF(BA148="","",1)</f>
        <v/>
      </c>
      <c r="BC148" s="11">
        <f>IF((IF((IF(OR(City_Inputs!$AG148="",Norm_Stats!$F$22="",Norm_Stats!$G$22="",Norm_Stats!$G$22=Norm_Stats!$F$22),"",MAX(0,MIN(100,100*(MIN(MAX(City_Inputs!$AG148,Norm_Stats!$F$22),Norm_Stats!$G$22)-Norm_Stats!$F$22)/(Norm_Stats!$G$22-Norm_Stats!$F$22)))))="",0,0.5)+IF((IF(OR(City_Inputs!$AJ148="",Norm_Stats!$F$23="",Norm_Stats!$G$23="",Norm_Stats!$G$23=Norm_Stats!$F$23),"",MAX(0,MIN(100,100*(MIN(MAX(City_Inputs!$AJ148,Norm_Stats!$F$23),Norm_Stats!$G$23)-Norm_Stats!$F$23)/(Norm_Stats!$G$23-Norm_Stats!$F$23)))))="",0,0.3)+IF((IF(OR(City_Inputs!$AK148="",Norm_Stats!$F$24="",Norm_Stats!$G$24="",Norm_Stats!$G$24=Norm_Stats!$F$24),"",MAX(0,MIN(100,100*(MIN(MAX(City_Inputs!$AK148,Norm_Stats!$F$24),Norm_Stats!$G$24)-Norm_Stats!$F$24)/(Norm_Stats!$G$24-Norm_Stats!$F$24)))))="",0,0.2))=0,"",(IF((IF(OR(City_Inputs!$AG148="",Norm_Stats!$F$22="",Norm_Stats!$G$22="",Norm_Stats!$G$22=Norm_Stats!$F$22),"",MAX(0,MIN(100,100*(MIN(MAX(City_Inputs!$AG148,Norm_Stats!$F$22),Norm_Stats!$G$22)-Norm_Stats!$F$22)/(Norm_Stats!$G$22-Norm_Stats!$F$22)))))="",0,(IF(OR(City_Inputs!$AG148="",Norm_Stats!$F$22="",Norm_Stats!$G$22="",Norm_Stats!$G$22=Norm_Stats!$F$22),"",MAX(0,MIN(100,100*(MIN(MAX(City_Inputs!$AG148,Norm_Stats!$F$22),Norm_Stats!$G$22)-Norm_Stats!$F$22)/(Norm_Stats!$G$22-Norm_Stats!$F$22)))))*0.5)+IF((IF(OR(City_Inputs!$AJ148="",Norm_Stats!$F$23="",Norm_Stats!$G$23="",Norm_Stats!$G$23=Norm_Stats!$F$23),"",MAX(0,MIN(100,100*(MIN(MAX(City_Inputs!$AJ148,Norm_Stats!$F$23),Norm_Stats!$G$23)-Norm_Stats!$F$23)/(Norm_Stats!$G$23-Norm_Stats!$F$23)))))="",0,(IF(OR(City_Inputs!$AJ148="",Norm_Stats!$F$23="",Norm_Stats!$G$23="",Norm_Stats!$G$23=Norm_Stats!$F$23),"",MAX(0,MIN(100,100*(MIN(MAX(City_Inputs!$AJ148,Norm_Stats!$F$23),Norm_Stats!$G$23)-Norm_Stats!$F$23)/(Norm_Stats!$G$23-Norm_Stats!$F$23)))))*0.3)+IF((IF(OR(City_Inputs!$AK148="",Norm_Stats!$F$24="",Norm_Stats!$G$24="",Norm_Stats!$G$24=Norm_Stats!$F$24),"",MAX(0,MIN(100,100*(MIN(MAX(City_Inputs!$AK148,Norm_Stats!$F$24),Norm_Stats!$G$24)-Norm_Stats!$F$24)/(Norm_Stats!$G$24-Norm_Stats!$F$24)))))="",0,(IF(OR(City_Inputs!$AK148="",Norm_Stats!$F$24="",Norm_Stats!$G$24="",Norm_Stats!$G$24=Norm_Stats!$F$24),"",MAX(0,MIN(100,100*(MIN(MAX(City_Inputs!$AK148,Norm_Stats!$F$24),Norm_Stats!$G$24)-Norm_Stats!$F$24)/(Norm_Stats!$G$24-Norm_Stats!$F$24)))))*0.2))/(IF((IF(OR(City_Inputs!$AG148="",Norm_Stats!$F$22="",Norm_Stats!$G$22="",Norm_Stats!$G$22=Norm_Stats!$F$22),"",MAX(0,MIN(100,100*(MIN(MAX(City_Inputs!$AG148,Norm_Stats!$F$22),Norm_Stats!$G$22)-Norm_Stats!$F$22)/(Norm_Stats!$G$22-Norm_Stats!$F$22)))))="",0,0.5)+IF((IF(OR(City_Inputs!$AJ148="",Norm_Stats!$F$23="",Norm_Stats!$G$23="",Norm_Stats!$G$23=Norm_Stats!$F$23),"",MAX(0,MIN(100,100*(MIN(MAX(City_Inputs!$AJ148,Norm_Stats!$F$23),Norm_Stats!$G$23)-Norm_Stats!$F$23)/(Norm_Stats!$G$23-Norm_Stats!$F$23)))))="",0,0.3)+IF((IF(OR(City_Inputs!$AK148="",Norm_Stats!$F$24="",Norm_Stats!$G$24="",Norm_Stats!$G$24=Norm_Stats!$F$24),"",MAX(0,MIN(100,100*(MIN(MAX(City_Inputs!$AK148,Norm_Stats!$F$24),Norm_Stats!$G$24)-Norm_Stats!$F$24)/(Norm_Stats!$G$24-Norm_Stats!$F$24)))))="",0,0.2)))</f>
        <v/>
      </c>
      <c r="BD148" s="14">
        <f>IF((IF((IF(OR(City_Inputs!$AG148="",Norm_Stats!$F$22="",Norm_Stats!$G$22="",Norm_Stats!$G$22=Norm_Stats!$F$22),"",MAX(0,MIN(100,100*(MIN(MAX(City_Inputs!$AG148,Norm_Stats!$F$22),Norm_Stats!$G$22)-Norm_Stats!$F$22)/(Norm_Stats!$G$22-Norm_Stats!$F$22)))))="",0,0.5)+IF((IF(OR(City_Inputs!$AJ148="",Norm_Stats!$F$23="",Norm_Stats!$G$23="",Norm_Stats!$G$23=Norm_Stats!$F$23),"",MAX(0,MIN(100,100*(MIN(MAX(City_Inputs!$AJ148,Norm_Stats!$F$23),Norm_Stats!$G$23)-Norm_Stats!$F$23)/(Norm_Stats!$G$23-Norm_Stats!$F$23)))))="",0,0.3)+IF((IF(OR(City_Inputs!$AK148="",Norm_Stats!$F$24="",Norm_Stats!$G$24="",Norm_Stats!$G$24=Norm_Stats!$F$24),"",MAX(0,MIN(100,100*(MIN(MAX(City_Inputs!$AK148,Norm_Stats!$F$24),Norm_Stats!$G$24)-Norm_Stats!$F$24)/(Norm_Stats!$G$24-Norm_Stats!$F$24)))))="",0,0.2))=0,"",(IF((IF(OR(City_Inputs!$AG148="",Norm_Stats!$F$22="",Norm_Stats!$G$22="",Norm_Stats!$G$22=Norm_Stats!$F$22),"",MAX(0,MIN(100,100*(MIN(MAX(City_Inputs!$AG148,Norm_Stats!$F$22),Norm_Stats!$G$22)-Norm_Stats!$F$22)/(Norm_Stats!$G$22-Norm_Stats!$F$22)))))="",0,0.5)+IF((IF(OR(City_Inputs!$AJ148="",Norm_Stats!$F$23="",Norm_Stats!$G$23="",Norm_Stats!$G$23=Norm_Stats!$F$23),"",MAX(0,MIN(100,100*(MIN(MAX(City_Inputs!$AJ148,Norm_Stats!$F$23),Norm_Stats!$G$23)-Norm_Stats!$F$23)/(Norm_Stats!$G$23-Norm_Stats!$F$23)))))="",0,0.3)+IF((IF(OR(City_Inputs!$AK148="",Norm_Stats!$F$24="",Norm_Stats!$G$24="",Norm_Stats!$G$24=Norm_Stats!$F$24),"",MAX(0,MIN(100,100*(MIN(MAX(City_Inputs!$AK148,Norm_Stats!$F$24),Norm_Stats!$G$24)-Norm_Stats!$F$24)/(Norm_Stats!$G$24-Norm_Stats!$F$24)))))="",0,0.2)))</f>
        <v/>
      </c>
      <c r="BE148" s="11">
        <f>IF(OR(City_Inputs!$AH148="",Norm_Stats!$F$25="",Norm_Stats!$G$25="",Norm_Stats!$G$25=Norm_Stats!$F$25),"",MAX(0,MIN(100,100*(Norm_Stats!$G$25-MIN(MAX(City_Inputs!$AH148,Norm_Stats!$F$25),Norm_Stats!$G$25))/(Norm_Stats!$G$25-Norm_Stats!$F$25))))</f>
        <v/>
      </c>
      <c r="BF148" s="14">
        <f>IF(BE148="","",1)</f>
        <v/>
      </c>
      <c r="BG148" s="15">
        <f>IF((IF(AY148="",0,6)+IF(BA148="",0,5)+IF(BC148="",0,5)+IF(BE148="",0,4))=0,"",(IF(AY148="",0,AY148*6)+IF(BA148="",0,BA148*5)+IF(BC148="",0,BC148*5)+IF(BE148="",0,BE148*4))/(IF(AY148="",0,6)+IF(BA148="",0,5)+IF(BC148="",0,5)+IF(BE148="",0,4)))</f>
        <v/>
      </c>
      <c r="BH148" s="14">
        <f>IF((IF(AZ148="",0,6)+IF(BB148="",0,5)+IF(BD148="",0,5)+IF(BF148="",0,4))=0,"",(IF(AZ148="",0,AZ148*6)+IF(BB148="",0,BB148*5)+IF(BD148="",0,BD148*5)+IF(BF148="",0,BF148*4))/20)</f>
        <v/>
      </c>
      <c r="BI148" s="14">
        <f>IF(AND(R148="",AF148="",AN148="",AX148="",BH148=""),"",((R148*25)+(AF148*22)+(AN148*18)+(AX148*15)+(BH148*20))/100)</f>
        <v/>
      </c>
      <c r="BJ148" s="11">
        <f>IF(BI148="","",IF(BI148&gt;=0.75,"A",IF(BI148&gt;=0.5,"B",IF(BI148&gt;=0.35,"C","Watchlist"))))</f>
        <v/>
      </c>
      <c r="BK148" s="11">
        <f>IF(OR(BI148="",BI148&lt;0.5,R148="",R148&lt;0.35,AF148="",AF148&lt;0.35,AN148="",AN148&lt;0.35,AX148="",AX148&lt;0.35,BH148="",BH148&lt;0.35),"Watchlist","Ranked")</f>
        <v/>
      </c>
      <c r="BL148" s="15">
        <f>IF(AND(Q148="",AE148="",AM148="",AW148="",BG148=""),"",(IF(Q148="",0,Q148*25)+IF(AE148="",0,AE148*22)+IF(AM148="",0,AM148*18)+IF(AW148="",0,AW148*15)+IF(BG148="",0,BG148*20))/(IF(Q148="",0,25)+IF(AE148="",0,22)+IF(AM148="",0,18)+IF(AW148="",0,15)+IF(BG148="",0,20)))</f>
        <v/>
      </c>
      <c r="BM148" s="11">
        <f>IF(BK148="Ranked",1+COUNTIFS($BK$2:$BK$158,"Ranked",$BL$2:$BL$158,"&gt;"&amp;BL148),"")</f>
        <v/>
      </c>
      <c r="BN148" s="11">
        <f>City_Inputs!$AI148</f>
        <v/>
      </c>
    </row>
    <row r="149">
      <c r="A149" t="inlineStr">
        <is>
          <t>sa-khobar</t>
        </is>
      </c>
      <c r="B149" t="inlineStr">
        <is>
          <t>Khobar</t>
        </is>
      </c>
      <c r="C149" t="inlineStr">
        <is>
          <t>Saudi Arabia</t>
        </is>
      </c>
      <c r="D149" t="inlineStr">
        <is>
          <t>Middle East</t>
        </is>
      </c>
      <c r="E149" t="inlineStr">
        <is>
          <t>provisional</t>
        </is>
      </c>
      <c r="F149" t="inlineStr">
        <is>
          <t>secondary</t>
        </is>
      </c>
      <c r="G149" s="11">
        <f>IF(OR(City_Inputs!$M149="",Norm_Stats!$F$2="",Norm_Stats!$G$2="",Norm_Stats!$G$2=Norm_Stats!$F$2),"",MAX(0,MIN(100,100*(MIN(MAX(City_Inputs!$M149,Norm_Stats!$F$2),Norm_Stats!$G$2)-Norm_Stats!$F$2)/(Norm_Stats!$G$2-Norm_Stats!$F$2))))</f>
        <v/>
      </c>
      <c r="H149" s="14">
        <f>IF(G149="","",1)</f>
        <v/>
      </c>
      <c r="I149" s="11">
        <f>IF(OR(City_Inputs!$N149="",Norm_Stats!$F$3="",Norm_Stats!$G$3="",Norm_Stats!$G$3=Norm_Stats!$F$3),"",MAX(0,MIN(100,100*(Norm_Stats!$G$3-MIN(MAX(City_Inputs!$N149,Norm_Stats!$F$3),Norm_Stats!$G$3))/(Norm_Stats!$G$3-Norm_Stats!$F$3))))</f>
        <v/>
      </c>
      <c r="J149" s="14">
        <f>IF(I149="","",1)</f>
        <v/>
      </c>
      <c r="K149" s="11">
        <f>IF(OR(City_Inputs!$P149="",Norm_Stats!$F$4="",Norm_Stats!$G$4="",Norm_Stats!$G$4=Norm_Stats!$F$4),"",MAX(0,MIN(100,100*(Norm_Stats!$G$4-MIN(MAX(City_Inputs!$P149,Norm_Stats!$F$4),Norm_Stats!$G$4))/(Norm_Stats!$G$4-Norm_Stats!$F$4))))</f>
        <v/>
      </c>
      <c r="L149" s="14">
        <f>IF(K149="","",1)</f>
        <v/>
      </c>
      <c r="M149" s="11">
        <f>IF(OR(City_Inputs!$Q149="",Norm_Stats!$F$5="",Norm_Stats!$G$5="",Norm_Stats!$G$5=Norm_Stats!$F$5),"",MAX(0,MIN(100,100*(Norm_Stats!$G$5-MIN(MAX(City_Inputs!$Q149,Norm_Stats!$F$5),Norm_Stats!$G$5))/(Norm_Stats!$G$5-Norm_Stats!$F$5))))</f>
        <v/>
      </c>
      <c r="N149" s="14">
        <f>IF(M149="","",1)</f>
        <v/>
      </c>
      <c r="O149" s="11">
        <f>IF(OR(City_Inputs!$R149="",Norm_Stats!$F$6="",Norm_Stats!$G$6="",Norm_Stats!$G$6=Norm_Stats!$F$6),"",MAX(0,MIN(100,100*(Norm_Stats!$G$6-MIN(MAX(City_Inputs!$R149,Norm_Stats!$F$6),Norm_Stats!$G$6))/(Norm_Stats!$G$6-Norm_Stats!$F$6))))</f>
        <v/>
      </c>
      <c r="P149" s="14">
        <f>IF(O149="","",1)</f>
        <v/>
      </c>
      <c r="Q149" s="15">
        <f>IF((IF(G149="",0,9)+IF(I149="",0,5)+IF(K149="",0,4)+IF(M149="",0,4)+IF(O149="",0,5))=0,"",(IF(G149="",0,G149*9)+IF(I149="",0,I149*5)+IF(K149="",0,K149*4)+IF(M149="",0,M149*4)+IF(O149="",0,O149*5))/(IF(G149="",0,9)+IF(I149="",0,5)+IF(K149="",0,4)+IF(M149="",0,4)+IF(O149="",0,5)))</f>
        <v/>
      </c>
      <c r="R149" s="14">
        <f>IF((IF(H149="",0,9)+IF(J149="",0,5)+IF(L149="",0,4)+IF(N149="",0,4)+IF(P149="",0,5))=0,"",(IF(H149="",0,H149*9)+IF(J149="",0,J149*5)+IF(L149="",0,L149*4)+IF(N149="",0,N149*4)+IF(P149="",0,P149*5))/27)</f>
        <v/>
      </c>
      <c r="S149" s="11">
        <f>IF(OR(City_Inputs!$S149="",Norm_Stats!$F$7="",Norm_Stats!$G$7="",Norm_Stats!$G$7=Norm_Stats!$F$7),"",MAX(0,MIN(100,100*(Norm_Stats!$G$7-MIN(MAX(City_Inputs!$S149,Norm_Stats!$F$7),Norm_Stats!$G$7))/(Norm_Stats!$G$7-Norm_Stats!$F$7))))</f>
        <v/>
      </c>
      <c r="T149" s="14">
        <f>IF(S149="","",1)</f>
        <v/>
      </c>
      <c r="U149" s="11">
        <f>IF(OR(City_Inputs!$T149="",Norm_Stats!$F$8="",Norm_Stats!$G$8="",Norm_Stats!$G$8=Norm_Stats!$F$8),"",MAX(0,MIN(100,100*(MIN(MAX(City_Inputs!$T149,Norm_Stats!$F$8),Norm_Stats!$G$8)-Norm_Stats!$F$8)/(Norm_Stats!$G$8-Norm_Stats!$F$8))))</f>
        <v/>
      </c>
      <c r="V149" s="14">
        <f>IF(U149="","",1)</f>
        <v/>
      </c>
      <c r="W149" s="11">
        <f>IF(OR(City_Inputs!$U149="",Norm_Stats!$F$9="",Norm_Stats!$G$9="",Norm_Stats!$G$9=Norm_Stats!$F$9),"",MAX(0,MIN(100,100*(Norm_Stats!$G$9-MIN(MAX(City_Inputs!$U149,Norm_Stats!$F$9),Norm_Stats!$G$9))/(Norm_Stats!$G$9-Norm_Stats!$F$9))))</f>
        <v/>
      </c>
      <c r="X149" s="14">
        <f>IF(W149="","",1)</f>
        <v/>
      </c>
      <c r="Y149" s="11">
        <f>IF(OR(City_Inputs!$V149="",Norm_Stats!$F$10="",Norm_Stats!$G$10="",Norm_Stats!$G$10=Norm_Stats!$F$10),"",MAX(0,MIN(100,100*(MIN(MAX(City_Inputs!$V149,Norm_Stats!$F$10),Norm_Stats!$G$10)-Norm_Stats!$F$10)/(Norm_Stats!$G$10-Norm_Stats!$F$10))))</f>
        <v/>
      </c>
      <c r="Z149" s="14">
        <f>IF(Y149="","",1)</f>
        <v/>
      </c>
      <c r="AA149" s="11">
        <f>IF(OR(City_Inputs!$W149="",Norm_Stats!$F$11="",Norm_Stats!$G$11="",Norm_Stats!$G$11=Norm_Stats!$F$11),"",MAX(0,MIN(100,100*(MIN(MAX(City_Inputs!$W149,Norm_Stats!$F$11),Norm_Stats!$G$11)-Norm_Stats!$F$11)/(Norm_Stats!$G$11-Norm_Stats!$F$11))))</f>
        <v/>
      </c>
      <c r="AB149" s="14">
        <f>IF(AA149="","",1)</f>
        <v/>
      </c>
      <c r="AC149" s="11">
        <f>IF(OR(City_Inputs!$X149="",Norm_Stats!$F$12="",Norm_Stats!$G$12="",Norm_Stats!$G$12=Norm_Stats!$F$12),"",MAX(0,MIN(100,100*(MIN(MAX(City_Inputs!$X149,Norm_Stats!$F$12),Norm_Stats!$G$12)-Norm_Stats!$F$12)/(Norm_Stats!$G$12-Norm_Stats!$F$12))))</f>
        <v/>
      </c>
      <c r="AD149" s="11">
        <f>IF(AC149="","",1)</f>
        <v/>
      </c>
      <c r="AE149" s="15">
        <f>IF((IF(S149="",0,5)+IF(U149="",0,5)+IF(W149="",0,4)+IF(Y149="",0,4)+IF(AA149="",0,4)+IF(AC149="",0,5))=0,"",(IF(S149="",0,S149*5)+IF(U149="",0,U149*5)+IF(W149="",0,W149*4)+IF(Y149="",0,Y149*4)+IF(AA149="",0,AA149*4)+IF(AC149="",0,AC149*5))/(IF(S149="",0,5)+IF(U149="",0,5)+IF(W149="",0,4)+IF(Y149="",0,4)+IF(AA149="",0,4)+IF(AC149="",0,5)))</f>
        <v/>
      </c>
      <c r="AF149" s="14">
        <f>IF((IF(T149="",0,5)+IF(V149="",0,5)+IF(X149="",0,4)+IF(Z149="",0,4)+IF(AB149="",0,4)+IF(AD149="",0,5))=0,"",(IF(T149="",0,T149*5)+IF(V149="",0,V149*5)+IF(X149="",0,X149*4)+IF(Z149="",0,Z149*4)+IF(AB149="",0,AB149*4)+IF(AD149="",0,AD149*5))/27)</f>
        <v/>
      </c>
      <c r="AG149" s="11">
        <f>IF(OR(City_Inputs!$Y149="",Norm_Stats!$F$13="",Norm_Stats!$G$13="",Norm_Stats!$G$13=Norm_Stats!$F$13),"",MAX(0,MIN(100,100*(MIN(MAX(City_Inputs!$Y149,Norm_Stats!$F$13),Norm_Stats!$G$13)-Norm_Stats!$F$13)/(Norm_Stats!$G$13-Norm_Stats!$F$13))))</f>
        <v/>
      </c>
      <c r="AH149" s="14">
        <f>IF(AG149="","",1)</f>
        <v/>
      </c>
      <c r="AI149" s="11">
        <f>IF(OR(City_Inputs!$Z149="",Norm_Stats!$F$14="",Norm_Stats!$G$14="",Norm_Stats!$G$14=Norm_Stats!$F$14),"",MAX(0,MIN(100,100*(MIN(MAX(City_Inputs!$Z149,Norm_Stats!$F$14),Norm_Stats!$G$14)-Norm_Stats!$F$14)/(Norm_Stats!$G$14-Norm_Stats!$F$14))))</f>
        <v/>
      </c>
      <c r="AJ149" s="14">
        <f>IF(AI149="","",1)</f>
        <v/>
      </c>
      <c r="AK149" s="11">
        <f>IF((IF((IF(OR(City_Inputs!$AA149="",Norm_Stats!$F$15="",Norm_Stats!$G$15="",Norm_Stats!$G$15=Norm_Stats!$F$15),"",MAX(0,MIN(100,100*(MIN(MAX(City_Inputs!$AA149,Norm_Stats!$F$15),Norm_Stats!$G$15)-Norm_Stats!$F$15)/(Norm_Stats!$G$15-Norm_Stats!$F$15)))))="",0,0.7)+IF((IF(OR(City_Inputs!$AL149="",Norm_Stats!$F$16="",Norm_Stats!$G$16="",Norm_Stats!$G$16=Norm_Stats!$F$16),"",MAX(0,MIN(100,100*(Norm_Stats!$G$16-MIN(MAX(City_Inputs!$AL149,Norm_Stats!$F$16),Norm_Stats!$G$16))/(Norm_Stats!$G$16-Norm_Stats!$F$16)))))="",0,0.3))=0,"",(IF((IF(OR(City_Inputs!$AA149="",Norm_Stats!$F$15="",Norm_Stats!$G$15="",Norm_Stats!$G$15=Norm_Stats!$F$15),"",MAX(0,MIN(100,100*(MIN(MAX(City_Inputs!$AA149,Norm_Stats!$F$15),Norm_Stats!$G$15)-Norm_Stats!$F$15)/(Norm_Stats!$G$15-Norm_Stats!$F$15)))))="",0,(IF(OR(City_Inputs!$AA149="",Norm_Stats!$F$15="",Norm_Stats!$G$15="",Norm_Stats!$G$15=Norm_Stats!$F$15),"",MAX(0,MIN(100,100*(MIN(MAX(City_Inputs!$AA149,Norm_Stats!$F$15),Norm_Stats!$G$15)-Norm_Stats!$F$15)/(Norm_Stats!$G$15-Norm_Stats!$F$15)))))*0.7)+IF((IF(OR(City_Inputs!$AL149="",Norm_Stats!$F$16="",Norm_Stats!$G$16="",Norm_Stats!$G$16=Norm_Stats!$F$16),"",MAX(0,MIN(100,100*(Norm_Stats!$G$16-MIN(MAX(City_Inputs!$AL149,Norm_Stats!$F$16),Norm_Stats!$G$16))/(Norm_Stats!$G$16-Norm_Stats!$F$16)))))="",0,(IF(OR(City_Inputs!$AL149="",Norm_Stats!$F$16="",Norm_Stats!$G$16="",Norm_Stats!$G$16=Norm_Stats!$F$16),"",MAX(0,MIN(100,100*(Norm_Stats!$G$16-MIN(MAX(City_Inputs!$AL149,Norm_Stats!$F$16),Norm_Stats!$G$16))/(Norm_Stats!$G$16-Norm_Stats!$F$16)))))*0.3))/(IF((IF(OR(City_Inputs!$AA149="",Norm_Stats!$F$15="",Norm_Stats!$G$15="",Norm_Stats!$G$15=Norm_Stats!$F$15),"",MAX(0,MIN(100,100*(MIN(MAX(City_Inputs!$AA149,Norm_Stats!$F$15),Norm_Stats!$G$15)-Norm_Stats!$F$15)/(Norm_Stats!$G$15-Norm_Stats!$F$15)))))="",0,0.7)+IF((IF(OR(City_Inputs!$AL149="",Norm_Stats!$F$16="",Norm_Stats!$G$16="",Norm_Stats!$G$16=Norm_Stats!$F$16),"",MAX(0,MIN(100,100*(Norm_Stats!$G$16-MIN(MAX(City_Inputs!$AL149,Norm_Stats!$F$16),Norm_Stats!$G$16))/(Norm_Stats!$G$16-Norm_Stats!$F$16)))))="",0,0.3)))</f>
        <v/>
      </c>
      <c r="AL149" s="14">
        <f>IF((IF((IF(OR(City_Inputs!$AA149="",Norm_Stats!$F$15="",Norm_Stats!$G$15="",Norm_Stats!$G$15=Norm_Stats!$F$15),"",MAX(0,MIN(100,100*(MIN(MAX(City_Inputs!$AA149,Norm_Stats!$F$15),Norm_Stats!$G$15)-Norm_Stats!$F$15)/(Norm_Stats!$G$15-Norm_Stats!$F$15)))))="",0,0.7)+IF((IF(OR(City_Inputs!$AL149="",Norm_Stats!$F$16="",Norm_Stats!$G$16="",Norm_Stats!$G$16=Norm_Stats!$F$16),"",MAX(0,MIN(100,100*(Norm_Stats!$G$16-MIN(MAX(City_Inputs!$AL149,Norm_Stats!$F$16),Norm_Stats!$G$16))/(Norm_Stats!$G$16-Norm_Stats!$F$16)))))="",0,0.3))=0,"",(IF((IF(OR(City_Inputs!$AA149="",Norm_Stats!$F$15="",Norm_Stats!$G$15="",Norm_Stats!$G$15=Norm_Stats!$F$15),"",MAX(0,MIN(100,100*(MIN(MAX(City_Inputs!$AA149,Norm_Stats!$F$15),Norm_Stats!$G$15)-Norm_Stats!$F$15)/(Norm_Stats!$G$15-Norm_Stats!$F$15)))))="",0,0.7)+IF((IF(OR(City_Inputs!$AL149="",Norm_Stats!$F$16="",Norm_Stats!$G$16="",Norm_Stats!$G$16=Norm_Stats!$F$16),"",MAX(0,MIN(100,100*(Norm_Stats!$G$16-MIN(MAX(City_Inputs!$AL149,Norm_Stats!$F$16),Norm_Stats!$G$16))/(Norm_Stats!$G$16-Norm_Stats!$F$16)))))="",0,0.3)))</f>
        <v/>
      </c>
      <c r="AM149" s="15">
        <f>IF((IF(AG149="",0,8)+IF(AI149="",0,6)+IF(AK149="",0,4))=0,"",(IF(AG149="",0,AG149*8)+IF(AI149="",0,AI149*6)+IF(AK149="",0,AK149*4))/(IF(AG149="",0,8)+IF(AI149="",0,6)+IF(AK149="",0,4)))</f>
        <v/>
      </c>
      <c r="AN149" s="14">
        <f>IF((IF(AH149="",0,8)+IF(AJ149="",0,6)+IF(AL149="",0,4))=0,"",(IF(AH149="",0,AH149*8)+IF(AJ149="",0,AJ149*6)+IF(AL149="",0,AL149*4))/18)</f>
        <v/>
      </c>
      <c r="AO149" s="11">
        <f>IF(OR(City_Inputs!$AB149="",Norm_Stats!$F$17="",Norm_Stats!$G$17="",Norm_Stats!$G$17=Norm_Stats!$F$17),"",MAX(0,MIN(100,100*(MIN(MAX(City_Inputs!$AB149,Norm_Stats!$F$17),Norm_Stats!$G$17)-Norm_Stats!$F$17)/(Norm_Stats!$G$17-Norm_Stats!$F$17))))</f>
        <v/>
      </c>
      <c r="AP149" s="14">
        <f>IF(AO149="","",1)</f>
        <v/>
      </c>
      <c r="AQ149" s="11">
        <f>IF(OR(City_Inputs!$AC149="",Norm_Stats!$F$18="",Norm_Stats!$G$18="",Norm_Stats!$G$18=Norm_Stats!$F$18),"",MAX(0,MIN(100,100*(MIN(MAX(City_Inputs!$AC149,Norm_Stats!$F$18),Norm_Stats!$G$18)-Norm_Stats!$F$18)/(Norm_Stats!$G$18-Norm_Stats!$F$18))))</f>
        <v/>
      </c>
      <c r="AR149" s="14">
        <f>IF(AQ149="","",1)</f>
        <v/>
      </c>
      <c r="AS149" s="11">
        <f>IF(OR(City_Inputs!$AD149="",Norm_Stats!$F$19="",Norm_Stats!$G$19="",Norm_Stats!$G$19=Norm_Stats!$F$19),"",MAX(0,MIN(100,100*(MIN(MAX(City_Inputs!$AD149,Norm_Stats!$F$19),Norm_Stats!$G$19)-Norm_Stats!$F$19)/(Norm_Stats!$G$19-Norm_Stats!$F$19))))</f>
        <v/>
      </c>
      <c r="AT149" s="14">
        <f>IF(AS149="","",1)</f>
        <v/>
      </c>
      <c r="AU149" s="11">
        <f>IF(OR(City_Inputs!$BJ149="",Norm_Stats!$F$26="",Norm_Stats!$G$26="",Norm_Stats!$G$26=Norm_Stats!$F$26),"",MAX(0,MIN(100,100*(MIN(MAX(City_Inputs!$BJ149,Norm_Stats!$F$26),Norm_Stats!$G$26)-Norm_Stats!$F$26)/(Norm_Stats!$G$26-Norm_Stats!$F$26))))</f>
        <v/>
      </c>
      <c r="AV149" s="11">
        <f>IF(AU149="","",1)</f>
        <v/>
      </c>
      <c r="AW149" s="15">
        <f>IF((IF(AO149="",0,5)+IF(AQ149="",0,5)+IF(AS149="",0,5)+IF(AU149="",0,4))=0,"",(IF(AO149="",0,AO149*5)+IF(AQ149="",0,AQ149*5)+IF(AS149="",0,AS149*5)+IF(AU149="",0,AU149*4))/(IF(AO149="",0,5)+IF(AQ149="",0,5)+IF(AS149="",0,5)+IF(AU149="",0,4)))</f>
        <v/>
      </c>
      <c r="AX149" s="14">
        <f>IF((IF(AP149="",0,5)+IF(AR149="",0,5)+IF(AT149="",0,5)+IF(AV149="",0,4))=0,"",(IF(AP149="",0,AP149*5)+IF(AR149="",0,AR149*5)+IF(AT149="",0,AT149*5)+IF(AV149="",0,AV149*4))/19)</f>
        <v/>
      </c>
      <c r="AY149" s="11">
        <f>IF(OR(City_Inputs!$AE149="",Norm_Stats!$F$20="",Norm_Stats!$G$20="",Norm_Stats!$G$20=Norm_Stats!$F$20),"",MAX(0,MIN(100,100*(MIN(MAX(City_Inputs!$AE149,Norm_Stats!$F$20),Norm_Stats!$G$20)-Norm_Stats!$F$20)/(Norm_Stats!$G$20-Norm_Stats!$F$20))))</f>
        <v/>
      </c>
      <c r="AZ149" s="14">
        <f>IF(AY149="","",1)</f>
        <v/>
      </c>
      <c r="BA149" s="11">
        <f>IF(OR(City_Inputs!$AF149="",Norm_Stats!$F$21="",Norm_Stats!$G$21="",Norm_Stats!$G$21=Norm_Stats!$F$21),"",MAX(0,MIN(100,100*(MIN(MAX(City_Inputs!$AF149,Norm_Stats!$F$21),Norm_Stats!$G$21)-Norm_Stats!$F$21)/(Norm_Stats!$G$21-Norm_Stats!$F$21))))</f>
        <v/>
      </c>
      <c r="BB149" s="14">
        <f>IF(BA149="","",1)</f>
        <v/>
      </c>
      <c r="BC149" s="11">
        <f>IF((IF((IF(OR(City_Inputs!$AG149="",Norm_Stats!$F$22="",Norm_Stats!$G$22="",Norm_Stats!$G$22=Norm_Stats!$F$22),"",MAX(0,MIN(100,100*(MIN(MAX(City_Inputs!$AG149,Norm_Stats!$F$22),Norm_Stats!$G$22)-Norm_Stats!$F$22)/(Norm_Stats!$G$22-Norm_Stats!$F$22)))))="",0,0.5)+IF((IF(OR(City_Inputs!$AJ149="",Norm_Stats!$F$23="",Norm_Stats!$G$23="",Norm_Stats!$G$23=Norm_Stats!$F$23),"",MAX(0,MIN(100,100*(MIN(MAX(City_Inputs!$AJ149,Norm_Stats!$F$23),Norm_Stats!$G$23)-Norm_Stats!$F$23)/(Norm_Stats!$G$23-Norm_Stats!$F$23)))))="",0,0.3)+IF((IF(OR(City_Inputs!$AK149="",Norm_Stats!$F$24="",Norm_Stats!$G$24="",Norm_Stats!$G$24=Norm_Stats!$F$24),"",MAX(0,MIN(100,100*(MIN(MAX(City_Inputs!$AK149,Norm_Stats!$F$24),Norm_Stats!$G$24)-Norm_Stats!$F$24)/(Norm_Stats!$G$24-Norm_Stats!$F$24)))))="",0,0.2))=0,"",(IF((IF(OR(City_Inputs!$AG149="",Norm_Stats!$F$22="",Norm_Stats!$G$22="",Norm_Stats!$G$22=Norm_Stats!$F$22),"",MAX(0,MIN(100,100*(MIN(MAX(City_Inputs!$AG149,Norm_Stats!$F$22),Norm_Stats!$G$22)-Norm_Stats!$F$22)/(Norm_Stats!$G$22-Norm_Stats!$F$22)))))="",0,(IF(OR(City_Inputs!$AG149="",Norm_Stats!$F$22="",Norm_Stats!$G$22="",Norm_Stats!$G$22=Norm_Stats!$F$22),"",MAX(0,MIN(100,100*(MIN(MAX(City_Inputs!$AG149,Norm_Stats!$F$22),Norm_Stats!$G$22)-Norm_Stats!$F$22)/(Norm_Stats!$G$22-Norm_Stats!$F$22)))))*0.5)+IF((IF(OR(City_Inputs!$AJ149="",Norm_Stats!$F$23="",Norm_Stats!$G$23="",Norm_Stats!$G$23=Norm_Stats!$F$23),"",MAX(0,MIN(100,100*(MIN(MAX(City_Inputs!$AJ149,Norm_Stats!$F$23),Norm_Stats!$G$23)-Norm_Stats!$F$23)/(Norm_Stats!$G$23-Norm_Stats!$F$23)))))="",0,(IF(OR(City_Inputs!$AJ149="",Norm_Stats!$F$23="",Norm_Stats!$G$23="",Norm_Stats!$G$23=Norm_Stats!$F$23),"",MAX(0,MIN(100,100*(MIN(MAX(City_Inputs!$AJ149,Norm_Stats!$F$23),Norm_Stats!$G$23)-Norm_Stats!$F$23)/(Norm_Stats!$G$23-Norm_Stats!$F$23)))))*0.3)+IF((IF(OR(City_Inputs!$AK149="",Norm_Stats!$F$24="",Norm_Stats!$G$24="",Norm_Stats!$G$24=Norm_Stats!$F$24),"",MAX(0,MIN(100,100*(MIN(MAX(City_Inputs!$AK149,Norm_Stats!$F$24),Norm_Stats!$G$24)-Norm_Stats!$F$24)/(Norm_Stats!$G$24-Norm_Stats!$F$24)))))="",0,(IF(OR(City_Inputs!$AK149="",Norm_Stats!$F$24="",Norm_Stats!$G$24="",Norm_Stats!$G$24=Norm_Stats!$F$24),"",MAX(0,MIN(100,100*(MIN(MAX(City_Inputs!$AK149,Norm_Stats!$F$24),Norm_Stats!$G$24)-Norm_Stats!$F$24)/(Norm_Stats!$G$24-Norm_Stats!$F$24)))))*0.2))/(IF((IF(OR(City_Inputs!$AG149="",Norm_Stats!$F$22="",Norm_Stats!$G$22="",Norm_Stats!$G$22=Norm_Stats!$F$22),"",MAX(0,MIN(100,100*(MIN(MAX(City_Inputs!$AG149,Norm_Stats!$F$22),Norm_Stats!$G$22)-Norm_Stats!$F$22)/(Norm_Stats!$G$22-Norm_Stats!$F$22)))))="",0,0.5)+IF((IF(OR(City_Inputs!$AJ149="",Norm_Stats!$F$23="",Norm_Stats!$G$23="",Norm_Stats!$G$23=Norm_Stats!$F$23),"",MAX(0,MIN(100,100*(MIN(MAX(City_Inputs!$AJ149,Norm_Stats!$F$23),Norm_Stats!$G$23)-Norm_Stats!$F$23)/(Norm_Stats!$G$23-Norm_Stats!$F$23)))))="",0,0.3)+IF((IF(OR(City_Inputs!$AK149="",Norm_Stats!$F$24="",Norm_Stats!$G$24="",Norm_Stats!$G$24=Norm_Stats!$F$24),"",MAX(0,MIN(100,100*(MIN(MAX(City_Inputs!$AK149,Norm_Stats!$F$24),Norm_Stats!$G$24)-Norm_Stats!$F$24)/(Norm_Stats!$G$24-Norm_Stats!$F$24)))))="",0,0.2)))</f>
        <v/>
      </c>
      <c r="BD149" s="14">
        <f>IF((IF((IF(OR(City_Inputs!$AG149="",Norm_Stats!$F$22="",Norm_Stats!$G$22="",Norm_Stats!$G$22=Norm_Stats!$F$22),"",MAX(0,MIN(100,100*(MIN(MAX(City_Inputs!$AG149,Norm_Stats!$F$22),Norm_Stats!$G$22)-Norm_Stats!$F$22)/(Norm_Stats!$G$22-Norm_Stats!$F$22)))))="",0,0.5)+IF((IF(OR(City_Inputs!$AJ149="",Norm_Stats!$F$23="",Norm_Stats!$G$23="",Norm_Stats!$G$23=Norm_Stats!$F$23),"",MAX(0,MIN(100,100*(MIN(MAX(City_Inputs!$AJ149,Norm_Stats!$F$23),Norm_Stats!$G$23)-Norm_Stats!$F$23)/(Norm_Stats!$G$23-Norm_Stats!$F$23)))))="",0,0.3)+IF((IF(OR(City_Inputs!$AK149="",Norm_Stats!$F$24="",Norm_Stats!$G$24="",Norm_Stats!$G$24=Norm_Stats!$F$24),"",MAX(0,MIN(100,100*(MIN(MAX(City_Inputs!$AK149,Norm_Stats!$F$24),Norm_Stats!$G$24)-Norm_Stats!$F$24)/(Norm_Stats!$G$24-Norm_Stats!$F$24)))))="",0,0.2))=0,"",(IF((IF(OR(City_Inputs!$AG149="",Norm_Stats!$F$22="",Norm_Stats!$G$22="",Norm_Stats!$G$22=Norm_Stats!$F$22),"",MAX(0,MIN(100,100*(MIN(MAX(City_Inputs!$AG149,Norm_Stats!$F$22),Norm_Stats!$G$22)-Norm_Stats!$F$22)/(Norm_Stats!$G$22-Norm_Stats!$F$22)))))="",0,0.5)+IF((IF(OR(City_Inputs!$AJ149="",Norm_Stats!$F$23="",Norm_Stats!$G$23="",Norm_Stats!$G$23=Norm_Stats!$F$23),"",MAX(0,MIN(100,100*(MIN(MAX(City_Inputs!$AJ149,Norm_Stats!$F$23),Norm_Stats!$G$23)-Norm_Stats!$F$23)/(Norm_Stats!$G$23-Norm_Stats!$F$23)))))="",0,0.3)+IF((IF(OR(City_Inputs!$AK149="",Norm_Stats!$F$24="",Norm_Stats!$G$24="",Norm_Stats!$G$24=Norm_Stats!$F$24),"",MAX(0,MIN(100,100*(MIN(MAX(City_Inputs!$AK149,Norm_Stats!$F$24),Norm_Stats!$G$24)-Norm_Stats!$F$24)/(Norm_Stats!$G$24-Norm_Stats!$F$24)))))="",0,0.2)))</f>
        <v/>
      </c>
      <c r="BE149" s="11">
        <f>IF(OR(City_Inputs!$AH149="",Norm_Stats!$F$25="",Norm_Stats!$G$25="",Norm_Stats!$G$25=Norm_Stats!$F$25),"",MAX(0,MIN(100,100*(Norm_Stats!$G$25-MIN(MAX(City_Inputs!$AH149,Norm_Stats!$F$25),Norm_Stats!$G$25))/(Norm_Stats!$G$25-Norm_Stats!$F$25))))</f>
        <v/>
      </c>
      <c r="BF149" s="14">
        <f>IF(BE149="","",1)</f>
        <v/>
      </c>
      <c r="BG149" s="15">
        <f>IF((IF(AY149="",0,6)+IF(BA149="",0,5)+IF(BC149="",0,5)+IF(BE149="",0,4))=0,"",(IF(AY149="",0,AY149*6)+IF(BA149="",0,BA149*5)+IF(BC149="",0,BC149*5)+IF(BE149="",0,BE149*4))/(IF(AY149="",0,6)+IF(BA149="",0,5)+IF(BC149="",0,5)+IF(BE149="",0,4)))</f>
        <v/>
      </c>
      <c r="BH149" s="14">
        <f>IF((IF(AZ149="",0,6)+IF(BB149="",0,5)+IF(BD149="",0,5)+IF(BF149="",0,4))=0,"",(IF(AZ149="",0,AZ149*6)+IF(BB149="",0,BB149*5)+IF(BD149="",0,BD149*5)+IF(BF149="",0,BF149*4))/20)</f>
        <v/>
      </c>
      <c r="BI149" s="14">
        <f>IF(AND(R149="",AF149="",AN149="",AX149="",BH149=""),"",((R149*25)+(AF149*22)+(AN149*18)+(AX149*15)+(BH149*20))/100)</f>
        <v/>
      </c>
      <c r="BJ149" s="11">
        <f>IF(BI149="","",IF(BI149&gt;=0.75,"A",IF(BI149&gt;=0.5,"B",IF(BI149&gt;=0.35,"C","Watchlist"))))</f>
        <v/>
      </c>
      <c r="BK149" s="11">
        <f>IF(OR(BI149="",BI149&lt;0.5,R149="",R149&lt;0.35,AF149="",AF149&lt;0.35,AN149="",AN149&lt;0.35,AX149="",AX149&lt;0.35,BH149="",BH149&lt;0.35),"Watchlist","Ranked")</f>
        <v/>
      </c>
      <c r="BL149" s="15">
        <f>IF(AND(Q149="",AE149="",AM149="",AW149="",BG149=""),"",(IF(Q149="",0,Q149*25)+IF(AE149="",0,AE149*22)+IF(AM149="",0,AM149*18)+IF(AW149="",0,AW149*15)+IF(BG149="",0,BG149*20))/(IF(Q149="",0,25)+IF(AE149="",0,22)+IF(AM149="",0,18)+IF(AW149="",0,15)+IF(BG149="",0,20)))</f>
        <v/>
      </c>
      <c r="BM149" s="11">
        <f>IF(BK149="Ranked",1+COUNTIFS($BK$2:$BK$158,"Ranked",$BL$2:$BL$158,"&gt;"&amp;BL149),"")</f>
        <v/>
      </c>
      <c r="BN149" s="11">
        <f>City_Inputs!$AI149</f>
        <v/>
      </c>
    </row>
    <row r="150">
      <c r="A150" t="inlineStr">
        <is>
          <t>ma-rabat</t>
        </is>
      </c>
      <c r="B150" t="inlineStr">
        <is>
          <t>Rabat</t>
        </is>
      </c>
      <c r="C150" t="inlineStr">
        <is>
          <t>Morocco</t>
        </is>
      </c>
      <c r="D150" t="inlineStr">
        <is>
          <t>Africa</t>
        </is>
      </c>
      <c r="E150" t="inlineStr">
        <is>
          <t>provisional</t>
        </is>
      </c>
      <c r="F150" t="inlineStr">
        <is>
          <t>primary</t>
        </is>
      </c>
      <c r="G150" s="11">
        <f>IF(OR(City_Inputs!$M150="",Norm_Stats!$F$2="",Norm_Stats!$G$2="",Norm_Stats!$G$2=Norm_Stats!$F$2),"",MAX(0,MIN(100,100*(MIN(MAX(City_Inputs!$M150,Norm_Stats!$F$2),Norm_Stats!$G$2)-Norm_Stats!$F$2)/(Norm_Stats!$G$2-Norm_Stats!$F$2))))</f>
        <v/>
      </c>
      <c r="H150" s="14">
        <f>IF(G150="","",1)</f>
        <v/>
      </c>
      <c r="I150" s="11">
        <f>IF(OR(City_Inputs!$N150="",Norm_Stats!$F$3="",Norm_Stats!$G$3="",Norm_Stats!$G$3=Norm_Stats!$F$3),"",MAX(0,MIN(100,100*(Norm_Stats!$G$3-MIN(MAX(City_Inputs!$N150,Norm_Stats!$F$3),Norm_Stats!$G$3))/(Norm_Stats!$G$3-Norm_Stats!$F$3))))</f>
        <v/>
      </c>
      <c r="J150" s="14">
        <f>IF(I150="","",1)</f>
        <v/>
      </c>
      <c r="K150" s="11">
        <f>IF(OR(City_Inputs!$P150="",Norm_Stats!$F$4="",Norm_Stats!$G$4="",Norm_Stats!$G$4=Norm_Stats!$F$4),"",MAX(0,MIN(100,100*(Norm_Stats!$G$4-MIN(MAX(City_Inputs!$P150,Norm_Stats!$F$4),Norm_Stats!$G$4))/(Norm_Stats!$G$4-Norm_Stats!$F$4))))</f>
        <v/>
      </c>
      <c r="L150" s="14">
        <f>IF(K150="","",1)</f>
        <v/>
      </c>
      <c r="M150" s="11">
        <f>IF(OR(City_Inputs!$Q150="",Norm_Stats!$F$5="",Norm_Stats!$G$5="",Norm_Stats!$G$5=Norm_Stats!$F$5),"",MAX(0,MIN(100,100*(Norm_Stats!$G$5-MIN(MAX(City_Inputs!$Q150,Norm_Stats!$F$5),Norm_Stats!$G$5))/(Norm_Stats!$G$5-Norm_Stats!$F$5))))</f>
        <v/>
      </c>
      <c r="N150" s="14">
        <f>IF(M150="","",1)</f>
        <v/>
      </c>
      <c r="O150" s="11">
        <f>IF(OR(City_Inputs!$R150="",Norm_Stats!$F$6="",Norm_Stats!$G$6="",Norm_Stats!$G$6=Norm_Stats!$F$6),"",MAX(0,MIN(100,100*(Norm_Stats!$G$6-MIN(MAX(City_Inputs!$R150,Norm_Stats!$F$6),Norm_Stats!$G$6))/(Norm_Stats!$G$6-Norm_Stats!$F$6))))</f>
        <v/>
      </c>
      <c r="P150" s="14">
        <f>IF(O150="","",1)</f>
        <v/>
      </c>
      <c r="Q150" s="15">
        <f>IF((IF(G150="",0,9)+IF(I150="",0,5)+IF(K150="",0,4)+IF(M150="",0,4)+IF(O150="",0,5))=0,"",(IF(G150="",0,G150*9)+IF(I150="",0,I150*5)+IF(K150="",0,K150*4)+IF(M150="",0,M150*4)+IF(O150="",0,O150*5))/(IF(G150="",0,9)+IF(I150="",0,5)+IF(K150="",0,4)+IF(M150="",0,4)+IF(O150="",0,5)))</f>
        <v/>
      </c>
      <c r="R150" s="14">
        <f>IF((IF(H150="",0,9)+IF(J150="",0,5)+IF(L150="",0,4)+IF(N150="",0,4)+IF(P150="",0,5))=0,"",(IF(H150="",0,H150*9)+IF(J150="",0,J150*5)+IF(L150="",0,L150*4)+IF(N150="",0,N150*4)+IF(P150="",0,P150*5))/27)</f>
        <v/>
      </c>
      <c r="S150" s="11">
        <f>IF(OR(City_Inputs!$S150="",Norm_Stats!$F$7="",Norm_Stats!$G$7="",Norm_Stats!$G$7=Norm_Stats!$F$7),"",MAX(0,MIN(100,100*(Norm_Stats!$G$7-MIN(MAX(City_Inputs!$S150,Norm_Stats!$F$7),Norm_Stats!$G$7))/(Norm_Stats!$G$7-Norm_Stats!$F$7))))</f>
        <v/>
      </c>
      <c r="T150" s="14">
        <f>IF(S150="","",1)</f>
        <v/>
      </c>
      <c r="U150" s="11">
        <f>IF(OR(City_Inputs!$T150="",Norm_Stats!$F$8="",Norm_Stats!$G$8="",Norm_Stats!$G$8=Norm_Stats!$F$8),"",MAX(0,MIN(100,100*(MIN(MAX(City_Inputs!$T150,Norm_Stats!$F$8),Norm_Stats!$G$8)-Norm_Stats!$F$8)/(Norm_Stats!$G$8-Norm_Stats!$F$8))))</f>
        <v/>
      </c>
      <c r="V150" s="14">
        <f>IF(U150="","",1)</f>
        <v/>
      </c>
      <c r="W150" s="11">
        <f>IF(OR(City_Inputs!$U150="",Norm_Stats!$F$9="",Norm_Stats!$G$9="",Norm_Stats!$G$9=Norm_Stats!$F$9),"",MAX(0,MIN(100,100*(Norm_Stats!$G$9-MIN(MAX(City_Inputs!$U150,Norm_Stats!$F$9),Norm_Stats!$G$9))/(Norm_Stats!$G$9-Norm_Stats!$F$9))))</f>
        <v/>
      </c>
      <c r="X150" s="14">
        <f>IF(W150="","",1)</f>
        <v/>
      </c>
      <c r="Y150" s="11">
        <f>IF(OR(City_Inputs!$V150="",Norm_Stats!$F$10="",Norm_Stats!$G$10="",Norm_Stats!$G$10=Norm_Stats!$F$10),"",MAX(0,MIN(100,100*(MIN(MAX(City_Inputs!$V150,Norm_Stats!$F$10),Norm_Stats!$G$10)-Norm_Stats!$F$10)/(Norm_Stats!$G$10-Norm_Stats!$F$10))))</f>
        <v/>
      </c>
      <c r="Z150" s="14">
        <f>IF(Y150="","",1)</f>
        <v/>
      </c>
      <c r="AA150" s="11">
        <f>IF(OR(City_Inputs!$W150="",Norm_Stats!$F$11="",Norm_Stats!$G$11="",Norm_Stats!$G$11=Norm_Stats!$F$11),"",MAX(0,MIN(100,100*(MIN(MAX(City_Inputs!$W150,Norm_Stats!$F$11),Norm_Stats!$G$11)-Norm_Stats!$F$11)/(Norm_Stats!$G$11-Norm_Stats!$F$11))))</f>
        <v/>
      </c>
      <c r="AB150" s="14">
        <f>IF(AA150="","",1)</f>
        <v/>
      </c>
      <c r="AC150" s="11">
        <f>IF(OR(City_Inputs!$X150="",Norm_Stats!$F$12="",Norm_Stats!$G$12="",Norm_Stats!$G$12=Norm_Stats!$F$12),"",MAX(0,MIN(100,100*(MIN(MAX(City_Inputs!$X150,Norm_Stats!$F$12),Norm_Stats!$G$12)-Norm_Stats!$F$12)/(Norm_Stats!$G$12-Norm_Stats!$F$12))))</f>
        <v/>
      </c>
      <c r="AD150" s="11">
        <f>IF(AC150="","",1)</f>
        <v/>
      </c>
      <c r="AE150" s="15">
        <f>IF((IF(S150="",0,5)+IF(U150="",0,5)+IF(W150="",0,4)+IF(Y150="",0,4)+IF(AA150="",0,4)+IF(AC150="",0,5))=0,"",(IF(S150="",0,S150*5)+IF(U150="",0,U150*5)+IF(W150="",0,W150*4)+IF(Y150="",0,Y150*4)+IF(AA150="",0,AA150*4)+IF(AC150="",0,AC150*5))/(IF(S150="",0,5)+IF(U150="",0,5)+IF(W150="",0,4)+IF(Y150="",0,4)+IF(AA150="",0,4)+IF(AC150="",0,5)))</f>
        <v/>
      </c>
      <c r="AF150" s="14">
        <f>IF((IF(T150="",0,5)+IF(V150="",0,5)+IF(X150="",0,4)+IF(Z150="",0,4)+IF(AB150="",0,4)+IF(AD150="",0,5))=0,"",(IF(T150="",0,T150*5)+IF(V150="",0,V150*5)+IF(X150="",0,X150*4)+IF(Z150="",0,Z150*4)+IF(AB150="",0,AB150*4)+IF(AD150="",0,AD150*5))/27)</f>
        <v/>
      </c>
      <c r="AG150" s="11">
        <f>IF(OR(City_Inputs!$Y150="",Norm_Stats!$F$13="",Norm_Stats!$G$13="",Norm_Stats!$G$13=Norm_Stats!$F$13),"",MAX(0,MIN(100,100*(MIN(MAX(City_Inputs!$Y150,Norm_Stats!$F$13),Norm_Stats!$G$13)-Norm_Stats!$F$13)/(Norm_Stats!$G$13-Norm_Stats!$F$13))))</f>
        <v/>
      </c>
      <c r="AH150" s="14">
        <f>IF(AG150="","",1)</f>
        <v/>
      </c>
      <c r="AI150" s="11">
        <f>IF(OR(City_Inputs!$Z150="",Norm_Stats!$F$14="",Norm_Stats!$G$14="",Norm_Stats!$G$14=Norm_Stats!$F$14),"",MAX(0,MIN(100,100*(MIN(MAX(City_Inputs!$Z150,Norm_Stats!$F$14),Norm_Stats!$G$14)-Norm_Stats!$F$14)/(Norm_Stats!$G$14-Norm_Stats!$F$14))))</f>
        <v/>
      </c>
      <c r="AJ150" s="14">
        <f>IF(AI150="","",1)</f>
        <v/>
      </c>
      <c r="AK150" s="11">
        <f>IF((IF((IF(OR(City_Inputs!$AA150="",Norm_Stats!$F$15="",Norm_Stats!$G$15="",Norm_Stats!$G$15=Norm_Stats!$F$15),"",MAX(0,MIN(100,100*(MIN(MAX(City_Inputs!$AA150,Norm_Stats!$F$15),Norm_Stats!$G$15)-Norm_Stats!$F$15)/(Norm_Stats!$G$15-Norm_Stats!$F$15)))))="",0,0.7)+IF((IF(OR(City_Inputs!$AL150="",Norm_Stats!$F$16="",Norm_Stats!$G$16="",Norm_Stats!$G$16=Norm_Stats!$F$16),"",MAX(0,MIN(100,100*(Norm_Stats!$G$16-MIN(MAX(City_Inputs!$AL150,Norm_Stats!$F$16),Norm_Stats!$G$16))/(Norm_Stats!$G$16-Norm_Stats!$F$16)))))="",0,0.3))=0,"",(IF((IF(OR(City_Inputs!$AA150="",Norm_Stats!$F$15="",Norm_Stats!$G$15="",Norm_Stats!$G$15=Norm_Stats!$F$15),"",MAX(0,MIN(100,100*(MIN(MAX(City_Inputs!$AA150,Norm_Stats!$F$15),Norm_Stats!$G$15)-Norm_Stats!$F$15)/(Norm_Stats!$G$15-Norm_Stats!$F$15)))))="",0,(IF(OR(City_Inputs!$AA150="",Norm_Stats!$F$15="",Norm_Stats!$G$15="",Norm_Stats!$G$15=Norm_Stats!$F$15),"",MAX(0,MIN(100,100*(MIN(MAX(City_Inputs!$AA150,Norm_Stats!$F$15),Norm_Stats!$G$15)-Norm_Stats!$F$15)/(Norm_Stats!$G$15-Norm_Stats!$F$15)))))*0.7)+IF((IF(OR(City_Inputs!$AL150="",Norm_Stats!$F$16="",Norm_Stats!$G$16="",Norm_Stats!$G$16=Norm_Stats!$F$16),"",MAX(0,MIN(100,100*(Norm_Stats!$G$16-MIN(MAX(City_Inputs!$AL150,Norm_Stats!$F$16),Norm_Stats!$G$16))/(Norm_Stats!$G$16-Norm_Stats!$F$16)))))="",0,(IF(OR(City_Inputs!$AL150="",Norm_Stats!$F$16="",Norm_Stats!$G$16="",Norm_Stats!$G$16=Norm_Stats!$F$16),"",MAX(0,MIN(100,100*(Norm_Stats!$G$16-MIN(MAX(City_Inputs!$AL150,Norm_Stats!$F$16),Norm_Stats!$G$16))/(Norm_Stats!$G$16-Norm_Stats!$F$16)))))*0.3))/(IF((IF(OR(City_Inputs!$AA150="",Norm_Stats!$F$15="",Norm_Stats!$G$15="",Norm_Stats!$G$15=Norm_Stats!$F$15),"",MAX(0,MIN(100,100*(MIN(MAX(City_Inputs!$AA150,Norm_Stats!$F$15),Norm_Stats!$G$15)-Norm_Stats!$F$15)/(Norm_Stats!$G$15-Norm_Stats!$F$15)))))="",0,0.7)+IF((IF(OR(City_Inputs!$AL150="",Norm_Stats!$F$16="",Norm_Stats!$G$16="",Norm_Stats!$G$16=Norm_Stats!$F$16),"",MAX(0,MIN(100,100*(Norm_Stats!$G$16-MIN(MAX(City_Inputs!$AL150,Norm_Stats!$F$16),Norm_Stats!$G$16))/(Norm_Stats!$G$16-Norm_Stats!$F$16)))))="",0,0.3)))</f>
        <v/>
      </c>
      <c r="AL150" s="14">
        <f>IF((IF((IF(OR(City_Inputs!$AA150="",Norm_Stats!$F$15="",Norm_Stats!$G$15="",Norm_Stats!$G$15=Norm_Stats!$F$15),"",MAX(0,MIN(100,100*(MIN(MAX(City_Inputs!$AA150,Norm_Stats!$F$15),Norm_Stats!$G$15)-Norm_Stats!$F$15)/(Norm_Stats!$G$15-Norm_Stats!$F$15)))))="",0,0.7)+IF((IF(OR(City_Inputs!$AL150="",Norm_Stats!$F$16="",Norm_Stats!$G$16="",Norm_Stats!$G$16=Norm_Stats!$F$16),"",MAX(0,MIN(100,100*(Norm_Stats!$G$16-MIN(MAX(City_Inputs!$AL150,Norm_Stats!$F$16),Norm_Stats!$G$16))/(Norm_Stats!$G$16-Norm_Stats!$F$16)))))="",0,0.3))=0,"",(IF((IF(OR(City_Inputs!$AA150="",Norm_Stats!$F$15="",Norm_Stats!$G$15="",Norm_Stats!$G$15=Norm_Stats!$F$15),"",MAX(0,MIN(100,100*(MIN(MAX(City_Inputs!$AA150,Norm_Stats!$F$15),Norm_Stats!$G$15)-Norm_Stats!$F$15)/(Norm_Stats!$G$15-Norm_Stats!$F$15)))))="",0,0.7)+IF((IF(OR(City_Inputs!$AL150="",Norm_Stats!$F$16="",Norm_Stats!$G$16="",Norm_Stats!$G$16=Norm_Stats!$F$16),"",MAX(0,MIN(100,100*(Norm_Stats!$G$16-MIN(MAX(City_Inputs!$AL150,Norm_Stats!$F$16),Norm_Stats!$G$16))/(Norm_Stats!$G$16-Norm_Stats!$F$16)))))="",0,0.3)))</f>
        <v/>
      </c>
      <c r="AM150" s="15">
        <f>IF((IF(AG150="",0,8)+IF(AI150="",0,6)+IF(AK150="",0,4))=0,"",(IF(AG150="",0,AG150*8)+IF(AI150="",0,AI150*6)+IF(AK150="",0,AK150*4))/(IF(AG150="",0,8)+IF(AI150="",0,6)+IF(AK150="",0,4)))</f>
        <v/>
      </c>
      <c r="AN150" s="14">
        <f>IF((IF(AH150="",0,8)+IF(AJ150="",0,6)+IF(AL150="",0,4))=0,"",(IF(AH150="",0,AH150*8)+IF(AJ150="",0,AJ150*6)+IF(AL150="",0,AL150*4))/18)</f>
        <v/>
      </c>
      <c r="AO150" s="11">
        <f>IF(OR(City_Inputs!$AB150="",Norm_Stats!$F$17="",Norm_Stats!$G$17="",Norm_Stats!$G$17=Norm_Stats!$F$17),"",MAX(0,MIN(100,100*(MIN(MAX(City_Inputs!$AB150,Norm_Stats!$F$17),Norm_Stats!$G$17)-Norm_Stats!$F$17)/(Norm_Stats!$G$17-Norm_Stats!$F$17))))</f>
        <v/>
      </c>
      <c r="AP150" s="14">
        <f>IF(AO150="","",1)</f>
        <v/>
      </c>
      <c r="AQ150" s="11">
        <f>IF(OR(City_Inputs!$AC150="",Norm_Stats!$F$18="",Norm_Stats!$G$18="",Norm_Stats!$G$18=Norm_Stats!$F$18),"",MAX(0,MIN(100,100*(MIN(MAX(City_Inputs!$AC150,Norm_Stats!$F$18),Norm_Stats!$G$18)-Norm_Stats!$F$18)/(Norm_Stats!$G$18-Norm_Stats!$F$18))))</f>
        <v/>
      </c>
      <c r="AR150" s="14">
        <f>IF(AQ150="","",1)</f>
        <v/>
      </c>
      <c r="AS150" s="11">
        <f>IF(OR(City_Inputs!$AD150="",Norm_Stats!$F$19="",Norm_Stats!$G$19="",Norm_Stats!$G$19=Norm_Stats!$F$19),"",MAX(0,MIN(100,100*(MIN(MAX(City_Inputs!$AD150,Norm_Stats!$F$19),Norm_Stats!$G$19)-Norm_Stats!$F$19)/(Norm_Stats!$G$19-Norm_Stats!$F$19))))</f>
        <v/>
      </c>
      <c r="AT150" s="14">
        <f>IF(AS150="","",1)</f>
        <v/>
      </c>
      <c r="AU150" s="11">
        <f>IF(OR(City_Inputs!$BJ150="",Norm_Stats!$F$26="",Norm_Stats!$G$26="",Norm_Stats!$G$26=Norm_Stats!$F$26),"",MAX(0,MIN(100,100*(MIN(MAX(City_Inputs!$BJ150,Norm_Stats!$F$26),Norm_Stats!$G$26)-Norm_Stats!$F$26)/(Norm_Stats!$G$26-Norm_Stats!$F$26))))</f>
        <v/>
      </c>
      <c r="AV150" s="11">
        <f>IF(AU150="","",1)</f>
        <v/>
      </c>
      <c r="AW150" s="15">
        <f>IF((IF(AO150="",0,5)+IF(AQ150="",0,5)+IF(AS150="",0,5)+IF(AU150="",0,4))=0,"",(IF(AO150="",0,AO150*5)+IF(AQ150="",0,AQ150*5)+IF(AS150="",0,AS150*5)+IF(AU150="",0,AU150*4))/(IF(AO150="",0,5)+IF(AQ150="",0,5)+IF(AS150="",0,5)+IF(AU150="",0,4)))</f>
        <v/>
      </c>
      <c r="AX150" s="14">
        <f>IF((IF(AP150="",0,5)+IF(AR150="",0,5)+IF(AT150="",0,5)+IF(AV150="",0,4))=0,"",(IF(AP150="",0,AP150*5)+IF(AR150="",0,AR150*5)+IF(AT150="",0,AT150*5)+IF(AV150="",0,AV150*4))/19)</f>
        <v/>
      </c>
      <c r="AY150" s="11">
        <f>IF(OR(City_Inputs!$AE150="",Norm_Stats!$F$20="",Norm_Stats!$G$20="",Norm_Stats!$G$20=Norm_Stats!$F$20),"",MAX(0,MIN(100,100*(MIN(MAX(City_Inputs!$AE150,Norm_Stats!$F$20),Norm_Stats!$G$20)-Norm_Stats!$F$20)/(Norm_Stats!$G$20-Norm_Stats!$F$20))))</f>
        <v/>
      </c>
      <c r="AZ150" s="14">
        <f>IF(AY150="","",1)</f>
        <v/>
      </c>
      <c r="BA150" s="11">
        <f>IF(OR(City_Inputs!$AF150="",Norm_Stats!$F$21="",Norm_Stats!$G$21="",Norm_Stats!$G$21=Norm_Stats!$F$21),"",MAX(0,MIN(100,100*(MIN(MAX(City_Inputs!$AF150,Norm_Stats!$F$21),Norm_Stats!$G$21)-Norm_Stats!$F$21)/(Norm_Stats!$G$21-Norm_Stats!$F$21))))</f>
        <v/>
      </c>
      <c r="BB150" s="14">
        <f>IF(BA150="","",1)</f>
        <v/>
      </c>
      <c r="BC150" s="11">
        <f>IF((IF((IF(OR(City_Inputs!$AG150="",Norm_Stats!$F$22="",Norm_Stats!$G$22="",Norm_Stats!$G$22=Norm_Stats!$F$22),"",MAX(0,MIN(100,100*(MIN(MAX(City_Inputs!$AG150,Norm_Stats!$F$22),Norm_Stats!$G$22)-Norm_Stats!$F$22)/(Norm_Stats!$G$22-Norm_Stats!$F$22)))))="",0,0.5)+IF((IF(OR(City_Inputs!$AJ150="",Norm_Stats!$F$23="",Norm_Stats!$G$23="",Norm_Stats!$G$23=Norm_Stats!$F$23),"",MAX(0,MIN(100,100*(MIN(MAX(City_Inputs!$AJ150,Norm_Stats!$F$23),Norm_Stats!$G$23)-Norm_Stats!$F$23)/(Norm_Stats!$G$23-Norm_Stats!$F$23)))))="",0,0.3)+IF((IF(OR(City_Inputs!$AK150="",Norm_Stats!$F$24="",Norm_Stats!$G$24="",Norm_Stats!$G$24=Norm_Stats!$F$24),"",MAX(0,MIN(100,100*(MIN(MAX(City_Inputs!$AK150,Norm_Stats!$F$24),Norm_Stats!$G$24)-Norm_Stats!$F$24)/(Norm_Stats!$G$24-Norm_Stats!$F$24)))))="",0,0.2))=0,"",(IF((IF(OR(City_Inputs!$AG150="",Norm_Stats!$F$22="",Norm_Stats!$G$22="",Norm_Stats!$G$22=Norm_Stats!$F$22),"",MAX(0,MIN(100,100*(MIN(MAX(City_Inputs!$AG150,Norm_Stats!$F$22),Norm_Stats!$G$22)-Norm_Stats!$F$22)/(Norm_Stats!$G$22-Norm_Stats!$F$22)))))="",0,(IF(OR(City_Inputs!$AG150="",Norm_Stats!$F$22="",Norm_Stats!$G$22="",Norm_Stats!$G$22=Norm_Stats!$F$22),"",MAX(0,MIN(100,100*(MIN(MAX(City_Inputs!$AG150,Norm_Stats!$F$22),Norm_Stats!$G$22)-Norm_Stats!$F$22)/(Norm_Stats!$G$22-Norm_Stats!$F$22)))))*0.5)+IF((IF(OR(City_Inputs!$AJ150="",Norm_Stats!$F$23="",Norm_Stats!$G$23="",Norm_Stats!$G$23=Norm_Stats!$F$23),"",MAX(0,MIN(100,100*(MIN(MAX(City_Inputs!$AJ150,Norm_Stats!$F$23),Norm_Stats!$G$23)-Norm_Stats!$F$23)/(Norm_Stats!$G$23-Norm_Stats!$F$23)))))="",0,(IF(OR(City_Inputs!$AJ150="",Norm_Stats!$F$23="",Norm_Stats!$G$23="",Norm_Stats!$G$23=Norm_Stats!$F$23),"",MAX(0,MIN(100,100*(MIN(MAX(City_Inputs!$AJ150,Norm_Stats!$F$23),Norm_Stats!$G$23)-Norm_Stats!$F$23)/(Norm_Stats!$G$23-Norm_Stats!$F$23)))))*0.3)+IF((IF(OR(City_Inputs!$AK150="",Norm_Stats!$F$24="",Norm_Stats!$G$24="",Norm_Stats!$G$24=Norm_Stats!$F$24),"",MAX(0,MIN(100,100*(MIN(MAX(City_Inputs!$AK150,Norm_Stats!$F$24),Norm_Stats!$G$24)-Norm_Stats!$F$24)/(Norm_Stats!$G$24-Norm_Stats!$F$24)))))="",0,(IF(OR(City_Inputs!$AK150="",Norm_Stats!$F$24="",Norm_Stats!$G$24="",Norm_Stats!$G$24=Norm_Stats!$F$24),"",MAX(0,MIN(100,100*(MIN(MAX(City_Inputs!$AK150,Norm_Stats!$F$24),Norm_Stats!$G$24)-Norm_Stats!$F$24)/(Norm_Stats!$G$24-Norm_Stats!$F$24)))))*0.2))/(IF((IF(OR(City_Inputs!$AG150="",Norm_Stats!$F$22="",Norm_Stats!$G$22="",Norm_Stats!$G$22=Norm_Stats!$F$22),"",MAX(0,MIN(100,100*(MIN(MAX(City_Inputs!$AG150,Norm_Stats!$F$22),Norm_Stats!$G$22)-Norm_Stats!$F$22)/(Norm_Stats!$G$22-Norm_Stats!$F$22)))))="",0,0.5)+IF((IF(OR(City_Inputs!$AJ150="",Norm_Stats!$F$23="",Norm_Stats!$G$23="",Norm_Stats!$G$23=Norm_Stats!$F$23),"",MAX(0,MIN(100,100*(MIN(MAX(City_Inputs!$AJ150,Norm_Stats!$F$23),Norm_Stats!$G$23)-Norm_Stats!$F$23)/(Norm_Stats!$G$23-Norm_Stats!$F$23)))))="",0,0.3)+IF((IF(OR(City_Inputs!$AK150="",Norm_Stats!$F$24="",Norm_Stats!$G$24="",Norm_Stats!$G$24=Norm_Stats!$F$24),"",MAX(0,MIN(100,100*(MIN(MAX(City_Inputs!$AK150,Norm_Stats!$F$24),Norm_Stats!$G$24)-Norm_Stats!$F$24)/(Norm_Stats!$G$24-Norm_Stats!$F$24)))))="",0,0.2)))</f>
        <v/>
      </c>
      <c r="BD150" s="14">
        <f>IF((IF((IF(OR(City_Inputs!$AG150="",Norm_Stats!$F$22="",Norm_Stats!$G$22="",Norm_Stats!$G$22=Norm_Stats!$F$22),"",MAX(0,MIN(100,100*(MIN(MAX(City_Inputs!$AG150,Norm_Stats!$F$22),Norm_Stats!$G$22)-Norm_Stats!$F$22)/(Norm_Stats!$G$22-Norm_Stats!$F$22)))))="",0,0.5)+IF((IF(OR(City_Inputs!$AJ150="",Norm_Stats!$F$23="",Norm_Stats!$G$23="",Norm_Stats!$G$23=Norm_Stats!$F$23),"",MAX(0,MIN(100,100*(MIN(MAX(City_Inputs!$AJ150,Norm_Stats!$F$23),Norm_Stats!$G$23)-Norm_Stats!$F$23)/(Norm_Stats!$G$23-Norm_Stats!$F$23)))))="",0,0.3)+IF((IF(OR(City_Inputs!$AK150="",Norm_Stats!$F$24="",Norm_Stats!$G$24="",Norm_Stats!$G$24=Norm_Stats!$F$24),"",MAX(0,MIN(100,100*(MIN(MAX(City_Inputs!$AK150,Norm_Stats!$F$24),Norm_Stats!$G$24)-Norm_Stats!$F$24)/(Norm_Stats!$G$24-Norm_Stats!$F$24)))))="",0,0.2))=0,"",(IF((IF(OR(City_Inputs!$AG150="",Norm_Stats!$F$22="",Norm_Stats!$G$22="",Norm_Stats!$G$22=Norm_Stats!$F$22),"",MAX(0,MIN(100,100*(MIN(MAX(City_Inputs!$AG150,Norm_Stats!$F$22),Norm_Stats!$G$22)-Norm_Stats!$F$22)/(Norm_Stats!$G$22-Norm_Stats!$F$22)))))="",0,0.5)+IF((IF(OR(City_Inputs!$AJ150="",Norm_Stats!$F$23="",Norm_Stats!$G$23="",Norm_Stats!$G$23=Norm_Stats!$F$23),"",MAX(0,MIN(100,100*(MIN(MAX(City_Inputs!$AJ150,Norm_Stats!$F$23),Norm_Stats!$G$23)-Norm_Stats!$F$23)/(Norm_Stats!$G$23-Norm_Stats!$F$23)))))="",0,0.3)+IF((IF(OR(City_Inputs!$AK150="",Norm_Stats!$F$24="",Norm_Stats!$G$24="",Norm_Stats!$G$24=Norm_Stats!$F$24),"",MAX(0,MIN(100,100*(MIN(MAX(City_Inputs!$AK150,Norm_Stats!$F$24),Norm_Stats!$G$24)-Norm_Stats!$F$24)/(Norm_Stats!$G$24-Norm_Stats!$F$24)))))="",0,0.2)))</f>
        <v/>
      </c>
      <c r="BE150" s="11">
        <f>IF(OR(City_Inputs!$AH150="",Norm_Stats!$F$25="",Norm_Stats!$G$25="",Norm_Stats!$G$25=Norm_Stats!$F$25),"",MAX(0,MIN(100,100*(Norm_Stats!$G$25-MIN(MAX(City_Inputs!$AH150,Norm_Stats!$F$25),Norm_Stats!$G$25))/(Norm_Stats!$G$25-Norm_Stats!$F$25))))</f>
        <v/>
      </c>
      <c r="BF150" s="14">
        <f>IF(BE150="","",1)</f>
        <v/>
      </c>
      <c r="BG150" s="15">
        <f>IF((IF(AY150="",0,6)+IF(BA150="",0,5)+IF(BC150="",0,5)+IF(BE150="",0,4))=0,"",(IF(AY150="",0,AY150*6)+IF(BA150="",0,BA150*5)+IF(BC150="",0,BC150*5)+IF(BE150="",0,BE150*4))/(IF(AY150="",0,6)+IF(BA150="",0,5)+IF(BC150="",0,5)+IF(BE150="",0,4)))</f>
        <v/>
      </c>
      <c r="BH150" s="14">
        <f>IF((IF(AZ150="",0,6)+IF(BB150="",0,5)+IF(BD150="",0,5)+IF(BF150="",0,4))=0,"",(IF(AZ150="",0,AZ150*6)+IF(BB150="",0,BB150*5)+IF(BD150="",0,BD150*5)+IF(BF150="",0,BF150*4))/20)</f>
        <v/>
      </c>
      <c r="BI150" s="14">
        <f>IF(AND(R150="",AF150="",AN150="",AX150="",BH150=""),"",((R150*25)+(AF150*22)+(AN150*18)+(AX150*15)+(BH150*20))/100)</f>
        <v/>
      </c>
      <c r="BJ150" s="11">
        <f>IF(BI150="","",IF(BI150&gt;=0.75,"A",IF(BI150&gt;=0.5,"B",IF(BI150&gt;=0.35,"C","Watchlist"))))</f>
        <v/>
      </c>
      <c r="BK150" s="11">
        <f>IF(OR(BI150="",BI150&lt;0.5,R150="",R150&lt;0.35,AF150="",AF150&lt;0.35,AN150="",AN150&lt;0.35,AX150="",AX150&lt;0.35,BH150="",BH150&lt;0.35),"Watchlist","Ranked")</f>
        <v/>
      </c>
      <c r="BL150" s="15">
        <f>IF(AND(Q150="",AE150="",AM150="",AW150="",BG150=""),"",(IF(Q150="",0,Q150*25)+IF(AE150="",0,AE150*22)+IF(AM150="",0,AM150*18)+IF(AW150="",0,AW150*15)+IF(BG150="",0,BG150*20))/(IF(Q150="",0,25)+IF(AE150="",0,22)+IF(AM150="",0,18)+IF(AW150="",0,15)+IF(BG150="",0,20)))</f>
        <v/>
      </c>
      <c r="BM150" s="11">
        <f>IF(BK150="Ranked",1+COUNTIFS($BK$2:$BK$158,"Ranked",$BL$2:$BL$158,"&gt;"&amp;BL150),"")</f>
        <v/>
      </c>
      <c r="BN150" s="11">
        <f>City_Inputs!$AI150</f>
        <v/>
      </c>
    </row>
    <row r="151">
      <c r="A151" t="inlineStr">
        <is>
          <t>eg-alexandria</t>
        </is>
      </c>
      <c r="B151" t="inlineStr">
        <is>
          <t>Alexandria</t>
        </is>
      </c>
      <c r="C151" t="inlineStr">
        <is>
          <t>Egypt</t>
        </is>
      </c>
      <c r="D151" t="inlineStr">
        <is>
          <t>Africa</t>
        </is>
      </c>
      <c r="E151" t="inlineStr">
        <is>
          <t>provisional</t>
        </is>
      </c>
      <c r="F151" t="inlineStr">
        <is>
          <t>primary</t>
        </is>
      </c>
      <c r="G151" s="11">
        <f>IF(OR(City_Inputs!$M151="",Norm_Stats!$F$2="",Norm_Stats!$G$2="",Norm_Stats!$G$2=Norm_Stats!$F$2),"",MAX(0,MIN(100,100*(MIN(MAX(City_Inputs!$M151,Norm_Stats!$F$2),Norm_Stats!$G$2)-Norm_Stats!$F$2)/(Norm_Stats!$G$2-Norm_Stats!$F$2))))</f>
        <v/>
      </c>
      <c r="H151" s="14">
        <f>IF(G151="","",1)</f>
        <v/>
      </c>
      <c r="I151" s="11">
        <f>IF(OR(City_Inputs!$N151="",Norm_Stats!$F$3="",Norm_Stats!$G$3="",Norm_Stats!$G$3=Norm_Stats!$F$3),"",MAX(0,MIN(100,100*(Norm_Stats!$G$3-MIN(MAX(City_Inputs!$N151,Norm_Stats!$F$3),Norm_Stats!$G$3))/(Norm_Stats!$G$3-Norm_Stats!$F$3))))</f>
        <v/>
      </c>
      <c r="J151" s="14">
        <f>IF(I151="","",1)</f>
        <v/>
      </c>
      <c r="K151" s="11">
        <f>IF(OR(City_Inputs!$P151="",Norm_Stats!$F$4="",Norm_Stats!$G$4="",Norm_Stats!$G$4=Norm_Stats!$F$4),"",MAX(0,MIN(100,100*(Norm_Stats!$G$4-MIN(MAX(City_Inputs!$P151,Norm_Stats!$F$4),Norm_Stats!$G$4))/(Norm_Stats!$G$4-Norm_Stats!$F$4))))</f>
        <v/>
      </c>
      <c r="L151" s="14">
        <f>IF(K151="","",1)</f>
        <v/>
      </c>
      <c r="M151" s="11">
        <f>IF(OR(City_Inputs!$Q151="",Norm_Stats!$F$5="",Norm_Stats!$G$5="",Norm_Stats!$G$5=Norm_Stats!$F$5),"",MAX(0,MIN(100,100*(Norm_Stats!$G$5-MIN(MAX(City_Inputs!$Q151,Norm_Stats!$F$5),Norm_Stats!$G$5))/(Norm_Stats!$G$5-Norm_Stats!$F$5))))</f>
        <v/>
      </c>
      <c r="N151" s="14">
        <f>IF(M151="","",1)</f>
        <v/>
      </c>
      <c r="O151" s="11">
        <f>IF(OR(City_Inputs!$R151="",Norm_Stats!$F$6="",Norm_Stats!$G$6="",Norm_Stats!$G$6=Norm_Stats!$F$6),"",MAX(0,MIN(100,100*(Norm_Stats!$G$6-MIN(MAX(City_Inputs!$R151,Norm_Stats!$F$6),Norm_Stats!$G$6))/(Norm_Stats!$G$6-Norm_Stats!$F$6))))</f>
        <v/>
      </c>
      <c r="P151" s="14">
        <f>IF(O151="","",1)</f>
        <v/>
      </c>
      <c r="Q151" s="15">
        <f>IF((IF(G151="",0,9)+IF(I151="",0,5)+IF(K151="",0,4)+IF(M151="",0,4)+IF(O151="",0,5))=0,"",(IF(G151="",0,G151*9)+IF(I151="",0,I151*5)+IF(K151="",0,K151*4)+IF(M151="",0,M151*4)+IF(O151="",0,O151*5))/(IF(G151="",0,9)+IF(I151="",0,5)+IF(K151="",0,4)+IF(M151="",0,4)+IF(O151="",0,5)))</f>
        <v/>
      </c>
      <c r="R151" s="14">
        <f>IF((IF(H151="",0,9)+IF(J151="",0,5)+IF(L151="",0,4)+IF(N151="",0,4)+IF(P151="",0,5))=0,"",(IF(H151="",0,H151*9)+IF(J151="",0,J151*5)+IF(L151="",0,L151*4)+IF(N151="",0,N151*4)+IF(P151="",0,P151*5))/27)</f>
        <v/>
      </c>
      <c r="S151" s="11">
        <f>IF(OR(City_Inputs!$S151="",Norm_Stats!$F$7="",Norm_Stats!$G$7="",Norm_Stats!$G$7=Norm_Stats!$F$7),"",MAX(0,MIN(100,100*(Norm_Stats!$G$7-MIN(MAX(City_Inputs!$S151,Norm_Stats!$F$7),Norm_Stats!$G$7))/(Norm_Stats!$G$7-Norm_Stats!$F$7))))</f>
        <v/>
      </c>
      <c r="T151" s="14">
        <f>IF(S151="","",1)</f>
        <v/>
      </c>
      <c r="U151" s="11">
        <f>IF(OR(City_Inputs!$T151="",Norm_Stats!$F$8="",Norm_Stats!$G$8="",Norm_Stats!$G$8=Norm_Stats!$F$8),"",MAX(0,MIN(100,100*(MIN(MAX(City_Inputs!$T151,Norm_Stats!$F$8),Norm_Stats!$G$8)-Norm_Stats!$F$8)/(Norm_Stats!$G$8-Norm_Stats!$F$8))))</f>
        <v/>
      </c>
      <c r="V151" s="14">
        <f>IF(U151="","",1)</f>
        <v/>
      </c>
      <c r="W151" s="11">
        <f>IF(OR(City_Inputs!$U151="",Norm_Stats!$F$9="",Norm_Stats!$G$9="",Norm_Stats!$G$9=Norm_Stats!$F$9),"",MAX(0,MIN(100,100*(Norm_Stats!$G$9-MIN(MAX(City_Inputs!$U151,Norm_Stats!$F$9),Norm_Stats!$G$9))/(Norm_Stats!$G$9-Norm_Stats!$F$9))))</f>
        <v/>
      </c>
      <c r="X151" s="14">
        <f>IF(W151="","",1)</f>
        <v/>
      </c>
      <c r="Y151" s="11">
        <f>IF(OR(City_Inputs!$V151="",Norm_Stats!$F$10="",Norm_Stats!$G$10="",Norm_Stats!$G$10=Norm_Stats!$F$10),"",MAX(0,MIN(100,100*(MIN(MAX(City_Inputs!$V151,Norm_Stats!$F$10),Norm_Stats!$G$10)-Norm_Stats!$F$10)/(Norm_Stats!$G$10-Norm_Stats!$F$10))))</f>
        <v/>
      </c>
      <c r="Z151" s="14">
        <f>IF(Y151="","",1)</f>
        <v/>
      </c>
      <c r="AA151" s="11">
        <f>IF(OR(City_Inputs!$W151="",Norm_Stats!$F$11="",Norm_Stats!$G$11="",Norm_Stats!$G$11=Norm_Stats!$F$11),"",MAX(0,MIN(100,100*(MIN(MAX(City_Inputs!$W151,Norm_Stats!$F$11),Norm_Stats!$G$11)-Norm_Stats!$F$11)/(Norm_Stats!$G$11-Norm_Stats!$F$11))))</f>
        <v/>
      </c>
      <c r="AB151" s="14">
        <f>IF(AA151="","",1)</f>
        <v/>
      </c>
      <c r="AC151" s="11">
        <f>IF(OR(City_Inputs!$X151="",Norm_Stats!$F$12="",Norm_Stats!$G$12="",Norm_Stats!$G$12=Norm_Stats!$F$12),"",MAX(0,MIN(100,100*(MIN(MAX(City_Inputs!$X151,Norm_Stats!$F$12),Norm_Stats!$G$12)-Norm_Stats!$F$12)/(Norm_Stats!$G$12-Norm_Stats!$F$12))))</f>
        <v/>
      </c>
      <c r="AD151" s="11">
        <f>IF(AC151="","",1)</f>
        <v/>
      </c>
      <c r="AE151" s="15">
        <f>IF((IF(S151="",0,5)+IF(U151="",0,5)+IF(W151="",0,4)+IF(Y151="",0,4)+IF(AA151="",0,4)+IF(AC151="",0,5))=0,"",(IF(S151="",0,S151*5)+IF(U151="",0,U151*5)+IF(W151="",0,W151*4)+IF(Y151="",0,Y151*4)+IF(AA151="",0,AA151*4)+IF(AC151="",0,AC151*5))/(IF(S151="",0,5)+IF(U151="",0,5)+IF(W151="",0,4)+IF(Y151="",0,4)+IF(AA151="",0,4)+IF(AC151="",0,5)))</f>
        <v/>
      </c>
      <c r="AF151" s="14">
        <f>IF((IF(T151="",0,5)+IF(V151="",0,5)+IF(X151="",0,4)+IF(Z151="",0,4)+IF(AB151="",0,4)+IF(AD151="",0,5))=0,"",(IF(T151="",0,T151*5)+IF(V151="",0,V151*5)+IF(X151="",0,X151*4)+IF(Z151="",0,Z151*4)+IF(AB151="",0,AB151*4)+IF(AD151="",0,AD151*5))/27)</f>
        <v/>
      </c>
      <c r="AG151" s="11">
        <f>IF(OR(City_Inputs!$Y151="",Norm_Stats!$F$13="",Norm_Stats!$G$13="",Norm_Stats!$G$13=Norm_Stats!$F$13),"",MAX(0,MIN(100,100*(MIN(MAX(City_Inputs!$Y151,Norm_Stats!$F$13),Norm_Stats!$G$13)-Norm_Stats!$F$13)/(Norm_Stats!$G$13-Norm_Stats!$F$13))))</f>
        <v/>
      </c>
      <c r="AH151" s="14">
        <f>IF(AG151="","",1)</f>
        <v/>
      </c>
      <c r="AI151" s="11">
        <f>IF(OR(City_Inputs!$Z151="",Norm_Stats!$F$14="",Norm_Stats!$G$14="",Norm_Stats!$G$14=Norm_Stats!$F$14),"",MAX(0,MIN(100,100*(MIN(MAX(City_Inputs!$Z151,Norm_Stats!$F$14),Norm_Stats!$G$14)-Norm_Stats!$F$14)/(Norm_Stats!$G$14-Norm_Stats!$F$14))))</f>
        <v/>
      </c>
      <c r="AJ151" s="14">
        <f>IF(AI151="","",1)</f>
        <v/>
      </c>
      <c r="AK151" s="11">
        <f>IF((IF((IF(OR(City_Inputs!$AA151="",Norm_Stats!$F$15="",Norm_Stats!$G$15="",Norm_Stats!$G$15=Norm_Stats!$F$15),"",MAX(0,MIN(100,100*(MIN(MAX(City_Inputs!$AA151,Norm_Stats!$F$15),Norm_Stats!$G$15)-Norm_Stats!$F$15)/(Norm_Stats!$G$15-Norm_Stats!$F$15)))))="",0,0.7)+IF((IF(OR(City_Inputs!$AL151="",Norm_Stats!$F$16="",Norm_Stats!$G$16="",Norm_Stats!$G$16=Norm_Stats!$F$16),"",MAX(0,MIN(100,100*(Norm_Stats!$G$16-MIN(MAX(City_Inputs!$AL151,Norm_Stats!$F$16),Norm_Stats!$G$16))/(Norm_Stats!$G$16-Norm_Stats!$F$16)))))="",0,0.3))=0,"",(IF((IF(OR(City_Inputs!$AA151="",Norm_Stats!$F$15="",Norm_Stats!$G$15="",Norm_Stats!$G$15=Norm_Stats!$F$15),"",MAX(0,MIN(100,100*(MIN(MAX(City_Inputs!$AA151,Norm_Stats!$F$15),Norm_Stats!$G$15)-Norm_Stats!$F$15)/(Norm_Stats!$G$15-Norm_Stats!$F$15)))))="",0,(IF(OR(City_Inputs!$AA151="",Norm_Stats!$F$15="",Norm_Stats!$G$15="",Norm_Stats!$G$15=Norm_Stats!$F$15),"",MAX(0,MIN(100,100*(MIN(MAX(City_Inputs!$AA151,Norm_Stats!$F$15),Norm_Stats!$G$15)-Norm_Stats!$F$15)/(Norm_Stats!$G$15-Norm_Stats!$F$15)))))*0.7)+IF((IF(OR(City_Inputs!$AL151="",Norm_Stats!$F$16="",Norm_Stats!$G$16="",Norm_Stats!$G$16=Norm_Stats!$F$16),"",MAX(0,MIN(100,100*(Norm_Stats!$G$16-MIN(MAX(City_Inputs!$AL151,Norm_Stats!$F$16),Norm_Stats!$G$16))/(Norm_Stats!$G$16-Norm_Stats!$F$16)))))="",0,(IF(OR(City_Inputs!$AL151="",Norm_Stats!$F$16="",Norm_Stats!$G$16="",Norm_Stats!$G$16=Norm_Stats!$F$16),"",MAX(0,MIN(100,100*(Norm_Stats!$G$16-MIN(MAX(City_Inputs!$AL151,Norm_Stats!$F$16),Norm_Stats!$G$16))/(Norm_Stats!$G$16-Norm_Stats!$F$16)))))*0.3))/(IF((IF(OR(City_Inputs!$AA151="",Norm_Stats!$F$15="",Norm_Stats!$G$15="",Norm_Stats!$G$15=Norm_Stats!$F$15),"",MAX(0,MIN(100,100*(MIN(MAX(City_Inputs!$AA151,Norm_Stats!$F$15),Norm_Stats!$G$15)-Norm_Stats!$F$15)/(Norm_Stats!$G$15-Norm_Stats!$F$15)))))="",0,0.7)+IF((IF(OR(City_Inputs!$AL151="",Norm_Stats!$F$16="",Norm_Stats!$G$16="",Norm_Stats!$G$16=Norm_Stats!$F$16),"",MAX(0,MIN(100,100*(Norm_Stats!$G$16-MIN(MAX(City_Inputs!$AL151,Norm_Stats!$F$16),Norm_Stats!$G$16))/(Norm_Stats!$G$16-Norm_Stats!$F$16)))))="",0,0.3)))</f>
        <v/>
      </c>
      <c r="AL151" s="14">
        <f>IF((IF((IF(OR(City_Inputs!$AA151="",Norm_Stats!$F$15="",Norm_Stats!$G$15="",Norm_Stats!$G$15=Norm_Stats!$F$15),"",MAX(0,MIN(100,100*(MIN(MAX(City_Inputs!$AA151,Norm_Stats!$F$15),Norm_Stats!$G$15)-Norm_Stats!$F$15)/(Norm_Stats!$G$15-Norm_Stats!$F$15)))))="",0,0.7)+IF((IF(OR(City_Inputs!$AL151="",Norm_Stats!$F$16="",Norm_Stats!$G$16="",Norm_Stats!$G$16=Norm_Stats!$F$16),"",MAX(0,MIN(100,100*(Norm_Stats!$G$16-MIN(MAX(City_Inputs!$AL151,Norm_Stats!$F$16),Norm_Stats!$G$16))/(Norm_Stats!$G$16-Norm_Stats!$F$16)))))="",0,0.3))=0,"",(IF((IF(OR(City_Inputs!$AA151="",Norm_Stats!$F$15="",Norm_Stats!$G$15="",Norm_Stats!$G$15=Norm_Stats!$F$15),"",MAX(0,MIN(100,100*(MIN(MAX(City_Inputs!$AA151,Norm_Stats!$F$15),Norm_Stats!$G$15)-Norm_Stats!$F$15)/(Norm_Stats!$G$15-Norm_Stats!$F$15)))))="",0,0.7)+IF((IF(OR(City_Inputs!$AL151="",Norm_Stats!$F$16="",Norm_Stats!$G$16="",Norm_Stats!$G$16=Norm_Stats!$F$16),"",MAX(0,MIN(100,100*(Norm_Stats!$G$16-MIN(MAX(City_Inputs!$AL151,Norm_Stats!$F$16),Norm_Stats!$G$16))/(Norm_Stats!$G$16-Norm_Stats!$F$16)))))="",0,0.3)))</f>
        <v/>
      </c>
      <c r="AM151" s="15">
        <f>IF((IF(AG151="",0,8)+IF(AI151="",0,6)+IF(AK151="",0,4))=0,"",(IF(AG151="",0,AG151*8)+IF(AI151="",0,AI151*6)+IF(AK151="",0,AK151*4))/(IF(AG151="",0,8)+IF(AI151="",0,6)+IF(AK151="",0,4)))</f>
        <v/>
      </c>
      <c r="AN151" s="14">
        <f>IF((IF(AH151="",0,8)+IF(AJ151="",0,6)+IF(AL151="",0,4))=0,"",(IF(AH151="",0,AH151*8)+IF(AJ151="",0,AJ151*6)+IF(AL151="",0,AL151*4))/18)</f>
        <v/>
      </c>
      <c r="AO151" s="11">
        <f>IF(OR(City_Inputs!$AB151="",Norm_Stats!$F$17="",Norm_Stats!$G$17="",Norm_Stats!$G$17=Norm_Stats!$F$17),"",MAX(0,MIN(100,100*(MIN(MAX(City_Inputs!$AB151,Norm_Stats!$F$17),Norm_Stats!$G$17)-Norm_Stats!$F$17)/(Norm_Stats!$G$17-Norm_Stats!$F$17))))</f>
        <v/>
      </c>
      <c r="AP151" s="14">
        <f>IF(AO151="","",1)</f>
        <v/>
      </c>
      <c r="AQ151" s="11">
        <f>IF(OR(City_Inputs!$AC151="",Norm_Stats!$F$18="",Norm_Stats!$G$18="",Norm_Stats!$G$18=Norm_Stats!$F$18),"",MAX(0,MIN(100,100*(MIN(MAX(City_Inputs!$AC151,Norm_Stats!$F$18),Norm_Stats!$G$18)-Norm_Stats!$F$18)/(Norm_Stats!$G$18-Norm_Stats!$F$18))))</f>
        <v/>
      </c>
      <c r="AR151" s="14">
        <f>IF(AQ151="","",1)</f>
        <v/>
      </c>
      <c r="AS151" s="11">
        <f>IF(OR(City_Inputs!$AD151="",Norm_Stats!$F$19="",Norm_Stats!$G$19="",Norm_Stats!$G$19=Norm_Stats!$F$19),"",MAX(0,MIN(100,100*(MIN(MAX(City_Inputs!$AD151,Norm_Stats!$F$19),Norm_Stats!$G$19)-Norm_Stats!$F$19)/(Norm_Stats!$G$19-Norm_Stats!$F$19))))</f>
        <v/>
      </c>
      <c r="AT151" s="14">
        <f>IF(AS151="","",1)</f>
        <v/>
      </c>
      <c r="AU151" s="11">
        <f>IF(OR(City_Inputs!$BJ151="",Norm_Stats!$F$26="",Norm_Stats!$G$26="",Norm_Stats!$G$26=Norm_Stats!$F$26),"",MAX(0,MIN(100,100*(MIN(MAX(City_Inputs!$BJ151,Norm_Stats!$F$26),Norm_Stats!$G$26)-Norm_Stats!$F$26)/(Norm_Stats!$G$26-Norm_Stats!$F$26))))</f>
        <v/>
      </c>
      <c r="AV151" s="11">
        <f>IF(AU151="","",1)</f>
        <v/>
      </c>
      <c r="AW151" s="15">
        <f>IF((IF(AO151="",0,5)+IF(AQ151="",0,5)+IF(AS151="",0,5)+IF(AU151="",0,4))=0,"",(IF(AO151="",0,AO151*5)+IF(AQ151="",0,AQ151*5)+IF(AS151="",0,AS151*5)+IF(AU151="",0,AU151*4))/(IF(AO151="",0,5)+IF(AQ151="",0,5)+IF(AS151="",0,5)+IF(AU151="",0,4)))</f>
        <v/>
      </c>
      <c r="AX151" s="14">
        <f>IF((IF(AP151="",0,5)+IF(AR151="",0,5)+IF(AT151="",0,5)+IF(AV151="",0,4))=0,"",(IF(AP151="",0,AP151*5)+IF(AR151="",0,AR151*5)+IF(AT151="",0,AT151*5)+IF(AV151="",0,AV151*4))/19)</f>
        <v/>
      </c>
      <c r="AY151" s="11">
        <f>IF(OR(City_Inputs!$AE151="",Norm_Stats!$F$20="",Norm_Stats!$G$20="",Norm_Stats!$G$20=Norm_Stats!$F$20),"",MAX(0,MIN(100,100*(MIN(MAX(City_Inputs!$AE151,Norm_Stats!$F$20),Norm_Stats!$G$20)-Norm_Stats!$F$20)/(Norm_Stats!$G$20-Norm_Stats!$F$20))))</f>
        <v/>
      </c>
      <c r="AZ151" s="14">
        <f>IF(AY151="","",1)</f>
        <v/>
      </c>
      <c r="BA151" s="11">
        <f>IF(OR(City_Inputs!$AF151="",Norm_Stats!$F$21="",Norm_Stats!$G$21="",Norm_Stats!$G$21=Norm_Stats!$F$21),"",MAX(0,MIN(100,100*(MIN(MAX(City_Inputs!$AF151,Norm_Stats!$F$21),Norm_Stats!$G$21)-Norm_Stats!$F$21)/(Norm_Stats!$G$21-Norm_Stats!$F$21))))</f>
        <v/>
      </c>
      <c r="BB151" s="14">
        <f>IF(BA151="","",1)</f>
        <v/>
      </c>
      <c r="BC151" s="11">
        <f>IF((IF((IF(OR(City_Inputs!$AG151="",Norm_Stats!$F$22="",Norm_Stats!$G$22="",Norm_Stats!$G$22=Norm_Stats!$F$22),"",MAX(0,MIN(100,100*(MIN(MAX(City_Inputs!$AG151,Norm_Stats!$F$22),Norm_Stats!$G$22)-Norm_Stats!$F$22)/(Norm_Stats!$G$22-Norm_Stats!$F$22)))))="",0,0.5)+IF((IF(OR(City_Inputs!$AJ151="",Norm_Stats!$F$23="",Norm_Stats!$G$23="",Norm_Stats!$G$23=Norm_Stats!$F$23),"",MAX(0,MIN(100,100*(MIN(MAX(City_Inputs!$AJ151,Norm_Stats!$F$23),Norm_Stats!$G$23)-Norm_Stats!$F$23)/(Norm_Stats!$G$23-Norm_Stats!$F$23)))))="",0,0.3)+IF((IF(OR(City_Inputs!$AK151="",Norm_Stats!$F$24="",Norm_Stats!$G$24="",Norm_Stats!$G$24=Norm_Stats!$F$24),"",MAX(0,MIN(100,100*(MIN(MAX(City_Inputs!$AK151,Norm_Stats!$F$24),Norm_Stats!$G$24)-Norm_Stats!$F$24)/(Norm_Stats!$G$24-Norm_Stats!$F$24)))))="",0,0.2))=0,"",(IF((IF(OR(City_Inputs!$AG151="",Norm_Stats!$F$22="",Norm_Stats!$G$22="",Norm_Stats!$G$22=Norm_Stats!$F$22),"",MAX(0,MIN(100,100*(MIN(MAX(City_Inputs!$AG151,Norm_Stats!$F$22),Norm_Stats!$G$22)-Norm_Stats!$F$22)/(Norm_Stats!$G$22-Norm_Stats!$F$22)))))="",0,(IF(OR(City_Inputs!$AG151="",Norm_Stats!$F$22="",Norm_Stats!$G$22="",Norm_Stats!$G$22=Norm_Stats!$F$22),"",MAX(0,MIN(100,100*(MIN(MAX(City_Inputs!$AG151,Norm_Stats!$F$22),Norm_Stats!$G$22)-Norm_Stats!$F$22)/(Norm_Stats!$G$22-Norm_Stats!$F$22)))))*0.5)+IF((IF(OR(City_Inputs!$AJ151="",Norm_Stats!$F$23="",Norm_Stats!$G$23="",Norm_Stats!$G$23=Norm_Stats!$F$23),"",MAX(0,MIN(100,100*(MIN(MAX(City_Inputs!$AJ151,Norm_Stats!$F$23),Norm_Stats!$G$23)-Norm_Stats!$F$23)/(Norm_Stats!$G$23-Norm_Stats!$F$23)))))="",0,(IF(OR(City_Inputs!$AJ151="",Norm_Stats!$F$23="",Norm_Stats!$G$23="",Norm_Stats!$G$23=Norm_Stats!$F$23),"",MAX(0,MIN(100,100*(MIN(MAX(City_Inputs!$AJ151,Norm_Stats!$F$23),Norm_Stats!$G$23)-Norm_Stats!$F$23)/(Norm_Stats!$G$23-Norm_Stats!$F$23)))))*0.3)+IF((IF(OR(City_Inputs!$AK151="",Norm_Stats!$F$24="",Norm_Stats!$G$24="",Norm_Stats!$G$24=Norm_Stats!$F$24),"",MAX(0,MIN(100,100*(MIN(MAX(City_Inputs!$AK151,Norm_Stats!$F$24),Norm_Stats!$G$24)-Norm_Stats!$F$24)/(Norm_Stats!$G$24-Norm_Stats!$F$24)))))="",0,(IF(OR(City_Inputs!$AK151="",Norm_Stats!$F$24="",Norm_Stats!$G$24="",Norm_Stats!$G$24=Norm_Stats!$F$24),"",MAX(0,MIN(100,100*(MIN(MAX(City_Inputs!$AK151,Norm_Stats!$F$24),Norm_Stats!$G$24)-Norm_Stats!$F$24)/(Norm_Stats!$G$24-Norm_Stats!$F$24)))))*0.2))/(IF((IF(OR(City_Inputs!$AG151="",Norm_Stats!$F$22="",Norm_Stats!$G$22="",Norm_Stats!$G$22=Norm_Stats!$F$22),"",MAX(0,MIN(100,100*(MIN(MAX(City_Inputs!$AG151,Norm_Stats!$F$22),Norm_Stats!$G$22)-Norm_Stats!$F$22)/(Norm_Stats!$G$22-Norm_Stats!$F$22)))))="",0,0.5)+IF((IF(OR(City_Inputs!$AJ151="",Norm_Stats!$F$23="",Norm_Stats!$G$23="",Norm_Stats!$G$23=Norm_Stats!$F$23),"",MAX(0,MIN(100,100*(MIN(MAX(City_Inputs!$AJ151,Norm_Stats!$F$23),Norm_Stats!$G$23)-Norm_Stats!$F$23)/(Norm_Stats!$G$23-Norm_Stats!$F$23)))))="",0,0.3)+IF((IF(OR(City_Inputs!$AK151="",Norm_Stats!$F$24="",Norm_Stats!$G$24="",Norm_Stats!$G$24=Norm_Stats!$F$24),"",MAX(0,MIN(100,100*(MIN(MAX(City_Inputs!$AK151,Norm_Stats!$F$24),Norm_Stats!$G$24)-Norm_Stats!$F$24)/(Norm_Stats!$G$24-Norm_Stats!$F$24)))))="",0,0.2)))</f>
        <v/>
      </c>
      <c r="BD151" s="14">
        <f>IF((IF((IF(OR(City_Inputs!$AG151="",Norm_Stats!$F$22="",Norm_Stats!$G$22="",Norm_Stats!$G$22=Norm_Stats!$F$22),"",MAX(0,MIN(100,100*(MIN(MAX(City_Inputs!$AG151,Norm_Stats!$F$22),Norm_Stats!$G$22)-Norm_Stats!$F$22)/(Norm_Stats!$G$22-Norm_Stats!$F$22)))))="",0,0.5)+IF((IF(OR(City_Inputs!$AJ151="",Norm_Stats!$F$23="",Norm_Stats!$G$23="",Norm_Stats!$G$23=Norm_Stats!$F$23),"",MAX(0,MIN(100,100*(MIN(MAX(City_Inputs!$AJ151,Norm_Stats!$F$23),Norm_Stats!$G$23)-Norm_Stats!$F$23)/(Norm_Stats!$G$23-Norm_Stats!$F$23)))))="",0,0.3)+IF((IF(OR(City_Inputs!$AK151="",Norm_Stats!$F$24="",Norm_Stats!$G$24="",Norm_Stats!$G$24=Norm_Stats!$F$24),"",MAX(0,MIN(100,100*(MIN(MAX(City_Inputs!$AK151,Norm_Stats!$F$24),Norm_Stats!$G$24)-Norm_Stats!$F$24)/(Norm_Stats!$G$24-Norm_Stats!$F$24)))))="",0,0.2))=0,"",(IF((IF(OR(City_Inputs!$AG151="",Norm_Stats!$F$22="",Norm_Stats!$G$22="",Norm_Stats!$G$22=Norm_Stats!$F$22),"",MAX(0,MIN(100,100*(MIN(MAX(City_Inputs!$AG151,Norm_Stats!$F$22),Norm_Stats!$G$22)-Norm_Stats!$F$22)/(Norm_Stats!$G$22-Norm_Stats!$F$22)))))="",0,0.5)+IF((IF(OR(City_Inputs!$AJ151="",Norm_Stats!$F$23="",Norm_Stats!$G$23="",Norm_Stats!$G$23=Norm_Stats!$F$23),"",MAX(0,MIN(100,100*(MIN(MAX(City_Inputs!$AJ151,Norm_Stats!$F$23),Norm_Stats!$G$23)-Norm_Stats!$F$23)/(Norm_Stats!$G$23-Norm_Stats!$F$23)))))="",0,0.3)+IF((IF(OR(City_Inputs!$AK151="",Norm_Stats!$F$24="",Norm_Stats!$G$24="",Norm_Stats!$G$24=Norm_Stats!$F$24),"",MAX(0,MIN(100,100*(MIN(MAX(City_Inputs!$AK151,Norm_Stats!$F$24),Norm_Stats!$G$24)-Norm_Stats!$F$24)/(Norm_Stats!$G$24-Norm_Stats!$F$24)))))="",0,0.2)))</f>
        <v/>
      </c>
      <c r="BE151" s="11">
        <f>IF(OR(City_Inputs!$AH151="",Norm_Stats!$F$25="",Norm_Stats!$G$25="",Norm_Stats!$G$25=Norm_Stats!$F$25),"",MAX(0,MIN(100,100*(Norm_Stats!$G$25-MIN(MAX(City_Inputs!$AH151,Norm_Stats!$F$25),Norm_Stats!$G$25))/(Norm_Stats!$G$25-Norm_Stats!$F$25))))</f>
        <v/>
      </c>
      <c r="BF151" s="14">
        <f>IF(BE151="","",1)</f>
        <v/>
      </c>
      <c r="BG151" s="15">
        <f>IF((IF(AY151="",0,6)+IF(BA151="",0,5)+IF(BC151="",0,5)+IF(BE151="",0,4))=0,"",(IF(AY151="",0,AY151*6)+IF(BA151="",0,BA151*5)+IF(BC151="",0,BC151*5)+IF(BE151="",0,BE151*4))/(IF(AY151="",0,6)+IF(BA151="",0,5)+IF(BC151="",0,5)+IF(BE151="",0,4)))</f>
        <v/>
      </c>
      <c r="BH151" s="14">
        <f>IF((IF(AZ151="",0,6)+IF(BB151="",0,5)+IF(BD151="",0,5)+IF(BF151="",0,4))=0,"",(IF(AZ151="",0,AZ151*6)+IF(BB151="",0,BB151*5)+IF(BD151="",0,BD151*5)+IF(BF151="",0,BF151*4))/20)</f>
        <v/>
      </c>
      <c r="BI151" s="14">
        <f>IF(AND(R151="",AF151="",AN151="",AX151="",BH151=""),"",((R151*25)+(AF151*22)+(AN151*18)+(AX151*15)+(BH151*20))/100)</f>
        <v/>
      </c>
      <c r="BJ151" s="11">
        <f>IF(BI151="","",IF(BI151&gt;=0.75,"A",IF(BI151&gt;=0.5,"B",IF(BI151&gt;=0.35,"C","Watchlist"))))</f>
        <v/>
      </c>
      <c r="BK151" s="11">
        <f>IF(OR(BI151="",BI151&lt;0.5,R151="",R151&lt;0.35,AF151="",AF151&lt;0.35,AN151="",AN151&lt;0.35,AX151="",AX151&lt;0.35,BH151="",BH151&lt;0.35),"Watchlist","Ranked")</f>
        <v/>
      </c>
      <c r="BL151" s="15">
        <f>IF(AND(Q151="",AE151="",AM151="",AW151="",BG151=""),"",(IF(Q151="",0,Q151*25)+IF(AE151="",0,AE151*22)+IF(AM151="",0,AM151*18)+IF(AW151="",0,AW151*15)+IF(BG151="",0,BG151*20))/(IF(Q151="",0,25)+IF(AE151="",0,22)+IF(AM151="",0,18)+IF(AW151="",0,15)+IF(BG151="",0,20)))</f>
        <v/>
      </c>
      <c r="BM151" s="11">
        <f>IF(BK151="Ranked",1+COUNTIFS($BK$2:$BK$158,"Ranked",$BL$2:$BL$158,"&gt;"&amp;BL151),"")</f>
        <v/>
      </c>
      <c r="BN151" s="11">
        <f>City_Inputs!$AI151</f>
        <v/>
      </c>
    </row>
    <row r="152">
      <c r="A152" t="inlineStr">
        <is>
          <t>tz-dar-es-salaam</t>
        </is>
      </c>
      <c r="B152" t="inlineStr">
        <is>
          <t>Dar es Salaam</t>
        </is>
      </c>
      <c r="C152" t="inlineStr">
        <is>
          <t>Tanzania</t>
        </is>
      </c>
      <c r="D152" t="inlineStr">
        <is>
          <t>Africa</t>
        </is>
      </c>
      <c r="E152" t="inlineStr">
        <is>
          <t>provisional</t>
        </is>
      </c>
      <c r="F152" t="inlineStr">
        <is>
          <t>primary</t>
        </is>
      </c>
      <c r="G152" s="11">
        <f>IF(OR(City_Inputs!$M152="",Norm_Stats!$F$2="",Norm_Stats!$G$2="",Norm_Stats!$G$2=Norm_Stats!$F$2),"",MAX(0,MIN(100,100*(MIN(MAX(City_Inputs!$M152,Norm_Stats!$F$2),Norm_Stats!$G$2)-Norm_Stats!$F$2)/(Norm_Stats!$G$2-Norm_Stats!$F$2))))</f>
        <v/>
      </c>
      <c r="H152" s="14">
        <f>IF(G152="","",1)</f>
        <v/>
      </c>
      <c r="I152" s="11">
        <f>IF(OR(City_Inputs!$N152="",Norm_Stats!$F$3="",Norm_Stats!$G$3="",Norm_Stats!$G$3=Norm_Stats!$F$3),"",MAX(0,MIN(100,100*(Norm_Stats!$G$3-MIN(MAX(City_Inputs!$N152,Norm_Stats!$F$3),Norm_Stats!$G$3))/(Norm_Stats!$G$3-Norm_Stats!$F$3))))</f>
        <v/>
      </c>
      <c r="J152" s="14">
        <f>IF(I152="","",1)</f>
        <v/>
      </c>
      <c r="K152" s="11">
        <f>IF(OR(City_Inputs!$P152="",Norm_Stats!$F$4="",Norm_Stats!$G$4="",Norm_Stats!$G$4=Norm_Stats!$F$4),"",MAX(0,MIN(100,100*(Norm_Stats!$G$4-MIN(MAX(City_Inputs!$P152,Norm_Stats!$F$4),Norm_Stats!$G$4))/(Norm_Stats!$G$4-Norm_Stats!$F$4))))</f>
        <v/>
      </c>
      <c r="L152" s="14">
        <f>IF(K152="","",1)</f>
        <v/>
      </c>
      <c r="M152" s="11">
        <f>IF(OR(City_Inputs!$Q152="",Norm_Stats!$F$5="",Norm_Stats!$G$5="",Norm_Stats!$G$5=Norm_Stats!$F$5),"",MAX(0,MIN(100,100*(Norm_Stats!$G$5-MIN(MAX(City_Inputs!$Q152,Norm_Stats!$F$5),Norm_Stats!$G$5))/(Norm_Stats!$G$5-Norm_Stats!$F$5))))</f>
        <v/>
      </c>
      <c r="N152" s="14">
        <f>IF(M152="","",1)</f>
        <v/>
      </c>
      <c r="O152" s="11">
        <f>IF(OR(City_Inputs!$R152="",Norm_Stats!$F$6="",Norm_Stats!$G$6="",Norm_Stats!$G$6=Norm_Stats!$F$6),"",MAX(0,MIN(100,100*(Norm_Stats!$G$6-MIN(MAX(City_Inputs!$R152,Norm_Stats!$F$6),Norm_Stats!$G$6))/(Norm_Stats!$G$6-Norm_Stats!$F$6))))</f>
        <v/>
      </c>
      <c r="P152" s="14">
        <f>IF(O152="","",1)</f>
        <v/>
      </c>
      <c r="Q152" s="15">
        <f>IF((IF(G152="",0,9)+IF(I152="",0,5)+IF(K152="",0,4)+IF(M152="",0,4)+IF(O152="",0,5))=0,"",(IF(G152="",0,G152*9)+IF(I152="",0,I152*5)+IF(K152="",0,K152*4)+IF(M152="",0,M152*4)+IF(O152="",0,O152*5))/(IF(G152="",0,9)+IF(I152="",0,5)+IF(K152="",0,4)+IF(M152="",0,4)+IF(O152="",0,5)))</f>
        <v/>
      </c>
      <c r="R152" s="14">
        <f>IF((IF(H152="",0,9)+IF(J152="",0,5)+IF(L152="",0,4)+IF(N152="",0,4)+IF(P152="",0,5))=0,"",(IF(H152="",0,H152*9)+IF(J152="",0,J152*5)+IF(L152="",0,L152*4)+IF(N152="",0,N152*4)+IF(P152="",0,P152*5))/27)</f>
        <v/>
      </c>
      <c r="S152" s="11">
        <f>IF(OR(City_Inputs!$S152="",Norm_Stats!$F$7="",Norm_Stats!$G$7="",Norm_Stats!$G$7=Norm_Stats!$F$7),"",MAX(0,MIN(100,100*(Norm_Stats!$G$7-MIN(MAX(City_Inputs!$S152,Norm_Stats!$F$7),Norm_Stats!$G$7))/(Norm_Stats!$G$7-Norm_Stats!$F$7))))</f>
        <v/>
      </c>
      <c r="T152" s="14">
        <f>IF(S152="","",1)</f>
        <v/>
      </c>
      <c r="U152" s="11">
        <f>IF(OR(City_Inputs!$T152="",Norm_Stats!$F$8="",Norm_Stats!$G$8="",Norm_Stats!$G$8=Norm_Stats!$F$8),"",MAX(0,MIN(100,100*(MIN(MAX(City_Inputs!$T152,Norm_Stats!$F$8),Norm_Stats!$G$8)-Norm_Stats!$F$8)/(Norm_Stats!$G$8-Norm_Stats!$F$8))))</f>
        <v/>
      </c>
      <c r="V152" s="14">
        <f>IF(U152="","",1)</f>
        <v/>
      </c>
      <c r="W152" s="11">
        <f>IF(OR(City_Inputs!$U152="",Norm_Stats!$F$9="",Norm_Stats!$G$9="",Norm_Stats!$G$9=Norm_Stats!$F$9),"",MAX(0,MIN(100,100*(Norm_Stats!$G$9-MIN(MAX(City_Inputs!$U152,Norm_Stats!$F$9),Norm_Stats!$G$9))/(Norm_Stats!$G$9-Norm_Stats!$F$9))))</f>
        <v/>
      </c>
      <c r="X152" s="14">
        <f>IF(W152="","",1)</f>
        <v/>
      </c>
      <c r="Y152" s="11">
        <f>IF(OR(City_Inputs!$V152="",Norm_Stats!$F$10="",Norm_Stats!$G$10="",Norm_Stats!$G$10=Norm_Stats!$F$10),"",MAX(0,MIN(100,100*(MIN(MAX(City_Inputs!$V152,Norm_Stats!$F$10),Norm_Stats!$G$10)-Norm_Stats!$F$10)/(Norm_Stats!$G$10-Norm_Stats!$F$10))))</f>
        <v/>
      </c>
      <c r="Z152" s="14">
        <f>IF(Y152="","",1)</f>
        <v/>
      </c>
      <c r="AA152" s="11">
        <f>IF(OR(City_Inputs!$W152="",Norm_Stats!$F$11="",Norm_Stats!$G$11="",Norm_Stats!$G$11=Norm_Stats!$F$11),"",MAX(0,MIN(100,100*(MIN(MAX(City_Inputs!$W152,Norm_Stats!$F$11),Norm_Stats!$G$11)-Norm_Stats!$F$11)/(Norm_Stats!$G$11-Norm_Stats!$F$11))))</f>
        <v/>
      </c>
      <c r="AB152" s="14">
        <f>IF(AA152="","",1)</f>
        <v/>
      </c>
      <c r="AC152" s="11">
        <f>IF(OR(City_Inputs!$X152="",Norm_Stats!$F$12="",Norm_Stats!$G$12="",Norm_Stats!$G$12=Norm_Stats!$F$12),"",MAX(0,MIN(100,100*(MIN(MAX(City_Inputs!$X152,Norm_Stats!$F$12),Norm_Stats!$G$12)-Norm_Stats!$F$12)/(Norm_Stats!$G$12-Norm_Stats!$F$12))))</f>
        <v/>
      </c>
      <c r="AD152" s="11">
        <f>IF(AC152="","",1)</f>
        <v/>
      </c>
      <c r="AE152" s="15">
        <f>IF((IF(S152="",0,5)+IF(U152="",0,5)+IF(W152="",0,4)+IF(Y152="",0,4)+IF(AA152="",0,4)+IF(AC152="",0,5))=0,"",(IF(S152="",0,S152*5)+IF(U152="",0,U152*5)+IF(W152="",0,W152*4)+IF(Y152="",0,Y152*4)+IF(AA152="",0,AA152*4)+IF(AC152="",0,AC152*5))/(IF(S152="",0,5)+IF(U152="",0,5)+IF(W152="",0,4)+IF(Y152="",0,4)+IF(AA152="",0,4)+IF(AC152="",0,5)))</f>
        <v/>
      </c>
      <c r="AF152" s="14">
        <f>IF((IF(T152="",0,5)+IF(V152="",0,5)+IF(X152="",0,4)+IF(Z152="",0,4)+IF(AB152="",0,4)+IF(AD152="",0,5))=0,"",(IF(T152="",0,T152*5)+IF(V152="",0,V152*5)+IF(X152="",0,X152*4)+IF(Z152="",0,Z152*4)+IF(AB152="",0,AB152*4)+IF(AD152="",0,AD152*5))/27)</f>
        <v/>
      </c>
      <c r="AG152" s="11">
        <f>IF(OR(City_Inputs!$Y152="",Norm_Stats!$F$13="",Norm_Stats!$G$13="",Norm_Stats!$G$13=Norm_Stats!$F$13),"",MAX(0,MIN(100,100*(MIN(MAX(City_Inputs!$Y152,Norm_Stats!$F$13),Norm_Stats!$G$13)-Norm_Stats!$F$13)/(Norm_Stats!$G$13-Norm_Stats!$F$13))))</f>
        <v/>
      </c>
      <c r="AH152" s="14">
        <f>IF(AG152="","",1)</f>
        <v/>
      </c>
      <c r="AI152" s="11">
        <f>IF(OR(City_Inputs!$Z152="",Norm_Stats!$F$14="",Norm_Stats!$G$14="",Norm_Stats!$G$14=Norm_Stats!$F$14),"",MAX(0,MIN(100,100*(MIN(MAX(City_Inputs!$Z152,Norm_Stats!$F$14),Norm_Stats!$G$14)-Norm_Stats!$F$14)/(Norm_Stats!$G$14-Norm_Stats!$F$14))))</f>
        <v/>
      </c>
      <c r="AJ152" s="14">
        <f>IF(AI152="","",1)</f>
        <v/>
      </c>
      <c r="AK152" s="11">
        <f>IF((IF((IF(OR(City_Inputs!$AA152="",Norm_Stats!$F$15="",Norm_Stats!$G$15="",Norm_Stats!$G$15=Norm_Stats!$F$15),"",MAX(0,MIN(100,100*(MIN(MAX(City_Inputs!$AA152,Norm_Stats!$F$15),Norm_Stats!$G$15)-Norm_Stats!$F$15)/(Norm_Stats!$G$15-Norm_Stats!$F$15)))))="",0,0.7)+IF((IF(OR(City_Inputs!$AL152="",Norm_Stats!$F$16="",Norm_Stats!$G$16="",Norm_Stats!$G$16=Norm_Stats!$F$16),"",MAX(0,MIN(100,100*(Norm_Stats!$G$16-MIN(MAX(City_Inputs!$AL152,Norm_Stats!$F$16),Norm_Stats!$G$16))/(Norm_Stats!$G$16-Norm_Stats!$F$16)))))="",0,0.3))=0,"",(IF((IF(OR(City_Inputs!$AA152="",Norm_Stats!$F$15="",Norm_Stats!$G$15="",Norm_Stats!$G$15=Norm_Stats!$F$15),"",MAX(0,MIN(100,100*(MIN(MAX(City_Inputs!$AA152,Norm_Stats!$F$15),Norm_Stats!$G$15)-Norm_Stats!$F$15)/(Norm_Stats!$G$15-Norm_Stats!$F$15)))))="",0,(IF(OR(City_Inputs!$AA152="",Norm_Stats!$F$15="",Norm_Stats!$G$15="",Norm_Stats!$G$15=Norm_Stats!$F$15),"",MAX(0,MIN(100,100*(MIN(MAX(City_Inputs!$AA152,Norm_Stats!$F$15),Norm_Stats!$G$15)-Norm_Stats!$F$15)/(Norm_Stats!$G$15-Norm_Stats!$F$15)))))*0.7)+IF((IF(OR(City_Inputs!$AL152="",Norm_Stats!$F$16="",Norm_Stats!$G$16="",Norm_Stats!$G$16=Norm_Stats!$F$16),"",MAX(0,MIN(100,100*(Norm_Stats!$G$16-MIN(MAX(City_Inputs!$AL152,Norm_Stats!$F$16),Norm_Stats!$G$16))/(Norm_Stats!$G$16-Norm_Stats!$F$16)))))="",0,(IF(OR(City_Inputs!$AL152="",Norm_Stats!$F$16="",Norm_Stats!$G$16="",Norm_Stats!$G$16=Norm_Stats!$F$16),"",MAX(0,MIN(100,100*(Norm_Stats!$G$16-MIN(MAX(City_Inputs!$AL152,Norm_Stats!$F$16),Norm_Stats!$G$16))/(Norm_Stats!$G$16-Norm_Stats!$F$16)))))*0.3))/(IF((IF(OR(City_Inputs!$AA152="",Norm_Stats!$F$15="",Norm_Stats!$G$15="",Norm_Stats!$G$15=Norm_Stats!$F$15),"",MAX(0,MIN(100,100*(MIN(MAX(City_Inputs!$AA152,Norm_Stats!$F$15),Norm_Stats!$G$15)-Norm_Stats!$F$15)/(Norm_Stats!$G$15-Norm_Stats!$F$15)))))="",0,0.7)+IF((IF(OR(City_Inputs!$AL152="",Norm_Stats!$F$16="",Norm_Stats!$G$16="",Norm_Stats!$G$16=Norm_Stats!$F$16),"",MAX(0,MIN(100,100*(Norm_Stats!$G$16-MIN(MAX(City_Inputs!$AL152,Norm_Stats!$F$16),Norm_Stats!$G$16))/(Norm_Stats!$G$16-Norm_Stats!$F$16)))))="",0,0.3)))</f>
        <v/>
      </c>
      <c r="AL152" s="14">
        <f>IF((IF((IF(OR(City_Inputs!$AA152="",Norm_Stats!$F$15="",Norm_Stats!$G$15="",Norm_Stats!$G$15=Norm_Stats!$F$15),"",MAX(0,MIN(100,100*(MIN(MAX(City_Inputs!$AA152,Norm_Stats!$F$15),Norm_Stats!$G$15)-Norm_Stats!$F$15)/(Norm_Stats!$G$15-Norm_Stats!$F$15)))))="",0,0.7)+IF((IF(OR(City_Inputs!$AL152="",Norm_Stats!$F$16="",Norm_Stats!$G$16="",Norm_Stats!$G$16=Norm_Stats!$F$16),"",MAX(0,MIN(100,100*(Norm_Stats!$G$16-MIN(MAX(City_Inputs!$AL152,Norm_Stats!$F$16),Norm_Stats!$G$16))/(Norm_Stats!$G$16-Norm_Stats!$F$16)))))="",0,0.3))=0,"",(IF((IF(OR(City_Inputs!$AA152="",Norm_Stats!$F$15="",Norm_Stats!$G$15="",Norm_Stats!$G$15=Norm_Stats!$F$15),"",MAX(0,MIN(100,100*(MIN(MAX(City_Inputs!$AA152,Norm_Stats!$F$15),Norm_Stats!$G$15)-Norm_Stats!$F$15)/(Norm_Stats!$G$15-Norm_Stats!$F$15)))))="",0,0.7)+IF((IF(OR(City_Inputs!$AL152="",Norm_Stats!$F$16="",Norm_Stats!$G$16="",Norm_Stats!$G$16=Norm_Stats!$F$16),"",MAX(0,MIN(100,100*(Norm_Stats!$G$16-MIN(MAX(City_Inputs!$AL152,Norm_Stats!$F$16),Norm_Stats!$G$16))/(Norm_Stats!$G$16-Norm_Stats!$F$16)))))="",0,0.3)))</f>
        <v/>
      </c>
      <c r="AM152" s="15">
        <f>IF((IF(AG152="",0,8)+IF(AI152="",0,6)+IF(AK152="",0,4))=0,"",(IF(AG152="",0,AG152*8)+IF(AI152="",0,AI152*6)+IF(AK152="",0,AK152*4))/(IF(AG152="",0,8)+IF(AI152="",0,6)+IF(AK152="",0,4)))</f>
        <v/>
      </c>
      <c r="AN152" s="14">
        <f>IF((IF(AH152="",0,8)+IF(AJ152="",0,6)+IF(AL152="",0,4))=0,"",(IF(AH152="",0,AH152*8)+IF(AJ152="",0,AJ152*6)+IF(AL152="",0,AL152*4))/18)</f>
        <v/>
      </c>
      <c r="AO152" s="11">
        <f>IF(OR(City_Inputs!$AB152="",Norm_Stats!$F$17="",Norm_Stats!$G$17="",Norm_Stats!$G$17=Norm_Stats!$F$17),"",MAX(0,MIN(100,100*(MIN(MAX(City_Inputs!$AB152,Norm_Stats!$F$17),Norm_Stats!$G$17)-Norm_Stats!$F$17)/(Norm_Stats!$G$17-Norm_Stats!$F$17))))</f>
        <v/>
      </c>
      <c r="AP152" s="14">
        <f>IF(AO152="","",1)</f>
        <v/>
      </c>
      <c r="AQ152" s="11">
        <f>IF(OR(City_Inputs!$AC152="",Norm_Stats!$F$18="",Norm_Stats!$G$18="",Norm_Stats!$G$18=Norm_Stats!$F$18),"",MAX(0,MIN(100,100*(MIN(MAX(City_Inputs!$AC152,Norm_Stats!$F$18),Norm_Stats!$G$18)-Norm_Stats!$F$18)/(Norm_Stats!$G$18-Norm_Stats!$F$18))))</f>
        <v/>
      </c>
      <c r="AR152" s="14">
        <f>IF(AQ152="","",1)</f>
        <v/>
      </c>
      <c r="AS152" s="11">
        <f>IF(OR(City_Inputs!$AD152="",Norm_Stats!$F$19="",Norm_Stats!$G$19="",Norm_Stats!$G$19=Norm_Stats!$F$19),"",MAX(0,MIN(100,100*(MIN(MAX(City_Inputs!$AD152,Norm_Stats!$F$19),Norm_Stats!$G$19)-Norm_Stats!$F$19)/(Norm_Stats!$G$19-Norm_Stats!$F$19))))</f>
        <v/>
      </c>
      <c r="AT152" s="14">
        <f>IF(AS152="","",1)</f>
        <v/>
      </c>
      <c r="AU152" s="11">
        <f>IF(OR(City_Inputs!$BJ152="",Norm_Stats!$F$26="",Norm_Stats!$G$26="",Norm_Stats!$G$26=Norm_Stats!$F$26),"",MAX(0,MIN(100,100*(MIN(MAX(City_Inputs!$BJ152,Norm_Stats!$F$26),Norm_Stats!$G$26)-Norm_Stats!$F$26)/(Norm_Stats!$G$26-Norm_Stats!$F$26))))</f>
        <v/>
      </c>
      <c r="AV152" s="11">
        <f>IF(AU152="","",1)</f>
        <v/>
      </c>
      <c r="AW152" s="15">
        <f>IF((IF(AO152="",0,5)+IF(AQ152="",0,5)+IF(AS152="",0,5)+IF(AU152="",0,4))=0,"",(IF(AO152="",0,AO152*5)+IF(AQ152="",0,AQ152*5)+IF(AS152="",0,AS152*5)+IF(AU152="",0,AU152*4))/(IF(AO152="",0,5)+IF(AQ152="",0,5)+IF(AS152="",0,5)+IF(AU152="",0,4)))</f>
        <v/>
      </c>
      <c r="AX152" s="14">
        <f>IF((IF(AP152="",0,5)+IF(AR152="",0,5)+IF(AT152="",0,5)+IF(AV152="",0,4))=0,"",(IF(AP152="",0,AP152*5)+IF(AR152="",0,AR152*5)+IF(AT152="",0,AT152*5)+IF(AV152="",0,AV152*4))/19)</f>
        <v/>
      </c>
      <c r="AY152" s="11">
        <f>IF(OR(City_Inputs!$AE152="",Norm_Stats!$F$20="",Norm_Stats!$G$20="",Norm_Stats!$G$20=Norm_Stats!$F$20),"",MAX(0,MIN(100,100*(MIN(MAX(City_Inputs!$AE152,Norm_Stats!$F$20),Norm_Stats!$G$20)-Norm_Stats!$F$20)/(Norm_Stats!$G$20-Norm_Stats!$F$20))))</f>
        <v/>
      </c>
      <c r="AZ152" s="14">
        <f>IF(AY152="","",1)</f>
        <v/>
      </c>
      <c r="BA152" s="11">
        <f>IF(OR(City_Inputs!$AF152="",Norm_Stats!$F$21="",Norm_Stats!$G$21="",Norm_Stats!$G$21=Norm_Stats!$F$21),"",MAX(0,MIN(100,100*(MIN(MAX(City_Inputs!$AF152,Norm_Stats!$F$21),Norm_Stats!$G$21)-Norm_Stats!$F$21)/(Norm_Stats!$G$21-Norm_Stats!$F$21))))</f>
        <v/>
      </c>
      <c r="BB152" s="14">
        <f>IF(BA152="","",1)</f>
        <v/>
      </c>
      <c r="BC152" s="11">
        <f>IF((IF((IF(OR(City_Inputs!$AG152="",Norm_Stats!$F$22="",Norm_Stats!$G$22="",Norm_Stats!$G$22=Norm_Stats!$F$22),"",MAX(0,MIN(100,100*(MIN(MAX(City_Inputs!$AG152,Norm_Stats!$F$22),Norm_Stats!$G$22)-Norm_Stats!$F$22)/(Norm_Stats!$G$22-Norm_Stats!$F$22)))))="",0,0.5)+IF((IF(OR(City_Inputs!$AJ152="",Norm_Stats!$F$23="",Norm_Stats!$G$23="",Norm_Stats!$G$23=Norm_Stats!$F$23),"",MAX(0,MIN(100,100*(MIN(MAX(City_Inputs!$AJ152,Norm_Stats!$F$23),Norm_Stats!$G$23)-Norm_Stats!$F$23)/(Norm_Stats!$G$23-Norm_Stats!$F$23)))))="",0,0.3)+IF((IF(OR(City_Inputs!$AK152="",Norm_Stats!$F$24="",Norm_Stats!$G$24="",Norm_Stats!$G$24=Norm_Stats!$F$24),"",MAX(0,MIN(100,100*(MIN(MAX(City_Inputs!$AK152,Norm_Stats!$F$24),Norm_Stats!$G$24)-Norm_Stats!$F$24)/(Norm_Stats!$G$24-Norm_Stats!$F$24)))))="",0,0.2))=0,"",(IF((IF(OR(City_Inputs!$AG152="",Norm_Stats!$F$22="",Norm_Stats!$G$22="",Norm_Stats!$G$22=Norm_Stats!$F$22),"",MAX(0,MIN(100,100*(MIN(MAX(City_Inputs!$AG152,Norm_Stats!$F$22),Norm_Stats!$G$22)-Norm_Stats!$F$22)/(Norm_Stats!$G$22-Norm_Stats!$F$22)))))="",0,(IF(OR(City_Inputs!$AG152="",Norm_Stats!$F$22="",Norm_Stats!$G$22="",Norm_Stats!$G$22=Norm_Stats!$F$22),"",MAX(0,MIN(100,100*(MIN(MAX(City_Inputs!$AG152,Norm_Stats!$F$22),Norm_Stats!$G$22)-Norm_Stats!$F$22)/(Norm_Stats!$G$22-Norm_Stats!$F$22)))))*0.5)+IF((IF(OR(City_Inputs!$AJ152="",Norm_Stats!$F$23="",Norm_Stats!$G$23="",Norm_Stats!$G$23=Norm_Stats!$F$23),"",MAX(0,MIN(100,100*(MIN(MAX(City_Inputs!$AJ152,Norm_Stats!$F$23),Norm_Stats!$G$23)-Norm_Stats!$F$23)/(Norm_Stats!$G$23-Norm_Stats!$F$23)))))="",0,(IF(OR(City_Inputs!$AJ152="",Norm_Stats!$F$23="",Norm_Stats!$G$23="",Norm_Stats!$G$23=Norm_Stats!$F$23),"",MAX(0,MIN(100,100*(MIN(MAX(City_Inputs!$AJ152,Norm_Stats!$F$23),Norm_Stats!$G$23)-Norm_Stats!$F$23)/(Norm_Stats!$G$23-Norm_Stats!$F$23)))))*0.3)+IF((IF(OR(City_Inputs!$AK152="",Norm_Stats!$F$24="",Norm_Stats!$G$24="",Norm_Stats!$G$24=Norm_Stats!$F$24),"",MAX(0,MIN(100,100*(MIN(MAX(City_Inputs!$AK152,Norm_Stats!$F$24),Norm_Stats!$G$24)-Norm_Stats!$F$24)/(Norm_Stats!$G$24-Norm_Stats!$F$24)))))="",0,(IF(OR(City_Inputs!$AK152="",Norm_Stats!$F$24="",Norm_Stats!$G$24="",Norm_Stats!$G$24=Norm_Stats!$F$24),"",MAX(0,MIN(100,100*(MIN(MAX(City_Inputs!$AK152,Norm_Stats!$F$24),Norm_Stats!$G$24)-Norm_Stats!$F$24)/(Norm_Stats!$G$24-Norm_Stats!$F$24)))))*0.2))/(IF((IF(OR(City_Inputs!$AG152="",Norm_Stats!$F$22="",Norm_Stats!$G$22="",Norm_Stats!$G$22=Norm_Stats!$F$22),"",MAX(0,MIN(100,100*(MIN(MAX(City_Inputs!$AG152,Norm_Stats!$F$22),Norm_Stats!$G$22)-Norm_Stats!$F$22)/(Norm_Stats!$G$22-Norm_Stats!$F$22)))))="",0,0.5)+IF((IF(OR(City_Inputs!$AJ152="",Norm_Stats!$F$23="",Norm_Stats!$G$23="",Norm_Stats!$G$23=Norm_Stats!$F$23),"",MAX(0,MIN(100,100*(MIN(MAX(City_Inputs!$AJ152,Norm_Stats!$F$23),Norm_Stats!$G$23)-Norm_Stats!$F$23)/(Norm_Stats!$G$23-Norm_Stats!$F$23)))))="",0,0.3)+IF((IF(OR(City_Inputs!$AK152="",Norm_Stats!$F$24="",Norm_Stats!$G$24="",Norm_Stats!$G$24=Norm_Stats!$F$24),"",MAX(0,MIN(100,100*(MIN(MAX(City_Inputs!$AK152,Norm_Stats!$F$24),Norm_Stats!$G$24)-Norm_Stats!$F$24)/(Norm_Stats!$G$24-Norm_Stats!$F$24)))))="",0,0.2)))</f>
        <v/>
      </c>
      <c r="BD152" s="14">
        <f>IF((IF((IF(OR(City_Inputs!$AG152="",Norm_Stats!$F$22="",Norm_Stats!$G$22="",Norm_Stats!$G$22=Norm_Stats!$F$22),"",MAX(0,MIN(100,100*(MIN(MAX(City_Inputs!$AG152,Norm_Stats!$F$22),Norm_Stats!$G$22)-Norm_Stats!$F$22)/(Norm_Stats!$G$22-Norm_Stats!$F$22)))))="",0,0.5)+IF((IF(OR(City_Inputs!$AJ152="",Norm_Stats!$F$23="",Norm_Stats!$G$23="",Norm_Stats!$G$23=Norm_Stats!$F$23),"",MAX(0,MIN(100,100*(MIN(MAX(City_Inputs!$AJ152,Norm_Stats!$F$23),Norm_Stats!$G$23)-Norm_Stats!$F$23)/(Norm_Stats!$G$23-Norm_Stats!$F$23)))))="",0,0.3)+IF((IF(OR(City_Inputs!$AK152="",Norm_Stats!$F$24="",Norm_Stats!$G$24="",Norm_Stats!$G$24=Norm_Stats!$F$24),"",MAX(0,MIN(100,100*(MIN(MAX(City_Inputs!$AK152,Norm_Stats!$F$24),Norm_Stats!$G$24)-Norm_Stats!$F$24)/(Norm_Stats!$G$24-Norm_Stats!$F$24)))))="",0,0.2))=0,"",(IF((IF(OR(City_Inputs!$AG152="",Norm_Stats!$F$22="",Norm_Stats!$G$22="",Norm_Stats!$G$22=Norm_Stats!$F$22),"",MAX(0,MIN(100,100*(MIN(MAX(City_Inputs!$AG152,Norm_Stats!$F$22),Norm_Stats!$G$22)-Norm_Stats!$F$22)/(Norm_Stats!$G$22-Norm_Stats!$F$22)))))="",0,0.5)+IF((IF(OR(City_Inputs!$AJ152="",Norm_Stats!$F$23="",Norm_Stats!$G$23="",Norm_Stats!$G$23=Norm_Stats!$F$23),"",MAX(0,MIN(100,100*(MIN(MAX(City_Inputs!$AJ152,Norm_Stats!$F$23),Norm_Stats!$G$23)-Norm_Stats!$F$23)/(Norm_Stats!$G$23-Norm_Stats!$F$23)))))="",0,0.3)+IF((IF(OR(City_Inputs!$AK152="",Norm_Stats!$F$24="",Norm_Stats!$G$24="",Norm_Stats!$G$24=Norm_Stats!$F$24),"",MAX(0,MIN(100,100*(MIN(MAX(City_Inputs!$AK152,Norm_Stats!$F$24),Norm_Stats!$G$24)-Norm_Stats!$F$24)/(Norm_Stats!$G$24-Norm_Stats!$F$24)))))="",0,0.2)))</f>
        <v/>
      </c>
      <c r="BE152" s="11">
        <f>IF(OR(City_Inputs!$AH152="",Norm_Stats!$F$25="",Norm_Stats!$G$25="",Norm_Stats!$G$25=Norm_Stats!$F$25),"",MAX(0,MIN(100,100*(Norm_Stats!$G$25-MIN(MAX(City_Inputs!$AH152,Norm_Stats!$F$25),Norm_Stats!$G$25))/(Norm_Stats!$G$25-Norm_Stats!$F$25))))</f>
        <v/>
      </c>
      <c r="BF152" s="14">
        <f>IF(BE152="","",1)</f>
        <v/>
      </c>
      <c r="BG152" s="15">
        <f>IF((IF(AY152="",0,6)+IF(BA152="",0,5)+IF(BC152="",0,5)+IF(BE152="",0,4))=0,"",(IF(AY152="",0,AY152*6)+IF(BA152="",0,BA152*5)+IF(BC152="",0,BC152*5)+IF(BE152="",0,BE152*4))/(IF(AY152="",0,6)+IF(BA152="",0,5)+IF(BC152="",0,5)+IF(BE152="",0,4)))</f>
        <v/>
      </c>
      <c r="BH152" s="14">
        <f>IF((IF(AZ152="",0,6)+IF(BB152="",0,5)+IF(BD152="",0,5)+IF(BF152="",0,4))=0,"",(IF(AZ152="",0,AZ152*6)+IF(BB152="",0,BB152*5)+IF(BD152="",0,BD152*5)+IF(BF152="",0,BF152*4))/20)</f>
        <v/>
      </c>
      <c r="BI152" s="14">
        <f>IF(AND(R152="",AF152="",AN152="",AX152="",BH152=""),"",((R152*25)+(AF152*22)+(AN152*18)+(AX152*15)+(BH152*20))/100)</f>
        <v/>
      </c>
      <c r="BJ152" s="11">
        <f>IF(BI152="","",IF(BI152&gt;=0.75,"A",IF(BI152&gt;=0.5,"B",IF(BI152&gt;=0.35,"C","Watchlist"))))</f>
        <v/>
      </c>
      <c r="BK152" s="11">
        <f>IF(OR(BI152="",BI152&lt;0.5,R152="",R152&lt;0.35,AF152="",AF152&lt;0.35,AN152="",AN152&lt;0.35,AX152="",AX152&lt;0.35,BH152="",BH152&lt;0.35),"Watchlist","Ranked")</f>
        <v/>
      </c>
      <c r="BL152" s="15">
        <f>IF(AND(Q152="",AE152="",AM152="",AW152="",BG152=""),"",(IF(Q152="",0,Q152*25)+IF(AE152="",0,AE152*22)+IF(AM152="",0,AM152*18)+IF(AW152="",0,AW152*15)+IF(BG152="",0,BG152*20))/(IF(Q152="",0,25)+IF(AE152="",0,22)+IF(AM152="",0,18)+IF(AW152="",0,15)+IF(BG152="",0,20)))</f>
        <v/>
      </c>
      <c r="BM152" s="11">
        <f>IF(BK152="Ranked",1+COUNTIFS($BK$2:$BK$158,"Ranked",$BL$2:$BL$158,"&gt;"&amp;BL152),"")</f>
        <v/>
      </c>
      <c r="BN152" s="11">
        <f>City_Inputs!$AI152</f>
        <v/>
      </c>
    </row>
    <row r="153">
      <c r="A153" t="inlineStr">
        <is>
          <t>ug-kampala</t>
        </is>
      </c>
      <c r="B153" t="inlineStr">
        <is>
          <t>Kampala</t>
        </is>
      </c>
      <c r="C153" t="inlineStr">
        <is>
          <t>Uganda</t>
        </is>
      </c>
      <c r="D153" t="inlineStr">
        <is>
          <t>Africa</t>
        </is>
      </c>
      <c r="E153" t="inlineStr">
        <is>
          <t>provisional</t>
        </is>
      </c>
      <c r="F153" t="inlineStr">
        <is>
          <t>primary</t>
        </is>
      </c>
      <c r="G153" s="11">
        <f>IF(OR(City_Inputs!$M153="",Norm_Stats!$F$2="",Norm_Stats!$G$2="",Norm_Stats!$G$2=Norm_Stats!$F$2),"",MAX(0,MIN(100,100*(MIN(MAX(City_Inputs!$M153,Norm_Stats!$F$2),Norm_Stats!$G$2)-Norm_Stats!$F$2)/(Norm_Stats!$G$2-Norm_Stats!$F$2))))</f>
        <v/>
      </c>
      <c r="H153" s="14">
        <f>IF(G153="","",1)</f>
        <v/>
      </c>
      <c r="I153" s="11">
        <f>IF(OR(City_Inputs!$N153="",Norm_Stats!$F$3="",Norm_Stats!$G$3="",Norm_Stats!$G$3=Norm_Stats!$F$3),"",MAX(0,MIN(100,100*(Norm_Stats!$G$3-MIN(MAX(City_Inputs!$N153,Norm_Stats!$F$3),Norm_Stats!$G$3))/(Norm_Stats!$G$3-Norm_Stats!$F$3))))</f>
        <v/>
      </c>
      <c r="J153" s="14">
        <f>IF(I153="","",1)</f>
        <v/>
      </c>
      <c r="K153" s="11">
        <f>IF(OR(City_Inputs!$P153="",Norm_Stats!$F$4="",Norm_Stats!$G$4="",Norm_Stats!$G$4=Norm_Stats!$F$4),"",MAX(0,MIN(100,100*(Norm_Stats!$G$4-MIN(MAX(City_Inputs!$P153,Norm_Stats!$F$4),Norm_Stats!$G$4))/(Norm_Stats!$G$4-Norm_Stats!$F$4))))</f>
        <v/>
      </c>
      <c r="L153" s="14">
        <f>IF(K153="","",1)</f>
        <v/>
      </c>
      <c r="M153" s="11">
        <f>IF(OR(City_Inputs!$Q153="",Norm_Stats!$F$5="",Norm_Stats!$G$5="",Norm_Stats!$G$5=Norm_Stats!$F$5),"",MAX(0,MIN(100,100*(Norm_Stats!$G$5-MIN(MAX(City_Inputs!$Q153,Norm_Stats!$F$5),Norm_Stats!$G$5))/(Norm_Stats!$G$5-Norm_Stats!$F$5))))</f>
        <v/>
      </c>
      <c r="N153" s="14">
        <f>IF(M153="","",1)</f>
        <v/>
      </c>
      <c r="O153" s="11">
        <f>IF(OR(City_Inputs!$R153="",Norm_Stats!$F$6="",Norm_Stats!$G$6="",Norm_Stats!$G$6=Norm_Stats!$F$6),"",MAX(0,MIN(100,100*(Norm_Stats!$G$6-MIN(MAX(City_Inputs!$R153,Norm_Stats!$F$6),Norm_Stats!$G$6))/(Norm_Stats!$G$6-Norm_Stats!$F$6))))</f>
        <v/>
      </c>
      <c r="P153" s="14">
        <f>IF(O153="","",1)</f>
        <v/>
      </c>
      <c r="Q153" s="15">
        <f>IF((IF(G153="",0,9)+IF(I153="",0,5)+IF(K153="",0,4)+IF(M153="",0,4)+IF(O153="",0,5))=0,"",(IF(G153="",0,G153*9)+IF(I153="",0,I153*5)+IF(K153="",0,K153*4)+IF(M153="",0,M153*4)+IF(O153="",0,O153*5))/(IF(G153="",0,9)+IF(I153="",0,5)+IF(K153="",0,4)+IF(M153="",0,4)+IF(O153="",0,5)))</f>
        <v/>
      </c>
      <c r="R153" s="14">
        <f>IF((IF(H153="",0,9)+IF(J153="",0,5)+IF(L153="",0,4)+IF(N153="",0,4)+IF(P153="",0,5))=0,"",(IF(H153="",0,H153*9)+IF(J153="",0,J153*5)+IF(L153="",0,L153*4)+IF(N153="",0,N153*4)+IF(P153="",0,P153*5))/27)</f>
        <v/>
      </c>
      <c r="S153" s="11">
        <f>IF(OR(City_Inputs!$S153="",Norm_Stats!$F$7="",Norm_Stats!$G$7="",Norm_Stats!$G$7=Norm_Stats!$F$7),"",MAX(0,MIN(100,100*(Norm_Stats!$G$7-MIN(MAX(City_Inputs!$S153,Norm_Stats!$F$7),Norm_Stats!$G$7))/(Norm_Stats!$G$7-Norm_Stats!$F$7))))</f>
        <v/>
      </c>
      <c r="T153" s="14">
        <f>IF(S153="","",1)</f>
        <v/>
      </c>
      <c r="U153" s="11">
        <f>IF(OR(City_Inputs!$T153="",Norm_Stats!$F$8="",Norm_Stats!$G$8="",Norm_Stats!$G$8=Norm_Stats!$F$8),"",MAX(0,MIN(100,100*(MIN(MAX(City_Inputs!$T153,Norm_Stats!$F$8),Norm_Stats!$G$8)-Norm_Stats!$F$8)/(Norm_Stats!$G$8-Norm_Stats!$F$8))))</f>
        <v/>
      </c>
      <c r="V153" s="14">
        <f>IF(U153="","",1)</f>
        <v/>
      </c>
      <c r="W153" s="11">
        <f>IF(OR(City_Inputs!$U153="",Norm_Stats!$F$9="",Norm_Stats!$G$9="",Norm_Stats!$G$9=Norm_Stats!$F$9),"",MAX(0,MIN(100,100*(Norm_Stats!$G$9-MIN(MAX(City_Inputs!$U153,Norm_Stats!$F$9),Norm_Stats!$G$9))/(Norm_Stats!$G$9-Norm_Stats!$F$9))))</f>
        <v/>
      </c>
      <c r="X153" s="14">
        <f>IF(W153="","",1)</f>
        <v/>
      </c>
      <c r="Y153" s="11">
        <f>IF(OR(City_Inputs!$V153="",Norm_Stats!$F$10="",Norm_Stats!$G$10="",Norm_Stats!$G$10=Norm_Stats!$F$10),"",MAX(0,MIN(100,100*(MIN(MAX(City_Inputs!$V153,Norm_Stats!$F$10),Norm_Stats!$G$10)-Norm_Stats!$F$10)/(Norm_Stats!$G$10-Norm_Stats!$F$10))))</f>
        <v/>
      </c>
      <c r="Z153" s="14">
        <f>IF(Y153="","",1)</f>
        <v/>
      </c>
      <c r="AA153" s="11">
        <f>IF(OR(City_Inputs!$W153="",Norm_Stats!$F$11="",Norm_Stats!$G$11="",Norm_Stats!$G$11=Norm_Stats!$F$11),"",MAX(0,MIN(100,100*(MIN(MAX(City_Inputs!$W153,Norm_Stats!$F$11),Norm_Stats!$G$11)-Norm_Stats!$F$11)/(Norm_Stats!$G$11-Norm_Stats!$F$11))))</f>
        <v/>
      </c>
      <c r="AB153" s="14">
        <f>IF(AA153="","",1)</f>
        <v/>
      </c>
      <c r="AC153" s="11">
        <f>IF(OR(City_Inputs!$X153="",Norm_Stats!$F$12="",Norm_Stats!$G$12="",Norm_Stats!$G$12=Norm_Stats!$F$12),"",MAX(0,MIN(100,100*(MIN(MAX(City_Inputs!$X153,Norm_Stats!$F$12),Norm_Stats!$G$12)-Norm_Stats!$F$12)/(Norm_Stats!$G$12-Norm_Stats!$F$12))))</f>
        <v/>
      </c>
      <c r="AD153" s="11">
        <f>IF(AC153="","",1)</f>
        <v/>
      </c>
      <c r="AE153" s="15">
        <f>IF((IF(S153="",0,5)+IF(U153="",0,5)+IF(W153="",0,4)+IF(Y153="",0,4)+IF(AA153="",0,4)+IF(AC153="",0,5))=0,"",(IF(S153="",0,S153*5)+IF(U153="",0,U153*5)+IF(W153="",0,W153*4)+IF(Y153="",0,Y153*4)+IF(AA153="",0,AA153*4)+IF(AC153="",0,AC153*5))/(IF(S153="",0,5)+IF(U153="",0,5)+IF(W153="",0,4)+IF(Y153="",0,4)+IF(AA153="",0,4)+IF(AC153="",0,5)))</f>
        <v/>
      </c>
      <c r="AF153" s="14">
        <f>IF((IF(T153="",0,5)+IF(V153="",0,5)+IF(X153="",0,4)+IF(Z153="",0,4)+IF(AB153="",0,4)+IF(AD153="",0,5))=0,"",(IF(T153="",0,T153*5)+IF(V153="",0,V153*5)+IF(X153="",0,X153*4)+IF(Z153="",0,Z153*4)+IF(AB153="",0,AB153*4)+IF(AD153="",0,AD153*5))/27)</f>
        <v/>
      </c>
      <c r="AG153" s="11">
        <f>IF(OR(City_Inputs!$Y153="",Norm_Stats!$F$13="",Norm_Stats!$G$13="",Norm_Stats!$G$13=Norm_Stats!$F$13),"",MAX(0,MIN(100,100*(MIN(MAX(City_Inputs!$Y153,Norm_Stats!$F$13),Norm_Stats!$G$13)-Norm_Stats!$F$13)/(Norm_Stats!$G$13-Norm_Stats!$F$13))))</f>
        <v/>
      </c>
      <c r="AH153" s="14">
        <f>IF(AG153="","",1)</f>
        <v/>
      </c>
      <c r="AI153" s="11">
        <f>IF(OR(City_Inputs!$Z153="",Norm_Stats!$F$14="",Norm_Stats!$G$14="",Norm_Stats!$G$14=Norm_Stats!$F$14),"",MAX(0,MIN(100,100*(MIN(MAX(City_Inputs!$Z153,Norm_Stats!$F$14),Norm_Stats!$G$14)-Norm_Stats!$F$14)/(Norm_Stats!$G$14-Norm_Stats!$F$14))))</f>
        <v/>
      </c>
      <c r="AJ153" s="14">
        <f>IF(AI153="","",1)</f>
        <v/>
      </c>
      <c r="AK153" s="11">
        <f>IF((IF((IF(OR(City_Inputs!$AA153="",Norm_Stats!$F$15="",Norm_Stats!$G$15="",Norm_Stats!$G$15=Norm_Stats!$F$15),"",MAX(0,MIN(100,100*(MIN(MAX(City_Inputs!$AA153,Norm_Stats!$F$15),Norm_Stats!$G$15)-Norm_Stats!$F$15)/(Norm_Stats!$G$15-Norm_Stats!$F$15)))))="",0,0.7)+IF((IF(OR(City_Inputs!$AL153="",Norm_Stats!$F$16="",Norm_Stats!$G$16="",Norm_Stats!$G$16=Norm_Stats!$F$16),"",MAX(0,MIN(100,100*(Norm_Stats!$G$16-MIN(MAX(City_Inputs!$AL153,Norm_Stats!$F$16),Norm_Stats!$G$16))/(Norm_Stats!$G$16-Norm_Stats!$F$16)))))="",0,0.3))=0,"",(IF((IF(OR(City_Inputs!$AA153="",Norm_Stats!$F$15="",Norm_Stats!$G$15="",Norm_Stats!$G$15=Norm_Stats!$F$15),"",MAX(0,MIN(100,100*(MIN(MAX(City_Inputs!$AA153,Norm_Stats!$F$15),Norm_Stats!$G$15)-Norm_Stats!$F$15)/(Norm_Stats!$G$15-Norm_Stats!$F$15)))))="",0,(IF(OR(City_Inputs!$AA153="",Norm_Stats!$F$15="",Norm_Stats!$G$15="",Norm_Stats!$G$15=Norm_Stats!$F$15),"",MAX(0,MIN(100,100*(MIN(MAX(City_Inputs!$AA153,Norm_Stats!$F$15),Norm_Stats!$G$15)-Norm_Stats!$F$15)/(Norm_Stats!$G$15-Norm_Stats!$F$15)))))*0.7)+IF((IF(OR(City_Inputs!$AL153="",Norm_Stats!$F$16="",Norm_Stats!$G$16="",Norm_Stats!$G$16=Norm_Stats!$F$16),"",MAX(0,MIN(100,100*(Norm_Stats!$G$16-MIN(MAX(City_Inputs!$AL153,Norm_Stats!$F$16),Norm_Stats!$G$16))/(Norm_Stats!$G$16-Norm_Stats!$F$16)))))="",0,(IF(OR(City_Inputs!$AL153="",Norm_Stats!$F$16="",Norm_Stats!$G$16="",Norm_Stats!$G$16=Norm_Stats!$F$16),"",MAX(0,MIN(100,100*(Norm_Stats!$G$16-MIN(MAX(City_Inputs!$AL153,Norm_Stats!$F$16),Norm_Stats!$G$16))/(Norm_Stats!$G$16-Norm_Stats!$F$16)))))*0.3))/(IF((IF(OR(City_Inputs!$AA153="",Norm_Stats!$F$15="",Norm_Stats!$G$15="",Norm_Stats!$G$15=Norm_Stats!$F$15),"",MAX(0,MIN(100,100*(MIN(MAX(City_Inputs!$AA153,Norm_Stats!$F$15),Norm_Stats!$G$15)-Norm_Stats!$F$15)/(Norm_Stats!$G$15-Norm_Stats!$F$15)))))="",0,0.7)+IF((IF(OR(City_Inputs!$AL153="",Norm_Stats!$F$16="",Norm_Stats!$G$16="",Norm_Stats!$G$16=Norm_Stats!$F$16),"",MAX(0,MIN(100,100*(Norm_Stats!$G$16-MIN(MAX(City_Inputs!$AL153,Norm_Stats!$F$16),Norm_Stats!$G$16))/(Norm_Stats!$G$16-Norm_Stats!$F$16)))))="",0,0.3)))</f>
        <v/>
      </c>
      <c r="AL153" s="14">
        <f>IF((IF((IF(OR(City_Inputs!$AA153="",Norm_Stats!$F$15="",Norm_Stats!$G$15="",Norm_Stats!$G$15=Norm_Stats!$F$15),"",MAX(0,MIN(100,100*(MIN(MAX(City_Inputs!$AA153,Norm_Stats!$F$15),Norm_Stats!$G$15)-Norm_Stats!$F$15)/(Norm_Stats!$G$15-Norm_Stats!$F$15)))))="",0,0.7)+IF((IF(OR(City_Inputs!$AL153="",Norm_Stats!$F$16="",Norm_Stats!$G$16="",Norm_Stats!$G$16=Norm_Stats!$F$16),"",MAX(0,MIN(100,100*(Norm_Stats!$G$16-MIN(MAX(City_Inputs!$AL153,Norm_Stats!$F$16),Norm_Stats!$G$16))/(Norm_Stats!$G$16-Norm_Stats!$F$16)))))="",0,0.3))=0,"",(IF((IF(OR(City_Inputs!$AA153="",Norm_Stats!$F$15="",Norm_Stats!$G$15="",Norm_Stats!$G$15=Norm_Stats!$F$15),"",MAX(0,MIN(100,100*(MIN(MAX(City_Inputs!$AA153,Norm_Stats!$F$15),Norm_Stats!$G$15)-Norm_Stats!$F$15)/(Norm_Stats!$G$15-Norm_Stats!$F$15)))))="",0,0.7)+IF((IF(OR(City_Inputs!$AL153="",Norm_Stats!$F$16="",Norm_Stats!$G$16="",Norm_Stats!$G$16=Norm_Stats!$F$16),"",MAX(0,MIN(100,100*(Norm_Stats!$G$16-MIN(MAX(City_Inputs!$AL153,Norm_Stats!$F$16),Norm_Stats!$G$16))/(Norm_Stats!$G$16-Norm_Stats!$F$16)))))="",0,0.3)))</f>
        <v/>
      </c>
      <c r="AM153" s="15">
        <f>IF((IF(AG153="",0,8)+IF(AI153="",0,6)+IF(AK153="",0,4))=0,"",(IF(AG153="",0,AG153*8)+IF(AI153="",0,AI153*6)+IF(AK153="",0,AK153*4))/(IF(AG153="",0,8)+IF(AI153="",0,6)+IF(AK153="",0,4)))</f>
        <v/>
      </c>
      <c r="AN153" s="14">
        <f>IF((IF(AH153="",0,8)+IF(AJ153="",0,6)+IF(AL153="",0,4))=0,"",(IF(AH153="",0,AH153*8)+IF(AJ153="",0,AJ153*6)+IF(AL153="",0,AL153*4))/18)</f>
        <v/>
      </c>
      <c r="AO153" s="11">
        <f>IF(OR(City_Inputs!$AB153="",Norm_Stats!$F$17="",Norm_Stats!$G$17="",Norm_Stats!$G$17=Norm_Stats!$F$17),"",MAX(0,MIN(100,100*(MIN(MAX(City_Inputs!$AB153,Norm_Stats!$F$17),Norm_Stats!$G$17)-Norm_Stats!$F$17)/(Norm_Stats!$G$17-Norm_Stats!$F$17))))</f>
        <v/>
      </c>
      <c r="AP153" s="14">
        <f>IF(AO153="","",1)</f>
        <v/>
      </c>
      <c r="AQ153" s="11">
        <f>IF(OR(City_Inputs!$AC153="",Norm_Stats!$F$18="",Norm_Stats!$G$18="",Norm_Stats!$G$18=Norm_Stats!$F$18),"",MAX(0,MIN(100,100*(MIN(MAX(City_Inputs!$AC153,Norm_Stats!$F$18),Norm_Stats!$G$18)-Norm_Stats!$F$18)/(Norm_Stats!$G$18-Norm_Stats!$F$18))))</f>
        <v/>
      </c>
      <c r="AR153" s="14">
        <f>IF(AQ153="","",1)</f>
        <v/>
      </c>
      <c r="AS153" s="11">
        <f>IF(OR(City_Inputs!$AD153="",Norm_Stats!$F$19="",Norm_Stats!$G$19="",Norm_Stats!$G$19=Norm_Stats!$F$19),"",MAX(0,MIN(100,100*(MIN(MAX(City_Inputs!$AD153,Norm_Stats!$F$19),Norm_Stats!$G$19)-Norm_Stats!$F$19)/(Norm_Stats!$G$19-Norm_Stats!$F$19))))</f>
        <v/>
      </c>
      <c r="AT153" s="14">
        <f>IF(AS153="","",1)</f>
        <v/>
      </c>
      <c r="AU153" s="11">
        <f>IF(OR(City_Inputs!$BJ153="",Norm_Stats!$F$26="",Norm_Stats!$G$26="",Norm_Stats!$G$26=Norm_Stats!$F$26),"",MAX(0,MIN(100,100*(MIN(MAX(City_Inputs!$BJ153,Norm_Stats!$F$26),Norm_Stats!$G$26)-Norm_Stats!$F$26)/(Norm_Stats!$G$26-Norm_Stats!$F$26))))</f>
        <v/>
      </c>
      <c r="AV153" s="11">
        <f>IF(AU153="","",1)</f>
        <v/>
      </c>
      <c r="AW153" s="15">
        <f>IF((IF(AO153="",0,5)+IF(AQ153="",0,5)+IF(AS153="",0,5)+IF(AU153="",0,4))=0,"",(IF(AO153="",0,AO153*5)+IF(AQ153="",0,AQ153*5)+IF(AS153="",0,AS153*5)+IF(AU153="",0,AU153*4))/(IF(AO153="",0,5)+IF(AQ153="",0,5)+IF(AS153="",0,5)+IF(AU153="",0,4)))</f>
        <v/>
      </c>
      <c r="AX153" s="14">
        <f>IF((IF(AP153="",0,5)+IF(AR153="",0,5)+IF(AT153="",0,5)+IF(AV153="",0,4))=0,"",(IF(AP153="",0,AP153*5)+IF(AR153="",0,AR153*5)+IF(AT153="",0,AT153*5)+IF(AV153="",0,AV153*4))/19)</f>
        <v/>
      </c>
      <c r="AY153" s="11">
        <f>IF(OR(City_Inputs!$AE153="",Norm_Stats!$F$20="",Norm_Stats!$G$20="",Norm_Stats!$G$20=Norm_Stats!$F$20),"",MAX(0,MIN(100,100*(MIN(MAX(City_Inputs!$AE153,Norm_Stats!$F$20),Norm_Stats!$G$20)-Norm_Stats!$F$20)/(Norm_Stats!$G$20-Norm_Stats!$F$20))))</f>
        <v/>
      </c>
      <c r="AZ153" s="14">
        <f>IF(AY153="","",1)</f>
        <v/>
      </c>
      <c r="BA153" s="11">
        <f>IF(OR(City_Inputs!$AF153="",Norm_Stats!$F$21="",Norm_Stats!$G$21="",Norm_Stats!$G$21=Norm_Stats!$F$21),"",MAX(0,MIN(100,100*(MIN(MAX(City_Inputs!$AF153,Norm_Stats!$F$21),Norm_Stats!$G$21)-Norm_Stats!$F$21)/(Norm_Stats!$G$21-Norm_Stats!$F$21))))</f>
        <v/>
      </c>
      <c r="BB153" s="14">
        <f>IF(BA153="","",1)</f>
        <v/>
      </c>
      <c r="BC153" s="11">
        <f>IF((IF((IF(OR(City_Inputs!$AG153="",Norm_Stats!$F$22="",Norm_Stats!$G$22="",Norm_Stats!$G$22=Norm_Stats!$F$22),"",MAX(0,MIN(100,100*(MIN(MAX(City_Inputs!$AG153,Norm_Stats!$F$22),Norm_Stats!$G$22)-Norm_Stats!$F$22)/(Norm_Stats!$G$22-Norm_Stats!$F$22)))))="",0,0.5)+IF((IF(OR(City_Inputs!$AJ153="",Norm_Stats!$F$23="",Norm_Stats!$G$23="",Norm_Stats!$G$23=Norm_Stats!$F$23),"",MAX(0,MIN(100,100*(MIN(MAX(City_Inputs!$AJ153,Norm_Stats!$F$23),Norm_Stats!$G$23)-Norm_Stats!$F$23)/(Norm_Stats!$G$23-Norm_Stats!$F$23)))))="",0,0.3)+IF((IF(OR(City_Inputs!$AK153="",Norm_Stats!$F$24="",Norm_Stats!$G$24="",Norm_Stats!$G$24=Norm_Stats!$F$24),"",MAX(0,MIN(100,100*(MIN(MAX(City_Inputs!$AK153,Norm_Stats!$F$24),Norm_Stats!$G$24)-Norm_Stats!$F$24)/(Norm_Stats!$G$24-Norm_Stats!$F$24)))))="",0,0.2))=0,"",(IF((IF(OR(City_Inputs!$AG153="",Norm_Stats!$F$22="",Norm_Stats!$G$22="",Norm_Stats!$G$22=Norm_Stats!$F$22),"",MAX(0,MIN(100,100*(MIN(MAX(City_Inputs!$AG153,Norm_Stats!$F$22),Norm_Stats!$G$22)-Norm_Stats!$F$22)/(Norm_Stats!$G$22-Norm_Stats!$F$22)))))="",0,(IF(OR(City_Inputs!$AG153="",Norm_Stats!$F$22="",Norm_Stats!$G$22="",Norm_Stats!$G$22=Norm_Stats!$F$22),"",MAX(0,MIN(100,100*(MIN(MAX(City_Inputs!$AG153,Norm_Stats!$F$22),Norm_Stats!$G$22)-Norm_Stats!$F$22)/(Norm_Stats!$G$22-Norm_Stats!$F$22)))))*0.5)+IF((IF(OR(City_Inputs!$AJ153="",Norm_Stats!$F$23="",Norm_Stats!$G$23="",Norm_Stats!$G$23=Norm_Stats!$F$23),"",MAX(0,MIN(100,100*(MIN(MAX(City_Inputs!$AJ153,Norm_Stats!$F$23),Norm_Stats!$G$23)-Norm_Stats!$F$23)/(Norm_Stats!$G$23-Norm_Stats!$F$23)))))="",0,(IF(OR(City_Inputs!$AJ153="",Norm_Stats!$F$23="",Norm_Stats!$G$23="",Norm_Stats!$G$23=Norm_Stats!$F$23),"",MAX(0,MIN(100,100*(MIN(MAX(City_Inputs!$AJ153,Norm_Stats!$F$23),Norm_Stats!$G$23)-Norm_Stats!$F$23)/(Norm_Stats!$G$23-Norm_Stats!$F$23)))))*0.3)+IF((IF(OR(City_Inputs!$AK153="",Norm_Stats!$F$24="",Norm_Stats!$G$24="",Norm_Stats!$G$24=Norm_Stats!$F$24),"",MAX(0,MIN(100,100*(MIN(MAX(City_Inputs!$AK153,Norm_Stats!$F$24),Norm_Stats!$G$24)-Norm_Stats!$F$24)/(Norm_Stats!$G$24-Norm_Stats!$F$24)))))="",0,(IF(OR(City_Inputs!$AK153="",Norm_Stats!$F$24="",Norm_Stats!$G$24="",Norm_Stats!$G$24=Norm_Stats!$F$24),"",MAX(0,MIN(100,100*(MIN(MAX(City_Inputs!$AK153,Norm_Stats!$F$24),Norm_Stats!$G$24)-Norm_Stats!$F$24)/(Norm_Stats!$G$24-Norm_Stats!$F$24)))))*0.2))/(IF((IF(OR(City_Inputs!$AG153="",Norm_Stats!$F$22="",Norm_Stats!$G$22="",Norm_Stats!$G$22=Norm_Stats!$F$22),"",MAX(0,MIN(100,100*(MIN(MAX(City_Inputs!$AG153,Norm_Stats!$F$22),Norm_Stats!$G$22)-Norm_Stats!$F$22)/(Norm_Stats!$G$22-Norm_Stats!$F$22)))))="",0,0.5)+IF((IF(OR(City_Inputs!$AJ153="",Norm_Stats!$F$23="",Norm_Stats!$G$23="",Norm_Stats!$G$23=Norm_Stats!$F$23),"",MAX(0,MIN(100,100*(MIN(MAX(City_Inputs!$AJ153,Norm_Stats!$F$23),Norm_Stats!$G$23)-Norm_Stats!$F$23)/(Norm_Stats!$G$23-Norm_Stats!$F$23)))))="",0,0.3)+IF((IF(OR(City_Inputs!$AK153="",Norm_Stats!$F$24="",Norm_Stats!$G$24="",Norm_Stats!$G$24=Norm_Stats!$F$24),"",MAX(0,MIN(100,100*(MIN(MAX(City_Inputs!$AK153,Norm_Stats!$F$24),Norm_Stats!$G$24)-Norm_Stats!$F$24)/(Norm_Stats!$G$24-Norm_Stats!$F$24)))))="",0,0.2)))</f>
        <v/>
      </c>
      <c r="BD153" s="14">
        <f>IF((IF((IF(OR(City_Inputs!$AG153="",Norm_Stats!$F$22="",Norm_Stats!$G$22="",Norm_Stats!$G$22=Norm_Stats!$F$22),"",MAX(0,MIN(100,100*(MIN(MAX(City_Inputs!$AG153,Norm_Stats!$F$22),Norm_Stats!$G$22)-Norm_Stats!$F$22)/(Norm_Stats!$G$22-Norm_Stats!$F$22)))))="",0,0.5)+IF((IF(OR(City_Inputs!$AJ153="",Norm_Stats!$F$23="",Norm_Stats!$G$23="",Norm_Stats!$G$23=Norm_Stats!$F$23),"",MAX(0,MIN(100,100*(MIN(MAX(City_Inputs!$AJ153,Norm_Stats!$F$23),Norm_Stats!$G$23)-Norm_Stats!$F$23)/(Norm_Stats!$G$23-Norm_Stats!$F$23)))))="",0,0.3)+IF((IF(OR(City_Inputs!$AK153="",Norm_Stats!$F$24="",Norm_Stats!$G$24="",Norm_Stats!$G$24=Norm_Stats!$F$24),"",MAX(0,MIN(100,100*(MIN(MAX(City_Inputs!$AK153,Norm_Stats!$F$24),Norm_Stats!$G$24)-Norm_Stats!$F$24)/(Norm_Stats!$G$24-Norm_Stats!$F$24)))))="",0,0.2))=0,"",(IF((IF(OR(City_Inputs!$AG153="",Norm_Stats!$F$22="",Norm_Stats!$G$22="",Norm_Stats!$G$22=Norm_Stats!$F$22),"",MAX(0,MIN(100,100*(MIN(MAX(City_Inputs!$AG153,Norm_Stats!$F$22),Norm_Stats!$G$22)-Norm_Stats!$F$22)/(Norm_Stats!$G$22-Norm_Stats!$F$22)))))="",0,0.5)+IF((IF(OR(City_Inputs!$AJ153="",Norm_Stats!$F$23="",Norm_Stats!$G$23="",Norm_Stats!$G$23=Norm_Stats!$F$23),"",MAX(0,MIN(100,100*(MIN(MAX(City_Inputs!$AJ153,Norm_Stats!$F$23),Norm_Stats!$G$23)-Norm_Stats!$F$23)/(Norm_Stats!$G$23-Norm_Stats!$F$23)))))="",0,0.3)+IF((IF(OR(City_Inputs!$AK153="",Norm_Stats!$F$24="",Norm_Stats!$G$24="",Norm_Stats!$G$24=Norm_Stats!$F$24),"",MAX(0,MIN(100,100*(MIN(MAX(City_Inputs!$AK153,Norm_Stats!$F$24),Norm_Stats!$G$24)-Norm_Stats!$F$24)/(Norm_Stats!$G$24-Norm_Stats!$F$24)))))="",0,0.2)))</f>
        <v/>
      </c>
      <c r="BE153" s="11">
        <f>IF(OR(City_Inputs!$AH153="",Norm_Stats!$F$25="",Norm_Stats!$G$25="",Norm_Stats!$G$25=Norm_Stats!$F$25),"",MAX(0,MIN(100,100*(Norm_Stats!$G$25-MIN(MAX(City_Inputs!$AH153,Norm_Stats!$F$25),Norm_Stats!$G$25))/(Norm_Stats!$G$25-Norm_Stats!$F$25))))</f>
        <v/>
      </c>
      <c r="BF153" s="14">
        <f>IF(BE153="","",1)</f>
        <v/>
      </c>
      <c r="BG153" s="15">
        <f>IF((IF(AY153="",0,6)+IF(BA153="",0,5)+IF(BC153="",0,5)+IF(BE153="",0,4))=0,"",(IF(AY153="",0,AY153*6)+IF(BA153="",0,BA153*5)+IF(BC153="",0,BC153*5)+IF(BE153="",0,BE153*4))/(IF(AY153="",0,6)+IF(BA153="",0,5)+IF(BC153="",0,5)+IF(BE153="",0,4)))</f>
        <v/>
      </c>
      <c r="BH153" s="14">
        <f>IF((IF(AZ153="",0,6)+IF(BB153="",0,5)+IF(BD153="",0,5)+IF(BF153="",0,4))=0,"",(IF(AZ153="",0,AZ153*6)+IF(BB153="",0,BB153*5)+IF(BD153="",0,BD153*5)+IF(BF153="",0,BF153*4))/20)</f>
        <v/>
      </c>
      <c r="BI153" s="14">
        <f>IF(AND(R153="",AF153="",AN153="",AX153="",BH153=""),"",((R153*25)+(AF153*22)+(AN153*18)+(AX153*15)+(BH153*20))/100)</f>
        <v/>
      </c>
      <c r="BJ153" s="11">
        <f>IF(BI153="","",IF(BI153&gt;=0.75,"A",IF(BI153&gt;=0.5,"B",IF(BI153&gt;=0.35,"C","Watchlist"))))</f>
        <v/>
      </c>
      <c r="BK153" s="11">
        <f>IF(OR(BI153="",BI153&lt;0.5,R153="",R153&lt;0.35,AF153="",AF153&lt;0.35,AN153="",AN153&lt;0.35,AX153="",AX153&lt;0.35,BH153="",BH153&lt;0.35),"Watchlist","Ranked")</f>
        <v/>
      </c>
      <c r="BL153" s="15">
        <f>IF(AND(Q153="",AE153="",AM153="",AW153="",BG153=""),"",(IF(Q153="",0,Q153*25)+IF(AE153="",0,AE153*22)+IF(AM153="",0,AM153*18)+IF(AW153="",0,AW153*15)+IF(BG153="",0,BG153*20))/(IF(Q153="",0,25)+IF(AE153="",0,22)+IF(AM153="",0,18)+IF(AW153="",0,15)+IF(BG153="",0,20)))</f>
        <v/>
      </c>
      <c r="BM153" s="11">
        <f>IF(BK153="Ranked",1+COUNTIFS($BK$2:$BK$158,"Ranked",$BL$2:$BL$158,"&gt;"&amp;BL153),"")</f>
        <v/>
      </c>
      <c r="BN153" s="11">
        <f>City_Inputs!$AI153</f>
        <v/>
      </c>
    </row>
    <row r="154">
      <c r="A154" t="inlineStr">
        <is>
          <t>gh-kumasi</t>
        </is>
      </c>
      <c r="B154" t="inlineStr">
        <is>
          <t>Kumasi</t>
        </is>
      </c>
      <c r="C154" t="inlineStr">
        <is>
          <t>Ghana</t>
        </is>
      </c>
      <c r="D154" t="inlineStr">
        <is>
          <t>Africa</t>
        </is>
      </c>
      <c r="E154" t="inlineStr">
        <is>
          <t>provisional</t>
        </is>
      </c>
      <c r="F154" t="inlineStr">
        <is>
          <t>secondary</t>
        </is>
      </c>
      <c r="G154" s="11">
        <f>IF(OR(City_Inputs!$M154="",Norm_Stats!$F$2="",Norm_Stats!$G$2="",Norm_Stats!$G$2=Norm_Stats!$F$2),"",MAX(0,MIN(100,100*(MIN(MAX(City_Inputs!$M154,Norm_Stats!$F$2),Norm_Stats!$G$2)-Norm_Stats!$F$2)/(Norm_Stats!$G$2-Norm_Stats!$F$2))))</f>
        <v/>
      </c>
      <c r="H154" s="14">
        <f>IF(G154="","",1)</f>
        <v/>
      </c>
      <c r="I154" s="11">
        <f>IF(OR(City_Inputs!$N154="",Norm_Stats!$F$3="",Norm_Stats!$G$3="",Norm_Stats!$G$3=Norm_Stats!$F$3),"",MAX(0,MIN(100,100*(Norm_Stats!$G$3-MIN(MAX(City_Inputs!$N154,Norm_Stats!$F$3),Norm_Stats!$G$3))/(Norm_Stats!$G$3-Norm_Stats!$F$3))))</f>
        <v/>
      </c>
      <c r="J154" s="14">
        <f>IF(I154="","",1)</f>
        <v/>
      </c>
      <c r="K154" s="11">
        <f>IF(OR(City_Inputs!$P154="",Norm_Stats!$F$4="",Norm_Stats!$G$4="",Norm_Stats!$G$4=Norm_Stats!$F$4),"",MAX(0,MIN(100,100*(Norm_Stats!$G$4-MIN(MAX(City_Inputs!$P154,Norm_Stats!$F$4),Norm_Stats!$G$4))/(Norm_Stats!$G$4-Norm_Stats!$F$4))))</f>
        <v/>
      </c>
      <c r="L154" s="14">
        <f>IF(K154="","",1)</f>
        <v/>
      </c>
      <c r="M154" s="11">
        <f>IF(OR(City_Inputs!$Q154="",Norm_Stats!$F$5="",Norm_Stats!$G$5="",Norm_Stats!$G$5=Norm_Stats!$F$5),"",MAX(0,MIN(100,100*(Norm_Stats!$G$5-MIN(MAX(City_Inputs!$Q154,Norm_Stats!$F$5),Norm_Stats!$G$5))/(Norm_Stats!$G$5-Norm_Stats!$F$5))))</f>
        <v/>
      </c>
      <c r="N154" s="14">
        <f>IF(M154="","",1)</f>
        <v/>
      </c>
      <c r="O154" s="11">
        <f>IF(OR(City_Inputs!$R154="",Norm_Stats!$F$6="",Norm_Stats!$G$6="",Norm_Stats!$G$6=Norm_Stats!$F$6),"",MAX(0,MIN(100,100*(Norm_Stats!$G$6-MIN(MAX(City_Inputs!$R154,Norm_Stats!$F$6),Norm_Stats!$G$6))/(Norm_Stats!$G$6-Norm_Stats!$F$6))))</f>
        <v/>
      </c>
      <c r="P154" s="14">
        <f>IF(O154="","",1)</f>
        <v/>
      </c>
      <c r="Q154" s="15">
        <f>IF((IF(G154="",0,9)+IF(I154="",0,5)+IF(K154="",0,4)+IF(M154="",0,4)+IF(O154="",0,5))=0,"",(IF(G154="",0,G154*9)+IF(I154="",0,I154*5)+IF(K154="",0,K154*4)+IF(M154="",0,M154*4)+IF(O154="",0,O154*5))/(IF(G154="",0,9)+IF(I154="",0,5)+IF(K154="",0,4)+IF(M154="",0,4)+IF(O154="",0,5)))</f>
        <v/>
      </c>
      <c r="R154" s="14">
        <f>IF((IF(H154="",0,9)+IF(J154="",0,5)+IF(L154="",0,4)+IF(N154="",0,4)+IF(P154="",0,5))=0,"",(IF(H154="",0,H154*9)+IF(J154="",0,J154*5)+IF(L154="",0,L154*4)+IF(N154="",0,N154*4)+IF(P154="",0,P154*5))/27)</f>
        <v/>
      </c>
      <c r="S154" s="11">
        <f>IF(OR(City_Inputs!$S154="",Norm_Stats!$F$7="",Norm_Stats!$G$7="",Norm_Stats!$G$7=Norm_Stats!$F$7),"",MAX(0,MIN(100,100*(Norm_Stats!$G$7-MIN(MAX(City_Inputs!$S154,Norm_Stats!$F$7),Norm_Stats!$G$7))/(Norm_Stats!$G$7-Norm_Stats!$F$7))))</f>
        <v/>
      </c>
      <c r="T154" s="14">
        <f>IF(S154="","",1)</f>
        <v/>
      </c>
      <c r="U154" s="11">
        <f>IF(OR(City_Inputs!$T154="",Norm_Stats!$F$8="",Norm_Stats!$G$8="",Norm_Stats!$G$8=Norm_Stats!$F$8),"",MAX(0,MIN(100,100*(MIN(MAX(City_Inputs!$T154,Norm_Stats!$F$8),Norm_Stats!$G$8)-Norm_Stats!$F$8)/(Norm_Stats!$G$8-Norm_Stats!$F$8))))</f>
        <v/>
      </c>
      <c r="V154" s="14">
        <f>IF(U154="","",1)</f>
        <v/>
      </c>
      <c r="W154" s="11">
        <f>IF(OR(City_Inputs!$U154="",Norm_Stats!$F$9="",Norm_Stats!$G$9="",Norm_Stats!$G$9=Norm_Stats!$F$9),"",MAX(0,MIN(100,100*(Norm_Stats!$G$9-MIN(MAX(City_Inputs!$U154,Norm_Stats!$F$9),Norm_Stats!$G$9))/(Norm_Stats!$G$9-Norm_Stats!$F$9))))</f>
        <v/>
      </c>
      <c r="X154" s="14">
        <f>IF(W154="","",1)</f>
        <v/>
      </c>
      <c r="Y154" s="11">
        <f>IF(OR(City_Inputs!$V154="",Norm_Stats!$F$10="",Norm_Stats!$G$10="",Norm_Stats!$G$10=Norm_Stats!$F$10),"",MAX(0,MIN(100,100*(MIN(MAX(City_Inputs!$V154,Norm_Stats!$F$10),Norm_Stats!$G$10)-Norm_Stats!$F$10)/(Norm_Stats!$G$10-Norm_Stats!$F$10))))</f>
        <v/>
      </c>
      <c r="Z154" s="14">
        <f>IF(Y154="","",1)</f>
        <v/>
      </c>
      <c r="AA154" s="11">
        <f>IF(OR(City_Inputs!$W154="",Norm_Stats!$F$11="",Norm_Stats!$G$11="",Norm_Stats!$G$11=Norm_Stats!$F$11),"",MAX(0,MIN(100,100*(MIN(MAX(City_Inputs!$W154,Norm_Stats!$F$11),Norm_Stats!$G$11)-Norm_Stats!$F$11)/(Norm_Stats!$G$11-Norm_Stats!$F$11))))</f>
        <v/>
      </c>
      <c r="AB154" s="14">
        <f>IF(AA154="","",1)</f>
        <v/>
      </c>
      <c r="AC154" s="11">
        <f>IF(OR(City_Inputs!$X154="",Norm_Stats!$F$12="",Norm_Stats!$G$12="",Norm_Stats!$G$12=Norm_Stats!$F$12),"",MAX(0,MIN(100,100*(MIN(MAX(City_Inputs!$X154,Norm_Stats!$F$12),Norm_Stats!$G$12)-Norm_Stats!$F$12)/(Norm_Stats!$G$12-Norm_Stats!$F$12))))</f>
        <v/>
      </c>
      <c r="AD154" s="11">
        <f>IF(AC154="","",1)</f>
        <v/>
      </c>
      <c r="AE154" s="15">
        <f>IF((IF(S154="",0,5)+IF(U154="",0,5)+IF(W154="",0,4)+IF(Y154="",0,4)+IF(AA154="",0,4)+IF(AC154="",0,5))=0,"",(IF(S154="",0,S154*5)+IF(U154="",0,U154*5)+IF(W154="",0,W154*4)+IF(Y154="",0,Y154*4)+IF(AA154="",0,AA154*4)+IF(AC154="",0,AC154*5))/(IF(S154="",0,5)+IF(U154="",0,5)+IF(W154="",0,4)+IF(Y154="",0,4)+IF(AA154="",0,4)+IF(AC154="",0,5)))</f>
        <v/>
      </c>
      <c r="AF154" s="14">
        <f>IF((IF(T154="",0,5)+IF(V154="",0,5)+IF(X154="",0,4)+IF(Z154="",0,4)+IF(AB154="",0,4)+IF(AD154="",0,5))=0,"",(IF(T154="",0,T154*5)+IF(V154="",0,V154*5)+IF(X154="",0,X154*4)+IF(Z154="",0,Z154*4)+IF(AB154="",0,AB154*4)+IF(AD154="",0,AD154*5))/27)</f>
        <v/>
      </c>
      <c r="AG154" s="11">
        <f>IF(OR(City_Inputs!$Y154="",Norm_Stats!$F$13="",Norm_Stats!$G$13="",Norm_Stats!$G$13=Norm_Stats!$F$13),"",MAX(0,MIN(100,100*(MIN(MAX(City_Inputs!$Y154,Norm_Stats!$F$13),Norm_Stats!$G$13)-Norm_Stats!$F$13)/(Norm_Stats!$G$13-Norm_Stats!$F$13))))</f>
        <v/>
      </c>
      <c r="AH154" s="14">
        <f>IF(AG154="","",1)</f>
        <v/>
      </c>
      <c r="AI154" s="11">
        <f>IF(OR(City_Inputs!$Z154="",Norm_Stats!$F$14="",Norm_Stats!$G$14="",Norm_Stats!$G$14=Norm_Stats!$F$14),"",MAX(0,MIN(100,100*(MIN(MAX(City_Inputs!$Z154,Norm_Stats!$F$14),Norm_Stats!$G$14)-Norm_Stats!$F$14)/(Norm_Stats!$G$14-Norm_Stats!$F$14))))</f>
        <v/>
      </c>
      <c r="AJ154" s="14">
        <f>IF(AI154="","",1)</f>
        <v/>
      </c>
      <c r="AK154" s="11">
        <f>IF((IF((IF(OR(City_Inputs!$AA154="",Norm_Stats!$F$15="",Norm_Stats!$G$15="",Norm_Stats!$G$15=Norm_Stats!$F$15),"",MAX(0,MIN(100,100*(MIN(MAX(City_Inputs!$AA154,Norm_Stats!$F$15),Norm_Stats!$G$15)-Norm_Stats!$F$15)/(Norm_Stats!$G$15-Norm_Stats!$F$15)))))="",0,0.7)+IF((IF(OR(City_Inputs!$AL154="",Norm_Stats!$F$16="",Norm_Stats!$G$16="",Norm_Stats!$G$16=Norm_Stats!$F$16),"",MAX(0,MIN(100,100*(Norm_Stats!$G$16-MIN(MAX(City_Inputs!$AL154,Norm_Stats!$F$16),Norm_Stats!$G$16))/(Norm_Stats!$G$16-Norm_Stats!$F$16)))))="",0,0.3))=0,"",(IF((IF(OR(City_Inputs!$AA154="",Norm_Stats!$F$15="",Norm_Stats!$G$15="",Norm_Stats!$G$15=Norm_Stats!$F$15),"",MAX(0,MIN(100,100*(MIN(MAX(City_Inputs!$AA154,Norm_Stats!$F$15),Norm_Stats!$G$15)-Norm_Stats!$F$15)/(Norm_Stats!$G$15-Norm_Stats!$F$15)))))="",0,(IF(OR(City_Inputs!$AA154="",Norm_Stats!$F$15="",Norm_Stats!$G$15="",Norm_Stats!$G$15=Norm_Stats!$F$15),"",MAX(0,MIN(100,100*(MIN(MAX(City_Inputs!$AA154,Norm_Stats!$F$15),Norm_Stats!$G$15)-Norm_Stats!$F$15)/(Norm_Stats!$G$15-Norm_Stats!$F$15)))))*0.7)+IF((IF(OR(City_Inputs!$AL154="",Norm_Stats!$F$16="",Norm_Stats!$G$16="",Norm_Stats!$G$16=Norm_Stats!$F$16),"",MAX(0,MIN(100,100*(Norm_Stats!$G$16-MIN(MAX(City_Inputs!$AL154,Norm_Stats!$F$16),Norm_Stats!$G$16))/(Norm_Stats!$G$16-Norm_Stats!$F$16)))))="",0,(IF(OR(City_Inputs!$AL154="",Norm_Stats!$F$16="",Norm_Stats!$G$16="",Norm_Stats!$G$16=Norm_Stats!$F$16),"",MAX(0,MIN(100,100*(Norm_Stats!$G$16-MIN(MAX(City_Inputs!$AL154,Norm_Stats!$F$16),Norm_Stats!$G$16))/(Norm_Stats!$G$16-Norm_Stats!$F$16)))))*0.3))/(IF((IF(OR(City_Inputs!$AA154="",Norm_Stats!$F$15="",Norm_Stats!$G$15="",Norm_Stats!$G$15=Norm_Stats!$F$15),"",MAX(0,MIN(100,100*(MIN(MAX(City_Inputs!$AA154,Norm_Stats!$F$15),Norm_Stats!$G$15)-Norm_Stats!$F$15)/(Norm_Stats!$G$15-Norm_Stats!$F$15)))))="",0,0.7)+IF((IF(OR(City_Inputs!$AL154="",Norm_Stats!$F$16="",Norm_Stats!$G$16="",Norm_Stats!$G$16=Norm_Stats!$F$16),"",MAX(0,MIN(100,100*(Norm_Stats!$G$16-MIN(MAX(City_Inputs!$AL154,Norm_Stats!$F$16),Norm_Stats!$G$16))/(Norm_Stats!$G$16-Norm_Stats!$F$16)))))="",0,0.3)))</f>
        <v/>
      </c>
      <c r="AL154" s="14">
        <f>IF((IF((IF(OR(City_Inputs!$AA154="",Norm_Stats!$F$15="",Norm_Stats!$G$15="",Norm_Stats!$G$15=Norm_Stats!$F$15),"",MAX(0,MIN(100,100*(MIN(MAX(City_Inputs!$AA154,Norm_Stats!$F$15),Norm_Stats!$G$15)-Norm_Stats!$F$15)/(Norm_Stats!$G$15-Norm_Stats!$F$15)))))="",0,0.7)+IF((IF(OR(City_Inputs!$AL154="",Norm_Stats!$F$16="",Norm_Stats!$G$16="",Norm_Stats!$G$16=Norm_Stats!$F$16),"",MAX(0,MIN(100,100*(Norm_Stats!$G$16-MIN(MAX(City_Inputs!$AL154,Norm_Stats!$F$16),Norm_Stats!$G$16))/(Norm_Stats!$G$16-Norm_Stats!$F$16)))))="",0,0.3))=0,"",(IF((IF(OR(City_Inputs!$AA154="",Norm_Stats!$F$15="",Norm_Stats!$G$15="",Norm_Stats!$G$15=Norm_Stats!$F$15),"",MAX(0,MIN(100,100*(MIN(MAX(City_Inputs!$AA154,Norm_Stats!$F$15),Norm_Stats!$G$15)-Norm_Stats!$F$15)/(Norm_Stats!$G$15-Norm_Stats!$F$15)))))="",0,0.7)+IF((IF(OR(City_Inputs!$AL154="",Norm_Stats!$F$16="",Norm_Stats!$G$16="",Norm_Stats!$G$16=Norm_Stats!$F$16),"",MAX(0,MIN(100,100*(Norm_Stats!$G$16-MIN(MAX(City_Inputs!$AL154,Norm_Stats!$F$16),Norm_Stats!$G$16))/(Norm_Stats!$G$16-Norm_Stats!$F$16)))))="",0,0.3)))</f>
        <v/>
      </c>
      <c r="AM154" s="15">
        <f>IF((IF(AG154="",0,8)+IF(AI154="",0,6)+IF(AK154="",0,4))=0,"",(IF(AG154="",0,AG154*8)+IF(AI154="",0,AI154*6)+IF(AK154="",0,AK154*4))/(IF(AG154="",0,8)+IF(AI154="",0,6)+IF(AK154="",0,4)))</f>
        <v/>
      </c>
      <c r="AN154" s="14">
        <f>IF((IF(AH154="",0,8)+IF(AJ154="",0,6)+IF(AL154="",0,4))=0,"",(IF(AH154="",0,AH154*8)+IF(AJ154="",0,AJ154*6)+IF(AL154="",0,AL154*4))/18)</f>
        <v/>
      </c>
      <c r="AO154" s="11">
        <f>IF(OR(City_Inputs!$AB154="",Norm_Stats!$F$17="",Norm_Stats!$G$17="",Norm_Stats!$G$17=Norm_Stats!$F$17),"",MAX(0,MIN(100,100*(MIN(MAX(City_Inputs!$AB154,Norm_Stats!$F$17),Norm_Stats!$G$17)-Norm_Stats!$F$17)/(Norm_Stats!$G$17-Norm_Stats!$F$17))))</f>
        <v/>
      </c>
      <c r="AP154" s="14">
        <f>IF(AO154="","",1)</f>
        <v/>
      </c>
      <c r="AQ154" s="11">
        <f>IF(OR(City_Inputs!$AC154="",Norm_Stats!$F$18="",Norm_Stats!$G$18="",Norm_Stats!$G$18=Norm_Stats!$F$18),"",MAX(0,MIN(100,100*(MIN(MAX(City_Inputs!$AC154,Norm_Stats!$F$18),Norm_Stats!$G$18)-Norm_Stats!$F$18)/(Norm_Stats!$G$18-Norm_Stats!$F$18))))</f>
        <v/>
      </c>
      <c r="AR154" s="14">
        <f>IF(AQ154="","",1)</f>
        <v/>
      </c>
      <c r="AS154" s="11">
        <f>IF(OR(City_Inputs!$AD154="",Norm_Stats!$F$19="",Norm_Stats!$G$19="",Norm_Stats!$G$19=Norm_Stats!$F$19),"",MAX(0,MIN(100,100*(MIN(MAX(City_Inputs!$AD154,Norm_Stats!$F$19),Norm_Stats!$G$19)-Norm_Stats!$F$19)/(Norm_Stats!$G$19-Norm_Stats!$F$19))))</f>
        <v/>
      </c>
      <c r="AT154" s="14">
        <f>IF(AS154="","",1)</f>
        <v/>
      </c>
      <c r="AU154" s="11">
        <f>IF(OR(City_Inputs!$BJ154="",Norm_Stats!$F$26="",Norm_Stats!$G$26="",Norm_Stats!$G$26=Norm_Stats!$F$26),"",MAX(0,MIN(100,100*(MIN(MAX(City_Inputs!$BJ154,Norm_Stats!$F$26),Norm_Stats!$G$26)-Norm_Stats!$F$26)/(Norm_Stats!$G$26-Norm_Stats!$F$26))))</f>
        <v/>
      </c>
      <c r="AV154" s="11">
        <f>IF(AU154="","",1)</f>
        <v/>
      </c>
      <c r="AW154" s="15">
        <f>IF((IF(AO154="",0,5)+IF(AQ154="",0,5)+IF(AS154="",0,5)+IF(AU154="",0,4))=0,"",(IF(AO154="",0,AO154*5)+IF(AQ154="",0,AQ154*5)+IF(AS154="",0,AS154*5)+IF(AU154="",0,AU154*4))/(IF(AO154="",0,5)+IF(AQ154="",0,5)+IF(AS154="",0,5)+IF(AU154="",0,4)))</f>
        <v/>
      </c>
      <c r="AX154" s="14">
        <f>IF((IF(AP154="",0,5)+IF(AR154="",0,5)+IF(AT154="",0,5)+IF(AV154="",0,4))=0,"",(IF(AP154="",0,AP154*5)+IF(AR154="",0,AR154*5)+IF(AT154="",0,AT154*5)+IF(AV154="",0,AV154*4))/19)</f>
        <v/>
      </c>
      <c r="AY154" s="11">
        <f>IF(OR(City_Inputs!$AE154="",Norm_Stats!$F$20="",Norm_Stats!$G$20="",Norm_Stats!$G$20=Norm_Stats!$F$20),"",MAX(0,MIN(100,100*(MIN(MAX(City_Inputs!$AE154,Norm_Stats!$F$20),Norm_Stats!$G$20)-Norm_Stats!$F$20)/(Norm_Stats!$G$20-Norm_Stats!$F$20))))</f>
        <v/>
      </c>
      <c r="AZ154" s="14">
        <f>IF(AY154="","",1)</f>
        <v/>
      </c>
      <c r="BA154" s="11">
        <f>IF(OR(City_Inputs!$AF154="",Norm_Stats!$F$21="",Norm_Stats!$G$21="",Norm_Stats!$G$21=Norm_Stats!$F$21),"",MAX(0,MIN(100,100*(MIN(MAX(City_Inputs!$AF154,Norm_Stats!$F$21),Norm_Stats!$G$21)-Norm_Stats!$F$21)/(Norm_Stats!$G$21-Norm_Stats!$F$21))))</f>
        <v/>
      </c>
      <c r="BB154" s="14">
        <f>IF(BA154="","",1)</f>
        <v/>
      </c>
      <c r="BC154" s="11">
        <f>IF((IF((IF(OR(City_Inputs!$AG154="",Norm_Stats!$F$22="",Norm_Stats!$G$22="",Norm_Stats!$G$22=Norm_Stats!$F$22),"",MAX(0,MIN(100,100*(MIN(MAX(City_Inputs!$AG154,Norm_Stats!$F$22),Norm_Stats!$G$22)-Norm_Stats!$F$22)/(Norm_Stats!$G$22-Norm_Stats!$F$22)))))="",0,0.5)+IF((IF(OR(City_Inputs!$AJ154="",Norm_Stats!$F$23="",Norm_Stats!$G$23="",Norm_Stats!$G$23=Norm_Stats!$F$23),"",MAX(0,MIN(100,100*(MIN(MAX(City_Inputs!$AJ154,Norm_Stats!$F$23),Norm_Stats!$G$23)-Norm_Stats!$F$23)/(Norm_Stats!$G$23-Norm_Stats!$F$23)))))="",0,0.3)+IF((IF(OR(City_Inputs!$AK154="",Norm_Stats!$F$24="",Norm_Stats!$G$24="",Norm_Stats!$G$24=Norm_Stats!$F$24),"",MAX(0,MIN(100,100*(MIN(MAX(City_Inputs!$AK154,Norm_Stats!$F$24),Norm_Stats!$G$24)-Norm_Stats!$F$24)/(Norm_Stats!$G$24-Norm_Stats!$F$24)))))="",0,0.2))=0,"",(IF((IF(OR(City_Inputs!$AG154="",Norm_Stats!$F$22="",Norm_Stats!$G$22="",Norm_Stats!$G$22=Norm_Stats!$F$22),"",MAX(0,MIN(100,100*(MIN(MAX(City_Inputs!$AG154,Norm_Stats!$F$22),Norm_Stats!$G$22)-Norm_Stats!$F$22)/(Norm_Stats!$G$22-Norm_Stats!$F$22)))))="",0,(IF(OR(City_Inputs!$AG154="",Norm_Stats!$F$22="",Norm_Stats!$G$22="",Norm_Stats!$G$22=Norm_Stats!$F$22),"",MAX(0,MIN(100,100*(MIN(MAX(City_Inputs!$AG154,Norm_Stats!$F$22),Norm_Stats!$G$22)-Norm_Stats!$F$22)/(Norm_Stats!$G$22-Norm_Stats!$F$22)))))*0.5)+IF((IF(OR(City_Inputs!$AJ154="",Norm_Stats!$F$23="",Norm_Stats!$G$23="",Norm_Stats!$G$23=Norm_Stats!$F$23),"",MAX(0,MIN(100,100*(MIN(MAX(City_Inputs!$AJ154,Norm_Stats!$F$23),Norm_Stats!$G$23)-Norm_Stats!$F$23)/(Norm_Stats!$G$23-Norm_Stats!$F$23)))))="",0,(IF(OR(City_Inputs!$AJ154="",Norm_Stats!$F$23="",Norm_Stats!$G$23="",Norm_Stats!$G$23=Norm_Stats!$F$23),"",MAX(0,MIN(100,100*(MIN(MAX(City_Inputs!$AJ154,Norm_Stats!$F$23),Norm_Stats!$G$23)-Norm_Stats!$F$23)/(Norm_Stats!$G$23-Norm_Stats!$F$23)))))*0.3)+IF((IF(OR(City_Inputs!$AK154="",Norm_Stats!$F$24="",Norm_Stats!$G$24="",Norm_Stats!$G$24=Norm_Stats!$F$24),"",MAX(0,MIN(100,100*(MIN(MAX(City_Inputs!$AK154,Norm_Stats!$F$24),Norm_Stats!$G$24)-Norm_Stats!$F$24)/(Norm_Stats!$G$24-Norm_Stats!$F$24)))))="",0,(IF(OR(City_Inputs!$AK154="",Norm_Stats!$F$24="",Norm_Stats!$G$24="",Norm_Stats!$G$24=Norm_Stats!$F$24),"",MAX(0,MIN(100,100*(MIN(MAX(City_Inputs!$AK154,Norm_Stats!$F$24),Norm_Stats!$G$24)-Norm_Stats!$F$24)/(Norm_Stats!$G$24-Norm_Stats!$F$24)))))*0.2))/(IF((IF(OR(City_Inputs!$AG154="",Norm_Stats!$F$22="",Norm_Stats!$G$22="",Norm_Stats!$G$22=Norm_Stats!$F$22),"",MAX(0,MIN(100,100*(MIN(MAX(City_Inputs!$AG154,Norm_Stats!$F$22),Norm_Stats!$G$22)-Norm_Stats!$F$22)/(Norm_Stats!$G$22-Norm_Stats!$F$22)))))="",0,0.5)+IF((IF(OR(City_Inputs!$AJ154="",Norm_Stats!$F$23="",Norm_Stats!$G$23="",Norm_Stats!$G$23=Norm_Stats!$F$23),"",MAX(0,MIN(100,100*(MIN(MAX(City_Inputs!$AJ154,Norm_Stats!$F$23),Norm_Stats!$G$23)-Norm_Stats!$F$23)/(Norm_Stats!$G$23-Norm_Stats!$F$23)))))="",0,0.3)+IF((IF(OR(City_Inputs!$AK154="",Norm_Stats!$F$24="",Norm_Stats!$G$24="",Norm_Stats!$G$24=Norm_Stats!$F$24),"",MAX(0,MIN(100,100*(MIN(MAX(City_Inputs!$AK154,Norm_Stats!$F$24),Norm_Stats!$G$24)-Norm_Stats!$F$24)/(Norm_Stats!$G$24-Norm_Stats!$F$24)))))="",0,0.2)))</f>
        <v/>
      </c>
      <c r="BD154" s="14">
        <f>IF((IF((IF(OR(City_Inputs!$AG154="",Norm_Stats!$F$22="",Norm_Stats!$G$22="",Norm_Stats!$G$22=Norm_Stats!$F$22),"",MAX(0,MIN(100,100*(MIN(MAX(City_Inputs!$AG154,Norm_Stats!$F$22),Norm_Stats!$G$22)-Norm_Stats!$F$22)/(Norm_Stats!$G$22-Norm_Stats!$F$22)))))="",0,0.5)+IF((IF(OR(City_Inputs!$AJ154="",Norm_Stats!$F$23="",Norm_Stats!$G$23="",Norm_Stats!$G$23=Norm_Stats!$F$23),"",MAX(0,MIN(100,100*(MIN(MAX(City_Inputs!$AJ154,Norm_Stats!$F$23),Norm_Stats!$G$23)-Norm_Stats!$F$23)/(Norm_Stats!$G$23-Norm_Stats!$F$23)))))="",0,0.3)+IF((IF(OR(City_Inputs!$AK154="",Norm_Stats!$F$24="",Norm_Stats!$G$24="",Norm_Stats!$G$24=Norm_Stats!$F$24),"",MAX(0,MIN(100,100*(MIN(MAX(City_Inputs!$AK154,Norm_Stats!$F$24),Norm_Stats!$G$24)-Norm_Stats!$F$24)/(Norm_Stats!$G$24-Norm_Stats!$F$24)))))="",0,0.2))=0,"",(IF((IF(OR(City_Inputs!$AG154="",Norm_Stats!$F$22="",Norm_Stats!$G$22="",Norm_Stats!$G$22=Norm_Stats!$F$22),"",MAX(0,MIN(100,100*(MIN(MAX(City_Inputs!$AG154,Norm_Stats!$F$22),Norm_Stats!$G$22)-Norm_Stats!$F$22)/(Norm_Stats!$G$22-Norm_Stats!$F$22)))))="",0,0.5)+IF((IF(OR(City_Inputs!$AJ154="",Norm_Stats!$F$23="",Norm_Stats!$G$23="",Norm_Stats!$G$23=Norm_Stats!$F$23),"",MAX(0,MIN(100,100*(MIN(MAX(City_Inputs!$AJ154,Norm_Stats!$F$23),Norm_Stats!$G$23)-Norm_Stats!$F$23)/(Norm_Stats!$G$23-Norm_Stats!$F$23)))))="",0,0.3)+IF((IF(OR(City_Inputs!$AK154="",Norm_Stats!$F$24="",Norm_Stats!$G$24="",Norm_Stats!$G$24=Norm_Stats!$F$24),"",MAX(0,MIN(100,100*(MIN(MAX(City_Inputs!$AK154,Norm_Stats!$F$24),Norm_Stats!$G$24)-Norm_Stats!$F$24)/(Norm_Stats!$G$24-Norm_Stats!$F$24)))))="",0,0.2)))</f>
        <v/>
      </c>
      <c r="BE154" s="11">
        <f>IF(OR(City_Inputs!$AH154="",Norm_Stats!$F$25="",Norm_Stats!$G$25="",Norm_Stats!$G$25=Norm_Stats!$F$25),"",MAX(0,MIN(100,100*(Norm_Stats!$G$25-MIN(MAX(City_Inputs!$AH154,Norm_Stats!$F$25),Norm_Stats!$G$25))/(Norm_Stats!$G$25-Norm_Stats!$F$25))))</f>
        <v/>
      </c>
      <c r="BF154" s="14">
        <f>IF(BE154="","",1)</f>
        <v/>
      </c>
      <c r="BG154" s="15">
        <f>IF((IF(AY154="",0,6)+IF(BA154="",0,5)+IF(BC154="",0,5)+IF(BE154="",0,4))=0,"",(IF(AY154="",0,AY154*6)+IF(BA154="",0,BA154*5)+IF(BC154="",0,BC154*5)+IF(BE154="",0,BE154*4))/(IF(AY154="",0,6)+IF(BA154="",0,5)+IF(BC154="",0,5)+IF(BE154="",0,4)))</f>
        <v/>
      </c>
      <c r="BH154" s="14">
        <f>IF((IF(AZ154="",0,6)+IF(BB154="",0,5)+IF(BD154="",0,5)+IF(BF154="",0,4))=0,"",(IF(AZ154="",0,AZ154*6)+IF(BB154="",0,BB154*5)+IF(BD154="",0,BD154*5)+IF(BF154="",0,BF154*4))/20)</f>
        <v/>
      </c>
      <c r="BI154" s="14">
        <f>IF(AND(R154="",AF154="",AN154="",AX154="",BH154=""),"",((R154*25)+(AF154*22)+(AN154*18)+(AX154*15)+(BH154*20))/100)</f>
        <v/>
      </c>
      <c r="BJ154" s="11">
        <f>IF(BI154="","",IF(BI154&gt;=0.75,"A",IF(BI154&gt;=0.5,"B",IF(BI154&gt;=0.35,"C","Watchlist"))))</f>
        <v/>
      </c>
      <c r="BK154" s="11">
        <f>IF(OR(BI154="",BI154&lt;0.5,R154="",R154&lt;0.35,AF154="",AF154&lt;0.35,AN154="",AN154&lt;0.35,AX154="",AX154&lt;0.35,BH154="",BH154&lt;0.35),"Watchlist","Ranked")</f>
        <v/>
      </c>
      <c r="BL154" s="15">
        <f>IF(AND(Q154="",AE154="",AM154="",AW154="",BG154=""),"",(IF(Q154="",0,Q154*25)+IF(AE154="",0,AE154*22)+IF(AM154="",0,AM154*18)+IF(AW154="",0,AW154*15)+IF(BG154="",0,BG154*20))/(IF(Q154="",0,25)+IF(AE154="",0,22)+IF(AM154="",0,18)+IF(AW154="",0,15)+IF(BG154="",0,20)))</f>
        <v/>
      </c>
      <c r="BM154" s="11">
        <f>IF(BK154="Ranked",1+COUNTIFS($BK$2:$BK$158,"Ranked",$BL$2:$BL$158,"&gt;"&amp;BL154),"")</f>
        <v/>
      </c>
      <c r="BN154" s="11">
        <f>City_Inputs!$AI154</f>
        <v/>
      </c>
    </row>
    <row r="155">
      <c r="A155" t="inlineStr">
        <is>
          <t>nz-dunedin</t>
        </is>
      </c>
      <c r="B155" t="inlineStr">
        <is>
          <t>Dunedin</t>
        </is>
      </c>
      <c r="C155" t="inlineStr">
        <is>
          <t>New Zealand</t>
        </is>
      </c>
      <c r="D155" t="inlineStr">
        <is>
          <t>Oceania</t>
        </is>
      </c>
      <c r="E155" t="inlineStr">
        <is>
          <t>provisional</t>
        </is>
      </c>
      <c r="F155" t="inlineStr">
        <is>
          <t>secondary</t>
        </is>
      </c>
      <c r="G155" s="11">
        <f>IF(OR(City_Inputs!$M155="",Norm_Stats!$F$2="",Norm_Stats!$G$2="",Norm_Stats!$G$2=Norm_Stats!$F$2),"",MAX(0,MIN(100,100*(MIN(MAX(City_Inputs!$M155,Norm_Stats!$F$2),Norm_Stats!$G$2)-Norm_Stats!$F$2)/(Norm_Stats!$G$2-Norm_Stats!$F$2))))</f>
        <v/>
      </c>
      <c r="H155" s="14">
        <f>IF(G155="","",1)</f>
        <v/>
      </c>
      <c r="I155" s="11">
        <f>IF(OR(City_Inputs!$N155="",Norm_Stats!$F$3="",Norm_Stats!$G$3="",Norm_Stats!$G$3=Norm_Stats!$F$3),"",MAX(0,MIN(100,100*(Norm_Stats!$G$3-MIN(MAX(City_Inputs!$N155,Norm_Stats!$F$3),Norm_Stats!$G$3))/(Norm_Stats!$G$3-Norm_Stats!$F$3))))</f>
        <v/>
      </c>
      <c r="J155" s="14">
        <f>IF(I155="","",1)</f>
        <v/>
      </c>
      <c r="K155" s="11">
        <f>IF(OR(City_Inputs!$P155="",Norm_Stats!$F$4="",Norm_Stats!$G$4="",Norm_Stats!$G$4=Norm_Stats!$F$4),"",MAX(0,MIN(100,100*(Norm_Stats!$G$4-MIN(MAX(City_Inputs!$P155,Norm_Stats!$F$4),Norm_Stats!$G$4))/(Norm_Stats!$G$4-Norm_Stats!$F$4))))</f>
        <v/>
      </c>
      <c r="L155" s="14">
        <f>IF(K155="","",1)</f>
        <v/>
      </c>
      <c r="M155" s="11">
        <f>IF(OR(City_Inputs!$Q155="",Norm_Stats!$F$5="",Norm_Stats!$G$5="",Norm_Stats!$G$5=Norm_Stats!$F$5),"",MAX(0,MIN(100,100*(Norm_Stats!$G$5-MIN(MAX(City_Inputs!$Q155,Norm_Stats!$F$5),Norm_Stats!$G$5))/(Norm_Stats!$G$5-Norm_Stats!$F$5))))</f>
        <v/>
      </c>
      <c r="N155" s="14">
        <f>IF(M155="","",1)</f>
        <v/>
      </c>
      <c r="O155" s="11">
        <f>IF(OR(City_Inputs!$R155="",Norm_Stats!$F$6="",Norm_Stats!$G$6="",Norm_Stats!$G$6=Norm_Stats!$F$6),"",MAX(0,MIN(100,100*(Norm_Stats!$G$6-MIN(MAX(City_Inputs!$R155,Norm_Stats!$F$6),Norm_Stats!$G$6))/(Norm_Stats!$G$6-Norm_Stats!$F$6))))</f>
        <v/>
      </c>
      <c r="P155" s="14">
        <f>IF(O155="","",1)</f>
        <v/>
      </c>
      <c r="Q155" s="15">
        <f>IF((IF(G155="",0,9)+IF(I155="",0,5)+IF(K155="",0,4)+IF(M155="",0,4)+IF(O155="",0,5))=0,"",(IF(G155="",0,G155*9)+IF(I155="",0,I155*5)+IF(K155="",0,K155*4)+IF(M155="",0,M155*4)+IF(O155="",0,O155*5))/(IF(G155="",0,9)+IF(I155="",0,5)+IF(K155="",0,4)+IF(M155="",0,4)+IF(O155="",0,5)))</f>
        <v/>
      </c>
      <c r="R155" s="14">
        <f>IF((IF(H155="",0,9)+IF(J155="",0,5)+IF(L155="",0,4)+IF(N155="",0,4)+IF(P155="",0,5))=0,"",(IF(H155="",0,H155*9)+IF(J155="",0,J155*5)+IF(L155="",0,L155*4)+IF(N155="",0,N155*4)+IF(P155="",0,P155*5))/27)</f>
        <v/>
      </c>
      <c r="S155" s="11">
        <f>IF(OR(City_Inputs!$S155="",Norm_Stats!$F$7="",Norm_Stats!$G$7="",Norm_Stats!$G$7=Norm_Stats!$F$7),"",MAX(0,MIN(100,100*(Norm_Stats!$G$7-MIN(MAX(City_Inputs!$S155,Norm_Stats!$F$7),Norm_Stats!$G$7))/(Norm_Stats!$G$7-Norm_Stats!$F$7))))</f>
        <v/>
      </c>
      <c r="T155" s="14">
        <f>IF(S155="","",1)</f>
        <v/>
      </c>
      <c r="U155" s="11">
        <f>IF(OR(City_Inputs!$T155="",Norm_Stats!$F$8="",Norm_Stats!$G$8="",Norm_Stats!$G$8=Norm_Stats!$F$8),"",MAX(0,MIN(100,100*(MIN(MAX(City_Inputs!$T155,Norm_Stats!$F$8),Norm_Stats!$G$8)-Norm_Stats!$F$8)/(Norm_Stats!$G$8-Norm_Stats!$F$8))))</f>
        <v/>
      </c>
      <c r="V155" s="14">
        <f>IF(U155="","",1)</f>
        <v/>
      </c>
      <c r="W155" s="11">
        <f>IF(OR(City_Inputs!$U155="",Norm_Stats!$F$9="",Norm_Stats!$G$9="",Norm_Stats!$G$9=Norm_Stats!$F$9),"",MAX(0,MIN(100,100*(Norm_Stats!$G$9-MIN(MAX(City_Inputs!$U155,Norm_Stats!$F$9),Norm_Stats!$G$9))/(Norm_Stats!$G$9-Norm_Stats!$F$9))))</f>
        <v/>
      </c>
      <c r="X155" s="14">
        <f>IF(W155="","",1)</f>
        <v/>
      </c>
      <c r="Y155" s="11">
        <f>IF(OR(City_Inputs!$V155="",Norm_Stats!$F$10="",Norm_Stats!$G$10="",Norm_Stats!$G$10=Norm_Stats!$F$10),"",MAX(0,MIN(100,100*(MIN(MAX(City_Inputs!$V155,Norm_Stats!$F$10),Norm_Stats!$G$10)-Norm_Stats!$F$10)/(Norm_Stats!$G$10-Norm_Stats!$F$10))))</f>
        <v/>
      </c>
      <c r="Z155" s="14">
        <f>IF(Y155="","",1)</f>
        <v/>
      </c>
      <c r="AA155" s="11">
        <f>IF(OR(City_Inputs!$W155="",Norm_Stats!$F$11="",Norm_Stats!$G$11="",Norm_Stats!$G$11=Norm_Stats!$F$11),"",MAX(0,MIN(100,100*(MIN(MAX(City_Inputs!$W155,Norm_Stats!$F$11),Norm_Stats!$G$11)-Norm_Stats!$F$11)/(Norm_Stats!$G$11-Norm_Stats!$F$11))))</f>
        <v/>
      </c>
      <c r="AB155" s="14">
        <f>IF(AA155="","",1)</f>
        <v/>
      </c>
      <c r="AC155" s="11">
        <f>IF(OR(City_Inputs!$X155="",Norm_Stats!$F$12="",Norm_Stats!$G$12="",Norm_Stats!$G$12=Norm_Stats!$F$12),"",MAX(0,MIN(100,100*(MIN(MAX(City_Inputs!$X155,Norm_Stats!$F$12),Norm_Stats!$G$12)-Norm_Stats!$F$12)/(Norm_Stats!$G$12-Norm_Stats!$F$12))))</f>
        <v/>
      </c>
      <c r="AD155" s="11">
        <f>IF(AC155="","",1)</f>
        <v/>
      </c>
      <c r="AE155" s="15">
        <f>IF((IF(S155="",0,5)+IF(U155="",0,5)+IF(W155="",0,4)+IF(Y155="",0,4)+IF(AA155="",0,4)+IF(AC155="",0,5))=0,"",(IF(S155="",0,S155*5)+IF(U155="",0,U155*5)+IF(W155="",0,W155*4)+IF(Y155="",0,Y155*4)+IF(AA155="",0,AA155*4)+IF(AC155="",0,AC155*5))/(IF(S155="",0,5)+IF(U155="",0,5)+IF(W155="",0,4)+IF(Y155="",0,4)+IF(AA155="",0,4)+IF(AC155="",0,5)))</f>
        <v/>
      </c>
      <c r="AF155" s="14">
        <f>IF((IF(T155="",0,5)+IF(V155="",0,5)+IF(X155="",0,4)+IF(Z155="",0,4)+IF(AB155="",0,4)+IF(AD155="",0,5))=0,"",(IF(T155="",0,T155*5)+IF(V155="",0,V155*5)+IF(X155="",0,X155*4)+IF(Z155="",0,Z155*4)+IF(AB155="",0,AB155*4)+IF(AD155="",0,AD155*5))/27)</f>
        <v/>
      </c>
      <c r="AG155" s="11">
        <f>IF(OR(City_Inputs!$Y155="",Norm_Stats!$F$13="",Norm_Stats!$G$13="",Norm_Stats!$G$13=Norm_Stats!$F$13),"",MAX(0,MIN(100,100*(MIN(MAX(City_Inputs!$Y155,Norm_Stats!$F$13),Norm_Stats!$G$13)-Norm_Stats!$F$13)/(Norm_Stats!$G$13-Norm_Stats!$F$13))))</f>
        <v/>
      </c>
      <c r="AH155" s="14">
        <f>IF(AG155="","",1)</f>
        <v/>
      </c>
      <c r="AI155" s="11">
        <f>IF(OR(City_Inputs!$Z155="",Norm_Stats!$F$14="",Norm_Stats!$G$14="",Norm_Stats!$G$14=Norm_Stats!$F$14),"",MAX(0,MIN(100,100*(MIN(MAX(City_Inputs!$Z155,Norm_Stats!$F$14),Norm_Stats!$G$14)-Norm_Stats!$F$14)/(Norm_Stats!$G$14-Norm_Stats!$F$14))))</f>
        <v/>
      </c>
      <c r="AJ155" s="14">
        <f>IF(AI155="","",1)</f>
        <v/>
      </c>
      <c r="AK155" s="11">
        <f>IF((IF((IF(OR(City_Inputs!$AA155="",Norm_Stats!$F$15="",Norm_Stats!$G$15="",Norm_Stats!$G$15=Norm_Stats!$F$15),"",MAX(0,MIN(100,100*(MIN(MAX(City_Inputs!$AA155,Norm_Stats!$F$15),Norm_Stats!$G$15)-Norm_Stats!$F$15)/(Norm_Stats!$G$15-Norm_Stats!$F$15)))))="",0,0.7)+IF((IF(OR(City_Inputs!$AL155="",Norm_Stats!$F$16="",Norm_Stats!$G$16="",Norm_Stats!$G$16=Norm_Stats!$F$16),"",MAX(0,MIN(100,100*(Norm_Stats!$G$16-MIN(MAX(City_Inputs!$AL155,Norm_Stats!$F$16),Norm_Stats!$G$16))/(Norm_Stats!$G$16-Norm_Stats!$F$16)))))="",0,0.3))=0,"",(IF((IF(OR(City_Inputs!$AA155="",Norm_Stats!$F$15="",Norm_Stats!$G$15="",Norm_Stats!$G$15=Norm_Stats!$F$15),"",MAX(0,MIN(100,100*(MIN(MAX(City_Inputs!$AA155,Norm_Stats!$F$15),Norm_Stats!$G$15)-Norm_Stats!$F$15)/(Norm_Stats!$G$15-Norm_Stats!$F$15)))))="",0,(IF(OR(City_Inputs!$AA155="",Norm_Stats!$F$15="",Norm_Stats!$G$15="",Norm_Stats!$G$15=Norm_Stats!$F$15),"",MAX(0,MIN(100,100*(MIN(MAX(City_Inputs!$AA155,Norm_Stats!$F$15),Norm_Stats!$G$15)-Norm_Stats!$F$15)/(Norm_Stats!$G$15-Norm_Stats!$F$15)))))*0.7)+IF((IF(OR(City_Inputs!$AL155="",Norm_Stats!$F$16="",Norm_Stats!$G$16="",Norm_Stats!$G$16=Norm_Stats!$F$16),"",MAX(0,MIN(100,100*(Norm_Stats!$G$16-MIN(MAX(City_Inputs!$AL155,Norm_Stats!$F$16),Norm_Stats!$G$16))/(Norm_Stats!$G$16-Norm_Stats!$F$16)))))="",0,(IF(OR(City_Inputs!$AL155="",Norm_Stats!$F$16="",Norm_Stats!$G$16="",Norm_Stats!$G$16=Norm_Stats!$F$16),"",MAX(0,MIN(100,100*(Norm_Stats!$G$16-MIN(MAX(City_Inputs!$AL155,Norm_Stats!$F$16),Norm_Stats!$G$16))/(Norm_Stats!$G$16-Norm_Stats!$F$16)))))*0.3))/(IF((IF(OR(City_Inputs!$AA155="",Norm_Stats!$F$15="",Norm_Stats!$G$15="",Norm_Stats!$G$15=Norm_Stats!$F$15),"",MAX(0,MIN(100,100*(MIN(MAX(City_Inputs!$AA155,Norm_Stats!$F$15),Norm_Stats!$G$15)-Norm_Stats!$F$15)/(Norm_Stats!$G$15-Norm_Stats!$F$15)))))="",0,0.7)+IF((IF(OR(City_Inputs!$AL155="",Norm_Stats!$F$16="",Norm_Stats!$G$16="",Norm_Stats!$G$16=Norm_Stats!$F$16),"",MAX(0,MIN(100,100*(Norm_Stats!$G$16-MIN(MAX(City_Inputs!$AL155,Norm_Stats!$F$16),Norm_Stats!$G$16))/(Norm_Stats!$G$16-Norm_Stats!$F$16)))))="",0,0.3)))</f>
        <v/>
      </c>
      <c r="AL155" s="14">
        <f>IF((IF((IF(OR(City_Inputs!$AA155="",Norm_Stats!$F$15="",Norm_Stats!$G$15="",Norm_Stats!$G$15=Norm_Stats!$F$15),"",MAX(0,MIN(100,100*(MIN(MAX(City_Inputs!$AA155,Norm_Stats!$F$15),Norm_Stats!$G$15)-Norm_Stats!$F$15)/(Norm_Stats!$G$15-Norm_Stats!$F$15)))))="",0,0.7)+IF((IF(OR(City_Inputs!$AL155="",Norm_Stats!$F$16="",Norm_Stats!$G$16="",Norm_Stats!$G$16=Norm_Stats!$F$16),"",MAX(0,MIN(100,100*(Norm_Stats!$G$16-MIN(MAX(City_Inputs!$AL155,Norm_Stats!$F$16),Norm_Stats!$G$16))/(Norm_Stats!$G$16-Norm_Stats!$F$16)))))="",0,0.3))=0,"",(IF((IF(OR(City_Inputs!$AA155="",Norm_Stats!$F$15="",Norm_Stats!$G$15="",Norm_Stats!$G$15=Norm_Stats!$F$15),"",MAX(0,MIN(100,100*(MIN(MAX(City_Inputs!$AA155,Norm_Stats!$F$15),Norm_Stats!$G$15)-Norm_Stats!$F$15)/(Norm_Stats!$G$15-Norm_Stats!$F$15)))))="",0,0.7)+IF((IF(OR(City_Inputs!$AL155="",Norm_Stats!$F$16="",Norm_Stats!$G$16="",Norm_Stats!$G$16=Norm_Stats!$F$16),"",MAX(0,MIN(100,100*(Norm_Stats!$G$16-MIN(MAX(City_Inputs!$AL155,Norm_Stats!$F$16),Norm_Stats!$G$16))/(Norm_Stats!$G$16-Norm_Stats!$F$16)))))="",0,0.3)))</f>
        <v/>
      </c>
      <c r="AM155" s="15">
        <f>IF((IF(AG155="",0,8)+IF(AI155="",0,6)+IF(AK155="",0,4))=0,"",(IF(AG155="",0,AG155*8)+IF(AI155="",0,AI155*6)+IF(AK155="",0,AK155*4))/(IF(AG155="",0,8)+IF(AI155="",0,6)+IF(AK155="",0,4)))</f>
        <v/>
      </c>
      <c r="AN155" s="14">
        <f>IF((IF(AH155="",0,8)+IF(AJ155="",0,6)+IF(AL155="",0,4))=0,"",(IF(AH155="",0,AH155*8)+IF(AJ155="",0,AJ155*6)+IF(AL155="",0,AL155*4))/18)</f>
        <v/>
      </c>
      <c r="AO155" s="11">
        <f>IF(OR(City_Inputs!$AB155="",Norm_Stats!$F$17="",Norm_Stats!$G$17="",Norm_Stats!$G$17=Norm_Stats!$F$17),"",MAX(0,MIN(100,100*(MIN(MAX(City_Inputs!$AB155,Norm_Stats!$F$17),Norm_Stats!$G$17)-Norm_Stats!$F$17)/(Norm_Stats!$G$17-Norm_Stats!$F$17))))</f>
        <v/>
      </c>
      <c r="AP155" s="14">
        <f>IF(AO155="","",1)</f>
        <v/>
      </c>
      <c r="AQ155" s="11">
        <f>IF(OR(City_Inputs!$AC155="",Norm_Stats!$F$18="",Norm_Stats!$G$18="",Norm_Stats!$G$18=Norm_Stats!$F$18),"",MAX(0,MIN(100,100*(MIN(MAX(City_Inputs!$AC155,Norm_Stats!$F$18),Norm_Stats!$G$18)-Norm_Stats!$F$18)/(Norm_Stats!$G$18-Norm_Stats!$F$18))))</f>
        <v/>
      </c>
      <c r="AR155" s="14">
        <f>IF(AQ155="","",1)</f>
        <v/>
      </c>
      <c r="AS155" s="11">
        <f>IF(OR(City_Inputs!$AD155="",Norm_Stats!$F$19="",Norm_Stats!$G$19="",Norm_Stats!$G$19=Norm_Stats!$F$19),"",MAX(0,MIN(100,100*(MIN(MAX(City_Inputs!$AD155,Norm_Stats!$F$19),Norm_Stats!$G$19)-Norm_Stats!$F$19)/(Norm_Stats!$G$19-Norm_Stats!$F$19))))</f>
        <v/>
      </c>
      <c r="AT155" s="14">
        <f>IF(AS155="","",1)</f>
        <v/>
      </c>
      <c r="AU155" s="11">
        <f>IF(OR(City_Inputs!$BJ155="",Norm_Stats!$F$26="",Norm_Stats!$G$26="",Norm_Stats!$G$26=Norm_Stats!$F$26),"",MAX(0,MIN(100,100*(MIN(MAX(City_Inputs!$BJ155,Norm_Stats!$F$26),Norm_Stats!$G$26)-Norm_Stats!$F$26)/(Norm_Stats!$G$26-Norm_Stats!$F$26))))</f>
        <v/>
      </c>
      <c r="AV155" s="11">
        <f>IF(AU155="","",1)</f>
        <v/>
      </c>
      <c r="AW155" s="15">
        <f>IF((IF(AO155="",0,5)+IF(AQ155="",0,5)+IF(AS155="",0,5)+IF(AU155="",0,4))=0,"",(IF(AO155="",0,AO155*5)+IF(AQ155="",0,AQ155*5)+IF(AS155="",0,AS155*5)+IF(AU155="",0,AU155*4))/(IF(AO155="",0,5)+IF(AQ155="",0,5)+IF(AS155="",0,5)+IF(AU155="",0,4)))</f>
        <v/>
      </c>
      <c r="AX155" s="14">
        <f>IF((IF(AP155="",0,5)+IF(AR155="",0,5)+IF(AT155="",0,5)+IF(AV155="",0,4))=0,"",(IF(AP155="",0,AP155*5)+IF(AR155="",0,AR155*5)+IF(AT155="",0,AT155*5)+IF(AV155="",0,AV155*4))/19)</f>
        <v/>
      </c>
      <c r="AY155" s="11">
        <f>IF(OR(City_Inputs!$AE155="",Norm_Stats!$F$20="",Norm_Stats!$G$20="",Norm_Stats!$G$20=Norm_Stats!$F$20),"",MAX(0,MIN(100,100*(MIN(MAX(City_Inputs!$AE155,Norm_Stats!$F$20),Norm_Stats!$G$20)-Norm_Stats!$F$20)/(Norm_Stats!$G$20-Norm_Stats!$F$20))))</f>
        <v/>
      </c>
      <c r="AZ155" s="14">
        <f>IF(AY155="","",1)</f>
        <v/>
      </c>
      <c r="BA155" s="11">
        <f>IF(OR(City_Inputs!$AF155="",Norm_Stats!$F$21="",Norm_Stats!$G$21="",Norm_Stats!$G$21=Norm_Stats!$F$21),"",MAX(0,MIN(100,100*(MIN(MAX(City_Inputs!$AF155,Norm_Stats!$F$21),Norm_Stats!$G$21)-Norm_Stats!$F$21)/(Norm_Stats!$G$21-Norm_Stats!$F$21))))</f>
        <v/>
      </c>
      <c r="BB155" s="14">
        <f>IF(BA155="","",1)</f>
        <v/>
      </c>
      <c r="BC155" s="11">
        <f>IF((IF((IF(OR(City_Inputs!$AG155="",Norm_Stats!$F$22="",Norm_Stats!$G$22="",Norm_Stats!$G$22=Norm_Stats!$F$22),"",MAX(0,MIN(100,100*(MIN(MAX(City_Inputs!$AG155,Norm_Stats!$F$22),Norm_Stats!$G$22)-Norm_Stats!$F$22)/(Norm_Stats!$G$22-Norm_Stats!$F$22)))))="",0,0.5)+IF((IF(OR(City_Inputs!$AJ155="",Norm_Stats!$F$23="",Norm_Stats!$G$23="",Norm_Stats!$G$23=Norm_Stats!$F$23),"",MAX(0,MIN(100,100*(MIN(MAX(City_Inputs!$AJ155,Norm_Stats!$F$23),Norm_Stats!$G$23)-Norm_Stats!$F$23)/(Norm_Stats!$G$23-Norm_Stats!$F$23)))))="",0,0.3)+IF((IF(OR(City_Inputs!$AK155="",Norm_Stats!$F$24="",Norm_Stats!$G$24="",Norm_Stats!$G$24=Norm_Stats!$F$24),"",MAX(0,MIN(100,100*(MIN(MAX(City_Inputs!$AK155,Norm_Stats!$F$24),Norm_Stats!$G$24)-Norm_Stats!$F$24)/(Norm_Stats!$G$24-Norm_Stats!$F$24)))))="",0,0.2))=0,"",(IF((IF(OR(City_Inputs!$AG155="",Norm_Stats!$F$22="",Norm_Stats!$G$22="",Norm_Stats!$G$22=Norm_Stats!$F$22),"",MAX(0,MIN(100,100*(MIN(MAX(City_Inputs!$AG155,Norm_Stats!$F$22),Norm_Stats!$G$22)-Norm_Stats!$F$22)/(Norm_Stats!$G$22-Norm_Stats!$F$22)))))="",0,(IF(OR(City_Inputs!$AG155="",Norm_Stats!$F$22="",Norm_Stats!$G$22="",Norm_Stats!$G$22=Norm_Stats!$F$22),"",MAX(0,MIN(100,100*(MIN(MAX(City_Inputs!$AG155,Norm_Stats!$F$22),Norm_Stats!$G$22)-Norm_Stats!$F$22)/(Norm_Stats!$G$22-Norm_Stats!$F$22)))))*0.5)+IF((IF(OR(City_Inputs!$AJ155="",Norm_Stats!$F$23="",Norm_Stats!$G$23="",Norm_Stats!$G$23=Norm_Stats!$F$23),"",MAX(0,MIN(100,100*(MIN(MAX(City_Inputs!$AJ155,Norm_Stats!$F$23),Norm_Stats!$G$23)-Norm_Stats!$F$23)/(Norm_Stats!$G$23-Norm_Stats!$F$23)))))="",0,(IF(OR(City_Inputs!$AJ155="",Norm_Stats!$F$23="",Norm_Stats!$G$23="",Norm_Stats!$G$23=Norm_Stats!$F$23),"",MAX(0,MIN(100,100*(MIN(MAX(City_Inputs!$AJ155,Norm_Stats!$F$23),Norm_Stats!$G$23)-Norm_Stats!$F$23)/(Norm_Stats!$G$23-Norm_Stats!$F$23)))))*0.3)+IF((IF(OR(City_Inputs!$AK155="",Norm_Stats!$F$24="",Norm_Stats!$G$24="",Norm_Stats!$G$24=Norm_Stats!$F$24),"",MAX(0,MIN(100,100*(MIN(MAX(City_Inputs!$AK155,Norm_Stats!$F$24),Norm_Stats!$G$24)-Norm_Stats!$F$24)/(Norm_Stats!$G$24-Norm_Stats!$F$24)))))="",0,(IF(OR(City_Inputs!$AK155="",Norm_Stats!$F$24="",Norm_Stats!$G$24="",Norm_Stats!$G$24=Norm_Stats!$F$24),"",MAX(0,MIN(100,100*(MIN(MAX(City_Inputs!$AK155,Norm_Stats!$F$24),Norm_Stats!$G$24)-Norm_Stats!$F$24)/(Norm_Stats!$G$24-Norm_Stats!$F$24)))))*0.2))/(IF((IF(OR(City_Inputs!$AG155="",Norm_Stats!$F$22="",Norm_Stats!$G$22="",Norm_Stats!$G$22=Norm_Stats!$F$22),"",MAX(0,MIN(100,100*(MIN(MAX(City_Inputs!$AG155,Norm_Stats!$F$22),Norm_Stats!$G$22)-Norm_Stats!$F$22)/(Norm_Stats!$G$22-Norm_Stats!$F$22)))))="",0,0.5)+IF((IF(OR(City_Inputs!$AJ155="",Norm_Stats!$F$23="",Norm_Stats!$G$23="",Norm_Stats!$G$23=Norm_Stats!$F$23),"",MAX(0,MIN(100,100*(MIN(MAX(City_Inputs!$AJ155,Norm_Stats!$F$23),Norm_Stats!$G$23)-Norm_Stats!$F$23)/(Norm_Stats!$G$23-Norm_Stats!$F$23)))))="",0,0.3)+IF((IF(OR(City_Inputs!$AK155="",Norm_Stats!$F$24="",Norm_Stats!$G$24="",Norm_Stats!$G$24=Norm_Stats!$F$24),"",MAX(0,MIN(100,100*(MIN(MAX(City_Inputs!$AK155,Norm_Stats!$F$24),Norm_Stats!$G$24)-Norm_Stats!$F$24)/(Norm_Stats!$G$24-Norm_Stats!$F$24)))))="",0,0.2)))</f>
        <v/>
      </c>
      <c r="BD155" s="14">
        <f>IF((IF((IF(OR(City_Inputs!$AG155="",Norm_Stats!$F$22="",Norm_Stats!$G$22="",Norm_Stats!$G$22=Norm_Stats!$F$22),"",MAX(0,MIN(100,100*(MIN(MAX(City_Inputs!$AG155,Norm_Stats!$F$22),Norm_Stats!$G$22)-Norm_Stats!$F$22)/(Norm_Stats!$G$22-Norm_Stats!$F$22)))))="",0,0.5)+IF((IF(OR(City_Inputs!$AJ155="",Norm_Stats!$F$23="",Norm_Stats!$G$23="",Norm_Stats!$G$23=Norm_Stats!$F$23),"",MAX(0,MIN(100,100*(MIN(MAX(City_Inputs!$AJ155,Norm_Stats!$F$23),Norm_Stats!$G$23)-Norm_Stats!$F$23)/(Norm_Stats!$G$23-Norm_Stats!$F$23)))))="",0,0.3)+IF((IF(OR(City_Inputs!$AK155="",Norm_Stats!$F$24="",Norm_Stats!$G$24="",Norm_Stats!$G$24=Norm_Stats!$F$24),"",MAX(0,MIN(100,100*(MIN(MAX(City_Inputs!$AK155,Norm_Stats!$F$24),Norm_Stats!$G$24)-Norm_Stats!$F$24)/(Norm_Stats!$G$24-Norm_Stats!$F$24)))))="",0,0.2))=0,"",(IF((IF(OR(City_Inputs!$AG155="",Norm_Stats!$F$22="",Norm_Stats!$G$22="",Norm_Stats!$G$22=Norm_Stats!$F$22),"",MAX(0,MIN(100,100*(MIN(MAX(City_Inputs!$AG155,Norm_Stats!$F$22),Norm_Stats!$G$22)-Norm_Stats!$F$22)/(Norm_Stats!$G$22-Norm_Stats!$F$22)))))="",0,0.5)+IF((IF(OR(City_Inputs!$AJ155="",Norm_Stats!$F$23="",Norm_Stats!$G$23="",Norm_Stats!$G$23=Norm_Stats!$F$23),"",MAX(0,MIN(100,100*(MIN(MAX(City_Inputs!$AJ155,Norm_Stats!$F$23),Norm_Stats!$G$23)-Norm_Stats!$F$23)/(Norm_Stats!$G$23-Norm_Stats!$F$23)))))="",0,0.3)+IF((IF(OR(City_Inputs!$AK155="",Norm_Stats!$F$24="",Norm_Stats!$G$24="",Norm_Stats!$G$24=Norm_Stats!$F$24),"",MAX(0,MIN(100,100*(MIN(MAX(City_Inputs!$AK155,Norm_Stats!$F$24),Norm_Stats!$G$24)-Norm_Stats!$F$24)/(Norm_Stats!$G$24-Norm_Stats!$F$24)))))="",0,0.2)))</f>
        <v/>
      </c>
      <c r="BE155" s="11">
        <f>IF(OR(City_Inputs!$AH155="",Norm_Stats!$F$25="",Norm_Stats!$G$25="",Norm_Stats!$G$25=Norm_Stats!$F$25),"",MAX(0,MIN(100,100*(Norm_Stats!$G$25-MIN(MAX(City_Inputs!$AH155,Norm_Stats!$F$25),Norm_Stats!$G$25))/(Norm_Stats!$G$25-Norm_Stats!$F$25))))</f>
        <v/>
      </c>
      <c r="BF155" s="14">
        <f>IF(BE155="","",1)</f>
        <v/>
      </c>
      <c r="BG155" s="15">
        <f>IF((IF(AY155="",0,6)+IF(BA155="",0,5)+IF(BC155="",0,5)+IF(BE155="",0,4))=0,"",(IF(AY155="",0,AY155*6)+IF(BA155="",0,BA155*5)+IF(BC155="",0,BC155*5)+IF(BE155="",0,BE155*4))/(IF(AY155="",0,6)+IF(BA155="",0,5)+IF(BC155="",0,5)+IF(BE155="",0,4)))</f>
        <v/>
      </c>
      <c r="BH155" s="14">
        <f>IF((IF(AZ155="",0,6)+IF(BB155="",0,5)+IF(BD155="",0,5)+IF(BF155="",0,4))=0,"",(IF(AZ155="",0,AZ155*6)+IF(BB155="",0,BB155*5)+IF(BD155="",0,BD155*5)+IF(BF155="",0,BF155*4))/20)</f>
        <v/>
      </c>
      <c r="BI155" s="14">
        <f>IF(AND(R155="",AF155="",AN155="",AX155="",BH155=""),"",((R155*25)+(AF155*22)+(AN155*18)+(AX155*15)+(BH155*20))/100)</f>
        <v/>
      </c>
      <c r="BJ155" s="11">
        <f>IF(BI155="","",IF(BI155&gt;=0.75,"A",IF(BI155&gt;=0.5,"B",IF(BI155&gt;=0.35,"C","Watchlist"))))</f>
        <v/>
      </c>
      <c r="BK155" s="11">
        <f>IF(OR(BI155="",BI155&lt;0.5,R155="",R155&lt;0.35,AF155="",AF155&lt;0.35,AN155="",AN155&lt;0.35,AX155="",AX155&lt;0.35,BH155="",BH155&lt;0.35),"Watchlist","Ranked")</f>
        <v/>
      </c>
      <c r="BL155" s="15">
        <f>IF(AND(Q155="",AE155="",AM155="",AW155="",BG155=""),"",(IF(Q155="",0,Q155*25)+IF(AE155="",0,AE155*22)+IF(AM155="",0,AM155*18)+IF(AW155="",0,AW155*15)+IF(BG155="",0,BG155*20))/(IF(Q155="",0,25)+IF(AE155="",0,22)+IF(AM155="",0,18)+IF(AW155="",0,15)+IF(BG155="",0,20)))</f>
        <v/>
      </c>
      <c r="BM155" s="11">
        <f>IF(BK155="Ranked",1+COUNTIFS($BK$2:$BK$158,"Ranked",$BL$2:$BL$158,"&gt;"&amp;BL155),"")</f>
        <v/>
      </c>
      <c r="BN155" s="11">
        <f>City_Inputs!$AI155</f>
        <v/>
      </c>
    </row>
    <row r="156">
      <c r="A156" t="inlineStr">
        <is>
          <t>pg-port-moresby</t>
        </is>
      </c>
      <c r="B156" t="inlineStr">
        <is>
          <t>Port Moresby</t>
        </is>
      </c>
      <c r="C156" t="inlineStr">
        <is>
          <t>Papua New Guinea</t>
        </is>
      </c>
      <c r="D156" t="inlineStr">
        <is>
          <t>Oceania</t>
        </is>
      </c>
      <c r="E156" t="inlineStr">
        <is>
          <t>provisional</t>
        </is>
      </c>
      <c r="F156" t="inlineStr">
        <is>
          <t>primary</t>
        </is>
      </c>
      <c r="G156" s="11">
        <f>IF(OR(City_Inputs!$M156="",Norm_Stats!$F$2="",Norm_Stats!$G$2="",Norm_Stats!$G$2=Norm_Stats!$F$2),"",MAX(0,MIN(100,100*(MIN(MAX(City_Inputs!$M156,Norm_Stats!$F$2),Norm_Stats!$G$2)-Norm_Stats!$F$2)/(Norm_Stats!$G$2-Norm_Stats!$F$2))))</f>
        <v/>
      </c>
      <c r="H156" s="14">
        <f>IF(G156="","",1)</f>
        <v/>
      </c>
      <c r="I156" s="11">
        <f>IF(OR(City_Inputs!$N156="",Norm_Stats!$F$3="",Norm_Stats!$G$3="",Norm_Stats!$G$3=Norm_Stats!$F$3),"",MAX(0,MIN(100,100*(Norm_Stats!$G$3-MIN(MAX(City_Inputs!$N156,Norm_Stats!$F$3),Norm_Stats!$G$3))/(Norm_Stats!$G$3-Norm_Stats!$F$3))))</f>
        <v/>
      </c>
      <c r="J156" s="14">
        <f>IF(I156="","",1)</f>
        <v/>
      </c>
      <c r="K156" s="11">
        <f>IF(OR(City_Inputs!$P156="",Norm_Stats!$F$4="",Norm_Stats!$G$4="",Norm_Stats!$G$4=Norm_Stats!$F$4),"",MAX(0,MIN(100,100*(Norm_Stats!$G$4-MIN(MAX(City_Inputs!$P156,Norm_Stats!$F$4),Norm_Stats!$G$4))/(Norm_Stats!$G$4-Norm_Stats!$F$4))))</f>
        <v/>
      </c>
      <c r="L156" s="14">
        <f>IF(K156="","",1)</f>
        <v/>
      </c>
      <c r="M156" s="11">
        <f>IF(OR(City_Inputs!$Q156="",Norm_Stats!$F$5="",Norm_Stats!$G$5="",Norm_Stats!$G$5=Norm_Stats!$F$5),"",MAX(0,MIN(100,100*(Norm_Stats!$G$5-MIN(MAX(City_Inputs!$Q156,Norm_Stats!$F$5),Norm_Stats!$G$5))/(Norm_Stats!$G$5-Norm_Stats!$F$5))))</f>
        <v/>
      </c>
      <c r="N156" s="14">
        <f>IF(M156="","",1)</f>
        <v/>
      </c>
      <c r="O156" s="11">
        <f>IF(OR(City_Inputs!$R156="",Norm_Stats!$F$6="",Norm_Stats!$G$6="",Norm_Stats!$G$6=Norm_Stats!$F$6),"",MAX(0,MIN(100,100*(Norm_Stats!$G$6-MIN(MAX(City_Inputs!$R156,Norm_Stats!$F$6),Norm_Stats!$G$6))/(Norm_Stats!$G$6-Norm_Stats!$F$6))))</f>
        <v/>
      </c>
      <c r="P156" s="14">
        <f>IF(O156="","",1)</f>
        <v/>
      </c>
      <c r="Q156" s="15">
        <f>IF((IF(G156="",0,9)+IF(I156="",0,5)+IF(K156="",0,4)+IF(M156="",0,4)+IF(O156="",0,5))=0,"",(IF(G156="",0,G156*9)+IF(I156="",0,I156*5)+IF(K156="",0,K156*4)+IF(M156="",0,M156*4)+IF(O156="",0,O156*5))/(IF(G156="",0,9)+IF(I156="",0,5)+IF(K156="",0,4)+IF(M156="",0,4)+IF(O156="",0,5)))</f>
        <v/>
      </c>
      <c r="R156" s="14">
        <f>IF((IF(H156="",0,9)+IF(J156="",0,5)+IF(L156="",0,4)+IF(N156="",0,4)+IF(P156="",0,5))=0,"",(IF(H156="",0,H156*9)+IF(J156="",0,J156*5)+IF(L156="",0,L156*4)+IF(N156="",0,N156*4)+IF(P156="",0,P156*5))/27)</f>
        <v/>
      </c>
      <c r="S156" s="11">
        <f>IF(OR(City_Inputs!$S156="",Norm_Stats!$F$7="",Norm_Stats!$G$7="",Norm_Stats!$G$7=Norm_Stats!$F$7),"",MAX(0,MIN(100,100*(Norm_Stats!$G$7-MIN(MAX(City_Inputs!$S156,Norm_Stats!$F$7),Norm_Stats!$G$7))/(Norm_Stats!$G$7-Norm_Stats!$F$7))))</f>
        <v/>
      </c>
      <c r="T156" s="14">
        <f>IF(S156="","",1)</f>
        <v/>
      </c>
      <c r="U156" s="11">
        <f>IF(OR(City_Inputs!$T156="",Norm_Stats!$F$8="",Norm_Stats!$G$8="",Norm_Stats!$G$8=Norm_Stats!$F$8),"",MAX(0,MIN(100,100*(MIN(MAX(City_Inputs!$T156,Norm_Stats!$F$8),Norm_Stats!$G$8)-Norm_Stats!$F$8)/(Norm_Stats!$G$8-Norm_Stats!$F$8))))</f>
        <v/>
      </c>
      <c r="V156" s="14">
        <f>IF(U156="","",1)</f>
        <v/>
      </c>
      <c r="W156" s="11">
        <f>IF(OR(City_Inputs!$U156="",Norm_Stats!$F$9="",Norm_Stats!$G$9="",Norm_Stats!$G$9=Norm_Stats!$F$9),"",MAX(0,MIN(100,100*(Norm_Stats!$G$9-MIN(MAX(City_Inputs!$U156,Norm_Stats!$F$9),Norm_Stats!$G$9))/(Norm_Stats!$G$9-Norm_Stats!$F$9))))</f>
        <v/>
      </c>
      <c r="X156" s="14">
        <f>IF(W156="","",1)</f>
        <v/>
      </c>
      <c r="Y156" s="11">
        <f>IF(OR(City_Inputs!$V156="",Norm_Stats!$F$10="",Norm_Stats!$G$10="",Norm_Stats!$G$10=Norm_Stats!$F$10),"",MAX(0,MIN(100,100*(MIN(MAX(City_Inputs!$V156,Norm_Stats!$F$10),Norm_Stats!$G$10)-Norm_Stats!$F$10)/(Norm_Stats!$G$10-Norm_Stats!$F$10))))</f>
        <v/>
      </c>
      <c r="Z156" s="14">
        <f>IF(Y156="","",1)</f>
        <v/>
      </c>
      <c r="AA156" s="11">
        <f>IF(OR(City_Inputs!$W156="",Norm_Stats!$F$11="",Norm_Stats!$G$11="",Norm_Stats!$G$11=Norm_Stats!$F$11),"",MAX(0,MIN(100,100*(MIN(MAX(City_Inputs!$W156,Norm_Stats!$F$11),Norm_Stats!$G$11)-Norm_Stats!$F$11)/(Norm_Stats!$G$11-Norm_Stats!$F$11))))</f>
        <v/>
      </c>
      <c r="AB156" s="14">
        <f>IF(AA156="","",1)</f>
        <v/>
      </c>
      <c r="AC156" s="11">
        <f>IF(OR(City_Inputs!$X156="",Norm_Stats!$F$12="",Norm_Stats!$G$12="",Norm_Stats!$G$12=Norm_Stats!$F$12),"",MAX(0,MIN(100,100*(MIN(MAX(City_Inputs!$X156,Norm_Stats!$F$12),Norm_Stats!$G$12)-Norm_Stats!$F$12)/(Norm_Stats!$G$12-Norm_Stats!$F$12))))</f>
        <v/>
      </c>
      <c r="AD156" s="11">
        <f>IF(AC156="","",1)</f>
        <v/>
      </c>
      <c r="AE156" s="15">
        <f>IF((IF(S156="",0,5)+IF(U156="",0,5)+IF(W156="",0,4)+IF(Y156="",0,4)+IF(AA156="",0,4)+IF(AC156="",0,5))=0,"",(IF(S156="",0,S156*5)+IF(U156="",0,U156*5)+IF(W156="",0,W156*4)+IF(Y156="",0,Y156*4)+IF(AA156="",0,AA156*4)+IF(AC156="",0,AC156*5))/(IF(S156="",0,5)+IF(U156="",0,5)+IF(W156="",0,4)+IF(Y156="",0,4)+IF(AA156="",0,4)+IF(AC156="",0,5)))</f>
        <v/>
      </c>
      <c r="AF156" s="14">
        <f>IF((IF(T156="",0,5)+IF(V156="",0,5)+IF(X156="",0,4)+IF(Z156="",0,4)+IF(AB156="",0,4)+IF(AD156="",0,5))=0,"",(IF(T156="",0,T156*5)+IF(V156="",0,V156*5)+IF(X156="",0,X156*4)+IF(Z156="",0,Z156*4)+IF(AB156="",0,AB156*4)+IF(AD156="",0,AD156*5))/27)</f>
        <v/>
      </c>
      <c r="AG156" s="11">
        <f>IF(OR(City_Inputs!$Y156="",Norm_Stats!$F$13="",Norm_Stats!$G$13="",Norm_Stats!$G$13=Norm_Stats!$F$13),"",MAX(0,MIN(100,100*(MIN(MAX(City_Inputs!$Y156,Norm_Stats!$F$13),Norm_Stats!$G$13)-Norm_Stats!$F$13)/(Norm_Stats!$G$13-Norm_Stats!$F$13))))</f>
        <v/>
      </c>
      <c r="AH156" s="14">
        <f>IF(AG156="","",1)</f>
        <v/>
      </c>
      <c r="AI156" s="11">
        <f>IF(OR(City_Inputs!$Z156="",Norm_Stats!$F$14="",Norm_Stats!$G$14="",Norm_Stats!$G$14=Norm_Stats!$F$14),"",MAX(0,MIN(100,100*(MIN(MAX(City_Inputs!$Z156,Norm_Stats!$F$14),Norm_Stats!$G$14)-Norm_Stats!$F$14)/(Norm_Stats!$G$14-Norm_Stats!$F$14))))</f>
        <v/>
      </c>
      <c r="AJ156" s="14">
        <f>IF(AI156="","",1)</f>
        <v/>
      </c>
      <c r="AK156" s="11">
        <f>IF((IF((IF(OR(City_Inputs!$AA156="",Norm_Stats!$F$15="",Norm_Stats!$G$15="",Norm_Stats!$G$15=Norm_Stats!$F$15),"",MAX(0,MIN(100,100*(MIN(MAX(City_Inputs!$AA156,Norm_Stats!$F$15),Norm_Stats!$G$15)-Norm_Stats!$F$15)/(Norm_Stats!$G$15-Norm_Stats!$F$15)))))="",0,0.7)+IF((IF(OR(City_Inputs!$AL156="",Norm_Stats!$F$16="",Norm_Stats!$G$16="",Norm_Stats!$G$16=Norm_Stats!$F$16),"",MAX(0,MIN(100,100*(Norm_Stats!$G$16-MIN(MAX(City_Inputs!$AL156,Norm_Stats!$F$16),Norm_Stats!$G$16))/(Norm_Stats!$G$16-Norm_Stats!$F$16)))))="",0,0.3))=0,"",(IF((IF(OR(City_Inputs!$AA156="",Norm_Stats!$F$15="",Norm_Stats!$G$15="",Norm_Stats!$G$15=Norm_Stats!$F$15),"",MAX(0,MIN(100,100*(MIN(MAX(City_Inputs!$AA156,Norm_Stats!$F$15),Norm_Stats!$G$15)-Norm_Stats!$F$15)/(Norm_Stats!$G$15-Norm_Stats!$F$15)))))="",0,(IF(OR(City_Inputs!$AA156="",Norm_Stats!$F$15="",Norm_Stats!$G$15="",Norm_Stats!$G$15=Norm_Stats!$F$15),"",MAX(0,MIN(100,100*(MIN(MAX(City_Inputs!$AA156,Norm_Stats!$F$15),Norm_Stats!$G$15)-Norm_Stats!$F$15)/(Norm_Stats!$G$15-Norm_Stats!$F$15)))))*0.7)+IF((IF(OR(City_Inputs!$AL156="",Norm_Stats!$F$16="",Norm_Stats!$G$16="",Norm_Stats!$G$16=Norm_Stats!$F$16),"",MAX(0,MIN(100,100*(Norm_Stats!$G$16-MIN(MAX(City_Inputs!$AL156,Norm_Stats!$F$16),Norm_Stats!$G$16))/(Norm_Stats!$G$16-Norm_Stats!$F$16)))))="",0,(IF(OR(City_Inputs!$AL156="",Norm_Stats!$F$16="",Norm_Stats!$G$16="",Norm_Stats!$G$16=Norm_Stats!$F$16),"",MAX(0,MIN(100,100*(Norm_Stats!$G$16-MIN(MAX(City_Inputs!$AL156,Norm_Stats!$F$16),Norm_Stats!$G$16))/(Norm_Stats!$G$16-Norm_Stats!$F$16)))))*0.3))/(IF((IF(OR(City_Inputs!$AA156="",Norm_Stats!$F$15="",Norm_Stats!$G$15="",Norm_Stats!$G$15=Norm_Stats!$F$15),"",MAX(0,MIN(100,100*(MIN(MAX(City_Inputs!$AA156,Norm_Stats!$F$15),Norm_Stats!$G$15)-Norm_Stats!$F$15)/(Norm_Stats!$G$15-Norm_Stats!$F$15)))))="",0,0.7)+IF((IF(OR(City_Inputs!$AL156="",Norm_Stats!$F$16="",Norm_Stats!$G$16="",Norm_Stats!$G$16=Norm_Stats!$F$16),"",MAX(0,MIN(100,100*(Norm_Stats!$G$16-MIN(MAX(City_Inputs!$AL156,Norm_Stats!$F$16),Norm_Stats!$G$16))/(Norm_Stats!$G$16-Norm_Stats!$F$16)))))="",0,0.3)))</f>
        <v/>
      </c>
      <c r="AL156" s="14">
        <f>IF((IF((IF(OR(City_Inputs!$AA156="",Norm_Stats!$F$15="",Norm_Stats!$G$15="",Norm_Stats!$G$15=Norm_Stats!$F$15),"",MAX(0,MIN(100,100*(MIN(MAX(City_Inputs!$AA156,Norm_Stats!$F$15),Norm_Stats!$G$15)-Norm_Stats!$F$15)/(Norm_Stats!$G$15-Norm_Stats!$F$15)))))="",0,0.7)+IF((IF(OR(City_Inputs!$AL156="",Norm_Stats!$F$16="",Norm_Stats!$G$16="",Norm_Stats!$G$16=Norm_Stats!$F$16),"",MAX(0,MIN(100,100*(Norm_Stats!$G$16-MIN(MAX(City_Inputs!$AL156,Norm_Stats!$F$16),Norm_Stats!$G$16))/(Norm_Stats!$G$16-Norm_Stats!$F$16)))))="",0,0.3))=0,"",(IF((IF(OR(City_Inputs!$AA156="",Norm_Stats!$F$15="",Norm_Stats!$G$15="",Norm_Stats!$G$15=Norm_Stats!$F$15),"",MAX(0,MIN(100,100*(MIN(MAX(City_Inputs!$AA156,Norm_Stats!$F$15),Norm_Stats!$G$15)-Norm_Stats!$F$15)/(Norm_Stats!$G$15-Norm_Stats!$F$15)))))="",0,0.7)+IF((IF(OR(City_Inputs!$AL156="",Norm_Stats!$F$16="",Norm_Stats!$G$16="",Norm_Stats!$G$16=Norm_Stats!$F$16),"",MAX(0,MIN(100,100*(Norm_Stats!$G$16-MIN(MAX(City_Inputs!$AL156,Norm_Stats!$F$16),Norm_Stats!$G$16))/(Norm_Stats!$G$16-Norm_Stats!$F$16)))))="",0,0.3)))</f>
        <v/>
      </c>
      <c r="AM156" s="15">
        <f>IF((IF(AG156="",0,8)+IF(AI156="",0,6)+IF(AK156="",0,4))=0,"",(IF(AG156="",0,AG156*8)+IF(AI156="",0,AI156*6)+IF(AK156="",0,AK156*4))/(IF(AG156="",0,8)+IF(AI156="",0,6)+IF(AK156="",0,4)))</f>
        <v/>
      </c>
      <c r="AN156" s="14">
        <f>IF((IF(AH156="",0,8)+IF(AJ156="",0,6)+IF(AL156="",0,4))=0,"",(IF(AH156="",0,AH156*8)+IF(AJ156="",0,AJ156*6)+IF(AL156="",0,AL156*4))/18)</f>
        <v/>
      </c>
      <c r="AO156" s="11">
        <f>IF(OR(City_Inputs!$AB156="",Norm_Stats!$F$17="",Norm_Stats!$G$17="",Norm_Stats!$G$17=Norm_Stats!$F$17),"",MAX(0,MIN(100,100*(MIN(MAX(City_Inputs!$AB156,Norm_Stats!$F$17),Norm_Stats!$G$17)-Norm_Stats!$F$17)/(Norm_Stats!$G$17-Norm_Stats!$F$17))))</f>
        <v/>
      </c>
      <c r="AP156" s="14">
        <f>IF(AO156="","",1)</f>
        <v/>
      </c>
      <c r="AQ156" s="11">
        <f>IF(OR(City_Inputs!$AC156="",Norm_Stats!$F$18="",Norm_Stats!$G$18="",Norm_Stats!$G$18=Norm_Stats!$F$18),"",MAX(0,MIN(100,100*(MIN(MAX(City_Inputs!$AC156,Norm_Stats!$F$18),Norm_Stats!$G$18)-Norm_Stats!$F$18)/(Norm_Stats!$G$18-Norm_Stats!$F$18))))</f>
        <v/>
      </c>
      <c r="AR156" s="14">
        <f>IF(AQ156="","",1)</f>
        <v/>
      </c>
      <c r="AS156" s="11">
        <f>IF(OR(City_Inputs!$AD156="",Norm_Stats!$F$19="",Norm_Stats!$G$19="",Norm_Stats!$G$19=Norm_Stats!$F$19),"",MAX(0,MIN(100,100*(MIN(MAX(City_Inputs!$AD156,Norm_Stats!$F$19),Norm_Stats!$G$19)-Norm_Stats!$F$19)/(Norm_Stats!$G$19-Norm_Stats!$F$19))))</f>
        <v/>
      </c>
      <c r="AT156" s="14">
        <f>IF(AS156="","",1)</f>
        <v/>
      </c>
      <c r="AU156" s="11">
        <f>IF(OR(City_Inputs!$BJ156="",Norm_Stats!$F$26="",Norm_Stats!$G$26="",Norm_Stats!$G$26=Norm_Stats!$F$26),"",MAX(0,MIN(100,100*(MIN(MAX(City_Inputs!$BJ156,Norm_Stats!$F$26),Norm_Stats!$G$26)-Norm_Stats!$F$26)/(Norm_Stats!$G$26-Norm_Stats!$F$26))))</f>
        <v/>
      </c>
      <c r="AV156" s="11">
        <f>IF(AU156="","",1)</f>
        <v/>
      </c>
      <c r="AW156" s="15">
        <f>IF((IF(AO156="",0,5)+IF(AQ156="",0,5)+IF(AS156="",0,5)+IF(AU156="",0,4))=0,"",(IF(AO156="",0,AO156*5)+IF(AQ156="",0,AQ156*5)+IF(AS156="",0,AS156*5)+IF(AU156="",0,AU156*4))/(IF(AO156="",0,5)+IF(AQ156="",0,5)+IF(AS156="",0,5)+IF(AU156="",0,4)))</f>
        <v/>
      </c>
      <c r="AX156" s="14">
        <f>IF((IF(AP156="",0,5)+IF(AR156="",0,5)+IF(AT156="",0,5)+IF(AV156="",0,4))=0,"",(IF(AP156="",0,AP156*5)+IF(AR156="",0,AR156*5)+IF(AT156="",0,AT156*5)+IF(AV156="",0,AV156*4))/19)</f>
        <v/>
      </c>
      <c r="AY156" s="11">
        <f>IF(OR(City_Inputs!$AE156="",Norm_Stats!$F$20="",Norm_Stats!$G$20="",Norm_Stats!$G$20=Norm_Stats!$F$20),"",MAX(0,MIN(100,100*(MIN(MAX(City_Inputs!$AE156,Norm_Stats!$F$20),Norm_Stats!$G$20)-Norm_Stats!$F$20)/(Norm_Stats!$G$20-Norm_Stats!$F$20))))</f>
        <v/>
      </c>
      <c r="AZ156" s="14">
        <f>IF(AY156="","",1)</f>
        <v/>
      </c>
      <c r="BA156" s="11">
        <f>IF(OR(City_Inputs!$AF156="",Norm_Stats!$F$21="",Norm_Stats!$G$21="",Norm_Stats!$G$21=Norm_Stats!$F$21),"",MAX(0,MIN(100,100*(MIN(MAX(City_Inputs!$AF156,Norm_Stats!$F$21),Norm_Stats!$G$21)-Norm_Stats!$F$21)/(Norm_Stats!$G$21-Norm_Stats!$F$21))))</f>
        <v/>
      </c>
      <c r="BB156" s="14">
        <f>IF(BA156="","",1)</f>
        <v/>
      </c>
      <c r="BC156" s="11">
        <f>IF((IF((IF(OR(City_Inputs!$AG156="",Norm_Stats!$F$22="",Norm_Stats!$G$22="",Norm_Stats!$G$22=Norm_Stats!$F$22),"",MAX(0,MIN(100,100*(MIN(MAX(City_Inputs!$AG156,Norm_Stats!$F$22),Norm_Stats!$G$22)-Norm_Stats!$F$22)/(Norm_Stats!$G$22-Norm_Stats!$F$22)))))="",0,0.5)+IF((IF(OR(City_Inputs!$AJ156="",Norm_Stats!$F$23="",Norm_Stats!$G$23="",Norm_Stats!$G$23=Norm_Stats!$F$23),"",MAX(0,MIN(100,100*(MIN(MAX(City_Inputs!$AJ156,Norm_Stats!$F$23),Norm_Stats!$G$23)-Norm_Stats!$F$23)/(Norm_Stats!$G$23-Norm_Stats!$F$23)))))="",0,0.3)+IF((IF(OR(City_Inputs!$AK156="",Norm_Stats!$F$24="",Norm_Stats!$G$24="",Norm_Stats!$G$24=Norm_Stats!$F$24),"",MAX(0,MIN(100,100*(MIN(MAX(City_Inputs!$AK156,Norm_Stats!$F$24),Norm_Stats!$G$24)-Norm_Stats!$F$24)/(Norm_Stats!$G$24-Norm_Stats!$F$24)))))="",0,0.2))=0,"",(IF((IF(OR(City_Inputs!$AG156="",Norm_Stats!$F$22="",Norm_Stats!$G$22="",Norm_Stats!$G$22=Norm_Stats!$F$22),"",MAX(0,MIN(100,100*(MIN(MAX(City_Inputs!$AG156,Norm_Stats!$F$22),Norm_Stats!$G$22)-Norm_Stats!$F$22)/(Norm_Stats!$G$22-Norm_Stats!$F$22)))))="",0,(IF(OR(City_Inputs!$AG156="",Norm_Stats!$F$22="",Norm_Stats!$G$22="",Norm_Stats!$G$22=Norm_Stats!$F$22),"",MAX(0,MIN(100,100*(MIN(MAX(City_Inputs!$AG156,Norm_Stats!$F$22),Norm_Stats!$G$22)-Norm_Stats!$F$22)/(Norm_Stats!$G$22-Norm_Stats!$F$22)))))*0.5)+IF((IF(OR(City_Inputs!$AJ156="",Norm_Stats!$F$23="",Norm_Stats!$G$23="",Norm_Stats!$G$23=Norm_Stats!$F$23),"",MAX(0,MIN(100,100*(MIN(MAX(City_Inputs!$AJ156,Norm_Stats!$F$23),Norm_Stats!$G$23)-Norm_Stats!$F$23)/(Norm_Stats!$G$23-Norm_Stats!$F$23)))))="",0,(IF(OR(City_Inputs!$AJ156="",Norm_Stats!$F$23="",Norm_Stats!$G$23="",Norm_Stats!$G$23=Norm_Stats!$F$23),"",MAX(0,MIN(100,100*(MIN(MAX(City_Inputs!$AJ156,Norm_Stats!$F$23),Norm_Stats!$G$23)-Norm_Stats!$F$23)/(Norm_Stats!$G$23-Norm_Stats!$F$23)))))*0.3)+IF((IF(OR(City_Inputs!$AK156="",Norm_Stats!$F$24="",Norm_Stats!$G$24="",Norm_Stats!$G$24=Norm_Stats!$F$24),"",MAX(0,MIN(100,100*(MIN(MAX(City_Inputs!$AK156,Norm_Stats!$F$24),Norm_Stats!$G$24)-Norm_Stats!$F$24)/(Norm_Stats!$G$24-Norm_Stats!$F$24)))))="",0,(IF(OR(City_Inputs!$AK156="",Norm_Stats!$F$24="",Norm_Stats!$G$24="",Norm_Stats!$G$24=Norm_Stats!$F$24),"",MAX(0,MIN(100,100*(MIN(MAX(City_Inputs!$AK156,Norm_Stats!$F$24),Norm_Stats!$G$24)-Norm_Stats!$F$24)/(Norm_Stats!$G$24-Norm_Stats!$F$24)))))*0.2))/(IF((IF(OR(City_Inputs!$AG156="",Norm_Stats!$F$22="",Norm_Stats!$G$22="",Norm_Stats!$G$22=Norm_Stats!$F$22),"",MAX(0,MIN(100,100*(MIN(MAX(City_Inputs!$AG156,Norm_Stats!$F$22),Norm_Stats!$G$22)-Norm_Stats!$F$22)/(Norm_Stats!$G$22-Norm_Stats!$F$22)))))="",0,0.5)+IF((IF(OR(City_Inputs!$AJ156="",Norm_Stats!$F$23="",Norm_Stats!$G$23="",Norm_Stats!$G$23=Norm_Stats!$F$23),"",MAX(0,MIN(100,100*(MIN(MAX(City_Inputs!$AJ156,Norm_Stats!$F$23),Norm_Stats!$G$23)-Norm_Stats!$F$23)/(Norm_Stats!$G$23-Norm_Stats!$F$23)))))="",0,0.3)+IF((IF(OR(City_Inputs!$AK156="",Norm_Stats!$F$24="",Norm_Stats!$G$24="",Norm_Stats!$G$24=Norm_Stats!$F$24),"",MAX(0,MIN(100,100*(MIN(MAX(City_Inputs!$AK156,Norm_Stats!$F$24),Norm_Stats!$G$24)-Norm_Stats!$F$24)/(Norm_Stats!$G$24-Norm_Stats!$F$24)))))="",0,0.2)))</f>
        <v/>
      </c>
      <c r="BD156" s="14">
        <f>IF((IF((IF(OR(City_Inputs!$AG156="",Norm_Stats!$F$22="",Norm_Stats!$G$22="",Norm_Stats!$G$22=Norm_Stats!$F$22),"",MAX(0,MIN(100,100*(MIN(MAX(City_Inputs!$AG156,Norm_Stats!$F$22),Norm_Stats!$G$22)-Norm_Stats!$F$22)/(Norm_Stats!$G$22-Norm_Stats!$F$22)))))="",0,0.5)+IF((IF(OR(City_Inputs!$AJ156="",Norm_Stats!$F$23="",Norm_Stats!$G$23="",Norm_Stats!$G$23=Norm_Stats!$F$23),"",MAX(0,MIN(100,100*(MIN(MAX(City_Inputs!$AJ156,Norm_Stats!$F$23),Norm_Stats!$G$23)-Norm_Stats!$F$23)/(Norm_Stats!$G$23-Norm_Stats!$F$23)))))="",0,0.3)+IF((IF(OR(City_Inputs!$AK156="",Norm_Stats!$F$24="",Norm_Stats!$G$24="",Norm_Stats!$G$24=Norm_Stats!$F$24),"",MAX(0,MIN(100,100*(MIN(MAX(City_Inputs!$AK156,Norm_Stats!$F$24),Norm_Stats!$G$24)-Norm_Stats!$F$24)/(Norm_Stats!$G$24-Norm_Stats!$F$24)))))="",0,0.2))=0,"",(IF((IF(OR(City_Inputs!$AG156="",Norm_Stats!$F$22="",Norm_Stats!$G$22="",Norm_Stats!$G$22=Norm_Stats!$F$22),"",MAX(0,MIN(100,100*(MIN(MAX(City_Inputs!$AG156,Norm_Stats!$F$22),Norm_Stats!$G$22)-Norm_Stats!$F$22)/(Norm_Stats!$G$22-Norm_Stats!$F$22)))))="",0,0.5)+IF((IF(OR(City_Inputs!$AJ156="",Norm_Stats!$F$23="",Norm_Stats!$G$23="",Norm_Stats!$G$23=Norm_Stats!$F$23),"",MAX(0,MIN(100,100*(MIN(MAX(City_Inputs!$AJ156,Norm_Stats!$F$23),Norm_Stats!$G$23)-Norm_Stats!$F$23)/(Norm_Stats!$G$23-Norm_Stats!$F$23)))))="",0,0.3)+IF((IF(OR(City_Inputs!$AK156="",Norm_Stats!$F$24="",Norm_Stats!$G$24="",Norm_Stats!$G$24=Norm_Stats!$F$24),"",MAX(0,MIN(100,100*(MIN(MAX(City_Inputs!$AK156,Norm_Stats!$F$24),Norm_Stats!$G$24)-Norm_Stats!$F$24)/(Norm_Stats!$G$24-Norm_Stats!$F$24)))))="",0,0.2)))</f>
        <v/>
      </c>
      <c r="BE156" s="11">
        <f>IF(OR(City_Inputs!$AH156="",Norm_Stats!$F$25="",Norm_Stats!$G$25="",Norm_Stats!$G$25=Norm_Stats!$F$25),"",MAX(0,MIN(100,100*(Norm_Stats!$G$25-MIN(MAX(City_Inputs!$AH156,Norm_Stats!$F$25),Norm_Stats!$G$25))/(Norm_Stats!$G$25-Norm_Stats!$F$25))))</f>
        <v/>
      </c>
      <c r="BF156" s="14">
        <f>IF(BE156="","",1)</f>
        <v/>
      </c>
      <c r="BG156" s="15">
        <f>IF((IF(AY156="",0,6)+IF(BA156="",0,5)+IF(BC156="",0,5)+IF(BE156="",0,4))=0,"",(IF(AY156="",0,AY156*6)+IF(BA156="",0,BA156*5)+IF(BC156="",0,BC156*5)+IF(BE156="",0,BE156*4))/(IF(AY156="",0,6)+IF(BA156="",0,5)+IF(BC156="",0,5)+IF(BE156="",0,4)))</f>
        <v/>
      </c>
      <c r="BH156" s="14">
        <f>IF((IF(AZ156="",0,6)+IF(BB156="",0,5)+IF(BD156="",0,5)+IF(BF156="",0,4))=0,"",(IF(AZ156="",0,AZ156*6)+IF(BB156="",0,BB156*5)+IF(BD156="",0,BD156*5)+IF(BF156="",0,BF156*4))/20)</f>
        <v/>
      </c>
      <c r="BI156" s="14">
        <f>IF(AND(R156="",AF156="",AN156="",AX156="",BH156=""),"",((R156*25)+(AF156*22)+(AN156*18)+(AX156*15)+(BH156*20))/100)</f>
        <v/>
      </c>
      <c r="BJ156" s="11">
        <f>IF(BI156="","",IF(BI156&gt;=0.75,"A",IF(BI156&gt;=0.5,"B",IF(BI156&gt;=0.35,"C","Watchlist"))))</f>
        <v/>
      </c>
      <c r="BK156" s="11">
        <f>IF(OR(BI156="",BI156&lt;0.5,R156="",R156&lt;0.35,AF156="",AF156&lt;0.35,AN156="",AN156&lt;0.35,AX156="",AX156&lt;0.35,BH156="",BH156&lt;0.35),"Watchlist","Ranked")</f>
        <v/>
      </c>
      <c r="BL156" s="15">
        <f>IF(AND(Q156="",AE156="",AM156="",AW156="",BG156=""),"",(IF(Q156="",0,Q156*25)+IF(AE156="",0,AE156*22)+IF(AM156="",0,AM156*18)+IF(AW156="",0,AW156*15)+IF(BG156="",0,BG156*20))/(IF(Q156="",0,25)+IF(AE156="",0,22)+IF(AM156="",0,18)+IF(AW156="",0,15)+IF(BG156="",0,20)))</f>
        <v/>
      </c>
      <c r="BM156" s="11">
        <f>IF(BK156="Ranked",1+COUNTIFS($BK$2:$BK$158,"Ranked",$BL$2:$BL$158,"&gt;"&amp;BL156),"")</f>
        <v/>
      </c>
      <c r="BN156" s="11">
        <f>City_Inputs!$AI156</f>
        <v/>
      </c>
    </row>
    <row r="157">
      <c r="A157" t="inlineStr">
        <is>
          <t>ws-apia</t>
        </is>
      </c>
      <c r="B157" t="inlineStr">
        <is>
          <t>Apia</t>
        </is>
      </c>
      <c r="C157" t="inlineStr">
        <is>
          <t>Samoa</t>
        </is>
      </c>
      <c r="D157" t="inlineStr">
        <is>
          <t>Oceania</t>
        </is>
      </c>
      <c r="E157" t="inlineStr">
        <is>
          <t>provisional</t>
        </is>
      </c>
      <c r="F157" t="inlineStr">
        <is>
          <t>primary</t>
        </is>
      </c>
      <c r="G157" s="11">
        <f>IF(OR(City_Inputs!$M157="",Norm_Stats!$F$2="",Norm_Stats!$G$2="",Norm_Stats!$G$2=Norm_Stats!$F$2),"",MAX(0,MIN(100,100*(MIN(MAX(City_Inputs!$M157,Norm_Stats!$F$2),Norm_Stats!$G$2)-Norm_Stats!$F$2)/(Norm_Stats!$G$2-Norm_Stats!$F$2))))</f>
        <v/>
      </c>
      <c r="H157" s="14">
        <f>IF(G157="","",1)</f>
        <v/>
      </c>
      <c r="I157" s="11">
        <f>IF(OR(City_Inputs!$N157="",Norm_Stats!$F$3="",Norm_Stats!$G$3="",Norm_Stats!$G$3=Norm_Stats!$F$3),"",MAX(0,MIN(100,100*(Norm_Stats!$G$3-MIN(MAX(City_Inputs!$N157,Norm_Stats!$F$3),Norm_Stats!$G$3))/(Norm_Stats!$G$3-Norm_Stats!$F$3))))</f>
        <v/>
      </c>
      <c r="J157" s="14">
        <f>IF(I157="","",1)</f>
        <v/>
      </c>
      <c r="K157" s="11">
        <f>IF(OR(City_Inputs!$P157="",Norm_Stats!$F$4="",Norm_Stats!$G$4="",Norm_Stats!$G$4=Norm_Stats!$F$4),"",MAX(0,MIN(100,100*(Norm_Stats!$G$4-MIN(MAX(City_Inputs!$P157,Norm_Stats!$F$4),Norm_Stats!$G$4))/(Norm_Stats!$G$4-Norm_Stats!$F$4))))</f>
        <v/>
      </c>
      <c r="L157" s="14">
        <f>IF(K157="","",1)</f>
        <v/>
      </c>
      <c r="M157" s="11">
        <f>IF(OR(City_Inputs!$Q157="",Norm_Stats!$F$5="",Norm_Stats!$G$5="",Norm_Stats!$G$5=Norm_Stats!$F$5),"",MAX(0,MIN(100,100*(Norm_Stats!$G$5-MIN(MAX(City_Inputs!$Q157,Norm_Stats!$F$5),Norm_Stats!$G$5))/(Norm_Stats!$G$5-Norm_Stats!$F$5))))</f>
        <v/>
      </c>
      <c r="N157" s="14">
        <f>IF(M157="","",1)</f>
        <v/>
      </c>
      <c r="O157" s="11">
        <f>IF(OR(City_Inputs!$R157="",Norm_Stats!$F$6="",Norm_Stats!$G$6="",Norm_Stats!$G$6=Norm_Stats!$F$6),"",MAX(0,MIN(100,100*(Norm_Stats!$G$6-MIN(MAX(City_Inputs!$R157,Norm_Stats!$F$6),Norm_Stats!$G$6))/(Norm_Stats!$G$6-Norm_Stats!$F$6))))</f>
        <v/>
      </c>
      <c r="P157" s="14">
        <f>IF(O157="","",1)</f>
        <v/>
      </c>
      <c r="Q157" s="15">
        <f>IF((IF(G157="",0,9)+IF(I157="",0,5)+IF(K157="",0,4)+IF(M157="",0,4)+IF(O157="",0,5))=0,"",(IF(G157="",0,G157*9)+IF(I157="",0,I157*5)+IF(K157="",0,K157*4)+IF(M157="",0,M157*4)+IF(O157="",0,O157*5))/(IF(G157="",0,9)+IF(I157="",0,5)+IF(K157="",0,4)+IF(M157="",0,4)+IF(O157="",0,5)))</f>
        <v/>
      </c>
      <c r="R157" s="14">
        <f>IF((IF(H157="",0,9)+IF(J157="",0,5)+IF(L157="",0,4)+IF(N157="",0,4)+IF(P157="",0,5))=0,"",(IF(H157="",0,H157*9)+IF(J157="",0,J157*5)+IF(L157="",0,L157*4)+IF(N157="",0,N157*4)+IF(P157="",0,P157*5))/27)</f>
        <v/>
      </c>
      <c r="S157" s="11">
        <f>IF(OR(City_Inputs!$S157="",Norm_Stats!$F$7="",Norm_Stats!$G$7="",Norm_Stats!$G$7=Norm_Stats!$F$7),"",MAX(0,MIN(100,100*(Norm_Stats!$G$7-MIN(MAX(City_Inputs!$S157,Norm_Stats!$F$7),Norm_Stats!$G$7))/(Norm_Stats!$G$7-Norm_Stats!$F$7))))</f>
        <v/>
      </c>
      <c r="T157" s="14">
        <f>IF(S157="","",1)</f>
        <v/>
      </c>
      <c r="U157" s="11">
        <f>IF(OR(City_Inputs!$T157="",Norm_Stats!$F$8="",Norm_Stats!$G$8="",Norm_Stats!$G$8=Norm_Stats!$F$8),"",MAX(0,MIN(100,100*(MIN(MAX(City_Inputs!$T157,Norm_Stats!$F$8),Norm_Stats!$G$8)-Norm_Stats!$F$8)/(Norm_Stats!$G$8-Norm_Stats!$F$8))))</f>
        <v/>
      </c>
      <c r="V157" s="14">
        <f>IF(U157="","",1)</f>
        <v/>
      </c>
      <c r="W157" s="11">
        <f>IF(OR(City_Inputs!$U157="",Norm_Stats!$F$9="",Norm_Stats!$G$9="",Norm_Stats!$G$9=Norm_Stats!$F$9),"",MAX(0,MIN(100,100*(Norm_Stats!$G$9-MIN(MAX(City_Inputs!$U157,Norm_Stats!$F$9),Norm_Stats!$G$9))/(Norm_Stats!$G$9-Norm_Stats!$F$9))))</f>
        <v/>
      </c>
      <c r="X157" s="14">
        <f>IF(W157="","",1)</f>
        <v/>
      </c>
      <c r="Y157" s="11">
        <f>IF(OR(City_Inputs!$V157="",Norm_Stats!$F$10="",Norm_Stats!$G$10="",Norm_Stats!$G$10=Norm_Stats!$F$10),"",MAX(0,MIN(100,100*(MIN(MAX(City_Inputs!$V157,Norm_Stats!$F$10),Norm_Stats!$G$10)-Norm_Stats!$F$10)/(Norm_Stats!$G$10-Norm_Stats!$F$10))))</f>
        <v/>
      </c>
      <c r="Z157" s="14">
        <f>IF(Y157="","",1)</f>
        <v/>
      </c>
      <c r="AA157" s="11">
        <f>IF(OR(City_Inputs!$W157="",Norm_Stats!$F$11="",Norm_Stats!$G$11="",Norm_Stats!$G$11=Norm_Stats!$F$11),"",MAX(0,MIN(100,100*(MIN(MAX(City_Inputs!$W157,Norm_Stats!$F$11),Norm_Stats!$G$11)-Norm_Stats!$F$11)/(Norm_Stats!$G$11-Norm_Stats!$F$11))))</f>
        <v/>
      </c>
      <c r="AB157" s="14">
        <f>IF(AA157="","",1)</f>
        <v/>
      </c>
      <c r="AC157" s="11">
        <f>IF(OR(City_Inputs!$X157="",Norm_Stats!$F$12="",Norm_Stats!$G$12="",Norm_Stats!$G$12=Norm_Stats!$F$12),"",MAX(0,MIN(100,100*(MIN(MAX(City_Inputs!$X157,Norm_Stats!$F$12),Norm_Stats!$G$12)-Norm_Stats!$F$12)/(Norm_Stats!$G$12-Norm_Stats!$F$12))))</f>
        <v/>
      </c>
      <c r="AD157" s="11">
        <f>IF(AC157="","",1)</f>
        <v/>
      </c>
      <c r="AE157" s="15">
        <f>IF((IF(S157="",0,5)+IF(U157="",0,5)+IF(W157="",0,4)+IF(Y157="",0,4)+IF(AA157="",0,4)+IF(AC157="",0,5))=0,"",(IF(S157="",0,S157*5)+IF(U157="",0,U157*5)+IF(W157="",0,W157*4)+IF(Y157="",0,Y157*4)+IF(AA157="",0,AA157*4)+IF(AC157="",0,AC157*5))/(IF(S157="",0,5)+IF(U157="",0,5)+IF(W157="",0,4)+IF(Y157="",0,4)+IF(AA157="",0,4)+IF(AC157="",0,5)))</f>
        <v/>
      </c>
      <c r="AF157" s="14">
        <f>IF((IF(T157="",0,5)+IF(V157="",0,5)+IF(X157="",0,4)+IF(Z157="",0,4)+IF(AB157="",0,4)+IF(AD157="",0,5))=0,"",(IF(T157="",0,T157*5)+IF(V157="",0,V157*5)+IF(X157="",0,X157*4)+IF(Z157="",0,Z157*4)+IF(AB157="",0,AB157*4)+IF(AD157="",0,AD157*5))/27)</f>
        <v/>
      </c>
      <c r="AG157" s="11">
        <f>IF(OR(City_Inputs!$Y157="",Norm_Stats!$F$13="",Norm_Stats!$G$13="",Norm_Stats!$G$13=Norm_Stats!$F$13),"",MAX(0,MIN(100,100*(MIN(MAX(City_Inputs!$Y157,Norm_Stats!$F$13),Norm_Stats!$G$13)-Norm_Stats!$F$13)/(Norm_Stats!$G$13-Norm_Stats!$F$13))))</f>
        <v/>
      </c>
      <c r="AH157" s="14">
        <f>IF(AG157="","",1)</f>
        <v/>
      </c>
      <c r="AI157" s="11">
        <f>IF(OR(City_Inputs!$Z157="",Norm_Stats!$F$14="",Norm_Stats!$G$14="",Norm_Stats!$G$14=Norm_Stats!$F$14),"",MAX(0,MIN(100,100*(MIN(MAX(City_Inputs!$Z157,Norm_Stats!$F$14),Norm_Stats!$G$14)-Norm_Stats!$F$14)/(Norm_Stats!$G$14-Norm_Stats!$F$14))))</f>
        <v/>
      </c>
      <c r="AJ157" s="14">
        <f>IF(AI157="","",1)</f>
        <v/>
      </c>
      <c r="AK157" s="11">
        <f>IF((IF((IF(OR(City_Inputs!$AA157="",Norm_Stats!$F$15="",Norm_Stats!$G$15="",Norm_Stats!$G$15=Norm_Stats!$F$15),"",MAX(0,MIN(100,100*(MIN(MAX(City_Inputs!$AA157,Norm_Stats!$F$15),Norm_Stats!$G$15)-Norm_Stats!$F$15)/(Norm_Stats!$G$15-Norm_Stats!$F$15)))))="",0,0.7)+IF((IF(OR(City_Inputs!$AL157="",Norm_Stats!$F$16="",Norm_Stats!$G$16="",Norm_Stats!$G$16=Norm_Stats!$F$16),"",MAX(0,MIN(100,100*(Norm_Stats!$G$16-MIN(MAX(City_Inputs!$AL157,Norm_Stats!$F$16),Norm_Stats!$G$16))/(Norm_Stats!$G$16-Norm_Stats!$F$16)))))="",0,0.3))=0,"",(IF((IF(OR(City_Inputs!$AA157="",Norm_Stats!$F$15="",Norm_Stats!$G$15="",Norm_Stats!$G$15=Norm_Stats!$F$15),"",MAX(0,MIN(100,100*(MIN(MAX(City_Inputs!$AA157,Norm_Stats!$F$15),Norm_Stats!$G$15)-Norm_Stats!$F$15)/(Norm_Stats!$G$15-Norm_Stats!$F$15)))))="",0,(IF(OR(City_Inputs!$AA157="",Norm_Stats!$F$15="",Norm_Stats!$G$15="",Norm_Stats!$G$15=Norm_Stats!$F$15),"",MAX(0,MIN(100,100*(MIN(MAX(City_Inputs!$AA157,Norm_Stats!$F$15),Norm_Stats!$G$15)-Norm_Stats!$F$15)/(Norm_Stats!$G$15-Norm_Stats!$F$15)))))*0.7)+IF((IF(OR(City_Inputs!$AL157="",Norm_Stats!$F$16="",Norm_Stats!$G$16="",Norm_Stats!$G$16=Norm_Stats!$F$16),"",MAX(0,MIN(100,100*(Norm_Stats!$G$16-MIN(MAX(City_Inputs!$AL157,Norm_Stats!$F$16),Norm_Stats!$G$16))/(Norm_Stats!$G$16-Norm_Stats!$F$16)))))="",0,(IF(OR(City_Inputs!$AL157="",Norm_Stats!$F$16="",Norm_Stats!$G$16="",Norm_Stats!$G$16=Norm_Stats!$F$16),"",MAX(0,MIN(100,100*(Norm_Stats!$G$16-MIN(MAX(City_Inputs!$AL157,Norm_Stats!$F$16),Norm_Stats!$G$16))/(Norm_Stats!$G$16-Norm_Stats!$F$16)))))*0.3))/(IF((IF(OR(City_Inputs!$AA157="",Norm_Stats!$F$15="",Norm_Stats!$G$15="",Norm_Stats!$G$15=Norm_Stats!$F$15),"",MAX(0,MIN(100,100*(MIN(MAX(City_Inputs!$AA157,Norm_Stats!$F$15),Norm_Stats!$G$15)-Norm_Stats!$F$15)/(Norm_Stats!$G$15-Norm_Stats!$F$15)))))="",0,0.7)+IF((IF(OR(City_Inputs!$AL157="",Norm_Stats!$F$16="",Norm_Stats!$G$16="",Norm_Stats!$G$16=Norm_Stats!$F$16),"",MAX(0,MIN(100,100*(Norm_Stats!$G$16-MIN(MAX(City_Inputs!$AL157,Norm_Stats!$F$16),Norm_Stats!$G$16))/(Norm_Stats!$G$16-Norm_Stats!$F$16)))))="",0,0.3)))</f>
        <v/>
      </c>
      <c r="AL157" s="14">
        <f>IF((IF((IF(OR(City_Inputs!$AA157="",Norm_Stats!$F$15="",Norm_Stats!$G$15="",Norm_Stats!$G$15=Norm_Stats!$F$15),"",MAX(0,MIN(100,100*(MIN(MAX(City_Inputs!$AA157,Norm_Stats!$F$15),Norm_Stats!$G$15)-Norm_Stats!$F$15)/(Norm_Stats!$G$15-Norm_Stats!$F$15)))))="",0,0.7)+IF((IF(OR(City_Inputs!$AL157="",Norm_Stats!$F$16="",Norm_Stats!$G$16="",Norm_Stats!$G$16=Norm_Stats!$F$16),"",MAX(0,MIN(100,100*(Norm_Stats!$G$16-MIN(MAX(City_Inputs!$AL157,Norm_Stats!$F$16),Norm_Stats!$G$16))/(Norm_Stats!$G$16-Norm_Stats!$F$16)))))="",0,0.3))=0,"",(IF((IF(OR(City_Inputs!$AA157="",Norm_Stats!$F$15="",Norm_Stats!$G$15="",Norm_Stats!$G$15=Norm_Stats!$F$15),"",MAX(0,MIN(100,100*(MIN(MAX(City_Inputs!$AA157,Norm_Stats!$F$15),Norm_Stats!$G$15)-Norm_Stats!$F$15)/(Norm_Stats!$G$15-Norm_Stats!$F$15)))))="",0,0.7)+IF((IF(OR(City_Inputs!$AL157="",Norm_Stats!$F$16="",Norm_Stats!$G$16="",Norm_Stats!$G$16=Norm_Stats!$F$16),"",MAX(0,MIN(100,100*(Norm_Stats!$G$16-MIN(MAX(City_Inputs!$AL157,Norm_Stats!$F$16),Norm_Stats!$G$16))/(Norm_Stats!$G$16-Norm_Stats!$F$16)))))="",0,0.3)))</f>
        <v/>
      </c>
      <c r="AM157" s="15">
        <f>IF((IF(AG157="",0,8)+IF(AI157="",0,6)+IF(AK157="",0,4))=0,"",(IF(AG157="",0,AG157*8)+IF(AI157="",0,AI157*6)+IF(AK157="",0,AK157*4))/(IF(AG157="",0,8)+IF(AI157="",0,6)+IF(AK157="",0,4)))</f>
        <v/>
      </c>
      <c r="AN157" s="14">
        <f>IF((IF(AH157="",0,8)+IF(AJ157="",0,6)+IF(AL157="",0,4))=0,"",(IF(AH157="",0,AH157*8)+IF(AJ157="",0,AJ157*6)+IF(AL157="",0,AL157*4))/18)</f>
        <v/>
      </c>
      <c r="AO157" s="11">
        <f>IF(OR(City_Inputs!$AB157="",Norm_Stats!$F$17="",Norm_Stats!$G$17="",Norm_Stats!$G$17=Norm_Stats!$F$17),"",MAX(0,MIN(100,100*(MIN(MAX(City_Inputs!$AB157,Norm_Stats!$F$17),Norm_Stats!$G$17)-Norm_Stats!$F$17)/(Norm_Stats!$G$17-Norm_Stats!$F$17))))</f>
        <v/>
      </c>
      <c r="AP157" s="14">
        <f>IF(AO157="","",1)</f>
        <v/>
      </c>
      <c r="AQ157" s="11">
        <f>IF(OR(City_Inputs!$AC157="",Norm_Stats!$F$18="",Norm_Stats!$G$18="",Norm_Stats!$G$18=Norm_Stats!$F$18),"",MAX(0,MIN(100,100*(MIN(MAX(City_Inputs!$AC157,Norm_Stats!$F$18),Norm_Stats!$G$18)-Norm_Stats!$F$18)/(Norm_Stats!$G$18-Norm_Stats!$F$18))))</f>
        <v/>
      </c>
      <c r="AR157" s="14">
        <f>IF(AQ157="","",1)</f>
        <v/>
      </c>
      <c r="AS157" s="11">
        <f>IF(OR(City_Inputs!$AD157="",Norm_Stats!$F$19="",Norm_Stats!$G$19="",Norm_Stats!$G$19=Norm_Stats!$F$19),"",MAX(0,MIN(100,100*(MIN(MAX(City_Inputs!$AD157,Norm_Stats!$F$19),Norm_Stats!$G$19)-Norm_Stats!$F$19)/(Norm_Stats!$G$19-Norm_Stats!$F$19))))</f>
        <v/>
      </c>
      <c r="AT157" s="14">
        <f>IF(AS157="","",1)</f>
        <v/>
      </c>
      <c r="AU157" s="11">
        <f>IF(OR(City_Inputs!$BJ157="",Norm_Stats!$F$26="",Norm_Stats!$G$26="",Norm_Stats!$G$26=Norm_Stats!$F$26),"",MAX(0,MIN(100,100*(MIN(MAX(City_Inputs!$BJ157,Norm_Stats!$F$26),Norm_Stats!$G$26)-Norm_Stats!$F$26)/(Norm_Stats!$G$26-Norm_Stats!$F$26))))</f>
        <v/>
      </c>
      <c r="AV157" s="11">
        <f>IF(AU157="","",1)</f>
        <v/>
      </c>
      <c r="AW157" s="15">
        <f>IF((IF(AO157="",0,5)+IF(AQ157="",0,5)+IF(AS157="",0,5)+IF(AU157="",0,4))=0,"",(IF(AO157="",0,AO157*5)+IF(AQ157="",0,AQ157*5)+IF(AS157="",0,AS157*5)+IF(AU157="",0,AU157*4))/(IF(AO157="",0,5)+IF(AQ157="",0,5)+IF(AS157="",0,5)+IF(AU157="",0,4)))</f>
        <v/>
      </c>
      <c r="AX157" s="14">
        <f>IF((IF(AP157="",0,5)+IF(AR157="",0,5)+IF(AT157="",0,5)+IF(AV157="",0,4))=0,"",(IF(AP157="",0,AP157*5)+IF(AR157="",0,AR157*5)+IF(AT157="",0,AT157*5)+IF(AV157="",0,AV157*4))/19)</f>
        <v/>
      </c>
      <c r="AY157" s="11">
        <f>IF(OR(City_Inputs!$AE157="",Norm_Stats!$F$20="",Norm_Stats!$G$20="",Norm_Stats!$G$20=Norm_Stats!$F$20),"",MAX(0,MIN(100,100*(MIN(MAX(City_Inputs!$AE157,Norm_Stats!$F$20),Norm_Stats!$G$20)-Norm_Stats!$F$20)/(Norm_Stats!$G$20-Norm_Stats!$F$20))))</f>
        <v/>
      </c>
      <c r="AZ157" s="14">
        <f>IF(AY157="","",1)</f>
        <v/>
      </c>
      <c r="BA157" s="11">
        <f>IF(OR(City_Inputs!$AF157="",Norm_Stats!$F$21="",Norm_Stats!$G$21="",Norm_Stats!$G$21=Norm_Stats!$F$21),"",MAX(0,MIN(100,100*(MIN(MAX(City_Inputs!$AF157,Norm_Stats!$F$21),Norm_Stats!$G$21)-Norm_Stats!$F$21)/(Norm_Stats!$G$21-Norm_Stats!$F$21))))</f>
        <v/>
      </c>
      <c r="BB157" s="14">
        <f>IF(BA157="","",1)</f>
        <v/>
      </c>
      <c r="BC157" s="11">
        <f>IF((IF((IF(OR(City_Inputs!$AG157="",Norm_Stats!$F$22="",Norm_Stats!$G$22="",Norm_Stats!$G$22=Norm_Stats!$F$22),"",MAX(0,MIN(100,100*(MIN(MAX(City_Inputs!$AG157,Norm_Stats!$F$22),Norm_Stats!$G$22)-Norm_Stats!$F$22)/(Norm_Stats!$G$22-Norm_Stats!$F$22)))))="",0,0.5)+IF((IF(OR(City_Inputs!$AJ157="",Norm_Stats!$F$23="",Norm_Stats!$G$23="",Norm_Stats!$G$23=Norm_Stats!$F$23),"",MAX(0,MIN(100,100*(MIN(MAX(City_Inputs!$AJ157,Norm_Stats!$F$23),Norm_Stats!$G$23)-Norm_Stats!$F$23)/(Norm_Stats!$G$23-Norm_Stats!$F$23)))))="",0,0.3)+IF((IF(OR(City_Inputs!$AK157="",Norm_Stats!$F$24="",Norm_Stats!$G$24="",Norm_Stats!$G$24=Norm_Stats!$F$24),"",MAX(0,MIN(100,100*(MIN(MAX(City_Inputs!$AK157,Norm_Stats!$F$24),Norm_Stats!$G$24)-Norm_Stats!$F$24)/(Norm_Stats!$G$24-Norm_Stats!$F$24)))))="",0,0.2))=0,"",(IF((IF(OR(City_Inputs!$AG157="",Norm_Stats!$F$22="",Norm_Stats!$G$22="",Norm_Stats!$G$22=Norm_Stats!$F$22),"",MAX(0,MIN(100,100*(MIN(MAX(City_Inputs!$AG157,Norm_Stats!$F$22),Norm_Stats!$G$22)-Norm_Stats!$F$22)/(Norm_Stats!$G$22-Norm_Stats!$F$22)))))="",0,(IF(OR(City_Inputs!$AG157="",Norm_Stats!$F$22="",Norm_Stats!$G$22="",Norm_Stats!$G$22=Norm_Stats!$F$22),"",MAX(0,MIN(100,100*(MIN(MAX(City_Inputs!$AG157,Norm_Stats!$F$22),Norm_Stats!$G$22)-Norm_Stats!$F$22)/(Norm_Stats!$G$22-Norm_Stats!$F$22)))))*0.5)+IF((IF(OR(City_Inputs!$AJ157="",Norm_Stats!$F$23="",Norm_Stats!$G$23="",Norm_Stats!$G$23=Norm_Stats!$F$23),"",MAX(0,MIN(100,100*(MIN(MAX(City_Inputs!$AJ157,Norm_Stats!$F$23),Norm_Stats!$G$23)-Norm_Stats!$F$23)/(Norm_Stats!$G$23-Norm_Stats!$F$23)))))="",0,(IF(OR(City_Inputs!$AJ157="",Norm_Stats!$F$23="",Norm_Stats!$G$23="",Norm_Stats!$G$23=Norm_Stats!$F$23),"",MAX(0,MIN(100,100*(MIN(MAX(City_Inputs!$AJ157,Norm_Stats!$F$23),Norm_Stats!$G$23)-Norm_Stats!$F$23)/(Norm_Stats!$G$23-Norm_Stats!$F$23)))))*0.3)+IF((IF(OR(City_Inputs!$AK157="",Norm_Stats!$F$24="",Norm_Stats!$G$24="",Norm_Stats!$G$24=Norm_Stats!$F$24),"",MAX(0,MIN(100,100*(MIN(MAX(City_Inputs!$AK157,Norm_Stats!$F$24),Norm_Stats!$G$24)-Norm_Stats!$F$24)/(Norm_Stats!$G$24-Norm_Stats!$F$24)))))="",0,(IF(OR(City_Inputs!$AK157="",Norm_Stats!$F$24="",Norm_Stats!$G$24="",Norm_Stats!$G$24=Norm_Stats!$F$24),"",MAX(0,MIN(100,100*(MIN(MAX(City_Inputs!$AK157,Norm_Stats!$F$24),Norm_Stats!$G$24)-Norm_Stats!$F$24)/(Norm_Stats!$G$24-Norm_Stats!$F$24)))))*0.2))/(IF((IF(OR(City_Inputs!$AG157="",Norm_Stats!$F$22="",Norm_Stats!$G$22="",Norm_Stats!$G$22=Norm_Stats!$F$22),"",MAX(0,MIN(100,100*(MIN(MAX(City_Inputs!$AG157,Norm_Stats!$F$22),Norm_Stats!$G$22)-Norm_Stats!$F$22)/(Norm_Stats!$G$22-Norm_Stats!$F$22)))))="",0,0.5)+IF((IF(OR(City_Inputs!$AJ157="",Norm_Stats!$F$23="",Norm_Stats!$G$23="",Norm_Stats!$G$23=Norm_Stats!$F$23),"",MAX(0,MIN(100,100*(MIN(MAX(City_Inputs!$AJ157,Norm_Stats!$F$23),Norm_Stats!$G$23)-Norm_Stats!$F$23)/(Norm_Stats!$G$23-Norm_Stats!$F$23)))))="",0,0.3)+IF((IF(OR(City_Inputs!$AK157="",Norm_Stats!$F$24="",Norm_Stats!$G$24="",Norm_Stats!$G$24=Norm_Stats!$F$24),"",MAX(0,MIN(100,100*(MIN(MAX(City_Inputs!$AK157,Norm_Stats!$F$24),Norm_Stats!$G$24)-Norm_Stats!$F$24)/(Norm_Stats!$G$24-Norm_Stats!$F$24)))))="",0,0.2)))</f>
        <v/>
      </c>
      <c r="BD157" s="14">
        <f>IF((IF((IF(OR(City_Inputs!$AG157="",Norm_Stats!$F$22="",Norm_Stats!$G$22="",Norm_Stats!$G$22=Norm_Stats!$F$22),"",MAX(0,MIN(100,100*(MIN(MAX(City_Inputs!$AG157,Norm_Stats!$F$22),Norm_Stats!$G$22)-Norm_Stats!$F$22)/(Norm_Stats!$G$22-Norm_Stats!$F$22)))))="",0,0.5)+IF((IF(OR(City_Inputs!$AJ157="",Norm_Stats!$F$23="",Norm_Stats!$G$23="",Norm_Stats!$G$23=Norm_Stats!$F$23),"",MAX(0,MIN(100,100*(MIN(MAX(City_Inputs!$AJ157,Norm_Stats!$F$23),Norm_Stats!$G$23)-Norm_Stats!$F$23)/(Norm_Stats!$G$23-Norm_Stats!$F$23)))))="",0,0.3)+IF((IF(OR(City_Inputs!$AK157="",Norm_Stats!$F$24="",Norm_Stats!$G$24="",Norm_Stats!$G$24=Norm_Stats!$F$24),"",MAX(0,MIN(100,100*(MIN(MAX(City_Inputs!$AK157,Norm_Stats!$F$24),Norm_Stats!$G$24)-Norm_Stats!$F$24)/(Norm_Stats!$G$24-Norm_Stats!$F$24)))))="",0,0.2))=0,"",(IF((IF(OR(City_Inputs!$AG157="",Norm_Stats!$F$22="",Norm_Stats!$G$22="",Norm_Stats!$G$22=Norm_Stats!$F$22),"",MAX(0,MIN(100,100*(MIN(MAX(City_Inputs!$AG157,Norm_Stats!$F$22),Norm_Stats!$G$22)-Norm_Stats!$F$22)/(Norm_Stats!$G$22-Norm_Stats!$F$22)))))="",0,0.5)+IF((IF(OR(City_Inputs!$AJ157="",Norm_Stats!$F$23="",Norm_Stats!$G$23="",Norm_Stats!$G$23=Norm_Stats!$F$23),"",MAX(0,MIN(100,100*(MIN(MAX(City_Inputs!$AJ157,Norm_Stats!$F$23),Norm_Stats!$G$23)-Norm_Stats!$F$23)/(Norm_Stats!$G$23-Norm_Stats!$F$23)))))="",0,0.3)+IF((IF(OR(City_Inputs!$AK157="",Norm_Stats!$F$24="",Norm_Stats!$G$24="",Norm_Stats!$G$24=Norm_Stats!$F$24),"",MAX(0,MIN(100,100*(MIN(MAX(City_Inputs!$AK157,Norm_Stats!$F$24),Norm_Stats!$G$24)-Norm_Stats!$F$24)/(Norm_Stats!$G$24-Norm_Stats!$F$24)))))="",0,0.2)))</f>
        <v/>
      </c>
      <c r="BE157" s="11">
        <f>IF(OR(City_Inputs!$AH157="",Norm_Stats!$F$25="",Norm_Stats!$G$25="",Norm_Stats!$G$25=Norm_Stats!$F$25),"",MAX(0,MIN(100,100*(Norm_Stats!$G$25-MIN(MAX(City_Inputs!$AH157,Norm_Stats!$F$25),Norm_Stats!$G$25))/(Norm_Stats!$G$25-Norm_Stats!$F$25))))</f>
        <v/>
      </c>
      <c r="BF157" s="14">
        <f>IF(BE157="","",1)</f>
        <v/>
      </c>
      <c r="BG157" s="15">
        <f>IF((IF(AY157="",0,6)+IF(BA157="",0,5)+IF(BC157="",0,5)+IF(BE157="",0,4))=0,"",(IF(AY157="",0,AY157*6)+IF(BA157="",0,BA157*5)+IF(BC157="",0,BC157*5)+IF(BE157="",0,BE157*4))/(IF(AY157="",0,6)+IF(BA157="",0,5)+IF(BC157="",0,5)+IF(BE157="",0,4)))</f>
        <v/>
      </c>
      <c r="BH157" s="14">
        <f>IF((IF(AZ157="",0,6)+IF(BB157="",0,5)+IF(BD157="",0,5)+IF(BF157="",0,4))=0,"",(IF(AZ157="",0,AZ157*6)+IF(BB157="",0,BB157*5)+IF(BD157="",0,BD157*5)+IF(BF157="",0,BF157*4))/20)</f>
        <v/>
      </c>
      <c r="BI157" s="14">
        <f>IF(AND(R157="",AF157="",AN157="",AX157="",BH157=""),"",((R157*25)+(AF157*22)+(AN157*18)+(AX157*15)+(BH157*20))/100)</f>
        <v/>
      </c>
      <c r="BJ157" s="11">
        <f>IF(BI157="","",IF(BI157&gt;=0.75,"A",IF(BI157&gt;=0.5,"B",IF(BI157&gt;=0.35,"C","Watchlist"))))</f>
        <v/>
      </c>
      <c r="BK157" s="11">
        <f>IF(OR(BI157="",BI157&lt;0.5,R157="",R157&lt;0.35,AF157="",AF157&lt;0.35,AN157="",AN157&lt;0.35,AX157="",AX157&lt;0.35,BH157="",BH157&lt;0.35),"Watchlist","Ranked")</f>
        <v/>
      </c>
      <c r="BL157" s="15">
        <f>IF(AND(Q157="",AE157="",AM157="",AW157="",BG157=""),"",(IF(Q157="",0,Q157*25)+IF(AE157="",0,AE157*22)+IF(AM157="",0,AM157*18)+IF(AW157="",0,AW157*15)+IF(BG157="",0,BG157*20))/(IF(Q157="",0,25)+IF(AE157="",0,22)+IF(AM157="",0,18)+IF(AW157="",0,15)+IF(BG157="",0,20)))</f>
        <v/>
      </c>
      <c r="BM157" s="11">
        <f>IF(BK157="Ranked",1+COUNTIFS($BK$2:$BK$158,"Ranked",$BL$2:$BL$158,"&gt;"&amp;BL157),"")</f>
        <v/>
      </c>
      <c r="BN157" s="11">
        <f>City_Inputs!$AI157</f>
        <v/>
      </c>
    </row>
    <row r="158">
      <c r="A158" t="inlineStr">
        <is>
          <t>vu-port-vila</t>
        </is>
      </c>
      <c r="B158" t="inlineStr">
        <is>
          <t>Port Vila</t>
        </is>
      </c>
      <c r="C158" t="inlineStr">
        <is>
          <t>Vanuatu</t>
        </is>
      </c>
      <c r="D158" t="inlineStr">
        <is>
          <t>Oceania</t>
        </is>
      </c>
      <c r="E158" t="inlineStr">
        <is>
          <t>provisional</t>
        </is>
      </c>
      <c r="F158" t="inlineStr">
        <is>
          <t>primary</t>
        </is>
      </c>
      <c r="G158" s="11">
        <f>IF(OR(City_Inputs!$M158="",Norm_Stats!$F$2="",Norm_Stats!$G$2="",Norm_Stats!$G$2=Norm_Stats!$F$2),"",MAX(0,MIN(100,100*(MIN(MAX(City_Inputs!$M158,Norm_Stats!$F$2),Norm_Stats!$G$2)-Norm_Stats!$F$2)/(Norm_Stats!$G$2-Norm_Stats!$F$2))))</f>
        <v/>
      </c>
      <c r="H158" s="14">
        <f>IF(G158="","",1)</f>
        <v/>
      </c>
      <c r="I158" s="11">
        <f>IF(OR(City_Inputs!$N158="",Norm_Stats!$F$3="",Norm_Stats!$G$3="",Norm_Stats!$G$3=Norm_Stats!$F$3),"",MAX(0,MIN(100,100*(Norm_Stats!$G$3-MIN(MAX(City_Inputs!$N158,Norm_Stats!$F$3),Norm_Stats!$G$3))/(Norm_Stats!$G$3-Norm_Stats!$F$3))))</f>
        <v/>
      </c>
      <c r="J158" s="14">
        <f>IF(I158="","",1)</f>
        <v/>
      </c>
      <c r="K158" s="11">
        <f>IF(OR(City_Inputs!$P158="",Norm_Stats!$F$4="",Norm_Stats!$G$4="",Norm_Stats!$G$4=Norm_Stats!$F$4),"",MAX(0,MIN(100,100*(Norm_Stats!$G$4-MIN(MAX(City_Inputs!$P158,Norm_Stats!$F$4),Norm_Stats!$G$4))/(Norm_Stats!$G$4-Norm_Stats!$F$4))))</f>
        <v/>
      </c>
      <c r="L158" s="14">
        <f>IF(K158="","",1)</f>
        <v/>
      </c>
      <c r="M158" s="11">
        <f>IF(OR(City_Inputs!$Q158="",Norm_Stats!$F$5="",Norm_Stats!$G$5="",Norm_Stats!$G$5=Norm_Stats!$F$5),"",MAX(0,MIN(100,100*(Norm_Stats!$G$5-MIN(MAX(City_Inputs!$Q158,Norm_Stats!$F$5),Norm_Stats!$G$5))/(Norm_Stats!$G$5-Norm_Stats!$F$5))))</f>
        <v/>
      </c>
      <c r="N158" s="14">
        <f>IF(M158="","",1)</f>
        <v/>
      </c>
      <c r="O158" s="11">
        <f>IF(OR(City_Inputs!$R158="",Norm_Stats!$F$6="",Norm_Stats!$G$6="",Norm_Stats!$G$6=Norm_Stats!$F$6),"",MAX(0,MIN(100,100*(Norm_Stats!$G$6-MIN(MAX(City_Inputs!$R158,Norm_Stats!$F$6),Norm_Stats!$G$6))/(Norm_Stats!$G$6-Norm_Stats!$F$6))))</f>
        <v/>
      </c>
      <c r="P158" s="14">
        <f>IF(O158="","",1)</f>
        <v/>
      </c>
      <c r="Q158" s="15">
        <f>IF((IF(G158="",0,9)+IF(I158="",0,5)+IF(K158="",0,4)+IF(M158="",0,4)+IF(O158="",0,5))=0,"",(IF(G158="",0,G158*9)+IF(I158="",0,I158*5)+IF(K158="",0,K158*4)+IF(M158="",0,M158*4)+IF(O158="",0,O158*5))/(IF(G158="",0,9)+IF(I158="",0,5)+IF(K158="",0,4)+IF(M158="",0,4)+IF(O158="",0,5)))</f>
        <v/>
      </c>
      <c r="R158" s="14">
        <f>IF((IF(H158="",0,9)+IF(J158="",0,5)+IF(L158="",0,4)+IF(N158="",0,4)+IF(P158="",0,5))=0,"",(IF(H158="",0,H158*9)+IF(J158="",0,J158*5)+IF(L158="",0,L158*4)+IF(N158="",0,N158*4)+IF(P158="",0,P158*5))/27)</f>
        <v/>
      </c>
      <c r="S158" s="11">
        <f>IF(OR(City_Inputs!$S158="",Norm_Stats!$F$7="",Norm_Stats!$G$7="",Norm_Stats!$G$7=Norm_Stats!$F$7),"",MAX(0,MIN(100,100*(Norm_Stats!$G$7-MIN(MAX(City_Inputs!$S158,Norm_Stats!$F$7),Norm_Stats!$G$7))/(Norm_Stats!$G$7-Norm_Stats!$F$7))))</f>
        <v/>
      </c>
      <c r="T158" s="14">
        <f>IF(S158="","",1)</f>
        <v/>
      </c>
      <c r="U158" s="11">
        <f>IF(OR(City_Inputs!$T158="",Norm_Stats!$F$8="",Norm_Stats!$G$8="",Norm_Stats!$G$8=Norm_Stats!$F$8),"",MAX(0,MIN(100,100*(MIN(MAX(City_Inputs!$T158,Norm_Stats!$F$8),Norm_Stats!$G$8)-Norm_Stats!$F$8)/(Norm_Stats!$G$8-Norm_Stats!$F$8))))</f>
        <v/>
      </c>
      <c r="V158" s="14">
        <f>IF(U158="","",1)</f>
        <v/>
      </c>
      <c r="W158" s="11">
        <f>IF(OR(City_Inputs!$U158="",Norm_Stats!$F$9="",Norm_Stats!$G$9="",Norm_Stats!$G$9=Norm_Stats!$F$9),"",MAX(0,MIN(100,100*(Norm_Stats!$G$9-MIN(MAX(City_Inputs!$U158,Norm_Stats!$F$9),Norm_Stats!$G$9))/(Norm_Stats!$G$9-Norm_Stats!$F$9))))</f>
        <v/>
      </c>
      <c r="X158" s="14">
        <f>IF(W158="","",1)</f>
        <v/>
      </c>
      <c r="Y158" s="11">
        <f>IF(OR(City_Inputs!$V158="",Norm_Stats!$F$10="",Norm_Stats!$G$10="",Norm_Stats!$G$10=Norm_Stats!$F$10),"",MAX(0,MIN(100,100*(MIN(MAX(City_Inputs!$V158,Norm_Stats!$F$10),Norm_Stats!$G$10)-Norm_Stats!$F$10)/(Norm_Stats!$G$10-Norm_Stats!$F$10))))</f>
        <v/>
      </c>
      <c r="Z158" s="14">
        <f>IF(Y158="","",1)</f>
        <v/>
      </c>
      <c r="AA158" s="11">
        <f>IF(OR(City_Inputs!$W158="",Norm_Stats!$F$11="",Norm_Stats!$G$11="",Norm_Stats!$G$11=Norm_Stats!$F$11),"",MAX(0,MIN(100,100*(MIN(MAX(City_Inputs!$W158,Norm_Stats!$F$11),Norm_Stats!$G$11)-Norm_Stats!$F$11)/(Norm_Stats!$G$11-Norm_Stats!$F$11))))</f>
        <v/>
      </c>
      <c r="AB158" s="14">
        <f>IF(AA158="","",1)</f>
        <v/>
      </c>
      <c r="AC158" s="11">
        <f>IF(OR(City_Inputs!$X158="",Norm_Stats!$F$12="",Norm_Stats!$G$12="",Norm_Stats!$G$12=Norm_Stats!$F$12),"",MAX(0,MIN(100,100*(MIN(MAX(City_Inputs!$X158,Norm_Stats!$F$12),Norm_Stats!$G$12)-Norm_Stats!$F$12)/(Norm_Stats!$G$12-Norm_Stats!$F$12))))</f>
        <v/>
      </c>
      <c r="AD158" s="11">
        <f>IF(AC158="","",1)</f>
        <v/>
      </c>
      <c r="AE158" s="15">
        <f>IF((IF(S158="",0,5)+IF(U158="",0,5)+IF(W158="",0,4)+IF(Y158="",0,4)+IF(AA158="",0,4)+IF(AC158="",0,5))=0,"",(IF(S158="",0,S158*5)+IF(U158="",0,U158*5)+IF(W158="",0,W158*4)+IF(Y158="",0,Y158*4)+IF(AA158="",0,AA158*4)+IF(AC158="",0,AC158*5))/(IF(S158="",0,5)+IF(U158="",0,5)+IF(W158="",0,4)+IF(Y158="",0,4)+IF(AA158="",0,4)+IF(AC158="",0,5)))</f>
        <v/>
      </c>
      <c r="AF158" s="14">
        <f>IF((IF(T158="",0,5)+IF(V158="",0,5)+IF(X158="",0,4)+IF(Z158="",0,4)+IF(AB158="",0,4)+IF(AD158="",0,5))=0,"",(IF(T158="",0,T158*5)+IF(V158="",0,V158*5)+IF(X158="",0,X158*4)+IF(Z158="",0,Z158*4)+IF(AB158="",0,AB158*4)+IF(AD158="",0,AD158*5))/27)</f>
        <v/>
      </c>
      <c r="AG158" s="11">
        <f>IF(OR(City_Inputs!$Y158="",Norm_Stats!$F$13="",Norm_Stats!$G$13="",Norm_Stats!$G$13=Norm_Stats!$F$13),"",MAX(0,MIN(100,100*(MIN(MAX(City_Inputs!$Y158,Norm_Stats!$F$13),Norm_Stats!$G$13)-Norm_Stats!$F$13)/(Norm_Stats!$G$13-Norm_Stats!$F$13))))</f>
        <v/>
      </c>
      <c r="AH158" s="14">
        <f>IF(AG158="","",1)</f>
        <v/>
      </c>
      <c r="AI158" s="11">
        <f>IF(OR(City_Inputs!$Z158="",Norm_Stats!$F$14="",Norm_Stats!$G$14="",Norm_Stats!$G$14=Norm_Stats!$F$14),"",MAX(0,MIN(100,100*(MIN(MAX(City_Inputs!$Z158,Norm_Stats!$F$14),Norm_Stats!$G$14)-Norm_Stats!$F$14)/(Norm_Stats!$G$14-Norm_Stats!$F$14))))</f>
        <v/>
      </c>
      <c r="AJ158" s="14">
        <f>IF(AI158="","",1)</f>
        <v/>
      </c>
      <c r="AK158" s="11">
        <f>IF((IF((IF(OR(City_Inputs!$AA158="",Norm_Stats!$F$15="",Norm_Stats!$G$15="",Norm_Stats!$G$15=Norm_Stats!$F$15),"",MAX(0,MIN(100,100*(MIN(MAX(City_Inputs!$AA158,Norm_Stats!$F$15),Norm_Stats!$G$15)-Norm_Stats!$F$15)/(Norm_Stats!$G$15-Norm_Stats!$F$15)))))="",0,0.7)+IF((IF(OR(City_Inputs!$AL158="",Norm_Stats!$F$16="",Norm_Stats!$G$16="",Norm_Stats!$G$16=Norm_Stats!$F$16),"",MAX(0,MIN(100,100*(Norm_Stats!$G$16-MIN(MAX(City_Inputs!$AL158,Norm_Stats!$F$16),Norm_Stats!$G$16))/(Norm_Stats!$G$16-Norm_Stats!$F$16)))))="",0,0.3))=0,"",(IF((IF(OR(City_Inputs!$AA158="",Norm_Stats!$F$15="",Norm_Stats!$G$15="",Norm_Stats!$G$15=Norm_Stats!$F$15),"",MAX(0,MIN(100,100*(MIN(MAX(City_Inputs!$AA158,Norm_Stats!$F$15),Norm_Stats!$G$15)-Norm_Stats!$F$15)/(Norm_Stats!$G$15-Norm_Stats!$F$15)))))="",0,(IF(OR(City_Inputs!$AA158="",Norm_Stats!$F$15="",Norm_Stats!$G$15="",Norm_Stats!$G$15=Norm_Stats!$F$15),"",MAX(0,MIN(100,100*(MIN(MAX(City_Inputs!$AA158,Norm_Stats!$F$15),Norm_Stats!$G$15)-Norm_Stats!$F$15)/(Norm_Stats!$G$15-Norm_Stats!$F$15)))))*0.7)+IF((IF(OR(City_Inputs!$AL158="",Norm_Stats!$F$16="",Norm_Stats!$G$16="",Norm_Stats!$G$16=Norm_Stats!$F$16),"",MAX(0,MIN(100,100*(Norm_Stats!$G$16-MIN(MAX(City_Inputs!$AL158,Norm_Stats!$F$16),Norm_Stats!$G$16))/(Norm_Stats!$G$16-Norm_Stats!$F$16)))))="",0,(IF(OR(City_Inputs!$AL158="",Norm_Stats!$F$16="",Norm_Stats!$G$16="",Norm_Stats!$G$16=Norm_Stats!$F$16),"",MAX(0,MIN(100,100*(Norm_Stats!$G$16-MIN(MAX(City_Inputs!$AL158,Norm_Stats!$F$16),Norm_Stats!$G$16))/(Norm_Stats!$G$16-Norm_Stats!$F$16)))))*0.3))/(IF((IF(OR(City_Inputs!$AA158="",Norm_Stats!$F$15="",Norm_Stats!$G$15="",Norm_Stats!$G$15=Norm_Stats!$F$15),"",MAX(0,MIN(100,100*(MIN(MAX(City_Inputs!$AA158,Norm_Stats!$F$15),Norm_Stats!$G$15)-Norm_Stats!$F$15)/(Norm_Stats!$G$15-Norm_Stats!$F$15)))))="",0,0.7)+IF((IF(OR(City_Inputs!$AL158="",Norm_Stats!$F$16="",Norm_Stats!$G$16="",Norm_Stats!$G$16=Norm_Stats!$F$16),"",MAX(0,MIN(100,100*(Norm_Stats!$G$16-MIN(MAX(City_Inputs!$AL158,Norm_Stats!$F$16),Norm_Stats!$G$16))/(Norm_Stats!$G$16-Norm_Stats!$F$16)))))="",0,0.3)))</f>
        <v/>
      </c>
      <c r="AL158" s="14">
        <f>IF((IF((IF(OR(City_Inputs!$AA158="",Norm_Stats!$F$15="",Norm_Stats!$G$15="",Norm_Stats!$G$15=Norm_Stats!$F$15),"",MAX(0,MIN(100,100*(MIN(MAX(City_Inputs!$AA158,Norm_Stats!$F$15),Norm_Stats!$G$15)-Norm_Stats!$F$15)/(Norm_Stats!$G$15-Norm_Stats!$F$15)))))="",0,0.7)+IF((IF(OR(City_Inputs!$AL158="",Norm_Stats!$F$16="",Norm_Stats!$G$16="",Norm_Stats!$G$16=Norm_Stats!$F$16),"",MAX(0,MIN(100,100*(Norm_Stats!$G$16-MIN(MAX(City_Inputs!$AL158,Norm_Stats!$F$16),Norm_Stats!$G$16))/(Norm_Stats!$G$16-Norm_Stats!$F$16)))))="",0,0.3))=0,"",(IF((IF(OR(City_Inputs!$AA158="",Norm_Stats!$F$15="",Norm_Stats!$G$15="",Norm_Stats!$G$15=Norm_Stats!$F$15),"",MAX(0,MIN(100,100*(MIN(MAX(City_Inputs!$AA158,Norm_Stats!$F$15),Norm_Stats!$G$15)-Norm_Stats!$F$15)/(Norm_Stats!$G$15-Norm_Stats!$F$15)))))="",0,0.7)+IF((IF(OR(City_Inputs!$AL158="",Norm_Stats!$F$16="",Norm_Stats!$G$16="",Norm_Stats!$G$16=Norm_Stats!$F$16),"",MAX(0,MIN(100,100*(Norm_Stats!$G$16-MIN(MAX(City_Inputs!$AL158,Norm_Stats!$F$16),Norm_Stats!$G$16))/(Norm_Stats!$G$16-Norm_Stats!$F$16)))))="",0,0.3)))</f>
        <v/>
      </c>
      <c r="AM158" s="15">
        <f>IF((IF(AG158="",0,8)+IF(AI158="",0,6)+IF(AK158="",0,4))=0,"",(IF(AG158="",0,AG158*8)+IF(AI158="",0,AI158*6)+IF(AK158="",0,AK158*4))/(IF(AG158="",0,8)+IF(AI158="",0,6)+IF(AK158="",0,4)))</f>
        <v/>
      </c>
      <c r="AN158" s="14">
        <f>IF((IF(AH158="",0,8)+IF(AJ158="",0,6)+IF(AL158="",0,4))=0,"",(IF(AH158="",0,AH158*8)+IF(AJ158="",0,AJ158*6)+IF(AL158="",0,AL158*4))/18)</f>
        <v/>
      </c>
      <c r="AO158" s="11">
        <f>IF(OR(City_Inputs!$AB158="",Norm_Stats!$F$17="",Norm_Stats!$G$17="",Norm_Stats!$G$17=Norm_Stats!$F$17),"",MAX(0,MIN(100,100*(MIN(MAX(City_Inputs!$AB158,Norm_Stats!$F$17),Norm_Stats!$G$17)-Norm_Stats!$F$17)/(Norm_Stats!$G$17-Norm_Stats!$F$17))))</f>
        <v/>
      </c>
      <c r="AP158" s="14">
        <f>IF(AO158="","",1)</f>
        <v/>
      </c>
      <c r="AQ158" s="11">
        <f>IF(OR(City_Inputs!$AC158="",Norm_Stats!$F$18="",Norm_Stats!$G$18="",Norm_Stats!$G$18=Norm_Stats!$F$18),"",MAX(0,MIN(100,100*(MIN(MAX(City_Inputs!$AC158,Norm_Stats!$F$18),Norm_Stats!$G$18)-Norm_Stats!$F$18)/(Norm_Stats!$G$18-Norm_Stats!$F$18))))</f>
        <v/>
      </c>
      <c r="AR158" s="14">
        <f>IF(AQ158="","",1)</f>
        <v/>
      </c>
      <c r="AS158" s="11">
        <f>IF(OR(City_Inputs!$AD158="",Norm_Stats!$F$19="",Norm_Stats!$G$19="",Norm_Stats!$G$19=Norm_Stats!$F$19),"",MAX(0,MIN(100,100*(MIN(MAX(City_Inputs!$AD158,Norm_Stats!$F$19),Norm_Stats!$G$19)-Norm_Stats!$F$19)/(Norm_Stats!$G$19-Norm_Stats!$F$19))))</f>
        <v/>
      </c>
      <c r="AT158" s="14">
        <f>IF(AS158="","",1)</f>
        <v/>
      </c>
      <c r="AU158" s="11">
        <f>IF(OR(City_Inputs!$BJ158="",Norm_Stats!$F$26="",Norm_Stats!$G$26="",Norm_Stats!$G$26=Norm_Stats!$F$26),"",MAX(0,MIN(100,100*(MIN(MAX(City_Inputs!$BJ158,Norm_Stats!$F$26),Norm_Stats!$G$26)-Norm_Stats!$F$26)/(Norm_Stats!$G$26-Norm_Stats!$F$26))))</f>
        <v/>
      </c>
      <c r="AV158" s="11">
        <f>IF(AU158="","",1)</f>
        <v/>
      </c>
      <c r="AW158" s="15">
        <f>IF((IF(AO158="",0,5)+IF(AQ158="",0,5)+IF(AS158="",0,5)+IF(AU158="",0,4))=0,"",(IF(AO158="",0,AO158*5)+IF(AQ158="",0,AQ158*5)+IF(AS158="",0,AS158*5)+IF(AU158="",0,AU158*4))/(IF(AO158="",0,5)+IF(AQ158="",0,5)+IF(AS158="",0,5)+IF(AU158="",0,4)))</f>
        <v/>
      </c>
      <c r="AX158" s="14">
        <f>IF((IF(AP158="",0,5)+IF(AR158="",0,5)+IF(AT158="",0,5)+IF(AV158="",0,4))=0,"",(IF(AP158="",0,AP158*5)+IF(AR158="",0,AR158*5)+IF(AT158="",0,AT158*5)+IF(AV158="",0,AV158*4))/19)</f>
        <v/>
      </c>
      <c r="AY158" s="11">
        <f>IF(OR(City_Inputs!$AE158="",Norm_Stats!$F$20="",Norm_Stats!$G$20="",Norm_Stats!$G$20=Norm_Stats!$F$20),"",MAX(0,MIN(100,100*(MIN(MAX(City_Inputs!$AE158,Norm_Stats!$F$20),Norm_Stats!$G$20)-Norm_Stats!$F$20)/(Norm_Stats!$G$20-Norm_Stats!$F$20))))</f>
        <v/>
      </c>
      <c r="AZ158" s="14">
        <f>IF(AY158="","",1)</f>
        <v/>
      </c>
      <c r="BA158" s="11">
        <f>IF(OR(City_Inputs!$AF158="",Norm_Stats!$F$21="",Norm_Stats!$G$21="",Norm_Stats!$G$21=Norm_Stats!$F$21),"",MAX(0,MIN(100,100*(MIN(MAX(City_Inputs!$AF158,Norm_Stats!$F$21),Norm_Stats!$G$21)-Norm_Stats!$F$21)/(Norm_Stats!$G$21-Norm_Stats!$F$21))))</f>
        <v/>
      </c>
      <c r="BB158" s="14">
        <f>IF(BA158="","",1)</f>
        <v/>
      </c>
      <c r="BC158" s="11">
        <f>IF((IF((IF(OR(City_Inputs!$AG158="",Norm_Stats!$F$22="",Norm_Stats!$G$22="",Norm_Stats!$G$22=Norm_Stats!$F$22),"",MAX(0,MIN(100,100*(MIN(MAX(City_Inputs!$AG158,Norm_Stats!$F$22),Norm_Stats!$G$22)-Norm_Stats!$F$22)/(Norm_Stats!$G$22-Norm_Stats!$F$22)))))="",0,0.5)+IF((IF(OR(City_Inputs!$AJ158="",Norm_Stats!$F$23="",Norm_Stats!$G$23="",Norm_Stats!$G$23=Norm_Stats!$F$23),"",MAX(0,MIN(100,100*(MIN(MAX(City_Inputs!$AJ158,Norm_Stats!$F$23),Norm_Stats!$G$23)-Norm_Stats!$F$23)/(Norm_Stats!$G$23-Norm_Stats!$F$23)))))="",0,0.3)+IF((IF(OR(City_Inputs!$AK158="",Norm_Stats!$F$24="",Norm_Stats!$G$24="",Norm_Stats!$G$24=Norm_Stats!$F$24),"",MAX(0,MIN(100,100*(MIN(MAX(City_Inputs!$AK158,Norm_Stats!$F$24),Norm_Stats!$G$24)-Norm_Stats!$F$24)/(Norm_Stats!$G$24-Norm_Stats!$F$24)))))="",0,0.2))=0,"",(IF((IF(OR(City_Inputs!$AG158="",Norm_Stats!$F$22="",Norm_Stats!$G$22="",Norm_Stats!$G$22=Norm_Stats!$F$22),"",MAX(0,MIN(100,100*(MIN(MAX(City_Inputs!$AG158,Norm_Stats!$F$22),Norm_Stats!$G$22)-Norm_Stats!$F$22)/(Norm_Stats!$G$22-Norm_Stats!$F$22)))))="",0,(IF(OR(City_Inputs!$AG158="",Norm_Stats!$F$22="",Norm_Stats!$G$22="",Norm_Stats!$G$22=Norm_Stats!$F$22),"",MAX(0,MIN(100,100*(MIN(MAX(City_Inputs!$AG158,Norm_Stats!$F$22),Norm_Stats!$G$22)-Norm_Stats!$F$22)/(Norm_Stats!$G$22-Norm_Stats!$F$22)))))*0.5)+IF((IF(OR(City_Inputs!$AJ158="",Norm_Stats!$F$23="",Norm_Stats!$G$23="",Norm_Stats!$G$23=Norm_Stats!$F$23),"",MAX(0,MIN(100,100*(MIN(MAX(City_Inputs!$AJ158,Norm_Stats!$F$23),Norm_Stats!$G$23)-Norm_Stats!$F$23)/(Norm_Stats!$G$23-Norm_Stats!$F$23)))))="",0,(IF(OR(City_Inputs!$AJ158="",Norm_Stats!$F$23="",Norm_Stats!$G$23="",Norm_Stats!$G$23=Norm_Stats!$F$23),"",MAX(0,MIN(100,100*(MIN(MAX(City_Inputs!$AJ158,Norm_Stats!$F$23),Norm_Stats!$G$23)-Norm_Stats!$F$23)/(Norm_Stats!$G$23-Norm_Stats!$F$23)))))*0.3)+IF((IF(OR(City_Inputs!$AK158="",Norm_Stats!$F$24="",Norm_Stats!$G$24="",Norm_Stats!$G$24=Norm_Stats!$F$24),"",MAX(0,MIN(100,100*(MIN(MAX(City_Inputs!$AK158,Norm_Stats!$F$24),Norm_Stats!$G$24)-Norm_Stats!$F$24)/(Norm_Stats!$G$24-Norm_Stats!$F$24)))))="",0,(IF(OR(City_Inputs!$AK158="",Norm_Stats!$F$24="",Norm_Stats!$G$24="",Norm_Stats!$G$24=Norm_Stats!$F$24),"",MAX(0,MIN(100,100*(MIN(MAX(City_Inputs!$AK158,Norm_Stats!$F$24),Norm_Stats!$G$24)-Norm_Stats!$F$24)/(Norm_Stats!$G$24-Norm_Stats!$F$24)))))*0.2))/(IF((IF(OR(City_Inputs!$AG158="",Norm_Stats!$F$22="",Norm_Stats!$G$22="",Norm_Stats!$G$22=Norm_Stats!$F$22),"",MAX(0,MIN(100,100*(MIN(MAX(City_Inputs!$AG158,Norm_Stats!$F$22),Norm_Stats!$G$22)-Norm_Stats!$F$22)/(Norm_Stats!$G$22-Norm_Stats!$F$22)))))="",0,0.5)+IF((IF(OR(City_Inputs!$AJ158="",Norm_Stats!$F$23="",Norm_Stats!$G$23="",Norm_Stats!$G$23=Norm_Stats!$F$23),"",MAX(0,MIN(100,100*(MIN(MAX(City_Inputs!$AJ158,Norm_Stats!$F$23),Norm_Stats!$G$23)-Norm_Stats!$F$23)/(Norm_Stats!$G$23-Norm_Stats!$F$23)))))="",0,0.3)+IF((IF(OR(City_Inputs!$AK158="",Norm_Stats!$F$24="",Norm_Stats!$G$24="",Norm_Stats!$G$24=Norm_Stats!$F$24),"",MAX(0,MIN(100,100*(MIN(MAX(City_Inputs!$AK158,Norm_Stats!$F$24),Norm_Stats!$G$24)-Norm_Stats!$F$24)/(Norm_Stats!$G$24-Norm_Stats!$F$24)))))="",0,0.2)))</f>
        <v/>
      </c>
      <c r="BD158" s="14">
        <f>IF((IF((IF(OR(City_Inputs!$AG158="",Norm_Stats!$F$22="",Norm_Stats!$G$22="",Norm_Stats!$G$22=Norm_Stats!$F$22),"",MAX(0,MIN(100,100*(MIN(MAX(City_Inputs!$AG158,Norm_Stats!$F$22),Norm_Stats!$G$22)-Norm_Stats!$F$22)/(Norm_Stats!$G$22-Norm_Stats!$F$22)))))="",0,0.5)+IF((IF(OR(City_Inputs!$AJ158="",Norm_Stats!$F$23="",Norm_Stats!$G$23="",Norm_Stats!$G$23=Norm_Stats!$F$23),"",MAX(0,MIN(100,100*(MIN(MAX(City_Inputs!$AJ158,Norm_Stats!$F$23),Norm_Stats!$G$23)-Norm_Stats!$F$23)/(Norm_Stats!$G$23-Norm_Stats!$F$23)))))="",0,0.3)+IF((IF(OR(City_Inputs!$AK158="",Norm_Stats!$F$24="",Norm_Stats!$G$24="",Norm_Stats!$G$24=Norm_Stats!$F$24),"",MAX(0,MIN(100,100*(MIN(MAX(City_Inputs!$AK158,Norm_Stats!$F$24),Norm_Stats!$G$24)-Norm_Stats!$F$24)/(Norm_Stats!$G$24-Norm_Stats!$F$24)))))="",0,0.2))=0,"",(IF((IF(OR(City_Inputs!$AG158="",Norm_Stats!$F$22="",Norm_Stats!$G$22="",Norm_Stats!$G$22=Norm_Stats!$F$22),"",MAX(0,MIN(100,100*(MIN(MAX(City_Inputs!$AG158,Norm_Stats!$F$22),Norm_Stats!$G$22)-Norm_Stats!$F$22)/(Norm_Stats!$G$22-Norm_Stats!$F$22)))))="",0,0.5)+IF((IF(OR(City_Inputs!$AJ158="",Norm_Stats!$F$23="",Norm_Stats!$G$23="",Norm_Stats!$G$23=Norm_Stats!$F$23),"",MAX(0,MIN(100,100*(MIN(MAX(City_Inputs!$AJ158,Norm_Stats!$F$23),Norm_Stats!$G$23)-Norm_Stats!$F$23)/(Norm_Stats!$G$23-Norm_Stats!$F$23)))))="",0,0.3)+IF((IF(OR(City_Inputs!$AK158="",Norm_Stats!$F$24="",Norm_Stats!$G$24="",Norm_Stats!$G$24=Norm_Stats!$F$24),"",MAX(0,MIN(100,100*(MIN(MAX(City_Inputs!$AK158,Norm_Stats!$F$24),Norm_Stats!$G$24)-Norm_Stats!$F$24)/(Norm_Stats!$G$24-Norm_Stats!$F$24)))))="",0,0.2)))</f>
        <v/>
      </c>
      <c r="BE158" s="11">
        <f>IF(OR(City_Inputs!$AH158="",Norm_Stats!$F$25="",Norm_Stats!$G$25="",Norm_Stats!$G$25=Norm_Stats!$F$25),"",MAX(0,MIN(100,100*(Norm_Stats!$G$25-MIN(MAX(City_Inputs!$AH158,Norm_Stats!$F$25),Norm_Stats!$G$25))/(Norm_Stats!$G$25-Norm_Stats!$F$25))))</f>
        <v/>
      </c>
      <c r="BF158" s="14">
        <f>IF(BE158="","",1)</f>
        <v/>
      </c>
      <c r="BG158" s="15">
        <f>IF((IF(AY158="",0,6)+IF(BA158="",0,5)+IF(BC158="",0,5)+IF(BE158="",0,4))=0,"",(IF(AY158="",0,AY158*6)+IF(BA158="",0,BA158*5)+IF(BC158="",0,BC158*5)+IF(BE158="",0,BE158*4))/(IF(AY158="",0,6)+IF(BA158="",0,5)+IF(BC158="",0,5)+IF(BE158="",0,4)))</f>
        <v/>
      </c>
      <c r="BH158" s="14">
        <f>IF((IF(AZ158="",0,6)+IF(BB158="",0,5)+IF(BD158="",0,5)+IF(BF158="",0,4))=0,"",(IF(AZ158="",0,AZ158*6)+IF(BB158="",0,BB158*5)+IF(BD158="",0,BD158*5)+IF(BF158="",0,BF158*4))/20)</f>
        <v/>
      </c>
      <c r="BI158" s="14">
        <f>IF(AND(R158="",AF158="",AN158="",AX158="",BH158=""),"",((R158*25)+(AF158*22)+(AN158*18)+(AX158*15)+(BH158*20))/100)</f>
        <v/>
      </c>
      <c r="BJ158" s="11">
        <f>IF(BI158="","",IF(BI158&gt;=0.75,"A",IF(BI158&gt;=0.5,"B",IF(BI158&gt;=0.35,"C","Watchlist"))))</f>
        <v/>
      </c>
      <c r="BK158" s="11">
        <f>IF(OR(BI158="",BI158&lt;0.5,R158="",R158&lt;0.35,AF158="",AF158&lt;0.35,AN158="",AN158&lt;0.35,AX158="",AX158&lt;0.35,BH158="",BH158&lt;0.35),"Watchlist","Ranked")</f>
        <v/>
      </c>
      <c r="BL158" s="15">
        <f>IF(AND(Q158="",AE158="",AM158="",AW158="",BG158=""),"",(IF(Q158="",0,Q158*25)+IF(AE158="",0,AE158*22)+IF(AM158="",0,AM158*18)+IF(AW158="",0,AW158*15)+IF(BG158="",0,BG158*20))/(IF(Q158="",0,25)+IF(AE158="",0,22)+IF(AM158="",0,18)+IF(AW158="",0,15)+IF(BG158="",0,20)))</f>
        <v/>
      </c>
      <c r="BM158" s="11">
        <f>IF(BK158="Ranked",1+COUNTIFS($BK$2:$BK$158,"Ranked",$BL$2:$BL$158,"&gt;"&amp;BL158),"")</f>
        <v/>
      </c>
      <c r="BN158" s="11">
        <f>City_Inputs!$AI158</f>
        <v/>
      </c>
    </row>
  </sheetData>
  <autoFilter ref="A1:BN15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6" t="inlineStr">
        <is>
          <t>Ranked Cities</t>
        </is>
      </c>
    </row>
    <row r="2">
      <c r="A2" s="6" t="inlineStr">
        <is>
          <t>leaderboard_scope</t>
        </is>
      </c>
      <c r="B2" s="6" t="inlineStr">
        <is>
          <t>target_rank</t>
        </is>
      </c>
      <c r="C2" s="6" t="inlineStr">
        <is>
          <t>rank</t>
        </is>
      </c>
      <c r="D2" s="6" t="inlineStr">
        <is>
          <t>display_name</t>
        </is>
      </c>
      <c r="E2" s="6" t="inlineStr">
        <is>
          <t>country</t>
        </is>
      </c>
      <c r="F2" s="6" t="inlineStr">
        <is>
          <t>cohort</t>
        </is>
      </c>
      <c r="G2" s="6" t="inlineStr">
        <is>
          <t>manifest_status</t>
        </is>
      </c>
      <c r="H2" s="6" t="inlineStr">
        <is>
          <t>coverage_grade</t>
        </is>
      </c>
      <c r="I2" s="6" t="inlineStr">
        <is>
          <t>slic_score</t>
        </is>
      </c>
      <c r="J2" s="6" t="inlineStr">
        <is>
          <t>pressure_pillar_score</t>
        </is>
      </c>
      <c r="K2" s="6" t="inlineStr">
        <is>
          <t>viability_pillar_score</t>
        </is>
      </c>
      <c r="L2" s="6" t="inlineStr">
        <is>
          <t>capability_pillar_score</t>
        </is>
      </c>
      <c r="M2" s="6" t="inlineStr">
        <is>
          <t>community_pillar_score</t>
        </is>
      </c>
      <c r="N2" s="6" t="inlineStr">
        <is>
          <t>creative_pillar_score</t>
        </is>
      </c>
    </row>
    <row r="3">
      <c r="A3" t="inlineStr">
        <is>
          <t>Ranked</t>
        </is>
      </c>
      <c r="B3" t="n">
        <v>1</v>
      </c>
      <c r="C3">
        <f>IFERROR(INDEX(Scores!$BM$2:$BM$158,MATCH($B3,Scores!$BM$2:$BM$158,0)),"")</f>
        <v/>
      </c>
      <c r="D3">
        <f>IFERROR(INDEX(Scores!$B$2:$B$158,MATCH($B3,Scores!$BM$2:$BM$158,0)),"")</f>
        <v/>
      </c>
      <c r="E3">
        <f>IFERROR(INDEX(Scores!$C$2:$C$158,MATCH($B3,Scores!$BM$2:$BM$158,0)),"")</f>
        <v/>
      </c>
      <c r="F3">
        <f>IFERROR(INDEX(Scores!$D$2:$D$158,MATCH($B3,Scores!$BM$2:$BM$158,0)),"")</f>
        <v/>
      </c>
      <c r="G3">
        <f>IFERROR(INDEX(Scores!$E$2:$E$158,MATCH($B3,Scores!$BM$2:$BM$158,0)),"")</f>
        <v/>
      </c>
      <c r="H3">
        <f>IFERROR(INDEX(Scores!$BJ$2:$BJ$158,MATCH($B3,Scores!$BM$2:$BM$158,0)),"")</f>
        <v/>
      </c>
      <c r="I3">
        <f>IFERROR(INDEX(Scores!$BL$2:$BL$158,MATCH($B3,Scores!$BM$2:$BM$158,0)),"")</f>
        <v/>
      </c>
      <c r="J3">
        <f>IFERROR(INDEX(Scores!$Q$2:$Q$158,MATCH($B3,Scores!$BM$2:$BM$158,0)),"")</f>
        <v/>
      </c>
      <c r="K3">
        <f>IFERROR(INDEX(Scores!$AE$2:$AE$158,MATCH($B3,Scores!$BM$2:$BM$158,0)),"")</f>
        <v/>
      </c>
      <c r="L3">
        <f>IFERROR(INDEX(Scores!$AM$2:$AM$158,MATCH($B3,Scores!$BM$2:$BM$158,0)),"")</f>
        <v/>
      </c>
      <c r="M3">
        <f>IFERROR(INDEX(Scores!$AW$2:$AW$158,MATCH($B3,Scores!$BM$2:$BM$158,0)),"")</f>
        <v/>
      </c>
      <c r="N3">
        <f>IFERROR(INDEX(Scores!$BG$2:$BG$158,MATCH($B3,Scores!$BM$2:$BM$158,0)),"")</f>
        <v/>
      </c>
    </row>
    <row r="4">
      <c r="A4" t="inlineStr">
        <is>
          <t>Ranked</t>
        </is>
      </c>
      <c r="B4" t="n">
        <v>2</v>
      </c>
      <c r="C4">
        <f>IFERROR(INDEX(Scores!$BM$2:$BM$158,MATCH($B4,Scores!$BM$2:$BM$158,0)),"")</f>
        <v/>
      </c>
      <c r="D4">
        <f>IFERROR(INDEX(Scores!$B$2:$B$158,MATCH($B4,Scores!$BM$2:$BM$158,0)),"")</f>
        <v/>
      </c>
      <c r="E4">
        <f>IFERROR(INDEX(Scores!$C$2:$C$158,MATCH($B4,Scores!$BM$2:$BM$158,0)),"")</f>
        <v/>
      </c>
      <c r="F4">
        <f>IFERROR(INDEX(Scores!$D$2:$D$158,MATCH($B4,Scores!$BM$2:$BM$158,0)),"")</f>
        <v/>
      </c>
      <c r="G4">
        <f>IFERROR(INDEX(Scores!$E$2:$E$158,MATCH($B4,Scores!$BM$2:$BM$158,0)),"")</f>
        <v/>
      </c>
      <c r="H4">
        <f>IFERROR(INDEX(Scores!$BJ$2:$BJ$158,MATCH($B4,Scores!$BM$2:$BM$158,0)),"")</f>
        <v/>
      </c>
      <c r="I4">
        <f>IFERROR(INDEX(Scores!$BL$2:$BL$158,MATCH($B4,Scores!$BM$2:$BM$158,0)),"")</f>
        <v/>
      </c>
      <c r="J4">
        <f>IFERROR(INDEX(Scores!$Q$2:$Q$158,MATCH($B4,Scores!$BM$2:$BM$158,0)),"")</f>
        <v/>
      </c>
      <c r="K4">
        <f>IFERROR(INDEX(Scores!$AE$2:$AE$158,MATCH($B4,Scores!$BM$2:$BM$158,0)),"")</f>
        <v/>
      </c>
      <c r="L4">
        <f>IFERROR(INDEX(Scores!$AM$2:$AM$158,MATCH($B4,Scores!$BM$2:$BM$158,0)),"")</f>
        <v/>
      </c>
      <c r="M4">
        <f>IFERROR(INDEX(Scores!$AW$2:$AW$158,MATCH($B4,Scores!$BM$2:$BM$158,0)),"")</f>
        <v/>
      </c>
      <c r="N4">
        <f>IFERROR(INDEX(Scores!$BG$2:$BG$158,MATCH($B4,Scores!$BM$2:$BM$158,0)),"")</f>
        <v/>
      </c>
    </row>
    <row r="5">
      <c r="A5" t="inlineStr">
        <is>
          <t>Ranked</t>
        </is>
      </c>
      <c r="B5" t="n">
        <v>3</v>
      </c>
      <c r="C5">
        <f>IFERROR(INDEX(Scores!$BM$2:$BM$158,MATCH($B5,Scores!$BM$2:$BM$158,0)),"")</f>
        <v/>
      </c>
      <c r="D5">
        <f>IFERROR(INDEX(Scores!$B$2:$B$158,MATCH($B5,Scores!$BM$2:$BM$158,0)),"")</f>
        <v/>
      </c>
      <c r="E5">
        <f>IFERROR(INDEX(Scores!$C$2:$C$158,MATCH($B5,Scores!$BM$2:$BM$158,0)),"")</f>
        <v/>
      </c>
      <c r="F5">
        <f>IFERROR(INDEX(Scores!$D$2:$D$158,MATCH($B5,Scores!$BM$2:$BM$158,0)),"")</f>
        <v/>
      </c>
      <c r="G5">
        <f>IFERROR(INDEX(Scores!$E$2:$E$158,MATCH($B5,Scores!$BM$2:$BM$158,0)),"")</f>
        <v/>
      </c>
      <c r="H5">
        <f>IFERROR(INDEX(Scores!$BJ$2:$BJ$158,MATCH($B5,Scores!$BM$2:$BM$158,0)),"")</f>
        <v/>
      </c>
      <c r="I5">
        <f>IFERROR(INDEX(Scores!$BL$2:$BL$158,MATCH($B5,Scores!$BM$2:$BM$158,0)),"")</f>
        <v/>
      </c>
      <c r="J5">
        <f>IFERROR(INDEX(Scores!$Q$2:$Q$158,MATCH($B5,Scores!$BM$2:$BM$158,0)),"")</f>
        <v/>
      </c>
      <c r="K5">
        <f>IFERROR(INDEX(Scores!$AE$2:$AE$158,MATCH($B5,Scores!$BM$2:$BM$158,0)),"")</f>
        <v/>
      </c>
      <c r="L5">
        <f>IFERROR(INDEX(Scores!$AM$2:$AM$158,MATCH($B5,Scores!$BM$2:$BM$158,0)),"")</f>
        <v/>
      </c>
      <c r="M5">
        <f>IFERROR(INDEX(Scores!$AW$2:$AW$158,MATCH($B5,Scores!$BM$2:$BM$158,0)),"")</f>
        <v/>
      </c>
      <c r="N5">
        <f>IFERROR(INDEX(Scores!$BG$2:$BG$158,MATCH($B5,Scores!$BM$2:$BM$158,0)),"")</f>
        <v/>
      </c>
    </row>
    <row r="6">
      <c r="A6" t="inlineStr">
        <is>
          <t>Ranked</t>
        </is>
      </c>
      <c r="B6" t="n">
        <v>4</v>
      </c>
      <c r="C6">
        <f>IFERROR(INDEX(Scores!$BM$2:$BM$158,MATCH($B6,Scores!$BM$2:$BM$158,0)),"")</f>
        <v/>
      </c>
      <c r="D6">
        <f>IFERROR(INDEX(Scores!$B$2:$B$158,MATCH($B6,Scores!$BM$2:$BM$158,0)),"")</f>
        <v/>
      </c>
      <c r="E6">
        <f>IFERROR(INDEX(Scores!$C$2:$C$158,MATCH($B6,Scores!$BM$2:$BM$158,0)),"")</f>
        <v/>
      </c>
      <c r="F6">
        <f>IFERROR(INDEX(Scores!$D$2:$D$158,MATCH($B6,Scores!$BM$2:$BM$158,0)),"")</f>
        <v/>
      </c>
      <c r="G6">
        <f>IFERROR(INDEX(Scores!$E$2:$E$158,MATCH($B6,Scores!$BM$2:$BM$158,0)),"")</f>
        <v/>
      </c>
      <c r="H6">
        <f>IFERROR(INDEX(Scores!$BJ$2:$BJ$158,MATCH($B6,Scores!$BM$2:$BM$158,0)),"")</f>
        <v/>
      </c>
      <c r="I6">
        <f>IFERROR(INDEX(Scores!$BL$2:$BL$158,MATCH($B6,Scores!$BM$2:$BM$158,0)),"")</f>
        <v/>
      </c>
      <c r="J6">
        <f>IFERROR(INDEX(Scores!$Q$2:$Q$158,MATCH($B6,Scores!$BM$2:$BM$158,0)),"")</f>
        <v/>
      </c>
      <c r="K6">
        <f>IFERROR(INDEX(Scores!$AE$2:$AE$158,MATCH($B6,Scores!$BM$2:$BM$158,0)),"")</f>
        <v/>
      </c>
      <c r="L6">
        <f>IFERROR(INDEX(Scores!$AM$2:$AM$158,MATCH($B6,Scores!$BM$2:$BM$158,0)),"")</f>
        <v/>
      </c>
      <c r="M6">
        <f>IFERROR(INDEX(Scores!$AW$2:$AW$158,MATCH($B6,Scores!$BM$2:$BM$158,0)),"")</f>
        <v/>
      </c>
      <c r="N6">
        <f>IFERROR(INDEX(Scores!$BG$2:$BG$158,MATCH($B6,Scores!$BM$2:$BM$158,0)),"")</f>
        <v/>
      </c>
    </row>
    <row r="7">
      <c r="A7" t="inlineStr">
        <is>
          <t>Ranked</t>
        </is>
      </c>
      <c r="B7" t="n">
        <v>5</v>
      </c>
      <c r="C7">
        <f>IFERROR(INDEX(Scores!$BM$2:$BM$158,MATCH($B7,Scores!$BM$2:$BM$158,0)),"")</f>
        <v/>
      </c>
      <c r="D7">
        <f>IFERROR(INDEX(Scores!$B$2:$B$158,MATCH($B7,Scores!$BM$2:$BM$158,0)),"")</f>
        <v/>
      </c>
      <c r="E7">
        <f>IFERROR(INDEX(Scores!$C$2:$C$158,MATCH($B7,Scores!$BM$2:$BM$158,0)),"")</f>
        <v/>
      </c>
      <c r="F7">
        <f>IFERROR(INDEX(Scores!$D$2:$D$158,MATCH($B7,Scores!$BM$2:$BM$158,0)),"")</f>
        <v/>
      </c>
      <c r="G7">
        <f>IFERROR(INDEX(Scores!$E$2:$E$158,MATCH($B7,Scores!$BM$2:$BM$158,0)),"")</f>
        <v/>
      </c>
      <c r="H7">
        <f>IFERROR(INDEX(Scores!$BJ$2:$BJ$158,MATCH($B7,Scores!$BM$2:$BM$158,0)),"")</f>
        <v/>
      </c>
      <c r="I7">
        <f>IFERROR(INDEX(Scores!$BL$2:$BL$158,MATCH($B7,Scores!$BM$2:$BM$158,0)),"")</f>
        <v/>
      </c>
      <c r="J7">
        <f>IFERROR(INDEX(Scores!$Q$2:$Q$158,MATCH($B7,Scores!$BM$2:$BM$158,0)),"")</f>
        <v/>
      </c>
      <c r="K7">
        <f>IFERROR(INDEX(Scores!$AE$2:$AE$158,MATCH($B7,Scores!$BM$2:$BM$158,0)),"")</f>
        <v/>
      </c>
      <c r="L7">
        <f>IFERROR(INDEX(Scores!$AM$2:$AM$158,MATCH($B7,Scores!$BM$2:$BM$158,0)),"")</f>
        <v/>
      </c>
      <c r="M7">
        <f>IFERROR(INDEX(Scores!$AW$2:$AW$158,MATCH($B7,Scores!$BM$2:$BM$158,0)),"")</f>
        <v/>
      </c>
      <c r="N7">
        <f>IFERROR(INDEX(Scores!$BG$2:$BG$158,MATCH($B7,Scores!$BM$2:$BM$158,0)),"")</f>
        <v/>
      </c>
    </row>
    <row r="8">
      <c r="A8" t="inlineStr">
        <is>
          <t>Ranked</t>
        </is>
      </c>
      <c r="B8" t="n">
        <v>6</v>
      </c>
      <c r="C8">
        <f>IFERROR(INDEX(Scores!$BM$2:$BM$158,MATCH($B8,Scores!$BM$2:$BM$158,0)),"")</f>
        <v/>
      </c>
      <c r="D8">
        <f>IFERROR(INDEX(Scores!$B$2:$B$158,MATCH($B8,Scores!$BM$2:$BM$158,0)),"")</f>
        <v/>
      </c>
      <c r="E8">
        <f>IFERROR(INDEX(Scores!$C$2:$C$158,MATCH($B8,Scores!$BM$2:$BM$158,0)),"")</f>
        <v/>
      </c>
      <c r="F8">
        <f>IFERROR(INDEX(Scores!$D$2:$D$158,MATCH($B8,Scores!$BM$2:$BM$158,0)),"")</f>
        <v/>
      </c>
      <c r="G8">
        <f>IFERROR(INDEX(Scores!$E$2:$E$158,MATCH($B8,Scores!$BM$2:$BM$158,0)),"")</f>
        <v/>
      </c>
      <c r="H8">
        <f>IFERROR(INDEX(Scores!$BJ$2:$BJ$158,MATCH($B8,Scores!$BM$2:$BM$158,0)),"")</f>
        <v/>
      </c>
      <c r="I8">
        <f>IFERROR(INDEX(Scores!$BL$2:$BL$158,MATCH($B8,Scores!$BM$2:$BM$158,0)),"")</f>
        <v/>
      </c>
      <c r="J8">
        <f>IFERROR(INDEX(Scores!$Q$2:$Q$158,MATCH($B8,Scores!$BM$2:$BM$158,0)),"")</f>
        <v/>
      </c>
      <c r="K8">
        <f>IFERROR(INDEX(Scores!$AE$2:$AE$158,MATCH($B8,Scores!$BM$2:$BM$158,0)),"")</f>
        <v/>
      </c>
      <c r="L8">
        <f>IFERROR(INDEX(Scores!$AM$2:$AM$158,MATCH($B8,Scores!$BM$2:$BM$158,0)),"")</f>
        <v/>
      </c>
      <c r="M8">
        <f>IFERROR(INDEX(Scores!$AW$2:$AW$158,MATCH($B8,Scores!$BM$2:$BM$158,0)),"")</f>
        <v/>
      </c>
      <c r="N8">
        <f>IFERROR(INDEX(Scores!$BG$2:$BG$158,MATCH($B8,Scores!$BM$2:$BM$158,0)),"")</f>
        <v/>
      </c>
    </row>
    <row r="9">
      <c r="A9" t="inlineStr">
        <is>
          <t>Ranked</t>
        </is>
      </c>
      <c r="B9" t="n">
        <v>7</v>
      </c>
      <c r="C9">
        <f>IFERROR(INDEX(Scores!$BM$2:$BM$158,MATCH($B9,Scores!$BM$2:$BM$158,0)),"")</f>
        <v/>
      </c>
      <c r="D9">
        <f>IFERROR(INDEX(Scores!$B$2:$B$158,MATCH($B9,Scores!$BM$2:$BM$158,0)),"")</f>
        <v/>
      </c>
      <c r="E9">
        <f>IFERROR(INDEX(Scores!$C$2:$C$158,MATCH($B9,Scores!$BM$2:$BM$158,0)),"")</f>
        <v/>
      </c>
      <c r="F9">
        <f>IFERROR(INDEX(Scores!$D$2:$D$158,MATCH($B9,Scores!$BM$2:$BM$158,0)),"")</f>
        <v/>
      </c>
      <c r="G9">
        <f>IFERROR(INDEX(Scores!$E$2:$E$158,MATCH($B9,Scores!$BM$2:$BM$158,0)),"")</f>
        <v/>
      </c>
      <c r="H9">
        <f>IFERROR(INDEX(Scores!$BJ$2:$BJ$158,MATCH($B9,Scores!$BM$2:$BM$158,0)),"")</f>
        <v/>
      </c>
      <c r="I9">
        <f>IFERROR(INDEX(Scores!$BL$2:$BL$158,MATCH($B9,Scores!$BM$2:$BM$158,0)),"")</f>
        <v/>
      </c>
      <c r="J9">
        <f>IFERROR(INDEX(Scores!$Q$2:$Q$158,MATCH($B9,Scores!$BM$2:$BM$158,0)),"")</f>
        <v/>
      </c>
      <c r="K9">
        <f>IFERROR(INDEX(Scores!$AE$2:$AE$158,MATCH($B9,Scores!$BM$2:$BM$158,0)),"")</f>
        <v/>
      </c>
      <c r="L9">
        <f>IFERROR(INDEX(Scores!$AM$2:$AM$158,MATCH($B9,Scores!$BM$2:$BM$158,0)),"")</f>
        <v/>
      </c>
      <c r="M9">
        <f>IFERROR(INDEX(Scores!$AW$2:$AW$158,MATCH($B9,Scores!$BM$2:$BM$158,0)),"")</f>
        <v/>
      </c>
      <c r="N9">
        <f>IFERROR(INDEX(Scores!$BG$2:$BG$158,MATCH($B9,Scores!$BM$2:$BM$158,0)),"")</f>
        <v/>
      </c>
    </row>
    <row r="10">
      <c r="A10" t="inlineStr">
        <is>
          <t>Ranked</t>
        </is>
      </c>
      <c r="B10" t="n">
        <v>8</v>
      </c>
      <c r="C10">
        <f>IFERROR(INDEX(Scores!$BM$2:$BM$158,MATCH($B10,Scores!$BM$2:$BM$158,0)),"")</f>
        <v/>
      </c>
      <c r="D10">
        <f>IFERROR(INDEX(Scores!$B$2:$B$158,MATCH($B10,Scores!$BM$2:$BM$158,0)),"")</f>
        <v/>
      </c>
      <c r="E10">
        <f>IFERROR(INDEX(Scores!$C$2:$C$158,MATCH($B10,Scores!$BM$2:$BM$158,0)),"")</f>
        <v/>
      </c>
      <c r="F10">
        <f>IFERROR(INDEX(Scores!$D$2:$D$158,MATCH($B10,Scores!$BM$2:$BM$158,0)),"")</f>
        <v/>
      </c>
      <c r="G10">
        <f>IFERROR(INDEX(Scores!$E$2:$E$158,MATCH($B10,Scores!$BM$2:$BM$158,0)),"")</f>
        <v/>
      </c>
      <c r="H10">
        <f>IFERROR(INDEX(Scores!$BJ$2:$BJ$158,MATCH($B10,Scores!$BM$2:$BM$158,0)),"")</f>
        <v/>
      </c>
      <c r="I10">
        <f>IFERROR(INDEX(Scores!$BL$2:$BL$158,MATCH($B10,Scores!$BM$2:$BM$158,0)),"")</f>
        <v/>
      </c>
      <c r="J10">
        <f>IFERROR(INDEX(Scores!$Q$2:$Q$158,MATCH($B10,Scores!$BM$2:$BM$158,0)),"")</f>
        <v/>
      </c>
      <c r="K10">
        <f>IFERROR(INDEX(Scores!$AE$2:$AE$158,MATCH($B10,Scores!$BM$2:$BM$158,0)),"")</f>
        <v/>
      </c>
      <c r="L10">
        <f>IFERROR(INDEX(Scores!$AM$2:$AM$158,MATCH($B10,Scores!$BM$2:$BM$158,0)),"")</f>
        <v/>
      </c>
      <c r="M10">
        <f>IFERROR(INDEX(Scores!$AW$2:$AW$158,MATCH($B10,Scores!$BM$2:$BM$158,0)),"")</f>
        <v/>
      </c>
      <c r="N10">
        <f>IFERROR(INDEX(Scores!$BG$2:$BG$158,MATCH($B10,Scores!$BM$2:$BM$158,0)),"")</f>
        <v/>
      </c>
    </row>
    <row r="11">
      <c r="A11" t="inlineStr">
        <is>
          <t>Ranked</t>
        </is>
      </c>
      <c r="B11" t="n">
        <v>9</v>
      </c>
      <c r="C11">
        <f>IFERROR(INDEX(Scores!$BM$2:$BM$158,MATCH($B11,Scores!$BM$2:$BM$158,0)),"")</f>
        <v/>
      </c>
      <c r="D11">
        <f>IFERROR(INDEX(Scores!$B$2:$B$158,MATCH($B11,Scores!$BM$2:$BM$158,0)),"")</f>
        <v/>
      </c>
      <c r="E11">
        <f>IFERROR(INDEX(Scores!$C$2:$C$158,MATCH($B11,Scores!$BM$2:$BM$158,0)),"")</f>
        <v/>
      </c>
      <c r="F11">
        <f>IFERROR(INDEX(Scores!$D$2:$D$158,MATCH($B11,Scores!$BM$2:$BM$158,0)),"")</f>
        <v/>
      </c>
      <c r="G11">
        <f>IFERROR(INDEX(Scores!$E$2:$E$158,MATCH($B11,Scores!$BM$2:$BM$158,0)),"")</f>
        <v/>
      </c>
      <c r="H11">
        <f>IFERROR(INDEX(Scores!$BJ$2:$BJ$158,MATCH($B11,Scores!$BM$2:$BM$158,0)),"")</f>
        <v/>
      </c>
      <c r="I11">
        <f>IFERROR(INDEX(Scores!$BL$2:$BL$158,MATCH($B11,Scores!$BM$2:$BM$158,0)),"")</f>
        <v/>
      </c>
      <c r="J11">
        <f>IFERROR(INDEX(Scores!$Q$2:$Q$158,MATCH($B11,Scores!$BM$2:$BM$158,0)),"")</f>
        <v/>
      </c>
      <c r="K11">
        <f>IFERROR(INDEX(Scores!$AE$2:$AE$158,MATCH($B11,Scores!$BM$2:$BM$158,0)),"")</f>
        <v/>
      </c>
      <c r="L11">
        <f>IFERROR(INDEX(Scores!$AM$2:$AM$158,MATCH($B11,Scores!$BM$2:$BM$158,0)),"")</f>
        <v/>
      </c>
      <c r="M11">
        <f>IFERROR(INDEX(Scores!$AW$2:$AW$158,MATCH($B11,Scores!$BM$2:$BM$158,0)),"")</f>
        <v/>
      </c>
      <c r="N11">
        <f>IFERROR(INDEX(Scores!$BG$2:$BG$158,MATCH($B11,Scores!$BM$2:$BM$158,0)),"")</f>
        <v/>
      </c>
    </row>
    <row r="12">
      <c r="A12" t="inlineStr">
        <is>
          <t>Ranked</t>
        </is>
      </c>
      <c r="B12" t="n">
        <v>10</v>
      </c>
      <c r="C12">
        <f>IFERROR(INDEX(Scores!$BM$2:$BM$158,MATCH($B12,Scores!$BM$2:$BM$158,0)),"")</f>
        <v/>
      </c>
      <c r="D12">
        <f>IFERROR(INDEX(Scores!$B$2:$B$158,MATCH($B12,Scores!$BM$2:$BM$158,0)),"")</f>
        <v/>
      </c>
      <c r="E12">
        <f>IFERROR(INDEX(Scores!$C$2:$C$158,MATCH($B12,Scores!$BM$2:$BM$158,0)),"")</f>
        <v/>
      </c>
      <c r="F12">
        <f>IFERROR(INDEX(Scores!$D$2:$D$158,MATCH($B12,Scores!$BM$2:$BM$158,0)),"")</f>
        <v/>
      </c>
      <c r="G12">
        <f>IFERROR(INDEX(Scores!$E$2:$E$158,MATCH($B12,Scores!$BM$2:$BM$158,0)),"")</f>
        <v/>
      </c>
      <c r="H12">
        <f>IFERROR(INDEX(Scores!$BJ$2:$BJ$158,MATCH($B12,Scores!$BM$2:$BM$158,0)),"")</f>
        <v/>
      </c>
      <c r="I12">
        <f>IFERROR(INDEX(Scores!$BL$2:$BL$158,MATCH($B12,Scores!$BM$2:$BM$158,0)),"")</f>
        <v/>
      </c>
      <c r="J12">
        <f>IFERROR(INDEX(Scores!$Q$2:$Q$158,MATCH($B12,Scores!$BM$2:$BM$158,0)),"")</f>
        <v/>
      </c>
      <c r="K12">
        <f>IFERROR(INDEX(Scores!$AE$2:$AE$158,MATCH($B12,Scores!$BM$2:$BM$158,0)),"")</f>
        <v/>
      </c>
      <c r="L12">
        <f>IFERROR(INDEX(Scores!$AM$2:$AM$158,MATCH($B12,Scores!$BM$2:$BM$158,0)),"")</f>
        <v/>
      </c>
      <c r="M12">
        <f>IFERROR(INDEX(Scores!$AW$2:$AW$158,MATCH($B12,Scores!$BM$2:$BM$158,0)),"")</f>
        <v/>
      </c>
      <c r="N12">
        <f>IFERROR(INDEX(Scores!$BG$2:$BG$158,MATCH($B12,Scores!$BM$2:$BM$158,0)),"")</f>
        <v/>
      </c>
    </row>
    <row r="13">
      <c r="A13" t="inlineStr">
        <is>
          <t>Ranked</t>
        </is>
      </c>
      <c r="B13" t="n">
        <v>11</v>
      </c>
      <c r="C13">
        <f>IFERROR(INDEX(Scores!$BM$2:$BM$158,MATCH($B13,Scores!$BM$2:$BM$158,0)),"")</f>
        <v/>
      </c>
      <c r="D13">
        <f>IFERROR(INDEX(Scores!$B$2:$B$158,MATCH($B13,Scores!$BM$2:$BM$158,0)),"")</f>
        <v/>
      </c>
      <c r="E13">
        <f>IFERROR(INDEX(Scores!$C$2:$C$158,MATCH($B13,Scores!$BM$2:$BM$158,0)),"")</f>
        <v/>
      </c>
      <c r="F13">
        <f>IFERROR(INDEX(Scores!$D$2:$D$158,MATCH($B13,Scores!$BM$2:$BM$158,0)),"")</f>
        <v/>
      </c>
      <c r="G13">
        <f>IFERROR(INDEX(Scores!$E$2:$E$158,MATCH($B13,Scores!$BM$2:$BM$158,0)),"")</f>
        <v/>
      </c>
      <c r="H13">
        <f>IFERROR(INDEX(Scores!$BJ$2:$BJ$158,MATCH($B13,Scores!$BM$2:$BM$158,0)),"")</f>
        <v/>
      </c>
      <c r="I13">
        <f>IFERROR(INDEX(Scores!$BL$2:$BL$158,MATCH($B13,Scores!$BM$2:$BM$158,0)),"")</f>
        <v/>
      </c>
      <c r="J13">
        <f>IFERROR(INDEX(Scores!$Q$2:$Q$158,MATCH($B13,Scores!$BM$2:$BM$158,0)),"")</f>
        <v/>
      </c>
      <c r="K13">
        <f>IFERROR(INDEX(Scores!$AE$2:$AE$158,MATCH($B13,Scores!$BM$2:$BM$158,0)),"")</f>
        <v/>
      </c>
      <c r="L13">
        <f>IFERROR(INDEX(Scores!$AM$2:$AM$158,MATCH($B13,Scores!$BM$2:$BM$158,0)),"")</f>
        <v/>
      </c>
      <c r="M13">
        <f>IFERROR(INDEX(Scores!$AW$2:$AW$158,MATCH($B13,Scores!$BM$2:$BM$158,0)),"")</f>
        <v/>
      </c>
      <c r="N13">
        <f>IFERROR(INDEX(Scores!$BG$2:$BG$158,MATCH($B13,Scores!$BM$2:$BM$158,0)),"")</f>
        <v/>
      </c>
    </row>
    <row r="14">
      <c r="A14" t="inlineStr">
        <is>
          <t>Ranked</t>
        </is>
      </c>
      <c r="B14" t="n">
        <v>12</v>
      </c>
      <c r="C14">
        <f>IFERROR(INDEX(Scores!$BM$2:$BM$158,MATCH($B14,Scores!$BM$2:$BM$158,0)),"")</f>
        <v/>
      </c>
      <c r="D14">
        <f>IFERROR(INDEX(Scores!$B$2:$B$158,MATCH($B14,Scores!$BM$2:$BM$158,0)),"")</f>
        <v/>
      </c>
      <c r="E14">
        <f>IFERROR(INDEX(Scores!$C$2:$C$158,MATCH($B14,Scores!$BM$2:$BM$158,0)),"")</f>
        <v/>
      </c>
      <c r="F14">
        <f>IFERROR(INDEX(Scores!$D$2:$D$158,MATCH($B14,Scores!$BM$2:$BM$158,0)),"")</f>
        <v/>
      </c>
      <c r="G14">
        <f>IFERROR(INDEX(Scores!$E$2:$E$158,MATCH($B14,Scores!$BM$2:$BM$158,0)),"")</f>
        <v/>
      </c>
      <c r="H14">
        <f>IFERROR(INDEX(Scores!$BJ$2:$BJ$158,MATCH($B14,Scores!$BM$2:$BM$158,0)),"")</f>
        <v/>
      </c>
      <c r="I14">
        <f>IFERROR(INDEX(Scores!$BL$2:$BL$158,MATCH($B14,Scores!$BM$2:$BM$158,0)),"")</f>
        <v/>
      </c>
      <c r="J14">
        <f>IFERROR(INDEX(Scores!$Q$2:$Q$158,MATCH($B14,Scores!$BM$2:$BM$158,0)),"")</f>
        <v/>
      </c>
      <c r="K14">
        <f>IFERROR(INDEX(Scores!$AE$2:$AE$158,MATCH($B14,Scores!$BM$2:$BM$158,0)),"")</f>
        <v/>
      </c>
      <c r="L14">
        <f>IFERROR(INDEX(Scores!$AM$2:$AM$158,MATCH($B14,Scores!$BM$2:$BM$158,0)),"")</f>
        <v/>
      </c>
      <c r="M14">
        <f>IFERROR(INDEX(Scores!$AW$2:$AW$158,MATCH($B14,Scores!$BM$2:$BM$158,0)),"")</f>
        <v/>
      </c>
      <c r="N14">
        <f>IFERROR(INDEX(Scores!$BG$2:$BG$158,MATCH($B14,Scores!$BM$2:$BM$158,0)),"")</f>
        <v/>
      </c>
    </row>
    <row r="15">
      <c r="A15" t="inlineStr">
        <is>
          <t>Ranked</t>
        </is>
      </c>
      <c r="B15" t="n">
        <v>13</v>
      </c>
      <c r="C15">
        <f>IFERROR(INDEX(Scores!$BM$2:$BM$158,MATCH($B15,Scores!$BM$2:$BM$158,0)),"")</f>
        <v/>
      </c>
      <c r="D15">
        <f>IFERROR(INDEX(Scores!$B$2:$B$158,MATCH($B15,Scores!$BM$2:$BM$158,0)),"")</f>
        <v/>
      </c>
      <c r="E15">
        <f>IFERROR(INDEX(Scores!$C$2:$C$158,MATCH($B15,Scores!$BM$2:$BM$158,0)),"")</f>
        <v/>
      </c>
      <c r="F15">
        <f>IFERROR(INDEX(Scores!$D$2:$D$158,MATCH($B15,Scores!$BM$2:$BM$158,0)),"")</f>
        <v/>
      </c>
      <c r="G15">
        <f>IFERROR(INDEX(Scores!$E$2:$E$158,MATCH($B15,Scores!$BM$2:$BM$158,0)),"")</f>
        <v/>
      </c>
      <c r="H15">
        <f>IFERROR(INDEX(Scores!$BJ$2:$BJ$158,MATCH($B15,Scores!$BM$2:$BM$158,0)),"")</f>
        <v/>
      </c>
      <c r="I15">
        <f>IFERROR(INDEX(Scores!$BL$2:$BL$158,MATCH($B15,Scores!$BM$2:$BM$158,0)),"")</f>
        <v/>
      </c>
      <c r="J15">
        <f>IFERROR(INDEX(Scores!$Q$2:$Q$158,MATCH($B15,Scores!$BM$2:$BM$158,0)),"")</f>
        <v/>
      </c>
      <c r="K15">
        <f>IFERROR(INDEX(Scores!$AE$2:$AE$158,MATCH($B15,Scores!$BM$2:$BM$158,0)),"")</f>
        <v/>
      </c>
      <c r="L15">
        <f>IFERROR(INDEX(Scores!$AM$2:$AM$158,MATCH($B15,Scores!$BM$2:$BM$158,0)),"")</f>
        <v/>
      </c>
      <c r="M15">
        <f>IFERROR(INDEX(Scores!$AW$2:$AW$158,MATCH($B15,Scores!$BM$2:$BM$158,0)),"")</f>
        <v/>
      </c>
      <c r="N15">
        <f>IFERROR(INDEX(Scores!$BG$2:$BG$158,MATCH($B15,Scores!$BM$2:$BM$158,0)),"")</f>
        <v/>
      </c>
    </row>
    <row r="16">
      <c r="A16" t="inlineStr">
        <is>
          <t>Ranked</t>
        </is>
      </c>
      <c r="B16" t="n">
        <v>14</v>
      </c>
      <c r="C16">
        <f>IFERROR(INDEX(Scores!$BM$2:$BM$158,MATCH($B16,Scores!$BM$2:$BM$158,0)),"")</f>
        <v/>
      </c>
      <c r="D16">
        <f>IFERROR(INDEX(Scores!$B$2:$B$158,MATCH($B16,Scores!$BM$2:$BM$158,0)),"")</f>
        <v/>
      </c>
      <c r="E16">
        <f>IFERROR(INDEX(Scores!$C$2:$C$158,MATCH($B16,Scores!$BM$2:$BM$158,0)),"")</f>
        <v/>
      </c>
      <c r="F16">
        <f>IFERROR(INDEX(Scores!$D$2:$D$158,MATCH($B16,Scores!$BM$2:$BM$158,0)),"")</f>
        <v/>
      </c>
      <c r="G16">
        <f>IFERROR(INDEX(Scores!$E$2:$E$158,MATCH($B16,Scores!$BM$2:$BM$158,0)),"")</f>
        <v/>
      </c>
      <c r="H16">
        <f>IFERROR(INDEX(Scores!$BJ$2:$BJ$158,MATCH($B16,Scores!$BM$2:$BM$158,0)),"")</f>
        <v/>
      </c>
      <c r="I16">
        <f>IFERROR(INDEX(Scores!$BL$2:$BL$158,MATCH($B16,Scores!$BM$2:$BM$158,0)),"")</f>
        <v/>
      </c>
      <c r="J16">
        <f>IFERROR(INDEX(Scores!$Q$2:$Q$158,MATCH($B16,Scores!$BM$2:$BM$158,0)),"")</f>
        <v/>
      </c>
      <c r="K16">
        <f>IFERROR(INDEX(Scores!$AE$2:$AE$158,MATCH($B16,Scores!$BM$2:$BM$158,0)),"")</f>
        <v/>
      </c>
      <c r="L16">
        <f>IFERROR(INDEX(Scores!$AM$2:$AM$158,MATCH($B16,Scores!$BM$2:$BM$158,0)),"")</f>
        <v/>
      </c>
      <c r="M16">
        <f>IFERROR(INDEX(Scores!$AW$2:$AW$158,MATCH($B16,Scores!$BM$2:$BM$158,0)),"")</f>
        <v/>
      </c>
      <c r="N16">
        <f>IFERROR(INDEX(Scores!$BG$2:$BG$158,MATCH($B16,Scores!$BM$2:$BM$158,0)),"")</f>
        <v/>
      </c>
    </row>
    <row r="17">
      <c r="A17" t="inlineStr">
        <is>
          <t>Ranked</t>
        </is>
      </c>
      <c r="B17" t="n">
        <v>15</v>
      </c>
      <c r="C17">
        <f>IFERROR(INDEX(Scores!$BM$2:$BM$158,MATCH($B17,Scores!$BM$2:$BM$158,0)),"")</f>
        <v/>
      </c>
      <c r="D17">
        <f>IFERROR(INDEX(Scores!$B$2:$B$158,MATCH($B17,Scores!$BM$2:$BM$158,0)),"")</f>
        <v/>
      </c>
      <c r="E17">
        <f>IFERROR(INDEX(Scores!$C$2:$C$158,MATCH($B17,Scores!$BM$2:$BM$158,0)),"")</f>
        <v/>
      </c>
      <c r="F17">
        <f>IFERROR(INDEX(Scores!$D$2:$D$158,MATCH($B17,Scores!$BM$2:$BM$158,0)),"")</f>
        <v/>
      </c>
      <c r="G17">
        <f>IFERROR(INDEX(Scores!$E$2:$E$158,MATCH($B17,Scores!$BM$2:$BM$158,0)),"")</f>
        <v/>
      </c>
      <c r="H17">
        <f>IFERROR(INDEX(Scores!$BJ$2:$BJ$158,MATCH($B17,Scores!$BM$2:$BM$158,0)),"")</f>
        <v/>
      </c>
      <c r="I17">
        <f>IFERROR(INDEX(Scores!$BL$2:$BL$158,MATCH($B17,Scores!$BM$2:$BM$158,0)),"")</f>
        <v/>
      </c>
      <c r="J17">
        <f>IFERROR(INDEX(Scores!$Q$2:$Q$158,MATCH($B17,Scores!$BM$2:$BM$158,0)),"")</f>
        <v/>
      </c>
      <c r="K17">
        <f>IFERROR(INDEX(Scores!$AE$2:$AE$158,MATCH($B17,Scores!$BM$2:$BM$158,0)),"")</f>
        <v/>
      </c>
      <c r="L17">
        <f>IFERROR(INDEX(Scores!$AM$2:$AM$158,MATCH($B17,Scores!$BM$2:$BM$158,0)),"")</f>
        <v/>
      </c>
      <c r="M17">
        <f>IFERROR(INDEX(Scores!$AW$2:$AW$158,MATCH($B17,Scores!$BM$2:$BM$158,0)),"")</f>
        <v/>
      </c>
      <c r="N17">
        <f>IFERROR(INDEX(Scores!$BG$2:$BG$158,MATCH($B17,Scores!$BM$2:$BM$158,0)),"")</f>
        <v/>
      </c>
    </row>
    <row r="18">
      <c r="A18" t="inlineStr">
        <is>
          <t>Ranked</t>
        </is>
      </c>
      <c r="B18" t="n">
        <v>16</v>
      </c>
      <c r="C18">
        <f>IFERROR(INDEX(Scores!$BM$2:$BM$158,MATCH($B18,Scores!$BM$2:$BM$158,0)),"")</f>
        <v/>
      </c>
      <c r="D18">
        <f>IFERROR(INDEX(Scores!$B$2:$B$158,MATCH($B18,Scores!$BM$2:$BM$158,0)),"")</f>
        <v/>
      </c>
      <c r="E18">
        <f>IFERROR(INDEX(Scores!$C$2:$C$158,MATCH($B18,Scores!$BM$2:$BM$158,0)),"")</f>
        <v/>
      </c>
      <c r="F18">
        <f>IFERROR(INDEX(Scores!$D$2:$D$158,MATCH($B18,Scores!$BM$2:$BM$158,0)),"")</f>
        <v/>
      </c>
      <c r="G18">
        <f>IFERROR(INDEX(Scores!$E$2:$E$158,MATCH($B18,Scores!$BM$2:$BM$158,0)),"")</f>
        <v/>
      </c>
      <c r="H18">
        <f>IFERROR(INDEX(Scores!$BJ$2:$BJ$158,MATCH($B18,Scores!$BM$2:$BM$158,0)),"")</f>
        <v/>
      </c>
      <c r="I18">
        <f>IFERROR(INDEX(Scores!$BL$2:$BL$158,MATCH($B18,Scores!$BM$2:$BM$158,0)),"")</f>
        <v/>
      </c>
      <c r="J18">
        <f>IFERROR(INDEX(Scores!$Q$2:$Q$158,MATCH($B18,Scores!$BM$2:$BM$158,0)),"")</f>
        <v/>
      </c>
      <c r="K18">
        <f>IFERROR(INDEX(Scores!$AE$2:$AE$158,MATCH($B18,Scores!$BM$2:$BM$158,0)),"")</f>
        <v/>
      </c>
      <c r="L18">
        <f>IFERROR(INDEX(Scores!$AM$2:$AM$158,MATCH($B18,Scores!$BM$2:$BM$158,0)),"")</f>
        <v/>
      </c>
      <c r="M18">
        <f>IFERROR(INDEX(Scores!$AW$2:$AW$158,MATCH($B18,Scores!$BM$2:$BM$158,0)),"")</f>
        <v/>
      </c>
      <c r="N18">
        <f>IFERROR(INDEX(Scores!$BG$2:$BG$158,MATCH($B18,Scores!$BM$2:$BM$158,0)),"")</f>
        <v/>
      </c>
    </row>
    <row r="19">
      <c r="A19" t="inlineStr">
        <is>
          <t>Ranked</t>
        </is>
      </c>
      <c r="B19" t="n">
        <v>17</v>
      </c>
      <c r="C19">
        <f>IFERROR(INDEX(Scores!$BM$2:$BM$158,MATCH($B19,Scores!$BM$2:$BM$158,0)),"")</f>
        <v/>
      </c>
      <c r="D19">
        <f>IFERROR(INDEX(Scores!$B$2:$B$158,MATCH($B19,Scores!$BM$2:$BM$158,0)),"")</f>
        <v/>
      </c>
      <c r="E19">
        <f>IFERROR(INDEX(Scores!$C$2:$C$158,MATCH($B19,Scores!$BM$2:$BM$158,0)),"")</f>
        <v/>
      </c>
      <c r="F19">
        <f>IFERROR(INDEX(Scores!$D$2:$D$158,MATCH($B19,Scores!$BM$2:$BM$158,0)),"")</f>
        <v/>
      </c>
      <c r="G19">
        <f>IFERROR(INDEX(Scores!$E$2:$E$158,MATCH($B19,Scores!$BM$2:$BM$158,0)),"")</f>
        <v/>
      </c>
      <c r="H19">
        <f>IFERROR(INDEX(Scores!$BJ$2:$BJ$158,MATCH($B19,Scores!$BM$2:$BM$158,0)),"")</f>
        <v/>
      </c>
      <c r="I19">
        <f>IFERROR(INDEX(Scores!$BL$2:$BL$158,MATCH($B19,Scores!$BM$2:$BM$158,0)),"")</f>
        <v/>
      </c>
      <c r="J19">
        <f>IFERROR(INDEX(Scores!$Q$2:$Q$158,MATCH($B19,Scores!$BM$2:$BM$158,0)),"")</f>
        <v/>
      </c>
      <c r="K19">
        <f>IFERROR(INDEX(Scores!$AE$2:$AE$158,MATCH($B19,Scores!$BM$2:$BM$158,0)),"")</f>
        <v/>
      </c>
      <c r="L19">
        <f>IFERROR(INDEX(Scores!$AM$2:$AM$158,MATCH($B19,Scores!$BM$2:$BM$158,0)),"")</f>
        <v/>
      </c>
      <c r="M19">
        <f>IFERROR(INDEX(Scores!$AW$2:$AW$158,MATCH($B19,Scores!$BM$2:$BM$158,0)),"")</f>
        <v/>
      </c>
      <c r="N19">
        <f>IFERROR(INDEX(Scores!$BG$2:$BG$158,MATCH($B19,Scores!$BM$2:$BM$158,0)),"")</f>
        <v/>
      </c>
    </row>
    <row r="20">
      <c r="A20" t="inlineStr">
        <is>
          <t>Ranked</t>
        </is>
      </c>
      <c r="B20" t="n">
        <v>18</v>
      </c>
      <c r="C20">
        <f>IFERROR(INDEX(Scores!$BM$2:$BM$158,MATCH($B20,Scores!$BM$2:$BM$158,0)),"")</f>
        <v/>
      </c>
      <c r="D20">
        <f>IFERROR(INDEX(Scores!$B$2:$B$158,MATCH($B20,Scores!$BM$2:$BM$158,0)),"")</f>
        <v/>
      </c>
      <c r="E20">
        <f>IFERROR(INDEX(Scores!$C$2:$C$158,MATCH($B20,Scores!$BM$2:$BM$158,0)),"")</f>
        <v/>
      </c>
      <c r="F20">
        <f>IFERROR(INDEX(Scores!$D$2:$D$158,MATCH($B20,Scores!$BM$2:$BM$158,0)),"")</f>
        <v/>
      </c>
      <c r="G20">
        <f>IFERROR(INDEX(Scores!$E$2:$E$158,MATCH($B20,Scores!$BM$2:$BM$158,0)),"")</f>
        <v/>
      </c>
      <c r="H20">
        <f>IFERROR(INDEX(Scores!$BJ$2:$BJ$158,MATCH($B20,Scores!$BM$2:$BM$158,0)),"")</f>
        <v/>
      </c>
      <c r="I20">
        <f>IFERROR(INDEX(Scores!$BL$2:$BL$158,MATCH($B20,Scores!$BM$2:$BM$158,0)),"")</f>
        <v/>
      </c>
      <c r="J20">
        <f>IFERROR(INDEX(Scores!$Q$2:$Q$158,MATCH($B20,Scores!$BM$2:$BM$158,0)),"")</f>
        <v/>
      </c>
      <c r="K20">
        <f>IFERROR(INDEX(Scores!$AE$2:$AE$158,MATCH($B20,Scores!$BM$2:$BM$158,0)),"")</f>
        <v/>
      </c>
      <c r="L20">
        <f>IFERROR(INDEX(Scores!$AM$2:$AM$158,MATCH($B20,Scores!$BM$2:$BM$158,0)),"")</f>
        <v/>
      </c>
      <c r="M20">
        <f>IFERROR(INDEX(Scores!$AW$2:$AW$158,MATCH($B20,Scores!$BM$2:$BM$158,0)),"")</f>
        <v/>
      </c>
      <c r="N20">
        <f>IFERROR(INDEX(Scores!$BG$2:$BG$158,MATCH($B20,Scores!$BM$2:$BM$158,0)),"")</f>
        <v/>
      </c>
    </row>
    <row r="21">
      <c r="A21" t="inlineStr">
        <is>
          <t>Ranked</t>
        </is>
      </c>
      <c r="B21" t="n">
        <v>19</v>
      </c>
      <c r="C21">
        <f>IFERROR(INDEX(Scores!$BM$2:$BM$158,MATCH($B21,Scores!$BM$2:$BM$158,0)),"")</f>
        <v/>
      </c>
      <c r="D21">
        <f>IFERROR(INDEX(Scores!$B$2:$B$158,MATCH($B21,Scores!$BM$2:$BM$158,0)),"")</f>
        <v/>
      </c>
      <c r="E21">
        <f>IFERROR(INDEX(Scores!$C$2:$C$158,MATCH($B21,Scores!$BM$2:$BM$158,0)),"")</f>
        <v/>
      </c>
      <c r="F21">
        <f>IFERROR(INDEX(Scores!$D$2:$D$158,MATCH($B21,Scores!$BM$2:$BM$158,0)),"")</f>
        <v/>
      </c>
      <c r="G21">
        <f>IFERROR(INDEX(Scores!$E$2:$E$158,MATCH($B21,Scores!$BM$2:$BM$158,0)),"")</f>
        <v/>
      </c>
      <c r="H21">
        <f>IFERROR(INDEX(Scores!$BJ$2:$BJ$158,MATCH($B21,Scores!$BM$2:$BM$158,0)),"")</f>
        <v/>
      </c>
      <c r="I21">
        <f>IFERROR(INDEX(Scores!$BL$2:$BL$158,MATCH($B21,Scores!$BM$2:$BM$158,0)),"")</f>
        <v/>
      </c>
      <c r="J21">
        <f>IFERROR(INDEX(Scores!$Q$2:$Q$158,MATCH($B21,Scores!$BM$2:$BM$158,0)),"")</f>
        <v/>
      </c>
      <c r="K21">
        <f>IFERROR(INDEX(Scores!$AE$2:$AE$158,MATCH($B21,Scores!$BM$2:$BM$158,0)),"")</f>
        <v/>
      </c>
      <c r="L21">
        <f>IFERROR(INDEX(Scores!$AM$2:$AM$158,MATCH($B21,Scores!$BM$2:$BM$158,0)),"")</f>
        <v/>
      </c>
      <c r="M21">
        <f>IFERROR(INDEX(Scores!$AW$2:$AW$158,MATCH($B21,Scores!$BM$2:$BM$158,0)),"")</f>
        <v/>
      </c>
      <c r="N21">
        <f>IFERROR(INDEX(Scores!$BG$2:$BG$158,MATCH($B21,Scores!$BM$2:$BM$158,0)),"")</f>
        <v/>
      </c>
    </row>
    <row r="22">
      <c r="A22" t="inlineStr">
        <is>
          <t>Ranked</t>
        </is>
      </c>
      <c r="B22" t="n">
        <v>20</v>
      </c>
      <c r="C22">
        <f>IFERROR(INDEX(Scores!$BM$2:$BM$158,MATCH($B22,Scores!$BM$2:$BM$158,0)),"")</f>
        <v/>
      </c>
      <c r="D22">
        <f>IFERROR(INDEX(Scores!$B$2:$B$158,MATCH($B22,Scores!$BM$2:$BM$158,0)),"")</f>
        <v/>
      </c>
      <c r="E22">
        <f>IFERROR(INDEX(Scores!$C$2:$C$158,MATCH($B22,Scores!$BM$2:$BM$158,0)),"")</f>
        <v/>
      </c>
      <c r="F22">
        <f>IFERROR(INDEX(Scores!$D$2:$D$158,MATCH($B22,Scores!$BM$2:$BM$158,0)),"")</f>
        <v/>
      </c>
      <c r="G22">
        <f>IFERROR(INDEX(Scores!$E$2:$E$158,MATCH($B22,Scores!$BM$2:$BM$158,0)),"")</f>
        <v/>
      </c>
      <c r="H22">
        <f>IFERROR(INDEX(Scores!$BJ$2:$BJ$158,MATCH($B22,Scores!$BM$2:$BM$158,0)),"")</f>
        <v/>
      </c>
      <c r="I22">
        <f>IFERROR(INDEX(Scores!$BL$2:$BL$158,MATCH($B22,Scores!$BM$2:$BM$158,0)),"")</f>
        <v/>
      </c>
      <c r="J22">
        <f>IFERROR(INDEX(Scores!$Q$2:$Q$158,MATCH($B22,Scores!$BM$2:$BM$158,0)),"")</f>
        <v/>
      </c>
      <c r="K22">
        <f>IFERROR(INDEX(Scores!$AE$2:$AE$158,MATCH($B22,Scores!$BM$2:$BM$158,0)),"")</f>
        <v/>
      </c>
      <c r="L22">
        <f>IFERROR(INDEX(Scores!$AM$2:$AM$158,MATCH($B22,Scores!$BM$2:$BM$158,0)),"")</f>
        <v/>
      </c>
      <c r="M22">
        <f>IFERROR(INDEX(Scores!$AW$2:$AW$158,MATCH($B22,Scores!$BM$2:$BM$158,0)),"")</f>
        <v/>
      </c>
      <c r="N22">
        <f>IFERROR(INDEX(Scores!$BG$2:$BG$158,MATCH($B22,Scores!$BM$2:$BM$158,0)),"")</f>
        <v/>
      </c>
    </row>
    <row r="23">
      <c r="A23" t="inlineStr">
        <is>
          <t>Ranked</t>
        </is>
      </c>
      <c r="B23" t="n">
        <v>21</v>
      </c>
      <c r="C23">
        <f>IFERROR(INDEX(Scores!$BM$2:$BM$158,MATCH($B23,Scores!$BM$2:$BM$158,0)),"")</f>
        <v/>
      </c>
      <c r="D23">
        <f>IFERROR(INDEX(Scores!$B$2:$B$158,MATCH($B23,Scores!$BM$2:$BM$158,0)),"")</f>
        <v/>
      </c>
      <c r="E23">
        <f>IFERROR(INDEX(Scores!$C$2:$C$158,MATCH($B23,Scores!$BM$2:$BM$158,0)),"")</f>
        <v/>
      </c>
      <c r="F23">
        <f>IFERROR(INDEX(Scores!$D$2:$D$158,MATCH($B23,Scores!$BM$2:$BM$158,0)),"")</f>
        <v/>
      </c>
      <c r="G23">
        <f>IFERROR(INDEX(Scores!$E$2:$E$158,MATCH($B23,Scores!$BM$2:$BM$158,0)),"")</f>
        <v/>
      </c>
      <c r="H23">
        <f>IFERROR(INDEX(Scores!$BJ$2:$BJ$158,MATCH($B23,Scores!$BM$2:$BM$158,0)),"")</f>
        <v/>
      </c>
      <c r="I23">
        <f>IFERROR(INDEX(Scores!$BL$2:$BL$158,MATCH($B23,Scores!$BM$2:$BM$158,0)),"")</f>
        <v/>
      </c>
      <c r="J23">
        <f>IFERROR(INDEX(Scores!$Q$2:$Q$158,MATCH($B23,Scores!$BM$2:$BM$158,0)),"")</f>
        <v/>
      </c>
      <c r="K23">
        <f>IFERROR(INDEX(Scores!$AE$2:$AE$158,MATCH($B23,Scores!$BM$2:$BM$158,0)),"")</f>
        <v/>
      </c>
      <c r="L23">
        <f>IFERROR(INDEX(Scores!$AM$2:$AM$158,MATCH($B23,Scores!$BM$2:$BM$158,0)),"")</f>
        <v/>
      </c>
      <c r="M23">
        <f>IFERROR(INDEX(Scores!$AW$2:$AW$158,MATCH($B23,Scores!$BM$2:$BM$158,0)),"")</f>
        <v/>
      </c>
      <c r="N23">
        <f>IFERROR(INDEX(Scores!$BG$2:$BG$158,MATCH($B23,Scores!$BM$2:$BM$158,0)),"")</f>
        <v/>
      </c>
    </row>
    <row r="24">
      <c r="A24" t="inlineStr">
        <is>
          <t>Ranked</t>
        </is>
      </c>
      <c r="B24" t="n">
        <v>22</v>
      </c>
      <c r="C24">
        <f>IFERROR(INDEX(Scores!$BM$2:$BM$158,MATCH($B24,Scores!$BM$2:$BM$158,0)),"")</f>
        <v/>
      </c>
      <c r="D24">
        <f>IFERROR(INDEX(Scores!$B$2:$B$158,MATCH($B24,Scores!$BM$2:$BM$158,0)),"")</f>
        <v/>
      </c>
      <c r="E24">
        <f>IFERROR(INDEX(Scores!$C$2:$C$158,MATCH($B24,Scores!$BM$2:$BM$158,0)),"")</f>
        <v/>
      </c>
      <c r="F24">
        <f>IFERROR(INDEX(Scores!$D$2:$D$158,MATCH($B24,Scores!$BM$2:$BM$158,0)),"")</f>
        <v/>
      </c>
      <c r="G24">
        <f>IFERROR(INDEX(Scores!$E$2:$E$158,MATCH($B24,Scores!$BM$2:$BM$158,0)),"")</f>
        <v/>
      </c>
      <c r="H24">
        <f>IFERROR(INDEX(Scores!$BJ$2:$BJ$158,MATCH($B24,Scores!$BM$2:$BM$158,0)),"")</f>
        <v/>
      </c>
      <c r="I24">
        <f>IFERROR(INDEX(Scores!$BL$2:$BL$158,MATCH($B24,Scores!$BM$2:$BM$158,0)),"")</f>
        <v/>
      </c>
      <c r="J24">
        <f>IFERROR(INDEX(Scores!$Q$2:$Q$158,MATCH($B24,Scores!$BM$2:$BM$158,0)),"")</f>
        <v/>
      </c>
      <c r="K24">
        <f>IFERROR(INDEX(Scores!$AE$2:$AE$158,MATCH($B24,Scores!$BM$2:$BM$158,0)),"")</f>
        <v/>
      </c>
      <c r="L24">
        <f>IFERROR(INDEX(Scores!$AM$2:$AM$158,MATCH($B24,Scores!$BM$2:$BM$158,0)),"")</f>
        <v/>
      </c>
      <c r="M24">
        <f>IFERROR(INDEX(Scores!$AW$2:$AW$158,MATCH($B24,Scores!$BM$2:$BM$158,0)),"")</f>
        <v/>
      </c>
      <c r="N24">
        <f>IFERROR(INDEX(Scores!$BG$2:$BG$158,MATCH($B24,Scores!$BM$2:$BM$158,0)),"")</f>
        <v/>
      </c>
    </row>
    <row r="25">
      <c r="A25" t="inlineStr">
        <is>
          <t>Ranked</t>
        </is>
      </c>
      <c r="B25" t="n">
        <v>23</v>
      </c>
      <c r="C25">
        <f>IFERROR(INDEX(Scores!$BM$2:$BM$158,MATCH($B25,Scores!$BM$2:$BM$158,0)),"")</f>
        <v/>
      </c>
      <c r="D25">
        <f>IFERROR(INDEX(Scores!$B$2:$B$158,MATCH($B25,Scores!$BM$2:$BM$158,0)),"")</f>
        <v/>
      </c>
      <c r="E25">
        <f>IFERROR(INDEX(Scores!$C$2:$C$158,MATCH($B25,Scores!$BM$2:$BM$158,0)),"")</f>
        <v/>
      </c>
      <c r="F25">
        <f>IFERROR(INDEX(Scores!$D$2:$D$158,MATCH($B25,Scores!$BM$2:$BM$158,0)),"")</f>
        <v/>
      </c>
      <c r="G25">
        <f>IFERROR(INDEX(Scores!$E$2:$E$158,MATCH($B25,Scores!$BM$2:$BM$158,0)),"")</f>
        <v/>
      </c>
      <c r="H25">
        <f>IFERROR(INDEX(Scores!$BJ$2:$BJ$158,MATCH($B25,Scores!$BM$2:$BM$158,0)),"")</f>
        <v/>
      </c>
      <c r="I25">
        <f>IFERROR(INDEX(Scores!$BL$2:$BL$158,MATCH($B25,Scores!$BM$2:$BM$158,0)),"")</f>
        <v/>
      </c>
      <c r="J25">
        <f>IFERROR(INDEX(Scores!$Q$2:$Q$158,MATCH($B25,Scores!$BM$2:$BM$158,0)),"")</f>
        <v/>
      </c>
      <c r="K25">
        <f>IFERROR(INDEX(Scores!$AE$2:$AE$158,MATCH($B25,Scores!$BM$2:$BM$158,0)),"")</f>
        <v/>
      </c>
      <c r="L25">
        <f>IFERROR(INDEX(Scores!$AM$2:$AM$158,MATCH($B25,Scores!$BM$2:$BM$158,0)),"")</f>
        <v/>
      </c>
      <c r="M25">
        <f>IFERROR(INDEX(Scores!$AW$2:$AW$158,MATCH($B25,Scores!$BM$2:$BM$158,0)),"")</f>
        <v/>
      </c>
      <c r="N25">
        <f>IFERROR(INDEX(Scores!$BG$2:$BG$158,MATCH($B25,Scores!$BM$2:$BM$158,0)),"")</f>
        <v/>
      </c>
    </row>
    <row r="26">
      <c r="A26" t="inlineStr">
        <is>
          <t>Ranked</t>
        </is>
      </c>
      <c r="B26" t="n">
        <v>24</v>
      </c>
      <c r="C26">
        <f>IFERROR(INDEX(Scores!$BM$2:$BM$158,MATCH($B26,Scores!$BM$2:$BM$158,0)),"")</f>
        <v/>
      </c>
      <c r="D26">
        <f>IFERROR(INDEX(Scores!$B$2:$B$158,MATCH($B26,Scores!$BM$2:$BM$158,0)),"")</f>
        <v/>
      </c>
      <c r="E26">
        <f>IFERROR(INDEX(Scores!$C$2:$C$158,MATCH($B26,Scores!$BM$2:$BM$158,0)),"")</f>
        <v/>
      </c>
      <c r="F26">
        <f>IFERROR(INDEX(Scores!$D$2:$D$158,MATCH($B26,Scores!$BM$2:$BM$158,0)),"")</f>
        <v/>
      </c>
      <c r="G26">
        <f>IFERROR(INDEX(Scores!$E$2:$E$158,MATCH($B26,Scores!$BM$2:$BM$158,0)),"")</f>
        <v/>
      </c>
      <c r="H26">
        <f>IFERROR(INDEX(Scores!$BJ$2:$BJ$158,MATCH($B26,Scores!$BM$2:$BM$158,0)),"")</f>
        <v/>
      </c>
      <c r="I26">
        <f>IFERROR(INDEX(Scores!$BL$2:$BL$158,MATCH($B26,Scores!$BM$2:$BM$158,0)),"")</f>
        <v/>
      </c>
      <c r="J26">
        <f>IFERROR(INDEX(Scores!$Q$2:$Q$158,MATCH($B26,Scores!$BM$2:$BM$158,0)),"")</f>
        <v/>
      </c>
      <c r="K26">
        <f>IFERROR(INDEX(Scores!$AE$2:$AE$158,MATCH($B26,Scores!$BM$2:$BM$158,0)),"")</f>
        <v/>
      </c>
      <c r="L26">
        <f>IFERROR(INDEX(Scores!$AM$2:$AM$158,MATCH($B26,Scores!$BM$2:$BM$158,0)),"")</f>
        <v/>
      </c>
      <c r="M26">
        <f>IFERROR(INDEX(Scores!$AW$2:$AW$158,MATCH($B26,Scores!$BM$2:$BM$158,0)),"")</f>
        <v/>
      </c>
      <c r="N26">
        <f>IFERROR(INDEX(Scores!$BG$2:$BG$158,MATCH($B26,Scores!$BM$2:$BM$158,0)),"")</f>
        <v/>
      </c>
    </row>
    <row r="27">
      <c r="A27" t="inlineStr">
        <is>
          <t>Ranked</t>
        </is>
      </c>
      <c r="B27" t="n">
        <v>25</v>
      </c>
      <c r="C27">
        <f>IFERROR(INDEX(Scores!$BM$2:$BM$158,MATCH($B27,Scores!$BM$2:$BM$158,0)),"")</f>
        <v/>
      </c>
      <c r="D27">
        <f>IFERROR(INDEX(Scores!$B$2:$B$158,MATCH($B27,Scores!$BM$2:$BM$158,0)),"")</f>
        <v/>
      </c>
      <c r="E27">
        <f>IFERROR(INDEX(Scores!$C$2:$C$158,MATCH($B27,Scores!$BM$2:$BM$158,0)),"")</f>
        <v/>
      </c>
      <c r="F27">
        <f>IFERROR(INDEX(Scores!$D$2:$D$158,MATCH($B27,Scores!$BM$2:$BM$158,0)),"")</f>
        <v/>
      </c>
      <c r="G27">
        <f>IFERROR(INDEX(Scores!$E$2:$E$158,MATCH($B27,Scores!$BM$2:$BM$158,0)),"")</f>
        <v/>
      </c>
      <c r="H27">
        <f>IFERROR(INDEX(Scores!$BJ$2:$BJ$158,MATCH($B27,Scores!$BM$2:$BM$158,0)),"")</f>
        <v/>
      </c>
      <c r="I27">
        <f>IFERROR(INDEX(Scores!$BL$2:$BL$158,MATCH($B27,Scores!$BM$2:$BM$158,0)),"")</f>
        <v/>
      </c>
      <c r="J27">
        <f>IFERROR(INDEX(Scores!$Q$2:$Q$158,MATCH($B27,Scores!$BM$2:$BM$158,0)),"")</f>
        <v/>
      </c>
      <c r="K27">
        <f>IFERROR(INDEX(Scores!$AE$2:$AE$158,MATCH($B27,Scores!$BM$2:$BM$158,0)),"")</f>
        <v/>
      </c>
      <c r="L27">
        <f>IFERROR(INDEX(Scores!$AM$2:$AM$158,MATCH($B27,Scores!$BM$2:$BM$158,0)),"")</f>
        <v/>
      </c>
      <c r="M27">
        <f>IFERROR(INDEX(Scores!$AW$2:$AW$158,MATCH($B27,Scores!$BM$2:$BM$158,0)),"")</f>
        <v/>
      </c>
      <c r="N27">
        <f>IFERROR(INDEX(Scores!$BG$2:$BG$158,MATCH($B27,Scores!$BM$2:$BM$158,0)),"")</f>
        <v/>
      </c>
    </row>
    <row r="28">
      <c r="A28" t="inlineStr">
        <is>
          <t>Ranked</t>
        </is>
      </c>
      <c r="B28" t="n">
        <v>26</v>
      </c>
      <c r="C28">
        <f>IFERROR(INDEX(Scores!$BM$2:$BM$158,MATCH($B28,Scores!$BM$2:$BM$158,0)),"")</f>
        <v/>
      </c>
      <c r="D28">
        <f>IFERROR(INDEX(Scores!$B$2:$B$158,MATCH($B28,Scores!$BM$2:$BM$158,0)),"")</f>
        <v/>
      </c>
      <c r="E28">
        <f>IFERROR(INDEX(Scores!$C$2:$C$158,MATCH($B28,Scores!$BM$2:$BM$158,0)),"")</f>
        <v/>
      </c>
      <c r="F28">
        <f>IFERROR(INDEX(Scores!$D$2:$D$158,MATCH($B28,Scores!$BM$2:$BM$158,0)),"")</f>
        <v/>
      </c>
      <c r="G28">
        <f>IFERROR(INDEX(Scores!$E$2:$E$158,MATCH($B28,Scores!$BM$2:$BM$158,0)),"")</f>
        <v/>
      </c>
      <c r="H28">
        <f>IFERROR(INDEX(Scores!$BJ$2:$BJ$158,MATCH($B28,Scores!$BM$2:$BM$158,0)),"")</f>
        <v/>
      </c>
      <c r="I28">
        <f>IFERROR(INDEX(Scores!$BL$2:$BL$158,MATCH($B28,Scores!$BM$2:$BM$158,0)),"")</f>
        <v/>
      </c>
      <c r="J28">
        <f>IFERROR(INDEX(Scores!$Q$2:$Q$158,MATCH($B28,Scores!$BM$2:$BM$158,0)),"")</f>
        <v/>
      </c>
      <c r="K28">
        <f>IFERROR(INDEX(Scores!$AE$2:$AE$158,MATCH($B28,Scores!$BM$2:$BM$158,0)),"")</f>
        <v/>
      </c>
      <c r="L28">
        <f>IFERROR(INDEX(Scores!$AM$2:$AM$158,MATCH($B28,Scores!$BM$2:$BM$158,0)),"")</f>
        <v/>
      </c>
      <c r="M28">
        <f>IFERROR(INDEX(Scores!$AW$2:$AW$158,MATCH($B28,Scores!$BM$2:$BM$158,0)),"")</f>
        <v/>
      </c>
      <c r="N28">
        <f>IFERROR(INDEX(Scores!$BG$2:$BG$158,MATCH($B28,Scores!$BM$2:$BM$158,0)),"")</f>
        <v/>
      </c>
    </row>
    <row r="29">
      <c r="A29" t="inlineStr">
        <is>
          <t>Ranked</t>
        </is>
      </c>
      <c r="B29" t="n">
        <v>27</v>
      </c>
      <c r="C29">
        <f>IFERROR(INDEX(Scores!$BM$2:$BM$158,MATCH($B29,Scores!$BM$2:$BM$158,0)),"")</f>
        <v/>
      </c>
      <c r="D29">
        <f>IFERROR(INDEX(Scores!$B$2:$B$158,MATCH($B29,Scores!$BM$2:$BM$158,0)),"")</f>
        <v/>
      </c>
      <c r="E29">
        <f>IFERROR(INDEX(Scores!$C$2:$C$158,MATCH($B29,Scores!$BM$2:$BM$158,0)),"")</f>
        <v/>
      </c>
      <c r="F29">
        <f>IFERROR(INDEX(Scores!$D$2:$D$158,MATCH($B29,Scores!$BM$2:$BM$158,0)),"")</f>
        <v/>
      </c>
      <c r="G29">
        <f>IFERROR(INDEX(Scores!$E$2:$E$158,MATCH($B29,Scores!$BM$2:$BM$158,0)),"")</f>
        <v/>
      </c>
      <c r="H29">
        <f>IFERROR(INDEX(Scores!$BJ$2:$BJ$158,MATCH($B29,Scores!$BM$2:$BM$158,0)),"")</f>
        <v/>
      </c>
      <c r="I29">
        <f>IFERROR(INDEX(Scores!$BL$2:$BL$158,MATCH($B29,Scores!$BM$2:$BM$158,0)),"")</f>
        <v/>
      </c>
      <c r="J29">
        <f>IFERROR(INDEX(Scores!$Q$2:$Q$158,MATCH($B29,Scores!$BM$2:$BM$158,0)),"")</f>
        <v/>
      </c>
      <c r="K29">
        <f>IFERROR(INDEX(Scores!$AE$2:$AE$158,MATCH($B29,Scores!$BM$2:$BM$158,0)),"")</f>
        <v/>
      </c>
      <c r="L29">
        <f>IFERROR(INDEX(Scores!$AM$2:$AM$158,MATCH($B29,Scores!$BM$2:$BM$158,0)),"")</f>
        <v/>
      </c>
      <c r="M29">
        <f>IFERROR(INDEX(Scores!$AW$2:$AW$158,MATCH($B29,Scores!$BM$2:$BM$158,0)),"")</f>
        <v/>
      </c>
      <c r="N29">
        <f>IFERROR(INDEX(Scores!$BG$2:$BG$158,MATCH($B29,Scores!$BM$2:$BM$158,0)),"")</f>
        <v/>
      </c>
    </row>
    <row r="30">
      <c r="A30" t="inlineStr">
        <is>
          <t>Ranked</t>
        </is>
      </c>
      <c r="B30" t="n">
        <v>28</v>
      </c>
      <c r="C30">
        <f>IFERROR(INDEX(Scores!$BM$2:$BM$158,MATCH($B30,Scores!$BM$2:$BM$158,0)),"")</f>
        <v/>
      </c>
      <c r="D30">
        <f>IFERROR(INDEX(Scores!$B$2:$B$158,MATCH($B30,Scores!$BM$2:$BM$158,0)),"")</f>
        <v/>
      </c>
      <c r="E30">
        <f>IFERROR(INDEX(Scores!$C$2:$C$158,MATCH($B30,Scores!$BM$2:$BM$158,0)),"")</f>
        <v/>
      </c>
      <c r="F30">
        <f>IFERROR(INDEX(Scores!$D$2:$D$158,MATCH($B30,Scores!$BM$2:$BM$158,0)),"")</f>
        <v/>
      </c>
      <c r="G30">
        <f>IFERROR(INDEX(Scores!$E$2:$E$158,MATCH($B30,Scores!$BM$2:$BM$158,0)),"")</f>
        <v/>
      </c>
      <c r="H30">
        <f>IFERROR(INDEX(Scores!$BJ$2:$BJ$158,MATCH($B30,Scores!$BM$2:$BM$158,0)),"")</f>
        <v/>
      </c>
      <c r="I30">
        <f>IFERROR(INDEX(Scores!$BL$2:$BL$158,MATCH($B30,Scores!$BM$2:$BM$158,0)),"")</f>
        <v/>
      </c>
      <c r="J30">
        <f>IFERROR(INDEX(Scores!$Q$2:$Q$158,MATCH($B30,Scores!$BM$2:$BM$158,0)),"")</f>
        <v/>
      </c>
      <c r="K30">
        <f>IFERROR(INDEX(Scores!$AE$2:$AE$158,MATCH($B30,Scores!$BM$2:$BM$158,0)),"")</f>
        <v/>
      </c>
      <c r="L30">
        <f>IFERROR(INDEX(Scores!$AM$2:$AM$158,MATCH($B30,Scores!$BM$2:$BM$158,0)),"")</f>
        <v/>
      </c>
      <c r="M30">
        <f>IFERROR(INDEX(Scores!$AW$2:$AW$158,MATCH($B30,Scores!$BM$2:$BM$158,0)),"")</f>
        <v/>
      </c>
      <c r="N30">
        <f>IFERROR(INDEX(Scores!$BG$2:$BG$158,MATCH($B30,Scores!$BM$2:$BM$158,0)),"")</f>
        <v/>
      </c>
    </row>
    <row r="31">
      <c r="A31" t="inlineStr">
        <is>
          <t>Ranked</t>
        </is>
      </c>
      <c r="B31" t="n">
        <v>29</v>
      </c>
      <c r="C31">
        <f>IFERROR(INDEX(Scores!$BM$2:$BM$158,MATCH($B31,Scores!$BM$2:$BM$158,0)),"")</f>
        <v/>
      </c>
      <c r="D31">
        <f>IFERROR(INDEX(Scores!$B$2:$B$158,MATCH($B31,Scores!$BM$2:$BM$158,0)),"")</f>
        <v/>
      </c>
      <c r="E31">
        <f>IFERROR(INDEX(Scores!$C$2:$C$158,MATCH($B31,Scores!$BM$2:$BM$158,0)),"")</f>
        <v/>
      </c>
      <c r="F31">
        <f>IFERROR(INDEX(Scores!$D$2:$D$158,MATCH($B31,Scores!$BM$2:$BM$158,0)),"")</f>
        <v/>
      </c>
      <c r="G31">
        <f>IFERROR(INDEX(Scores!$E$2:$E$158,MATCH($B31,Scores!$BM$2:$BM$158,0)),"")</f>
        <v/>
      </c>
      <c r="H31">
        <f>IFERROR(INDEX(Scores!$BJ$2:$BJ$158,MATCH($B31,Scores!$BM$2:$BM$158,0)),"")</f>
        <v/>
      </c>
      <c r="I31">
        <f>IFERROR(INDEX(Scores!$BL$2:$BL$158,MATCH($B31,Scores!$BM$2:$BM$158,0)),"")</f>
        <v/>
      </c>
      <c r="J31">
        <f>IFERROR(INDEX(Scores!$Q$2:$Q$158,MATCH($B31,Scores!$BM$2:$BM$158,0)),"")</f>
        <v/>
      </c>
      <c r="K31">
        <f>IFERROR(INDEX(Scores!$AE$2:$AE$158,MATCH($B31,Scores!$BM$2:$BM$158,0)),"")</f>
        <v/>
      </c>
      <c r="L31">
        <f>IFERROR(INDEX(Scores!$AM$2:$AM$158,MATCH($B31,Scores!$BM$2:$BM$158,0)),"")</f>
        <v/>
      </c>
      <c r="M31">
        <f>IFERROR(INDEX(Scores!$AW$2:$AW$158,MATCH($B31,Scores!$BM$2:$BM$158,0)),"")</f>
        <v/>
      </c>
      <c r="N31">
        <f>IFERROR(INDEX(Scores!$BG$2:$BG$158,MATCH($B31,Scores!$BM$2:$BM$158,0)),"")</f>
        <v/>
      </c>
    </row>
    <row r="32">
      <c r="A32" t="inlineStr">
        <is>
          <t>Ranked</t>
        </is>
      </c>
      <c r="B32" t="n">
        <v>30</v>
      </c>
      <c r="C32">
        <f>IFERROR(INDEX(Scores!$BM$2:$BM$158,MATCH($B32,Scores!$BM$2:$BM$158,0)),"")</f>
        <v/>
      </c>
      <c r="D32">
        <f>IFERROR(INDEX(Scores!$B$2:$B$158,MATCH($B32,Scores!$BM$2:$BM$158,0)),"")</f>
        <v/>
      </c>
      <c r="E32">
        <f>IFERROR(INDEX(Scores!$C$2:$C$158,MATCH($B32,Scores!$BM$2:$BM$158,0)),"")</f>
        <v/>
      </c>
      <c r="F32">
        <f>IFERROR(INDEX(Scores!$D$2:$D$158,MATCH($B32,Scores!$BM$2:$BM$158,0)),"")</f>
        <v/>
      </c>
      <c r="G32">
        <f>IFERROR(INDEX(Scores!$E$2:$E$158,MATCH($B32,Scores!$BM$2:$BM$158,0)),"")</f>
        <v/>
      </c>
      <c r="H32">
        <f>IFERROR(INDEX(Scores!$BJ$2:$BJ$158,MATCH($B32,Scores!$BM$2:$BM$158,0)),"")</f>
        <v/>
      </c>
      <c r="I32">
        <f>IFERROR(INDEX(Scores!$BL$2:$BL$158,MATCH($B32,Scores!$BM$2:$BM$158,0)),"")</f>
        <v/>
      </c>
      <c r="J32">
        <f>IFERROR(INDEX(Scores!$Q$2:$Q$158,MATCH($B32,Scores!$BM$2:$BM$158,0)),"")</f>
        <v/>
      </c>
      <c r="K32">
        <f>IFERROR(INDEX(Scores!$AE$2:$AE$158,MATCH($B32,Scores!$BM$2:$BM$158,0)),"")</f>
        <v/>
      </c>
      <c r="L32">
        <f>IFERROR(INDEX(Scores!$AM$2:$AM$158,MATCH($B32,Scores!$BM$2:$BM$158,0)),"")</f>
        <v/>
      </c>
      <c r="M32">
        <f>IFERROR(INDEX(Scores!$AW$2:$AW$158,MATCH($B32,Scores!$BM$2:$BM$158,0)),"")</f>
        <v/>
      </c>
      <c r="N32">
        <f>IFERROR(INDEX(Scores!$BG$2:$BG$158,MATCH($B32,Scores!$BM$2:$BM$158,0)),"")</f>
        <v/>
      </c>
    </row>
    <row r="33">
      <c r="A33" t="inlineStr">
        <is>
          <t>Ranked</t>
        </is>
      </c>
      <c r="B33" t="n">
        <v>31</v>
      </c>
      <c r="C33">
        <f>IFERROR(INDEX(Scores!$BM$2:$BM$158,MATCH($B33,Scores!$BM$2:$BM$158,0)),"")</f>
        <v/>
      </c>
      <c r="D33">
        <f>IFERROR(INDEX(Scores!$B$2:$B$158,MATCH($B33,Scores!$BM$2:$BM$158,0)),"")</f>
        <v/>
      </c>
      <c r="E33">
        <f>IFERROR(INDEX(Scores!$C$2:$C$158,MATCH($B33,Scores!$BM$2:$BM$158,0)),"")</f>
        <v/>
      </c>
      <c r="F33">
        <f>IFERROR(INDEX(Scores!$D$2:$D$158,MATCH($B33,Scores!$BM$2:$BM$158,0)),"")</f>
        <v/>
      </c>
      <c r="G33">
        <f>IFERROR(INDEX(Scores!$E$2:$E$158,MATCH($B33,Scores!$BM$2:$BM$158,0)),"")</f>
        <v/>
      </c>
      <c r="H33">
        <f>IFERROR(INDEX(Scores!$BJ$2:$BJ$158,MATCH($B33,Scores!$BM$2:$BM$158,0)),"")</f>
        <v/>
      </c>
      <c r="I33">
        <f>IFERROR(INDEX(Scores!$BL$2:$BL$158,MATCH($B33,Scores!$BM$2:$BM$158,0)),"")</f>
        <v/>
      </c>
      <c r="J33">
        <f>IFERROR(INDEX(Scores!$Q$2:$Q$158,MATCH($B33,Scores!$BM$2:$BM$158,0)),"")</f>
        <v/>
      </c>
      <c r="K33">
        <f>IFERROR(INDEX(Scores!$AE$2:$AE$158,MATCH($B33,Scores!$BM$2:$BM$158,0)),"")</f>
        <v/>
      </c>
      <c r="L33">
        <f>IFERROR(INDEX(Scores!$AM$2:$AM$158,MATCH($B33,Scores!$BM$2:$BM$158,0)),"")</f>
        <v/>
      </c>
      <c r="M33">
        <f>IFERROR(INDEX(Scores!$AW$2:$AW$158,MATCH($B33,Scores!$BM$2:$BM$158,0)),"")</f>
        <v/>
      </c>
      <c r="N33">
        <f>IFERROR(INDEX(Scores!$BG$2:$BG$158,MATCH($B33,Scores!$BM$2:$BM$158,0)),"")</f>
        <v/>
      </c>
    </row>
    <row r="34">
      <c r="A34" t="inlineStr">
        <is>
          <t>Ranked</t>
        </is>
      </c>
      <c r="B34" t="n">
        <v>32</v>
      </c>
      <c r="C34">
        <f>IFERROR(INDEX(Scores!$BM$2:$BM$158,MATCH($B34,Scores!$BM$2:$BM$158,0)),"")</f>
        <v/>
      </c>
      <c r="D34">
        <f>IFERROR(INDEX(Scores!$B$2:$B$158,MATCH($B34,Scores!$BM$2:$BM$158,0)),"")</f>
        <v/>
      </c>
      <c r="E34">
        <f>IFERROR(INDEX(Scores!$C$2:$C$158,MATCH($B34,Scores!$BM$2:$BM$158,0)),"")</f>
        <v/>
      </c>
      <c r="F34">
        <f>IFERROR(INDEX(Scores!$D$2:$D$158,MATCH($B34,Scores!$BM$2:$BM$158,0)),"")</f>
        <v/>
      </c>
      <c r="G34">
        <f>IFERROR(INDEX(Scores!$E$2:$E$158,MATCH($B34,Scores!$BM$2:$BM$158,0)),"")</f>
        <v/>
      </c>
      <c r="H34">
        <f>IFERROR(INDEX(Scores!$BJ$2:$BJ$158,MATCH($B34,Scores!$BM$2:$BM$158,0)),"")</f>
        <v/>
      </c>
      <c r="I34">
        <f>IFERROR(INDEX(Scores!$BL$2:$BL$158,MATCH($B34,Scores!$BM$2:$BM$158,0)),"")</f>
        <v/>
      </c>
      <c r="J34">
        <f>IFERROR(INDEX(Scores!$Q$2:$Q$158,MATCH($B34,Scores!$BM$2:$BM$158,0)),"")</f>
        <v/>
      </c>
      <c r="K34">
        <f>IFERROR(INDEX(Scores!$AE$2:$AE$158,MATCH($B34,Scores!$BM$2:$BM$158,0)),"")</f>
        <v/>
      </c>
      <c r="L34">
        <f>IFERROR(INDEX(Scores!$AM$2:$AM$158,MATCH($B34,Scores!$BM$2:$BM$158,0)),"")</f>
        <v/>
      </c>
      <c r="M34">
        <f>IFERROR(INDEX(Scores!$AW$2:$AW$158,MATCH($B34,Scores!$BM$2:$BM$158,0)),"")</f>
        <v/>
      </c>
      <c r="N34">
        <f>IFERROR(INDEX(Scores!$BG$2:$BG$158,MATCH($B34,Scores!$BM$2:$BM$158,0)),"")</f>
        <v/>
      </c>
    </row>
    <row r="35">
      <c r="A35" t="inlineStr">
        <is>
          <t>Ranked</t>
        </is>
      </c>
      <c r="B35" t="n">
        <v>33</v>
      </c>
      <c r="C35">
        <f>IFERROR(INDEX(Scores!$BM$2:$BM$158,MATCH($B35,Scores!$BM$2:$BM$158,0)),"")</f>
        <v/>
      </c>
      <c r="D35">
        <f>IFERROR(INDEX(Scores!$B$2:$B$158,MATCH($B35,Scores!$BM$2:$BM$158,0)),"")</f>
        <v/>
      </c>
      <c r="E35">
        <f>IFERROR(INDEX(Scores!$C$2:$C$158,MATCH($B35,Scores!$BM$2:$BM$158,0)),"")</f>
        <v/>
      </c>
      <c r="F35">
        <f>IFERROR(INDEX(Scores!$D$2:$D$158,MATCH($B35,Scores!$BM$2:$BM$158,0)),"")</f>
        <v/>
      </c>
      <c r="G35">
        <f>IFERROR(INDEX(Scores!$E$2:$E$158,MATCH($B35,Scores!$BM$2:$BM$158,0)),"")</f>
        <v/>
      </c>
      <c r="H35">
        <f>IFERROR(INDEX(Scores!$BJ$2:$BJ$158,MATCH($B35,Scores!$BM$2:$BM$158,0)),"")</f>
        <v/>
      </c>
      <c r="I35">
        <f>IFERROR(INDEX(Scores!$BL$2:$BL$158,MATCH($B35,Scores!$BM$2:$BM$158,0)),"")</f>
        <v/>
      </c>
      <c r="J35">
        <f>IFERROR(INDEX(Scores!$Q$2:$Q$158,MATCH($B35,Scores!$BM$2:$BM$158,0)),"")</f>
        <v/>
      </c>
      <c r="K35">
        <f>IFERROR(INDEX(Scores!$AE$2:$AE$158,MATCH($B35,Scores!$BM$2:$BM$158,0)),"")</f>
        <v/>
      </c>
      <c r="L35">
        <f>IFERROR(INDEX(Scores!$AM$2:$AM$158,MATCH($B35,Scores!$BM$2:$BM$158,0)),"")</f>
        <v/>
      </c>
      <c r="M35">
        <f>IFERROR(INDEX(Scores!$AW$2:$AW$158,MATCH($B35,Scores!$BM$2:$BM$158,0)),"")</f>
        <v/>
      </c>
      <c r="N35">
        <f>IFERROR(INDEX(Scores!$BG$2:$BG$158,MATCH($B35,Scores!$BM$2:$BM$158,0)),"")</f>
        <v/>
      </c>
    </row>
    <row r="36">
      <c r="A36" t="inlineStr">
        <is>
          <t>Ranked</t>
        </is>
      </c>
      <c r="B36" t="n">
        <v>34</v>
      </c>
      <c r="C36">
        <f>IFERROR(INDEX(Scores!$BM$2:$BM$158,MATCH($B36,Scores!$BM$2:$BM$158,0)),"")</f>
        <v/>
      </c>
      <c r="D36">
        <f>IFERROR(INDEX(Scores!$B$2:$B$158,MATCH($B36,Scores!$BM$2:$BM$158,0)),"")</f>
        <v/>
      </c>
      <c r="E36">
        <f>IFERROR(INDEX(Scores!$C$2:$C$158,MATCH($B36,Scores!$BM$2:$BM$158,0)),"")</f>
        <v/>
      </c>
      <c r="F36">
        <f>IFERROR(INDEX(Scores!$D$2:$D$158,MATCH($B36,Scores!$BM$2:$BM$158,0)),"")</f>
        <v/>
      </c>
      <c r="G36">
        <f>IFERROR(INDEX(Scores!$E$2:$E$158,MATCH($B36,Scores!$BM$2:$BM$158,0)),"")</f>
        <v/>
      </c>
      <c r="H36">
        <f>IFERROR(INDEX(Scores!$BJ$2:$BJ$158,MATCH($B36,Scores!$BM$2:$BM$158,0)),"")</f>
        <v/>
      </c>
      <c r="I36">
        <f>IFERROR(INDEX(Scores!$BL$2:$BL$158,MATCH($B36,Scores!$BM$2:$BM$158,0)),"")</f>
        <v/>
      </c>
      <c r="J36">
        <f>IFERROR(INDEX(Scores!$Q$2:$Q$158,MATCH($B36,Scores!$BM$2:$BM$158,0)),"")</f>
        <v/>
      </c>
      <c r="K36">
        <f>IFERROR(INDEX(Scores!$AE$2:$AE$158,MATCH($B36,Scores!$BM$2:$BM$158,0)),"")</f>
        <v/>
      </c>
      <c r="L36">
        <f>IFERROR(INDEX(Scores!$AM$2:$AM$158,MATCH($B36,Scores!$BM$2:$BM$158,0)),"")</f>
        <v/>
      </c>
      <c r="M36">
        <f>IFERROR(INDEX(Scores!$AW$2:$AW$158,MATCH($B36,Scores!$BM$2:$BM$158,0)),"")</f>
        <v/>
      </c>
      <c r="N36">
        <f>IFERROR(INDEX(Scores!$BG$2:$BG$158,MATCH($B36,Scores!$BM$2:$BM$158,0)),"")</f>
        <v/>
      </c>
    </row>
    <row r="37">
      <c r="A37" t="inlineStr">
        <is>
          <t>Ranked</t>
        </is>
      </c>
      <c r="B37" t="n">
        <v>35</v>
      </c>
      <c r="C37">
        <f>IFERROR(INDEX(Scores!$BM$2:$BM$158,MATCH($B37,Scores!$BM$2:$BM$158,0)),"")</f>
        <v/>
      </c>
      <c r="D37">
        <f>IFERROR(INDEX(Scores!$B$2:$B$158,MATCH($B37,Scores!$BM$2:$BM$158,0)),"")</f>
        <v/>
      </c>
      <c r="E37">
        <f>IFERROR(INDEX(Scores!$C$2:$C$158,MATCH($B37,Scores!$BM$2:$BM$158,0)),"")</f>
        <v/>
      </c>
      <c r="F37">
        <f>IFERROR(INDEX(Scores!$D$2:$D$158,MATCH($B37,Scores!$BM$2:$BM$158,0)),"")</f>
        <v/>
      </c>
      <c r="G37">
        <f>IFERROR(INDEX(Scores!$E$2:$E$158,MATCH($B37,Scores!$BM$2:$BM$158,0)),"")</f>
        <v/>
      </c>
      <c r="H37">
        <f>IFERROR(INDEX(Scores!$BJ$2:$BJ$158,MATCH($B37,Scores!$BM$2:$BM$158,0)),"")</f>
        <v/>
      </c>
      <c r="I37">
        <f>IFERROR(INDEX(Scores!$BL$2:$BL$158,MATCH($B37,Scores!$BM$2:$BM$158,0)),"")</f>
        <v/>
      </c>
      <c r="J37">
        <f>IFERROR(INDEX(Scores!$Q$2:$Q$158,MATCH($B37,Scores!$BM$2:$BM$158,0)),"")</f>
        <v/>
      </c>
      <c r="K37">
        <f>IFERROR(INDEX(Scores!$AE$2:$AE$158,MATCH($B37,Scores!$BM$2:$BM$158,0)),"")</f>
        <v/>
      </c>
      <c r="L37">
        <f>IFERROR(INDEX(Scores!$AM$2:$AM$158,MATCH($B37,Scores!$BM$2:$BM$158,0)),"")</f>
        <v/>
      </c>
      <c r="M37">
        <f>IFERROR(INDEX(Scores!$AW$2:$AW$158,MATCH($B37,Scores!$BM$2:$BM$158,0)),"")</f>
        <v/>
      </c>
      <c r="N37">
        <f>IFERROR(INDEX(Scores!$BG$2:$BG$158,MATCH($B37,Scores!$BM$2:$BM$158,0)),"")</f>
        <v/>
      </c>
    </row>
    <row r="38">
      <c r="A38" t="inlineStr">
        <is>
          <t>Ranked</t>
        </is>
      </c>
      <c r="B38" t="n">
        <v>36</v>
      </c>
      <c r="C38">
        <f>IFERROR(INDEX(Scores!$BM$2:$BM$158,MATCH($B38,Scores!$BM$2:$BM$158,0)),"")</f>
        <v/>
      </c>
      <c r="D38">
        <f>IFERROR(INDEX(Scores!$B$2:$B$158,MATCH($B38,Scores!$BM$2:$BM$158,0)),"")</f>
        <v/>
      </c>
      <c r="E38">
        <f>IFERROR(INDEX(Scores!$C$2:$C$158,MATCH($B38,Scores!$BM$2:$BM$158,0)),"")</f>
        <v/>
      </c>
      <c r="F38">
        <f>IFERROR(INDEX(Scores!$D$2:$D$158,MATCH($B38,Scores!$BM$2:$BM$158,0)),"")</f>
        <v/>
      </c>
      <c r="G38">
        <f>IFERROR(INDEX(Scores!$E$2:$E$158,MATCH($B38,Scores!$BM$2:$BM$158,0)),"")</f>
        <v/>
      </c>
      <c r="H38">
        <f>IFERROR(INDEX(Scores!$BJ$2:$BJ$158,MATCH($B38,Scores!$BM$2:$BM$158,0)),"")</f>
        <v/>
      </c>
      <c r="I38">
        <f>IFERROR(INDEX(Scores!$BL$2:$BL$158,MATCH($B38,Scores!$BM$2:$BM$158,0)),"")</f>
        <v/>
      </c>
      <c r="J38">
        <f>IFERROR(INDEX(Scores!$Q$2:$Q$158,MATCH($B38,Scores!$BM$2:$BM$158,0)),"")</f>
        <v/>
      </c>
      <c r="K38">
        <f>IFERROR(INDEX(Scores!$AE$2:$AE$158,MATCH($B38,Scores!$BM$2:$BM$158,0)),"")</f>
        <v/>
      </c>
      <c r="L38">
        <f>IFERROR(INDEX(Scores!$AM$2:$AM$158,MATCH($B38,Scores!$BM$2:$BM$158,0)),"")</f>
        <v/>
      </c>
      <c r="M38">
        <f>IFERROR(INDEX(Scores!$AW$2:$AW$158,MATCH($B38,Scores!$BM$2:$BM$158,0)),"")</f>
        <v/>
      </c>
      <c r="N38">
        <f>IFERROR(INDEX(Scores!$BG$2:$BG$158,MATCH($B38,Scores!$BM$2:$BM$158,0)),"")</f>
        <v/>
      </c>
    </row>
    <row r="39">
      <c r="A39" t="inlineStr">
        <is>
          <t>Ranked</t>
        </is>
      </c>
      <c r="B39" t="n">
        <v>37</v>
      </c>
      <c r="C39">
        <f>IFERROR(INDEX(Scores!$BM$2:$BM$158,MATCH($B39,Scores!$BM$2:$BM$158,0)),"")</f>
        <v/>
      </c>
      <c r="D39">
        <f>IFERROR(INDEX(Scores!$B$2:$B$158,MATCH($B39,Scores!$BM$2:$BM$158,0)),"")</f>
        <v/>
      </c>
      <c r="E39">
        <f>IFERROR(INDEX(Scores!$C$2:$C$158,MATCH($B39,Scores!$BM$2:$BM$158,0)),"")</f>
        <v/>
      </c>
      <c r="F39">
        <f>IFERROR(INDEX(Scores!$D$2:$D$158,MATCH($B39,Scores!$BM$2:$BM$158,0)),"")</f>
        <v/>
      </c>
      <c r="G39">
        <f>IFERROR(INDEX(Scores!$E$2:$E$158,MATCH($B39,Scores!$BM$2:$BM$158,0)),"")</f>
        <v/>
      </c>
      <c r="H39">
        <f>IFERROR(INDEX(Scores!$BJ$2:$BJ$158,MATCH($B39,Scores!$BM$2:$BM$158,0)),"")</f>
        <v/>
      </c>
      <c r="I39">
        <f>IFERROR(INDEX(Scores!$BL$2:$BL$158,MATCH($B39,Scores!$BM$2:$BM$158,0)),"")</f>
        <v/>
      </c>
      <c r="J39">
        <f>IFERROR(INDEX(Scores!$Q$2:$Q$158,MATCH($B39,Scores!$BM$2:$BM$158,0)),"")</f>
        <v/>
      </c>
      <c r="K39">
        <f>IFERROR(INDEX(Scores!$AE$2:$AE$158,MATCH($B39,Scores!$BM$2:$BM$158,0)),"")</f>
        <v/>
      </c>
      <c r="L39">
        <f>IFERROR(INDEX(Scores!$AM$2:$AM$158,MATCH($B39,Scores!$BM$2:$BM$158,0)),"")</f>
        <v/>
      </c>
      <c r="M39">
        <f>IFERROR(INDEX(Scores!$AW$2:$AW$158,MATCH($B39,Scores!$BM$2:$BM$158,0)),"")</f>
        <v/>
      </c>
      <c r="N39">
        <f>IFERROR(INDEX(Scores!$BG$2:$BG$158,MATCH($B39,Scores!$BM$2:$BM$158,0)),"")</f>
        <v/>
      </c>
    </row>
    <row r="40">
      <c r="A40" t="inlineStr">
        <is>
          <t>Ranked</t>
        </is>
      </c>
      <c r="B40" t="n">
        <v>38</v>
      </c>
      <c r="C40">
        <f>IFERROR(INDEX(Scores!$BM$2:$BM$158,MATCH($B40,Scores!$BM$2:$BM$158,0)),"")</f>
        <v/>
      </c>
      <c r="D40">
        <f>IFERROR(INDEX(Scores!$B$2:$B$158,MATCH($B40,Scores!$BM$2:$BM$158,0)),"")</f>
        <v/>
      </c>
      <c r="E40">
        <f>IFERROR(INDEX(Scores!$C$2:$C$158,MATCH($B40,Scores!$BM$2:$BM$158,0)),"")</f>
        <v/>
      </c>
      <c r="F40">
        <f>IFERROR(INDEX(Scores!$D$2:$D$158,MATCH($B40,Scores!$BM$2:$BM$158,0)),"")</f>
        <v/>
      </c>
      <c r="G40">
        <f>IFERROR(INDEX(Scores!$E$2:$E$158,MATCH($B40,Scores!$BM$2:$BM$158,0)),"")</f>
        <v/>
      </c>
      <c r="H40">
        <f>IFERROR(INDEX(Scores!$BJ$2:$BJ$158,MATCH($B40,Scores!$BM$2:$BM$158,0)),"")</f>
        <v/>
      </c>
      <c r="I40">
        <f>IFERROR(INDEX(Scores!$BL$2:$BL$158,MATCH($B40,Scores!$BM$2:$BM$158,0)),"")</f>
        <v/>
      </c>
      <c r="J40">
        <f>IFERROR(INDEX(Scores!$Q$2:$Q$158,MATCH($B40,Scores!$BM$2:$BM$158,0)),"")</f>
        <v/>
      </c>
      <c r="K40">
        <f>IFERROR(INDEX(Scores!$AE$2:$AE$158,MATCH($B40,Scores!$BM$2:$BM$158,0)),"")</f>
        <v/>
      </c>
      <c r="L40">
        <f>IFERROR(INDEX(Scores!$AM$2:$AM$158,MATCH($B40,Scores!$BM$2:$BM$158,0)),"")</f>
        <v/>
      </c>
      <c r="M40">
        <f>IFERROR(INDEX(Scores!$AW$2:$AW$158,MATCH($B40,Scores!$BM$2:$BM$158,0)),"")</f>
        <v/>
      </c>
      <c r="N40">
        <f>IFERROR(INDEX(Scores!$BG$2:$BG$158,MATCH($B40,Scores!$BM$2:$BM$158,0)),"")</f>
        <v/>
      </c>
    </row>
    <row r="41">
      <c r="A41" t="inlineStr">
        <is>
          <t>Ranked</t>
        </is>
      </c>
      <c r="B41" t="n">
        <v>39</v>
      </c>
      <c r="C41">
        <f>IFERROR(INDEX(Scores!$BM$2:$BM$158,MATCH($B41,Scores!$BM$2:$BM$158,0)),"")</f>
        <v/>
      </c>
      <c r="D41">
        <f>IFERROR(INDEX(Scores!$B$2:$B$158,MATCH($B41,Scores!$BM$2:$BM$158,0)),"")</f>
        <v/>
      </c>
      <c r="E41">
        <f>IFERROR(INDEX(Scores!$C$2:$C$158,MATCH($B41,Scores!$BM$2:$BM$158,0)),"")</f>
        <v/>
      </c>
      <c r="F41">
        <f>IFERROR(INDEX(Scores!$D$2:$D$158,MATCH($B41,Scores!$BM$2:$BM$158,0)),"")</f>
        <v/>
      </c>
      <c r="G41">
        <f>IFERROR(INDEX(Scores!$E$2:$E$158,MATCH($B41,Scores!$BM$2:$BM$158,0)),"")</f>
        <v/>
      </c>
      <c r="H41">
        <f>IFERROR(INDEX(Scores!$BJ$2:$BJ$158,MATCH($B41,Scores!$BM$2:$BM$158,0)),"")</f>
        <v/>
      </c>
      <c r="I41">
        <f>IFERROR(INDEX(Scores!$BL$2:$BL$158,MATCH($B41,Scores!$BM$2:$BM$158,0)),"")</f>
        <v/>
      </c>
      <c r="J41">
        <f>IFERROR(INDEX(Scores!$Q$2:$Q$158,MATCH($B41,Scores!$BM$2:$BM$158,0)),"")</f>
        <v/>
      </c>
      <c r="K41">
        <f>IFERROR(INDEX(Scores!$AE$2:$AE$158,MATCH($B41,Scores!$BM$2:$BM$158,0)),"")</f>
        <v/>
      </c>
      <c r="L41">
        <f>IFERROR(INDEX(Scores!$AM$2:$AM$158,MATCH($B41,Scores!$BM$2:$BM$158,0)),"")</f>
        <v/>
      </c>
      <c r="M41">
        <f>IFERROR(INDEX(Scores!$AW$2:$AW$158,MATCH($B41,Scores!$BM$2:$BM$158,0)),"")</f>
        <v/>
      </c>
      <c r="N41">
        <f>IFERROR(INDEX(Scores!$BG$2:$BG$158,MATCH($B41,Scores!$BM$2:$BM$158,0)),"")</f>
        <v/>
      </c>
    </row>
    <row r="42">
      <c r="A42" t="inlineStr">
        <is>
          <t>Ranked</t>
        </is>
      </c>
      <c r="B42" t="n">
        <v>40</v>
      </c>
      <c r="C42">
        <f>IFERROR(INDEX(Scores!$BM$2:$BM$158,MATCH($B42,Scores!$BM$2:$BM$158,0)),"")</f>
        <v/>
      </c>
      <c r="D42">
        <f>IFERROR(INDEX(Scores!$B$2:$B$158,MATCH($B42,Scores!$BM$2:$BM$158,0)),"")</f>
        <v/>
      </c>
      <c r="E42">
        <f>IFERROR(INDEX(Scores!$C$2:$C$158,MATCH($B42,Scores!$BM$2:$BM$158,0)),"")</f>
        <v/>
      </c>
      <c r="F42">
        <f>IFERROR(INDEX(Scores!$D$2:$D$158,MATCH($B42,Scores!$BM$2:$BM$158,0)),"")</f>
        <v/>
      </c>
      <c r="G42">
        <f>IFERROR(INDEX(Scores!$E$2:$E$158,MATCH($B42,Scores!$BM$2:$BM$158,0)),"")</f>
        <v/>
      </c>
      <c r="H42">
        <f>IFERROR(INDEX(Scores!$BJ$2:$BJ$158,MATCH($B42,Scores!$BM$2:$BM$158,0)),"")</f>
        <v/>
      </c>
      <c r="I42">
        <f>IFERROR(INDEX(Scores!$BL$2:$BL$158,MATCH($B42,Scores!$BM$2:$BM$158,0)),"")</f>
        <v/>
      </c>
      <c r="J42">
        <f>IFERROR(INDEX(Scores!$Q$2:$Q$158,MATCH($B42,Scores!$BM$2:$BM$158,0)),"")</f>
        <v/>
      </c>
      <c r="K42">
        <f>IFERROR(INDEX(Scores!$AE$2:$AE$158,MATCH($B42,Scores!$BM$2:$BM$158,0)),"")</f>
        <v/>
      </c>
      <c r="L42">
        <f>IFERROR(INDEX(Scores!$AM$2:$AM$158,MATCH($B42,Scores!$BM$2:$BM$158,0)),"")</f>
        <v/>
      </c>
      <c r="M42">
        <f>IFERROR(INDEX(Scores!$AW$2:$AW$158,MATCH($B42,Scores!$BM$2:$BM$158,0)),"")</f>
        <v/>
      </c>
      <c r="N42">
        <f>IFERROR(INDEX(Scores!$BG$2:$BG$158,MATCH($B42,Scores!$BM$2:$BM$158,0)),"")</f>
        <v/>
      </c>
    </row>
    <row r="43">
      <c r="A43" t="inlineStr">
        <is>
          <t>Ranked</t>
        </is>
      </c>
      <c r="B43" t="n">
        <v>41</v>
      </c>
      <c r="C43">
        <f>IFERROR(INDEX(Scores!$BM$2:$BM$158,MATCH($B43,Scores!$BM$2:$BM$158,0)),"")</f>
        <v/>
      </c>
      <c r="D43">
        <f>IFERROR(INDEX(Scores!$B$2:$B$158,MATCH($B43,Scores!$BM$2:$BM$158,0)),"")</f>
        <v/>
      </c>
      <c r="E43">
        <f>IFERROR(INDEX(Scores!$C$2:$C$158,MATCH($B43,Scores!$BM$2:$BM$158,0)),"")</f>
        <v/>
      </c>
      <c r="F43">
        <f>IFERROR(INDEX(Scores!$D$2:$D$158,MATCH($B43,Scores!$BM$2:$BM$158,0)),"")</f>
        <v/>
      </c>
      <c r="G43">
        <f>IFERROR(INDEX(Scores!$E$2:$E$158,MATCH($B43,Scores!$BM$2:$BM$158,0)),"")</f>
        <v/>
      </c>
      <c r="H43">
        <f>IFERROR(INDEX(Scores!$BJ$2:$BJ$158,MATCH($B43,Scores!$BM$2:$BM$158,0)),"")</f>
        <v/>
      </c>
      <c r="I43">
        <f>IFERROR(INDEX(Scores!$BL$2:$BL$158,MATCH($B43,Scores!$BM$2:$BM$158,0)),"")</f>
        <v/>
      </c>
      <c r="J43">
        <f>IFERROR(INDEX(Scores!$Q$2:$Q$158,MATCH($B43,Scores!$BM$2:$BM$158,0)),"")</f>
        <v/>
      </c>
      <c r="K43">
        <f>IFERROR(INDEX(Scores!$AE$2:$AE$158,MATCH($B43,Scores!$BM$2:$BM$158,0)),"")</f>
        <v/>
      </c>
      <c r="L43">
        <f>IFERROR(INDEX(Scores!$AM$2:$AM$158,MATCH($B43,Scores!$BM$2:$BM$158,0)),"")</f>
        <v/>
      </c>
      <c r="M43">
        <f>IFERROR(INDEX(Scores!$AW$2:$AW$158,MATCH($B43,Scores!$BM$2:$BM$158,0)),"")</f>
        <v/>
      </c>
      <c r="N43">
        <f>IFERROR(INDEX(Scores!$BG$2:$BG$158,MATCH($B43,Scores!$BM$2:$BM$158,0)),"")</f>
        <v/>
      </c>
    </row>
    <row r="44">
      <c r="A44" t="inlineStr">
        <is>
          <t>Ranked</t>
        </is>
      </c>
      <c r="B44" t="n">
        <v>42</v>
      </c>
      <c r="C44">
        <f>IFERROR(INDEX(Scores!$BM$2:$BM$158,MATCH($B44,Scores!$BM$2:$BM$158,0)),"")</f>
        <v/>
      </c>
      <c r="D44">
        <f>IFERROR(INDEX(Scores!$B$2:$B$158,MATCH($B44,Scores!$BM$2:$BM$158,0)),"")</f>
        <v/>
      </c>
      <c r="E44">
        <f>IFERROR(INDEX(Scores!$C$2:$C$158,MATCH($B44,Scores!$BM$2:$BM$158,0)),"")</f>
        <v/>
      </c>
      <c r="F44">
        <f>IFERROR(INDEX(Scores!$D$2:$D$158,MATCH($B44,Scores!$BM$2:$BM$158,0)),"")</f>
        <v/>
      </c>
      <c r="G44">
        <f>IFERROR(INDEX(Scores!$E$2:$E$158,MATCH($B44,Scores!$BM$2:$BM$158,0)),"")</f>
        <v/>
      </c>
      <c r="H44">
        <f>IFERROR(INDEX(Scores!$BJ$2:$BJ$158,MATCH($B44,Scores!$BM$2:$BM$158,0)),"")</f>
        <v/>
      </c>
      <c r="I44">
        <f>IFERROR(INDEX(Scores!$BL$2:$BL$158,MATCH($B44,Scores!$BM$2:$BM$158,0)),"")</f>
        <v/>
      </c>
      <c r="J44">
        <f>IFERROR(INDEX(Scores!$Q$2:$Q$158,MATCH($B44,Scores!$BM$2:$BM$158,0)),"")</f>
        <v/>
      </c>
      <c r="K44">
        <f>IFERROR(INDEX(Scores!$AE$2:$AE$158,MATCH($B44,Scores!$BM$2:$BM$158,0)),"")</f>
        <v/>
      </c>
      <c r="L44">
        <f>IFERROR(INDEX(Scores!$AM$2:$AM$158,MATCH($B44,Scores!$BM$2:$BM$158,0)),"")</f>
        <v/>
      </c>
      <c r="M44">
        <f>IFERROR(INDEX(Scores!$AW$2:$AW$158,MATCH($B44,Scores!$BM$2:$BM$158,0)),"")</f>
        <v/>
      </c>
      <c r="N44">
        <f>IFERROR(INDEX(Scores!$BG$2:$BG$158,MATCH($B44,Scores!$BM$2:$BM$158,0)),"")</f>
        <v/>
      </c>
    </row>
    <row r="45">
      <c r="A45" t="inlineStr">
        <is>
          <t>Ranked</t>
        </is>
      </c>
      <c r="B45" t="n">
        <v>43</v>
      </c>
      <c r="C45">
        <f>IFERROR(INDEX(Scores!$BM$2:$BM$158,MATCH($B45,Scores!$BM$2:$BM$158,0)),"")</f>
        <v/>
      </c>
      <c r="D45">
        <f>IFERROR(INDEX(Scores!$B$2:$B$158,MATCH($B45,Scores!$BM$2:$BM$158,0)),"")</f>
        <v/>
      </c>
      <c r="E45">
        <f>IFERROR(INDEX(Scores!$C$2:$C$158,MATCH($B45,Scores!$BM$2:$BM$158,0)),"")</f>
        <v/>
      </c>
      <c r="F45">
        <f>IFERROR(INDEX(Scores!$D$2:$D$158,MATCH($B45,Scores!$BM$2:$BM$158,0)),"")</f>
        <v/>
      </c>
      <c r="G45">
        <f>IFERROR(INDEX(Scores!$E$2:$E$158,MATCH($B45,Scores!$BM$2:$BM$158,0)),"")</f>
        <v/>
      </c>
      <c r="H45">
        <f>IFERROR(INDEX(Scores!$BJ$2:$BJ$158,MATCH($B45,Scores!$BM$2:$BM$158,0)),"")</f>
        <v/>
      </c>
      <c r="I45">
        <f>IFERROR(INDEX(Scores!$BL$2:$BL$158,MATCH($B45,Scores!$BM$2:$BM$158,0)),"")</f>
        <v/>
      </c>
      <c r="J45">
        <f>IFERROR(INDEX(Scores!$Q$2:$Q$158,MATCH($B45,Scores!$BM$2:$BM$158,0)),"")</f>
        <v/>
      </c>
      <c r="K45">
        <f>IFERROR(INDEX(Scores!$AE$2:$AE$158,MATCH($B45,Scores!$BM$2:$BM$158,0)),"")</f>
        <v/>
      </c>
      <c r="L45">
        <f>IFERROR(INDEX(Scores!$AM$2:$AM$158,MATCH($B45,Scores!$BM$2:$BM$158,0)),"")</f>
        <v/>
      </c>
      <c r="M45">
        <f>IFERROR(INDEX(Scores!$AW$2:$AW$158,MATCH($B45,Scores!$BM$2:$BM$158,0)),"")</f>
        <v/>
      </c>
      <c r="N45">
        <f>IFERROR(INDEX(Scores!$BG$2:$BG$158,MATCH($B45,Scores!$BM$2:$BM$158,0)),"")</f>
        <v/>
      </c>
    </row>
    <row r="46">
      <c r="A46" t="inlineStr">
        <is>
          <t>Ranked</t>
        </is>
      </c>
      <c r="B46" t="n">
        <v>44</v>
      </c>
      <c r="C46">
        <f>IFERROR(INDEX(Scores!$BM$2:$BM$158,MATCH($B46,Scores!$BM$2:$BM$158,0)),"")</f>
        <v/>
      </c>
      <c r="D46">
        <f>IFERROR(INDEX(Scores!$B$2:$B$158,MATCH($B46,Scores!$BM$2:$BM$158,0)),"")</f>
        <v/>
      </c>
      <c r="E46">
        <f>IFERROR(INDEX(Scores!$C$2:$C$158,MATCH($B46,Scores!$BM$2:$BM$158,0)),"")</f>
        <v/>
      </c>
      <c r="F46">
        <f>IFERROR(INDEX(Scores!$D$2:$D$158,MATCH($B46,Scores!$BM$2:$BM$158,0)),"")</f>
        <v/>
      </c>
      <c r="G46">
        <f>IFERROR(INDEX(Scores!$E$2:$E$158,MATCH($B46,Scores!$BM$2:$BM$158,0)),"")</f>
        <v/>
      </c>
      <c r="H46">
        <f>IFERROR(INDEX(Scores!$BJ$2:$BJ$158,MATCH($B46,Scores!$BM$2:$BM$158,0)),"")</f>
        <v/>
      </c>
      <c r="I46">
        <f>IFERROR(INDEX(Scores!$BL$2:$BL$158,MATCH($B46,Scores!$BM$2:$BM$158,0)),"")</f>
        <v/>
      </c>
      <c r="J46">
        <f>IFERROR(INDEX(Scores!$Q$2:$Q$158,MATCH($B46,Scores!$BM$2:$BM$158,0)),"")</f>
        <v/>
      </c>
      <c r="K46">
        <f>IFERROR(INDEX(Scores!$AE$2:$AE$158,MATCH($B46,Scores!$BM$2:$BM$158,0)),"")</f>
        <v/>
      </c>
      <c r="L46">
        <f>IFERROR(INDEX(Scores!$AM$2:$AM$158,MATCH($B46,Scores!$BM$2:$BM$158,0)),"")</f>
        <v/>
      </c>
      <c r="M46">
        <f>IFERROR(INDEX(Scores!$AW$2:$AW$158,MATCH($B46,Scores!$BM$2:$BM$158,0)),"")</f>
        <v/>
      </c>
      <c r="N46">
        <f>IFERROR(INDEX(Scores!$BG$2:$BG$158,MATCH($B46,Scores!$BM$2:$BM$158,0)),"")</f>
        <v/>
      </c>
    </row>
    <row r="47">
      <c r="A47" t="inlineStr">
        <is>
          <t>Ranked</t>
        </is>
      </c>
      <c r="B47" t="n">
        <v>45</v>
      </c>
      <c r="C47">
        <f>IFERROR(INDEX(Scores!$BM$2:$BM$158,MATCH($B47,Scores!$BM$2:$BM$158,0)),"")</f>
        <v/>
      </c>
      <c r="D47">
        <f>IFERROR(INDEX(Scores!$B$2:$B$158,MATCH($B47,Scores!$BM$2:$BM$158,0)),"")</f>
        <v/>
      </c>
      <c r="E47">
        <f>IFERROR(INDEX(Scores!$C$2:$C$158,MATCH($B47,Scores!$BM$2:$BM$158,0)),"")</f>
        <v/>
      </c>
      <c r="F47">
        <f>IFERROR(INDEX(Scores!$D$2:$D$158,MATCH($B47,Scores!$BM$2:$BM$158,0)),"")</f>
        <v/>
      </c>
      <c r="G47">
        <f>IFERROR(INDEX(Scores!$E$2:$E$158,MATCH($B47,Scores!$BM$2:$BM$158,0)),"")</f>
        <v/>
      </c>
      <c r="H47">
        <f>IFERROR(INDEX(Scores!$BJ$2:$BJ$158,MATCH($B47,Scores!$BM$2:$BM$158,0)),"")</f>
        <v/>
      </c>
      <c r="I47">
        <f>IFERROR(INDEX(Scores!$BL$2:$BL$158,MATCH($B47,Scores!$BM$2:$BM$158,0)),"")</f>
        <v/>
      </c>
      <c r="J47">
        <f>IFERROR(INDEX(Scores!$Q$2:$Q$158,MATCH($B47,Scores!$BM$2:$BM$158,0)),"")</f>
        <v/>
      </c>
      <c r="K47">
        <f>IFERROR(INDEX(Scores!$AE$2:$AE$158,MATCH($B47,Scores!$BM$2:$BM$158,0)),"")</f>
        <v/>
      </c>
      <c r="L47">
        <f>IFERROR(INDEX(Scores!$AM$2:$AM$158,MATCH($B47,Scores!$BM$2:$BM$158,0)),"")</f>
        <v/>
      </c>
      <c r="M47">
        <f>IFERROR(INDEX(Scores!$AW$2:$AW$158,MATCH($B47,Scores!$BM$2:$BM$158,0)),"")</f>
        <v/>
      </c>
      <c r="N47">
        <f>IFERROR(INDEX(Scores!$BG$2:$BG$158,MATCH($B47,Scores!$BM$2:$BM$158,0)),"")</f>
        <v/>
      </c>
    </row>
    <row r="48">
      <c r="A48" t="inlineStr">
        <is>
          <t>Ranked</t>
        </is>
      </c>
      <c r="B48" t="n">
        <v>46</v>
      </c>
      <c r="C48">
        <f>IFERROR(INDEX(Scores!$BM$2:$BM$158,MATCH($B48,Scores!$BM$2:$BM$158,0)),"")</f>
        <v/>
      </c>
      <c r="D48">
        <f>IFERROR(INDEX(Scores!$B$2:$B$158,MATCH($B48,Scores!$BM$2:$BM$158,0)),"")</f>
        <v/>
      </c>
      <c r="E48">
        <f>IFERROR(INDEX(Scores!$C$2:$C$158,MATCH($B48,Scores!$BM$2:$BM$158,0)),"")</f>
        <v/>
      </c>
      <c r="F48">
        <f>IFERROR(INDEX(Scores!$D$2:$D$158,MATCH($B48,Scores!$BM$2:$BM$158,0)),"")</f>
        <v/>
      </c>
      <c r="G48">
        <f>IFERROR(INDEX(Scores!$E$2:$E$158,MATCH($B48,Scores!$BM$2:$BM$158,0)),"")</f>
        <v/>
      </c>
      <c r="H48">
        <f>IFERROR(INDEX(Scores!$BJ$2:$BJ$158,MATCH($B48,Scores!$BM$2:$BM$158,0)),"")</f>
        <v/>
      </c>
      <c r="I48">
        <f>IFERROR(INDEX(Scores!$BL$2:$BL$158,MATCH($B48,Scores!$BM$2:$BM$158,0)),"")</f>
        <v/>
      </c>
      <c r="J48">
        <f>IFERROR(INDEX(Scores!$Q$2:$Q$158,MATCH($B48,Scores!$BM$2:$BM$158,0)),"")</f>
        <v/>
      </c>
      <c r="K48">
        <f>IFERROR(INDEX(Scores!$AE$2:$AE$158,MATCH($B48,Scores!$BM$2:$BM$158,0)),"")</f>
        <v/>
      </c>
      <c r="L48">
        <f>IFERROR(INDEX(Scores!$AM$2:$AM$158,MATCH($B48,Scores!$BM$2:$BM$158,0)),"")</f>
        <v/>
      </c>
      <c r="M48">
        <f>IFERROR(INDEX(Scores!$AW$2:$AW$158,MATCH($B48,Scores!$BM$2:$BM$158,0)),"")</f>
        <v/>
      </c>
      <c r="N48">
        <f>IFERROR(INDEX(Scores!$BG$2:$BG$158,MATCH($B48,Scores!$BM$2:$BM$158,0)),"")</f>
        <v/>
      </c>
    </row>
    <row r="49">
      <c r="A49" t="inlineStr">
        <is>
          <t>Ranked</t>
        </is>
      </c>
      <c r="B49" t="n">
        <v>47</v>
      </c>
      <c r="C49">
        <f>IFERROR(INDEX(Scores!$BM$2:$BM$158,MATCH($B49,Scores!$BM$2:$BM$158,0)),"")</f>
        <v/>
      </c>
      <c r="D49">
        <f>IFERROR(INDEX(Scores!$B$2:$B$158,MATCH($B49,Scores!$BM$2:$BM$158,0)),"")</f>
        <v/>
      </c>
      <c r="E49">
        <f>IFERROR(INDEX(Scores!$C$2:$C$158,MATCH($B49,Scores!$BM$2:$BM$158,0)),"")</f>
        <v/>
      </c>
      <c r="F49">
        <f>IFERROR(INDEX(Scores!$D$2:$D$158,MATCH($B49,Scores!$BM$2:$BM$158,0)),"")</f>
        <v/>
      </c>
      <c r="G49">
        <f>IFERROR(INDEX(Scores!$E$2:$E$158,MATCH($B49,Scores!$BM$2:$BM$158,0)),"")</f>
        <v/>
      </c>
      <c r="H49">
        <f>IFERROR(INDEX(Scores!$BJ$2:$BJ$158,MATCH($B49,Scores!$BM$2:$BM$158,0)),"")</f>
        <v/>
      </c>
      <c r="I49">
        <f>IFERROR(INDEX(Scores!$BL$2:$BL$158,MATCH($B49,Scores!$BM$2:$BM$158,0)),"")</f>
        <v/>
      </c>
      <c r="J49">
        <f>IFERROR(INDEX(Scores!$Q$2:$Q$158,MATCH($B49,Scores!$BM$2:$BM$158,0)),"")</f>
        <v/>
      </c>
      <c r="K49">
        <f>IFERROR(INDEX(Scores!$AE$2:$AE$158,MATCH($B49,Scores!$BM$2:$BM$158,0)),"")</f>
        <v/>
      </c>
      <c r="L49">
        <f>IFERROR(INDEX(Scores!$AM$2:$AM$158,MATCH($B49,Scores!$BM$2:$BM$158,0)),"")</f>
        <v/>
      </c>
      <c r="M49">
        <f>IFERROR(INDEX(Scores!$AW$2:$AW$158,MATCH($B49,Scores!$BM$2:$BM$158,0)),"")</f>
        <v/>
      </c>
      <c r="N49">
        <f>IFERROR(INDEX(Scores!$BG$2:$BG$158,MATCH($B49,Scores!$BM$2:$BM$158,0)),"")</f>
        <v/>
      </c>
    </row>
    <row r="50">
      <c r="A50" t="inlineStr">
        <is>
          <t>Ranked</t>
        </is>
      </c>
      <c r="B50" t="n">
        <v>48</v>
      </c>
      <c r="C50">
        <f>IFERROR(INDEX(Scores!$BM$2:$BM$158,MATCH($B50,Scores!$BM$2:$BM$158,0)),"")</f>
        <v/>
      </c>
      <c r="D50">
        <f>IFERROR(INDEX(Scores!$B$2:$B$158,MATCH($B50,Scores!$BM$2:$BM$158,0)),"")</f>
        <v/>
      </c>
      <c r="E50">
        <f>IFERROR(INDEX(Scores!$C$2:$C$158,MATCH($B50,Scores!$BM$2:$BM$158,0)),"")</f>
        <v/>
      </c>
      <c r="F50">
        <f>IFERROR(INDEX(Scores!$D$2:$D$158,MATCH($B50,Scores!$BM$2:$BM$158,0)),"")</f>
        <v/>
      </c>
      <c r="G50">
        <f>IFERROR(INDEX(Scores!$E$2:$E$158,MATCH($B50,Scores!$BM$2:$BM$158,0)),"")</f>
        <v/>
      </c>
      <c r="H50">
        <f>IFERROR(INDEX(Scores!$BJ$2:$BJ$158,MATCH($B50,Scores!$BM$2:$BM$158,0)),"")</f>
        <v/>
      </c>
      <c r="I50">
        <f>IFERROR(INDEX(Scores!$BL$2:$BL$158,MATCH($B50,Scores!$BM$2:$BM$158,0)),"")</f>
        <v/>
      </c>
      <c r="J50">
        <f>IFERROR(INDEX(Scores!$Q$2:$Q$158,MATCH($B50,Scores!$BM$2:$BM$158,0)),"")</f>
        <v/>
      </c>
      <c r="K50">
        <f>IFERROR(INDEX(Scores!$AE$2:$AE$158,MATCH($B50,Scores!$BM$2:$BM$158,0)),"")</f>
        <v/>
      </c>
      <c r="L50">
        <f>IFERROR(INDEX(Scores!$AM$2:$AM$158,MATCH($B50,Scores!$BM$2:$BM$158,0)),"")</f>
        <v/>
      </c>
      <c r="M50">
        <f>IFERROR(INDEX(Scores!$AW$2:$AW$158,MATCH($B50,Scores!$BM$2:$BM$158,0)),"")</f>
        <v/>
      </c>
      <c r="N50">
        <f>IFERROR(INDEX(Scores!$BG$2:$BG$158,MATCH($B50,Scores!$BM$2:$BM$158,0)),"")</f>
        <v/>
      </c>
    </row>
    <row r="51">
      <c r="A51" t="inlineStr">
        <is>
          <t>Ranked</t>
        </is>
      </c>
      <c r="B51" t="n">
        <v>49</v>
      </c>
      <c r="C51">
        <f>IFERROR(INDEX(Scores!$BM$2:$BM$158,MATCH($B51,Scores!$BM$2:$BM$158,0)),"")</f>
        <v/>
      </c>
      <c r="D51">
        <f>IFERROR(INDEX(Scores!$B$2:$B$158,MATCH($B51,Scores!$BM$2:$BM$158,0)),"")</f>
        <v/>
      </c>
      <c r="E51">
        <f>IFERROR(INDEX(Scores!$C$2:$C$158,MATCH($B51,Scores!$BM$2:$BM$158,0)),"")</f>
        <v/>
      </c>
      <c r="F51">
        <f>IFERROR(INDEX(Scores!$D$2:$D$158,MATCH($B51,Scores!$BM$2:$BM$158,0)),"")</f>
        <v/>
      </c>
      <c r="G51">
        <f>IFERROR(INDEX(Scores!$E$2:$E$158,MATCH($B51,Scores!$BM$2:$BM$158,0)),"")</f>
        <v/>
      </c>
      <c r="H51">
        <f>IFERROR(INDEX(Scores!$BJ$2:$BJ$158,MATCH($B51,Scores!$BM$2:$BM$158,0)),"")</f>
        <v/>
      </c>
      <c r="I51">
        <f>IFERROR(INDEX(Scores!$BL$2:$BL$158,MATCH($B51,Scores!$BM$2:$BM$158,0)),"")</f>
        <v/>
      </c>
      <c r="J51">
        <f>IFERROR(INDEX(Scores!$Q$2:$Q$158,MATCH($B51,Scores!$BM$2:$BM$158,0)),"")</f>
        <v/>
      </c>
      <c r="K51">
        <f>IFERROR(INDEX(Scores!$AE$2:$AE$158,MATCH($B51,Scores!$BM$2:$BM$158,0)),"")</f>
        <v/>
      </c>
      <c r="L51">
        <f>IFERROR(INDEX(Scores!$AM$2:$AM$158,MATCH($B51,Scores!$BM$2:$BM$158,0)),"")</f>
        <v/>
      </c>
      <c r="M51">
        <f>IFERROR(INDEX(Scores!$AW$2:$AW$158,MATCH($B51,Scores!$BM$2:$BM$158,0)),"")</f>
        <v/>
      </c>
      <c r="N51">
        <f>IFERROR(INDEX(Scores!$BG$2:$BG$158,MATCH($B51,Scores!$BM$2:$BM$158,0)),"")</f>
        <v/>
      </c>
    </row>
    <row r="52">
      <c r="A52" t="inlineStr">
        <is>
          <t>Ranked</t>
        </is>
      </c>
      <c r="B52" t="n">
        <v>50</v>
      </c>
      <c r="C52">
        <f>IFERROR(INDEX(Scores!$BM$2:$BM$158,MATCH($B52,Scores!$BM$2:$BM$158,0)),"")</f>
        <v/>
      </c>
      <c r="D52">
        <f>IFERROR(INDEX(Scores!$B$2:$B$158,MATCH($B52,Scores!$BM$2:$BM$158,0)),"")</f>
        <v/>
      </c>
      <c r="E52">
        <f>IFERROR(INDEX(Scores!$C$2:$C$158,MATCH($B52,Scores!$BM$2:$BM$158,0)),"")</f>
        <v/>
      </c>
      <c r="F52">
        <f>IFERROR(INDEX(Scores!$D$2:$D$158,MATCH($B52,Scores!$BM$2:$BM$158,0)),"")</f>
        <v/>
      </c>
      <c r="G52">
        <f>IFERROR(INDEX(Scores!$E$2:$E$158,MATCH($B52,Scores!$BM$2:$BM$158,0)),"")</f>
        <v/>
      </c>
      <c r="H52">
        <f>IFERROR(INDEX(Scores!$BJ$2:$BJ$158,MATCH($B52,Scores!$BM$2:$BM$158,0)),"")</f>
        <v/>
      </c>
      <c r="I52">
        <f>IFERROR(INDEX(Scores!$BL$2:$BL$158,MATCH($B52,Scores!$BM$2:$BM$158,0)),"")</f>
        <v/>
      </c>
      <c r="J52">
        <f>IFERROR(INDEX(Scores!$Q$2:$Q$158,MATCH($B52,Scores!$BM$2:$BM$158,0)),"")</f>
        <v/>
      </c>
      <c r="K52">
        <f>IFERROR(INDEX(Scores!$AE$2:$AE$158,MATCH($B52,Scores!$BM$2:$BM$158,0)),"")</f>
        <v/>
      </c>
      <c r="L52">
        <f>IFERROR(INDEX(Scores!$AM$2:$AM$158,MATCH($B52,Scores!$BM$2:$BM$158,0)),"")</f>
        <v/>
      </c>
      <c r="M52">
        <f>IFERROR(INDEX(Scores!$AW$2:$AW$158,MATCH($B52,Scores!$BM$2:$BM$158,0)),"")</f>
        <v/>
      </c>
      <c r="N52">
        <f>IFERROR(INDEX(Scores!$BG$2:$BG$158,MATCH($B52,Scores!$BM$2:$BM$158,0)),"")</f>
        <v/>
      </c>
    </row>
    <row r="53">
      <c r="A53" t="inlineStr">
        <is>
          <t>Ranked</t>
        </is>
      </c>
      <c r="B53" t="n">
        <v>51</v>
      </c>
      <c r="C53">
        <f>IFERROR(INDEX(Scores!$BM$2:$BM$158,MATCH($B53,Scores!$BM$2:$BM$158,0)),"")</f>
        <v/>
      </c>
      <c r="D53">
        <f>IFERROR(INDEX(Scores!$B$2:$B$158,MATCH($B53,Scores!$BM$2:$BM$158,0)),"")</f>
        <v/>
      </c>
      <c r="E53">
        <f>IFERROR(INDEX(Scores!$C$2:$C$158,MATCH($B53,Scores!$BM$2:$BM$158,0)),"")</f>
        <v/>
      </c>
      <c r="F53">
        <f>IFERROR(INDEX(Scores!$D$2:$D$158,MATCH($B53,Scores!$BM$2:$BM$158,0)),"")</f>
        <v/>
      </c>
      <c r="G53">
        <f>IFERROR(INDEX(Scores!$E$2:$E$158,MATCH($B53,Scores!$BM$2:$BM$158,0)),"")</f>
        <v/>
      </c>
      <c r="H53">
        <f>IFERROR(INDEX(Scores!$BJ$2:$BJ$158,MATCH($B53,Scores!$BM$2:$BM$158,0)),"")</f>
        <v/>
      </c>
      <c r="I53">
        <f>IFERROR(INDEX(Scores!$BL$2:$BL$158,MATCH($B53,Scores!$BM$2:$BM$158,0)),"")</f>
        <v/>
      </c>
      <c r="J53">
        <f>IFERROR(INDEX(Scores!$Q$2:$Q$158,MATCH($B53,Scores!$BM$2:$BM$158,0)),"")</f>
        <v/>
      </c>
      <c r="K53">
        <f>IFERROR(INDEX(Scores!$AE$2:$AE$158,MATCH($B53,Scores!$BM$2:$BM$158,0)),"")</f>
        <v/>
      </c>
      <c r="L53">
        <f>IFERROR(INDEX(Scores!$AM$2:$AM$158,MATCH($B53,Scores!$BM$2:$BM$158,0)),"")</f>
        <v/>
      </c>
      <c r="M53">
        <f>IFERROR(INDEX(Scores!$AW$2:$AW$158,MATCH($B53,Scores!$BM$2:$BM$158,0)),"")</f>
        <v/>
      </c>
      <c r="N53">
        <f>IFERROR(INDEX(Scores!$BG$2:$BG$158,MATCH($B53,Scores!$BM$2:$BM$158,0)),"")</f>
        <v/>
      </c>
    </row>
    <row r="54">
      <c r="A54" t="inlineStr">
        <is>
          <t>Ranked</t>
        </is>
      </c>
      <c r="B54" t="n">
        <v>52</v>
      </c>
      <c r="C54">
        <f>IFERROR(INDEX(Scores!$BM$2:$BM$158,MATCH($B54,Scores!$BM$2:$BM$158,0)),"")</f>
        <v/>
      </c>
      <c r="D54">
        <f>IFERROR(INDEX(Scores!$B$2:$B$158,MATCH($B54,Scores!$BM$2:$BM$158,0)),"")</f>
        <v/>
      </c>
      <c r="E54">
        <f>IFERROR(INDEX(Scores!$C$2:$C$158,MATCH($B54,Scores!$BM$2:$BM$158,0)),"")</f>
        <v/>
      </c>
      <c r="F54">
        <f>IFERROR(INDEX(Scores!$D$2:$D$158,MATCH($B54,Scores!$BM$2:$BM$158,0)),"")</f>
        <v/>
      </c>
      <c r="G54">
        <f>IFERROR(INDEX(Scores!$E$2:$E$158,MATCH($B54,Scores!$BM$2:$BM$158,0)),"")</f>
        <v/>
      </c>
      <c r="H54">
        <f>IFERROR(INDEX(Scores!$BJ$2:$BJ$158,MATCH($B54,Scores!$BM$2:$BM$158,0)),"")</f>
        <v/>
      </c>
      <c r="I54">
        <f>IFERROR(INDEX(Scores!$BL$2:$BL$158,MATCH($B54,Scores!$BM$2:$BM$158,0)),"")</f>
        <v/>
      </c>
      <c r="J54">
        <f>IFERROR(INDEX(Scores!$Q$2:$Q$158,MATCH($B54,Scores!$BM$2:$BM$158,0)),"")</f>
        <v/>
      </c>
      <c r="K54">
        <f>IFERROR(INDEX(Scores!$AE$2:$AE$158,MATCH($B54,Scores!$BM$2:$BM$158,0)),"")</f>
        <v/>
      </c>
      <c r="L54">
        <f>IFERROR(INDEX(Scores!$AM$2:$AM$158,MATCH($B54,Scores!$BM$2:$BM$158,0)),"")</f>
        <v/>
      </c>
      <c r="M54">
        <f>IFERROR(INDEX(Scores!$AW$2:$AW$158,MATCH($B54,Scores!$BM$2:$BM$158,0)),"")</f>
        <v/>
      </c>
      <c r="N54">
        <f>IFERROR(INDEX(Scores!$BG$2:$BG$158,MATCH($B54,Scores!$BM$2:$BM$158,0)),"")</f>
        <v/>
      </c>
    </row>
    <row r="55">
      <c r="A55" t="inlineStr">
        <is>
          <t>Ranked</t>
        </is>
      </c>
      <c r="B55" t="n">
        <v>53</v>
      </c>
      <c r="C55">
        <f>IFERROR(INDEX(Scores!$BM$2:$BM$158,MATCH($B55,Scores!$BM$2:$BM$158,0)),"")</f>
        <v/>
      </c>
      <c r="D55">
        <f>IFERROR(INDEX(Scores!$B$2:$B$158,MATCH($B55,Scores!$BM$2:$BM$158,0)),"")</f>
        <v/>
      </c>
      <c r="E55">
        <f>IFERROR(INDEX(Scores!$C$2:$C$158,MATCH($B55,Scores!$BM$2:$BM$158,0)),"")</f>
        <v/>
      </c>
      <c r="F55">
        <f>IFERROR(INDEX(Scores!$D$2:$D$158,MATCH($B55,Scores!$BM$2:$BM$158,0)),"")</f>
        <v/>
      </c>
      <c r="G55">
        <f>IFERROR(INDEX(Scores!$E$2:$E$158,MATCH($B55,Scores!$BM$2:$BM$158,0)),"")</f>
        <v/>
      </c>
      <c r="H55">
        <f>IFERROR(INDEX(Scores!$BJ$2:$BJ$158,MATCH($B55,Scores!$BM$2:$BM$158,0)),"")</f>
        <v/>
      </c>
      <c r="I55">
        <f>IFERROR(INDEX(Scores!$BL$2:$BL$158,MATCH($B55,Scores!$BM$2:$BM$158,0)),"")</f>
        <v/>
      </c>
      <c r="J55">
        <f>IFERROR(INDEX(Scores!$Q$2:$Q$158,MATCH($B55,Scores!$BM$2:$BM$158,0)),"")</f>
        <v/>
      </c>
      <c r="K55">
        <f>IFERROR(INDEX(Scores!$AE$2:$AE$158,MATCH($B55,Scores!$BM$2:$BM$158,0)),"")</f>
        <v/>
      </c>
      <c r="L55">
        <f>IFERROR(INDEX(Scores!$AM$2:$AM$158,MATCH($B55,Scores!$BM$2:$BM$158,0)),"")</f>
        <v/>
      </c>
      <c r="M55">
        <f>IFERROR(INDEX(Scores!$AW$2:$AW$158,MATCH($B55,Scores!$BM$2:$BM$158,0)),"")</f>
        <v/>
      </c>
      <c r="N55">
        <f>IFERROR(INDEX(Scores!$BG$2:$BG$158,MATCH($B55,Scores!$BM$2:$BM$158,0)),"")</f>
        <v/>
      </c>
    </row>
    <row r="56">
      <c r="A56" t="inlineStr">
        <is>
          <t>Ranked</t>
        </is>
      </c>
      <c r="B56" t="n">
        <v>54</v>
      </c>
      <c r="C56">
        <f>IFERROR(INDEX(Scores!$BM$2:$BM$158,MATCH($B56,Scores!$BM$2:$BM$158,0)),"")</f>
        <v/>
      </c>
      <c r="D56">
        <f>IFERROR(INDEX(Scores!$B$2:$B$158,MATCH($B56,Scores!$BM$2:$BM$158,0)),"")</f>
        <v/>
      </c>
      <c r="E56">
        <f>IFERROR(INDEX(Scores!$C$2:$C$158,MATCH($B56,Scores!$BM$2:$BM$158,0)),"")</f>
        <v/>
      </c>
      <c r="F56">
        <f>IFERROR(INDEX(Scores!$D$2:$D$158,MATCH($B56,Scores!$BM$2:$BM$158,0)),"")</f>
        <v/>
      </c>
      <c r="G56">
        <f>IFERROR(INDEX(Scores!$E$2:$E$158,MATCH($B56,Scores!$BM$2:$BM$158,0)),"")</f>
        <v/>
      </c>
      <c r="H56">
        <f>IFERROR(INDEX(Scores!$BJ$2:$BJ$158,MATCH($B56,Scores!$BM$2:$BM$158,0)),"")</f>
        <v/>
      </c>
      <c r="I56">
        <f>IFERROR(INDEX(Scores!$BL$2:$BL$158,MATCH($B56,Scores!$BM$2:$BM$158,0)),"")</f>
        <v/>
      </c>
      <c r="J56">
        <f>IFERROR(INDEX(Scores!$Q$2:$Q$158,MATCH($B56,Scores!$BM$2:$BM$158,0)),"")</f>
        <v/>
      </c>
      <c r="K56">
        <f>IFERROR(INDEX(Scores!$AE$2:$AE$158,MATCH($B56,Scores!$BM$2:$BM$158,0)),"")</f>
        <v/>
      </c>
      <c r="L56">
        <f>IFERROR(INDEX(Scores!$AM$2:$AM$158,MATCH($B56,Scores!$BM$2:$BM$158,0)),"")</f>
        <v/>
      </c>
      <c r="M56">
        <f>IFERROR(INDEX(Scores!$AW$2:$AW$158,MATCH($B56,Scores!$BM$2:$BM$158,0)),"")</f>
        <v/>
      </c>
      <c r="N56">
        <f>IFERROR(INDEX(Scores!$BG$2:$BG$158,MATCH($B56,Scores!$BM$2:$BM$158,0)),"")</f>
        <v/>
      </c>
    </row>
    <row r="57">
      <c r="A57" t="inlineStr">
        <is>
          <t>Ranked</t>
        </is>
      </c>
      <c r="B57" t="n">
        <v>55</v>
      </c>
      <c r="C57">
        <f>IFERROR(INDEX(Scores!$BM$2:$BM$158,MATCH($B57,Scores!$BM$2:$BM$158,0)),"")</f>
        <v/>
      </c>
      <c r="D57">
        <f>IFERROR(INDEX(Scores!$B$2:$B$158,MATCH($B57,Scores!$BM$2:$BM$158,0)),"")</f>
        <v/>
      </c>
      <c r="E57">
        <f>IFERROR(INDEX(Scores!$C$2:$C$158,MATCH($B57,Scores!$BM$2:$BM$158,0)),"")</f>
        <v/>
      </c>
      <c r="F57">
        <f>IFERROR(INDEX(Scores!$D$2:$D$158,MATCH($B57,Scores!$BM$2:$BM$158,0)),"")</f>
        <v/>
      </c>
      <c r="G57">
        <f>IFERROR(INDEX(Scores!$E$2:$E$158,MATCH($B57,Scores!$BM$2:$BM$158,0)),"")</f>
        <v/>
      </c>
      <c r="H57">
        <f>IFERROR(INDEX(Scores!$BJ$2:$BJ$158,MATCH($B57,Scores!$BM$2:$BM$158,0)),"")</f>
        <v/>
      </c>
      <c r="I57">
        <f>IFERROR(INDEX(Scores!$BL$2:$BL$158,MATCH($B57,Scores!$BM$2:$BM$158,0)),"")</f>
        <v/>
      </c>
      <c r="J57">
        <f>IFERROR(INDEX(Scores!$Q$2:$Q$158,MATCH($B57,Scores!$BM$2:$BM$158,0)),"")</f>
        <v/>
      </c>
      <c r="K57">
        <f>IFERROR(INDEX(Scores!$AE$2:$AE$158,MATCH($B57,Scores!$BM$2:$BM$158,0)),"")</f>
        <v/>
      </c>
      <c r="L57">
        <f>IFERROR(INDEX(Scores!$AM$2:$AM$158,MATCH($B57,Scores!$BM$2:$BM$158,0)),"")</f>
        <v/>
      </c>
      <c r="M57">
        <f>IFERROR(INDEX(Scores!$AW$2:$AW$158,MATCH($B57,Scores!$BM$2:$BM$158,0)),"")</f>
        <v/>
      </c>
      <c r="N57">
        <f>IFERROR(INDEX(Scores!$BG$2:$BG$158,MATCH($B57,Scores!$BM$2:$BM$158,0)),"")</f>
        <v/>
      </c>
    </row>
    <row r="58">
      <c r="A58" t="inlineStr">
        <is>
          <t>Ranked</t>
        </is>
      </c>
      <c r="B58" t="n">
        <v>56</v>
      </c>
      <c r="C58">
        <f>IFERROR(INDEX(Scores!$BM$2:$BM$158,MATCH($B58,Scores!$BM$2:$BM$158,0)),"")</f>
        <v/>
      </c>
      <c r="D58">
        <f>IFERROR(INDEX(Scores!$B$2:$B$158,MATCH($B58,Scores!$BM$2:$BM$158,0)),"")</f>
        <v/>
      </c>
      <c r="E58">
        <f>IFERROR(INDEX(Scores!$C$2:$C$158,MATCH($B58,Scores!$BM$2:$BM$158,0)),"")</f>
        <v/>
      </c>
      <c r="F58">
        <f>IFERROR(INDEX(Scores!$D$2:$D$158,MATCH($B58,Scores!$BM$2:$BM$158,0)),"")</f>
        <v/>
      </c>
      <c r="G58">
        <f>IFERROR(INDEX(Scores!$E$2:$E$158,MATCH($B58,Scores!$BM$2:$BM$158,0)),"")</f>
        <v/>
      </c>
      <c r="H58">
        <f>IFERROR(INDEX(Scores!$BJ$2:$BJ$158,MATCH($B58,Scores!$BM$2:$BM$158,0)),"")</f>
        <v/>
      </c>
      <c r="I58">
        <f>IFERROR(INDEX(Scores!$BL$2:$BL$158,MATCH($B58,Scores!$BM$2:$BM$158,0)),"")</f>
        <v/>
      </c>
      <c r="J58">
        <f>IFERROR(INDEX(Scores!$Q$2:$Q$158,MATCH($B58,Scores!$BM$2:$BM$158,0)),"")</f>
        <v/>
      </c>
      <c r="K58">
        <f>IFERROR(INDEX(Scores!$AE$2:$AE$158,MATCH($B58,Scores!$BM$2:$BM$158,0)),"")</f>
        <v/>
      </c>
      <c r="L58">
        <f>IFERROR(INDEX(Scores!$AM$2:$AM$158,MATCH($B58,Scores!$BM$2:$BM$158,0)),"")</f>
        <v/>
      </c>
      <c r="M58">
        <f>IFERROR(INDEX(Scores!$AW$2:$AW$158,MATCH($B58,Scores!$BM$2:$BM$158,0)),"")</f>
        <v/>
      </c>
      <c r="N58">
        <f>IFERROR(INDEX(Scores!$BG$2:$BG$158,MATCH($B58,Scores!$BM$2:$BM$158,0)),"")</f>
        <v/>
      </c>
    </row>
    <row r="59">
      <c r="A59" t="inlineStr">
        <is>
          <t>Ranked</t>
        </is>
      </c>
      <c r="B59" t="n">
        <v>57</v>
      </c>
      <c r="C59">
        <f>IFERROR(INDEX(Scores!$BM$2:$BM$158,MATCH($B59,Scores!$BM$2:$BM$158,0)),"")</f>
        <v/>
      </c>
      <c r="D59">
        <f>IFERROR(INDEX(Scores!$B$2:$B$158,MATCH($B59,Scores!$BM$2:$BM$158,0)),"")</f>
        <v/>
      </c>
      <c r="E59">
        <f>IFERROR(INDEX(Scores!$C$2:$C$158,MATCH($B59,Scores!$BM$2:$BM$158,0)),"")</f>
        <v/>
      </c>
      <c r="F59">
        <f>IFERROR(INDEX(Scores!$D$2:$D$158,MATCH($B59,Scores!$BM$2:$BM$158,0)),"")</f>
        <v/>
      </c>
      <c r="G59">
        <f>IFERROR(INDEX(Scores!$E$2:$E$158,MATCH($B59,Scores!$BM$2:$BM$158,0)),"")</f>
        <v/>
      </c>
      <c r="H59">
        <f>IFERROR(INDEX(Scores!$BJ$2:$BJ$158,MATCH($B59,Scores!$BM$2:$BM$158,0)),"")</f>
        <v/>
      </c>
      <c r="I59">
        <f>IFERROR(INDEX(Scores!$BL$2:$BL$158,MATCH($B59,Scores!$BM$2:$BM$158,0)),"")</f>
        <v/>
      </c>
      <c r="J59">
        <f>IFERROR(INDEX(Scores!$Q$2:$Q$158,MATCH($B59,Scores!$BM$2:$BM$158,0)),"")</f>
        <v/>
      </c>
      <c r="K59">
        <f>IFERROR(INDEX(Scores!$AE$2:$AE$158,MATCH($B59,Scores!$BM$2:$BM$158,0)),"")</f>
        <v/>
      </c>
      <c r="L59">
        <f>IFERROR(INDEX(Scores!$AM$2:$AM$158,MATCH($B59,Scores!$BM$2:$BM$158,0)),"")</f>
        <v/>
      </c>
      <c r="M59">
        <f>IFERROR(INDEX(Scores!$AW$2:$AW$158,MATCH($B59,Scores!$BM$2:$BM$158,0)),"")</f>
        <v/>
      </c>
      <c r="N59">
        <f>IFERROR(INDEX(Scores!$BG$2:$BG$158,MATCH($B59,Scores!$BM$2:$BM$158,0)),"")</f>
        <v/>
      </c>
    </row>
    <row r="60">
      <c r="A60" t="inlineStr">
        <is>
          <t>Ranked</t>
        </is>
      </c>
      <c r="B60" t="n">
        <v>58</v>
      </c>
      <c r="C60">
        <f>IFERROR(INDEX(Scores!$BM$2:$BM$158,MATCH($B60,Scores!$BM$2:$BM$158,0)),"")</f>
        <v/>
      </c>
      <c r="D60">
        <f>IFERROR(INDEX(Scores!$B$2:$B$158,MATCH($B60,Scores!$BM$2:$BM$158,0)),"")</f>
        <v/>
      </c>
      <c r="E60">
        <f>IFERROR(INDEX(Scores!$C$2:$C$158,MATCH($B60,Scores!$BM$2:$BM$158,0)),"")</f>
        <v/>
      </c>
      <c r="F60">
        <f>IFERROR(INDEX(Scores!$D$2:$D$158,MATCH($B60,Scores!$BM$2:$BM$158,0)),"")</f>
        <v/>
      </c>
      <c r="G60">
        <f>IFERROR(INDEX(Scores!$E$2:$E$158,MATCH($B60,Scores!$BM$2:$BM$158,0)),"")</f>
        <v/>
      </c>
      <c r="H60">
        <f>IFERROR(INDEX(Scores!$BJ$2:$BJ$158,MATCH($B60,Scores!$BM$2:$BM$158,0)),"")</f>
        <v/>
      </c>
      <c r="I60">
        <f>IFERROR(INDEX(Scores!$BL$2:$BL$158,MATCH($B60,Scores!$BM$2:$BM$158,0)),"")</f>
        <v/>
      </c>
      <c r="J60">
        <f>IFERROR(INDEX(Scores!$Q$2:$Q$158,MATCH($B60,Scores!$BM$2:$BM$158,0)),"")</f>
        <v/>
      </c>
      <c r="K60">
        <f>IFERROR(INDEX(Scores!$AE$2:$AE$158,MATCH($B60,Scores!$BM$2:$BM$158,0)),"")</f>
        <v/>
      </c>
      <c r="L60">
        <f>IFERROR(INDEX(Scores!$AM$2:$AM$158,MATCH($B60,Scores!$BM$2:$BM$158,0)),"")</f>
        <v/>
      </c>
      <c r="M60">
        <f>IFERROR(INDEX(Scores!$AW$2:$AW$158,MATCH($B60,Scores!$BM$2:$BM$158,0)),"")</f>
        <v/>
      </c>
      <c r="N60">
        <f>IFERROR(INDEX(Scores!$BG$2:$BG$158,MATCH($B60,Scores!$BM$2:$BM$158,0)),"")</f>
        <v/>
      </c>
    </row>
    <row r="61">
      <c r="A61" t="inlineStr">
        <is>
          <t>Ranked</t>
        </is>
      </c>
      <c r="B61" t="n">
        <v>59</v>
      </c>
      <c r="C61">
        <f>IFERROR(INDEX(Scores!$BM$2:$BM$158,MATCH($B61,Scores!$BM$2:$BM$158,0)),"")</f>
        <v/>
      </c>
      <c r="D61">
        <f>IFERROR(INDEX(Scores!$B$2:$B$158,MATCH($B61,Scores!$BM$2:$BM$158,0)),"")</f>
        <v/>
      </c>
      <c r="E61">
        <f>IFERROR(INDEX(Scores!$C$2:$C$158,MATCH($B61,Scores!$BM$2:$BM$158,0)),"")</f>
        <v/>
      </c>
      <c r="F61">
        <f>IFERROR(INDEX(Scores!$D$2:$D$158,MATCH($B61,Scores!$BM$2:$BM$158,0)),"")</f>
        <v/>
      </c>
      <c r="G61">
        <f>IFERROR(INDEX(Scores!$E$2:$E$158,MATCH($B61,Scores!$BM$2:$BM$158,0)),"")</f>
        <v/>
      </c>
      <c r="H61">
        <f>IFERROR(INDEX(Scores!$BJ$2:$BJ$158,MATCH($B61,Scores!$BM$2:$BM$158,0)),"")</f>
        <v/>
      </c>
      <c r="I61">
        <f>IFERROR(INDEX(Scores!$BL$2:$BL$158,MATCH($B61,Scores!$BM$2:$BM$158,0)),"")</f>
        <v/>
      </c>
      <c r="J61">
        <f>IFERROR(INDEX(Scores!$Q$2:$Q$158,MATCH($B61,Scores!$BM$2:$BM$158,0)),"")</f>
        <v/>
      </c>
      <c r="K61">
        <f>IFERROR(INDEX(Scores!$AE$2:$AE$158,MATCH($B61,Scores!$BM$2:$BM$158,0)),"")</f>
        <v/>
      </c>
      <c r="L61">
        <f>IFERROR(INDEX(Scores!$AM$2:$AM$158,MATCH($B61,Scores!$BM$2:$BM$158,0)),"")</f>
        <v/>
      </c>
      <c r="M61">
        <f>IFERROR(INDEX(Scores!$AW$2:$AW$158,MATCH($B61,Scores!$BM$2:$BM$158,0)),"")</f>
        <v/>
      </c>
      <c r="N61">
        <f>IFERROR(INDEX(Scores!$BG$2:$BG$158,MATCH($B61,Scores!$BM$2:$BM$158,0)),"")</f>
        <v/>
      </c>
    </row>
    <row r="62">
      <c r="A62" t="inlineStr">
        <is>
          <t>Ranked</t>
        </is>
      </c>
      <c r="B62" t="n">
        <v>60</v>
      </c>
      <c r="C62">
        <f>IFERROR(INDEX(Scores!$BM$2:$BM$158,MATCH($B62,Scores!$BM$2:$BM$158,0)),"")</f>
        <v/>
      </c>
      <c r="D62">
        <f>IFERROR(INDEX(Scores!$B$2:$B$158,MATCH($B62,Scores!$BM$2:$BM$158,0)),"")</f>
        <v/>
      </c>
      <c r="E62">
        <f>IFERROR(INDEX(Scores!$C$2:$C$158,MATCH($B62,Scores!$BM$2:$BM$158,0)),"")</f>
        <v/>
      </c>
      <c r="F62">
        <f>IFERROR(INDEX(Scores!$D$2:$D$158,MATCH($B62,Scores!$BM$2:$BM$158,0)),"")</f>
        <v/>
      </c>
      <c r="G62">
        <f>IFERROR(INDEX(Scores!$E$2:$E$158,MATCH($B62,Scores!$BM$2:$BM$158,0)),"")</f>
        <v/>
      </c>
      <c r="H62">
        <f>IFERROR(INDEX(Scores!$BJ$2:$BJ$158,MATCH($B62,Scores!$BM$2:$BM$158,0)),"")</f>
        <v/>
      </c>
      <c r="I62">
        <f>IFERROR(INDEX(Scores!$BL$2:$BL$158,MATCH($B62,Scores!$BM$2:$BM$158,0)),"")</f>
        <v/>
      </c>
      <c r="J62">
        <f>IFERROR(INDEX(Scores!$Q$2:$Q$158,MATCH($B62,Scores!$BM$2:$BM$158,0)),"")</f>
        <v/>
      </c>
      <c r="K62">
        <f>IFERROR(INDEX(Scores!$AE$2:$AE$158,MATCH($B62,Scores!$BM$2:$BM$158,0)),"")</f>
        <v/>
      </c>
      <c r="L62">
        <f>IFERROR(INDEX(Scores!$AM$2:$AM$158,MATCH($B62,Scores!$BM$2:$BM$158,0)),"")</f>
        <v/>
      </c>
      <c r="M62">
        <f>IFERROR(INDEX(Scores!$AW$2:$AW$158,MATCH($B62,Scores!$BM$2:$BM$158,0)),"")</f>
        <v/>
      </c>
      <c r="N62">
        <f>IFERROR(INDEX(Scores!$BG$2:$BG$158,MATCH($B62,Scores!$BM$2:$BM$158,0)),"")</f>
        <v/>
      </c>
    </row>
    <row r="63">
      <c r="A63" t="inlineStr">
        <is>
          <t>Ranked</t>
        </is>
      </c>
      <c r="B63" t="n">
        <v>61</v>
      </c>
      <c r="C63">
        <f>IFERROR(INDEX(Scores!$BM$2:$BM$158,MATCH($B63,Scores!$BM$2:$BM$158,0)),"")</f>
        <v/>
      </c>
      <c r="D63">
        <f>IFERROR(INDEX(Scores!$B$2:$B$158,MATCH($B63,Scores!$BM$2:$BM$158,0)),"")</f>
        <v/>
      </c>
      <c r="E63">
        <f>IFERROR(INDEX(Scores!$C$2:$C$158,MATCH($B63,Scores!$BM$2:$BM$158,0)),"")</f>
        <v/>
      </c>
      <c r="F63">
        <f>IFERROR(INDEX(Scores!$D$2:$D$158,MATCH($B63,Scores!$BM$2:$BM$158,0)),"")</f>
        <v/>
      </c>
      <c r="G63">
        <f>IFERROR(INDEX(Scores!$E$2:$E$158,MATCH($B63,Scores!$BM$2:$BM$158,0)),"")</f>
        <v/>
      </c>
      <c r="H63">
        <f>IFERROR(INDEX(Scores!$BJ$2:$BJ$158,MATCH($B63,Scores!$BM$2:$BM$158,0)),"")</f>
        <v/>
      </c>
      <c r="I63">
        <f>IFERROR(INDEX(Scores!$BL$2:$BL$158,MATCH($B63,Scores!$BM$2:$BM$158,0)),"")</f>
        <v/>
      </c>
      <c r="J63">
        <f>IFERROR(INDEX(Scores!$Q$2:$Q$158,MATCH($B63,Scores!$BM$2:$BM$158,0)),"")</f>
        <v/>
      </c>
      <c r="K63">
        <f>IFERROR(INDEX(Scores!$AE$2:$AE$158,MATCH($B63,Scores!$BM$2:$BM$158,0)),"")</f>
        <v/>
      </c>
      <c r="L63">
        <f>IFERROR(INDEX(Scores!$AM$2:$AM$158,MATCH($B63,Scores!$BM$2:$BM$158,0)),"")</f>
        <v/>
      </c>
      <c r="M63">
        <f>IFERROR(INDEX(Scores!$AW$2:$AW$158,MATCH($B63,Scores!$BM$2:$BM$158,0)),"")</f>
        <v/>
      </c>
      <c r="N63">
        <f>IFERROR(INDEX(Scores!$BG$2:$BG$158,MATCH($B63,Scores!$BM$2:$BM$158,0)),"")</f>
        <v/>
      </c>
    </row>
    <row r="64">
      <c r="A64" t="inlineStr">
        <is>
          <t>Ranked</t>
        </is>
      </c>
      <c r="B64" t="n">
        <v>62</v>
      </c>
      <c r="C64">
        <f>IFERROR(INDEX(Scores!$BM$2:$BM$158,MATCH($B64,Scores!$BM$2:$BM$158,0)),"")</f>
        <v/>
      </c>
      <c r="D64">
        <f>IFERROR(INDEX(Scores!$B$2:$B$158,MATCH($B64,Scores!$BM$2:$BM$158,0)),"")</f>
        <v/>
      </c>
      <c r="E64">
        <f>IFERROR(INDEX(Scores!$C$2:$C$158,MATCH($B64,Scores!$BM$2:$BM$158,0)),"")</f>
        <v/>
      </c>
      <c r="F64">
        <f>IFERROR(INDEX(Scores!$D$2:$D$158,MATCH($B64,Scores!$BM$2:$BM$158,0)),"")</f>
        <v/>
      </c>
      <c r="G64">
        <f>IFERROR(INDEX(Scores!$E$2:$E$158,MATCH($B64,Scores!$BM$2:$BM$158,0)),"")</f>
        <v/>
      </c>
      <c r="H64">
        <f>IFERROR(INDEX(Scores!$BJ$2:$BJ$158,MATCH($B64,Scores!$BM$2:$BM$158,0)),"")</f>
        <v/>
      </c>
      <c r="I64">
        <f>IFERROR(INDEX(Scores!$BL$2:$BL$158,MATCH($B64,Scores!$BM$2:$BM$158,0)),"")</f>
        <v/>
      </c>
      <c r="J64">
        <f>IFERROR(INDEX(Scores!$Q$2:$Q$158,MATCH($B64,Scores!$BM$2:$BM$158,0)),"")</f>
        <v/>
      </c>
      <c r="K64">
        <f>IFERROR(INDEX(Scores!$AE$2:$AE$158,MATCH($B64,Scores!$BM$2:$BM$158,0)),"")</f>
        <v/>
      </c>
      <c r="L64">
        <f>IFERROR(INDEX(Scores!$AM$2:$AM$158,MATCH($B64,Scores!$BM$2:$BM$158,0)),"")</f>
        <v/>
      </c>
      <c r="M64">
        <f>IFERROR(INDEX(Scores!$AW$2:$AW$158,MATCH($B64,Scores!$BM$2:$BM$158,0)),"")</f>
        <v/>
      </c>
      <c r="N64">
        <f>IFERROR(INDEX(Scores!$BG$2:$BG$158,MATCH($B64,Scores!$BM$2:$BM$158,0)),"")</f>
        <v/>
      </c>
    </row>
    <row r="65">
      <c r="A65" t="inlineStr">
        <is>
          <t>Ranked</t>
        </is>
      </c>
      <c r="B65" t="n">
        <v>63</v>
      </c>
      <c r="C65">
        <f>IFERROR(INDEX(Scores!$BM$2:$BM$158,MATCH($B65,Scores!$BM$2:$BM$158,0)),"")</f>
        <v/>
      </c>
      <c r="D65">
        <f>IFERROR(INDEX(Scores!$B$2:$B$158,MATCH($B65,Scores!$BM$2:$BM$158,0)),"")</f>
        <v/>
      </c>
      <c r="E65">
        <f>IFERROR(INDEX(Scores!$C$2:$C$158,MATCH($B65,Scores!$BM$2:$BM$158,0)),"")</f>
        <v/>
      </c>
      <c r="F65">
        <f>IFERROR(INDEX(Scores!$D$2:$D$158,MATCH($B65,Scores!$BM$2:$BM$158,0)),"")</f>
        <v/>
      </c>
      <c r="G65">
        <f>IFERROR(INDEX(Scores!$E$2:$E$158,MATCH($B65,Scores!$BM$2:$BM$158,0)),"")</f>
        <v/>
      </c>
      <c r="H65">
        <f>IFERROR(INDEX(Scores!$BJ$2:$BJ$158,MATCH($B65,Scores!$BM$2:$BM$158,0)),"")</f>
        <v/>
      </c>
      <c r="I65">
        <f>IFERROR(INDEX(Scores!$BL$2:$BL$158,MATCH($B65,Scores!$BM$2:$BM$158,0)),"")</f>
        <v/>
      </c>
      <c r="J65">
        <f>IFERROR(INDEX(Scores!$Q$2:$Q$158,MATCH($B65,Scores!$BM$2:$BM$158,0)),"")</f>
        <v/>
      </c>
      <c r="K65">
        <f>IFERROR(INDEX(Scores!$AE$2:$AE$158,MATCH($B65,Scores!$BM$2:$BM$158,0)),"")</f>
        <v/>
      </c>
      <c r="L65">
        <f>IFERROR(INDEX(Scores!$AM$2:$AM$158,MATCH($B65,Scores!$BM$2:$BM$158,0)),"")</f>
        <v/>
      </c>
      <c r="M65">
        <f>IFERROR(INDEX(Scores!$AW$2:$AW$158,MATCH($B65,Scores!$BM$2:$BM$158,0)),"")</f>
        <v/>
      </c>
      <c r="N65">
        <f>IFERROR(INDEX(Scores!$BG$2:$BG$158,MATCH($B65,Scores!$BM$2:$BM$158,0)),"")</f>
        <v/>
      </c>
    </row>
    <row r="66">
      <c r="A66" t="inlineStr">
        <is>
          <t>Ranked</t>
        </is>
      </c>
      <c r="B66" t="n">
        <v>64</v>
      </c>
      <c r="C66">
        <f>IFERROR(INDEX(Scores!$BM$2:$BM$158,MATCH($B66,Scores!$BM$2:$BM$158,0)),"")</f>
        <v/>
      </c>
      <c r="D66">
        <f>IFERROR(INDEX(Scores!$B$2:$B$158,MATCH($B66,Scores!$BM$2:$BM$158,0)),"")</f>
        <v/>
      </c>
      <c r="E66">
        <f>IFERROR(INDEX(Scores!$C$2:$C$158,MATCH($B66,Scores!$BM$2:$BM$158,0)),"")</f>
        <v/>
      </c>
      <c r="F66">
        <f>IFERROR(INDEX(Scores!$D$2:$D$158,MATCH($B66,Scores!$BM$2:$BM$158,0)),"")</f>
        <v/>
      </c>
      <c r="G66">
        <f>IFERROR(INDEX(Scores!$E$2:$E$158,MATCH($B66,Scores!$BM$2:$BM$158,0)),"")</f>
        <v/>
      </c>
      <c r="H66">
        <f>IFERROR(INDEX(Scores!$BJ$2:$BJ$158,MATCH($B66,Scores!$BM$2:$BM$158,0)),"")</f>
        <v/>
      </c>
      <c r="I66">
        <f>IFERROR(INDEX(Scores!$BL$2:$BL$158,MATCH($B66,Scores!$BM$2:$BM$158,0)),"")</f>
        <v/>
      </c>
      <c r="J66">
        <f>IFERROR(INDEX(Scores!$Q$2:$Q$158,MATCH($B66,Scores!$BM$2:$BM$158,0)),"")</f>
        <v/>
      </c>
      <c r="K66">
        <f>IFERROR(INDEX(Scores!$AE$2:$AE$158,MATCH($B66,Scores!$BM$2:$BM$158,0)),"")</f>
        <v/>
      </c>
      <c r="L66">
        <f>IFERROR(INDEX(Scores!$AM$2:$AM$158,MATCH($B66,Scores!$BM$2:$BM$158,0)),"")</f>
        <v/>
      </c>
      <c r="M66">
        <f>IFERROR(INDEX(Scores!$AW$2:$AW$158,MATCH($B66,Scores!$BM$2:$BM$158,0)),"")</f>
        <v/>
      </c>
      <c r="N66">
        <f>IFERROR(INDEX(Scores!$BG$2:$BG$158,MATCH($B66,Scores!$BM$2:$BM$158,0)),"")</f>
        <v/>
      </c>
    </row>
    <row r="67">
      <c r="A67" t="inlineStr">
        <is>
          <t>Ranked</t>
        </is>
      </c>
      <c r="B67" t="n">
        <v>65</v>
      </c>
      <c r="C67">
        <f>IFERROR(INDEX(Scores!$BM$2:$BM$158,MATCH($B67,Scores!$BM$2:$BM$158,0)),"")</f>
        <v/>
      </c>
      <c r="D67">
        <f>IFERROR(INDEX(Scores!$B$2:$B$158,MATCH($B67,Scores!$BM$2:$BM$158,0)),"")</f>
        <v/>
      </c>
      <c r="E67">
        <f>IFERROR(INDEX(Scores!$C$2:$C$158,MATCH($B67,Scores!$BM$2:$BM$158,0)),"")</f>
        <v/>
      </c>
      <c r="F67">
        <f>IFERROR(INDEX(Scores!$D$2:$D$158,MATCH($B67,Scores!$BM$2:$BM$158,0)),"")</f>
        <v/>
      </c>
      <c r="G67">
        <f>IFERROR(INDEX(Scores!$E$2:$E$158,MATCH($B67,Scores!$BM$2:$BM$158,0)),"")</f>
        <v/>
      </c>
      <c r="H67">
        <f>IFERROR(INDEX(Scores!$BJ$2:$BJ$158,MATCH($B67,Scores!$BM$2:$BM$158,0)),"")</f>
        <v/>
      </c>
      <c r="I67">
        <f>IFERROR(INDEX(Scores!$BL$2:$BL$158,MATCH($B67,Scores!$BM$2:$BM$158,0)),"")</f>
        <v/>
      </c>
      <c r="J67">
        <f>IFERROR(INDEX(Scores!$Q$2:$Q$158,MATCH($B67,Scores!$BM$2:$BM$158,0)),"")</f>
        <v/>
      </c>
      <c r="K67">
        <f>IFERROR(INDEX(Scores!$AE$2:$AE$158,MATCH($B67,Scores!$BM$2:$BM$158,0)),"")</f>
        <v/>
      </c>
      <c r="L67">
        <f>IFERROR(INDEX(Scores!$AM$2:$AM$158,MATCH($B67,Scores!$BM$2:$BM$158,0)),"")</f>
        <v/>
      </c>
      <c r="M67">
        <f>IFERROR(INDEX(Scores!$AW$2:$AW$158,MATCH($B67,Scores!$BM$2:$BM$158,0)),"")</f>
        <v/>
      </c>
      <c r="N67">
        <f>IFERROR(INDEX(Scores!$BG$2:$BG$158,MATCH($B67,Scores!$BM$2:$BM$158,0)),"")</f>
        <v/>
      </c>
    </row>
    <row r="68">
      <c r="A68" t="inlineStr">
        <is>
          <t>Ranked</t>
        </is>
      </c>
      <c r="B68" t="n">
        <v>66</v>
      </c>
      <c r="C68">
        <f>IFERROR(INDEX(Scores!$BM$2:$BM$158,MATCH($B68,Scores!$BM$2:$BM$158,0)),"")</f>
        <v/>
      </c>
      <c r="D68">
        <f>IFERROR(INDEX(Scores!$B$2:$B$158,MATCH($B68,Scores!$BM$2:$BM$158,0)),"")</f>
        <v/>
      </c>
      <c r="E68">
        <f>IFERROR(INDEX(Scores!$C$2:$C$158,MATCH($B68,Scores!$BM$2:$BM$158,0)),"")</f>
        <v/>
      </c>
      <c r="F68">
        <f>IFERROR(INDEX(Scores!$D$2:$D$158,MATCH($B68,Scores!$BM$2:$BM$158,0)),"")</f>
        <v/>
      </c>
      <c r="G68">
        <f>IFERROR(INDEX(Scores!$E$2:$E$158,MATCH($B68,Scores!$BM$2:$BM$158,0)),"")</f>
        <v/>
      </c>
      <c r="H68">
        <f>IFERROR(INDEX(Scores!$BJ$2:$BJ$158,MATCH($B68,Scores!$BM$2:$BM$158,0)),"")</f>
        <v/>
      </c>
      <c r="I68">
        <f>IFERROR(INDEX(Scores!$BL$2:$BL$158,MATCH($B68,Scores!$BM$2:$BM$158,0)),"")</f>
        <v/>
      </c>
      <c r="J68">
        <f>IFERROR(INDEX(Scores!$Q$2:$Q$158,MATCH($B68,Scores!$BM$2:$BM$158,0)),"")</f>
        <v/>
      </c>
      <c r="K68">
        <f>IFERROR(INDEX(Scores!$AE$2:$AE$158,MATCH($B68,Scores!$BM$2:$BM$158,0)),"")</f>
        <v/>
      </c>
      <c r="L68">
        <f>IFERROR(INDEX(Scores!$AM$2:$AM$158,MATCH($B68,Scores!$BM$2:$BM$158,0)),"")</f>
        <v/>
      </c>
      <c r="M68">
        <f>IFERROR(INDEX(Scores!$AW$2:$AW$158,MATCH($B68,Scores!$BM$2:$BM$158,0)),"")</f>
        <v/>
      </c>
      <c r="N68">
        <f>IFERROR(INDEX(Scores!$BG$2:$BG$158,MATCH($B68,Scores!$BM$2:$BM$158,0)),"")</f>
        <v/>
      </c>
    </row>
    <row r="69">
      <c r="A69" t="inlineStr">
        <is>
          <t>Ranked</t>
        </is>
      </c>
      <c r="B69" t="n">
        <v>67</v>
      </c>
      <c r="C69">
        <f>IFERROR(INDEX(Scores!$BM$2:$BM$158,MATCH($B69,Scores!$BM$2:$BM$158,0)),"")</f>
        <v/>
      </c>
      <c r="D69">
        <f>IFERROR(INDEX(Scores!$B$2:$B$158,MATCH($B69,Scores!$BM$2:$BM$158,0)),"")</f>
        <v/>
      </c>
      <c r="E69">
        <f>IFERROR(INDEX(Scores!$C$2:$C$158,MATCH($B69,Scores!$BM$2:$BM$158,0)),"")</f>
        <v/>
      </c>
      <c r="F69">
        <f>IFERROR(INDEX(Scores!$D$2:$D$158,MATCH($B69,Scores!$BM$2:$BM$158,0)),"")</f>
        <v/>
      </c>
      <c r="G69">
        <f>IFERROR(INDEX(Scores!$E$2:$E$158,MATCH($B69,Scores!$BM$2:$BM$158,0)),"")</f>
        <v/>
      </c>
      <c r="H69">
        <f>IFERROR(INDEX(Scores!$BJ$2:$BJ$158,MATCH($B69,Scores!$BM$2:$BM$158,0)),"")</f>
        <v/>
      </c>
      <c r="I69">
        <f>IFERROR(INDEX(Scores!$BL$2:$BL$158,MATCH($B69,Scores!$BM$2:$BM$158,0)),"")</f>
        <v/>
      </c>
      <c r="J69">
        <f>IFERROR(INDEX(Scores!$Q$2:$Q$158,MATCH($B69,Scores!$BM$2:$BM$158,0)),"")</f>
        <v/>
      </c>
      <c r="K69">
        <f>IFERROR(INDEX(Scores!$AE$2:$AE$158,MATCH($B69,Scores!$BM$2:$BM$158,0)),"")</f>
        <v/>
      </c>
      <c r="L69">
        <f>IFERROR(INDEX(Scores!$AM$2:$AM$158,MATCH($B69,Scores!$BM$2:$BM$158,0)),"")</f>
        <v/>
      </c>
      <c r="M69">
        <f>IFERROR(INDEX(Scores!$AW$2:$AW$158,MATCH($B69,Scores!$BM$2:$BM$158,0)),"")</f>
        <v/>
      </c>
      <c r="N69">
        <f>IFERROR(INDEX(Scores!$BG$2:$BG$158,MATCH($B69,Scores!$BM$2:$BM$158,0)),"")</f>
        <v/>
      </c>
    </row>
    <row r="70">
      <c r="A70" t="inlineStr">
        <is>
          <t>Ranked</t>
        </is>
      </c>
      <c r="B70" t="n">
        <v>68</v>
      </c>
      <c r="C70">
        <f>IFERROR(INDEX(Scores!$BM$2:$BM$158,MATCH($B70,Scores!$BM$2:$BM$158,0)),"")</f>
        <v/>
      </c>
      <c r="D70">
        <f>IFERROR(INDEX(Scores!$B$2:$B$158,MATCH($B70,Scores!$BM$2:$BM$158,0)),"")</f>
        <v/>
      </c>
      <c r="E70">
        <f>IFERROR(INDEX(Scores!$C$2:$C$158,MATCH($B70,Scores!$BM$2:$BM$158,0)),"")</f>
        <v/>
      </c>
      <c r="F70">
        <f>IFERROR(INDEX(Scores!$D$2:$D$158,MATCH($B70,Scores!$BM$2:$BM$158,0)),"")</f>
        <v/>
      </c>
      <c r="G70">
        <f>IFERROR(INDEX(Scores!$E$2:$E$158,MATCH($B70,Scores!$BM$2:$BM$158,0)),"")</f>
        <v/>
      </c>
      <c r="H70">
        <f>IFERROR(INDEX(Scores!$BJ$2:$BJ$158,MATCH($B70,Scores!$BM$2:$BM$158,0)),"")</f>
        <v/>
      </c>
      <c r="I70">
        <f>IFERROR(INDEX(Scores!$BL$2:$BL$158,MATCH($B70,Scores!$BM$2:$BM$158,0)),"")</f>
        <v/>
      </c>
      <c r="J70">
        <f>IFERROR(INDEX(Scores!$Q$2:$Q$158,MATCH($B70,Scores!$BM$2:$BM$158,0)),"")</f>
        <v/>
      </c>
      <c r="K70">
        <f>IFERROR(INDEX(Scores!$AE$2:$AE$158,MATCH($B70,Scores!$BM$2:$BM$158,0)),"")</f>
        <v/>
      </c>
      <c r="L70">
        <f>IFERROR(INDEX(Scores!$AM$2:$AM$158,MATCH($B70,Scores!$BM$2:$BM$158,0)),"")</f>
        <v/>
      </c>
      <c r="M70">
        <f>IFERROR(INDEX(Scores!$AW$2:$AW$158,MATCH($B70,Scores!$BM$2:$BM$158,0)),"")</f>
        <v/>
      </c>
      <c r="N70">
        <f>IFERROR(INDEX(Scores!$BG$2:$BG$158,MATCH($B70,Scores!$BM$2:$BM$158,0)),"")</f>
        <v/>
      </c>
    </row>
    <row r="71">
      <c r="A71" t="inlineStr">
        <is>
          <t>Ranked</t>
        </is>
      </c>
      <c r="B71" t="n">
        <v>69</v>
      </c>
      <c r="C71">
        <f>IFERROR(INDEX(Scores!$BM$2:$BM$158,MATCH($B71,Scores!$BM$2:$BM$158,0)),"")</f>
        <v/>
      </c>
      <c r="D71">
        <f>IFERROR(INDEX(Scores!$B$2:$B$158,MATCH($B71,Scores!$BM$2:$BM$158,0)),"")</f>
        <v/>
      </c>
      <c r="E71">
        <f>IFERROR(INDEX(Scores!$C$2:$C$158,MATCH($B71,Scores!$BM$2:$BM$158,0)),"")</f>
        <v/>
      </c>
      <c r="F71">
        <f>IFERROR(INDEX(Scores!$D$2:$D$158,MATCH($B71,Scores!$BM$2:$BM$158,0)),"")</f>
        <v/>
      </c>
      <c r="G71">
        <f>IFERROR(INDEX(Scores!$E$2:$E$158,MATCH($B71,Scores!$BM$2:$BM$158,0)),"")</f>
        <v/>
      </c>
      <c r="H71">
        <f>IFERROR(INDEX(Scores!$BJ$2:$BJ$158,MATCH($B71,Scores!$BM$2:$BM$158,0)),"")</f>
        <v/>
      </c>
      <c r="I71">
        <f>IFERROR(INDEX(Scores!$BL$2:$BL$158,MATCH($B71,Scores!$BM$2:$BM$158,0)),"")</f>
        <v/>
      </c>
      <c r="J71">
        <f>IFERROR(INDEX(Scores!$Q$2:$Q$158,MATCH($B71,Scores!$BM$2:$BM$158,0)),"")</f>
        <v/>
      </c>
      <c r="K71">
        <f>IFERROR(INDEX(Scores!$AE$2:$AE$158,MATCH($B71,Scores!$BM$2:$BM$158,0)),"")</f>
        <v/>
      </c>
      <c r="L71">
        <f>IFERROR(INDEX(Scores!$AM$2:$AM$158,MATCH($B71,Scores!$BM$2:$BM$158,0)),"")</f>
        <v/>
      </c>
      <c r="M71">
        <f>IFERROR(INDEX(Scores!$AW$2:$AW$158,MATCH($B71,Scores!$BM$2:$BM$158,0)),"")</f>
        <v/>
      </c>
      <c r="N71">
        <f>IFERROR(INDEX(Scores!$BG$2:$BG$158,MATCH($B71,Scores!$BM$2:$BM$158,0)),"")</f>
        <v/>
      </c>
    </row>
    <row r="72">
      <c r="A72" t="inlineStr">
        <is>
          <t>Ranked</t>
        </is>
      </c>
      <c r="B72" t="n">
        <v>70</v>
      </c>
      <c r="C72">
        <f>IFERROR(INDEX(Scores!$BM$2:$BM$158,MATCH($B72,Scores!$BM$2:$BM$158,0)),"")</f>
        <v/>
      </c>
      <c r="D72">
        <f>IFERROR(INDEX(Scores!$B$2:$B$158,MATCH($B72,Scores!$BM$2:$BM$158,0)),"")</f>
        <v/>
      </c>
      <c r="E72">
        <f>IFERROR(INDEX(Scores!$C$2:$C$158,MATCH($B72,Scores!$BM$2:$BM$158,0)),"")</f>
        <v/>
      </c>
      <c r="F72">
        <f>IFERROR(INDEX(Scores!$D$2:$D$158,MATCH($B72,Scores!$BM$2:$BM$158,0)),"")</f>
        <v/>
      </c>
      <c r="G72">
        <f>IFERROR(INDEX(Scores!$E$2:$E$158,MATCH($B72,Scores!$BM$2:$BM$158,0)),"")</f>
        <v/>
      </c>
      <c r="H72">
        <f>IFERROR(INDEX(Scores!$BJ$2:$BJ$158,MATCH($B72,Scores!$BM$2:$BM$158,0)),"")</f>
        <v/>
      </c>
      <c r="I72">
        <f>IFERROR(INDEX(Scores!$BL$2:$BL$158,MATCH($B72,Scores!$BM$2:$BM$158,0)),"")</f>
        <v/>
      </c>
      <c r="J72">
        <f>IFERROR(INDEX(Scores!$Q$2:$Q$158,MATCH($B72,Scores!$BM$2:$BM$158,0)),"")</f>
        <v/>
      </c>
      <c r="K72">
        <f>IFERROR(INDEX(Scores!$AE$2:$AE$158,MATCH($B72,Scores!$BM$2:$BM$158,0)),"")</f>
        <v/>
      </c>
      <c r="L72">
        <f>IFERROR(INDEX(Scores!$AM$2:$AM$158,MATCH($B72,Scores!$BM$2:$BM$158,0)),"")</f>
        <v/>
      </c>
      <c r="M72">
        <f>IFERROR(INDEX(Scores!$AW$2:$AW$158,MATCH($B72,Scores!$BM$2:$BM$158,0)),"")</f>
        <v/>
      </c>
      <c r="N72">
        <f>IFERROR(INDEX(Scores!$BG$2:$BG$158,MATCH($B72,Scores!$BM$2:$BM$158,0)),"")</f>
        <v/>
      </c>
    </row>
    <row r="73">
      <c r="A73" t="inlineStr">
        <is>
          <t>Ranked</t>
        </is>
      </c>
      <c r="B73" t="n">
        <v>71</v>
      </c>
      <c r="C73">
        <f>IFERROR(INDEX(Scores!$BM$2:$BM$158,MATCH($B73,Scores!$BM$2:$BM$158,0)),"")</f>
        <v/>
      </c>
      <c r="D73">
        <f>IFERROR(INDEX(Scores!$B$2:$B$158,MATCH($B73,Scores!$BM$2:$BM$158,0)),"")</f>
        <v/>
      </c>
      <c r="E73">
        <f>IFERROR(INDEX(Scores!$C$2:$C$158,MATCH($B73,Scores!$BM$2:$BM$158,0)),"")</f>
        <v/>
      </c>
      <c r="F73">
        <f>IFERROR(INDEX(Scores!$D$2:$D$158,MATCH($B73,Scores!$BM$2:$BM$158,0)),"")</f>
        <v/>
      </c>
      <c r="G73">
        <f>IFERROR(INDEX(Scores!$E$2:$E$158,MATCH($B73,Scores!$BM$2:$BM$158,0)),"")</f>
        <v/>
      </c>
      <c r="H73">
        <f>IFERROR(INDEX(Scores!$BJ$2:$BJ$158,MATCH($B73,Scores!$BM$2:$BM$158,0)),"")</f>
        <v/>
      </c>
      <c r="I73">
        <f>IFERROR(INDEX(Scores!$BL$2:$BL$158,MATCH($B73,Scores!$BM$2:$BM$158,0)),"")</f>
        <v/>
      </c>
      <c r="J73">
        <f>IFERROR(INDEX(Scores!$Q$2:$Q$158,MATCH($B73,Scores!$BM$2:$BM$158,0)),"")</f>
        <v/>
      </c>
      <c r="K73">
        <f>IFERROR(INDEX(Scores!$AE$2:$AE$158,MATCH($B73,Scores!$BM$2:$BM$158,0)),"")</f>
        <v/>
      </c>
      <c r="L73">
        <f>IFERROR(INDEX(Scores!$AM$2:$AM$158,MATCH($B73,Scores!$BM$2:$BM$158,0)),"")</f>
        <v/>
      </c>
      <c r="M73">
        <f>IFERROR(INDEX(Scores!$AW$2:$AW$158,MATCH($B73,Scores!$BM$2:$BM$158,0)),"")</f>
        <v/>
      </c>
      <c r="N73">
        <f>IFERROR(INDEX(Scores!$BG$2:$BG$158,MATCH($B73,Scores!$BM$2:$BM$158,0)),"")</f>
        <v/>
      </c>
    </row>
    <row r="74">
      <c r="A74" t="inlineStr">
        <is>
          <t>Ranked</t>
        </is>
      </c>
      <c r="B74" t="n">
        <v>72</v>
      </c>
      <c r="C74">
        <f>IFERROR(INDEX(Scores!$BM$2:$BM$158,MATCH($B74,Scores!$BM$2:$BM$158,0)),"")</f>
        <v/>
      </c>
      <c r="D74">
        <f>IFERROR(INDEX(Scores!$B$2:$B$158,MATCH($B74,Scores!$BM$2:$BM$158,0)),"")</f>
        <v/>
      </c>
      <c r="E74">
        <f>IFERROR(INDEX(Scores!$C$2:$C$158,MATCH($B74,Scores!$BM$2:$BM$158,0)),"")</f>
        <v/>
      </c>
      <c r="F74">
        <f>IFERROR(INDEX(Scores!$D$2:$D$158,MATCH($B74,Scores!$BM$2:$BM$158,0)),"")</f>
        <v/>
      </c>
      <c r="G74">
        <f>IFERROR(INDEX(Scores!$E$2:$E$158,MATCH($B74,Scores!$BM$2:$BM$158,0)),"")</f>
        <v/>
      </c>
      <c r="H74">
        <f>IFERROR(INDEX(Scores!$BJ$2:$BJ$158,MATCH($B74,Scores!$BM$2:$BM$158,0)),"")</f>
        <v/>
      </c>
      <c r="I74">
        <f>IFERROR(INDEX(Scores!$BL$2:$BL$158,MATCH($B74,Scores!$BM$2:$BM$158,0)),"")</f>
        <v/>
      </c>
      <c r="J74">
        <f>IFERROR(INDEX(Scores!$Q$2:$Q$158,MATCH($B74,Scores!$BM$2:$BM$158,0)),"")</f>
        <v/>
      </c>
      <c r="K74">
        <f>IFERROR(INDEX(Scores!$AE$2:$AE$158,MATCH($B74,Scores!$BM$2:$BM$158,0)),"")</f>
        <v/>
      </c>
      <c r="L74">
        <f>IFERROR(INDEX(Scores!$AM$2:$AM$158,MATCH($B74,Scores!$BM$2:$BM$158,0)),"")</f>
        <v/>
      </c>
      <c r="M74">
        <f>IFERROR(INDEX(Scores!$AW$2:$AW$158,MATCH($B74,Scores!$BM$2:$BM$158,0)),"")</f>
        <v/>
      </c>
      <c r="N74">
        <f>IFERROR(INDEX(Scores!$BG$2:$BG$158,MATCH($B74,Scores!$BM$2:$BM$158,0)),"")</f>
        <v/>
      </c>
    </row>
    <row r="75">
      <c r="A75" t="inlineStr">
        <is>
          <t>Ranked</t>
        </is>
      </c>
      <c r="B75" t="n">
        <v>73</v>
      </c>
      <c r="C75">
        <f>IFERROR(INDEX(Scores!$BM$2:$BM$158,MATCH($B75,Scores!$BM$2:$BM$158,0)),"")</f>
        <v/>
      </c>
      <c r="D75">
        <f>IFERROR(INDEX(Scores!$B$2:$B$158,MATCH($B75,Scores!$BM$2:$BM$158,0)),"")</f>
        <v/>
      </c>
      <c r="E75">
        <f>IFERROR(INDEX(Scores!$C$2:$C$158,MATCH($B75,Scores!$BM$2:$BM$158,0)),"")</f>
        <v/>
      </c>
      <c r="F75">
        <f>IFERROR(INDEX(Scores!$D$2:$D$158,MATCH($B75,Scores!$BM$2:$BM$158,0)),"")</f>
        <v/>
      </c>
      <c r="G75">
        <f>IFERROR(INDEX(Scores!$E$2:$E$158,MATCH($B75,Scores!$BM$2:$BM$158,0)),"")</f>
        <v/>
      </c>
      <c r="H75">
        <f>IFERROR(INDEX(Scores!$BJ$2:$BJ$158,MATCH($B75,Scores!$BM$2:$BM$158,0)),"")</f>
        <v/>
      </c>
      <c r="I75">
        <f>IFERROR(INDEX(Scores!$BL$2:$BL$158,MATCH($B75,Scores!$BM$2:$BM$158,0)),"")</f>
        <v/>
      </c>
      <c r="J75">
        <f>IFERROR(INDEX(Scores!$Q$2:$Q$158,MATCH($B75,Scores!$BM$2:$BM$158,0)),"")</f>
        <v/>
      </c>
      <c r="K75">
        <f>IFERROR(INDEX(Scores!$AE$2:$AE$158,MATCH($B75,Scores!$BM$2:$BM$158,0)),"")</f>
        <v/>
      </c>
      <c r="L75">
        <f>IFERROR(INDEX(Scores!$AM$2:$AM$158,MATCH($B75,Scores!$BM$2:$BM$158,0)),"")</f>
        <v/>
      </c>
      <c r="M75">
        <f>IFERROR(INDEX(Scores!$AW$2:$AW$158,MATCH($B75,Scores!$BM$2:$BM$158,0)),"")</f>
        <v/>
      </c>
      <c r="N75">
        <f>IFERROR(INDEX(Scores!$BG$2:$BG$158,MATCH($B75,Scores!$BM$2:$BM$158,0)),"")</f>
        <v/>
      </c>
    </row>
    <row r="76">
      <c r="A76" t="inlineStr">
        <is>
          <t>Ranked</t>
        </is>
      </c>
      <c r="B76" t="n">
        <v>74</v>
      </c>
      <c r="C76">
        <f>IFERROR(INDEX(Scores!$BM$2:$BM$158,MATCH($B76,Scores!$BM$2:$BM$158,0)),"")</f>
        <v/>
      </c>
      <c r="D76">
        <f>IFERROR(INDEX(Scores!$B$2:$B$158,MATCH($B76,Scores!$BM$2:$BM$158,0)),"")</f>
        <v/>
      </c>
      <c r="E76">
        <f>IFERROR(INDEX(Scores!$C$2:$C$158,MATCH($B76,Scores!$BM$2:$BM$158,0)),"")</f>
        <v/>
      </c>
      <c r="F76">
        <f>IFERROR(INDEX(Scores!$D$2:$D$158,MATCH($B76,Scores!$BM$2:$BM$158,0)),"")</f>
        <v/>
      </c>
      <c r="G76">
        <f>IFERROR(INDEX(Scores!$E$2:$E$158,MATCH($B76,Scores!$BM$2:$BM$158,0)),"")</f>
        <v/>
      </c>
      <c r="H76">
        <f>IFERROR(INDEX(Scores!$BJ$2:$BJ$158,MATCH($B76,Scores!$BM$2:$BM$158,0)),"")</f>
        <v/>
      </c>
      <c r="I76">
        <f>IFERROR(INDEX(Scores!$BL$2:$BL$158,MATCH($B76,Scores!$BM$2:$BM$158,0)),"")</f>
        <v/>
      </c>
      <c r="J76">
        <f>IFERROR(INDEX(Scores!$Q$2:$Q$158,MATCH($B76,Scores!$BM$2:$BM$158,0)),"")</f>
        <v/>
      </c>
      <c r="K76">
        <f>IFERROR(INDEX(Scores!$AE$2:$AE$158,MATCH($B76,Scores!$BM$2:$BM$158,0)),"")</f>
        <v/>
      </c>
      <c r="L76">
        <f>IFERROR(INDEX(Scores!$AM$2:$AM$158,MATCH($B76,Scores!$BM$2:$BM$158,0)),"")</f>
        <v/>
      </c>
      <c r="M76">
        <f>IFERROR(INDEX(Scores!$AW$2:$AW$158,MATCH($B76,Scores!$BM$2:$BM$158,0)),"")</f>
        <v/>
      </c>
      <c r="N76">
        <f>IFERROR(INDEX(Scores!$BG$2:$BG$158,MATCH($B76,Scores!$BM$2:$BM$158,0)),"")</f>
        <v/>
      </c>
    </row>
    <row r="77">
      <c r="A77" t="inlineStr">
        <is>
          <t>Ranked</t>
        </is>
      </c>
      <c r="B77" t="n">
        <v>75</v>
      </c>
      <c r="C77">
        <f>IFERROR(INDEX(Scores!$BM$2:$BM$158,MATCH($B77,Scores!$BM$2:$BM$158,0)),"")</f>
        <v/>
      </c>
      <c r="D77">
        <f>IFERROR(INDEX(Scores!$B$2:$B$158,MATCH($B77,Scores!$BM$2:$BM$158,0)),"")</f>
        <v/>
      </c>
      <c r="E77">
        <f>IFERROR(INDEX(Scores!$C$2:$C$158,MATCH($B77,Scores!$BM$2:$BM$158,0)),"")</f>
        <v/>
      </c>
      <c r="F77">
        <f>IFERROR(INDEX(Scores!$D$2:$D$158,MATCH($B77,Scores!$BM$2:$BM$158,0)),"")</f>
        <v/>
      </c>
      <c r="G77">
        <f>IFERROR(INDEX(Scores!$E$2:$E$158,MATCH($B77,Scores!$BM$2:$BM$158,0)),"")</f>
        <v/>
      </c>
      <c r="H77">
        <f>IFERROR(INDEX(Scores!$BJ$2:$BJ$158,MATCH($B77,Scores!$BM$2:$BM$158,0)),"")</f>
        <v/>
      </c>
      <c r="I77">
        <f>IFERROR(INDEX(Scores!$BL$2:$BL$158,MATCH($B77,Scores!$BM$2:$BM$158,0)),"")</f>
        <v/>
      </c>
      <c r="J77">
        <f>IFERROR(INDEX(Scores!$Q$2:$Q$158,MATCH($B77,Scores!$BM$2:$BM$158,0)),"")</f>
        <v/>
      </c>
      <c r="K77">
        <f>IFERROR(INDEX(Scores!$AE$2:$AE$158,MATCH($B77,Scores!$BM$2:$BM$158,0)),"")</f>
        <v/>
      </c>
      <c r="L77">
        <f>IFERROR(INDEX(Scores!$AM$2:$AM$158,MATCH($B77,Scores!$BM$2:$BM$158,0)),"")</f>
        <v/>
      </c>
      <c r="M77">
        <f>IFERROR(INDEX(Scores!$AW$2:$AW$158,MATCH($B77,Scores!$BM$2:$BM$158,0)),"")</f>
        <v/>
      </c>
      <c r="N77">
        <f>IFERROR(INDEX(Scores!$BG$2:$BG$158,MATCH($B77,Scores!$BM$2:$BM$158,0)),"")</f>
        <v/>
      </c>
    </row>
    <row r="78">
      <c r="A78" t="inlineStr">
        <is>
          <t>Ranked</t>
        </is>
      </c>
      <c r="B78" t="n">
        <v>76</v>
      </c>
      <c r="C78">
        <f>IFERROR(INDEX(Scores!$BM$2:$BM$158,MATCH($B78,Scores!$BM$2:$BM$158,0)),"")</f>
        <v/>
      </c>
      <c r="D78">
        <f>IFERROR(INDEX(Scores!$B$2:$B$158,MATCH($B78,Scores!$BM$2:$BM$158,0)),"")</f>
        <v/>
      </c>
      <c r="E78">
        <f>IFERROR(INDEX(Scores!$C$2:$C$158,MATCH($B78,Scores!$BM$2:$BM$158,0)),"")</f>
        <v/>
      </c>
      <c r="F78">
        <f>IFERROR(INDEX(Scores!$D$2:$D$158,MATCH($B78,Scores!$BM$2:$BM$158,0)),"")</f>
        <v/>
      </c>
      <c r="G78">
        <f>IFERROR(INDEX(Scores!$E$2:$E$158,MATCH($B78,Scores!$BM$2:$BM$158,0)),"")</f>
        <v/>
      </c>
      <c r="H78">
        <f>IFERROR(INDEX(Scores!$BJ$2:$BJ$158,MATCH($B78,Scores!$BM$2:$BM$158,0)),"")</f>
        <v/>
      </c>
      <c r="I78">
        <f>IFERROR(INDEX(Scores!$BL$2:$BL$158,MATCH($B78,Scores!$BM$2:$BM$158,0)),"")</f>
        <v/>
      </c>
      <c r="J78">
        <f>IFERROR(INDEX(Scores!$Q$2:$Q$158,MATCH($B78,Scores!$BM$2:$BM$158,0)),"")</f>
        <v/>
      </c>
      <c r="K78">
        <f>IFERROR(INDEX(Scores!$AE$2:$AE$158,MATCH($B78,Scores!$BM$2:$BM$158,0)),"")</f>
        <v/>
      </c>
      <c r="L78">
        <f>IFERROR(INDEX(Scores!$AM$2:$AM$158,MATCH($B78,Scores!$BM$2:$BM$158,0)),"")</f>
        <v/>
      </c>
      <c r="M78">
        <f>IFERROR(INDEX(Scores!$AW$2:$AW$158,MATCH($B78,Scores!$BM$2:$BM$158,0)),"")</f>
        <v/>
      </c>
      <c r="N78">
        <f>IFERROR(INDEX(Scores!$BG$2:$BG$158,MATCH($B78,Scores!$BM$2:$BM$158,0)),"")</f>
        <v/>
      </c>
    </row>
    <row r="79">
      <c r="A79" t="inlineStr">
        <is>
          <t>Ranked</t>
        </is>
      </c>
      <c r="B79" t="n">
        <v>77</v>
      </c>
      <c r="C79">
        <f>IFERROR(INDEX(Scores!$BM$2:$BM$158,MATCH($B79,Scores!$BM$2:$BM$158,0)),"")</f>
        <v/>
      </c>
      <c r="D79">
        <f>IFERROR(INDEX(Scores!$B$2:$B$158,MATCH($B79,Scores!$BM$2:$BM$158,0)),"")</f>
        <v/>
      </c>
      <c r="E79">
        <f>IFERROR(INDEX(Scores!$C$2:$C$158,MATCH($B79,Scores!$BM$2:$BM$158,0)),"")</f>
        <v/>
      </c>
      <c r="F79">
        <f>IFERROR(INDEX(Scores!$D$2:$D$158,MATCH($B79,Scores!$BM$2:$BM$158,0)),"")</f>
        <v/>
      </c>
      <c r="G79">
        <f>IFERROR(INDEX(Scores!$E$2:$E$158,MATCH($B79,Scores!$BM$2:$BM$158,0)),"")</f>
        <v/>
      </c>
      <c r="H79">
        <f>IFERROR(INDEX(Scores!$BJ$2:$BJ$158,MATCH($B79,Scores!$BM$2:$BM$158,0)),"")</f>
        <v/>
      </c>
      <c r="I79">
        <f>IFERROR(INDEX(Scores!$BL$2:$BL$158,MATCH($B79,Scores!$BM$2:$BM$158,0)),"")</f>
        <v/>
      </c>
      <c r="J79">
        <f>IFERROR(INDEX(Scores!$Q$2:$Q$158,MATCH($B79,Scores!$BM$2:$BM$158,0)),"")</f>
        <v/>
      </c>
      <c r="K79">
        <f>IFERROR(INDEX(Scores!$AE$2:$AE$158,MATCH($B79,Scores!$BM$2:$BM$158,0)),"")</f>
        <v/>
      </c>
      <c r="L79">
        <f>IFERROR(INDEX(Scores!$AM$2:$AM$158,MATCH($B79,Scores!$BM$2:$BM$158,0)),"")</f>
        <v/>
      </c>
      <c r="M79">
        <f>IFERROR(INDEX(Scores!$AW$2:$AW$158,MATCH($B79,Scores!$BM$2:$BM$158,0)),"")</f>
        <v/>
      </c>
      <c r="N79">
        <f>IFERROR(INDEX(Scores!$BG$2:$BG$158,MATCH($B79,Scores!$BM$2:$BM$158,0)),"")</f>
        <v/>
      </c>
    </row>
    <row r="80">
      <c r="A80" t="inlineStr">
        <is>
          <t>Ranked</t>
        </is>
      </c>
      <c r="B80" t="n">
        <v>78</v>
      </c>
      <c r="C80">
        <f>IFERROR(INDEX(Scores!$BM$2:$BM$158,MATCH($B80,Scores!$BM$2:$BM$158,0)),"")</f>
        <v/>
      </c>
      <c r="D80">
        <f>IFERROR(INDEX(Scores!$B$2:$B$158,MATCH($B80,Scores!$BM$2:$BM$158,0)),"")</f>
        <v/>
      </c>
      <c r="E80">
        <f>IFERROR(INDEX(Scores!$C$2:$C$158,MATCH($B80,Scores!$BM$2:$BM$158,0)),"")</f>
        <v/>
      </c>
      <c r="F80">
        <f>IFERROR(INDEX(Scores!$D$2:$D$158,MATCH($B80,Scores!$BM$2:$BM$158,0)),"")</f>
        <v/>
      </c>
      <c r="G80">
        <f>IFERROR(INDEX(Scores!$E$2:$E$158,MATCH($B80,Scores!$BM$2:$BM$158,0)),"")</f>
        <v/>
      </c>
      <c r="H80">
        <f>IFERROR(INDEX(Scores!$BJ$2:$BJ$158,MATCH($B80,Scores!$BM$2:$BM$158,0)),"")</f>
        <v/>
      </c>
      <c r="I80">
        <f>IFERROR(INDEX(Scores!$BL$2:$BL$158,MATCH($B80,Scores!$BM$2:$BM$158,0)),"")</f>
        <v/>
      </c>
      <c r="J80">
        <f>IFERROR(INDEX(Scores!$Q$2:$Q$158,MATCH($B80,Scores!$BM$2:$BM$158,0)),"")</f>
        <v/>
      </c>
      <c r="K80">
        <f>IFERROR(INDEX(Scores!$AE$2:$AE$158,MATCH($B80,Scores!$BM$2:$BM$158,0)),"")</f>
        <v/>
      </c>
      <c r="L80">
        <f>IFERROR(INDEX(Scores!$AM$2:$AM$158,MATCH($B80,Scores!$BM$2:$BM$158,0)),"")</f>
        <v/>
      </c>
      <c r="M80">
        <f>IFERROR(INDEX(Scores!$AW$2:$AW$158,MATCH($B80,Scores!$BM$2:$BM$158,0)),"")</f>
        <v/>
      </c>
      <c r="N80">
        <f>IFERROR(INDEX(Scores!$BG$2:$BG$158,MATCH($B80,Scores!$BM$2:$BM$158,0)),"")</f>
        <v/>
      </c>
    </row>
    <row r="81">
      <c r="A81" t="inlineStr">
        <is>
          <t>Ranked</t>
        </is>
      </c>
      <c r="B81" t="n">
        <v>79</v>
      </c>
      <c r="C81">
        <f>IFERROR(INDEX(Scores!$BM$2:$BM$158,MATCH($B81,Scores!$BM$2:$BM$158,0)),"")</f>
        <v/>
      </c>
      <c r="D81">
        <f>IFERROR(INDEX(Scores!$B$2:$B$158,MATCH($B81,Scores!$BM$2:$BM$158,0)),"")</f>
        <v/>
      </c>
      <c r="E81">
        <f>IFERROR(INDEX(Scores!$C$2:$C$158,MATCH($B81,Scores!$BM$2:$BM$158,0)),"")</f>
        <v/>
      </c>
      <c r="F81">
        <f>IFERROR(INDEX(Scores!$D$2:$D$158,MATCH($B81,Scores!$BM$2:$BM$158,0)),"")</f>
        <v/>
      </c>
      <c r="G81">
        <f>IFERROR(INDEX(Scores!$E$2:$E$158,MATCH($B81,Scores!$BM$2:$BM$158,0)),"")</f>
        <v/>
      </c>
      <c r="H81">
        <f>IFERROR(INDEX(Scores!$BJ$2:$BJ$158,MATCH($B81,Scores!$BM$2:$BM$158,0)),"")</f>
        <v/>
      </c>
      <c r="I81">
        <f>IFERROR(INDEX(Scores!$BL$2:$BL$158,MATCH($B81,Scores!$BM$2:$BM$158,0)),"")</f>
        <v/>
      </c>
      <c r="J81">
        <f>IFERROR(INDEX(Scores!$Q$2:$Q$158,MATCH($B81,Scores!$BM$2:$BM$158,0)),"")</f>
        <v/>
      </c>
      <c r="K81">
        <f>IFERROR(INDEX(Scores!$AE$2:$AE$158,MATCH($B81,Scores!$BM$2:$BM$158,0)),"")</f>
        <v/>
      </c>
      <c r="L81">
        <f>IFERROR(INDEX(Scores!$AM$2:$AM$158,MATCH($B81,Scores!$BM$2:$BM$158,0)),"")</f>
        <v/>
      </c>
      <c r="M81">
        <f>IFERROR(INDEX(Scores!$AW$2:$AW$158,MATCH($B81,Scores!$BM$2:$BM$158,0)),"")</f>
        <v/>
      </c>
      <c r="N81">
        <f>IFERROR(INDEX(Scores!$BG$2:$BG$158,MATCH($B81,Scores!$BM$2:$BM$158,0)),"")</f>
        <v/>
      </c>
    </row>
    <row r="82">
      <c r="A82" t="inlineStr">
        <is>
          <t>Ranked</t>
        </is>
      </c>
      <c r="B82" t="n">
        <v>80</v>
      </c>
      <c r="C82">
        <f>IFERROR(INDEX(Scores!$BM$2:$BM$158,MATCH($B82,Scores!$BM$2:$BM$158,0)),"")</f>
        <v/>
      </c>
      <c r="D82">
        <f>IFERROR(INDEX(Scores!$B$2:$B$158,MATCH($B82,Scores!$BM$2:$BM$158,0)),"")</f>
        <v/>
      </c>
      <c r="E82">
        <f>IFERROR(INDEX(Scores!$C$2:$C$158,MATCH($B82,Scores!$BM$2:$BM$158,0)),"")</f>
        <v/>
      </c>
      <c r="F82">
        <f>IFERROR(INDEX(Scores!$D$2:$D$158,MATCH($B82,Scores!$BM$2:$BM$158,0)),"")</f>
        <v/>
      </c>
      <c r="G82">
        <f>IFERROR(INDEX(Scores!$E$2:$E$158,MATCH($B82,Scores!$BM$2:$BM$158,0)),"")</f>
        <v/>
      </c>
      <c r="H82">
        <f>IFERROR(INDEX(Scores!$BJ$2:$BJ$158,MATCH($B82,Scores!$BM$2:$BM$158,0)),"")</f>
        <v/>
      </c>
      <c r="I82">
        <f>IFERROR(INDEX(Scores!$BL$2:$BL$158,MATCH($B82,Scores!$BM$2:$BM$158,0)),"")</f>
        <v/>
      </c>
      <c r="J82">
        <f>IFERROR(INDEX(Scores!$Q$2:$Q$158,MATCH($B82,Scores!$BM$2:$BM$158,0)),"")</f>
        <v/>
      </c>
      <c r="K82">
        <f>IFERROR(INDEX(Scores!$AE$2:$AE$158,MATCH($B82,Scores!$BM$2:$BM$158,0)),"")</f>
        <v/>
      </c>
      <c r="L82">
        <f>IFERROR(INDEX(Scores!$AM$2:$AM$158,MATCH($B82,Scores!$BM$2:$BM$158,0)),"")</f>
        <v/>
      </c>
      <c r="M82">
        <f>IFERROR(INDEX(Scores!$AW$2:$AW$158,MATCH($B82,Scores!$BM$2:$BM$158,0)),"")</f>
        <v/>
      </c>
      <c r="N82">
        <f>IFERROR(INDEX(Scores!$BG$2:$BG$158,MATCH($B82,Scores!$BM$2:$BM$158,0)),"")</f>
        <v/>
      </c>
    </row>
    <row r="83">
      <c r="A83" t="inlineStr">
        <is>
          <t>Ranked</t>
        </is>
      </c>
      <c r="B83" t="n">
        <v>81</v>
      </c>
      <c r="C83">
        <f>IFERROR(INDEX(Scores!$BM$2:$BM$158,MATCH($B83,Scores!$BM$2:$BM$158,0)),"")</f>
        <v/>
      </c>
      <c r="D83">
        <f>IFERROR(INDEX(Scores!$B$2:$B$158,MATCH($B83,Scores!$BM$2:$BM$158,0)),"")</f>
        <v/>
      </c>
      <c r="E83">
        <f>IFERROR(INDEX(Scores!$C$2:$C$158,MATCH($B83,Scores!$BM$2:$BM$158,0)),"")</f>
        <v/>
      </c>
      <c r="F83">
        <f>IFERROR(INDEX(Scores!$D$2:$D$158,MATCH($B83,Scores!$BM$2:$BM$158,0)),"")</f>
        <v/>
      </c>
      <c r="G83">
        <f>IFERROR(INDEX(Scores!$E$2:$E$158,MATCH($B83,Scores!$BM$2:$BM$158,0)),"")</f>
        <v/>
      </c>
      <c r="H83">
        <f>IFERROR(INDEX(Scores!$BJ$2:$BJ$158,MATCH($B83,Scores!$BM$2:$BM$158,0)),"")</f>
        <v/>
      </c>
      <c r="I83">
        <f>IFERROR(INDEX(Scores!$BL$2:$BL$158,MATCH($B83,Scores!$BM$2:$BM$158,0)),"")</f>
        <v/>
      </c>
      <c r="J83">
        <f>IFERROR(INDEX(Scores!$Q$2:$Q$158,MATCH($B83,Scores!$BM$2:$BM$158,0)),"")</f>
        <v/>
      </c>
      <c r="K83">
        <f>IFERROR(INDEX(Scores!$AE$2:$AE$158,MATCH($B83,Scores!$BM$2:$BM$158,0)),"")</f>
        <v/>
      </c>
      <c r="L83">
        <f>IFERROR(INDEX(Scores!$AM$2:$AM$158,MATCH($B83,Scores!$BM$2:$BM$158,0)),"")</f>
        <v/>
      </c>
      <c r="M83">
        <f>IFERROR(INDEX(Scores!$AW$2:$AW$158,MATCH($B83,Scores!$BM$2:$BM$158,0)),"")</f>
        <v/>
      </c>
      <c r="N83">
        <f>IFERROR(INDEX(Scores!$BG$2:$BG$158,MATCH($B83,Scores!$BM$2:$BM$158,0)),"")</f>
        <v/>
      </c>
    </row>
    <row r="84">
      <c r="A84" t="inlineStr">
        <is>
          <t>Ranked</t>
        </is>
      </c>
      <c r="B84" t="n">
        <v>82</v>
      </c>
      <c r="C84">
        <f>IFERROR(INDEX(Scores!$BM$2:$BM$158,MATCH($B84,Scores!$BM$2:$BM$158,0)),"")</f>
        <v/>
      </c>
      <c r="D84">
        <f>IFERROR(INDEX(Scores!$B$2:$B$158,MATCH($B84,Scores!$BM$2:$BM$158,0)),"")</f>
        <v/>
      </c>
      <c r="E84">
        <f>IFERROR(INDEX(Scores!$C$2:$C$158,MATCH($B84,Scores!$BM$2:$BM$158,0)),"")</f>
        <v/>
      </c>
      <c r="F84">
        <f>IFERROR(INDEX(Scores!$D$2:$D$158,MATCH($B84,Scores!$BM$2:$BM$158,0)),"")</f>
        <v/>
      </c>
      <c r="G84">
        <f>IFERROR(INDEX(Scores!$E$2:$E$158,MATCH($B84,Scores!$BM$2:$BM$158,0)),"")</f>
        <v/>
      </c>
      <c r="H84">
        <f>IFERROR(INDEX(Scores!$BJ$2:$BJ$158,MATCH($B84,Scores!$BM$2:$BM$158,0)),"")</f>
        <v/>
      </c>
      <c r="I84">
        <f>IFERROR(INDEX(Scores!$BL$2:$BL$158,MATCH($B84,Scores!$BM$2:$BM$158,0)),"")</f>
        <v/>
      </c>
      <c r="J84">
        <f>IFERROR(INDEX(Scores!$Q$2:$Q$158,MATCH($B84,Scores!$BM$2:$BM$158,0)),"")</f>
        <v/>
      </c>
      <c r="K84">
        <f>IFERROR(INDEX(Scores!$AE$2:$AE$158,MATCH($B84,Scores!$BM$2:$BM$158,0)),"")</f>
        <v/>
      </c>
      <c r="L84">
        <f>IFERROR(INDEX(Scores!$AM$2:$AM$158,MATCH($B84,Scores!$BM$2:$BM$158,0)),"")</f>
        <v/>
      </c>
      <c r="M84">
        <f>IFERROR(INDEX(Scores!$AW$2:$AW$158,MATCH($B84,Scores!$BM$2:$BM$158,0)),"")</f>
        <v/>
      </c>
      <c r="N84">
        <f>IFERROR(INDEX(Scores!$BG$2:$BG$158,MATCH($B84,Scores!$BM$2:$BM$158,0)),"")</f>
        <v/>
      </c>
    </row>
    <row r="85">
      <c r="A85" t="inlineStr">
        <is>
          <t>Ranked</t>
        </is>
      </c>
      <c r="B85" t="n">
        <v>83</v>
      </c>
      <c r="C85">
        <f>IFERROR(INDEX(Scores!$BM$2:$BM$158,MATCH($B85,Scores!$BM$2:$BM$158,0)),"")</f>
        <v/>
      </c>
      <c r="D85">
        <f>IFERROR(INDEX(Scores!$B$2:$B$158,MATCH($B85,Scores!$BM$2:$BM$158,0)),"")</f>
        <v/>
      </c>
      <c r="E85">
        <f>IFERROR(INDEX(Scores!$C$2:$C$158,MATCH($B85,Scores!$BM$2:$BM$158,0)),"")</f>
        <v/>
      </c>
      <c r="F85">
        <f>IFERROR(INDEX(Scores!$D$2:$D$158,MATCH($B85,Scores!$BM$2:$BM$158,0)),"")</f>
        <v/>
      </c>
      <c r="G85">
        <f>IFERROR(INDEX(Scores!$E$2:$E$158,MATCH($B85,Scores!$BM$2:$BM$158,0)),"")</f>
        <v/>
      </c>
      <c r="H85">
        <f>IFERROR(INDEX(Scores!$BJ$2:$BJ$158,MATCH($B85,Scores!$BM$2:$BM$158,0)),"")</f>
        <v/>
      </c>
      <c r="I85">
        <f>IFERROR(INDEX(Scores!$BL$2:$BL$158,MATCH($B85,Scores!$BM$2:$BM$158,0)),"")</f>
        <v/>
      </c>
      <c r="J85">
        <f>IFERROR(INDEX(Scores!$Q$2:$Q$158,MATCH($B85,Scores!$BM$2:$BM$158,0)),"")</f>
        <v/>
      </c>
      <c r="K85">
        <f>IFERROR(INDEX(Scores!$AE$2:$AE$158,MATCH($B85,Scores!$BM$2:$BM$158,0)),"")</f>
        <v/>
      </c>
      <c r="L85">
        <f>IFERROR(INDEX(Scores!$AM$2:$AM$158,MATCH($B85,Scores!$BM$2:$BM$158,0)),"")</f>
        <v/>
      </c>
      <c r="M85">
        <f>IFERROR(INDEX(Scores!$AW$2:$AW$158,MATCH($B85,Scores!$BM$2:$BM$158,0)),"")</f>
        <v/>
      </c>
      <c r="N85">
        <f>IFERROR(INDEX(Scores!$BG$2:$BG$158,MATCH($B85,Scores!$BM$2:$BM$158,0)),"")</f>
        <v/>
      </c>
    </row>
    <row r="86">
      <c r="A86" t="inlineStr">
        <is>
          <t>Ranked</t>
        </is>
      </c>
      <c r="B86" t="n">
        <v>84</v>
      </c>
      <c r="C86">
        <f>IFERROR(INDEX(Scores!$BM$2:$BM$158,MATCH($B86,Scores!$BM$2:$BM$158,0)),"")</f>
        <v/>
      </c>
      <c r="D86">
        <f>IFERROR(INDEX(Scores!$B$2:$B$158,MATCH($B86,Scores!$BM$2:$BM$158,0)),"")</f>
        <v/>
      </c>
      <c r="E86">
        <f>IFERROR(INDEX(Scores!$C$2:$C$158,MATCH($B86,Scores!$BM$2:$BM$158,0)),"")</f>
        <v/>
      </c>
      <c r="F86">
        <f>IFERROR(INDEX(Scores!$D$2:$D$158,MATCH($B86,Scores!$BM$2:$BM$158,0)),"")</f>
        <v/>
      </c>
      <c r="G86">
        <f>IFERROR(INDEX(Scores!$E$2:$E$158,MATCH($B86,Scores!$BM$2:$BM$158,0)),"")</f>
        <v/>
      </c>
      <c r="H86">
        <f>IFERROR(INDEX(Scores!$BJ$2:$BJ$158,MATCH($B86,Scores!$BM$2:$BM$158,0)),"")</f>
        <v/>
      </c>
      <c r="I86">
        <f>IFERROR(INDEX(Scores!$BL$2:$BL$158,MATCH($B86,Scores!$BM$2:$BM$158,0)),"")</f>
        <v/>
      </c>
      <c r="J86">
        <f>IFERROR(INDEX(Scores!$Q$2:$Q$158,MATCH($B86,Scores!$BM$2:$BM$158,0)),"")</f>
        <v/>
      </c>
      <c r="K86">
        <f>IFERROR(INDEX(Scores!$AE$2:$AE$158,MATCH($B86,Scores!$BM$2:$BM$158,0)),"")</f>
        <v/>
      </c>
      <c r="L86">
        <f>IFERROR(INDEX(Scores!$AM$2:$AM$158,MATCH($B86,Scores!$BM$2:$BM$158,0)),"")</f>
        <v/>
      </c>
      <c r="M86">
        <f>IFERROR(INDEX(Scores!$AW$2:$AW$158,MATCH($B86,Scores!$BM$2:$BM$158,0)),"")</f>
        <v/>
      </c>
      <c r="N86">
        <f>IFERROR(INDEX(Scores!$BG$2:$BG$158,MATCH($B86,Scores!$BM$2:$BM$158,0)),"")</f>
        <v/>
      </c>
    </row>
    <row r="87">
      <c r="A87" t="inlineStr">
        <is>
          <t>Ranked</t>
        </is>
      </c>
      <c r="B87" t="n">
        <v>85</v>
      </c>
      <c r="C87">
        <f>IFERROR(INDEX(Scores!$BM$2:$BM$158,MATCH($B87,Scores!$BM$2:$BM$158,0)),"")</f>
        <v/>
      </c>
      <c r="D87">
        <f>IFERROR(INDEX(Scores!$B$2:$B$158,MATCH($B87,Scores!$BM$2:$BM$158,0)),"")</f>
        <v/>
      </c>
      <c r="E87">
        <f>IFERROR(INDEX(Scores!$C$2:$C$158,MATCH($B87,Scores!$BM$2:$BM$158,0)),"")</f>
        <v/>
      </c>
      <c r="F87">
        <f>IFERROR(INDEX(Scores!$D$2:$D$158,MATCH($B87,Scores!$BM$2:$BM$158,0)),"")</f>
        <v/>
      </c>
      <c r="G87">
        <f>IFERROR(INDEX(Scores!$E$2:$E$158,MATCH($B87,Scores!$BM$2:$BM$158,0)),"")</f>
        <v/>
      </c>
      <c r="H87">
        <f>IFERROR(INDEX(Scores!$BJ$2:$BJ$158,MATCH($B87,Scores!$BM$2:$BM$158,0)),"")</f>
        <v/>
      </c>
      <c r="I87">
        <f>IFERROR(INDEX(Scores!$BL$2:$BL$158,MATCH($B87,Scores!$BM$2:$BM$158,0)),"")</f>
        <v/>
      </c>
      <c r="J87">
        <f>IFERROR(INDEX(Scores!$Q$2:$Q$158,MATCH($B87,Scores!$BM$2:$BM$158,0)),"")</f>
        <v/>
      </c>
      <c r="K87">
        <f>IFERROR(INDEX(Scores!$AE$2:$AE$158,MATCH($B87,Scores!$BM$2:$BM$158,0)),"")</f>
        <v/>
      </c>
      <c r="L87">
        <f>IFERROR(INDEX(Scores!$AM$2:$AM$158,MATCH($B87,Scores!$BM$2:$BM$158,0)),"")</f>
        <v/>
      </c>
      <c r="M87">
        <f>IFERROR(INDEX(Scores!$AW$2:$AW$158,MATCH($B87,Scores!$BM$2:$BM$158,0)),"")</f>
        <v/>
      </c>
      <c r="N87">
        <f>IFERROR(INDEX(Scores!$BG$2:$BG$158,MATCH($B87,Scores!$BM$2:$BM$158,0)),"")</f>
        <v/>
      </c>
    </row>
    <row r="88">
      <c r="A88" t="inlineStr">
        <is>
          <t>Ranked</t>
        </is>
      </c>
      <c r="B88" t="n">
        <v>86</v>
      </c>
      <c r="C88">
        <f>IFERROR(INDEX(Scores!$BM$2:$BM$158,MATCH($B88,Scores!$BM$2:$BM$158,0)),"")</f>
        <v/>
      </c>
      <c r="D88">
        <f>IFERROR(INDEX(Scores!$B$2:$B$158,MATCH($B88,Scores!$BM$2:$BM$158,0)),"")</f>
        <v/>
      </c>
      <c r="E88">
        <f>IFERROR(INDEX(Scores!$C$2:$C$158,MATCH($B88,Scores!$BM$2:$BM$158,0)),"")</f>
        <v/>
      </c>
      <c r="F88">
        <f>IFERROR(INDEX(Scores!$D$2:$D$158,MATCH($B88,Scores!$BM$2:$BM$158,0)),"")</f>
        <v/>
      </c>
      <c r="G88">
        <f>IFERROR(INDEX(Scores!$E$2:$E$158,MATCH($B88,Scores!$BM$2:$BM$158,0)),"")</f>
        <v/>
      </c>
      <c r="H88">
        <f>IFERROR(INDEX(Scores!$BJ$2:$BJ$158,MATCH($B88,Scores!$BM$2:$BM$158,0)),"")</f>
        <v/>
      </c>
      <c r="I88">
        <f>IFERROR(INDEX(Scores!$BL$2:$BL$158,MATCH($B88,Scores!$BM$2:$BM$158,0)),"")</f>
        <v/>
      </c>
      <c r="J88">
        <f>IFERROR(INDEX(Scores!$Q$2:$Q$158,MATCH($B88,Scores!$BM$2:$BM$158,0)),"")</f>
        <v/>
      </c>
      <c r="K88">
        <f>IFERROR(INDEX(Scores!$AE$2:$AE$158,MATCH($B88,Scores!$BM$2:$BM$158,0)),"")</f>
        <v/>
      </c>
      <c r="L88">
        <f>IFERROR(INDEX(Scores!$AM$2:$AM$158,MATCH($B88,Scores!$BM$2:$BM$158,0)),"")</f>
        <v/>
      </c>
      <c r="M88">
        <f>IFERROR(INDEX(Scores!$AW$2:$AW$158,MATCH($B88,Scores!$BM$2:$BM$158,0)),"")</f>
        <v/>
      </c>
      <c r="N88">
        <f>IFERROR(INDEX(Scores!$BG$2:$BG$158,MATCH($B88,Scores!$BM$2:$BM$158,0)),"")</f>
        <v/>
      </c>
    </row>
    <row r="89">
      <c r="A89" t="inlineStr">
        <is>
          <t>Ranked</t>
        </is>
      </c>
      <c r="B89" t="n">
        <v>87</v>
      </c>
      <c r="C89">
        <f>IFERROR(INDEX(Scores!$BM$2:$BM$158,MATCH($B89,Scores!$BM$2:$BM$158,0)),"")</f>
        <v/>
      </c>
      <c r="D89">
        <f>IFERROR(INDEX(Scores!$B$2:$B$158,MATCH($B89,Scores!$BM$2:$BM$158,0)),"")</f>
        <v/>
      </c>
      <c r="E89">
        <f>IFERROR(INDEX(Scores!$C$2:$C$158,MATCH($B89,Scores!$BM$2:$BM$158,0)),"")</f>
        <v/>
      </c>
      <c r="F89">
        <f>IFERROR(INDEX(Scores!$D$2:$D$158,MATCH($B89,Scores!$BM$2:$BM$158,0)),"")</f>
        <v/>
      </c>
      <c r="G89">
        <f>IFERROR(INDEX(Scores!$E$2:$E$158,MATCH($B89,Scores!$BM$2:$BM$158,0)),"")</f>
        <v/>
      </c>
      <c r="H89">
        <f>IFERROR(INDEX(Scores!$BJ$2:$BJ$158,MATCH($B89,Scores!$BM$2:$BM$158,0)),"")</f>
        <v/>
      </c>
      <c r="I89">
        <f>IFERROR(INDEX(Scores!$BL$2:$BL$158,MATCH($B89,Scores!$BM$2:$BM$158,0)),"")</f>
        <v/>
      </c>
      <c r="J89">
        <f>IFERROR(INDEX(Scores!$Q$2:$Q$158,MATCH($B89,Scores!$BM$2:$BM$158,0)),"")</f>
        <v/>
      </c>
      <c r="K89">
        <f>IFERROR(INDEX(Scores!$AE$2:$AE$158,MATCH($B89,Scores!$BM$2:$BM$158,0)),"")</f>
        <v/>
      </c>
      <c r="L89">
        <f>IFERROR(INDEX(Scores!$AM$2:$AM$158,MATCH($B89,Scores!$BM$2:$BM$158,0)),"")</f>
        <v/>
      </c>
      <c r="M89">
        <f>IFERROR(INDEX(Scores!$AW$2:$AW$158,MATCH($B89,Scores!$BM$2:$BM$158,0)),"")</f>
        <v/>
      </c>
      <c r="N89">
        <f>IFERROR(INDEX(Scores!$BG$2:$BG$158,MATCH($B89,Scores!$BM$2:$BM$158,0)),"")</f>
        <v/>
      </c>
    </row>
    <row r="90">
      <c r="A90" t="inlineStr">
        <is>
          <t>Ranked</t>
        </is>
      </c>
      <c r="B90" t="n">
        <v>88</v>
      </c>
      <c r="C90">
        <f>IFERROR(INDEX(Scores!$BM$2:$BM$158,MATCH($B90,Scores!$BM$2:$BM$158,0)),"")</f>
        <v/>
      </c>
      <c r="D90">
        <f>IFERROR(INDEX(Scores!$B$2:$B$158,MATCH($B90,Scores!$BM$2:$BM$158,0)),"")</f>
        <v/>
      </c>
      <c r="E90">
        <f>IFERROR(INDEX(Scores!$C$2:$C$158,MATCH($B90,Scores!$BM$2:$BM$158,0)),"")</f>
        <v/>
      </c>
      <c r="F90">
        <f>IFERROR(INDEX(Scores!$D$2:$D$158,MATCH($B90,Scores!$BM$2:$BM$158,0)),"")</f>
        <v/>
      </c>
      <c r="G90">
        <f>IFERROR(INDEX(Scores!$E$2:$E$158,MATCH($B90,Scores!$BM$2:$BM$158,0)),"")</f>
        <v/>
      </c>
      <c r="H90">
        <f>IFERROR(INDEX(Scores!$BJ$2:$BJ$158,MATCH($B90,Scores!$BM$2:$BM$158,0)),"")</f>
        <v/>
      </c>
      <c r="I90">
        <f>IFERROR(INDEX(Scores!$BL$2:$BL$158,MATCH($B90,Scores!$BM$2:$BM$158,0)),"")</f>
        <v/>
      </c>
      <c r="J90">
        <f>IFERROR(INDEX(Scores!$Q$2:$Q$158,MATCH($B90,Scores!$BM$2:$BM$158,0)),"")</f>
        <v/>
      </c>
      <c r="K90">
        <f>IFERROR(INDEX(Scores!$AE$2:$AE$158,MATCH($B90,Scores!$BM$2:$BM$158,0)),"")</f>
        <v/>
      </c>
      <c r="L90">
        <f>IFERROR(INDEX(Scores!$AM$2:$AM$158,MATCH($B90,Scores!$BM$2:$BM$158,0)),"")</f>
        <v/>
      </c>
      <c r="M90">
        <f>IFERROR(INDEX(Scores!$AW$2:$AW$158,MATCH($B90,Scores!$BM$2:$BM$158,0)),"")</f>
        <v/>
      </c>
      <c r="N90">
        <f>IFERROR(INDEX(Scores!$BG$2:$BG$158,MATCH($B90,Scores!$BM$2:$BM$158,0)),"")</f>
        <v/>
      </c>
    </row>
    <row r="91">
      <c r="A91" t="inlineStr">
        <is>
          <t>Ranked</t>
        </is>
      </c>
      <c r="B91" t="n">
        <v>89</v>
      </c>
      <c r="C91">
        <f>IFERROR(INDEX(Scores!$BM$2:$BM$158,MATCH($B91,Scores!$BM$2:$BM$158,0)),"")</f>
        <v/>
      </c>
      <c r="D91">
        <f>IFERROR(INDEX(Scores!$B$2:$B$158,MATCH($B91,Scores!$BM$2:$BM$158,0)),"")</f>
        <v/>
      </c>
      <c r="E91">
        <f>IFERROR(INDEX(Scores!$C$2:$C$158,MATCH($B91,Scores!$BM$2:$BM$158,0)),"")</f>
        <v/>
      </c>
      <c r="F91">
        <f>IFERROR(INDEX(Scores!$D$2:$D$158,MATCH($B91,Scores!$BM$2:$BM$158,0)),"")</f>
        <v/>
      </c>
      <c r="G91">
        <f>IFERROR(INDEX(Scores!$E$2:$E$158,MATCH($B91,Scores!$BM$2:$BM$158,0)),"")</f>
        <v/>
      </c>
      <c r="H91">
        <f>IFERROR(INDEX(Scores!$BJ$2:$BJ$158,MATCH($B91,Scores!$BM$2:$BM$158,0)),"")</f>
        <v/>
      </c>
      <c r="I91">
        <f>IFERROR(INDEX(Scores!$BL$2:$BL$158,MATCH($B91,Scores!$BM$2:$BM$158,0)),"")</f>
        <v/>
      </c>
      <c r="J91">
        <f>IFERROR(INDEX(Scores!$Q$2:$Q$158,MATCH($B91,Scores!$BM$2:$BM$158,0)),"")</f>
        <v/>
      </c>
      <c r="K91">
        <f>IFERROR(INDEX(Scores!$AE$2:$AE$158,MATCH($B91,Scores!$BM$2:$BM$158,0)),"")</f>
        <v/>
      </c>
      <c r="L91">
        <f>IFERROR(INDEX(Scores!$AM$2:$AM$158,MATCH($B91,Scores!$BM$2:$BM$158,0)),"")</f>
        <v/>
      </c>
      <c r="M91">
        <f>IFERROR(INDEX(Scores!$AW$2:$AW$158,MATCH($B91,Scores!$BM$2:$BM$158,0)),"")</f>
        <v/>
      </c>
      <c r="N91">
        <f>IFERROR(INDEX(Scores!$BG$2:$BG$158,MATCH($B91,Scores!$BM$2:$BM$158,0)),"")</f>
        <v/>
      </c>
    </row>
    <row r="92">
      <c r="A92" t="inlineStr">
        <is>
          <t>Ranked</t>
        </is>
      </c>
      <c r="B92" t="n">
        <v>90</v>
      </c>
      <c r="C92">
        <f>IFERROR(INDEX(Scores!$BM$2:$BM$158,MATCH($B92,Scores!$BM$2:$BM$158,0)),"")</f>
        <v/>
      </c>
      <c r="D92">
        <f>IFERROR(INDEX(Scores!$B$2:$B$158,MATCH($B92,Scores!$BM$2:$BM$158,0)),"")</f>
        <v/>
      </c>
      <c r="E92">
        <f>IFERROR(INDEX(Scores!$C$2:$C$158,MATCH($B92,Scores!$BM$2:$BM$158,0)),"")</f>
        <v/>
      </c>
      <c r="F92">
        <f>IFERROR(INDEX(Scores!$D$2:$D$158,MATCH($B92,Scores!$BM$2:$BM$158,0)),"")</f>
        <v/>
      </c>
      <c r="G92">
        <f>IFERROR(INDEX(Scores!$E$2:$E$158,MATCH($B92,Scores!$BM$2:$BM$158,0)),"")</f>
        <v/>
      </c>
      <c r="H92">
        <f>IFERROR(INDEX(Scores!$BJ$2:$BJ$158,MATCH($B92,Scores!$BM$2:$BM$158,0)),"")</f>
        <v/>
      </c>
      <c r="I92">
        <f>IFERROR(INDEX(Scores!$BL$2:$BL$158,MATCH($B92,Scores!$BM$2:$BM$158,0)),"")</f>
        <v/>
      </c>
      <c r="J92">
        <f>IFERROR(INDEX(Scores!$Q$2:$Q$158,MATCH($B92,Scores!$BM$2:$BM$158,0)),"")</f>
        <v/>
      </c>
      <c r="K92">
        <f>IFERROR(INDEX(Scores!$AE$2:$AE$158,MATCH($B92,Scores!$BM$2:$BM$158,0)),"")</f>
        <v/>
      </c>
      <c r="L92">
        <f>IFERROR(INDEX(Scores!$AM$2:$AM$158,MATCH($B92,Scores!$BM$2:$BM$158,0)),"")</f>
        <v/>
      </c>
      <c r="M92">
        <f>IFERROR(INDEX(Scores!$AW$2:$AW$158,MATCH($B92,Scores!$BM$2:$BM$158,0)),"")</f>
        <v/>
      </c>
      <c r="N92">
        <f>IFERROR(INDEX(Scores!$BG$2:$BG$158,MATCH($B92,Scores!$BM$2:$BM$158,0)),"")</f>
        <v/>
      </c>
    </row>
    <row r="93">
      <c r="A93" t="inlineStr">
        <is>
          <t>Ranked</t>
        </is>
      </c>
      <c r="B93" t="n">
        <v>91</v>
      </c>
      <c r="C93">
        <f>IFERROR(INDEX(Scores!$BM$2:$BM$158,MATCH($B93,Scores!$BM$2:$BM$158,0)),"")</f>
        <v/>
      </c>
      <c r="D93">
        <f>IFERROR(INDEX(Scores!$B$2:$B$158,MATCH($B93,Scores!$BM$2:$BM$158,0)),"")</f>
        <v/>
      </c>
      <c r="E93">
        <f>IFERROR(INDEX(Scores!$C$2:$C$158,MATCH($B93,Scores!$BM$2:$BM$158,0)),"")</f>
        <v/>
      </c>
      <c r="F93">
        <f>IFERROR(INDEX(Scores!$D$2:$D$158,MATCH($B93,Scores!$BM$2:$BM$158,0)),"")</f>
        <v/>
      </c>
      <c r="G93">
        <f>IFERROR(INDEX(Scores!$E$2:$E$158,MATCH($B93,Scores!$BM$2:$BM$158,0)),"")</f>
        <v/>
      </c>
      <c r="H93">
        <f>IFERROR(INDEX(Scores!$BJ$2:$BJ$158,MATCH($B93,Scores!$BM$2:$BM$158,0)),"")</f>
        <v/>
      </c>
      <c r="I93">
        <f>IFERROR(INDEX(Scores!$BL$2:$BL$158,MATCH($B93,Scores!$BM$2:$BM$158,0)),"")</f>
        <v/>
      </c>
      <c r="J93">
        <f>IFERROR(INDEX(Scores!$Q$2:$Q$158,MATCH($B93,Scores!$BM$2:$BM$158,0)),"")</f>
        <v/>
      </c>
      <c r="K93">
        <f>IFERROR(INDEX(Scores!$AE$2:$AE$158,MATCH($B93,Scores!$BM$2:$BM$158,0)),"")</f>
        <v/>
      </c>
      <c r="L93">
        <f>IFERROR(INDEX(Scores!$AM$2:$AM$158,MATCH($B93,Scores!$BM$2:$BM$158,0)),"")</f>
        <v/>
      </c>
      <c r="M93">
        <f>IFERROR(INDEX(Scores!$AW$2:$AW$158,MATCH($B93,Scores!$BM$2:$BM$158,0)),"")</f>
        <v/>
      </c>
      <c r="N93">
        <f>IFERROR(INDEX(Scores!$BG$2:$BG$158,MATCH($B93,Scores!$BM$2:$BM$158,0)),"")</f>
        <v/>
      </c>
    </row>
    <row r="94">
      <c r="A94" t="inlineStr">
        <is>
          <t>Ranked</t>
        </is>
      </c>
      <c r="B94" t="n">
        <v>92</v>
      </c>
      <c r="C94">
        <f>IFERROR(INDEX(Scores!$BM$2:$BM$158,MATCH($B94,Scores!$BM$2:$BM$158,0)),"")</f>
        <v/>
      </c>
      <c r="D94">
        <f>IFERROR(INDEX(Scores!$B$2:$B$158,MATCH($B94,Scores!$BM$2:$BM$158,0)),"")</f>
        <v/>
      </c>
      <c r="E94">
        <f>IFERROR(INDEX(Scores!$C$2:$C$158,MATCH($B94,Scores!$BM$2:$BM$158,0)),"")</f>
        <v/>
      </c>
      <c r="F94">
        <f>IFERROR(INDEX(Scores!$D$2:$D$158,MATCH($B94,Scores!$BM$2:$BM$158,0)),"")</f>
        <v/>
      </c>
      <c r="G94">
        <f>IFERROR(INDEX(Scores!$E$2:$E$158,MATCH($B94,Scores!$BM$2:$BM$158,0)),"")</f>
        <v/>
      </c>
      <c r="H94">
        <f>IFERROR(INDEX(Scores!$BJ$2:$BJ$158,MATCH($B94,Scores!$BM$2:$BM$158,0)),"")</f>
        <v/>
      </c>
      <c r="I94">
        <f>IFERROR(INDEX(Scores!$BL$2:$BL$158,MATCH($B94,Scores!$BM$2:$BM$158,0)),"")</f>
        <v/>
      </c>
      <c r="J94">
        <f>IFERROR(INDEX(Scores!$Q$2:$Q$158,MATCH($B94,Scores!$BM$2:$BM$158,0)),"")</f>
        <v/>
      </c>
      <c r="K94">
        <f>IFERROR(INDEX(Scores!$AE$2:$AE$158,MATCH($B94,Scores!$BM$2:$BM$158,0)),"")</f>
        <v/>
      </c>
      <c r="L94">
        <f>IFERROR(INDEX(Scores!$AM$2:$AM$158,MATCH($B94,Scores!$BM$2:$BM$158,0)),"")</f>
        <v/>
      </c>
      <c r="M94">
        <f>IFERROR(INDEX(Scores!$AW$2:$AW$158,MATCH($B94,Scores!$BM$2:$BM$158,0)),"")</f>
        <v/>
      </c>
      <c r="N94">
        <f>IFERROR(INDEX(Scores!$BG$2:$BG$158,MATCH($B94,Scores!$BM$2:$BM$158,0)),"")</f>
        <v/>
      </c>
    </row>
    <row r="95">
      <c r="A95" t="inlineStr">
        <is>
          <t>Ranked</t>
        </is>
      </c>
      <c r="B95" t="n">
        <v>93</v>
      </c>
      <c r="C95">
        <f>IFERROR(INDEX(Scores!$BM$2:$BM$158,MATCH($B95,Scores!$BM$2:$BM$158,0)),"")</f>
        <v/>
      </c>
      <c r="D95">
        <f>IFERROR(INDEX(Scores!$B$2:$B$158,MATCH($B95,Scores!$BM$2:$BM$158,0)),"")</f>
        <v/>
      </c>
      <c r="E95">
        <f>IFERROR(INDEX(Scores!$C$2:$C$158,MATCH($B95,Scores!$BM$2:$BM$158,0)),"")</f>
        <v/>
      </c>
      <c r="F95">
        <f>IFERROR(INDEX(Scores!$D$2:$D$158,MATCH($B95,Scores!$BM$2:$BM$158,0)),"")</f>
        <v/>
      </c>
      <c r="G95">
        <f>IFERROR(INDEX(Scores!$E$2:$E$158,MATCH($B95,Scores!$BM$2:$BM$158,0)),"")</f>
        <v/>
      </c>
      <c r="H95">
        <f>IFERROR(INDEX(Scores!$BJ$2:$BJ$158,MATCH($B95,Scores!$BM$2:$BM$158,0)),"")</f>
        <v/>
      </c>
      <c r="I95">
        <f>IFERROR(INDEX(Scores!$BL$2:$BL$158,MATCH($B95,Scores!$BM$2:$BM$158,0)),"")</f>
        <v/>
      </c>
      <c r="J95">
        <f>IFERROR(INDEX(Scores!$Q$2:$Q$158,MATCH($B95,Scores!$BM$2:$BM$158,0)),"")</f>
        <v/>
      </c>
      <c r="K95">
        <f>IFERROR(INDEX(Scores!$AE$2:$AE$158,MATCH($B95,Scores!$BM$2:$BM$158,0)),"")</f>
        <v/>
      </c>
      <c r="L95">
        <f>IFERROR(INDEX(Scores!$AM$2:$AM$158,MATCH($B95,Scores!$BM$2:$BM$158,0)),"")</f>
        <v/>
      </c>
      <c r="M95">
        <f>IFERROR(INDEX(Scores!$AW$2:$AW$158,MATCH($B95,Scores!$BM$2:$BM$158,0)),"")</f>
        <v/>
      </c>
      <c r="N95">
        <f>IFERROR(INDEX(Scores!$BG$2:$BG$158,MATCH($B95,Scores!$BM$2:$BM$158,0)),"")</f>
        <v/>
      </c>
    </row>
    <row r="96">
      <c r="A96" t="inlineStr">
        <is>
          <t>Ranked</t>
        </is>
      </c>
      <c r="B96" t="n">
        <v>94</v>
      </c>
      <c r="C96">
        <f>IFERROR(INDEX(Scores!$BM$2:$BM$158,MATCH($B96,Scores!$BM$2:$BM$158,0)),"")</f>
        <v/>
      </c>
      <c r="D96">
        <f>IFERROR(INDEX(Scores!$B$2:$B$158,MATCH($B96,Scores!$BM$2:$BM$158,0)),"")</f>
        <v/>
      </c>
      <c r="E96">
        <f>IFERROR(INDEX(Scores!$C$2:$C$158,MATCH($B96,Scores!$BM$2:$BM$158,0)),"")</f>
        <v/>
      </c>
      <c r="F96">
        <f>IFERROR(INDEX(Scores!$D$2:$D$158,MATCH($B96,Scores!$BM$2:$BM$158,0)),"")</f>
        <v/>
      </c>
      <c r="G96">
        <f>IFERROR(INDEX(Scores!$E$2:$E$158,MATCH($B96,Scores!$BM$2:$BM$158,0)),"")</f>
        <v/>
      </c>
      <c r="H96">
        <f>IFERROR(INDEX(Scores!$BJ$2:$BJ$158,MATCH($B96,Scores!$BM$2:$BM$158,0)),"")</f>
        <v/>
      </c>
      <c r="I96">
        <f>IFERROR(INDEX(Scores!$BL$2:$BL$158,MATCH($B96,Scores!$BM$2:$BM$158,0)),"")</f>
        <v/>
      </c>
      <c r="J96">
        <f>IFERROR(INDEX(Scores!$Q$2:$Q$158,MATCH($B96,Scores!$BM$2:$BM$158,0)),"")</f>
        <v/>
      </c>
      <c r="K96">
        <f>IFERROR(INDEX(Scores!$AE$2:$AE$158,MATCH($B96,Scores!$BM$2:$BM$158,0)),"")</f>
        <v/>
      </c>
      <c r="L96">
        <f>IFERROR(INDEX(Scores!$AM$2:$AM$158,MATCH($B96,Scores!$BM$2:$BM$158,0)),"")</f>
        <v/>
      </c>
      <c r="M96">
        <f>IFERROR(INDEX(Scores!$AW$2:$AW$158,MATCH($B96,Scores!$BM$2:$BM$158,0)),"")</f>
        <v/>
      </c>
      <c r="N96">
        <f>IFERROR(INDEX(Scores!$BG$2:$BG$158,MATCH($B96,Scores!$BM$2:$BM$158,0)),"")</f>
        <v/>
      </c>
    </row>
    <row r="97">
      <c r="A97" t="inlineStr">
        <is>
          <t>Ranked</t>
        </is>
      </c>
      <c r="B97" t="n">
        <v>95</v>
      </c>
      <c r="C97">
        <f>IFERROR(INDEX(Scores!$BM$2:$BM$158,MATCH($B97,Scores!$BM$2:$BM$158,0)),"")</f>
        <v/>
      </c>
      <c r="D97">
        <f>IFERROR(INDEX(Scores!$B$2:$B$158,MATCH($B97,Scores!$BM$2:$BM$158,0)),"")</f>
        <v/>
      </c>
      <c r="E97">
        <f>IFERROR(INDEX(Scores!$C$2:$C$158,MATCH($B97,Scores!$BM$2:$BM$158,0)),"")</f>
        <v/>
      </c>
      <c r="F97">
        <f>IFERROR(INDEX(Scores!$D$2:$D$158,MATCH($B97,Scores!$BM$2:$BM$158,0)),"")</f>
        <v/>
      </c>
      <c r="G97">
        <f>IFERROR(INDEX(Scores!$E$2:$E$158,MATCH($B97,Scores!$BM$2:$BM$158,0)),"")</f>
        <v/>
      </c>
      <c r="H97">
        <f>IFERROR(INDEX(Scores!$BJ$2:$BJ$158,MATCH($B97,Scores!$BM$2:$BM$158,0)),"")</f>
        <v/>
      </c>
      <c r="I97">
        <f>IFERROR(INDEX(Scores!$BL$2:$BL$158,MATCH($B97,Scores!$BM$2:$BM$158,0)),"")</f>
        <v/>
      </c>
      <c r="J97">
        <f>IFERROR(INDEX(Scores!$Q$2:$Q$158,MATCH($B97,Scores!$BM$2:$BM$158,0)),"")</f>
        <v/>
      </c>
      <c r="K97">
        <f>IFERROR(INDEX(Scores!$AE$2:$AE$158,MATCH($B97,Scores!$BM$2:$BM$158,0)),"")</f>
        <v/>
      </c>
      <c r="L97">
        <f>IFERROR(INDEX(Scores!$AM$2:$AM$158,MATCH($B97,Scores!$BM$2:$BM$158,0)),"")</f>
        <v/>
      </c>
      <c r="M97">
        <f>IFERROR(INDEX(Scores!$AW$2:$AW$158,MATCH($B97,Scores!$BM$2:$BM$158,0)),"")</f>
        <v/>
      </c>
      <c r="N97">
        <f>IFERROR(INDEX(Scores!$BG$2:$BG$158,MATCH($B97,Scores!$BM$2:$BM$158,0)),"")</f>
        <v/>
      </c>
    </row>
    <row r="98">
      <c r="A98" t="inlineStr">
        <is>
          <t>Ranked</t>
        </is>
      </c>
      <c r="B98" t="n">
        <v>96</v>
      </c>
      <c r="C98">
        <f>IFERROR(INDEX(Scores!$BM$2:$BM$158,MATCH($B98,Scores!$BM$2:$BM$158,0)),"")</f>
        <v/>
      </c>
      <c r="D98">
        <f>IFERROR(INDEX(Scores!$B$2:$B$158,MATCH($B98,Scores!$BM$2:$BM$158,0)),"")</f>
        <v/>
      </c>
      <c r="E98">
        <f>IFERROR(INDEX(Scores!$C$2:$C$158,MATCH($B98,Scores!$BM$2:$BM$158,0)),"")</f>
        <v/>
      </c>
      <c r="F98">
        <f>IFERROR(INDEX(Scores!$D$2:$D$158,MATCH($B98,Scores!$BM$2:$BM$158,0)),"")</f>
        <v/>
      </c>
      <c r="G98">
        <f>IFERROR(INDEX(Scores!$E$2:$E$158,MATCH($B98,Scores!$BM$2:$BM$158,0)),"")</f>
        <v/>
      </c>
      <c r="H98">
        <f>IFERROR(INDEX(Scores!$BJ$2:$BJ$158,MATCH($B98,Scores!$BM$2:$BM$158,0)),"")</f>
        <v/>
      </c>
      <c r="I98">
        <f>IFERROR(INDEX(Scores!$BL$2:$BL$158,MATCH($B98,Scores!$BM$2:$BM$158,0)),"")</f>
        <v/>
      </c>
      <c r="J98">
        <f>IFERROR(INDEX(Scores!$Q$2:$Q$158,MATCH($B98,Scores!$BM$2:$BM$158,0)),"")</f>
        <v/>
      </c>
      <c r="K98">
        <f>IFERROR(INDEX(Scores!$AE$2:$AE$158,MATCH($B98,Scores!$BM$2:$BM$158,0)),"")</f>
        <v/>
      </c>
      <c r="L98">
        <f>IFERROR(INDEX(Scores!$AM$2:$AM$158,MATCH($B98,Scores!$BM$2:$BM$158,0)),"")</f>
        <v/>
      </c>
      <c r="M98">
        <f>IFERROR(INDEX(Scores!$AW$2:$AW$158,MATCH($B98,Scores!$BM$2:$BM$158,0)),"")</f>
        <v/>
      </c>
      <c r="N98">
        <f>IFERROR(INDEX(Scores!$BG$2:$BG$158,MATCH($B98,Scores!$BM$2:$BM$158,0)),"")</f>
        <v/>
      </c>
    </row>
    <row r="99">
      <c r="A99" t="inlineStr">
        <is>
          <t>Ranked</t>
        </is>
      </c>
      <c r="B99" t="n">
        <v>97</v>
      </c>
      <c r="C99">
        <f>IFERROR(INDEX(Scores!$BM$2:$BM$158,MATCH($B99,Scores!$BM$2:$BM$158,0)),"")</f>
        <v/>
      </c>
      <c r="D99">
        <f>IFERROR(INDEX(Scores!$B$2:$B$158,MATCH($B99,Scores!$BM$2:$BM$158,0)),"")</f>
        <v/>
      </c>
      <c r="E99">
        <f>IFERROR(INDEX(Scores!$C$2:$C$158,MATCH($B99,Scores!$BM$2:$BM$158,0)),"")</f>
        <v/>
      </c>
      <c r="F99">
        <f>IFERROR(INDEX(Scores!$D$2:$D$158,MATCH($B99,Scores!$BM$2:$BM$158,0)),"")</f>
        <v/>
      </c>
      <c r="G99">
        <f>IFERROR(INDEX(Scores!$E$2:$E$158,MATCH($B99,Scores!$BM$2:$BM$158,0)),"")</f>
        <v/>
      </c>
      <c r="H99">
        <f>IFERROR(INDEX(Scores!$BJ$2:$BJ$158,MATCH($B99,Scores!$BM$2:$BM$158,0)),"")</f>
        <v/>
      </c>
      <c r="I99">
        <f>IFERROR(INDEX(Scores!$BL$2:$BL$158,MATCH($B99,Scores!$BM$2:$BM$158,0)),"")</f>
        <v/>
      </c>
      <c r="J99">
        <f>IFERROR(INDEX(Scores!$Q$2:$Q$158,MATCH($B99,Scores!$BM$2:$BM$158,0)),"")</f>
        <v/>
      </c>
      <c r="K99">
        <f>IFERROR(INDEX(Scores!$AE$2:$AE$158,MATCH($B99,Scores!$BM$2:$BM$158,0)),"")</f>
        <v/>
      </c>
      <c r="L99">
        <f>IFERROR(INDEX(Scores!$AM$2:$AM$158,MATCH($B99,Scores!$BM$2:$BM$158,0)),"")</f>
        <v/>
      </c>
      <c r="M99">
        <f>IFERROR(INDEX(Scores!$AW$2:$AW$158,MATCH($B99,Scores!$BM$2:$BM$158,0)),"")</f>
        <v/>
      </c>
      <c r="N99">
        <f>IFERROR(INDEX(Scores!$BG$2:$BG$158,MATCH($B99,Scores!$BM$2:$BM$158,0)),"")</f>
        <v/>
      </c>
    </row>
    <row r="100">
      <c r="A100" t="inlineStr">
        <is>
          <t>Ranked</t>
        </is>
      </c>
      <c r="B100" t="n">
        <v>98</v>
      </c>
      <c r="C100">
        <f>IFERROR(INDEX(Scores!$BM$2:$BM$158,MATCH($B100,Scores!$BM$2:$BM$158,0)),"")</f>
        <v/>
      </c>
      <c r="D100">
        <f>IFERROR(INDEX(Scores!$B$2:$B$158,MATCH($B100,Scores!$BM$2:$BM$158,0)),"")</f>
        <v/>
      </c>
      <c r="E100">
        <f>IFERROR(INDEX(Scores!$C$2:$C$158,MATCH($B100,Scores!$BM$2:$BM$158,0)),"")</f>
        <v/>
      </c>
      <c r="F100">
        <f>IFERROR(INDEX(Scores!$D$2:$D$158,MATCH($B100,Scores!$BM$2:$BM$158,0)),"")</f>
        <v/>
      </c>
      <c r="G100">
        <f>IFERROR(INDEX(Scores!$E$2:$E$158,MATCH($B100,Scores!$BM$2:$BM$158,0)),"")</f>
        <v/>
      </c>
      <c r="H100">
        <f>IFERROR(INDEX(Scores!$BJ$2:$BJ$158,MATCH($B100,Scores!$BM$2:$BM$158,0)),"")</f>
        <v/>
      </c>
      <c r="I100">
        <f>IFERROR(INDEX(Scores!$BL$2:$BL$158,MATCH($B100,Scores!$BM$2:$BM$158,0)),"")</f>
        <v/>
      </c>
      <c r="J100">
        <f>IFERROR(INDEX(Scores!$Q$2:$Q$158,MATCH($B100,Scores!$BM$2:$BM$158,0)),"")</f>
        <v/>
      </c>
      <c r="K100">
        <f>IFERROR(INDEX(Scores!$AE$2:$AE$158,MATCH($B100,Scores!$BM$2:$BM$158,0)),"")</f>
        <v/>
      </c>
      <c r="L100">
        <f>IFERROR(INDEX(Scores!$AM$2:$AM$158,MATCH($B100,Scores!$BM$2:$BM$158,0)),"")</f>
        <v/>
      </c>
      <c r="M100">
        <f>IFERROR(INDEX(Scores!$AW$2:$AW$158,MATCH($B100,Scores!$BM$2:$BM$158,0)),"")</f>
        <v/>
      </c>
      <c r="N100">
        <f>IFERROR(INDEX(Scores!$BG$2:$BG$158,MATCH($B100,Scores!$BM$2:$BM$158,0)),"")</f>
        <v/>
      </c>
    </row>
    <row r="101">
      <c r="A101" t="inlineStr">
        <is>
          <t>Ranked</t>
        </is>
      </c>
      <c r="B101" t="n">
        <v>99</v>
      </c>
      <c r="C101">
        <f>IFERROR(INDEX(Scores!$BM$2:$BM$158,MATCH($B101,Scores!$BM$2:$BM$158,0)),"")</f>
        <v/>
      </c>
      <c r="D101">
        <f>IFERROR(INDEX(Scores!$B$2:$B$158,MATCH($B101,Scores!$BM$2:$BM$158,0)),"")</f>
        <v/>
      </c>
      <c r="E101">
        <f>IFERROR(INDEX(Scores!$C$2:$C$158,MATCH($B101,Scores!$BM$2:$BM$158,0)),"")</f>
        <v/>
      </c>
      <c r="F101">
        <f>IFERROR(INDEX(Scores!$D$2:$D$158,MATCH($B101,Scores!$BM$2:$BM$158,0)),"")</f>
        <v/>
      </c>
      <c r="G101">
        <f>IFERROR(INDEX(Scores!$E$2:$E$158,MATCH($B101,Scores!$BM$2:$BM$158,0)),"")</f>
        <v/>
      </c>
      <c r="H101">
        <f>IFERROR(INDEX(Scores!$BJ$2:$BJ$158,MATCH($B101,Scores!$BM$2:$BM$158,0)),"")</f>
        <v/>
      </c>
      <c r="I101">
        <f>IFERROR(INDEX(Scores!$BL$2:$BL$158,MATCH($B101,Scores!$BM$2:$BM$158,0)),"")</f>
        <v/>
      </c>
      <c r="J101">
        <f>IFERROR(INDEX(Scores!$Q$2:$Q$158,MATCH($B101,Scores!$BM$2:$BM$158,0)),"")</f>
        <v/>
      </c>
      <c r="K101">
        <f>IFERROR(INDEX(Scores!$AE$2:$AE$158,MATCH($B101,Scores!$BM$2:$BM$158,0)),"")</f>
        <v/>
      </c>
      <c r="L101">
        <f>IFERROR(INDEX(Scores!$AM$2:$AM$158,MATCH($B101,Scores!$BM$2:$BM$158,0)),"")</f>
        <v/>
      </c>
      <c r="M101">
        <f>IFERROR(INDEX(Scores!$AW$2:$AW$158,MATCH($B101,Scores!$BM$2:$BM$158,0)),"")</f>
        <v/>
      </c>
      <c r="N101">
        <f>IFERROR(INDEX(Scores!$BG$2:$BG$158,MATCH($B101,Scores!$BM$2:$BM$158,0)),"")</f>
        <v/>
      </c>
    </row>
    <row r="102">
      <c r="A102" t="inlineStr">
        <is>
          <t>Ranked</t>
        </is>
      </c>
      <c r="B102" t="n">
        <v>100</v>
      </c>
      <c r="C102">
        <f>IFERROR(INDEX(Scores!$BM$2:$BM$158,MATCH($B102,Scores!$BM$2:$BM$158,0)),"")</f>
        <v/>
      </c>
      <c r="D102">
        <f>IFERROR(INDEX(Scores!$B$2:$B$158,MATCH($B102,Scores!$BM$2:$BM$158,0)),"")</f>
        <v/>
      </c>
      <c r="E102">
        <f>IFERROR(INDEX(Scores!$C$2:$C$158,MATCH($B102,Scores!$BM$2:$BM$158,0)),"")</f>
        <v/>
      </c>
      <c r="F102">
        <f>IFERROR(INDEX(Scores!$D$2:$D$158,MATCH($B102,Scores!$BM$2:$BM$158,0)),"")</f>
        <v/>
      </c>
      <c r="G102">
        <f>IFERROR(INDEX(Scores!$E$2:$E$158,MATCH($B102,Scores!$BM$2:$BM$158,0)),"")</f>
        <v/>
      </c>
      <c r="H102">
        <f>IFERROR(INDEX(Scores!$BJ$2:$BJ$158,MATCH($B102,Scores!$BM$2:$BM$158,0)),"")</f>
        <v/>
      </c>
      <c r="I102">
        <f>IFERROR(INDEX(Scores!$BL$2:$BL$158,MATCH($B102,Scores!$BM$2:$BM$158,0)),"")</f>
        <v/>
      </c>
      <c r="J102">
        <f>IFERROR(INDEX(Scores!$Q$2:$Q$158,MATCH($B102,Scores!$BM$2:$BM$158,0)),"")</f>
        <v/>
      </c>
      <c r="K102">
        <f>IFERROR(INDEX(Scores!$AE$2:$AE$158,MATCH($B102,Scores!$BM$2:$BM$158,0)),"")</f>
        <v/>
      </c>
      <c r="L102">
        <f>IFERROR(INDEX(Scores!$AM$2:$AM$158,MATCH($B102,Scores!$BM$2:$BM$158,0)),"")</f>
        <v/>
      </c>
      <c r="M102">
        <f>IFERROR(INDEX(Scores!$AW$2:$AW$158,MATCH($B102,Scores!$BM$2:$BM$158,0)),"")</f>
        <v/>
      </c>
      <c r="N102">
        <f>IFERROR(INDEX(Scores!$BG$2:$BG$158,MATCH($B102,Scores!$BM$2:$BM$158,0)),"")</f>
        <v/>
      </c>
    </row>
    <row r="103">
      <c r="A103" t="inlineStr">
        <is>
          <t>Ranked</t>
        </is>
      </c>
      <c r="B103" t="n">
        <v>101</v>
      </c>
      <c r="C103">
        <f>IFERROR(INDEX(Scores!$BM$2:$BM$158,MATCH($B103,Scores!$BM$2:$BM$158,0)),"")</f>
        <v/>
      </c>
      <c r="D103">
        <f>IFERROR(INDEX(Scores!$B$2:$B$158,MATCH($B103,Scores!$BM$2:$BM$158,0)),"")</f>
        <v/>
      </c>
      <c r="E103">
        <f>IFERROR(INDEX(Scores!$C$2:$C$158,MATCH($B103,Scores!$BM$2:$BM$158,0)),"")</f>
        <v/>
      </c>
      <c r="F103">
        <f>IFERROR(INDEX(Scores!$D$2:$D$158,MATCH($B103,Scores!$BM$2:$BM$158,0)),"")</f>
        <v/>
      </c>
      <c r="G103">
        <f>IFERROR(INDEX(Scores!$E$2:$E$158,MATCH($B103,Scores!$BM$2:$BM$158,0)),"")</f>
        <v/>
      </c>
      <c r="H103">
        <f>IFERROR(INDEX(Scores!$BJ$2:$BJ$158,MATCH($B103,Scores!$BM$2:$BM$158,0)),"")</f>
        <v/>
      </c>
      <c r="I103">
        <f>IFERROR(INDEX(Scores!$BL$2:$BL$158,MATCH($B103,Scores!$BM$2:$BM$158,0)),"")</f>
        <v/>
      </c>
      <c r="J103">
        <f>IFERROR(INDEX(Scores!$Q$2:$Q$158,MATCH($B103,Scores!$BM$2:$BM$158,0)),"")</f>
        <v/>
      </c>
      <c r="K103">
        <f>IFERROR(INDEX(Scores!$AE$2:$AE$158,MATCH($B103,Scores!$BM$2:$BM$158,0)),"")</f>
        <v/>
      </c>
      <c r="L103">
        <f>IFERROR(INDEX(Scores!$AM$2:$AM$158,MATCH($B103,Scores!$BM$2:$BM$158,0)),"")</f>
        <v/>
      </c>
      <c r="M103">
        <f>IFERROR(INDEX(Scores!$AW$2:$AW$158,MATCH($B103,Scores!$BM$2:$BM$158,0)),"")</f>
        <v/>
      </c>
      <c r="N103">
        <f>IFERROR(INDEX(Scores!$BG$2:$BG$158,MATCH($B103,Scores!$BM$2:$BM$158,0)),"")</f>
        <v/>
      </c>
    </row>
    <row r="104">
      <c r="A104" t="inlineStr">
        <is>
          <t>Ranked</t>
        </is>
      </c>
      <c r="B104" t="n">
        <v>102</v>
      </c>
      <c r="C104">
        <f>IFERROR(INDEX(Scores!$BM$2:$BM$158,MATCH($B104,Scores!$BM$2:$BM$158,0)),"")</f>
        <v/>
      </c>
      <c r="D104">
        <f>IFERROR(INDEX(Scores!$B$2:$B$158,MATCH($B104,Scores!$BM$2:$BM$158,0)),"")</f>
        <v/>
      </c>
      <c r="E104">
        <f>IFERROR(INDEX(Scores!$C$2:$C$158,MATCH($B104,Scores!$BM$2:$BM$158,0)),"")</f>
        <v/>
      </c>
      <c r="F104">
        <f>IFERROR(INDEX(Scores!$D$2:$D$158,MATCH($B104,Scores!$BM$2:$BM$158,0)),"")</f>
        <v/>
      </c>
      <c r="G104">
        <f>IFERROR(INDEX(Scores!$E$2:$E$158,MATCH($B104,Scores!$BM$2:$BM$158,0)),"")</f>
        <v/>
      </c>
      <c r="H104">
        <f>IFERROR(INDEX(Scores!$BJ$2:$BJ$158,MATCH($B104,Scores!$BM$2:$BM$158,0)),"")</f>
        <v/>
      </c>
      <c r="I104">
        <f>IFERROR(INDEX(Scores!$BL$2:$BL$158,MATCH($B104,Scores!$BM$2:$BM$158,0)),"")</f>
        <v/>
      </c>
      <c r="J104">
        <f>IFERROR(INDEX(Scores!$Q$2:$Q$158,MATCH($B104,Scores!$BM$2:$BM$158,0)),"")</f>
        <v/>
      </c>
      <c r="K104">
        <f>IFERROR(INDEX(Scores!$AE$2:$AE$158,MATCH($B104,Scores!$BM$2:$BM$158,0)),"")</f>
        <v/>
      </c>
      <c r="L104">
        <f>IFERROR(INDEX(Scores!$AM$2:$AM$158,MATCH($B104,Scores!$BM$2:$BM$158,0)),"")</f>
        <v/>
      </c>
      <c r="M104">
        <f>IFERROR(INDEX(Scores!$AW$2:$AW$158,MATCH($B104,Scores!$BM$2:$BM$158,0)),"")</f>
        <v/>
      </c>
      <c r="N104">
        <f>IFERROR(INDEX(Scores!$BG$2:$BG$158,MATCH($B104,Scores!$BM$2:$BM$158,0)),"")</f>
        <v/>
      </c>
    </row>
    <row r="105">
      <c r="A105" t="inlineStr">
        <is>
          <t>Ranked</t>
        </is>
      </c>
      <c r="B105" t="n">
        <v>103</v>
      </c>
      <c r="C105">
        <f>IFERROR(INDEX(Scores!$BM$2:$BM$158,MATCH($B105,Scores!$BM$2:$BM$158,0)),"")</f>
        <v/>
      </c>
      <c r="D105">
        <f>IFERROR(INDEX(Scores!$B$2:$B$158,MATCH($B105,Scores!$BM$2:$BM$158,0)),"")</f>
        <v/>
      </c>
      <c r="E105">
        <f>IFERROR(INDEX(Scores!$C$2:$C$158,MATCH($B105,Scores!$BM$2:$BM$158,0)),"")</f>
        <v/>
      </c>
      <c r="F105">
        <f>IFERROR(INDEX(Scores!$D$2:$D$158,MATCH($B105,Scores!$BM$2:$BM$158,0)),"")</f>
        <v/>
      </c>
      <c r="G105">
        <f>IFERROR(INDEX(Scores!$E$2:$E$158,MATCH($B105,Scores!$BM$2:$BM$158,0)),"")</f>
        <v/>
      </c>
      <c r="H105">
        <f>IFERROR(INDEX(Scores!$BJ$2:$BJ$158,MATCH($B105,Scores!$BM$2:$BM$158,0)),"")</f>
        <v/>
      </c>
      <c r="I105">
        <f>IFERROR(INDEX(Scores!$BL$2:$BL$158,MATCH($B105,Scores!$BM$2:$BM$158,0)),"")</f>
        <v/>
      </c>
      <c r="J105">
        <f>IFERROR(INDEX(Scores!$Q$2:$Q$158,MATCH($B105,Scores!$BM$2:$BM$158,0)),"")</f>
        <v/>
      </c>
      <c r="K105">
        <f>IFERROR(INDEX(Scores!$AE$2:$AE$158,MATCH($B105,Scores!$BM$2:$BM$158,0)),"")</f>
        <v/>
      </c>
      <c r="L105">
        <f>IFERROR(INDEX(Scores!$AM$2:$AM$158,MATCH($B105,Scores!$BM$2:$BM$158,0)),"")</f>
        <v/>
      </c>
      <c r="M105">
        <f>IFERROR(INDEX(Scores!$AW$2:$AW$158,MATCH($B105,Scores!$BM$2:$BM$158,0)),"")</f>
        <v/>
      </c>
      <c r="N105">
        <f>IFERROR(INDEX(Scores!$BG$2:$BG$158,MATCH($B105,Scores!$BM$2:$BM$158,0)),"")</f>
        <v/>
      </c>
    </row>
    <row r="106">
      <c r="A106" t="inlineStr">
        <is>
          <t>Ranked</t>
        </is>
      </c>
      <c r="B106" t="n">
        <v>104</v>
      </c>
      <c r="C106">
        <f>IFERROR(INDEX(Scores!$BM$2:$BM$158,MATCH($B106,Scores!$BM$2:$BM$158,0)),"")</f>
        <v/>
      </c>
      <c r="D106">
        <f>IFERROR(INDEX(Scores!$B$2:$B$158,MATCH($B106,Scores!$BM$2:$BM$158,0)),"")</f>
        <v/>
      </c>
      <c r="E106">
        <f>IFERROR(INDEX(Scores!$C$2:$C$158,MATCH($B106,Scores!$BM$2:$BM$158,0)),"")</f>
        <v/>
      </c>
      <c r="F106">
        <f>IFERROR(INDEX(Scores!$D$2:$D$158,MATCH($B106,Scores!$BM$2:$BM$158,0)),"")</f>
        <v/>
      </c>
      <c r="G106">
        <f>IFERROR(INDEX(Scores!$E$2:$E$158,MATCH($B106,Scores!$BM$2:$BM$158,0)),"")</f>
        <v/>
      </c>
      <c r="H106">
        <f>IFERROR(INDEX(Scores!$BJ$2:$BJ$158,MATCH($B106,Scores!$BM$2:$BM$158,0)),"")</f>
        <v/>
      </c>
      <c r="I106">
        <f>IFERROR(INDEX(Scores!$BL$2:$BL$158,MATCH($B106,Scores!$BM$2:$BM$158,0)),"")</f>
        <v/>
      </c>
      <c r="J106">
        <f>IFERROR(INDEX(Scores!$Q$2:$Q$158,MATCH($B106,Scores!$BM$2:$BM$158,0)),"")</f>
        <v/>
      </c>
      <c r="K106">
        <f>IFERROR(INDEX(Scores!$AE$2:$AE$158,MATCH($B106,Scores!$BM$2:$BM$158,0)),"")</f>
        <v/>
      </c>
      <c r="L106">
        <f>IFERROR(INDEX(Scores!$AM$2:$AM$158,MATCH($B106,Scores!$BM$2:$BM$158,0)),"")</f>
        <v/>
      </c>
      <c r="M106">
        <f>IFERROR(INDEX(Scores!$AW$2:$AW$158,MATCH($B106,Scores!$BM$2:$BM$158,0)),"")</f>
        <v/>
      </c>
      <c r="N106">
        <f>IFERROR(INDEX(Scores!$BG$2:$BG$158,MATCH($B106,Scores!$BM$2:$BM$158,0)),"")</f>
        <v/>
      </c>
    </row>
    <row r="107">
      <c r="A107" t="inlineStr">
        <is>
          <t>Ranked</t>
        </is>
      </c>
      <c r="B107" t="n">
        <v>105</v>
      </c>
      <c r="C107">
        <f>IFERROR(INDEX(Scores!$BM$2:$BM$158,MATCH($B107,Scores!$BM$2:$BM$158,0)),"")</f>
        <v/>
      </c>
      <c r="D107">
        <f>IFERROR(INDEX(Scores!$B$2:$B$158,MATCH($B107,Scores!$BM$2:$BM$158,0)),"")</f>
        <v/>
      </c>
      <c r="E107">
        <f>IFERROR(INDEX(Scores!$C$2:$C$158,MATCH($B107,Scores!$BM$2:$BM$158,0)),"")</f>
        <v/>
      </c>
      <c r="F107">
        <f>IFERROR(INDEX(Scores!$D$2:$D$158,MATCH($B107,Scores!$BM$2:$BM$158,0)),"")</f>
        <v/>
      </c>
      <c r="G107">
        <f>IFERROR(INDEX(Scores!$E$2:$E$158,MATCH($B107,Scores!$BM$2:$BM$158,0)),"")</f>
        <v/>
      </c>
      <c r="H107">
        <f>IFERROR(INDEX(Scores!$BJ$2:$BJ$158,MATCH($B107,Scores!$BM$2:$BM$158,0)),"")</f>
        <v/>
      </c>
      <c r="I107">
        <f>IFERROR(INDEX(Scores!$BL$2:$BL$158,MATCH($B107,Scores!$BM$2:$BM$158,0)),"")</f>
        <v/>
      </c>
      <c r="J107">
        <f>IFERROR(INDEX(Scores!$Q$2:$Q$158,MATCH($B107,Scores!$BM$2:$BM$158,0)),"")</f>
        <v/>
      </c>
      <c r="K107">
        <f>IFERROR(INDEX(Scores!$AE$2:$AE$158,MATCH($B107,Scores!$BM$2:$BM$158,0)),"")</f>
        <v/>
      </c>
      <c r="L107">
        <f>IFERROR(INDEX(Scores!$AM$2:$AM$158,MATCH($B107,Scores!$BM$2:$BM$158,0)),"")</f>
        <v/>
      </c>
      <c r="M107">
        <f>IFERROR(INDEX(Scores!$AW$2:$AW$158,MATCH($B107,Scores!$BM$2:$BM$158,0)),"")</f>
        <v/>
      </c>
      <c r="N107">
        <f>IFERROR(INDEX(Scores!$BG$2:$BG$158,MATCH($B107,Scores!$BM$2:$BM$158,0)),"")</f>
        <v/>
      </c>
    </row>
    <row r="108">
      <c r="A108" t="inlineStr">
        <is>
          <t>Ranked</t>
        </is>
      </c>
      <c r="B108" t="n">
        <v>106</v>
      </c>
      <c r="C108">
        <f>IFERROR(INDEX(Scores!$BM$2:$BM$158,MATCH($B108,Scores!$BM$2:$BM$158,0)),"")</f>
        <v/>
      </c>
      <c r="D108">
        <f>IFERROR(INDEX(Scores!$B$2:$B$158,MATCH($B108,Scores!$BM$2:$BM$158,0)),"")</f>
        <v/>
      </c>
      <c r="E108">
        <f>IFERROR(INDEX(Scores!$C$2:$C$158,MATCH($B108,Scores!$BM$2:$BM$158,0)),"")</f>
        <v/>
      </c>
      <c r="F108">
        <f>IFERROR(INDEX(Scores!$D$2:$D$158,MATCH($B108,Scores!$BM$2:$BM$158,0)),"")</f>
        <v/>
      </c>
      <c r="G108">
        <f>IFERROR(INDEX(Scores!$E$2:$E$158,MATCH($B108,Scores!$BM$2:$BM$158,0)),"")</f>
        <v/>
      </c>
      <c r="H108">
        <f>IFERROR(INDEX(Scores!$BJ$2:$BJ$158,MATCH($B108,Scores!$BM$2:$BM$158,0)),"")</f>
        <v/>
      </c>
      <c r="I108">
        <f>IFERROR(INDEX(Scores!$BL$2:$BL$158,MATCH($B108,Scores!$BM$2:$BM$158,0)),"")</f>
        <v/>
      </c>
      <c r="J108">
        <f>IFERROR(INDEX(Scores!$Q$2:$Q$158,MATCH($B108,Scores!$BM$2:$BM$158,0)),"")</f>
        <v/>
      </c>
      <c r="K108">
        <f>IFERROR(INDEX(Scores!$AE$2:$AE$158,MATCH($B108,Scores!$BM$2:$BM$158,0)),"")</f>
        <v/>
      </c>
      <c r="L108">
        <f>IFERROR(INDEX(Scores!$AM$2:$AM$158,MATCH($B108,Scores!$BM$2:$BM$158,0)),"")</f>
        <v/>
      </c>
      <c r="M108">
        <f>IFERROR(INDEX(Scores!$AW$2:$AW$158,MATCH($B108,Scores!$BM$2:$BM$158,0)),"")</f>
        <v/>
      </c>
      <c r="N108">
        <f>IFERROR(INDEX(Scores!$BG$2:$BG$158,MATCH($B108,Scores!$BM$2:$BM$158,0)),"")</f>
        <v/>
      </c>
    </row>
    <row r="109">
      <c r="A109" t="inlineStr">
        <is>
          <t>Ranked</t>
        </is>
      </c>
      <c r="B109" t="n">
        <v>107</v>
      </c>
      <c r="C109">
        <f>IFERROR(INDEX(Scores!$BM$2:$BM$158,MATCH($B109,Scores!$BM$2:$BM$158,0)),"")</f>
        <v/>
      </c>
      <c r="D109">
        <f>IFERROR(INDEX(Scores!$B$2:$B$158,MATCH($B109,Scores!$BM$2:$BM$158,0)),"")</f>
        <v/>
      </c>
      <c r="E109">
        <f>IFERROR(INDEX(Scores!$C$2:$C$158,MATCH($B109,Scores!$BM$2:$BM$158,0)),"")</f>
        <v/>
      </c>
      <c r="F109">
        <f>IFERROR(INDEX(Scores!$D$2:$D$158,MATCH($B109,Scores!$BM$2:$BM$158,0)),"")</f>
        <v/>
      </c>
      <c r="G109">
        <f>IFERROR(INDEX(Scores!$E$2:$E$158,MATCH($B109,Scores!$BM$2:$BM$158,0)),"")</f>
        <v/>
      </c>
      <c r="H109">
        <f>IFERROR(INDEX(Scores!$BJ$2:$BJ$158,MATCH($B109,Scores!$BM$2:$BM$158,0)),"")</f>
        <v/>
      </c>
      <c r="I109">
        <f>IFERROR(INDEX(Scores!$BL$2:$BL$158,MATCH($B109,Scores!$BM$2:$BM$158,0)),"")</f>
        <v/>
      </c>
      <c r="J109">
        <f>IFERROR(INDEX(Scores!$Q$2:$Q$158,MATCH($B109,Scores!$BM$2:$BM$158,0)),"")</f>
        <v/>
      </c>
      <c r="K109">
        <f>IFERROR(INDEX(Scores!$AE$2:$AE$158,MATCH($B109,Scores!$BM$2:$BM$158,0)),"")</f>
        <v/>
      </c>
      <c r="L109">
        <f>IFERROR(INDEX(Scores!$AM$2:$AM$158,MATCH($B109,Scores!$BM$2:$BM$158,0)),"")</f>
        <v/>
      </c>
      <c r="M109">
        <f>IFERROR(INDEX(Scores!$AW$2:$AW$158,MATCH($B109,Scores!$BM$2:$BM$158,0)),"")</f>
        <v/>
      </c>
      <c r="N109">
        <f>IFERROR(INDEX(Scores!$BG$2:$BG$158,MATCH($B109,Scores!$BM$2:$BM$158,0)),"")</f>
        <v/>
      </c>
    </row>
    <row r="110">
      <c r="A110" t="inlineStr">
        <is>
          <t>Ranked</t>
        </is>
      </c>
      <c r="B110" t="n">
        <v>108</v>
      </c>
      <c r="C110">
        <f>IFERROR(INDEX(Scores!$BM$2:$BM$158,MATCH($B110,Scores!$BM$2:$BM$158,0)),"")</f>
        <v/>
      </c>
      <c r="D110">
        <f>IFERROR(INDEX(Scores!$B$2:$B$158,MATCH($B110,Scores!$BM$2:$BM$158,0)),"")</f>
        <v/>
      </c>
      <c r="E110">
        <f>IFERROR(INDEX(Scores!$C$2:$C$158,MATCH($B110,Scores!$BM$2:$BM$158,0)),"")</f>
        <v/>
      </c>
      <c r="F110">
        <f>IFERROR(INDEX(Scores!$D$2:$D$158,MATCH($B110,Scores!$BM$2:$BM$158,0)),"")</f>
        <v/>
      </c>
      <c r="G110">
        <f>IFERROR(INDEX(Scores!$E$2:$E$158,MATCH($B110,Scores!$BM$2:$BM$158,0)),"")</f>
        <v/>
      </c>
      <c r="H110">
        <f>IFERROR(INDEX(Scores!$BJ$2:$BJ$158,MATCH($B110,Scores!$BM$2:$BM$158,0)),"")</f>
        <v/>
      </c>
      <c r="I110">
        <f>IFERROR(INDEX(Scores!$BL$2:$BL$158,MATCH($B110,Scores!$BM$2:$BM$158,0)),"")</f>
        <v/>
      </c>
      <c r="J110">
        <f>IFERROR(INDEX(Scores!$Q$2:$Q$158,MATCH($B110,Scores!$BM$2:$BM$158,0)),"")</f>
        <v/>
      </c>
      <c r="K110">
        <f>IFERROR(INDEX(Scores!$AE$2:$AE$158,MATCH($B110,Scores!$BM$2:$BM$158,0)),"")</f>
        <v/>
      </c>
      <c r="L110">
        <f>IFERROR(INDEX(Scores!$AM$2:$AM$158,MATCH($B110,Scores!$BM$2:$BM$158,0)),"")</f>
        <v/>
      </c>
      <c r="M110">
        <f>IFERROR(INDEX(Scores!$AW$2:$AW$158,MATCH($B110,Scores!$BM$2:$BM$158,0)),"")</f>
        <v/>
      </c>
      <c r="N110">
        <f>IFERROR(INDEX(Scores!$BG$2:$BG$158,MATCH($B110,Scores!$BM$2:$BM$158,0)),"")</f>
        <v/>
      </c>
    </row>
    <row r="111">
      <c r="A111" t="inlineStr">
        <is>
          <t>Ranked</t>
        </is>
      </c>
      <c r="B111" t="n">
        <v>109</v>
      </c>
      <c r="C111">
        <f>IFERROR(INDEX(Scores!$BM$2:$BM$158,MATCH($B111,Scores!$BM$2:$BM$158,0)),"")</f>
        <v/>
      </c>
      <c r="D111">
        <f>IFERROR(INDEX(Scores!$B$2:$B$158,MATCH($B111,Scores!$BM$2:$BM$158,0)),"")</f>
        <v/>
      </c>
      <c r="E111">
        <f>IFERROR(INDEX(Scores!$C$2:$C$158,MATCH($B111,Scores!$BM$2:$BM$158,0)),"")</f>
        <v/>
      </c>
      <c r="F111">
        <f>IFERROR(INDEX(Scores!$D$2:$D$158,MATCH($B111,Scores!$BM$2:$BM$158,0)),"")</f>
        <v/>
      </c>
      <c r="G111">
        <f>IFERROR(INDEX(Scores!$E$2:$E$158,MATCH($B111,Scores!$BM$2:$BM$158,0)),"")</f>
        <v/>
      </c>
      <c r="H111">
        <f>IFERROR(INDEX(Scores!$BJ$2:$BJ$158,MATCH($B111,Scores!$BM$2:$BM$158,0)),"")</f>
        <v/>
      </c>
      <c r="I111">
        <f>IFERROR(INDEX(Scores!$BL$2:$BL$158,MATCH($B111,Scores!$BM$2:$BM$158,0)),"")</f>
        <v/>
      </c>
      <c r="J111">
        <f>IFERROR(INDEX(Scores!$Q$2:$Q$158,MATCH($B111,Scores!$BM$2:$BM$158,0)),"")</f>
        <v/>
      </c>
      <c r="K111">
        <f>IFERROR(INDEX(Scores!$AE$2:$AE$158,MATCH($B111,Scores!$BM$2:$BM$158,0)),"")</f>
        <v/>
      </c>
      <c r="L111">
        <f>IFERROR(INDEX(Scores!$AM$2:$AM$158,MATCH($B111,Scores!$BM$2:$BM$158,0)),"")</f>
        <v/>
      </c>
      <c r="M111">
        <f>IFERROR(INDEX(Scores!$AW$2:$AW$158,MATCH($B111,Scores!$BM$2:$BM$158,0)),"")</f>
        <v/>
      </c>
      <c r="N111">
        <f>IFERROR(INDEX(Scores!$BG$2:$BG$158,MATCH($B111,Scores!$BM$2:$BM$158,0)),"")</f>
        <v/>
      </c>
    </row>
    <row r="112">
      <c r="A112" t="inlineStr">
        <is>
          <t>Ranked</t>
        </is>
      </c>
      <c r="B112" t="n">
        <v>110</v>
      </c>
      <c r="C112">
        <f>IFERROR(INDEX(Scores!$BM$2:$BM$158,MATCH($B112,Scores!$BM$2:$BM$158,0)),"")</f>
        <v/>
      </c>
      <c r="D112">
        <f>IFERROR(INDEX(Scores!$B$2:$B$158,MATCH($B112,Scores!$BM$2:$BM$158,0)),"")</f>
        <v/>
      </c>
      <c r="E112">
        <f>IFERROR(INDEX(Scores!$C$2:$C$158,MATCH($B112,Scores!$BM$2:$BM$158,0)),"")</f>
        <v/>
      </c>
      <c r="F112">
        <f>IFERROR(INDEX(Scores!$D$2:$D$158,MATCH($B112,Scores!$BM$2:$BM$158,0)),"")</f>
        <v/>
      </c>
      <c r="G112">
        <f>IFERROR(INDEX(Scores!$E$2:$E$158,MATCH($B112,Scores!$BM$2:$BM$158,0)),"")</f>
        <v/>
      </c>
      <c r="H112">
        <f>IFERROR(INDEX(Scores!$BJ$2:$BJ$158,MATCH($B112,Scores!$BM$2:$BM$158,0)),"")</f>
        <v/>
      </c>
      <c r="I112">
        <f>IFERROR(INDEX(Scores!$BL$2:$BL$158,MATCH($B112,Scores!$BM$2:$BM$158,0)),"")</f>
        <v/>
      </c>
      <c r="J112">
        <f>IFERROR(INDEX(Scores!$Q$2:$Q$158,MATCH($B112,Scores!$BM$2:$BM$158,0)),"")</f>
        <v/>
      </c>
      <c r="K112">
        <f>IFERROR(INDEX(Scores!$AE$2:$AE$158,MATCH($B112,Scores!$BM$2:$BM$158,0)),"")</f>
        <v/>
      </c>
      <c r="L112">
        <f>IFERROR(INDEX(Scores!$AM$2:$AM$158,MATCH($B112,Scores!$BM$2:$BM$158,0)),"")</f>
        <v/>
      </c>
      <c r="M112">
        <f>IFERROR(INDEX(Scores!$AW$2:$AW$158,MATCH($B112,Scores!$BM$2:$BM$158,0)),"")</f>
        <v/>
      </c>
      <c r="N112">
        <f>IFERROR(INDEX(Scores!$BG$2:$BG$158,MATCH($B112,Scores!$BM$2:$BM$158,0)),"")</f>
        <v/>
      </c>
    </row>
    <row r="113">
      <c r="A113" t="inlineStr">
        <is>
          <t>Ranked</t>
        </is>
      </c>
      <c r="B113" t="n">
        <v>111</v>
      </c>
      <c r="C113">
        <f>IFERROR(INDEX(Scores!$BM$2:$BM$158,MATCH($B113,Scores!$BM$2:$BM$158,0)),"")</f>
        <v/>
      </c>
      <c r="D113">
        <f>IFERROR(INDEX(Scores!$B$2:$B$158,MATCH($B113,Scores!$BM$2:$BM$158,0)),"")</f>
        <v/>
      </c>
      <c r="E113">
        <f>IFERROR(INDEX(Scores!$C$2:$C$158,MATCH($B113,Scores!$BM$2:$BM$158,0)),"")</f>
        <v/>
      </c>
      <c r="F113">
        <f>IFERROR(INDEX(Scores!$D$2:$D$158,MATCH($B113,Scores!$BM$2:$BM$158,0)),"")</f>
        <v/>
      </c>
      <c r="G113">
        <f>IFERROR(INDEX(Scores!$E$2:$E$158,MATCH($B113,Scores!$BM$2:$BM$158,0)),"")</f>
        <v/>
      </c>
      <c r="H113">
        <f>IFERROR(INDEX(Scores!$BJ$2:$BJ$158,MATCH($B113,Scores!$BM$2:$BM$158,0)),"")</f>
        <v/>
      </c>
      <c r="I113">
        <f>IFERROR(INDEX(Scores!$BL$2:$BL$158,MATCH($B113,Scores!$BM$2:$BM$158,0)),"")</f>
        <v/>
      </c>
      <c r="J113">
        <f>IFERROR(INDEX(Scores!$Q$2:$Q$158,MATCH($B113,Scores!$BM$2:$BM$158,0)),"")</f>
        <v/>
      </c>
      <c r="K113">
        <f>IFERROR(INDEX(Scores!$AE$2:$AE$158,MATCH($B113,Scores!$BM$2:$BM$158,0)),"")</f>
        <v/>
      </c>
      <c r="L113">
        <f>IFERROR(INDEX(Scores!$AM$2:$AM$158,MATCH($B113,Scores!$BM$2:$BM$158,0)),"")</f>
        <v/>
      </c>
      <c r="M113">
        <f>IFERROR(INDEX(Scores!$AW$2:$AW$158,MATCH($B113,Scores!$BM$2:$BM$158,0)),"")</f>
        <v/>
      </c>
      <c r="N113">
        <f>IFERROR(INDEX(Scores!$BG$2:$BG$158,MATCH($B113,Scores!$BM$2:$BM$158,0)),"")</f>
        <v/>
      </c>
    </row>
    <row r="114">
      <c r="A114" t="inlineStr">
        <is>
          <t>Ranked</t>
        </is>
      </c>
      <c r="B114" t="n">
        <v>112</v>
      </c>
      <c r="C114">
        <f>IFERROR(INDEX(Scores!$BM$2:$BM$158,MATCH($B114,Scores!$BM$2:$BM$158,0)),"")</f>
        <v/>
      </c>
      <c r="D114">
        <f>IFERROR(INDEX(Scores!$B$2:$B$158,MATCH($B114,Scores!$BM$2:$BM$158,0)),"")</f>
        <v/>
      </c>
      <c r="E114">
        <f>IFERROR(INDEX(Scores!$C$2:$C$158,MATCH($B114,Scores!$BM$2:$BM$158,0)),"")</f>
        <v/>
      </c>
      <c r="F114">
        <f>IFERROR(INDEX(Scores!$D$2:$D$158,MATCH($B114,Scores!$BM$2:$BM$158,0)),"")</f>
        <v/>
      </c>
      <c r="G114">
        <f>IFERROR(INDEX(Scores!$E$2:$E$158,MATCH($B114,Scores!$BM$2:$BM$158,0)),"")</f>
        <v/>
      </c>
      <c r="H114">
        <f>IFERROR(INDEX(Scores!$BJ$2:$BJ$158,MATCH($B114,Scores!$BM$2:$BM$158,0)),"")</f>
        <v/>
      </c>
      <c r="I114">
        <f>IFERROR(INDEX(Scores!$BL$2:$BL$158,MATCH($B114,Scores!$BM$2:$BM$158,0)),"")</f>
        <v/>
      </c>
      <c r="J114">
        <f>IFERROR(INDEX(Scores!$Q$2:$Q$158,MATCH($B114,Scores!$BM$2:$BM$158,0)),"")</f>
        <v/>
      </c>
      <c r="K114">
        <f>IFERROR(INDEX(Scores!$AE$2:$AE$158,MATCH($B114,Scores!$BM$2:$BM$158,0)),"")</f>
        <v/>
      </c>
      <c r="L114">
        <f>IFERROR(INDEX(Scores!$AM$2:$AM$158,MATCH($B114,Scores!$BM$2:$BM$158,0)),"")</f>
        <v/>
      </c>
      <c r="M114">
        <f>IFERROR(INDEX(Scores!$AW$2:$AW$158,MATCH($B114,Scores!$BM$2:$BM$158,0)),"")</f>
        <v/>
      </c>
      <c r="N114">
        <f>IFERROR(INDEX(Scores!$BG$2:$BG$158,MATCH($B114,Scores!$BM$2:$BM$158,0)),"")</f>
        <v/>
      </c>
    </row>
    <row r="115">
      <c r="A115" t="inlineStr">
        <is>
          <t>Ranked</t>
        </is>
      </c>
      <c r="B115" t="n">
        <v>113</v>
      </c>
      <c r="C115">
        <f>IFERROR(INDEX(Scores!$BM$2:$BM$158,MATCH($B115,Scores!$BM$2:$BM$158,0)),"")</f>
        <v/>
      </c>
      <c r="D115">
        <f>IFERROR(INDEX(Scores!$B$2:$B$158,MATCH($B115,Scores!$BM$2:$BM$158,0)),"")</f>
        <v/>
      </c>
      <c r="E115">
        <f>IFERROR(INDEX(Scores!$C$2:$C$158,MATCH($B115,Scores!$BM$2:$BM$158,0)),"")</f>
        <v/>
      </c>
      <c r="F115">
        <f>IFERROR(INDEX(Scores!$D$2:$D$158,MATCH($B115,Scores!$BM$2:$BM$158,0)),"")</f>
        <v/>
      </c>
      <c r="G115">
        <f>IFERROR(INDEX(Scores!$E$2:$E$158,MATCH($B115,Scores!$BM$2:$BM$158,0)),"")</f>
        <v/>
      </c>
      <c r="H115">
        <f>IFERROR(INDEX(Scores!$BJ$2:$BJ$158,MATCH($B115,Scores!$BM$2:$BM$158,0)),"")</f>
        <v/>
      </c>
      <c r="I115">
        <f>IFERROR(INDEX(Scores!$BL$2:$BL$158,MATCH($B115,Scores!$BM$2:$BM$158,0)),"")</f>
        <v/>
      </c>
      <c r="J115">
        <f>IFERROR(INDEX(Scores!$Q$2:$Q$158,MATCH($B115,Scores!$BM$2:$BM$158,0)),"")</f>
        <v/>
      </c>
      <c r="K115">
        <f>IFERROR(INDEX(Scores!$AE$2:$AE$158,MATCH($B115,Scores!$BM$2:$BM$158,0)),"")</f>
        <v/>
      </c>
      <c r="L115">
        <f>IFERROR(INDEX(Scores!$AM$2:$AM$158,MATCH($B115,Scores!$BM$2:$BM$158,0)),"")</f>
        <v/>
      </c>
      <c r="M115">
        <f>IFERROR(INDEX(Scores!$AW$2:$AW$158,MATCH($B115,Scores!$BM$2:$BM$158,0)),"")</f>
        <v/>
      </c>
      <c r="N115">
        <f>IFERROR(INDEX(Scores!$BG$2:$BG$158,MATCH($B115,Scores!$BM$2:$BM$158,0)),"")</f>
        <v/>
      </c>
    </row>
    <row r="116">
      <c r="A116" t="inlineStr">
        <is>
          <t>Ranked</t>
        </is>
      </c>
      <c r="B116" t="n">
        <v>114</v>
      </c>
      <c r="C116">
        <f>IFERROR(INDEX(Scores!$BM$2:$BM$158,MATCH($B116,Scores!$BM$2:$BM$158,0)),"")</f>
        <v/>
      </c>
      <c r="D116">
        <f>IFERROR(INDEX(Scores!$B$2:$B$158,MATCH($B116,Scores!$BM$2:$BM$158,0)),"")</f>
        <v/>
      </c>
      <c r="E116">
        <f>IFERROR(INDEX(Scores!$C$2:$C$158,MATCH($B116,Scores!$BM$2:$BM$158,0)),"")</f>
        <v/>
      </c>
      <c r="F116">
        <f>IFERROR(INDEX(Scores!$D$2:$D$158,MATCH($B116,Scores!$BM$2:$BM$158,0)),"")</f>
        <v/>
      </c>
      <c r="G116">
        <f>IFERROR(INDEX(Scores!$E$2:$E$158,MATCH($B116,Scores!$BM$2:$BM$158,0)),"")</f>
        <v/>
      </c>
      <c r="H116">
        <f>IFERROR(INDEX(Scores!$BJ$2:$BJ$158,MATCH($B116,Scores!$BM$2:$BM$158,0)),"")</f>
        <v/>
      </c>
      <c r="I116">
        <f>IFERROR(INDEX(Scores!$BL$2:$BL$158,MATCH($B116,Scores!$BM$2:$BM$158,0)),"")</f>
        <v/>
      </c>
      <c r="J116">
        <f>IFERROR(INDEX(Scores!$Q$2:$Q$158,MATCH($B116,Scores!$BM$2:$BM$158,0)),"")</f>
        <v/>
      </c>
      <c r="K116">
        <f>IFERROR(INDEX(Scores!$AE$2:$AE$158,MATCH($B116,Scores!$BM$2:$BM$158,0)),"")</f>
        <v/>
      </c>
      <c r="L116">
        <f>IFERROR(INDEX(Scores!$AM$2:$AM$158,MATCH($B116,Scores!$BM$2:$BM$158,0)),"")</f>
        <v/>
      </c>
      <c r="M116">
        <f>IFERROR(INDEX(Scores!$AW$2:$AW$158,MATCH($B116,Scores!$BM$2:$BM$158,0)),"")</f>
        <v/>
      </c>
      <c r="N116">
        <f>IFERROR(INDEX(Scores!$BG$2:$BG$158,MATCH($B116,Scores!$BM$2:$BM$158,0)),"")</f>
        <v/>
      </c>
    </row>
    <row r="117">
      <c r="A117" t="inlineStr">
        <is>
          <t>Ranked</t>
        </is>
      </c>
      <c r="B117" t="n">
        <v>115</v>
      </c>
      <c r="C117">
        <f>IFERROR(INDEX(Scores!$BM$2:$BM$158,MATCH($B117,Scores!$BM$2:$BM$158,0)),"")</f>
        <v/>
      </c>
      <c r="D117">
        <f>IFERROR(INDEX(Scores!$B$2:$B$158,MATCH($B117,Scores!$BM$2:$BM$158,0)),"")</f>
        <v/>
      </c>
      <c r="E117">
        <f>IFERROR(INDEX(Scores!$C$2:$C$158,MATCH($B117,Scores!$BM$2:$BM$158,0)),"")</f>
        <v/>
      </c>
      <c r="F117">
        <f>IFERROR(INDEX(Scores!$D$2:$D$158,MATCH($B117,Scores!$BM$2:$BM$158,0)),"")</f>
        <v/>
      </c>
      <c r="G117">
        <f>IFERROR(INDEX(Scores!$E$2:$E$158,MATCH($B117,Scores!$BM$2:$BM$158,0)),"")</f>
        <v/>
      </c>
      <c r="H117">
        <f>IFERROR(INDEX(Scores!$BJ$2:$BJ$158,MATCH($B117,Scores!$BM$2:$BM$158,0)),"")</f>
        <v/>
      </c>
      <c r="I117">
        <f>IFERROR(INDEX(Scores!$BL$2:$BL$158,MATCH($B117,Scores!$BM$2:$BM$158,0)),"")</f>
        <v/>
      </c>
      <c r="J117">
        <f>IFERROR(INDEX(Scores!$Q$2:$Q$158,MATCH($B117,Scores!$BM$2:$BM$158,0)),"")</f>
        <v/>
      </c>
      <c r="K117">
        <f>IFERROR(INDEX(Scores!$AE$2:$AE$158,MATCH($B117,Scores!$BM$2:$BM$158,0)),"")</f>
        <v/>
      </c>
      <c r="L117">
        <f>IFERROR(INDEX(Scores!$AM$2:$AM$158,MATCH($B117,Scores!$BM$2:$BM$158,0)),"")</f>
        <v/>
      </c>
      <c r="M117">
        <f>IFERROR(INDEX(Scores!$AW$2:$AW$158,MATCH($B117,Scores!$BM$2:$BM$158,0)),"")</f>
        <v/>
      </c>
      <c r="N117">
        <f>IFERROR(INDEX(Scores!$BG$2:$BG$158,MATCH($B117,Scores!$BM$2:$BM$158,0)),"")</f>
        <v/>
      </c>
    </row>
    <row r="118">
      <c r="A118" t="inlineStr">
        <is>
          <t>Ranked</t>
        </is>
      </c>
      <c r="B118" t="n">
        <v>116</v>
      </c>
      <c r="C118">
        <f>IFERROR(INDEX(Scores!$BM$2:$BM$158,MATCH($B118,Scores!$BM$2:$BM$158,0)),"")</f>
        <v/>
      </c>
      <c r="D118">
        <f>IFERROR(INDEX(Scores!$B$2:$B$158,MATCH($B118,Scores!$BM$2:$BM$158,0)),"")</f>
        <v/>
      </c>
      <c r="E118">
        <f>IFERROR(INDEX(Scores!$C$2:$C$158,MATCH($B118,Scores!$BM$2:$BM$158,0)),"")</f>
        <v/>
      </c>
      <c r="F118">
        <f>IFERROR(INDEX(Scores!$D$2:$D$158,MATCH($B118,Scores!$BM$2:$BM$158,0)),"")</f>
        <v/>
      </c>
      <c r="G118">
        <f>IFERROR(INDEX(Scores!$E$2:$E$158,MATCH($B118,Scores!$BM$2:$BM$158,0)),"")</f>
        <v/>
      </c>
      <c r="H118">
        <f>IFERROR(INDEX(Scores!$BJ$2:$BJ$158,MATCH($B118,Scores!$BM$2:$BM$158,0)),"")</f>
        <v/>
      </c>
      <c r="I118">
        <f>IFERROR(INDEX(Scores!$BL$2:$BL$158,MATCH($B118,Scores!$BM$2:$BM$158,0)),"")</f>
        <v/>
      </c>
      <c r="J118">
        <f>IFERROR(INDEX(Scores!$Q$2:$Q$158,MATCH($B118,Scores!$BM$2:$BM$158,0)),"")</f>
        <v/>
      </c>
      <c r="K118">
        <f>IFERROR(INDEX(Scores!$AE$2:$AE$158,MATCH($B118,Scores!$BM$2:$BM$158,0)),"")</f>
        <v/>
      </c>
      <c r="L118">
        <f>IFERROR(INDEX(Scores!$AM$2:$AM$158,MATCH($B118,Scores!$BM$2:$BM$158,0)),"")</f>
        <v/>
      </c>
      <c r="M118">
        <f>IFERROR(INDEX(Scores!$AW$2:$AW$158,MATCH($B118,Scores!$BM$2:$BM$158,0)),"")</f>
        <v/>
      </c>
      <c r="N118">
        <f>IFERROR(INDEX(Scores!$BG$2:$BG$158,MATCH($B118,Scores!$BM$2:$BM$158,0)),"")</f>
        <v/>
      </c>
    </row>
    <row r="119">
      <c r="A119" t="inlineStr">
        <is>
          <t>Ranked</t>
        </is>
      </c>
      <c r="B119" t="n">
        <v>117</v>
      </c>
      <c r="C119">
        <f>IFERROR(INDEX(Scores!$BM$2:$BM$158,MATCH($B119,Scores!$BM$2:$BM$158,0)),"")</f>
        <v/>
      </c>
      <c r="D119">
        <f>IFERROR(INDEX(Scores!$B$2:$B$158,MATCH($B119,Scores!$BM$2:$BM$158,0)),"")</f>
        <v/>
      </c>
      <c r="E119">
        <f>IFERROR(INDEX(Scores!$C$2:$C$158,MATCH($B119,Scores!$BM$2:$BM$158,0)),"")</f>
        <v/>
      </c>
      <c r="F119">
        <f>IFERROR(INDEX(Scores!$D$2:$D$158,MATCH($B119,Scores!$BM$2:$BM$158,0)),"")</f>
        <v/>
      </c>
      <c r="G119">
        <f>IFERROR(INDEX(Scores!$E$2:$E$158,MATCH($B119,Scores!$BM$2:$BM$158,0)),"")</f>
        <v/>
      </c>
      <c r="H119">
        <f>IFERROR(INDEX(Scores!$BJ$2:$BJ$158,MATCH($B119,Scores!$BM$2:$BM$158,0)),"")</f>
        <v/>
      </c>
      <c r="I119">
        <f>IFERROR(INDEX(Scores!$BL$2:$BL$158,MATCH($B119,Scores!$BM$2:$BM$158,0)),"")</f>
        <v/>
      </c>
      <c r="J119">
        <f>IFERROR(INDEX(Scores!$Q$2:$Q$158,MATCH($B119,Scores!$BM$2:$BM$158,0)),"")</f>
        <v/>
      </c>
      <c r="K119">
        <f>IFERROR(INDEX(Scores!$AE$2:$AE$158,MATCH($B119,Scores!$BM$2:$BM$158,0)),"")</f>
        <v/>
      </c>
      <c r="L119">
        <f>IFERROR(INDEX(Scores!$AM$2:$AM$158,MATCH($B119,Scores!$BM$2:$BM$158,0)),"")</f>
        <v/>
      </c>
      <c r="M119">
        <f>IFERROR(INDEX(Scores!$AW$2:$AW$158,MATCH($B119,Scores!$BM$2:$BM$158,0)),"")</f>
        <v/>
      </c>
      <c r="N119">
        <f>IFERROR(INDEX(Scores!$BG$2:$BG$158,MATCH($B119,Scores!$BM$2:$BM$158,0)),"")</f>
        <v/>
      </c>
    </row>
    <row r="120">
      <c r="A120" t="inlineStr">
        <is>
          <t>Ranked</t>
        </is>
      </c>
      <c r="B120" t="n">
        <v>118</v>
      </c>
      <c r="C120">
        <f>IFERROR(INDEX(Scores!$BM$2:$BM$158,MATCH($B120,Scores!$BM$2:$BM$158,0)),"")</f>
        <v/>
      </c>
      <c r="D120">
        <f>IFERROR(INDEX(Scores!$B$2:$B$158,MATCH($B120,Scores!$BM$2:$BM$158,0)),"")</f>
        <v/>
      </c>
      <c r="E120">
        <f>IFERROR(INDEX(Scores!$C$2:$C$158,MATCH($B120,Scores!$BM$2:$BM$158,0)),"")</f>
        <v/>
      </c>
      <c r="F120">
        <f>IFERROR(INDEX(Scores!$D$2:$D$158,MATCH($B120,Scores!$BM$2:$BM$158,0)),"")</f>
        <v/>
      </c>
      <c r="G120">
        <f>IFERROR(INDEX(Scores!$E$2:$E$158,MATCH($B120,Scores!$BM$2:$BM$158,0)),"")</f>
        <v/>
      </c>
      <c r="H120">
        <f>IFERROR(INDEX(Scores!$BJ$2:$BJ$158,MATCH($B120,Scores!$BM$2:$BM$158,0)),"")</f>
        <v/>
      </c>
      <c r="I120">
        <f>IFERROR(INDEX(Scores!$BL$2:$BL$158,MATCH($B120,Scores!$BM$2:$BM$158,0)),"")</f>
        <v/>
      </c>
      <c r="J120">
        <f>IFERROR(INDEX(Scores!$Q$2:$Q$158,MATCH($B120,Scores!$BM$2:$BM$158,0)),"")</f>
        <v/>
      </c>
      <c r="K120">
        <f>IFERROR(INDEX(Scores!$AE$2:$AE$158,MATCH($B120,Scores!$BM$2:$BM$158,0)),"")</f>
        <v/>
      </c>
      <c r="L120">
        <f>IFERROR(INDEX(Scores!$AM$2:$AM$158,MATCH($B120,Scores!$BM$2:$BM$158,0)),"")</f>
        <v/>
      </c>
      <c r="M120">
        <f>IFERROR(INDEX(Scores!$AW$2:$AW$158,MATCH($B120,Scores!$BM$2:$BM$158,0)),"")</f>
        <v/>
      </c>
      <c r="N120">
        <f>IFERROR(INDEX(Scores!$BG$2:$BG$158,MATCH($B120,Scores!$BM$2:$BM$158,0)),"")</f>
        <v/>
      </c>
    </row>
    <row r="121">
      <c r="A121" t="inlineStr">
        <is>
          <t>Ranked</t>
        </is>
      </c>
      <c r="B121" t="n">
        <v>119</v>
      </c>
      <c r="C121">
        <f>IFERROR(INDEX(Scores!$BM$2:$BM$158,MATCH($B121,Scores!$BM$2:$BM$158,0)),"")</f>
        <v/>
      </c>
      <c r="D121">
        <f>IFERROR(INDEX(Scores!$B$2:$B$158,MATCH($B121,Scores!$BM$2:$BM$158,0)),"")</f>
        <v/>
      </c>
      <c r="E121">
        <f>IFERROR(INDEX(Scores!$C$2:$C$158,MATCH($B121,Scores!$BM$2:$BM$158,0)),"")</f>
        <v/>
      </c>
      <c r="F121">
        <f>IFERROR(INDEX(Scores!$D$2:$D$158,MATCH($B121,Scores!$BM$2:$BM$158,0)),"")</f>
        <v/>
      </c>
      <c r="G121">
        <f>IFERROR(INDEX(Scores!$E$2:$E$158,MATCH($B121,Scores!$BM$2:$BM$158,0)),"")</f>
        <v/>
      </c>
      <c r="H121">
        <f>IFERROR(INDEX(Scores!$BJ$2:$BJ$158,MATCH($B121,Scores!$BM$2:$BM$158,0)),"")</f>
        <v/>
      </c>
      <c r="I121">
        <f>IFERROR(INDEX(Scores!$BL$2:$BL$158,MATCH($B121,Scores!$BM$2:$BM$158,0)),"")</f>
        <v/>
      </c>
      <c r="J121">
        <f>IFERROR(INDEX(Scores!$Q$2:$Q$158,MATCH($B121,Scores!$BM$2:$BM$158,0)),"")</f>
        <v/>
      </c>
      <c r="K121">
        <f>IFERROR(INDEX(Scores!$AE$2:$AE$158,MATCH($B121,Scores!$BM$2:$BM$158,0)),"")</f>
        <v/>
      </c>
      <c r="L121">
        <f>IFERROR(INDEX(Scores!$AM$2:$AM$158,MATCH($B121,Scores!$BM$2:$BM$158,0)),"")</f>
        <v/>
      </c>
      <c r="M121">
        <f>IFERROR(INDEX(Scores!$AW$2:$AW$158,MATCH($B121,Scores!$BM$2:$BM$158,0)),"")</f>
        <v/>
      </c>
      <c r="N121">
        <f>IFERROR(INDEX(Scores!$BG$2:$BG$158,MATCH($B121,Scores!$BM$2:$BM$158,0)),"")</f>
        <v/>
      </c>
    </row>
    <row r="122">
      <c r="A122" t="inlineStr">
        <is>
          <t>Ranked</t>
        </is>
      </c>
      <c r="B122" t="n">
        <v>120</v>
      </c>
      <c r="C122">
        <f>IFERROR(INDEX(Scores!$BM$2:$BM$158,MATCH($B122,Scores!$BM$2:$BM$158,0)),"")</f>
        <v/>
      </c>
      <c r="D122">
        <f>IFERROR(INDEX(Scores!$B$2:$B$158,MATCH($B122,Scores!$BM$2:$BM$158,0)),"")</f>
        <v/>
      </c>
      <c r="E122">
        <f>IFERROR(INDEX(Scores!$C$2:$C$158,MATCH($B122,Scores!$BM$2:$BM$158,0)),"")</f>
        <v/>
      </c>
      <c r="F122">
        <f>IFERROR(INDEX(Scores!$D$2:$D$158,MATCH($B122,Scores!$BM$2:$BM$158,0)),"")</f>
        <v/>
      </c>
      <c r="G122">
        <f>IFERROR(INDEX(Scores!$E$2:$E$158,MATCH($B122,Scores!$BM$2:$BM$158,0)),"")</f>
        <v/>
      </c>
      <c r="H122">
        <f>IFERROR(INDEX(Scores!$BJ$2:$BJ$158,MATCH($B122,Scores!$BM$2:$BM$158,0)),"")</f>
        <v/>
      </c>
      <c r="I122">
        <f>IFERROR(INDEX(Scores!$BL$2:$BL$158,MATCH($B122,Scores!$BM$2:$BM$158,0)),"")</f>
        <v/>
      </c>
      <c r="J122">
        <f>IFERROR(INDEX(Scores!$Q$2:$Q$158,MATCH($B122,Scores!$BM$2:$BM$158,0)),"")</f>
        <v/>
      </c>
      <c r="K122">
        <f>IFERROR(INDEX(Scores!$AE$2:$AE$158,MATCH($B122,Scores!$BM$2:$BM$158,0)),"")</f>
        <v/>
      </c>
      <c r="L122">
        <f>IFERROR(INDEX(Scores!$AM$2:$AM$158,MATCH($B122,Scores!$BM$2:$BM$158,0)),"")</f>
        <v/>
      </c>
      <c r="M122">
        <f>IFERROR(INDEX(Scores!$AW$2:$AW$158,MATCH($B122,Scores!$BM$2:$BM$158,0)),"")</f>
        <v/>
      </c>
      <c r="N122">
        <f>IFERROR(INDEX(Scores!$BG$2:$BG$158,MATCH($B122,Scores!$BM$2:$BM$158,0)),"")</f>
        <v/>
      </c>
    </row>
    <row r="123">
      <c r="A123" t="inlineStr">
        <is>
          <t>Ranked</t>
        </is>
      </c>
      <c r="B123" t="n">
        <v>121</v>
      </c>
      <c r="C123">
        <f>IFERROR(INDEX(Scores!$BM$2:$BM$158,MATCH($B123,Scores!$BM$2:$BM$158,0)),"")</f>
        <v/>
      </c>
      <c r="D123">
        <f>IFERROR(INDEX(Scores!$B$2:$B$158,MATCH($B123,Scores!$BM$2:$BM$158,0)),"")</f>
        <v/>
      </c>
      <c r="E123">
        <f>IFERROR(INDEX(Scores!$C$2:$C$158,MATCH($B123,Scores!$BM$2:$BM$158,0)),"")</f>
        <v/>
      </c>
      <c r="F123">
        <f>IFERROR(INDEX(Scores!$D$2:$D$158,MATCH($B123,Scores!$BM$2:$BM$158,0)),"")</f>
        <v/>
      </c>
      <c r="G123">
        <f>IFERROR(INDEX(Scores!$E$2:$E$158,MATCH($B123,Scores!$BM$2:$BM$158,0)),"")</f>
        <v/>
      </c>
      <c r="H123">
        <f>IFERROR(INDEX(Scores!$BJ$2:$BJ$158,MATCH($B123,Scores!$BM$2:$BM$158,0)),"")</f>
        <v/>
      </c>
      <c r="I123">
        <f>IFERROR(INDEX(Scores!$BL$2:$BL$158,MATCH($B123,Scores!$BM$2:$BM$158,0)),"")</f>
        <v/>
      </c>
      <c r="J123">
        <f>IFERROR(INDEX(Scores!$Q$2:$Q$158,MATCH($B123,Scores!$BM$2:$BM$158,0)),"")</f>
        <v/>
      </c>
      <c r="K123">
        <f>IFERROR(INDEX(Scores!$AE$2:$AE$158,MATCH($B123,Scores!$BM$2:$BM$158,0)),"")</f>
        <v/>
      </c>
      <c r="L123">
        <f>IFERROR(INDEX(Scores!$AM$2:$AM$158,MATCH($B123,Scores!$BM$2:$BM$158,0)),"")</f>
        <v/>
      </c>
      <c r="M123">
        <f>IFERROR(INDEX(Scores!$AW$2:$AW$158,MATCH($B123,Scores!$BM$2:$BM$158,0)),"")</f>
        <v/>
      </c>
      <c r="N123">
        <f>IFERROR(INDEX(Scores!$BG$2:$BG$158,MATCH($B123,Scores!$BM$2:$BM$158,0)),"")</f>
        <v/>
      </c>
    </row>
    <row r="124">
      <c r="A124" t="inlineStr">
        <is>
          <t>Ranked</t>
        </is>
      </c>
      <c r="B124" t="n">
        <v>122</v>
      </c>
      <c r="C124">
        <f>IFERROR(INDEX(Scores!$BM$2:$BM$158,MATCH($B124,Scores!$BM$2:$BM$158,0)),"")</f>
        <v/>
      </c>
      <c r="D124">
        <f>IFERROR(INDEX(Scores!$B$2:$B$158,MATCH($B124,Scores!$BM$2:$BM$158,0)),"")</f>
        <v/>
      </c>
      <c r="E124">
        <f>IFERROR(INDEX(Scores!$C$2:$C$158,MATCH($B124,Scores!$BM$2:$BM$158,0)),"")</f>
        <v/>
      </c>
      <c r="F124">
        <f>IFERROR(INDEX(Scores!$D$2:$D$158,MATCH($B124,Scores!$BM$2:$BM$158,0)),"")</f>
        <v/>
      </c>
      <c r="G124">
        <f>IFERROR(INDEX(Scores!$E$2:$E$158,MATCH($B124,Scores!$BM$2:$BM$158,0)),"")</f>
        <v/>
      </c>
      <c r="H124">
        <f>IFERROR(INDEX(Scores!$BJ$2:$BJ$158,MATCH($B124,Scores!$BM$2:$BM$158,0)),"")</f>
        <v/>
      </c>
      <c r="I124">
        <f>IFERROR(INDEX(Scores!$BL$2:$BL$158,MATCH($B124,Scores!$BM$2:$BM$158,0)),"")</f>
        <v/>
      </c>
      <c r="J124">
        <f>IFERROR(INDEX(Scores!$Q$2:$Q$158,MATCH($B124,Scores!$BM$2:$BM$158,0)),"")</f>
        <v/>
      </c>
      <c r="K124">
        <f>IFERROR(INDEX(Scores!$AE$2:$AE$158,MATCH($B124,Scores!$BM$2:$BM$158,0)),"")</f>
        <v/>
      </c>
      <c r="L124">
        <f>IFERROR(INDEX(Scores!$AM$2:$AM$158,MATCH($B124,Scores!$BM$2:$BM$158,0)),"")</f>
        <v/>
      </c>
      <c r="M124">
        <f>IFERROR(INDEX(Scores!$AW$2:$AW$158,MATCH($B124,Scores!$BM$2:$BM$158,0)),"")</f>
        <v/>
      </c>
      <c r="N124">
        <f>IFERROR(INDEX(Scores!$BG$2:$BG$158,MATCH($B124,Scores!$BM$2:$BM$158,0)),"")</f>
        <v/>
      </c>
    </row>
    <row r="125">
      <c r="A125" t="inlineStr">
        <is>
          <t>Ranked</t>
        </is>
      </c>
      <c r="B125" t="n">
        <v>123</v>
      </c>
      <c r="C125">
        <f>IFERROR(INDEX(Scores!$BM$2:$BM$158,MATCH($B125,Scores!$BM$2:$BM$158,0)),"")</f>
        <v/>
      </c>
      <c r="D125">
        <f>IFERROR(INDEX(Scores!$B$2:$B$158,MATCH($B125,Scores!$BM$2:$BM$158,0)),"")</f>
        <v/>
      </c>
      <c r="E125">
        <f>IFERROR(INDEX(Scores!$C$2:$C$158,MATCH($B125,Scores!$BM$2:$BM$158,0)),"")</f>
        <v/>
      </c>
      <c r="F125">
        <f>IFERROR(INDEX(Scores!$D$2:$D$158,MATCH($B125,Scores!$BM$2:$BM$158,0)),"")</f>
        <v/>
      </c>
      <c r="G125">
        <f>IFERROR(INDEX(Scores!$E$2:$E$158,MATCH($B125,Scores!$BM$2:$BM$158,0)),"")</f>
        <v/>
      </c>
      <c r="H125">
        <f>IFERROR(INDEX(Scores!$BJ$2:$BJ$158,MATCH($B125,Scores!$BM$2:$BM$158,0)),"")</f>
        <v/>
      </c>
      <c r="I125">
        <f>IFERROR(INDEX(Scores!$BL$2:$BL$158,MATCH($B125,Scores!$BM$2:$BM$158,0)),"")</f>
        <v/>
      </c>
      <c r="J125">
        <f>IFERROR(INDEX(Scores!$Q$2:$Q$158,MATCH($B125,Scores!$BM$2:$BM$158,0)),"")</f>
        <v/>
      </c>
      <c r="K125">
        <f>IFERROR(INDEX(Scores!$AE$2:$AE$158,MATCH($B125,Scores!$BM$2:$BM$158,0)),"")</f>
        <v/>
      </c>
      <c r="L125">
        <f>IFERROR(INDEX(Scores!$AM$2:$AM$158,MATCH($B125,Scores!$BM$2:$BM$158,0)),"")</f>
        <v/>
      </c>
      <c r="M125">
        <f>IFERROR(INDEX(Scores!$AW$2:$AW$158,MATCH($B125,Scores!$BM$2:$BM$158,0)),"")</f>
        <v/>
      </c>
      <c r="N125">
        <f>IFERROR(INDEX(Scores!$BG$2:$BG$158,MATCH($B125,Scores!$BM$2:$BM$158,0)),"")</f>
        <v/>
      </c>
    </row>
    <row r="126">
      <c r="A126" t="inlineStr">
        <is>
          <t>Ranked</t>
        </is>
      </c>
      <c r="B126" t="n">
        <v>124</v>
      </c>
      <c r="C126">
        <f>IFERROR(INDEX(Scores!$BM$2:$BM$158,MATCH($B126,Scores!$BM$2:$BM$158,0)),"")</f>
        <v/>
      </c>
      <c r="D126">
        <f>IFERROR(INDEX(Scores!$B$2:$B$158,MATCH($B126,Scores!$BM$2:$BM$158,0)),"")</f>
        <v/>
      </c>
      <c r="E126">
        <f>IFERROR(INDEX(Scores!$C$2:$C$158,MATCH($B126,Scores!$BM$2:$BM$158,0)),"")</f>
        <v/>
      </c>
      <c r="F126">
        <f>IFERROR(INDEX(Scores!$D$2:$D$158,MATCH($B126,Scores!$BM$2:$BM$158,0)),"")</f>
        <v/>
      </c>
      <c r="G126">
        <f>IFERROR(INDEX(Scores!$E$2:$E$158,MATCH($B126,Scores!$BM$2:$BM$158,0)),"")</f>
        <v/>
      </c>
      <c r="H126">
        <f>IFERROR(INDEX(Scores!$BJ$2:$BJ$158,MATCH($B126,Scores!$BM$2:$BM$158,0)),"")</f>
        <v/>
      </c>
      <c r="I126">
        <f>IFERROR(INDEX(Scores!$BL$2:$BL$158,MATCH($B126,Scores!$BM$2:$BM$158,0)),"")</f>
        <v/>
      </c>
      <c r="J126">
        <f>IFERROR(INDEX(Scores!$Q$2:$Q$158,MATCH($B126,Scores!$BM$2:$BM$158,0)),"")</f>
        <v/>
      </c>
      <c r="K126">
        <f>IFERROR(INDEX(Scores!$AE$2:$AE$158,MATCH($B126,Scores!$BM$2:$BM$158,0)),"")</f>
        <v/>
      </c>
      <c r="L126">
        <f>IFERROR(INDEX(Scores!$AM$2:$AM$158,MATCH($B126,Scores!$BM$2:$BM$158,0)),"")</f>
        <v/>
      </c>
      <c r="M126">
        <f>IFERROR(INDEX(Scores!$AW$2:$AW$158,MATCH($B126,Scores!$BM$2:$BM$158,0)),"")</f>
        <v/>
      </c>
      <c r="N126">
        <f>IFERROR(INDEX(Scores!$BG$2:$BG$158,MATCH($B126,Scores!$BM$2:$BM$158,0)),"")</f>
        <v/>
      </c>
    </row>
    <row r="127">
      <c r="A127" t="inlineStr">
        <is>
          <t>Ranked</t>
        </is>
      </c>
      <c r="B127" t="n">
        <v>125</v>
      </c>
      <c r="C127">
        <f>IFERROR(INDEX(Scores!$BM$2:$BM$158,MATCH($B127,Scores!$BM$2:$BM$158,0)),"")</f>
        <v/>
      </c>
      <c r="D127">
        <f>IFERROR(INDEX(Scores!$B$2:$B$158,MATCH($B127,Scores!$BM$2:$BM$158,0)),"")</f>
        <v/>
      </c>
      <c r="E127">
        <f>IFERROR(INDEX(Scores!$C$2:$C$158,MATCH($B127,Scores!$BM$2:$BM$158,0)),"")</f>
        <v/>
      </c>
      <c r="F127">
        <f>IFERROR(INDEX(Scores!$D$2:$D$158,MATCH($B127,Scores!$BM$2:$BM$158,0)),"")</f>
        <v/>
      </c>
      <c r="G127">
        <f>IFERROR(INDEX(Scores!$E$2:$E$158,MATCH($B127,Scores!$BM$2:$BM$158,0)),"")</f>
        <v/>
      </c>
      <c r="H127">
        <f>IFERROR(INDEX(Scores!$BJ$2:$BJ$158,MATCH($B127,Scores!$BM$2:$BM$158,0)),"")</f>
        <v/>
      </c>
      <c r="I127">
        <f>IFERROR(INDEX(Scores!$BL$2:$BL$158,MATCH($B127,Scores!$BM$2:$BM$158,0)),"")</f>
        <v/>
      </c>
      <c r="J127">
        <f>IFERROR(INDEX(Scores!$Q$2:$Q$158,MATCH($B127,Scores!$BM$2:$BM$158,0)),"")</f>
        <v/>
      </c>
      <c r="K127">
        <f>IFERROR(INDEX(Scores!$AE$2:$AE$158,MATCH($B127,Scores!$BM$2:$BM$158,0)),"")</f>
        <v/>
      </c>
      <c r="L127">
        <f>IFERROR(INDEX(Scores!$AM$2:$AM$158,MATCH($B127,Scores!$BM$2:$BM$158,0)),"")</f>
        <v/>
      </c>
      <c r="M127">
        <f>IFERROR(INDEX(Scores!$AW$2:$AW$158,MATCH($B127,Scores!$BM$2:$BM$158,0)),"")</f>
        <v/>
      </c>
      <c r="N127">
        <f>IFERROR(INDEX(Scores!$BG$2:$BG$158,MATCH($B127,Scores!$BM$2:$BM$158,0)),"")</f>
        <v/>
      </c>
    </row>
    <row r="128">
      <c r="A128" t="inlineStr">
        <is>
          <t>Ranked</t>
        </is>
      </c>
      <c r="B128" t="n">
        <v>126</v>
      </c>
      <c r="C128">
        <f>IFERROR(INDEX(Scores!$BM$2:$BM$158,MATCH($B128,Scores!$BM$2:$BM$158,0)),"")</f>
        <v/>
      </c>
      <c r="D128">
        <f>IFERROR(INDEX(Scores!$B$2:$B$158,MATCH($B128,Scores!$BM$2:$BM$158,0)),"")</f>
        <v/>
      </c>
      <c r="E128">
        <f>IFERROR(INDEX(Scores!$C$2:$C$158,MATCH($B128,Scores!$BM$2:$BM$158,0)),"")</f>
        <v/>
      </c>
      <c r="F128">
        <f>IFERROR(INDEX(Scores!$D$2:$D$158,MATCH($B128,Scores!$BM$2:$BM$158,0)),"")</f>
        <v/>
      </c>
      <c r="G128">
        <f>IFERROR(INDEX(Scores!$E$2:$E$158,MATCH($B128,Scores!$BM$2:$BM$158,0)),"")</f>
        <v/>
      </c>
      <c r="H128">
        <f>IFERROR(INDEX(Scores!$BJ$2:$BJ$158,MATCH($B128,Scores!$BM$2:$BM$158,0)),"")</f>
        <v/>
      </c>
      <c r="I128">
        <f>IFERROR(INDEX(Scores!$BL$2:$BL$158,MATCH($B128,Scores!$BM$2:$BM$158,0)),"")</f>
        <v/>
      </c>
      <c r="J128">
        <f>IFERROR(INDEX(Scores!$Q$2:$Q$158,MATCH($B128,Scores!$BM$2:$BM$158,0)),"")</f>
        <v/>
      </c>
      <c r="K128">
        <f>IFERROR(INDEX(Scores!$AE$2:$AE$158,MATCH($B128,Scores!$BM$2:$BM$158,0)),"")</f>
        <v/>
      </c>
      <c r="L128">
        <f>IFERROR(INDEX(Scores!$AM$2:$AM$158,MATCH($B128,Scores!$BM$2:$BM$158,0)),"")</f>
        <v/>
      </c>
      <c r="M128">
        <f>IFERROR(INDEX(Scores!$AW$2:$AW$158,MATCH($B128,Scores!$BM$2:$BM$158,0)),"")</f>
        <v/>
      </c>
      <c r="N128">
        <f>IFERROR(INDEX(Scores!$BG$2:$BG$158,MATCH($B128,Scores!$BM$2:$BM$158,0)),"")</f>
        <v/>
      </c>
    </row>
    <row r="129">
      <c r="A129" t="inlineStr">
        <is>
          <t>Ranked</t>
        </is>
      </c>
      <c r="B129" t="n">
        <v>127</v>
      </c>
      <c r="C129">
        <f>IFERROR(INDEX(Scores!$BM$2:$BM$158,MATCH($B129,Scores!$BM$2:$BM$158,0)),"")</f>
        <v/>
      </c>
      <c r="D129">
        <f>IFERROR(INDEX(Scores!$B$2:$B$158,MATCH($B129,Scores!$BM$2:$BM$158,0)),"")</f>
        <v/>
      </c>
      <c r="E129">
        <f>IFERROR(INDEX(Scores!$C$2:$C$158,MATCH($B129,Scores!$BM$2:$BM$158,0)),"")</f>
        <v/>
      </c>
      <c r="F129">
        <f>IFERROR(INDEX(Scores!$D$2:$D$158,MATCH($B129,Scores!$BM$2:$BM$158,0)),"")</f>
        <v/>
      </c>
      <c r="G129">
        <f>IFERROR(INDEX(Scores!$E$2:$E$158,MATCH($B129,Scores!$BM$2:$BM$158,0)),"")</f>
        <v/>
      </c>
      <c r="H129">
        <f>IFERROR(INDEX(Scores!$BJ$2:$BJ$158,MATCH($B129,Scores!$BM$2:$BM$158,0)),"")</f>
        <v/>
      </c>
      <c r="I129">
        <f>IFERROR(INDEX(Scores!$BL$2:$BL$158,MATCH($B129,Scores!$BM$2:$BM$158,0)),"")</f>
        <v/>
      </c>
      <c r="J129">
        <f>IFERROR(INDEX(Scores!$Q$2:$Q$158,MATCH($B129,Scores!$BM$2:$BM$158,0)),"")</f>
        <v/>
      </c>
      <c r="K129">
        <f>IFERROR(INDEX(Scores!$AE$2:$AE$158,MATCH($B129,Scores!$BM$2:$BM$158,0)),"")</f>
        <v/>
      </c>
      <c r="L129">
        <f>IFERROR(INDEX(Scores!$AM$2:$AM$158,MATCH($B129,Scores!$BM$2:$BM$158,0)),"")</f>
        <v/>
      </c>
      <c r="M129">
        <f>IFERROR(INDEX(Scores!$AW$2:$AW$158,MATCH($B129,Scores!$BM$2:$BM$158,0)),"")</f>
        <v/>
      </c>
      <c r="N129">
        <f>IFERROR(INDEX(Scores!$BG$2:$BG$158,MATCH($B129,Scores!$BM$2:$BM$158,0)),"")</f>
        <v/>
      </c>
    </row>
    <row r="130">
      <c r="A130" t="inlineStr">
        <is>
          <t>Ranked</t>
        </is>
      </c>
      <c r="B130" t="n">
        <v>128</v>
      </c>
      <c r="C130">
        <f>IFERROR(INDEX(Scores!$BM$2:$BM$158,MATCH($B130,Scores!$BM$2:$BM$158,0)),"")</f>
        <v/>
      </c>
      <c r="D130">
        <f>IFERROR(INDEX(Scores!$B$2:$B$158,MATCH($B130,Scores!$BM$2:$BM$158,0)),"")</f>
        <v/>
      </c>
      <c r="E130">
        <f>IFERROR(INDEX(Scores!$C$2:$C$158,MATCH($B130,Scores!$BM$2:$BM$158,0)),"")</f>
        <v/>
      </c>
      <c r="F130">
        <f>IFERROR(INDEX(Scores!$D$2:$D$158,MATCH($B130,Scores!$BM$2:$BM$158,0)),"")</f>
        <v/>
      </c>
      <c r="G130">
        <f>IFERROR(INDEX(Scores!$E$2:$E$158,MATCH($B130,Scores!$BM$2:$BM$158,0)),"")</f>
        <v/>
      </c>
      <c r="H130">
        <f>IFERROR(INDEX(Scores!$BJ$2:$BJ$158,MATCH($B130,Scores!$BM$2:$BM$158,0)),"")</f>
        <v/>
      </c>
      <c r="I130">
        <f>IFERROR(INDEX(Scores!$BL$2:$BL$158,MATCH($B130,Scores!$BM$2:$BM$158,0)),"")</f>
        <v/>
      </c>
      <c r="J130">
        <f>IFERROR(INDEX(Scores!$Q$2:$Q$158,MATCH($B130,Scores!$BM$2:$BM$158,0)),"")</f>
        <v/>
      </c>
      <c r="K130">
        <f>IFERROR(INDEX(Scores!$AE$2:$AE$158,MATCH($B130,Scores!$BM$2:$BM$158,0)),"")</f>
        <v/>
      </c>
      <c r="L130">
        <f>IFERROR(INDEX(Scores!$AM$2:$AM$158,MATCH($B130,Scores!$BM$2:$BM$158,0)),"")</f>
        <v/>
      </c>
      <c r="M130">
        <f>IFERROR(INDEX(Scores!$AW$2:$AW$158,MATCH($B130,Scores!$BM$2:$BM$158,0)),"")</f>
        <v/>
      </c>
      <c r="N130">
        <f>IFERROR(INDEX(Scores!$BG$2:$BG$158,MATCH($B130,Scores!$BM$2:$BM$158,0)),"")</f>
        <v/>
      </c>
    </row>
    <row r="131">
      <c r="A131" t="inlineStr">
        <is>
          <t>Ranked</t>
        </is>
      </c>
      <c r="B131" t="n">
        <v>129</v>
      </c>
      <c r="C131">
        <f>IFERROR(INDEX(Scores!$BM$2:$BM$158,MATCH($B131,Scores!$BM$2:$BM$158,0)),"")</f>
        <v/>
      </c>
      <c r="D131">
        <f>IFERROR(INDEX(Scores!$B$2:$B$158,MATCH($B131,Scores!$BM$2:$BM$158,0)),"")</f>
        <v/>
      </c>
      <c r="E131">
        <f>IFERROR(INDEX(Scores!$C$2:$C$158,MATCH($B131,Scores!$BM$2:$BM$158,0)),"")</f>
        <v/>
      </c>
      <c r="F131">
        <f>IFERROR(INDEX(Scores!$D$2:$D$158,MATCH($B131,Scores!$BM$2:$BM$158,0)),"")</f>
        <v/>
      </c>
      <c r="G131">
        <f>IFERROR(INDEX(Scores!$E$2:$E$158,MATCH($B131,Scores!$BM$2:$BM$158,0)),"")</f>
        <v/>
      </c>
      <c r="H131">
        <f>IFERROR(INDEX(Scores!$BJ$2:$BJ$158,MATCH($B131,Scores!$BM$2:$BM$158,0)),"")</f>
        <v/>
      </c>
      <c r="I131">
        <f>IFERROR(INDEX(Scores!$BL$2:$BL$158,MATCH($B131,Scores!$BM$2:$BM$158,0)),"")</f>
        <v/>
      </c>
      <c r="J131">
        <f>IFERROR(INDEX(Scores!$Q$2:$Q$158,MATCH($B131,Scores!$BM$2:$BM$158,0)),"")</f>
        <v/>
      </c>
      <c r="K131">
        <f>IFERROR(INDEX(Scores!$AE$2:$AE$158,MATCH($B131,Scores!$BM$2:$BM$158,0)),"")</f>
        <v/>
      </c>
      <c r="L131">
        <f>IFERROR(INDEX(Scores!$AM$2:$AM$158,MATCH($B131,Scores!$BM$2:$BM$158,0)),"")</f>
        <v/>
      </c>
      <c r="M131">
        <f>IFERROR(INDEX(Scores!$AW$2:$AW$158,MATCH($B131,Scores!$BM$2:$BM$158,0)),"")</f>
        <v/>
      </c>
      <c r="N131">
        <f>IFERROR(INDEX(Scores!$BG$2:$BG$158,MATCH($B131,Scores!$BM$2:$BM$158,0)),"")</f>
        <v/>
      </c>
    </row>
    <row r="132">
      <c r="A132" t="inlineStr">
        <is>
          <t>Ranked</t>
        </is>
      </c>
      <c r="B132" t="n">
        <v>130</v>
      </c>
      <c r="C132">
        <f>IFERROR(INDEX(Scores!$BM$2:$BM$158,MATCH($B132,Scores!$BM$2:$BM$158,0)),"")</f>
        <v/>
      </c>
      <c r="D132">
        <f>IFERROR(INDEX(Scores!$B$2:$B$158,MATCH($B132,Scores!$BM$2:$BM$158,0)),"")</f>
        <v/>
      </c>
      <c r="E132">
        <f>IFERROR(INDEX(Scores!$C$2:$C$158,MATCH($B132,Scores!$BM$2:$BM$158,0)),"")</f>
        <v/>
      </c>
      <c r="F132">
        <f>IFERROR(INDEX(Scores!$D$2:$D$158,MATCH($B132,Scores!$BM$2:$BM$158,0)),"")</f>
        <v/>
      </c>
      <c r="G132">
        <f>IFERROR(INDEX(Scores!$E$2:$E$158,MATCH($B132,Scores!$BM$2:$BM$158,0)),"")</f>
        <v/>
      </c>
      <c r="H132">
        <f>IFERROR(INDEX(Scores!$BJ$2:$BJ$158,MATCH($B132,Scores!$BM$2:$BM$158,0)),"")</f>
        <v/>
      </c>
      <c r="I132">
        <f>IFERROR(INDEX(Scores!$BL$2:$BL$158,MATCH($B132,Scores!$BM$2:$BM$158,0)),"")</f>
        <v/>
      </c>
      <c r="J132">
        <f>IFERROR(INDEX(Scores!$Q$2:$Q$158,MATCH($B132,Scores!$BM$2:$BM$158,0)),"")</f>
        <v/>
      </c>
      <c r="K132">
        <f>IFERROR(INDEX(Scores!$AE$2:$AE$158,MATCH($B132,Scores!$BM$2:$BM$158,0)),"")</f>
        <v/>
      </c>
      <c r="L132">
        <f>IFERROR(INDEX(Scores!$AM$2:$AM$158,MATCH($B132,Scores!$BM$2:$BM$158,0)),"")</f>
        <v/>
      </c>
      <c r="M132">
        <f>IFERROR(INDEX(Scores!$AW$2:$AW$158,MATCH($B132,Scores!$BM$2:$BM$158,0)),"")</f>
        <v/>
      </c>
      <c r="N132">
        <f>IFERROR(INDEX(Scores!$BG$2:$BG$158,MATCH($B132,Scores!$BM$2:$BM$158,0)),"")</f>
        <v/>
      </c>
    </row>
    <row r="133">
      <c r="A133" t="inlineStr">
        <is>
          <t>Ranked</t>
        </is>
      </c>
      <c r="B133" t="n">
        <v>131</v>
      </c>
      <c r="C133">
        <f>IFERROR(INDEX(Scores!$BM$2:$BM$158,MATCH($B133,Scores!$BM$2:$BM$158,0)),"")</f>
        <v/>
      </c>
      <c r="D133">
        <f>IFERROR(INDEX(Scores!$B$2:$B$158,MATCH($B133,Scores!$BM$2:$BM$158,0)),"")</f>
        <v/>
      </c>
      <c r="E133">
        <f>IFERROR(INDEX(Scores!$C$2:$C$158,MATCH($B133,Scores!$BM$2:$BM$158,0)),"")</f>
        <v/>
      </c>
      <c r="F133">
        <f>IFERROR(INDEX(Scores!$D$2:$D$158,MATCH($B133,Scores!$BM$2:$BM$158,0)),"")</f>
        <v/>
      </c>
      <c r="G133">
        <f>IFERROR(INDEX(Scores!$E$2:$E$158,MATCH($B133,Scores!$BM$2:$BM$158,0)),"")</f>
        <v/>
      </c>
      <c r="H133">
        <f>IFERROR(INDEX(Scores!$BJ$2:$BJ$158,MATCH($B133,Scores!$BM$2:$BM$158,0)),"")</f>
        <v/>
      </c>
      <c r="I133">
        <f>IFERROR(INDEX(Scores!$BL$2:$BL$158,MATCH($B133,Scores!$BM$2:$BM$158,0)),"")</f>
        <v/>
      </c>
      <c r="J133">
        <f>IFERROR(INDEX(Scores!$Q$2:$Q$158,MATCH($B133,Scores!$BM$2:$BM$158,0)),"")</f>
        <v/>
      </c>
      <c r="K133">
        <f>IFERROR(INDEX(Scores!$AE$2:$AE$158,MATCH($B133,Scores!$BM$2:$BM$158,0)),"")</f>
        <v/>
      </c>
      <c r="L133">
        <f>IFERROR(INDEX(Scores!$AM$2:$AM$158,MATCH($B133,Scores!$BM$2:$BM$158,0)),"")</f>
        <v/>
      </c>
      <c r="M133">
        <f>IFERROR(INDEX(Scores!$AW$2:$AW$158,MATCH($B133,Scores!$BM$2:$BM$158,0)),"")</f>
        <v/>
      </c>
      <c r="N133">
        <f>IFERROR(INDEX(Scores!$BG$2:$BG$158,MATCH($B133,Scores!$BM$2:$BM$158,0)),"")</f>
        <v/>
      </c>
    </row>
    <row r="134">
      <c r="A134" t="inlineStr">
        <is>
          <t>Ranked</t>
        </is>
      </c>
      <c r="B134" t="n">
        <v>132</v>
      </c>
      <c r="C134">
        <f>IFERROR(INDEX(Scores!$BM$2:$BM$158,MATCH($B134,Scores!$BM$2:$BM$158,0)),"")</f>
        <v/>
      </c>
      <c r="D134">
        <f>IFERROR(INDEX(Scores!$B$2:$B$158,MATCH($B134,Scores!$BM$2:$BM$158,0)),"")</f>
        <v/>
      </c>
      <c r="E134">
        <f>IFERROR(INDEX(Scores!$C$2:$C$158,MATCH($B134,Scores!$BM$2:$BM$158,0)),"")</f>
        <v/>
      </c>
      <c r="F134">
        <f>IFERROR(INDEX(Scores!$D$2:$D$158,MATCH($B134,Scores!$BM$2:$BM$158,0)),"")</f>
        <v/>
      </c>
      <c r="G134">
        <f>IFERROR(INDEX(Scores!$E$2:$E$158,MATCH($B134,Scores!$BM$2:$BM$158,0)),"")</f>
        <v/>
      </c>
      <c r="H134">
        <f>IFERROR(INDEX(Scores!$BJ$2:$BJ$158,MATCH($B134,Scores!$BM$2:$BM$158,0)),"")</f>
        <v/>
      </c>
      <c r="I134">
        <f>IFERROR(INDEX(Scores!$BL$2:$BL$158,MATCH($B134,Scores!$BM$2:$BM$158,0)),"")</f>
        <v/>
      </c>
      <c r="J134">
        <f>IFERROR(INDEX(Scores!$Q$2:$Q$158,MATCH($B134,Scores!$BM$2:$BM$158,0)),"")</f>
        <v/>
      </c>
      <c r="K134">
        <f>IFERROR(INDEX(Scores!$AE$2:$AE$158,MATCH($B134,Scores!$BM$2:$BM$158,0)),"")</f>
        <v/>
      </c>
      <c r="L134">
        <f>IFERROR(INDEX(Scores!$AM$2:$AM$158,MATCH($B134,Scores!$BM$2:$BM$158,0)),"")</f>
        <v/>
      </c>
      <c r="M134">
        <f>IFERROR(INDEX(Scores!$AW$2:$AW$158,MATCH($B134,Scores!$BM$2:$BM$158,0)),"")</f>
        <v/>
      </c>
      <c r="N134">
        <f>IFERROR(INDEX(Scores!$BG$2:$BG$158,MATCH($B134,Scores!$BM$2:$BM$158,0)),"")</f>
        <v/>
      </c>
    </row>
    <row r="135">
      <c r="A135" t="inlineStr">
        <is>
          <t>Ranked</t>
        </is>
      </c>
      <c r="B135" t="n">
        <v>133</v>
      </c>
      <c r="C135">
        <f>IFERROR(INDEX(Scores!$BM$2:$BM$158,MATCH($B135,Scores!$BM$2:$BM$158,0)),"")</f>
        <v/>
      </c>
      <c r="D135">
        <f>IFERROR(INDEX(Scores!$B$2:$B$158,MATCH($B135,Scores!$BM$2:$BM$158,0)),"")</f>
        <v/>
      </c>
      <c r="E135">
        <f>IFERROR(INDEX(Scores!$C$2:$C$158,MATCH($B135,Scores!$BM$2:$BM$158,0)),"")</f>
        <v/>
      </c>
      <c r="F135">
        <f>IFERROR(INDEX(Scores!$D$2:$D$158,MATCH($B135,Scores!$BM$2:$BM$158,0)),"")</f>
        <v/>
      </c>
      <c r="G135">
        <f>IFERROR(INDEX(Scores!$E$2:$E$158,MATCH($B135,Scores!$BM$2:$BM$158,0)),"")</f>
        <v/>
      </c>
      <c r="H135">
        <f>IFERROR(INDEX(Scores!$BJ$2:$BJ$158,MATCH($B135,Scores!$BM$2:$BM$158,0)),"")</f>
        <v/>
      </c>
      <c r="I135">
        <f>IFERROR(INDEX(Scores!$BL$2:$BL$158,MATCH($B135,Scores!$BM$2:$BM$158,0)),"")</f>
        <v/>
      </c>
      <c r="J135">
        <f>IFERROR(INDEX(Scores!$Q$2:$Q$158,MATCH($B135,Scores!$BM$2:$BM$158,0)),"")</f>
        <v/>
      </c>
      <c r="K135">
        <f>IFERROR(INDEX(Scores!$AE$2:$AE$158,MATCH($B135,Scores!$BM$2:$BM$158,0)),"")</f>
        <v/>
      </c>
      <c r="L135">
        <f>IFERROR(INDEX(Scores!$AM$2:$AM$158,MATCH($B135,Scores!$BM$2:$BM$158,0)),"")</f>
        <v/>
      </c>
      <c r="M135">
        <f>IFERROR(INDEX(Scores!$AW$2:$AW$158,MATCH($B135,Scores!$BM$2:$BM$158,0)),"")</f>
        <v/>
      </c>
      <c r="N135">
        <f>IFERROR(INDEX(Scores!$BG$2:$BG$158,MATCH($B135,Scores!$BM$2:$BM$158,0)),"")</f>
        <v/>
      </c>
    </row>
    <row r="136">
      <c r="A136" t="inlineStr">
        <is>
          <t>Ranked</t>
        </is>
      </c>
      <c r="B136" t="n">
        <v>134</v>
      </c>
      <c r="C136">
        <f>IFERROR(INDEX(Scores!$BM$2:$BM$158,MATCH($B136,Scores!$BM$2:$BM$158,0)),"")</f>
        <v/>
      </c>
      <c r="D136">
        <f>IFERROR(INDEX(Scores!$B$2:$B$158,MATCH($B136,Scores!$BM$2:$BM$158,0)),"")</f>
        <v/>
      </c>
      <c r="E136">
        <f>IFERROR(INDEX(Scores!$C$2:$C$158,MATCH($B136,Scores!$BM$2:$BM$158,0)),"")</f>
        <v/>
      </c>
      <c r="F136">
        <f>IFERROR(INDEX(Scores!$D$2:$D$158,MATCH($B136,Scores!$BM$2:$BM$158,0)),"")</f>
        <v/>
      </c>
      <c r="G136">
        <f>IFERROR(INDEX(Scores!$E$2:$E$158,MATCH($B136,Scores!$BM$2:$BM$158,0)),"")</f>
        <v/>
      </c>
      <c r="H136">
        <f>IFERROR(INDEX(Scores!$BJ$2:$BJ$158,MATCH($B136,Scores!$BM$2:$BM$158,0)),"")</f>
        <v/>
      </c>
      <c r="I136">
        <f>IFERROR(INDEX(Scores!$BL$2:$BL$158,MATCH($B136,Scores!$BM$2:$BM$158,0)),"")</f>
        <v/>
      </c>
      <c r="J136">
        <f>IFERROR(INDEX(Scores!$Q$2:$Q$158,MATCH($B136,Scores!$BM$2:$BM$158,0)),"")</f>
        <v/>
      </c>
      <c r="K136">
        <f>IFERROR(INDEX(Scores!$AE$2:$AE$158,MATCH($B136,Scores!$BM$2:$BM$158,0)),"")</f>
        <v/>
      </c>
      <c r="L136">
        <f>IFERROR(INDEX(Scores!$AM$2:$AM$158,MATCH($B136,Scores!$BM$2:$BM$158,0)),"")</f>
        <v/>
      </c>
      <c r="M136">
        <f>IFERROR(INDEX(Scores!$AW$2:$AW$158,MATCH($B136,Scores!$BM$2:$BM$158,0)),"")</f>
        <v/>
      </c>
      <c r="N136">
        <f>IFERROR(INDEX(Scores!$BG$2:$BG$158,MATCH($B136,Scores!$BM$2:$BM$158,0)),"")</f>
        <v/>
      </c>
    </row>
    <row r="137">
      <c r="A137" t="inlineStr">
        <is>
          <t>Ranked</t>
        </is>
      </c>
      <c r="B137" t="n">
        <v>135</v>
      </c>
      <c r="C137">
        <f>IFERROR(INDEX(Scores!$BM$2:$BM$158,MATCH($B137,Scores!$BM$2:$BM$158,0)),"")</f>
        <v/>
      </c>
      <c r="D137">
        <f>IFERROR(INDEX(Scores!$B$2:$B$158,MATCH($B137,Scores!$BM$2:$BM$158,0)),"")</f>
        <v/>
      </c>
      <c r="E137">
        <f>IFERROR(INDEX(Scores!$C$2:$C$158,MATCH($B137,Scores!$BM$2:$BM$158,0)),"")</f>
        <v/>
      </c>
      <c r="F137">
        <f>IFERROR(INDEX(Scores!$D$2:$D$158,MATCH($B137,Scores!$BM$2:$BM$158,0)),"")</f>
        <v/>
      </c>
      <c r="G137">
        <f>IFERROR(INDEX(Scores!$E$2:$E$158,MATCH($B137,Scores!$BM$2:$BM$158,0)),"")</f>
        <v/>
      </c>
      <c r="H137">
        <f>IFERROR(INDEX(Scores!$BJ$2:$BJ$158,MATCH($B137,Scores!$BM$2:$BM$158,0)),"")</f>
        <v/>
      </c>
      <c r="I137">
        <f>IFERROR(INDEX(Scores!$BL$2:$BL$158,MATCH($B137,Scores!$BM$2:$BM$158,0)),"")</f>
        <v/>
      </c>
      <c r="J137">
        <f>IFERROR(INDEX(Scores!$Q$2:$Q$158,MATCH($B137,Scores!$BM$2:$BM$158,0)),"")</f>
        <v/>
      </c>
      <c r="K137">
        <f>IFERROR(INDEX(Scores!$AE$2:$AE$158,MATCH($B137,Scores!$BM$2:$BM$158,0)),"")</f>
        <v/>
      </c>
      <c r="L137">
        <f>IFERROR(INDEX(Scores!$AM$2:$AM$158,MATCH($B137,Scores!$BM$2:$BM$158,0)),"")</f>
        <v/>
      </c>
      <c r="M137">
        <f>IFERROR(INDEX(Scores!$AW$2:$AW$158,MATCH($B137,Scores!$BM$2:$BM$158,0)),"")</f>
        <v/>
      </c>
      <c r="N137">
        <f>IFERROR(INDEX(Scores!$BG$2:$BG$158,MATCH($B137,Scores!$BM$2:$BM$158,0)),"")</f>
        <v/>
      </c>
    </row>
    <row r="138">
      <c r="A138" t="inlineStr">
        <is>
          <t>Ranked</t>
        </is>
      </c>
      <c r="B138" t="n">
        <v>136</v>
      </c>
      <c r="C138">
        <f>IFERROR(INDEX(Scores!$BM$2:$BM$158,MATCH($B138,Scores!$BM$2:$BM$158,0)),"")</f>
        <v/>
      </c>
      <c r="D138">
        <f>IFERROR(INDEX(Scores!$B$2:$B$158,MATCH($B138,Scores!$BM$2:$BM$158,0)),"")</f>
        <v/>
      </c>
      <c r="E138">
        <f>IFERROR(INDEX(Scores!$C$2:$C$158,MATCH($B138,Scores!$BM$2:$BM$158,0)),"")</f>
        <v/>
      </c>
      <c r="F138">
        <f>IFERROR(INDEX(Scores!$D$2:$D$158,MATCH($B138,Scores!$BM$2:$BM$158,0)),"")</f>
        <v/>
      </c>
      <c r="G138">
        <f>IFERROR(INDEX(Scores!$E$2:$E$158,MATCH($B138,Scores!$BM$2:$BM$158,0)),"")</f>
        <v/>
      </c>
      <c r="H138">
        <f>IFERROR(INDEX(Scores!$BJ$2:$BJ$158,MATCH($B138,Scores!$BM$2:$BM$158,0)),"")</f>
        <v/>
      </c>
      <c r="I138">
        <f>IFERROR(INDEX(Scores!$BL$2:$BL$158,MATCH($B138,Scores!$BM$2:$BM$158,0)),"")</f>
        <v/>
      </c>
      <c r="J138">
        <f>IFERROR(INDEX(Scores!$Q$2:$Q$158,MATCH($B138,Scores!$BM$2:$BM$158,0)),"")</f>
        <v/>
      </c>
      <c r="K138">
        <f>IFERROR(INDEX(Scores!$AE$2:$AE$158,MATCH($B138,Scores!$BM$2:$BM$158,0)),"")</f>
        <v/>
      </c>
      <c r="L138">
        <f>IFERROR(INDEX(Scores!$AM$2:$AM$158,MATCH($B138,Scores!$BM$2:$BM$158,0)),"")</f>
        <v/>
      </c>
      <c r="M138">
        <f>IFERROR(INDEX(Scores!$AW$2:$AW$158,MATCH($B138,Scores!$BM$2:$BM$158,0)),"")</f>
        <v/>
      </c>
      <c r="N138">
        <f>IFERROR(INDEX(Scores!$BG$2:$BG$158,MATCH($B138,Scores!$BM$2:$BM$158,0)),"")</f>
        <v/>
      </c>
    </row>
    <row r="139">
      <c r="A139" t="inlineStr">
        <is>
          <t>Ranked</t>
        </is>
      </c>
      <c r="B139" t="n">
        <v>137</v>
      </c>
      <c r="C139">
        <f>IFERROR(INDEX(Scores!$BM$2:$BM$158,MATCH($B139,Scores!$BM$2:$BM$158,0)),"")</f>
        <v/>
      </c>
      <c r="D139">
        <f>IFERROR(INDEX(Scores!$B$2:$B$158,MATCH($B139,Scores!$BM$2:$BM$158,0)),"")</f>
        <v/>
      </c>
      <c r="E139">
        <f>IFERROR(INDEX(Scores!$C$2:$C$158,MATCH($B139,Scores!$BM$2:$BM$158,0)),"")</f>
        <v/>
      </c>
      <c r="F139">
        <f>IFERROR(INDEX(Scores!$D$2:$D$158,MATCH($B139,Scores!$BM$2:$BM$158,0)),"")</f>
        <v/>
      </c>
      <c r="G139">
        <f>IFERROR(INDEX(Scores!$E$2:$E$158,MATCH($B139,Scores!$BM$2:$BM$158,0)),"")</f>
        <v/>
      </c>
      <c r="H139">
        <f>IFERROR(INDEX(Scores!$BJ$2:$BJ$158,MATCH($B139,Scores!$BM$2:$BM$158,0)),"")</f>
        <v/>
      </c>
      <c r="I139">
        <f>IFERROR(INDEX(Scores!$BL$2:$BL$158,MATCH($B139,Scores!$BM$2:$BM$158,0)),"")</f>
        <v/>
      </c>
      <c r="J139">
        <f>IFERROR(INDEX(Scores!$Q$2:$Q$158,MATCH($B139,Scores!$BM$2:$BM$158,0)),"")</f>
        <v/>
      </c>
      <c r="K139">
        <f>IFERROR(INDEX(Scores!$AE$2:$AE$158,MATCH($B139,Scores!$BM$2:$BM$158,0)),"")</f>
        <v/>
      </c>
      <c r="L139">
        <f>IFERROR(INDEX(Scores!$AM$2:$AM$158,MATCH($B139,Scores!$BM$2:$BM$158,0)),"")</f>
        <v/>
      </c>
      <c r="M139">
        <f>IFERROR(INDEX(Scores!$AW$2:$AW$158,MATCH($B139,Scores!$BM$2:$BM$158,0)),"")</f>
        <v/>
      </c>
      <c r="N139">
        <f>IFERROR(INDEX(Scores!$BG$2:$BG$158,MATCH($B139,Scores!$BM$2:$BM$158,0)),"")</f>
        <v/>
      </c>
    </row>
    <row r="140">
      <c r="A140" t="inlineStr">
        <is>
          <t>Ranked</t>
        </is>
      </c>
      <c r="B140" t="n">
        <v>138</v>
      </c>
      <c r="C140">
        <f>IFERROR(INDEX(Scores!$BM$2:$BM$158,MATCH($B140,Scores!$BM$2:$BM$158,0)),"")</f>
        <v/>
      </c>
      <c r="D140">
        <f>IFERROR(INDEX(Scores!$B$2:$B$158,MATCH($B140,Scores!$BM$2:$BM$158,0)),"")</f>
        <v/>
      </c>
      <c r="E140">
        <f>IFERROR(INDEX(Scores!$C$2:$C$158,MATCH($B140,Scores!$BM$2:$BM$158,0)),"")</f>
        <v/>
      </c>
      <c r="F140">
        <f>IFERROR(INDEX(Scores!$D$2:$D$158,MATCH($B140,Scores!$BM$2:$BM$158,0)),"")</f>
        <v/>
      </c>
      <c r="G140">
        <f>IFERROR(INDEX(Scores!$E$2:$E$158,MATCH($B140,Scores!$BM$2:$BM$158,0)),"")</f>
        <v/>
      </c>
      <c r="H140">
        <f>IFERROR(INDEX(Scores!$BJ$2:$BJ$158,MATCH($B140,Scores!$BM$2:$BM$158,0)),"")</f>
        <v/>
      </c>
      <c r="I140">
        <f>IFERROR(INDEX(Scores!$BL$2:$BL$158,MATCH($B140,Scores!$BM$2:$BM$158,0)),"")</f>
        <v/>
      </c>
      <c r="J140">
        <f>IFERROR(INDEX(Scores!$Q$2:$Q$158,MATCH($B140,Scores!$BM$2:$BM$158,0)),"")</f>
        <v/>
      </c>
      <c r="K140">
        <f>IFERROR(INDEX(Scores!$AE$2:$AE$158,MATCH($B140,Scores!$BM$2:$BM$158,0)),"")</f>
        <v/>
      </c>
      <c r="L140">
        <f>IFERROR(INDEX(Scores!$AM$2:$AM$158,MATCH($B140,Scores!$BM$2:$BM$158,0)),"")</f>
        <v/>
      </c>
      <c r="M140">
        <f>IFERROR(INDEX(Scores!$AW$2:$AW$158,MATCH($B140,Scores!$BM$2:$BM$158,0)),"")</f>
        <v/>
      </c>
      <c r="N140">
        <f>IFERROR(INDEX(Scores!$BG$2:$BG$158,MATCH($B140,Scores!$BM$2:$BM$158,0)),"")</f>
        <v/>
      </c>
    </row>
    <row r="141">
      <c r="A141" t="inlineStr">
        <is>
          <t>Ranked</t>
        </is>
      </c>
      <c r="B141" t="n">
        <v>139</v>
      </c>
      <c r="C141">
        <f>IFERROR(INDEX(Scores!$BM$2:$BM$158,MATCH($B141,Scores!$BM$2:$BM$158,0)),"")</f>
        <v/>
      </c>
      <c r="D141">
        <f>IFERROR(INDEX(Scores!$B$2:$B$158,MATCH($B141,Scores!$BM$2:$BM$158,0)),"")</f>
        <v/>
      </c>
      <c r="E141">
        <f>IFERROR(INDEX(Scores!$C$2:$C$158,MATCH($B141,Scores!$BM$2:$BM$158,0)),"")</f>
        <v/>
      </c>
      <c r="F141">
        <f>IFERROR(INDEX(Scores!$D$2:$D$158,MATCH($B141,Scores!$BM$2:$BM$158,0)),"")</f>
        <v/>
      </c>
      <c r="G141">
        <f>IFERROR(INDEX(Scores!$E$2:$E$158,MATCH($B141,Scores!$BM$2:$BM$158,0)),"")</f>
        <v/>
      </c>
      <c r="H141">
        <f>IFERROR(INDEX(Scores!$BJ$2:$BJ$158,MATCH($B141,Scores!$BM$2:$BM$158,0)),"")</f>
        <v/>
      </c>
      <c r="I141">
        <f>IFERROR(INDEX(Scores!$BL$2:$BL$158,MATCH($B141,Scores!$BM$2:$BM$158,0)),"")</f>
        <v/>
      </c>
      <c r="J141">
        <f>IFERROR(INDEX(Scores!$Q$2:$Q$158,MATCH($B141,Scores!$BM$2:$BM$158,0)),"")</f>
        <v/>
      </c>
      <c r="K141">
        <f>IFERROR(INDEX(Scores!$AE$2:$AE$158,MATCH($B141,Scores!$BM$2:$BM$158,0)),"")</f>
        <v/>
      </c>
      <c r="L141">
        <f>IFERROR(INDEX(Scores!$AM$2:$AM$158,MATCH($B141,Scores!$BM$2:$BM$158,0)),"")</f>
        <v/>
      </c>
      <c r="M141">
        <f>IFERROR(INDEX(Scores!$AW$2:$AW$158,MATCH($B141,Scores!$BM$2:$BM$158,0)),"")</f>
        <v/>
      </c>
      <c r="N141">
        <f>IFERROR(INDEX(Scores!$BG$2:$BG$158,MATCH($B141,Scores!$BM$2:$BM$158,0)),"")</f>
        <v/>
      </c>
    </row>
    <row r="142">
      <c r="A142" t="inlineStr">
        <is>
          <t>Ranked</t>
        </is>
      </c>
      <c r="B142" t="n">
        <v>140</v>
      </c>
      <c r="C142">
        <f>IFERROR(INDEX(Scores!$BM$2:$BM$158,MATCH($B142,Scores!$BM$2:$BM$158,0)),"")</f>
        <v/>
      </c>
      <c r="D142">
        <f>IFERROR(INDEX(Scores!$B$2:$B$158,MATCH($B142,Scores!$BM$2:$BM$158,0)),"")</f>
        <v/>
      </c>
      <c r="E142">
        <f>IFERROR(INDEX(Scores!$C$2:$C$158,MATCH($B142,Scores!$BM$2:$BM$158,0)),"")</f>
        <v/>
      </c>
      <c r="F142">
        <f>IFERROR(INDEX(Scores!$D$2:$D$158,MATCH($B142,Scores!$BM$2:$BM$158,0)),"")</f>
        <v/>
      </c>
      <c r="G142">
        <f>IFERROR(INDEX(Scores!$E$2:$E$158,MATCH($B142,Scores!$BM$2:$BM$158,0)),"")</f>
        <v/>
      </c>
      <c r="H142">
        <f>IFERROR(INDEX(Scores!$BJ$2:$BJ$158,MATCH($B142,Scores!$BM$2:$BM$158,0)),"")</f>
        <v/>
      </c>
      <c r="I142">
        <f>IFERROR(INDEX(Scores!$BL$2:$BL$158,MATCH($B142,Scores!$BM$2:$BM$158,0)),"")</f>
        <v/>
      </c>
      <c r="J142">
        <f>IFERROR(INDEX(Scores!$Q$2:$Q$158,MATCH($B142,Scores!$BM$2:$BM$158,0)),"")</f>
        <v/>
      </c>
      <c r="K142">
        <f>IFERROR(INDEX(Scores!$AE$2:$AE$158,MATCH($B142,Scores!$BM$2:$BM$158,0)),"")</f>
        <v/>
      </c>
      <c r="L142">
        <f>IFERROR(INDEX(Scores!$AM$2:$AM$158,MATCH($B142,Scores!$BM$2:$BM$158,0)),"")</f>
        <v/>
      </c>
      <c r="M142">
        <f>IFERROR(INDEX(Scores!$AW$2:$AW$158,MATCH($B142,Scores!$BM$2:$BM$158,0)),"")</f>
        <v/>
      </c>
      <c r="N142">
        <f>IFERROR(INDEX(Scores!$BG$2:$BG$158,MATCH($B142,Scores!$BM$2:$BM$158,0)),"")</f>
        <v/>
      </c>
    </row>
    <row r="143">
      <c r="A143" t="inlineStr">
        <is>
          <t>Ranked</t>
        </is>
      </c>
      <c r="B143" t="n">
        <v>141</v>
      </c>
      <c r="C143">
        <f>IFERROR(INDEX(Scores!$BM$2:$BM$158,MATCH($B143,Scores!$BM$2:$BM$158,0)),"")</f>
        <v/>
      </c>
      <c r="D143">
        <f>IFERROR(INDEX(Scores!$B$2:$B$158,MATCH($B143,Scores!$BM$2:$BM$158,0)),"")</f>
        <v/>
      </c>
      <c r="E143">
        <f>IFERROR(INDEX(Scores!$C$2:$C$158,MATCH($B143,Scores!$BM$2:$BM$158,0)),"")</f>
        <v/>
      </c>
      <c r="F143">
        <f>IFERROR(INDEX(Scores!$D$2:$D$158,MATCH($B143,Scores!$BM$2:$BM$158,0)),"")</f>
        <v/>
      </c>
      <c r="G143">
        <f>IFERROR(INDEX(Scores!$E$2:$E$158,MATCH($B143,Scores!$BM$2:$BM$158,0)),"")</f>
        <v/>
      </c>
      <c r="H143">
        <f>IFERROR(INDEX(Scores!$BJ$2:$BJ$158,MATCH($B143,Scores!$BM$2:$BM$158,0)),"")</f>
        <v/>
      </c>
      <c r="I143">
        <f>IFERROR(INDEX(Scores!$BL$2:$BL$158,MATCH($B143,Scores!$BM$2:$BM$158,0)),"")</f>
        <v/>
      </c>
      <c r="J143">
        <f>IFERROR(INDEX(Scores!$Q$2:$Q$158,MATCH($B143,Scores!$BM$2:$BM$158,0)),"")</f>
        <v/>
      </c>
      <c r="K143">
        <f>IFERROR(INDEX(Scores!$AE$2:$AE$158,MATCH($B143,Scores!$BM$2:$BM$158,0)),"")</f>
        <v/>
      </c>
      <c r="L143">
        <f>IFERROR(INDEX(Scores!$AM$2:$AM$158,MATCH($B143,Scores!$BM$2:$BM$158,0)),"")</f>
        <v/>
      </c>
      <c r="M143">
        <f>IFERROR(INDEX(Scores!$AW$2:$AW$158,MATCH($B143,Scores!$BM$2:$BM$158,0)),"")</f>
        <v/>
      </c>
      <c r="N143">
        <f>IFERROR(INDEX(Scores!$BG$2:$BG$158,MATCH($B143,Scores!$BM$2:$BM$158,0)),"")</f>
        <v/>
      </c>
    </row>
    <row r="144">
      <c r="A144" t="inlineStr">
        <is>
          <t>Ranked</t>
        </is>
      </c>
      <c r="B144" t="n">
        <v>142</v>
      </c>
      <c r="C144">
        <f>IFERROR(INDEX(Scores!$BM$2:$BM$158,MATCH($B144,Scores!$BM$2:$BM$158,0)),"")</f>
        <v/>
      </c>
      <c r="D144">
        <f>IFERROR(INDEX(Scores!$B$2:$B$158,MATCH($B144,Scores!$BM$2:$BM$158,0)),"")</f>
        <v/>
      </c>
      <c r="E144">
        <f>IFERROR(INDEX(Scores!$C$2:$C$158,MATCH($B144,Scores!$BM$2:$BM$158,0)),"")</f>
        <v/>
      </c>
      <c r="F144">
        <f>IFERROR(INDEX(Scores!$D$2:$D$158,MATCH($B144,Scores!$BM$2:$BM$158,0)),"")</f>
        <v/>
      </c>
      <c r="G144">
        <f>IFERROR(INDEX(Scores!$E$2:$E$158,MATCH($B144,Scores!$BM$2:$BM$158,0)),"")</f>
        <v/>
      </c>
      <c r="H144">
        <f>IFERROR(INDEX(Scores!$BJ$2:$BJ$158,MATCH($B144,Scores!$BM$2:$BM$158,0)),"")</f>
        <v/>
      </c>
      <c r="I144">
        <f>IFERROR(INDEX(Scores!$BL$2:$BL$158,MATCH($B144,Scores!$BM$2:$BM$158,0)),"")</f>
        <v/>
      </c>
      <c r="J144">
        <f>IFERROR(INDEX(Scores!$Q$2:$Q$158,MATCH($B144,Scores!$BM$2:$BM$158,0)),"")</f>
        <v/>
      </c>
      <c r="K144">
        <f>IFERROR(INDEX(Scores!$AE$2:$AE$158,MATCH($B144,Scores!$BM$2:$BM$158,0)),"")</f>
        <v/>
      </c>
      <c r="L144">
        <f>IFERROR(INDEX(Scores!$AM$2:$AM$158,MATCH($B144,Scores!$BM$2:$BM$158,0)),"")</f>
        <v/>
      </c>
      <c r="M144">
        <f>IFERROR(INDEX(Scores!$AW$2:$AW$158,MATCH($B144,Scores!$BM$2:$BM$158,0)),"")</f>
        <v/>
      </c>
      <c r="N144">
        <f>IFERROR(INDEX(Scores!$BG$2:$BG$158,MATCH($B144,Scores!$BM$2:$BM$158,0)),"")</f>
        <v/>
      </c>
    </row>
    <row r="145">
      <c r="A145" t="inlineStr">
        <is>
          <t>Ranked</t>
        </is>
      </c>
      <c r="B145" t="n">
        <v>143</v>
      </c>
      <c r="C145">
        <f>IFERROR(INDEX(Scores!$BM$2:$BM$158,MATCH($B145,Scores!$BM$2:$BM$158,0)),"")</f>
        <v/>
      </c>
      <c r="D145">
        <f>IFERROR(INDEX(Scores!$B$2:$B$158,MATCH($B145,Scores!$BM$2:$BM$158,0)),"")</f>
        <v/>
      </c>
      <c r="E145">
        <f>IFERROR(INDEX(Scores!$C$2:$C$158,MATCH($B145,Scores!$BM$2:$BM$158,0)),"")</f>
        <v/>
      </c>
      <c r="F145">
        <f>IFERROR(INDEX(Scores!$D$2:$D$158,MATCH($B145,Scores!$BM$2:$BM$158,0)),"")</f>
        <v/>
      </c>
      <c r="G145">
        <f>IFERROR(INDEX(Scores!$E$2:$E$158,MATCH($B145,Scores!$BM$2:$BM$158,0)),"")</f>
        <v/>
      </c>
      <c r="H145">
        <f>IFERROR(INDEX(Scores!$BJ$2:$BJ$158,MATCH($B145,Scores!$BM$2:$BM$158,0)),"")</f>
        <v/>
      </c>
      <c r="I145">
        <f>IFERROR(INDEX(Scores!$BL$2:$BL$158,MATCH($B145,Scores!$BM$2:$BM$158,0)),"")</f>
        <v/>
      </c>
      <c r="J145">
        <f>IFERROR(INDEX(Scores!$Q$2:$Q$158,MATCH($B145,Scores!$BM$2:$BM$158,0)),"")</f>
        <v/>
      </c>
      <c r="K145">
        <f>IFERROR(INDEX(Scores!$AE$2:$AE$158,MATCH($B145,Scores!$BM$2:$BM$158,0)),"")</f>
        <v/>
      </c>
      <c r="L145">
        <f>IFERROR(INDEX(Scores!$AM$2:$AM$158,MATCH($B145,Scores!$BM$2:$BM$158,0)),"")</f>
        <v/>
      </c>
      <c r="M145">
        <f>IFERROR(INDEX(Scores!$AW$2:$AW$158,MATCH($B145,Scores!$BM$2:$BM$158,0)),"")</f>
        <v/>
      </c>
      <c r="N145">
        <f>IFERROR(INDEX(Scores!$BG$2:$BG$158,MATCH($B145,Scores!$BM$2:$BM$158,0)),"")</f>
        <v/>
      </c>
    </row>
    <row r="146">
      <c r="A146" t="inlineStr">
        <is>
          <t>Ranked</t>
        </is>
      </c>
      <c r="B146" t="n">
        <v>144</v>
      </c>
      <c r="C146">
        <f>IFERROR(INDEX(Scores!$BM$2:$BM$158,MATCH($B146,Scores!$BM$2:$BM$158,0)),"")</f>
        <v/>
      </c>
      <c r="D146">
        <f>IFERROR(INDEX(Scores!$B$2:$B$158,MATCH($B146,Scores!$BM$2:$BM$158,0)),"")</f>
        <v/>
      </c>
      <c r="E146">
        <f>IFERROR(INDEX(Scores!$C$2:$C$158,MATCH($B146,Scores!$BM$2:$BM$158,0)),"")</f>
        <v/>
      </c>
      <c r="F146">
        <f>IFERROR(INDEX(Scores!$D$2:$D$158,MATCH($B146,Scores!$BM$2:$BM$158,0)),"")</f>
        <v/>
      </c>
      <c r="G146">
        <f>IFERROR(INDEX(Scores!$E$2:$E$158,MATCH($B146,Scores!$BM$2:$BM$158,0)),"")</f>
        <v/>
      </c>
      <c r="H146">
        <f>IFERROR(INDEX(Scores!$BJ$2:$BJ$158,MATCH($B146,Scores!$BM$2:$BM$158,0)),"")</f>
        <v/>
      </c>
      <c r="I146">
        <f>IFERROR(INDEX(Scores!$BL$2:$BL$158,MATCH($B146,Scores!$BM$2:$BM$158,0)),"")</f>
        <v/>
      </c>
      <c r="J146">
        <f>IFERROR(INDEX(Scores!$Q$2:$Q$158,MATCH($B146,Scores!$BM$2:$BM$158,0)),"")</f>
        <v/>
      </c>
      <c r="K146">
        <f>IFERROR(INDEX(Scores!$AE$2:$AE$158,MATCH($B146,Scores!$BM$2:$BM$158,0)),"")</f>
        <v/>
      </c>
      <c r="L146">
        <f>IFERROR(INDEX(Scores!$AM$2:$AM$158,MATCH($B146,Scores!$BM$2:$BM$158,0)),"")</f>
        <v/>
      </c>
      <c r="M146">
        <f>IFERROR(INDEX(Scores!$AW$2:$AW$158,MATCH($B146,Scores!$BM$2:$BM$158,0)),"")</f>
        <v/>
      </c>
      <c r="N146">
        <f>IFERROR(INDEX(Scores!$BG$2:$BG$158,MATCH($B146,Scores!$BM$2:$BM$158,0)),"")</f>
        <v/>
      </c>
    </row>
    <row r="147">
      <c r="A147" t="inlineStr">
        <is>
          <t>Ranked</t>
        </is>
      </c>
      <c r="B147" t="n">
        <v>145</v>
      </c>
      <c r="C147">
        <f>IFERROR(INDEX(Scores!$BM$2:$BM$158,MATCH($B147,Scores!$BM$2:$BM$158,0)),"")</f>
        <v/>
      </c>
      <c r="D147">
        <f>IFERROR(INDEX(Scores!$B$2:$B$158,MATCH($B147,Scores!$BM$2:$BM$158,0)),"")</f>
        <v/>
      </c>
      <c r="E147">
        <f>IFERROR(INDEX(Scores!$C$2:$C$158,MATCH($B147,Scores!$BM$2:$BM$158,0)),"")</f>
        <v/>
      </c>
      <c r="F147">
        <f>IFERROR(INDEX(Scores!$D$2:$D$158,MATCH($B147,Scores!$BM$2:$BM$158,0)),"")</f>
        <v/>
      </c>
      <c r="G147">
        <f>IFERROR(INDEX(Scores!$E$2:$E$158,MATCH($B147,Scores!$BM$2:$BM$158,0)),"")</f>
        <v/>
      </c>
      <c r="H147">
        <f>IFERROR(INDEX(Scores!$BJ$2:$BJ$158,MATCH($B147,Scores!$BM$2:$BM$158,0)),"")</f>
        <v/>
      </c>
      <c r="I147">
        <f>IFERROR(INDEX(Scores!$BL$2:$BL$158,MATCH($B147,Scores!$BM$2:$BM$158,0)),"")</f>
        <v/>
      </c>
      <c r="J147">
        <f>IFERROR(INDEX(Scores!$Q$2:$Q$158,MATCH($B147,Scores!$BM$2:$BM$158,0)),"")</f>
        <v/>
      </c>
      <c r="K147">
        <f>IFERROR(INDEX(Scores!$AE$2:$AE$158,MATCH($B147,Scores!$BM$2:$BM$158,0)),"")</f>
        <v/>
      </c>
      <c r="L147">
        <f>IFERROR(INDEX(Scores!$AM$2:$AM$158,MATCH($B147,Scores!$BM$2:$BM$158,0)),"")</f>
        <v/>
      </c>
      <c r="M147">
        <f>IFERROR(INDEX(Scores!$AW$2:$AW$158,MATCH($B147,Scores!$BM$2:$BM$158,0)),"")</f>
        <v/>
      </c>
      <c r="N147">
        <f>IFERROR(INDEX(Scores!$BG$2:$BG$158,MATCH($B147,Scores!$BM$2:$BM$158,0)),"")</f>
        <v/>
      </c>
    </row>
    <row r="148">
      <c r="A148" t="inlineStr">
        <is>
          <t>Ranked</t>
        </is>
      </c>
      <c r="B148" t="n">
        <v>146</v>
      </c>
      <c r="C148">
        <f>IFERROR(INDEX(Scores!$BM$2:$BM$158,MATCH($B148,Scores!$BM$2:$BM$158,0)),"")</f>
        <v/>
      </c>
      <c r="D148">
        <f>IFERROR(INDEX(Scores!$B$2:$B$158,MATCH($B148,Scores!$BM$2:$BM$158,0)),"")</f>
        <v/>
      </c>
      <c r="E148">
        <f>IFERROR(INDEX(Scores!$C$2:$C$158,MATCH($B148,Scores!$BM$2:$BM$158,0)),"")</f>
        <v/>
      </c>
      <c r="F148">
        <f>IFERROR(INDEX(Scores!$D$2:$D$158,MATCH($B148,Scores!$BM$2:$BM$158,0)),"")</f>
        <v/>
      </c>
      <c r="G148">
        <f>IFERROR(INDEX(Scores!$E$2:$E$158,MATCH($B148,Scores!$BM$2:$BM$158,0)),"")</f>
        <v/>
      </c>
      <c r="H148">
        <f>IFERROR(INDEX(Scores!$BJ$2:$BJ$158,MATCH($B148,Scores!$BM$2:$BM$158,0)),"")</f>
        <v/>
      </c>
      <c r="I148">
        <f>IFERROR(INDEX(Scores!$BL$2:$BL$158,MATCH($B148,Scores!$BM$2:$BM$158,0)),"")</f>
        <v/>
      </c>
      <c r="J148">
        <f>IFERROR(INDEX(Scores!$Q$2:$Q$158,MATCH($B148,Scores!$BM$2:$BM$158,0)),"")</f>
        <v/>
      </c>
      <c r="K148">
        <f>IFERROR(INDEX(Scores!$AE$2:$AE$158,MATCH($B148,Scores!$BM$2:$BM$158,0)),"")</f>
        <v/>
      </c>
      <c r="L148">
        <f>IFERROR(INDEX(Scores!$AM$2:$AM$158,MATCH($B148,Scores!$BM$2:$BM$158,0)),"")</f>
        <v/>
      </c>
      <c r="M148">
        <f>IFERROR(INDEX(Scores!$AW$2:$AW$158,MATCH($B148,Scores!$BM$2:$BM$158,0)),"")</f>
        <v/>
      </c>
      <c r="N148">
        <f>IFERROR(INDEX(Scores!$BG$2:$BG$158,MATCH($B148,Scores!$BM$2:$BM$158,0)),"")</f>
        <v/>
      </c>
    </row>
    <row r="149">
      <c r="A149" t="inlineStr">
        <is>
          <t>Ranked</t>
        </is>
      </c>
      <c r="B149" t="n">
        <v>147</v>
      </c>
      <c r="C149">
        <f>IFERROR(INDEX(Scores!$BM$2:$BM$158,MATCH($B149,Scores!$BM$2:$BM$158,0)),"")</f>
        <v/>
      </c>
      <c r="D149">
        <f>IFERROR(INDEX(Scores!$B$2:$B$158,MATCH($B149,Scores!$BM$2:$BM$158,0)),"")</f>
        <v/>
      </c>
      <c r="E149">
        <f>IFERROR(INDEX(Scores!$C$2:$C$158,MATCH($B149,Scores!$BM$2:$BM$158,0)),"")</f>
        <v/>
      </c>
      <c r="F149">
        <f>IFERROR(INDEX(Scores!$D$2:$D$158,MATCH($B149,Scores!$BM$2:$BM$158,0)),"")</f>
        <v/>
      </c>
      <c r="G149">
        <f>IFERROR(INDEX(Scores!$E$2:$E$158,MATCH($B149,Scores!$BM$2:$BM$158,0)),"")</f>
        <v/>
      </c>
      <c r="H149">
        <f>IFERROR(INDEX(Scores!$BJ$2:$BJ$158,MATCH($B149,Scores!$BM$2:$BM$158,0)),"")</f>
        <v/>
      </c>
      <c r="I149">
        <f>IFERROR(INDEX(Scores!$BL$2:$BL$158,MATCH($B149,Scores!$BM$2:$BM$158,0)),"")</f>
        <v/>
      </c>
      <c r="J149">
        <f>IFERROR(INDEX(Scores!$Q$2:$Q$158,MATCH($B149,Scores!$BM$2:$BM$158,0)),"")</f>
        <v/>
      </c>
      <c r="K149">
        <f>IFERROR(INDEX(Scores!$AE$2:$AE$158,MATCH($B149,Scores!$BM$2:$BM$158,0)),"")</f>
        <v/>
      </c>
      <c r="L149">
        <f>IFERROR(INDEX(Scores!$AM$2:$AM$158,MATCH($B149,Scores!$BM$2:$BM$158,0)),"")</f>
        <v/>
      </c>
      <c r="M149">
        <f>IFERROR(INDEX(Scores!$AW$2:$AW$158,MATCH($B149,Scores!$BM$2:$BM$158,0)),"")</f>
        <v/>
      </c>
      <c r="N149">
        <f>IFERROR(INDEX(Scores!$BG$2:$BG$158,MATCH($B149,Scores!$BM$2:$BM$158,0)),"")</f>
        <v/>
      </c>
    </row>
    <row r="150">
      <c r="A150" t="inlineStr">
        <is>
          <t>Ranked</t>
        </is>
      </c>
      <c r="B150" t="n">
        <v>148</v>
      </c>
      <c r="C150">
        <f>IFERROR(INDEX(Scores!$BM$2:$BM$158,MATCH($B150,Scores!$BM$2:$BM$158,0)),"")</f>
        <v/>
      </c>
      <c r="D150">
        <f>IFERROR(INDEX(Scores!$B$2:$B$158,MATCH($B150,Scores!$BM$2:$BM$158,0)),"")</f>
        <v/>
      </c>
      <c r="E150">
        <f>IFERROR(INDEX(Scores!$C$2:$C$158,MATCH($B150,Scores!$BM$2:$BM$158,0)),"")</f>
        <v/>
      </c>
      <c r="F150">
        <f>IFERROR(INDEX(Scores!$D$2:$D$158,MATCH($B150,Scores!$BM$2:$BM$158,0)),"")</f>
        <v/>
      </c>
      <c r="G150">
        <f>IFERROR(INDEX(Scores!$E$2:$E$158,MATCH($B150,Scores!$BM$2:$BM$158,0)),"")</f>
        <v/>
      </c>
      <c r="H150">
        <f>IFERROR(INDEX(Scores!$BJ$2:$BJ$158,MATCH($B150,Scores!$BM$2:$BM$158,0)),"")</f>
        <v/>
      </c>
      <c r="I150">
        <f>IFERROR(INDEX(Scores!$BL$2:$BL$158,MATCH($B150,Scores!$BM$2:$BM$158,0)),"")</f>
        <v/>
      </c>
      <c r="J150">
        <f>IFERROR(INDEX(Scores!$Q$2:$Q$158,MATCH($B150,Scores!$BM$2:$BM$158,0)),"")</f>
        <v/>
      </c>
      <c r="K150">
        <f>IFERROR(INDEX(Scores!$AE$2:$AE$158,MATCH($B150,Scores!$BM$2:$BM$158,0)),"")</f>
        <v/>
      </c>
      <c r="L150">
        <f>IFERROR(INDEX(Scores!$AM$2:$AM$158,MATCH($B150,Scores!$BM$2:$BM$158,0)),"")</f>
        <v/>
      </c>
      <c r="M150">
        <f>IFERROR(INDEX(Scores!$AW$2:$AW$158,MATCH($B150,Scores!$BM$2:$BM$158,0)),"")</f>
        <v/>
      </c>
      <c r="N150">
        <f>IFERROR(INDEX(Scores!$BG$2:$BG$158,MATCH($B150,Scores!$BM$2:$BM$158,0)),"")</f>
        <v/>
      </c>
    </row>
    <row r="151">
      <c r="A151" t="inlineStr">
        <is>
          <t>Ranked</t>
        </is>
      </c>
      <c r="B151" t="n">
        <v>149</v>
      </c>
      <c r="C151">
        <f>IFERROR(INDEX(Scores!$BM$2:$BM$158,MATCH($B151,Scores!$BM$2:$BM$158,0)),"")</f>
        <v/>
      </c>
      <c r="D151">
        <f>IFERROR(INDEX(Scores!$B$2:$B$158,MATCH($B151,Scores!$BM$2:$BM$158,0)),"")</f>
        <v/>
      </c>
      <c r="E151">
        <f>IFERROR(INDEX(Scores!$C$2:$C$158,MATCH($B151,Scores!$BM$2:$BM$158,0)),"")</f>
        <v/>
      </c>
      <c r="F151">
        <f>IFERROR(INDEX(Scores!$D$2:$D$158,MATCH($B151,Scores!$BM$2:$BM$158,0)),"")</f>
        <v/>
      </c>
      <c r="G151">
        <f>IFERROR(INDEX(Scores!$E$2:$E$158,MATCH($B151,Scores!$BM$2:$BM$158,0)),"")</f>
        <v/>
      </c>
      <c r="H151">
        <f>IFERROR(INDEX(Scores!$BJ$2:$BJ$158,MATCH($B151,Scores!$BM$2:$BM$158,0)),"")</f>
        <v/>
      </c>
      <c r="I151">
        <f>IFERROR(INDEX(Scores!$BL$2:$BL$158,MATCH($B151,Scores!$BM$2:$BM$158,0)),"")</f>
        <v/>
      </c>
      <c r="J151">
        <f>IFERROR(INDEX(Scores!$Q$2:$Q$158,MATCH($B151,Scores!$BM$2:$BM$158,0)),"")</f>
        <v/>
      </c>
      <c r="K151">
        <f>IFERROR(INDEX(Scores!$AE$2:$AE$158,MATCH($B151,Scores!$BM$2:$BM$158,0)),"")</f>
        <v/>
      </c>
      <c r="L151">
        <f>IFERROR(INDEX(Scores!$AM$2:$AM$158,MATCH($B151,Scores!$BM$2:$BM$158,0)),"")</f>
        <v/>
      </c>
      <c r="M151">
        <f>IFERROR(INDEX(Scores!$AW$2:$AW$158,MATCH($B151,Scores!$BM$2:$BM$158,0)),"")</f>
        <v/>
      </c>
      <c r="N151">
        <f>IFERROR(INDEX(Scores!$BG$2:$BG$158,MATCH($B151,Scores!$BM$2:$BM$158,0)),"")</f>
        <v/>
      </c>
    </row>
    <row r="152">
      <c r="A152" t="inlineStr">
        <is>
          <t>Ranked</t>
        </is>
      </c>
      <c r="B152" t="n">
        <v>150</v>
      </c>
      <c r="C152">
        <f>IFERROR(INDEX(Scores!$BM$2:$BM$158,MATCH($B152,Scores!$BM$2:$BM$158,0)),"")</f>
        <v/>
      </c>
      <c r="D152">
        <f>IFERROR(INDEX(Scores!$B$2:$B$158,MATCH($B152,Scores!$BM$2:$BM$158,0)),"")</f>
        <v/>
      </c>
      <c r="E152">
        <f>IFERROR(INDEX(Scores!$C$2:$C$158,MATCH($B152,Scores!$BM$2:$BM$158,0)),"")</f>
        <v/>
      </c>
      <c r="F152">
        <f>IFERROR(INDEX(Scores!$D$2:$D$158,MATCH($B152,Scores!$BM$2:$BM$158,0)),"")</f>
        <v/>
      </c>
      <c r="G152">
        <f>IFERROR(INDEX(Scores!$E$2:$E$158,MATCH($B152,Scores!$BM$2:$BM$158,0)),"")</f>
        <v/>
      </c>
      <c r="H152">
        <f>IFERROR(INDEX(Scores!$BJ$2:$BJ$158,MATCH($B152,Scores!$BM$2:$BM$158,0)),"")</f>
        <v/>
      </c>
      <c r="I152">
        <f>IFERROR(INDEX(Scores!$BL$2:$BL$158,MATCH($B152,Scores!$BM$2:$BM$158,0)),"")</f>
        <v/>
      </c>
      <c r="J152">
        <f>IFERROR(INDEX(Scores!$Q$2:$Q$158,MATCH($B152,Scores!$BM$2:$BM$158,0)),"")</f>
        <v/>
      </c>
      <c r="K152">
        <f>IFERROR(INDEX(Scores!$AE$2:$AE$158,MATCH($B152,Scores!$BM$2:$BM$158,0)),"")</f>
        <v/>
      </c>
      <c r="L152">
        <f>IFERROR(INDEX(Scores!$AM$2:$AM$158,MATCH($B152,Scores!$BM$2:$BM$158,0)),"")</f>
        <v/>
      </c>
      <c r="M152">
        <f>IFERROR(INDEX(Scores!$AW$2:$AW$158,MATCH($B152,Scores!$BM$2:$BM$158,0)),"")</f>
        <v/>
      </c>
      <c r="N152">
        <f>IFERROR(INDEX(Scores!$BG$2:$BG$158,MATCH($B152,Scores!$BM$2:$BM$158,0)),"")</f>
        <v/>
      </c>
    </row>
    <row r="153">
      <c r="A153" t="inlineStr">
        <is>
          <t>Ranked</t>
        </is>
      </c>
      <c r="B153" t="n">
        <v>151</v>
      </c>
      <c r="C153">
        <f>IFERROR(INDEX(Scores!$BM$2:$BM$158,MATCH($B153,Scores!$BM$2:$BM$158,0)),"")</f>
        <v/>
      </c>
      <c r="D153">
        <f>IFERROR(INDEX(Scores!$B$2:$B$158,MATCH($B153,Scores!$BM$2:$BM$158,0)),"")</f>
        <v/>
      </c>
      <c r="E153">
        <f>IFERROR(INDEX(Scores!$C$2:$C$158,MATCH($B153,Scores!$BM$2:$BM$158,0)),"")</f>
        <v/>
      </c>
      <c r="F153">
        <f>IFERROR(INDEX(Scores!$D$2:$D$158,MATCH($B153,Scores!$BM$2:$BM$158,0)),"")</f>
        <v/>
      </c>
      <c r="G153">
        <f>IFERROR(INDEX(Scores!$E$2:$E$158,MATCH($B153,Scores!$BM$2:$BM$158,0)),"")</f>
        <v/>
      </c>
      <c r="H153">
        <f>IFERROR(INDEX(Scores!$BJ$2:$BJ$158,MATCH($B153,Scores!$BM$2:$BM$158,0)),"")</f>
        <v/>
      </c>
      <c r="I153">
        <f>IFERROR(INDEX(Scores!$BL$2:$BL$158,MATCH($B153,Scores!$BM$2:$BM$158,0)),"")</f>
        <v/>
      </c>
      <c r="J153">
        <f>IFERROR(INDEX(Scores!$Q$2:$Q$158,MATCH($B153,Scores!$BM$2:$BM$158,0)),"")</f>
        <v/>
      </c>
      <c r="K153">
        <f>IFERROR(INDEX(Scores!$AE$2:$AE$158,MATCH($B153,Scores!$BM$2:$BM$158,0)),"")</f>
        <v/>
      </c>
      <c r="L153">
        <f>IFERROR(INDEX(Scores!$AM$2:$AM$158,MATCH($B153,Scores!$BM$2:$BM$158,0)),"")</f>
        <v/>
      </c>
      <c r="M153">
        <f>IFERROR(INDEX(Scores!$AW$2:$AW$158,MATCH($B153,Scores!$BM$2:$BM$158,0)),"")</f>
        <v/>
      </c>
      <c r="N153">
        <f>IFERROR(INDEX(Scores!$BG$2:$BG$158,MATCH($B153,Scores!$BM$2:$BM$158,0)),"")</f>
        <v/>
      </c>
    </row>
    <row r="154">
      <c r="A154" t="inlineStr">
        <is>
          <t>Ranked</t>
        </is>
      </c>
      <c r="B154" t="n">
        <v>152</v>
      </c>
      <c r="C154">
        <f>IFERROR(INDEX(Scores!$BM$2:$BM$158,MATCH($B154,Scores!$BM$2:$BM$158,0)),"")</f>
        <v/>
      </c>
      <c r="D154">
        <f>IFERROR(INDEX(Scores!$B$2:$B$158,MATCH($B154,Scores!$BM$2:$BM$158,0)),"")</f>
        <v/>
      </c>
      <c r="E154">
        <f>IFERROR(INDEX(Scores!$C$2:$C$158,MATCH($B154,Scores!$BM$2:$BM$158,0)),"")</f>
        <v/>
      </c>
      <c r="F154">
        <f>IFERROR(INDEX(Scores!$D$2:$D$158,MATCH($B154,Scores!$BM$2:$BM$158,0)),"")</f>
        <v/>
      </c>
      <c r="G154">
        <f>IFERROR(INDEX(Scores!$E$2:$E$158,MATCH($B154,Scores!$BM$2:$BM$158,0)),"")</f>
        <v/>
      </c>
      <c r="H154">
        <f>IFERROR(INDEX(Scores!$BJ$2:$BJ$158,MATCH($B154,Scores!$BM$2:$BM$158,0)),"")</f>
        <v/>
      </c>
      <c r="I154">
        <f>IFERROR(INDEX(Scores!$BL$2:$BL$158,MATCH($B154,Scores!$BM$2:$BM$158,0)),"")</f>
        <v/>
      </c>
      <c r="J154">
        <f>IFERROR(INDEX(Scores!$Q$2:$Q$158,MATCH($B154,Scores!$BM$2:$BM$158,0)),"")</f>
        <v/>
      </c>
      <c r="K154">
        <f>IFERROR(INDEX(Scores!$AE$2:$AE$158,MATCH($B154,Scores!$BM$2:$BM$158,0)),"")</f>
        <v/>
      </c>
      <c r="L154">
        <f>IFERROR(INDEX(Scores!$AM$2:$AM$158,MATCH($B154,Scores!$BM$2:$BM$158,0)),"")</f>
        <v/>
      </c>
      <c r="M154">
        <f>IFERROR(INDEX(Scores!$AW$2:$AW$158,MATCH($B154,Scores!$BM$2:$BM$158,0)),"")</f>
        <v/>
      </c>
      <c r="N154">
        <f>IFERROR(INDEX(Scores!$BG$2:$BG$158,MATCH($B154,Scores!$BM$2:$BM$158,0)),"")</f>
        <v/>
      </c>
    </row>
    <row r="155">
      <c r="A155" t="inlineStr">
        <is>
          <t>Ranked</t>
        </is>
      </c>
      <c r="B155" t="n">
        <v>153</v>
      </c>
      <c r="C155">
        <f>IFERROR(INDEX(Scores!$BM$2:$BM$158,MATCH($B155,Scores!$BM$2:$BM$158,0)),"")</f>
        <v/>
      </c>
      <c r="D155">
        <f>IFERROR(INDEX(Scores!$B$2:$B$158,MATCH($B155,Scores!$BM$2:$BM$158,0)),"")</f>
        <v/>
      </c>
      <c r="E155">
        <f>IFERROR(INDEX(Scores!$C$2:$C$158,MATCH($B155,Scores!$BM$2:$BM$158,0)),"")</f>
        <v/>
      </c>
      <c r="F155">
        <f>IFERROR(INDEX(Scores!$D$2:$D$158,MATCH($B155,Scores!$BM$2:$BM$158,0)),"")</f>
        <v/>
      </c>
      <c r="G155">
        <f>IFERROR(INDEX(Scores!$E$2:$E$158,MATCH($B155,Scores!$BM$2:$BM$158,0)),"")</f>
        <v/>
      </c>
      <c r="H155">
        <f>IFERROR(INDEX(Scores!$BJ$2:$BJ$158,MATCH($B155,Scores!$BM$2:$BM$158,0)),"")</f>
        <v/>
      </c>
      <c r="I155">
        <f>IFERROR(INDEX(Scores!$BL$2:$BL$158,MATCH($B155,Scores!$BM$2:$BM$158,0)),"")</f>
        <v/>
      </c>
      <c r="J155">
        <f>IFERROR(INDEX(Scores!$Q$2:$Q$158,MATCH($B155,Scores!$BM$2:$BM$158,0)),"")</f>
        <v/>
      </c>
      <c r="K155">
        <f>IFERROR(INDEX(Scores!$AE$2:$AE$158,MATCH($B155,Scores!$BM$2:$BM$158,0)),"")</f>
        <v/>
      </c>
      <c r="L155">
        <f>IFERROR(INDEX(Scores!$AM$2:$AM$158,MATCH($B155,Scores!$BM$2:$BM$158,0)),"")</f>
        <v/>
      </c>
      <c r="M155">
        <f>IFERROR(INDEX(Scores!$AW$2:$AW$158,MATCH($B155,Scores!$BM$2:$BM$158,0)),"")</f>
        <v/>
      </c>
      <c r="N155">
        <f>IFERROR(INDEX(Scores!$BG$2:$BG$158,MATCH($B155,Scores!$BM$2:$BM$158,0)),"")</f>
        <v/>
      </c>
    </row>
    <row r="156">
      <c r="A156" t="inlineStr">
        <is>
          <t>Ranked</t>
        </is>
      </c>
      <c r="B156" t="n">
        <v>154</v>
      </c>
      <c r="C156">
        <f>IFERROR(INDEX(Scores!$BM$2:$BM$158,MATCH($B156,Scores!$BM$2:$BM$158,0)),"")</f>
        <v/>
      </c>
      <c r="D156">
        <f>IFERROR(INDEX(Scores!$B$2:$B$158,MATCH($B156,Scores!$BM$2:$BM$158,0)),"")</f>
        <v/>
      </c>
      <c r="E156">
        <f>IFERROR(INDEX(Scores!$C$2:$C$158,MATCH($B156,Scores!$BM$2:$BM$158,0)),"")</f>
        <v/>
      </c>
      <c r="F156">
        <f>IFERROR(INDEX(Scores!$D$2:$D$158,MATCH($B156,Scores!$BM$2:$BM$158,0)),"")</f>
        <v/>
      </c>
      <c r="G156">
        <f>IFERROR(INDEX(Scores!$E$2:$E$158,MATCH($B156,Scores!$BM$2:$BM$158,0)),"")</f>
        <v/>
      </c>
      <c r="H156">
        <f>IFERROR(INDEX(Scores!$BJ$2:$BJ$158,MATCH($B156,Scores!$BM$2:$BM$158,0)),"")</f>
        <v/>
      </c>
      <c r="I156">
        <f>IFERROR(INDEX(Scores!$BL$2:$BL$158,MATCH($B156,Scores!$BM$2:$BM$158,0)),"")</f>
        <v/>
      </c>
      <c r="J156">
        <f>IFERROR(INDEX(Scores!$Q$2:$Q$158,MATCH($B156,Scores!$BM$2:$BM$158,0)),"")</f>
        <v/>
      </c>
      <c r="K156">
        <f>IFERROR(INDEX(Scores!$AE$2:$AE$158,MATCH($B156,Scores!$BM$2:$BM$158,0)),"")</f>
        <v/>
      </c>
      <c r="L156">
        <f>IFERROR(INDEX(Scores!$AM$2:$AM$158,MATCH($B156,Scores!$BM$2:$BM$158,0)),"")</f>
        <v/>
      </c>
      <c r="M156">
        <f>IFERROR(INDEX(Scores!$AW$2:$AW$158,MATCH($B156,Scores!$BM$2:$BM$158,0)),"")</f>
        <v/>
      </c>
      <c r="N156">
        <f>IFERROR(INDEX(Scores!$BG$2:$BG$158,MATCH($B156,Scores!$BM$2:$BM$158,0)),"")</f>
        <v/>
      </c>
    </row>
    <row r="157">
      <c r="A157" t="inlineStr">
        <is>
          <t>Ranked</t>
        </is>
      </c>
      <c r="B157" t="n">
        <v>155</v>
      </c>
      <c r="C157">
        <f>IFERROR(INDEX(Scores!$BM$2:$BM$158,MATCH($B157,Scores!$BM$2:$BM$158,0)),"")</f>
        <v/>
      </c>
      <c r="D157">
        <f>IFERROR(INDEX(Scores!$B$2:$B$158,MATCH($B157,Scores!$BM$2:$BM$158,0)),"")</f>
        <v/>
      </c>
      <c r="E157">
        <f>IFERROR(INDEX(Scores!$C$2:$C$158,MATCH($B157,Scores!$BM$2:$BM$158,0)),"")</f>
        <v/>
      </c>
      <c r="F157">
        <f>IFERROR(INDEX(Scores!$D$2:$D$158,MATCH($B157,Scores!$BM$2:$BM$158,0)),"")</f>
        <v/>
      </c>
      <c r="G157">
        <f>IFERROR(INDEX(Scores!$E$2:$E$158,MATCH($B157,Scores!$BM$2:$BM$158,0)),"")</f>
        <v/>
      </c>
      <c r="H157">
        <f>IFERROR(INDEX(Scores!$BJ$2:$BJ$158,MATCH($B157,Scores!$BM$2:$BM$158,0)),"")</f>
        <v/>
      </c>
      <c r="I157">
        <f>IFERROR(INDEX(Scores!$BL$2:$BL$158,MATCH($B157,Scores!$BM$2:$BM$158,0)),"")</f>
        <v/>
      </c>
      <c r="J157">
        <f>IFERROR(INDEX(Scores!$Q$2:$Q$158,MATCH($B157,Scores!$BM$2:$BM$158,0)),"")</f>
        <v/>
      </c>
      <c r="K157">
        <f>IFERROR(INDEX(Scores!$AE$2:$AE$158,MATCH($B157,Scores!$BM$2:$BM$158,0)),"")</f>
        <v/>
      </c>
      <c r="L157">
        <f>IFERROR(INDEX(Scores!$AM$2:$AM$158,MATCH($B157,Scores!$BM$2:$BM$158,0)),"")</f>
        <v/>
      </c>
      <c r="M157">
        <f>IFERROR(INDEX(Scores!$AW$2:$AW$158,MATCH($B157,Scores!$BM$2:$BM$158,0)),"")</f>
        <v/>
      </c>
      <c r="N157">
        <f>IFERROR(INDEX(Scores!$BG$2:$BG$158,MATCH($B157,Scores!$BM$2:$BM$158,0)),"")</f>
        <v/>
      </c>
    </row>
    <row r="158">
      <c r="A158" t="inlineStr">
        <is>
          <t>Ranked</t>
        </is>
      </c>
      <c r="B158" t="n">
        <v>156</v>
      </c>
      <c r="C158">
        <f>IFERROR(INDEX(Scores!$BM$2:$BM$158,MATCH($B158,Scores!$BM$2:$BM$158,0)),"")</f>
        <v/>
      </c>
      <c r="D158">
        <f>IFERROR(INDEX(Scores!$B$2:$B$158,MATCH($B158,Scores!$BM$2:$BM$158,0)),"")</f>
        <v/>
      </c>
      <c r="E158">
        <f>IFERROR(INDEX(Scores!$C$2:$C$158,MATCH($B158,Scores!$BM$2:$BM$158,0)),"")</f>
        <v/>
      </c>
      <c r="F158">
        <f>IFERROR(INDEX(Scores!$D$2:$D$158,MATCH($B158,Scores!$BM$2:$BM$158,0)),"")</f>
        <v/>
      </c>
      <c r="G158">
        <f>IFERROR(INDEX(Scores!$E$2:$E$158,MATCH($B158,Scores!$BM$2:$BM$158,0)),"")</f>
        <v/>
      </c>
      <c r="H158">
        <f>IFERROR(INDEX(Scores!$BJ$2:$BJ$158,MATCH($B158,Scores!$BM$2:$BM$158,0)),"")</f>
        <v/>
      </c>
      <c r="I158">
        <f>IFERROR(INDEX(Scores!$BL$2:$BL$158,MATCH($B158,Scores!$BM$2:$BM$158,0)),"")</f>
        <v/>
      </c>
      <c r="J158">
        <f>IFERROR(INDEX(Scores!$Q$2:$Q$158,MATCH($B158,Scores!$BM$2:$BM$158,0)),"")</f>
        <v/>
      </c>
      <c r="K158">
        <f>IFERROR(INDEX(Scores!$AE$2:$AE$158,MATCH($B158,Scores!$BM$2:$BM$158,0)),"")</f>
        <v/>
      </c>
      <c r="L158">
        <f>IFERROR(INDEX(Scores!$AM$2:$AM$158,MATCH($B158,Scores!$BM$2:$BM$158,0)),"")</f>
        <v/>
      </c>
      <c r="M158">
        <f>IFERROR(INDEX(Scores!$AW$2:$AW$158,MATCH($B158,Scores!$BM$2:$BM$158,0)),"")</f>
        <v/>
      </c>
      <c r="N158">
        <f>IFERROR(INDEX(Scores!$BG$2:$BG$158,MATCH($B158,Scores!$BM$2:$BM$158,0)),"")</f>
        <v/>
      </c>
    </row>
    <row r="159">
      <c r="A159" t="inlineStr">
        <is>
          <t>Ranked</t>
        </is>
      </c>
      <c r="B159" t="n">
        <v>157</v>
      </c>
      <c r="C159">
        <f>IFERROR(INDEX(Scores!$BM$2:$BM$158,MATCH($B159,Scores!$BM$2:$BM$158,0)),"")</f>
        <v/>
      </c>
      <c r="D159">
        <f>IFERROR(INDEX(Scores!$B$2:$B$158,MATCH($B159,Scores!$BM$2:$BM$158,0)),"")</f>
        <v/>
      </c>
      <c r="E159">
        <f>IFERROR(INDEX(Scores!$C$2:$C$158,MATCH($B159,Scores!$BM$2:$BM$158,0)),"")</f>
        <v/>
      </c>
      <c r="F159">
        <f>IFERROR(INDEX(Scores!$D$2:$D$158,MATCH($B159,Scores!$BM$2:$BM$158,0)),"")</f>
        <v/>
      </c>
      <c r="G159">
        <f>IFERROR(INDEX(Scores!$E$2:$E$158,MATCH($B159,Scores!$BM$2:$BM$158,0)),"")</f>
        <v/>
      </c>
      <c r="H159">
        <f>IFERROR(INDEX(Scores!$BJ$2:$BJ$158,MATCH($B159,Scores!$BM$2:$BM$158,0)),"")</f>
        <v/>
      </c>
      <c r="I159">
        <f>IFERROR(INDEX(Scores!$BL$2:$BL$158,MATCH($B159,Scores!$BM$2:$BM$158,0)),"")</f>
        <v/>
      </c>
      <c r="J159">
        <f>IFERROR(INDEX(Scores!$Q$2:$Q$158,MATCH($B159,Scores!$BM$2:$BM$158,0)),"")</f>
        <v/>
      </c>
      <c r="K159">
        <f>IFERROR(INDEX(Scores!$AE$2:$AE$158,MATCH($B159,Scores!$BM$2:$BM$158,0)),"")</f>
        <v/>
      </c>
      <c r="L159">
        <f>IFERROR(INDEX(Scores!$AM$2:$AM$158,MATCH($B159,Scores!$BM$2:$BM$158,0)),"")</f>
        <v/>
      </c>
      <c r="M159">
        <f>IFERROR(INDEX(Scores!$AW$2:$AW$158,MATCH($B159,Scores!$BM$2:$BM$158,0)),"")</f>
        <v/>
      </c>
      <c r="N159">
        <f>IFERROR(INDEX(Scores!$BG$2:$BG$158,MATCH($B159,Scores!$BM$2:$BM$158,0)),"")</f>
        <v/>
      </c>
    </row>
    <row r="160">
      <c r="A160" s="16" t="inlineStr">
        <is>
          <t>Top 50 Ranked Cities</t>
        </is>
      </c>
    </row>
    <row r="161">
      <c r="A161" s="6" t="inlineStr">
        <is>
          <t>leaderboard_scope</t>
        </is>
      </c>
      <c r="B161" s="6" t="inlineStr">
        <is>
          <t>target_rank</t>
        </is>
      </c>
      <c r="C161" s="6" t="inlineStr">
        <is>
          <t>rank</t>
        </is>
      </c>
      <c r="D161" s="6" t="inlineStr">
        <is>
          <t>display_name</t>
        </is>
      </c>
      <c r="E161" s="6" t="inlineStr">
        <is>
          <t>country</t>
        </is>
      </c>
      <c r="F161" s="6" t="inlineStr">
        <is>
          <t>cohort</t>
        </is>
      </c>
      <c r="G161" s="6" t="inlineStr">
        <is>
          <t>manifest_status</t>
        </is>
      </c>
      <c r="H161" s="6" t="inlineStr">
        <is>
          <t>coverage_grade</t>
        </is>
      </c>
      <c r="I161" s="6" t="inlineStr">
        <is>
          <t>slic_score</t>
        </is>
      </c>
      <c r="J161" s="6" t="inlineStr">
        <is>
          <t>pressure_pillar_score</t>
        </is>
      </c>
      <c r="K161" s="6" t="inlineStr">
        <is>
          <t>viability_pillar_score</t>
        </is>
      </c>
      <c r="L161" s="6" t="inlineStr">
        <is>
          <t>capability_pillar_score</t>
        </is>
      </c>
      <c r="M161" s="6" t="inlineStr">
        <is>
          <t>community_pillar_score</t>
        </is>
      </c>
      <c r="N161" s="6" t="inlineStr">
        <is>
          <t>creative_pillar_score</t>
        </is>
      </c>
    </row>
    <row r="162">
      <c r="A162" t="inlineStr">
        <is>
          <t>Top 50</t>
        </is>
      </c>
      <c r="B162" t="n">
        <v>1</v>
      </c>
      <c r="C162">
        <f>IFERROR(INDEX(Scores!$BM$2:$BM$158,MATCH($B162,Scores!$BM$2:$BM$158,0)),"")</f>
        <v/>
      </c>
      <c r="D162">
        <f>IFERROR(INDEX(Scores!$B$2:$B$158,MATCH($B162,Scores!$BM$2:$BM$158,0)),"")</f>
        <v/>
      </c>
      <c r="E162">
        <f>IFERROR(INDEX(Scores!$C$2:$C$158,MATCH($B162,Scores!$BM$2:$BM$158,0)),"")</f>
        <v/>
      </c>
      <c r="F162">
        <f>IFERROR(INDEX(Scores!$D$2:$D$158,MATCH($B162,Scores!$BM$2:$BM$158,0)),"")</f>
        <v/>
      </c>
      <c r="G162">
        <f>IFERROR(INDEX(Scores!$E$2:$E$158,MATCH($B162,Scores!$BM$2:$BM$158,0)),"")</f>
        <v/>
      </c>
      <c r="H162">
        <f>IFERROR(INDEX(Scores!$BJ$2:$BJ$158,MATCH($B162,Scores!$BM$2:$BM$158,0)),"")</f>
        <v/>
      </c>
      <c r="I162">
        <f>IFERROR(INDEX(Scores!$BL$2:$BL$158,MATCH($B162,Scores!$BM$2:$BM$158,0)),"")</f>
        <v/>
      </c>
      <c r="J162">
        <f>IFERROR(INDEX(Scores!$Q$2:$Q$158,MATCH($B162,Scores!$BM$2:$BM$158,0)),"")</f>
        <v/>
      </c>
      <c r="K162">
        <f>IFERROR(INDEX(Scores!$AE$2:$AE$158,MATCH($B162,Scores!$BM$2:$BM$158,0)),"")</f>
        <v/>
      </c>
      <c r="L162">
        <f>IFERROR(INDEX(Scores!$AM$2:$AM$158,MATCH($B162,Scores!$BM$2:$BM$158,0)),"")</f>
        <v/>
      </c>
      <c r="M162">
        <f>IFERROR(INDEX(Scores!$AW$2:$AW$158,MATCH($B162,Scores!$BM$2:$BM$158,0)),"")</f>
        <v/>
      </c>
      <c r="N162">
        <f>IFERROR(INDEX(Scores!$BG$2:$BG$158,MATCH($B162,Scores!$BM$2:$BM$158,0)),"")</f>
        <v/>
      </c>
    </row>
    <row r="163">
      <c r="A163" t="inlineStr">
        <is>
          <t>Top 50</t>
        </is>
      </c>
      <c r="B163" t="n">
        <v>2</v>
      </c>
      <c r="C163">
        <f>IFERROR(INDEX(Scores!$BM$2:$BM$158,MATCH($B163,Scores!$BM$2:$BM$158,0)),"")</f>
        <v/>
      </c>
      <c r="D163">
        <f>IFERROR(INDEX(Scores!$B$2:$B$158,MATCH($B163,Scores!$BM$2:$BM$158,0)),"")</f>
        <v/>
      </c>
      <c r="E163">
        <f>IFERROR(INDEX(Scores!$C$2:$C$158,MATCH($B163,Scores!$BM$2:$BM$158,0)),"")</f>
        <v/>
      </c>
      <c r="F163">
        <f>IFERROR(INDEX(Scores!$D$2:$D$158,MATCH($B163,Scores!$BM$2:$BM$158,0)),"")</f>
        <v/>
      </c>
      <c r="G163">
        <f>IFERROR(INDEX(Scores!$E$2:$E$158,MATCH($B163,Scores!$BM$2:$BM$158,0)),"")</f>
        <v/>
      </c>
      <c r="H163">
        <f>IFERROR(INDEX(Scores!$BJ$2:$BJ$158,MATCH($B163,Scores!$BM$2:$BM$158,0)),"")</f>
        <v/>
      </c>
      <c r="I163">
        <f>IFERROR(INDEX(Scores!$BL$2:$BL$158,MATCH($B163,Scores!$BM$2:$BM$158,0)),"")</f>
        <v/>
      </c>
      <c r="J163">
        <f>IFERROR(INDEX(Scores!$Q$2:$Q$158,MATCH($B163,Scores!$BM$2:$BM$158,0)),"")</f>
        <v/>
      </c>
      <c r="K163">
        <f>IFERROR(INDEX(Scores!$AE$2:$AE$158,MATCH($B163,Scores!$BM$2:$BM$158,0)),"")</f>
        <v/>
      </c>
      <c r="L163">
        <f>IFERROR(INDEX(Scores!$AM$2:$AM$158,MATCH($B163,Scores!$BM$2:$BM$158,0)),"")</f>
        <v/>
      </c>
      <c r="M163">
        <f>IFERROR(INDEX(Scores!$AW$2:$AW$158,MATCH($B163,Scores!$BM$2:$BM$158,0)),"")</f>
        <v/>
      </c>
      <c r="N163">
        <f>IFERROR(INDEX(Scores!$BG$2:$BG$158,MATCH($B163,Scores!$BM$2:$BM$158,0)),"")</f>
        <v/>
      </c>
    </row>
    <row r="164">
      <c r="A164" t="inlineStr">
        <is>
          <t>Top 50</t>
        </is>
      </c>
      <c r="B164" t="n">
        <v>3</v>
      </c>
      <c r="C164">
        <f>IFERROR(INDEX(Scores!$BM$2:$BM$158,MATCH($B164,Scores!$BM$2:$BM$158,0)),"")</f>
        <v/>
      </c>
      <c r="D164">
        <f>IFERROR(INDEX(Scores!$B$2:$B$158,MATCH($B164,Scores!$BM$2:$BM$158,0)),"")</f>
        <v/>
      </c>
      <c r="E164">
        <f>IFERROR(INDEX(Scores!$C$2:$C$158,MATCH($B164,Scores!$BM$2:$BM$158,0)),"")</f>
        <v/>
      </c>
      <c r="F164">
        <f>IFERROR(INDEX(Scores!$D$2:$D$158,MATCH($B164,Scores!$BM$2:$BM$158,0)),"")</f>
        <v/>
      </c>
      <c r="G164">
        <f>IFERROR(INDEX(Scores!$E$2:$E$158,MATCH($B164,Scores!$BM$2:$BM$158,0)),"")</f>
        <v/>
      </c>
      <c r="H164">
        <f>IFERROR(INDEX(Scores!$BJ$2:$BJ$158,MATCH($B164,Scores!$BM$2:$BM$158,0)),"")</f>
        <v/>
      </c>
      <c r="I164">
        <f>IFERROR(INDEX(Scores!$BL$2:$BL$158,MATCH($B164,Scores!$BM$2:$BM$158,0)),"")</f>
        <v/>
      </c>
      <c r="J164">
        <f>IFERROR(INDEX(Scores!$Q$2:$Q$158,MATCH($B164,Scores!$BM$2:$BM$158,0)),"")</f>
        <v/>
      </c>
      <c r="K164">
        <f>IFERROR(INDEX(Scores!$AE$2:$AE$158,MATCH($B164,Scores!$BM$2:$BM$158,0)),"")</f>
        <v/>
      </c>
      <c r="L164">
        <f>IFERROR(INDEX(Scores!$AM$2:$AM$158,MATCH($B164,Scores!$BM$2:$BM$158,0)),"")</f>
        <v/>
      </c>
      <c r="M164">
        <f>IFERROR(INDEX(Scores!$AW$2:$AW$158,MATCH($B164,Scores!$BM$2:$BM$158,0)),"")</f>
        <v/>
      </c>
      <c r="N164">
        <f>IFERROR(INDEX(Scores!$BG$2:$BG$158,MATCH($B164,Scores!$BM$2:$BM$158,0)),"")</f>
        <v/>
      </c>
    </row>
    <row r="165">
      <c r="A165" t="inlineStr">
        <is>
          <t>Top 50</t>
        </is>
      </c>
      <c r="B165" t="n">
        <v>4</v>
      </c>
      <c r="C165">
        <f>IFERROR(INDEX(Scores!$BM$2:$BM$158,MATCH($B165,Scores!$BM$2:$BM$158,0)),"")</f>
        <v/>
      </c>
      <c r="D165">
        <f>IFERROR(INDEX(Scores!$B$2:$B$158,MATCH($B165,Scores!$BM$2:$BM$158,0)),"")</f>
        <v/>
      </c>
      <c r="E165">
        <f>IFERROR(INDEX(Scores!$C$2:$C$158,MATCH($B165,Scores!$BM$2:$BM$158,0)),"")</f>
        <v/>
      </c>
      <c r="F165">
        <f>IFERROR(INDEX(Scores!$D$2:$D$158,MATCH($B165,Scores!$BM$2:$BM$158,0)),"")</f>
        <v/>
      </c>
      <c r="G165">
        <f>IFERROR(INDEX(Scores!$E$2:$E$158,MATCH($B165,Scores!$BM$2:$BM$158,0)),"")</f>
        <v/>
      </c>
      <c r="H165">
        <f>IFERROR(INDEX(Scores!$BJ$2:$BJ$158,MATCH($B165,Scores!$BM$2:$BM$158,0)),"")</f>
        <v/>
      </c>
      <c r="I165">
        <f>IFERROR(INDEX(Scores!$BL$2:$BL$158,MATCH($B165,Scores!$BM$2:$BM$158,0)),"")</f>
        <v/>
      </c>
      <c r="J165">
        <f>IFERROR(INDEX(Scores!$Q$2:$Q$158,MATCH($B165,Scores!$BM$2:$BM$158,0)),"")</f>
        <v/>
      </c>
      <c r="K165">
        <f>IFERROR(INDEX(Scores!$AE$2:$AE$158,MATCH($B165,Scores!$BM$2:$BM$158,0)),"")</f>
        <v/>
      </c>
      <c r="L165">
        <f>IFERROR(INDEX(Scores!$AM$2:$AM$158,MATCH($B165,Scores!$BM$2:$BM$158,0)),"")</f>
        <v/>
      </c>
      <c r="M165">
        <f>IFERROR(INDEX(Scores!$AW$2:$AW$158,MATCH($B165,Scores!$BM$2:$BM$158,0)),"")</f>
        <v/>
      </c>
      <c r="N165">
        <f>IFERROR(INDEX(Scores!$BG$2:$BG$158,MATCH($B165,Scores!$BM$2:$BM$158,0)),"")</f>
        <v/>
      </c>
    </row>
    <row r="166">
      <c r="A166" t="inlineStr">
        <is>
          <t>Top 50</t>
        </is>
      </c>
      <c r="B166" t="n">
        <v>5</v>
      </c>
      <c r="C166">
        <f>IFERROR(INDEX(Scores!$BM$2:$BM$158,MATCH($B166,Scores!$BM$2:$BM$158,0)),"")</f>
        <v/>
      </c>
      <c r="D166">
        <f>IFERROR(INDEX(Scores!$B$2:$B$158,MATCH($B166,Scores!$BM$2:$BM$158,0)),"")</f>
        <v/>
      </c>
      <c r="E166">
        <f>IFERROR(INDEX(Scores!$C$2:$C$158,MATCH($B166,Scores!$BM$2:$BM$158,0)),"")</f>
        <v/>
      </c>
      <c r="F166">
        <f>IFERROR(INDEX(Scores!$D$2:$D$158,MATCH($B166,Scores!$BM$2:$BM$158,0)),"")</f>
        <v/>
      </c>
      <c r="G166">
        <f>IFERROR(INDEX(Scores!$E$2:$E$158,MATCH($B166,Scores!$BM$2:$BM$158,0)),"")</f>
        <v/>
      </c>
      <c r="H166">
        <f>IFERROR(INDEX(Scores!$BJ$2:$BJ$158,MATCH($B166,Scores!$BM$2:$BM$158,0)),"")</f>
        <v/>
      </c>
      <c r="I166">
        <f>IFERROR(INDEX(Scores!$BL$2:$BL$158,MATCH($B166,Scores!$BM$2:$BM$158,0)),"")</f>
        <v/>
      </c>
      <c r="J166">
        <f>IFERROR(INDEX(Scores!$Q$2:$Q$158,MATCH($B166,Scores!$BM$2:$BM$158,0)),"")</f>
        <v/>
      </c>
      <c r="K166">
        <f>IFERROR(INDEX(Scores!$AE$2:$AE$158,MATCH($B166,Scores!$BM$2:$BM$158,0)),"")</f>
        <v/>
      </c>
      <c r="L166">
        <f>IFERROR(INDEX(Scores!$AM$2:$AM$158,MATCH($B166,Scores!$BM$2:$BM$158,0)),"")</f>
        <v/>
      </c>
      <c r="M166">
        <f>IFERROR(INDEX(Scores!$AW$2:$AW$158,MATCH($B166,Scores!$BM$2:$BM$158,0)),"")</f>
        <v/>
      </c>
      <c r="N166">
        <f>IFERROR(INDEX(Scores!$BG$2:$BG$158,MATCH($B166,Scores!$BM$2:$BM$158,0)),"")</f>
        <v/>
      </c>
    </row>
    <row r="167">
      <c r="A167" t="inlineStr">
        <is>
          <t>Top 50</t>
        </is>
      </c>
      <c r="B167" t="n">
        <v>6</v>
      </c>
      <c r="C167">
        <f>IFERROR(INDEX(Scores!$BM$2:$BM$158,MATCH($B167,Scores!$BM$2:$BM$158,0)),"")</f>
        <v/>
      </c>
      <c r="D167">
        <f>IFERROR(INDEX(Scores!$B$2:$B$158,MATCH($B167,Scores!$BM$2:$BM$158,0)),"")</f>
        <v/>
      </c>
      <c r="E167">
        <f>IFERROR(INDEX(Scores!$C$2:$C$158,MATCH($B167,Scores!$BM$2:$BM$158,0)),"")</f>
        <v/>
      </c>
      <c r="F167">
        <f>IFERROR(INDEX(Scores!$D$2:$D$158,MATCH($B167,Scores!$BM$2:$BM$158,0)),"")</f>
        <v/>
      </c>
      <c r="G167">
        <f>IFERROR(INDEX(Scores!$E$2:$E$158,MATCH($B167,Scores!$BM$2:$BM$158,0)),"")</f>
        <v/>
      </c>
      <c r="H167">
        <f>IFERROR(INDEX(Scores!$BJ$2:$BJ$158,MATCH($B167,Scores!$BM$2:$BM$158,0)),"")</f>
        <v/>
      </c>
      <c r="I167">
        <f>IFERROR(INDEX(Scores!$BL$2:$BL$158,MATCH($B167,Scores!$BM$2:$BM$158,0)),"")</f>
        <v/>
      </c>
      <c r="J167">
        <f>IFERROR(INDEX(Scores!$Q$2:$Q$158,MATCH($B167,Scores!$BM$2:$BM$158,0)),"")</f>
        <v/>
      </c>
      <c r="K167">
        <f>IFERROR(INDEX(Scores!$AE$2:$AE$158,MATCH($B167,Scores!$BM$2:$BM$158,0)),"")</f>
        <v/>
      </c>
      <c r="L167">
        <f>IFERROR(INDEX(Scores!$AM$2:$AM$158,MATCH($B167,Scores!$BM$2:$BM$158,0)),"")</f>
        <v/>
      </c>
      <c r="M167">
        <f>IFERROR(INDEX(Scores!$AW$2:$AW$158,MATCH($B167,Scores!$BM$2:$BM$158,0)),"")</f>
        <v/>
      </c>
      <c r="N167">
        <f>IFERROR(INDEX(Scores!$BG$2:$BG$158,MATCH($B167,Scores!$BM$2:$BM$158,0)),"")</f>
        <v/>
      </c>
    </row>
    <row r="168">
      <c r="A168" t="inlineStr">
        <is>
          <t>Top 50</t>
        </is>
      </c>
      <c r="B168" t="n">
        <v>7</v>
      </c>
      <c r="C168">
        <f>IFERROR(INDEX(Scores!$BM$2:$BM$158,MATCH($B168,Scores!$BM$2:$BM$158,0)),"")</f>
        <v/>
      </c>
      <c r="D168">
        <f>IFERROR(INDEX(Scores!$B$2:$B$158,MATCH($B168,Scores!$BM$2:$BM$158,0)),"")</f>
        <v/>
      </c>
      <c r="E168">
        <f>IFERROR(INDEX(Scores!$C$2:$C$158,MATCH($B168,Scores!$BM$2:$BM$158,0)),"")</f>
        <v/>
      </c>
      <c r="F168">
        <f>IFERROR(INDEX(Scores!$D$2:$D$158,MATCH($B168,Scores!$BM$2:$BM$158,0)),"")</f>
        <v/>
      </c>
      <c r="G168">
        <f>IFERROR(INDEX(Scores!$E$2:$E$158,MATCH($B168,Scores!$BM$2:$BM$158,0)),"")</f>
        <v/>
      </c>
      <c r="H168">
        <f>IFERROR(INDEX(Scores!$BJ$2:$BJ$158,MATCH($B168,Scores!$BM$2:$BM$158,0)),"")</f>
        <v/>
      </c>
      <c r="I168">
        <f>IFERROR(INDEX(Scores!$BL$2:$BL$158,MATCH($B168,Scores!$BM$2:$BM$158,0)),"")</f>
        <v/>
      </c>
      <c r="J168">
        <f>IFERROR(INDEX(Scores!$Q$2:$Q$158,MATCH($B168,Scores!$BM$2:$BM$158,0)),"")</f>
        <v/>
      </c>
      <c r="K168">
        <f>IFERROR(INDEX(Scores!$AE$2:$AE$158,MATCH($B168,Scores!$BM$2:$BM$158,0)),"")</f>
        <v/>
      </c>
      <c r="L168">
        <f>IFERROR(INDEX(Scores!$AM$2:$AM$158,MATCH($B168,Scores!$BM$2:$BM$158,0)),"")</f>
        <v/>
      </c>
      <c r="M168">
        <f>IFERROR(INDEX(Scores!$AW$2:$AW$158,MATCH($B168,Scores!$BM$2:$BM$158,0)),"")</f>
        <v/>
      </c>
      <c r="N168">
        <f>IFERROR(INDEX(Scores!$BG$2:$BG$158,MATCH($B168,Scores!$BM$2:$BM$158,0)),"")</f>
        <v/>
      </c>
    </row>
    <row r="169">
      <c r="A169" t="inlineStr">
        <is>
          <t>Top 50</t>
        </is>
      </c>
      <c r="B169" t="n">
        <v>8</v>
      </c>
      <c r="C169">
        <f>IFERROR(INDEX(Scores!$BM$2:$BM$158,MATCH($B169,Scores!$BM$2:$BM$158,0)),"")</f>
        <v/>
      </c>
      <c r="D169">
        <f>IFERROR(INDEX(Scores!$B$2:$B$158,MATCH($B169,Scores!$BM$2:$BM$158,0)),"")</f>
        <v/>
      </c>
      <c r="E169">
        <f>IFERROR(INDEX(Scores!$C$2:$C$158,MATCH($B169,Scores!$BM$2:$BM$158,0)),"")</f>
        <v/>
      </c>
      <c r="F169">
        <f>IFERROR(INDEX(Scores!$D$2:$D$158,MATCH($B169,Scores!$BM$2:$BM$158,0)),"")</f>
        <v/>
      </c>
      <c r="G169">
        <f>IFERROR(INDEX(Scores!$E$2:$E$158,MATCH($B169,Scores!$BM$2:$BM$158,0)),"")</f>
        <v/>
      </c>
      <c r="H169">
        <f>IFERROR(INDEX(Scores!$BJ$2:$BJ$158,MATCH($B169,Scores!$BM$2:$BM$158,0)),"")</f>
        <v/>
      </c>
      <c r="I169">
        <f>IFERROR(INDEX(Scores!$BL$2:$BL$158,MATCH($B169,Scores!$BM$2:$BM$158,0)),"")</f>
        <v/>
      </c>
      <c r="J169">
        <f>IFERROR(INDEX(Scores!$Q$2:$Q$158,MATCH($B169,Scores!$BM$2:$BM$158,0)),"")</f>
        <v/>
      </c>
      <c r="K169">
        <f>IFERROR(INDEX(Scores!$AE$2:$AE$158,MATCH($B169,Scores!$BM$2:$BM$158,0)),"")</f>
        <v/>
      </c>
      <c r="L169">
        <f>IFERROR(INDEX(Scores!$AM$2:$AM$158,MATCH($B169,Scores!$BM$2:$BM$158,0)),"")</f>
        <v/>
      </c>
      <c r="M169">
        <f>IFERROR(INDEX(Scores!$AW$2:$AW$158,MATCH($B169,Scores!$BM$2:$BM$158,0)),"")</f>
        <v/>
      </c>
      <c r="N169">
        <f>IFERROR(INDEX(Scores!$BG$2:$BG$158,MATCH($B169,Scores!$BM$2:$BM$158,0)),"")</f>
        <v/>
      </c>
    </row>
    <row r="170">
      <c r="A170" t="inlineStr">
        <is>
          <t>Top 50</t>
        </is>
      </c>
      <c r="B170" t="n">
        <v>9</v>
      </c>
      <c r="C170">
        <f>IFERROR(INDEX(Scores!$BM$2:$BM$158,MATCH($B170,Scores!$BM$2:$BM$158,0)),"")</f>
        <v/>
      </c>
      <c r="D170">
        <f>IFERROR(INDEX(Scores!$B$2:$B$158,MATCH($B170,Scores!$BM$2:$BM$158,0)),"")</f>
        <v/>
      </c>
      <c r="E170">
        <f>IFERROR(INDEX(Scores!$C$2:$C$158,MATCH($B170,Scores!$BM$2:$BM$158,0)),"")</f>
        <v/>
      </c>
      <c r="F170">
        <f>IFERROR(INDEX(Scores!$D$2:$D$158,MATCH($B170,Scores!$BM$2:$BM$158,0)),"")</f>
        <v/>
      </c>
      <c r="G170">
        <f>IFERROR(INDEX(Scores!$E$2:$E$158,MATCH($B170,Scores!$BM$2:$BM$158,0)),"")</f>
        <v/>
      </c>
      <c r="H170">
        <f>IFERROR(INDEX(Scores!$BJ$2:$BJ$158,MATCH($B170,Scores!$BM$2:$BM$158,0)),"")</f>
        <v/>
      </c>
      <c r="I170">
        <f>IFERROR(INDEX(Scores!$BL$2:$BL$158,MATCH($B170,Scores!$BM$2:$BM$158,0)),"")</f>
        <v/>
      </c>
      <c r="J170">
        <f>IFERROR(INDEX(Scores!$Q$2:$Q$158,MATCH($B170,Scores!$BM$2:$BM$158,0)),"")</f>
        <v/>
      </c>
      <c r="K170">
        <f>IFERROR(INDEX(Scores!$AE$2:$AE$158,MATCH($B170,Scores!$BM$2:$BM$158,0)),"")</f>
        <v/>
      </c>
      <c r="L170">
        <f>IFERROR(INDEX(Scores!$AM$2:$AM$158,MATCH($B170,Scores!$BM$2:$BM$158,0)),"")</f>
        <v/>
      </c>
      <c r="M170">
        <f>IFERROR(INDEX(Scores!$AW$2:$AW$158,MATCH($B170,Scores!$BM$2:$BM$158,0)),"")</f>
        <v/>
      </c>
      <c r="N170">
        <f>IFERROR(INDEX(Scores!$BG$2:$BG$158,MATCH($B170,Scores!$BM$2:$BM$158,0)),"")</f>
        <v/>
      </c>
    </row>
    <row r="171">
      <c r="A171" t="inlineStr">
        <is>
          <t>Top 50</t>
        </is>
      </c>
      <c r="B171" t="n">
        <v>10</v>
      </c>
      <c r="C171">
        <f>IFERROR(INDEX(Scores!$BM$2:$BM$158,MATCH($B171,Scores!$BM$2:$BM$158,0)),"")</f>
        <v/>
      </c>
      <c r="D171">
        <f>IFERROR(INDEX(Scores!$B$2:$B$158,MATCH($B171,Scores!$BM$2:$BM$158,0)),"")</f>
        <v/>
      </c>
      <c r="E171">
        <f>IFERROR(INDEX(Scores!$C$2:$C$158,MATCH($B171,Scores!$BM$2:$BM$158,0)),"")</f>
        <v/>
      </c>
      <c r="F171">
        <f>IFERROR(INDEX(Scores!$D$2:$D$158,MATCH($B171,Scores!$BM$2:$BM$158,0)),"")</f>
        <v/>
      </c>
      <c r="G171">
        <f>IFERROR(INDEX(Scores!$E$2:$E$158,MATCH($B171,Scores!$BM$2:$BM$158,0)),"")</f>
        <v/>
      </c>
      <c r="H171">
        <f>IFERROR(INDEX(Scores!$BJ$2:$BJ$158,MATCH($B171,Scores!$BM$2:$BM$158,0)),"")</f>
        <v/>
      </c>
      <c r="I171">
        <f>IFERROR(INDEX(Scores!$BL$2:$BL$158,MATCH($B171,Scores!$BM$2:$BM$158,0)),"")</f>
        <v/>
      </c>
      <c r="J171">
        <f>IFERROR(INDEX(Scores!$Q$2:$Q$158,MATCH($B171,Scores!$BM$2:$BM$158,0)),"")</f>
        <v/>
      </c>
      <c r="K171">
        <f>IFERROR(INDEX(Scores!$AE$2:$AE$158,MATCH($B171,Scores!$BM$2:$BM$158,0)),"")</f>
        <v/>
      </c>
      <c r="L171">
        <f>IFERROR(INDEX(Scores!$AM$2:$AM$158,MATCH($B171,Scores!$BM$2:$BM$158,0)),"")</f>
        <v/>
      </c>
      <c r="M171">
        <f>IFERROR(INDEX(Scores!$AW$2:$AW$158,MATCH($B171,Scores!$BM$2:$BM$158,0)),"")</f>
        <v/>
      </c>
      <c r="N171">
        <f>IFERROR(INDEX(Scores!$BG$2:$BG$158,MATCH($B171,Scores!$BM$2:$BM$158,0)),"")</f>
        <v/>
      </c>
    </row>
    <row r="172">
      <c r="A172" t="inlineStr">
        <is>
          <t>Top 50</t>
        </is>
      </c>
      <c r="B172" t="n">
        <v>11</v>
      </c>
      <c r="C172">
        <f>IFERROR(INDEX(Scores!$BM$2:$BM$158,MATCH($B172,Scores!$BM$2:$BM$158,0)),"")</f>
        <v/>
      </c>
      <c r="D172">
        <f>IFERROR(INDEX(Scores!$B$2:$B$158,MATCH($B172,Scores!$BM$2:$BM$158,0)),"")</f>
        <v/>
      </c>
      <c r="E172">
        <f>IFERROR(INDEX(Scores!$C$2:$C$158,MATCH($B172,Scores!$BM$2:$BM$158,0)),"")</f>
        <v/>
      </c>
      <c r="F172">
        <f>IFERROR(INDEX(Scores!$D$2:$D$158,MATCH($B172,Scores!$BM$2:$BM$158,0)),"")</f>
        <v/>
      </c>
      <c r="G172">
        <f>IFERROR(INDEX(Scores!$E$2:$E$158,MATCH($B172,Scores!$BM$2:$BM$158,0)),"")</f>
        <v/>
      </c>
      <c r="H172">
        <f>IFERROR(INDEX(Scores!$BJ$2:$BJ$158,MATCH($B172,Scores!$BM$2:$BM$158,0)),"")</f>
        <v/>
      </c>
      <c r="I172">
        <f>IFERROR(INDEX(Scores!$BL$2:$BL$158,MATCH($B172,Scores!$BM$2:$BM$158,0)),"")</f>
        <v/>
      </c>
      <c r="J172">
        <f>IFERROR(INDEX(Scores!$Q$2:$Q$158,MATCH($B172,Scores!$BM$2:$BM$158,0)),"")</f>
        <v/>
      </c>
      <c r="K172">
        <f>IFERROR(INDEX(Scores!$AE$2:$AE$158,MATCH($B172,Scores!$BM$2:$BM$158,0)),"")</f>
        <v/>
      </c>
      <c r="L172">
        <f>IFERROR(INDEX(Scores!$AM$2:$AM$158,MATCH($B172,Scores!$BM$2:$BM$158,0)),"")</f>
        <v/>
      </c>
      <c r="M172">
        <f>IFERROR(INDEX(Scores!$AW$2:$AW$158,MATCH($B172,Scores!$BM$2:$BM$158,0)),"")</f>
        <v/>
      </c>
      <c r="N172">
        <f>IFERROR(INDEX(Scores!$BG$2:$BG$158,MATCH($B172,Scores!$BM$2:$BM$158,0)),"")</f>
        <v/>
      </c>
    </row>
    <row r="173">
      <c r="A173" t="inlineStr">
        <is>
          <t>Top 50</t>
        </is>
      </c>
      <c r="B173" t="n">
        <v>12</v>
      </c>
      <c r="C173">
        <f>IFERROR(INDEX(Scores!$BM$2:$BM$158,MATCH($B173,Scores!$BM$2:$BM$158,0)),"")</f>
        <v/>
      </c>
      <c r="D173">
        <f>IFERROR(INDEX(Scores!$B$2:$B$158,MATCH($B173,Scores!$BM$2:$BM$158,0)),"")</f>
        <v/>
      </c>
      <c r="E173">
        <f>IFERROR(INDEX(Scores!$C$2:$C$158,MATCH($B173,Scores!$BM$2:$BM$158,0)),"")</f>
        <v/>
      </c>
      <c r="F173">
        <f>IFERROR(INDEX(Scores!$D$2:$D$158,MATCH($B173,Scores!$BM$2:$BM$158,0)),"")</f>
        <v/>
      </c>
      <c r="G173">
        <f>IFERROR(INDEX(Scores!$E$2:$E$158,MATCH($B173,Scores!$BM$2:$BM$158,0)),"")</f>
        <v/>
      </c>
      <c r="H173">
        <f>IFERROR(INDEX(Scores!$BJ$2:$BJ$158,MATCH($B173,Scores!$BM$2:$BM$158,0)),"")</f>
        <v/>
      </c>
      <c r="I173">
        <f>IFERROR(INDEX(Scores!$BL$2:$BL$158,MATCH($B173,Scores!$BM$2:$BM$158,0)),"")</f>
        <v/>
      </c>
      <c r="J173">
        <f>IFERROR(INDEX(Scores!$Q$2:$Q$158,MATCH($B173,Scores!$BM$2:$BM$158,0)),"")</f>
        <v/>
      </c>
      <c r="K173">
        <f>IFERROR(INDEX(Scores!$AE$2:$AE$158,MATCH($B173,Scores!$BM$2:$BM$158,0)),"")</f>
        <v/>
      </c>
      <c r="L173">
        <f>IFERROR(INDEX(Scores!$AM$2:$AM$158,MATCH($B173,Scores!$BM$2:$BM$158,0)),"")</f>
        <v/>
      </c>
      <c r="M173">
        <f>IFERROR(INDEX(Scores!$AW$2:$AW$158,MATCH($B173,Scores!$BM$2:$BM$158,0)),"")</f>
        <v/>
      </c>
      <c r="N173">
        <f>IFERROR(INDEX(Scores!$BG$2:$BG$158,MATCH($B173,Scores!$BM$2:$BM$158,0)),"")</f>
        <v/>
      </c>
    </row>
    <row r="174">
      <c r="A174" t="inlineStr">
        <is>
          <t>Top 50</t>
        </is>
      </c>
      <c r="B174" t="n">
        <v>13</v>
      </c>
      <c r="C174">
        <f>IFERROR(INDEX(Scores!$BM$2:$BM$158,MATCH($B174,Scores!$BM$2:$BM$158,0)),"")</f>
        <v/>
      </c>
      <c r="D174">
        <f>IFERROR(INDEX(Scores!$B$2:$B$158,MATCH($B174,Scores!$BM$2:$BM$158,0)),"")</f>
        <v/>
      </c>
      <c r="E174">
        <f>IFERROR(INDEX(Scores!$C$2:$C$158,MATCH($B174,Scores!$BM$2:$BM$158,0)),"")</f>
        <v/>
      </c>
      <c r="F174">
        <f>IFERROR(INDEX(Scores!$D$2:$D$158,MATCH($B174,Scores!$BM$2:$BM$158,0)),"")</f>
        <v/>
      </c>
      <c r="G174">
        <f>IFERROR(INDEX(Scores!$E$2:$E$158,MATCH($B174,Scores!$BM$2:$BM$158,0)),"")</f>
        <v/>
      </c>
      <c r="H174">
        <f>IFERROR(INDEX(Scores!$BJ$2:$BJ$158,MATCH($B174,Scores!$BM$2:$BM$158,0)),"")</f>
        <v/>
      </c>
      <c r="I174">
        <f>IFERROR(INDEX(Scores!$BL$2:$BL$158,MATCH($B174,Scores!$BM$2:$BM$158,0)),"")</f>
        <v/>
      </c>
      <c r="J174">
        <f>IFERROR(INDEX(Scores!$Q$2:$Q$158,MATCH($B174,Scores!$BM$2:$BM$158,0)),"")</f>
        <v/>
      </c>
      <c r="K174">
        <f>IFERROR(INDEX(Scores!$AE$2:$AE$158,MATCH($B174,Scores!$BM$2:$BM$158,0)),"")</f>
        <v/>
      </c>
      <c r="L174">
        <f>IFERROR(INDEX(Scores!$AM$2:$AM$158,MATCH($B174,Scores!$BM$2:$BM$158,0)),"")</f>
        <v/>
      </c>
      <c r="M174">
        <f>IFERROR(INDEX(Scores!$AW$2:$AW$158,MATCH($B174,Scores!$BM$2:$BM$158,0)),"")</f>
        <v/>
      </c>
      <c r="N174">
        <f>IFERROR(INDEX(Scores!$BG$2:$BG$158,MATCH($B174,Scores!$BM$2:$BM$158,0)),"")</f>
        <v/>
      </c>
    </row>
    <row r="175">
      <c r="A175" t="inlineStr">
        <is>
          <t>Top 50</t>
        </is>
      </c>
      <c r="B175" t="n">
        <v>14</v>
      </c>
      <c r="C175">
        <f>IFERROR(INDEX(Scores!$BM$2:$BM$158,MATCH($B175,Scores!$BM$2:$BM$158,0)),"")</f>
        <v/>
      </c>
      <c r="D175">
        <f>IFERROR(INDEX(Scores!$B$2:$B$158,MATCH($B175,Scores!$BM$2:$BM$158,0)),"")</f>
        <v/>
      </c>
      <c r="E175">
        <f>IFERROR(INDEX(Scores!$C$2:$C$158,MATCH($B175,Scores!$BM$2:$BM$158,0)),"")</f>
        <v/>
      </c>
      <c r="F175">
        <f>IFERROR(INDEX(Scores!$D$2:$D$158,MATCH($B175,Scores!$BM$2:$BM$158,0)),"")</f>
        <v/>
      </c>
      <c r="G175">
        <f>IFERROR(INDEX(Scores!$E$2:$E$158,MATCH($B175,Scores!$BM$2:$BM$158,0)),"")</f>
        <v/>
      </c>
      <c r="H175">
        <f>IFERROR(INDEX(Scores!$BJ$2:$BJ$158,MATCH($B175,Scores!$BM$2:$BM$158,0)),"")</f>
        <v/>
      </c>
      <c r="I175">
        <f>IFERROR(INDEX(Scores!$BL$2:$BL$158,MATCH($B175,Scores!$BM$2:$BM$158,0)),"")</f>
        <v/>
      </c>
      <c r="J175">
        <f>IFERROR(INDEX(Scores!$Q$2:$Q$158,MATCH($B175,Scores!$BM$2:$BM$158,0)),"")</f>
        <v/>
      </c>
      <c r="K175">
        <f>IFERROR(INDEX(Scores!$AE$2:$AE$158,MATCH($B175,Scores!$BM$2:$BM$158,0)),"")</f>
        <v/>
      </c>
      <c r="L175">
        <f>IFERROR(INDEX(Scores!$AM$2:$AM$158,MATCH($B175,Scores!$BM$2:$BM$158,0)),"")</f>
        <v/>
      </c>
      <c r="M175">
        <f>IFERROR(INDEX(Scores!$AW$2:$AW$158,MATCH($B175,Scores!$BM$2:$BM$158,0)),"")</f>
        <v/>
      </c>
      <c r="N175">
        <f>IFERROR(INDEX(Scores!$BG$2:$BG$158,MATCH($B175,Scores!$BM$2:$BM$158,0)),"")</f>
        <v/>
      </c>
    </row>
    <row r="176">
      <c r="A176" t="inlineStr">
        <is>
          <t>Top 50</t>
        </is>
      </c>
      <c r="B176" t="n">
        <v>15</v>
      </c>
      <c r="C176">
        <f>IFERROR(INDEX(Scores!$BM$2:$BM$158,MATCH($B176,Scores!$BM$2:$BM$158,0)),"")</f>
        <v/>
      </c>
      <c r="D176">
        <f>IFERROR(INDEX(Scores!$B$2:$B$158,MATCH($B176,Scores!$BM$2:$BM$158,0)),"")</f>
        <v/>
      </c>
      <c r="E176">
        <f>IFERROR(INDEX(Scores!$C$2:$C$158,MATCH($B176,Scores!$BM$2:$BM$158,0)),"")</f>
        <v/>
      </c>
      <c r="F176">
        <f>IFERROR(INDEX(Scores!$D$2:$D$158,MATCH($B176,Scores!$BM$2:$BM$158,0)),"")</f>
        <v/>
      </c>
      <c r="G176">
        <f>IFERROR(INDEX(Scores!$E$2:$E$158,MATCH($B176,Scores!$BM$2:$BM$158,0)),"")</f>
        <v/>
      </c>
      <c r="H176">
        <f>IFERROR(INDEX(Scores!$BJ$2:$BJ$158,MATCH($B176,Scores!$BM$2:$BM$158,0)),"")</f>
        <v/>
      </c>
      <c r="I176">
        <f>IFERROR(INDEX(Scores!$BL$2:$BL$158,MATCH($B176,Scores!$BM$2:$BM$158,0)),"")</f>
        <v/>
      </c>
      <c r="J176">
        <f>IFERROR(INDEX(Scores!$Q$2:$Q$158,MATCH($B176,Scores!$BM$2:$BM$158,0)),"")</f>
        <v/>
      </c>
      <c r="K176">
        <f>IFERROR(INDEX(Scores!$AE$2:$AE$158,MATCH($B176,Scores!$BM$2:$BM$158,0)),"")</f>
        <v/>
      </c>
      <c r="L176">
        <f>IFERROR(INDEX(Scores!$AM$2:$AM$158,MATCH($B176,Scores!$BM$2:$BM$158,0)),"")</f>
        <v/>
      </c>
      <c r="M176">
        <f>IFERROR(INDEX(Scores!$AW$2:$AW$158,MATCH($B176,Scores!$BM$2:$BM$158,0)),"")</f>
        <v/>
      </c>
      <c r="N176">
        <f>IFERROR(INDEX(Scores!$BG$2:$BG$158,MATCH($B176,Scores!$BM$2:$BM$158,0)),"")</f>
        <v/>
      </c>
    </row>
    <row r="177">
      <c r="A177" t="inlineStr">
        <is>
          <t>Top 50</t>
        </is>
      </c>
      <c r="B177" t="n">
        <v>16</v>
      </c>
      <c r="C177">
        <f>IFERROR(INDEX(Scores!$BM$2:$BM$158,MATCH($B177,Scores!$BM$2:$BM$158,0)),"")</f>
        <v/>
      </c>
      <c r="D177">
        <f>IFERROR(INDEX(Scores!$B$2:$B$158,MATCH($B177,Scores!$BM$2:$BM$158,0)),"")</f>
        <v/>
      </c>
      <c r="E177">
        <f>IFERROR(INDEX(Scores!$C$2:$C$158,MATCH($B177,Scores!$BM$2:$BM$158,0)),"")</f>
        <v/>
      </c>
      <c r="F177">
        <f>IFERROR(INDEX(Scores!$D$2:$D$158,MATCH($B177,Scores!$BM$2:$BM$158,0)),"")</f>
        <v/>
      </c>
      <c r="G177">
        <f>IFERROR(INDEX(Scores!$E$2:$E$158,MATCH($B177,Scores!$BM$2:$BM$158,0)),"")</f>
        <v/>
      </c>
      <c r="H177">
        <f>IFERROR(INDEX(Scores!$BJ$2:$BJ$158,MATCH($B177,Scores!$BM$2:$BM$158,0)),"")</f>
        <v/>
      </c>
      <c r="I177">
        <f>IFERROR(INDEX(Scores!$BL$2:$BL$158,MATCH($B177,Scores!$BM$2:$BM$158,0)),"")</f>
        <v/>
      </c>
      <c r="J177">
        <f>IFERROR(INDEX(Scores!$Q$2:$Q$158,MATCH($B177,Scores!$BM$2:$BM$158,0)),"")</f>
        <v/>
      </c>
      <c r="K177">
        <f>IFERROR(INDEX(Scores!$AE$2:$AE$158,MATCH($B177,Scores!$BM$2:$BM$158,0)),"")</f>
        <v/>
      </c>
      <c r="L177">
        <f>IFERROR(INDEX(Scores!$AM$2:$AM$158,MATCH($B177,Scores!$BM$2:$BM$158,0)),"")</f>
        <v/>
      </c>
      <c r="M177">
        <f>IFERROR(INDEX(Scores!$AW$2:$AW$158,MATCH($B177,Scores!$BM$2:$BM$158,0)),"")</f>
        <v/>
      </c>
      <c r="N177">
        <f>IFERROR(INDEX(Scores!$BG$2:$BG$158,MATCH($B177,Scores!$BM$2:$BM$158,0)),"")</f>
        <v/>
      </c>
    </row>
    <row r="178">
      <c r="A178" t="inlineStr">
        <is>
          <t>Top 50</t>
        </is>
      </c>
      <c r="B178" t="n">
        <v>17</v>
      </c>
      <c r="C178">
        <f>IFERROR(INDEX(Scores!$BM$2:$BM$158,MATCH($B178,Scores!$BM$2:$BM$158,0)),"")</f>
        <v/>
      </c>
      <c r="D178">
        <f>IFERROR(INDEX(Scores!$B$2:$B$158,MATCH($B178,Scores!$BM$2:$BM$158,0)),"")</f>
        <v/>
      </c>
      <c r="E178">
        <f>IFERROR(INDEX(Scores!$C$2:$C$158,MATCH($B178,Scores!$BM$2:$BM$158,0)),"")</f>
        <v/>
      </c>
      <c r="F178">
        <f>IFERROR(INDEX(Scores!$D$2:$D$158,MATCH($B178,Scores!$BM$2:$BM$158,0)),"")</f>
        <v/>
      </c>
      <c r="G178">
        <f>IFERROR(INDEX(Scores!$E$2:$E$158,MATCH($B178,Scores!$BM$2:$BM$158,0)),"")</f>
        <v/>
      </c>
      <c r="H178">
        <f>IFERROR(INDEX(Scores!$BJ$2:$BJ$158,MATCH($B178,Scores!$BM$2:$BM$158,0)),"")</f>
        <v/>
      </c>
      <c r="I178">
        <f>IFERROR(INDEX(Scores!$BL$2:$BL$158,MATCH($B178,Scores!$BM$2:$BM$158,0)),"")</f>
        <v/>
      </c>
      <c r="J178">
        <f>IFERROR(INDEX(Scores!$Q$2:$Q$158,MATCH($B178,Scores!$BM$2:$BM$158,0)),"")</f>
        <v/>
      </c>
      <c r="K178">
        <f>IFERROR(INDEX(Scores!$AE$2:$AE$158,MATCH($B178,Scores!$BM$2:$BM$158,0)),"")</f>
        <v/>
      </c>
      <c r="L178">
        <f>IFERROR(INDEX(Scores!$AM$2:$AM$158,MATCH($B178,Scores!$BM$2:$BM$158,0)),"")</f>
        <v/>
      </c>
      <c r="M178">
        <f>IFERROR(INDEX(Scores!$AW$2:$AW$158,MATCH($B178,Scores!$BM$2:$BM$158,0)),"")</f>
        <v/>
      </c>
      <c r="N178">
        <f>IFERROR(INDEX(Scores!$BG$2:$BG$158,MATCH($B178,Scores!$BM$2:$BM$158,0)),"")</f>
        <v/>
      </c>
    </row>
    <row r="179">
      <c r="A179" t="inlineStr">
        <is>
          <t>Top 50</t>
        </is>
      </c>
      <c r="B179" t="n">
        <v>18</v>
      </c>
      <c r="C179">
        <f>IFERROR(INDEX(Scores!$BM$2:$BM$158,MATCH($B179,Scores!$BM$2:$BM$158,0)),"")</f>
        <v/>
      </c>
      <c r="D179">
        <f>IFERROR(INDEX(Scores!$B$2:$B$158,MATCH($B179,Scores!$BM$2:$BM$158,0)),"")</f>
        <v/>
      </c>
      <c r="E179">
        <f>IFERROR(INDEX(Scores!$C$2:$C$158,MATCH($B179,Scores!$BM$2:$BM$158,0)),"")</f>
        <v/>
      </c>
      <c r="F179">
        <f>IFERROR(INDEX(Scores!$D$2:$D$158,MATCH($B179,Scores!$BM$2:$BM$158,0)),"")</f>
        <v/>
      </c>
      <c r="G179">
        <f>IFERROR(INDEX(Scores!$E$2:$E$158,MATCH($B179,Scores!$BM$2:$BM$158,0)),"")</f>
        <v/>
      </c>
      <c r="H179">
        <f>IFERROR(INDEX(Scores!$BJ$2:$BJ$158,MATCH($B179,Scores!$BM$2:$BM$158,0)),"")</f>
        <v/>
      </c>
      <c r="I179">
        <f>IFERROR(INDEX(Scores!$BL$2:$BL$158,MATCH($B179,Scores!$BM$2:$BM$158,0)),"")</f>
        <v/>
      </c>
      <c r="J179">
        <f>IFERROR(INDEX(Scores!$Q$2:$Q$158,MATCH($B179,Scores!$BM$2:$BM$158,0)),"")</f>
        <v/>
      </c>
      <c r="K179">
        <f>IFERROR(INDEX(Scores!$AE$2:$AE$158,MATCH($B179,Scores!$BM$2:$BM$158,0)),"")</f>
        <v/>
      </c>
      <c r="L179">
        <f>IFERROR(INDEX(Scores!$AM$2:$AM$158,MATCH($B179,Scores!$BM$2:$BM$158,0)),"")</f>
        <v/>
      </c>
      <c r="M179">
        <f>IFERROR(INDEX(Scores!$AW$2:$AW$158,MATCH($B179,Scores!$BM$2:$BM$158,0)),"")</f>
        <v/>
      </c>
      <c r="N179">
        <f>IFERROR(INDEX(Scores!$BG$2:$BG$158,MATCH($B179,Scores!$BM$2:$BM$158,0)),"")</f>
        <v/>
      </c>
    </row>
    <row r="180">
      <c r="A180" t="inlineStr">
        <is>
          <t>Top 50</t>
        </is>
      </c>
      <c r="B180" t="n">
        <v>19</v>
      </c>
      <c r="C180">
        <f>IFERROR(INDEX(Scores!$BM$2:$BM$158,MATCH($B180,Scores!$BM$2:$BM$158,0)),"")</f>
        <v/>
      </c>
      <c r="D180">
        <f>IFERROR(INDEX(Scores!$B$2:$B$158,MATCH($B180,Scores!$BM$2:$BM$158,0)),"")</f>
        <v/>
      </c>
      <c r="E180">
        <f>IFERROR(INDEX(Scores!$C$2:$C$158,MATCH($B180,Scores!$BM$2:$BM$158,0)),"")</f>
        <v/>
      </c>
      <c r="F180">
        <f>IFERROR(INDEX(Scores!$D$2:$D$158,MATCH($B180,Scores!$BM$2:$BM$158,0)),"")</f>
        <v/>
      </c>
      <c r="G180">
        <f>IFERROR(INDEX(Scores!$E$2:$E$158,MATCH($B180,Scores!$BM$2:$BM$158,0)),"")</f>
        <v/>
      </c>
      <c r="H180">
        <f>IFERROR(INDEX(Scores!$BJ$2:$BJ$158,MATCH($B180,Scores!$BM$2:$BM$158,0)),"")</f>
        <v/>
      </c>
      <c r="I180">
        <f>IFERROR(INDEX(Scores!$BL$2:$BL$158,MATCH($B180,Scores!$BM$2:$BM$158,0)),"")</f>
        <v/>
      </c>
      <c r="J180">
        <f>IFERROR(INDEX(Scores!$Q$2:$Q$158,MATCH($B180,Scores!$BM$2:$BM$158,0)),"")</f>
        <v/>
      </c>
      <c r="K180">
        <f>IFERROR(INDEX(Scores!$AE$2:$AE$158,MATCH($B180,Scores!$BM$2:$BM$158,0)),"")</f>
        <v/>
      </c>
      <c r="L180">
        <f>IFERROR(INDEX(Scores!$AM$2:$AM$158,MATCH($B180,Scores!$BM$2:$BM$158,0)),"")</f>
        <v/>
      </c>
      <c r="M180">
        <f>IFERROR(INDEX(Scores!$AW$2:$AW$158,MATCH($B180,Scores!$BM$2:$BM$158,0)),"")</f>
        <v/>
      </c>
      <c r="N180">
        <f>IFERROR(INDEX(Scores!$BG$2:$BG$158,MATCH($B180,Scores!$BM$2:$BM$158,0)),"")</f>
        <v/>
      </c>
    </row>
    <row r="181">
      <c r="A181" t="inlineStr">
        <is>
          <t>Top 50</t>
        </is>
      </c>
      <c r="B181" t="n">
        <v>20</v>
      </c>
      <c r="C181">
        <f>IFERROR(INDEX(Scores!$BM$2:$BM$158,MATCH($B181,Scores!$BM$2:$BM$158,0)),"")</f>
        <v/>
      </c>
      <c r="D181">
        <f>IFERROR(INDEX(Scores!$B$2:$B$158,MATCH($B181,Scores!$BM$2:$BM$158,0)),"")</f>
        <v/>
      </c>
      <c r="E181">
        <f>IFERROR(INDEX(Scores!$C$2:$C$158,MATCH($B181,Scores!$BM$2:$BM$158,0)),"")</f>
        <v/>
      </c>
      <c r="F181">
        <f>IFERROR(INDEX(Scores!$D$2:$D$158,MATCH($B181,Scores!$BM$2:$BM$158,0)),"")</f>
        <v/>
      </c>
      <c r="G181">
        <f>IFERROR(INDEX(Scores!$E$2:$E$158,MATCH($B181,Scores!$BM$2:$BM$158,0)),"")</f>
        <v/>
      </c>
      <c r="H181">
        <f>IFERROR(INDEX(Scores!$BJ$2:$BJ$158,MATCH($B181,Scores!$BM$2:$BM$158,0)),"")</f>
        <v/>
      </c>
      <c r="I181">
        <f>IFERROR(INDEX(Scores!$BL$2:$BL$158,MATCH($B181,Scores!$BM$2:$BM$158,0)),"")</f>
        <v/>
      </c>
      <c r="J181">
        <f>IFERROR(INDEX(Scores!$Q$2:$Q$158,MATCH($B181,Scores!$BM$2:$BM$158,0)),"")</f>
        <v/>
      </c>
      <c r="K181">
        <f>IFERROR(INDEX(Scores!$AE$2:$AE$158,MATCH($B181,Scores!$BM$2:$BM$158,0)),"")</f>
        <v/>
      </c>
      <c r="L181">
        <f>IFERROR(INDEX(Scores!$AM$2:$AM$158,MATCH($B181,Scores!$BM$2:$BM$158,0)),"")</f>
        <v/>
      </c>
      <c r="M181">
        <f>IFERROR(INDEX(Scores!$AW$2:$AW$158,MATCH($B181,Scores!$BM$2:$BM$158,0)),"")</f>
        <v/>
      </c>
      <c r="N181">
        <f>IFERROR(INDEX(Scores!$BG$2:$BG$158,MATCH($B181,Scores!$BM$2:$BM$158,0)),"")</f>
        <v/>
      </c>
    </row>
    <row r="182">
      <c r="A182" t="inlineStr">
        <is>
          <t>Top 50</t>
        </is>
      </c>
      <c r="B182" t="n">
        <v>21</v>
      </c>
      <c r="C182">
        <f>IFERROR(INDEX(Scores!$BM$2:$BM$158,MATCH($B182,Scores!$BM$2:$BM$158,0)),"")</f>
        <v/>
      </c>
      <c r="D182">
        <f>IFERROR(INDEX(Scores!$B$2:$B$158,MATCH($B182,Scores!$BM$2:$BM$158,0)),"")</f>
        <v/>
      </c>
      <c r="E182">
        <f>IFERROR(INDEX(Scores!$C$2:$C$158,MATCH($B182,Scores!$BM$2:$BM$158,0)),"")</f>
        <v/>
      </c>
      <c r="F182">
        <f>IFERROR(INDEX(Scores!$D$2:$D$158,MATCH($B182,Scores!$BM$2:$BM$158,0)),"")</f>
        <v/>
      </c>
      <c r="G182">
        <f>IFERROR(INDEX(Scores!$E$2:$E$158,MATCH($B182,Scores!$BM$2:$BM$158,0)),"")</f>
        <v/>
      </c>
      <c r="H182">
        <f>IFERROR(INDEX(Scores!$BJ$2:$BJ$158,MATCH($B182,Scores!$BM$2:$BM$158,0)),"")</f>
        <v/>
      </c>
      <c r="I182">
        <f>IFERROR(INDEX(Scores!$BL$2:$BL$158,MATCH($B182,Scores!$BM$2:$BM$158,0)),"")</f>
        <v/>
      </c>
      <c r="J182">
        <f>IFERROR(INDEX(Scores!$Q$2:$Q$158,MATCH($B182,Scores!$BM$2:$BM$158,0)),"")</f>
        <v/>
      </c>
      <c r="K182">
        <f>IFERROR(INDEX(Scores!$AE$2:$AE$158,MATCH($B182,Scores!$BM$2:$BM$158,0)),"")</f>
        <v/>
      </c>
      <c r="L182">
        <f>IFERROR(INDEX(Scores!$AM$2:$AM$158,MATCH($B182,Scores!$BM$2:$BM$158,0)),"")</f>
        <v/>
      </c>
      <c r="M182">
        <f>IFERROR(INDEX(Scores!$AW$2:$AW$158,MATCH($B182,Scores!$BM$2:$BM$158,0)),"")</f>
        <v/>
      </c>
      <c r="N182">
        <f>IFERROR(INDEX(Scores!$BG$2:$BG$158,MATCH($B182,Scores!$BM$2:$BM$158,0)),"")</f>
        <v/>
      </c>
    </row>
    <row r="183">
      <c r="A183" t="inlineStr">
        <is>
          <t>Top 50</t>
        </is>
      </c>
      <c r="B183" t="n">
        <v>22</v>
      </c>
      <c r="C183">
        <f>IFERROR(INDEX(Scores!$BM$2:$BM$158,MATCH($B183,Scores!$BM$2:$BM$158,0)),"")</f>
        <v/>
      </c>
      <c r="D183">
        <f>IFERROR(INDEX(Scores!$B$2:$B$158,MATCH($B183,Scores!$BM$2:$BM$158,0)),"")</f>
        <v/>
      </c>
      <c r="E183">
        <f>IFERROR(INDEX(Scores!$C$2:$C$158,MATCH($B183,Scores!$BM$2:$BM$158,0)),"")</f>
        <v/>
      </c>
      <c r="F183">
        <f>IFERROR(INDEX(Scores!$D$2:$D$158,MATCH($B183,Scores!$BM$2:$BM$158,0)),"")</f>
        <v/>
      </c>
      <c r="G183">
        <f>IFERROR(INDEX(Scores!$E$2:$E$158,MATCH($B183,Scores!$BM$2:$BM$158,0)),"")</f>
        <v/>
      </c>
      <c r="H183">
        <f>IFERROR(INDEX(Scores!$BJ$2:$BJ$158,MATCH($B183,Scores!$BM$2:$BM$158,0)),"")</f>
        <v/>
      </c>
      <c r="I183">
        <f>IFERROR(INDEX(Scores!$BL$2:$BL$158,MATCH($B183,Scores!$BM$2:$BM$158,0)),"")</f>
        <v/>
      </c>
      <c r="J183">
        <f>IFERROR(INDEX(Scores!$Q$2:$Q$158,MATCH($B183,Scores!$BM$2:$BM$158,0)),"")</f>
        <v/>
      </c>
      <c r="K183">
        <f>IFERROR(INDEX(Scores!$AE$2:$AE$158,MATCH($B183,Scores!$BM$2:$BM$158,0)),"")</f>
        <v/>
      </c>
      <c r="L183">
        <f>IFERROR(INDEX(Scores!$AM$2:$AM$158,MATCH($B183,Scores!$BM$2:$BM$158,0)),"")</f>
        <v/>
      </c>
      <c r="M183">
        <f>IFERROR(INDEX(Scores!$AW$2:$AW$158,MATCH($B183,Scores!$BM$2:$BM$158,0)),"")</f>
        <v/>
      </c>
      <c r="N183">
        <f>IFERROR(INDEX(Scores!$BG$2:$BG$158,MATCH($B183,Scores!$BM$2:$BM$158,0)),"")</f>
        <v/>
      </c>
    </row>
    <row r="184">
      <c r="A184" t="inlineStr">
        <is>
          <t>Top 50</t>
        </is>
      </c>
      <c r="B184" t="n">
        <v>23</v>
      </c>
      <c r="C184">
        <f>IFERROR(INDEX(Scores!$BM$2:$BM$158,MATCH($B184,Scores!$BM$2:$BM$158,0)),"")</f>
        <v/>
      </c>
      <c r="D184">
        <f>IFERROR(INDEX(Scores!$B$2:$B$158,MATCH($B184,Scores!$BM$2:$BM$158,0)),"")</f>
        <v/>
      </c>
      <c r="E184">
        <f>IFERROR(INDEX(Scores!$C$2:$C$158,MATCH($B184,Scores!$BM$2:$BM$158,0)),"")</f>
        <v/>
      </c>
      <c r="F184">
        <f>IFERROR(INDEX(Scores!$D$2:$D$158,MATCH($B184,Scores!$BM$2:$BM$158,0)),"")</f>
        <v/>
      </c>
      <c r="G184">
        <f>IFERROR(INDEX(Scores!$E$2:$E$158,MATCH($B184,Scores!$BM$2:$BM$158,0)),"")</f>
        <v/>
      </c>
      <c r="H184">
        <f>IFERROR(INDEX(Scores!$BJ$2:$BJ$158,MATCH($B184,Scores!$BM$2:$BM$158,0)),"")</f>
        <v/>
      </c>
      <c r="I184">
        <f>IFERROR(INDEX(Scores!$BL$2:$BL$158,MATCH($B184,Scores!$BM$2:$BM$158,0)),"")</f>
        <v/>
      </c>
      <c r="J184">
        <f>IFERROR(INDEX(Scores!$Q$2:$Q$158,MATCH($B184,Scores!$BM$2:$BM$158,0)),"")</f>
        <v/>
      </c>
      <c r="K184">
        <f>IFERROR(INDEX(Scores!$AE$2:$AE$158,MATCH($B184,Scores!$BM$2:$BM$158,0)),"")</f>
        <v/>
      </c>
      <c r="L184">
        <f>IFERROR(INDEX(Scores!$AM$2:$AM$158,MATCH($B184,Scores!$BM$2:$BM$158,0)),"")</f>
        <v/>
      </c>
      <c r="M184">
        <f>IFERROR(INDEX(Scores!$AW$2:$AW$158,MATCH($B184,Scores!$BM$2:$BM$158,0)),"")</f>
        <v/>
      </c>
      <c r="N184">
        <f>IFERROR(INDEX(Scores!$BG$2:$BG$158,MATCH($B184,Scores!$BM$2:$BM$158,0)),"")</f>
        <v/>
      </c>
    </row>
    <row r="185">
      <c r="A185" t="inlineStr">
        <is>
          <t>Top 50</t>
        </is>
      </c>
      <c r="B185" t="n">
        <v>24</v>
      </c>
      <c r="C185">
        <f>IFERROR(INDEX(Scores!$BM$2:$BM$158,MATCH($B185,Scores!$BM$2:$BM$158,0)),"")</f>
        <v/>
      </c>
      <c r="D185">
        <f>IFERROR(INDEX(Scores!$B$2:$B$158,MATCH($B185,Scores!$BM$2:$BM$158,0)),"")</f>
        <v/>
      </c>
      <c r="E185">
        <f>IFERROR(INDEX(Scores!$C$2:$C$158,MATCH($B185,Scores!$BM$2:$BM$158,0)),"")</f>
        <v/>
      </c>
      <c r="F185">
        <f>IFERROR(INDEX(Scores!$D$2:$D$158,MATCH($B185,Scores!$BM$2:$BM$158,0)),"")</f>
        <v/>
      </c>
      <c r="G185">
        <f>IFERROR(INDEX(Scores!$E$2:$E$158,MATCH($B185,Scores!$BM$2:$BM$158,0)),"")</f>
        <v/>
      </c>
      <c r="H185">
        <f>IFERROR(INDEX(Scores!$BJ$2:$BJ$158,MATCH($B185,Scores!$BM$2:$BM$158,0)),"")</f>
        <v/>
      </c>
      <c r="I185">
        <f>IFERROR(INDEX(Scores!$BL$2:$BL$158,MATCH($B185,Scores!$BM$2:$BM$158,0)),"")</f>
        <v/>
      </c>
      <c r="J185">
        <f>IFERROR(INDEX(Scores!$Q$2:$Q$158,MATCH($B185,Scores!$BM$2:$BM$158,0)),"")</f>
        <v/>
      </c>
      <c r="K185">
        <f>IFERROR(INDEX(Scores!$AE$2:$AE$158,MATCH($B185,Scores!$BM$2:$BM$158,0)),"")</f>
        <v/>
      </c>
      <c r="L185">
        <f>IFERROR(INDEX(Scores!$AM$2:$AM$158,MATCH($B185,Scores!$BM$2:$BM$158,0)),"")</f>
        <v/>
      </c>
      <c r="M185">
        <f>IFERROR(INDEX(Scores!$AW$2:$AW$158,MATCH($B185,Scores!$BM$2:$BM$158,0)),"")</f>
        <v/>
      </c>
      <c r="N185">
        <f>IFERROR(INDEX(Scores!$BG$2:$BG$158,MATCH($B185,Scores!$BM$2:$BM$158,0)),"")</f>
        <v/>
      </c>
    </row>
    <row r="186">
      <c r="A186" t="inlineStr">
        <is>
          <t>Top 50</t>
        </is>
      </c>
      <c r="B186" t="n">
        <v>25</v>
      </c>
      <c r="C186">
        <f>IFERROR(INDEX(Scores!$BM$2:$BM$158,MATCH($B186,Scores!$BM$2:$BM$158,0)),"")</f>
        <v/>
      </c>
      <c r="D186">
        <f>IFERROR(INDEX(Scores!$B$2:$B$158,MATCH($B186,Scores!$BM$2:$BM$158,0)),"")</f>
        <v/>
      </c>
      <c r="E186">
        <f>IFERROR(INDEX(Scores!$C$2:$C$158,MATCH($B186,Scores!$BM$2:$BM$158,0)),"")</f>
        <v/>
      </c>
      <c r="F186">
        <f>IFERROR(INDEX(Scores!$D$2:$D$158,MATCH($B186,Scores!$BM$2:$BM$158,0)),"")</f>
        <v/>
      </c>
      <c r="G186">
        <f>IFERROR(INDEX(Scores!$E$2:$E$158,MATCH($B186,Scores!$BM$2:$BM$158,0)),"")</f>
        <v/>
      </c>
      <c r="H186">
        <f>IFERROR(INDEX(Scores!$BJ$2:$BJ$158,MATCH($B186,Scores!$BM$2:$BM$158,0)),"")</f>
        <v/>
      </c>
      <c r="I186">
        <f>IFERROR(INDEX(Scores!$BL$2:$BL$158,MATCH($B186,Scores!$BM$2:$BM$158,0)),"")</f>
        <v/>
      </c>
      <c r="J186">
        <f>IFERROR(INDEX(Scores!$Q$2:$Q$158,MATCH($B186,Scores!$BM$2:$BM$158,0)),"")</f>
        <v/>
      </c>
      <c r="K186">
        <f>IFERROR(INDEX(Scores!$AE$2:$AE$158,MATCH($B186,Scores!$BM$2:$BM$158,0)),"")</f>
        <v/>
      </c>
      <c r="L186">
        <f>IFERROR(INDEX(Scores!$AM$2:$AM$158,MATCH($B186,Scores!$BM$2:$BM$158,0)),"")</f>
        <v/>
      </c>
      <c r="M186">
        <f>IFERROR(INDEX(Scores!$AW$2:$AW$158,MATCH($B186,Scores!$BM$2:$BM$158,0)),"")</f>
        <v/>
      </c>
      <c r="N186">
        <f>IFERROR(INDEX(Scores!$BG$2:$BG$158,MATCH($B186,Scores!$BM$2:$BM$158,0)),"")</f>
        <v/>
      </c>
    </row>
    <row r="187">
      <c r="A187" t="inlineStr">
        <is>
          <t>Top 50</t>
        </is>
      </c>
      <c r="B187" t="n">
        <v>26</v>
      </c>
      <c r="C187">
        <f>IFERROR(INDEX(Scores!$BM$2:$BM$158,MATCH($B187,Scores!$BM$2:$BM$158,0)),"")</f>
        <v/>
      </c>
      <c r="D187">
        <f>IFERROR(INDEX(Scores!$B$2:$B$158,MATCH($B187,Scores!$BM$2:$BM$158,0)),"")</f>
        <v/>
      </c>
      <c r="E187">
        <f>IFERROR(INDEX(Scores!$C$2:$C$158,MATCH($B187,Scores!$BM$2:$BM$158,0)),"")</f>
        <v/>
      </c>
      <c r="F187">
        <f>IFERROR(INDEX(Scores!$D$2:$D$158,MATCH($B187,Scores!$BM$2:$BM$158,0)),"")</f>
        <v/>
      </c>
      <c r="G187">
        <f>IFERROR(INDEX(Scores!$E$2:$E$158,MATCH($B187,Scores!$BM$2:$BM$158,0)),"")</f>
        <v/>
      </c>
      <c r="H187">
        <f>IFERROR(INDEX(Scores!$BJ$2:$BJ$158,MATCH($B187,Scores!$BM$2:$BM$158,0)),"")</f>
        <v/>
      </c>
      <c r="I187">
        <f>IFERROR(INDEX(Scores!$BL$2:$BL$158,MATCH($B187,Scores!$BM$2:$BM$158,0)),"")</f>
        <v/>
      </c>
      <c r="J187">
        <f>IFERROR(INDEX(Scores!$Q$2:$Q$158,MATCH($B187,Scores!$BM$2:$BM$158,0)),"")</f>
        <v/>
      </c>
      <c r="K187">
        <f>IFERROR(INDEX(Scores!$AE$2:$AE$158,MATCH($B187,Scores!$BM$2:$BM$158,0)),"")</f>
        <v/>
      </c>
      <c r="L187">
        <f>IFERROR(INDEX(Scores!$AM$2:$AM$158,MATCH($B187,Scores!$BM$2:$BM$158,0)),"")</f>
        <v/>
      </c>
      <c r="M187">
        <f>IFERROR(INDEX(Scores!$AW$2:$AW$158,MATCH($B187,Scores!$BM$2:$BM$158,0)),"")</f>
        <v/>
      </c>
      <c r="N187">
        <f>IFERROR(INDEX(Scores!$BG$2:$BG$158,MATCH($B187,Scores!$BM$2:$BM$158,0)),"")</f>
        <v/>
      </c>
    </row>
    <row r="188">
      <c r="A188" t="inlineStr">
        <is>
          <t>Top 50</t>
        </is>
      </c>
      <c r="B188" t="n">
        <v>27</v>
      </c>
      <c r="C188">
        <f>IFERROR(INDEX(Scores!$BM$2:$BM$158,MATCH($B188,Scores!$BM$2:$BM$158,0)),"")</f>
        <v/>
      </c>
      <c r="D188">
        <f>IFERROR(INDEX(Scores!$B$2:$B$158,MATCH($B188,Scores!$BM$2:$BM$158,0)),"")</f>
        <v/>
      </c>
      <c r="E188">
        <f>IFERROR(INDEX(Scores!$C$2:$C$158,MATCH($B188,Scores!$BM$2:$BM$158,0)),"")</f>
        <v/>
      </c>
      <c r="F188">
        <f>IFERROR(INDEX(Scores!$D$2:$D$158,MATCH($B188,Scores!$BM$2:$BM$158,0)),"")</f>
        <v/>
      </c>
      <c r="G188">
        <f>IFERROR(INDEX(Scores!$E$2:$E$158,MATCH($B188,Scores!$BM$2:$BM$158,0)),"")</f>
        <v/>
      </c>
      <c r="H188">
        <f>IFERROR(INDEX(Scores!$BJ$2:$BJ$158,MATCH($B188,Scores!$BM$2:$BM$158,0)),"")</f>
        <v/>
      </c>
      <c r="I188">
        <f>IFERROR(INDEX(Scores!$BL$2:$BL$158,MATCH($B188,Scores!$BM$2:$BM$158,0)),"")</f>
        <v/>
      </c>
      <c r="J188">
        <f>IFERROR(INDEX(Scores!$Q$2:$Q$158,MATCH($B188,Scores!$BM$2:$BM$158,0)),"")</f>
        <v/>
      </c>
      <c r="K188">
        <f>IFERROR(INDEX(Scores!$AE$2:$AE$158,MATCH($B188,Scores!$BM$2:$BM$158,0)),"")</f>
        <v/>
      </c>
      <c r="L188">
        <f>IFERROR(INDEX(Scores!$AM$2:$AM$158,MATCH($B188,Scores!$BM$2:$BM$158,0)),"")</f>
        <v/>
      </c>
      <c r="M188">
        <f>IFERROR(INDEX(Scores!$AW$2:$AW$158,MATCH($B188,Scores!$BM$2:$BM$158,0)),"")</f>
        <v/>
      </c>
      <c r="N188">
        <f>IFERROR(INDEX(Scores!$BG$2:$BG$158,MATCH($B188,Scores!$BM$2:$BM$158,0)),"")</f>
        <v/>
      </c>
    </row>
    <row r="189">
      <c r="A189" t="inlineStr">
        <is>
          <t>Top 50</t>
        </is>
      </c>
      <c r="B189" t="n">
        <v>28</v>
      </c>
      <c r="C189">
        <f>IFERROR(INDEX(Scores!$BM$2:$BM$158,MATCH($B189,Scores!$BM$2:$BM$158,0)),"")</f>
        <v/>
      </c>
      <c r="D189">
        <f>IFERROR(INDEX(Scores!$B$2:$B$158,MATCH($B189,Scores!$BM$2:$BM$158,0)),"")</f>
        <v/>
      </c>
      <c r="E189">
        <f>IFERROR(INDEX(Scores!$C$2:$C$158,MATCH($B189,Scores!$BM$2:$BM$158,0)),"")</f>
        <v/>
      </c>
      <c r="F189">
        <f>IFERROR(INDEX(Scores!$D$2:$D$158,MATCH($B189,Scores!$BM$2:$BM$158,0)),"")</f>
        <v/>
      </c>
      <c r="G189">
        <f>IFERROR(INDEX(Scores!$E$2:$E$158,MATCH($B189,Scores!$BM$2:$BM$158,0)),"")</f>
        <v/>
      </c>
      <c r="H189">
        <f>IFERROR(INDEX(Scores!$BJ$2:$BJ$158,MATCH($B189,Scores!$BM$2:$BM$158,0)),"")</f>
        <v/>
      </c>
      <c r="I189">
        <f>IFERROR(INDEX(Scores!$BL$2:$BL$158,MATCH($B189,Scores!$BM$2:$BM$158,0)),"")</f>
        <v/>
      </c>
      <c r="J189">
        <f>IFERROR(INDEX(Scores!$Q$2:$Q$158,MATCH($B189,Scores!$BM$2:$BM$158,0)),"")</f>
        <v/>
      </c>
      <c r="K189">
        <f>IFERROR(INDEX(Scores!$AE$2:$AE$158,MATCH($B189,Scores!$BM$2:$BM$158,0)),"")</f>
        <v/>
      </c>
      <c r="L189">
        <f>IFERROR(INDEX(Scores!$AM$2:$AM$158,MATCH($B189,Scores!$BM$2:$BM$158,0)),"")</f>
        <v/>
      </c>
      <c r="M189">
        <f>IFERROR(INDEX(Scores!$AW$2:$AW$158,MATCH($B189,Scores!$BM$2:$BM$158,0)),"")</f>
        <v/>
      </c>
      <c r="N189">
        <f>IFERROR(INDEX(Scores!$BG$2:$BG$158,MATCH($B189,Scores!$BM$2:$BM$158,0)),"")</f>
        <v/>
      </c>
    </row>
    <row r="190">
      <c r="A190" t="inlineStr">
        <is>
          <t>Top 50</t>
        </is>
      </c>
      <c r="B190" t="n">
        <v>29</v>
      </c>
      <c r="C190">
        <f>IFERROR(INDEX(Scores!$BM$2:$BM$158,MATCH($B190,Scores!$BM$2:$BM$158,0)),"")</f>
        <v/>
      </c>
      <c r="D190">
        <f>IFERROR(INDEX(Scores!$B$2:$B$158,MATCH($B190,Scores!$BM$2:$BM$158,0)),"")</f>
        <v/>
      </c>
      <c r="E190">
        <f>IFERROR(INDEX(Scores!$C$2:$C$158,MATCH($B190,Scores!$BM$2:$BM$158,0)),"")</f>
        <v/>
      </c>
      <c r="F190">
        <f>IFERROR(INDEX(Scores!$D$2:$D$158,MATCH($B190,Scores!$BM$2:$BM$158,0)),"")</f>
        <v/>
      </c>
      <c r="G190">
        <f>IFERROR(INDEX(Scores!$E$2:$E$158,MATCH($B190,Scores!$BM$2:$BM$158,0)),"")</f>
        <v/>
      </c>
      <c r="H190">
        <f>IFERROR(INDEX(Scores!$BJ$2:$BJ$158,MATCH($B190,Scores!$BM$2:$BM$158,0)),"")</f>
        <v/>
      </c>
      <c r="I190">
        <f>IFERROR(INDEX(Scores!$BL$2:$BL$158,MATCH($B190,Scores!$BM$2:$BM$158,0)),"")</f>
        <v/>
      </c>
      <c r="J190">
        <f>IFERROR(INDEX(Scores!$Q$2:$Q$158,MATCH($B190,Scores!$BM$2:$BM$158,0)),"")</f>
        <v/>
      </c>
      <c r="K190">
        <f>IFERROR(INDEX(Scores!$AE$2:$AE$158,MATCH($B190,Scores!$BM$2:$BM$158,0)),"")</f>
        <v/>
      </c>
      <c r="L190">
        <f>IFERROR(INDEX(Scores!$AM$2:$AM$158,MATCH($B190,Scores!$BM$2:$BM$158,0)),"")</f>
        <v/>
      </c>
      <c r="M190">
        <f>IFERROR(INDEX(Scores!$AW$2:$AW$158,MATCH($B190,Scores!$BM$2:$BM$158,0)),"")</f>
        <v/>
      </c>
      <c r="N190">
        <f>IFERROR(INDEX(Scores!$BG$2:$BG$158,MATCH($B190,Scores!$BM$2:$BM$158,0)),"")</f>
        <v/>
      </c>
    </row>
    <row r="191">
      <c r="A191" t="inlineStr">
        <is>
          <t>Top 50</t>
        </is>
      </c>
      <c r="B191" t="n">
        <v>30</v>
      </c>
      <c r="C191">
        <f>IFERROR(INDEX(Scores!$BM$2:$BM$158,MATCH($B191,Scores!$BM$2:$BM$158,0)),"")</f>
        <v/>
      </c>
      <c r="D191">
        <f>IFERROR(INDEX(Scores!$B$2:$B$158,MATCH($B191,Scores!$BM$2:$BM$158,0)),"")</f>
        <v/>
      </c>
      <c r="E191">
        <f>IFERROR(INDEX(Scores!$C$2:$C$158,MATCH($B191,Scores!$BM$2:$BM$158,0)),"")</f>
        <v/>
      </c>
      <c r="F191">
        <f>IFERROR(INDEX(Scores!$D$2:$D$158,MATCH($B191,Scores!$BM$2:$BM$158,0)),"")</f>
        <v/>
      </c>
      <c r="G191">
        <f>IFERROR(INDEX(Scores!$E$2:$E$158,MATCH($B191,Scores!$BM$2:$BM$158,0)),"")</f>
        <v/>
      </c>
      <c r="H191">
        <f>IFERROR(INDEX(Scores!$BJ$2:$BJ$158,MATCH($B191,Scores!$BM$2:$BM$158,0)),"")</f>
        <v/>
      </c>
      <c r="I191">
        <f>IFERROR(INDEX(Scores!$BL$2:$BL$158,MATCH($B191,Scores!$BM$2:$BM$158,0)),"")</f>
        <v/>
      </c>
      <c r="J191">
        <f>IFERROR(INDEX(Scores!$Q$2:$Q$158,MATCH($B191,Scores!$BM$2:$BM$158,0)),"")</f>
        <v/>
      </c>
      <c r="K191">
        <f>IFERROR(INDEX(Scores!$AE$2:$AE$158,MATCH($B191,Scores!$BM$2:$BM$158,0)),"")</f>
        <v/>
      </c>
      <c r="L191">
        <f>IFERROR(INDEX(Scores!$AM$2:$AM$158,MATCH($B191,Scores!$BM$2:$BM$158,0)),"")</f>
        <v/>
      </c>
      <c r="M191">
        <f>IFERROR(INDEX(Scores!$AW$2:$AW$158,MATCH($B191,Scores!$BM$2:$BM$158,0)),"")</f>
        <v/>
      </c>
      <c r="N191">
        <f>IFERROR(INDEX(Scores!$BG$2:$BG$158,MATCH($B191,Scores!$BM$2:$BM$158,0)),"")</f>
        <v/>
      </c>
    </row>
    <row r="192">
      <c r="A192" t="inlineStr">
        <is>
          <t>Top 50</t>
        </is>
      </c>
      <c r="B192" t="n">
        <v>31</v>
      </c>
      <c r="C192">
        <f>IFERROR(INDEX(Scores!$BM$2:$BM$158,MATCH($B192,Scores!$BM$2:$BM$158,0)),"")</f>
        <v/>
      </c>
      <c r="D192">
        <f>IFERROR(INDEX(Scores!$B$2:$B$158,MATCH($B192,Scores!$BM$2:$BM$158,0)),"")</f>
        <v/>
      </c>
      <c r="E192">
        <f>IFERROR(INDEX(Scores!$C$2:$C$158,MATCH($B192,Scores!$BM$2:$BM$158,0)),"")</f>
        <v/>
      </c>
      <c r="F192">
        <f>IFERROR(INDEX(Scores!$D$2:$D$158,MATCH($B192,Scores!$BM$2:$BM$158,0)),"")</f>
        <v/>
      </c>
      <c r="G192">
        <f>IFERROR(INDEX(Scores!$E$2:$E$158,MATCH($B192,Scores!$BM$2:$BM$158,0)),"")</f>
        <v/>
      </c>
      <c r="H192">
        <f>IFERROR(INDEX(Scores!$BJ$2:$BJ$158,MATCH($B192,Scores!$BM$2:$BM$158,0)),"")</f>
        <v/>
      </c>
      <c r="I192">
        <f>IFERROR(INDEX(Scores!$BL$2:$BL$158,MATCH($B192,Scores!$BM$2:$BM$158,0)),"")</f>
        <v/>
      </c>
      <c r="J192">
        <f>IFERROR(INDEX(Scores!$Q$2:$Q$158,MATCH($B192,Scores!$BM$2:$BM$158,0)),"")</f>
        <v/>
      </c>
      <c r="K192">
        <f>IFERROR(INDEX(Scores!$AE$2:$AE$158,MATCH($B192,Scores!$BM$2:$BM$158,0)),"")</f>
        <v/>
      </c>
      <c r="L192">
        <f>IFERROR(INDEX(Scores!$AM$2:$AM$158,MATCH($B192,Scores!$BM$2:$BM$158,0)),"")</f>
        <v/>
      </c>
      <c r="M192">
        <f>IFERROR(INDEX(Scores!$AW$2:$AW$158,MATCH($B192,Scores!$BM$2:$BM$158,0)),"")</f>
        <v/>
      </c>
      <c r="N192">
        <f>IFERROR(INDEX(Scores!$BG$2:$BG$158,MATCH($B192,Scores!$BM$2:$BM$158,0)),"")</f>
        <v/>
      </c>
    </row>
    <row r="193">
      <c r="A193" t="inlineStr">
        <is>
          <t>Top 50</t>
        </is>
      </c>
      <c r="B193" t="n">
        <v>32</v>
      </c>
      <c r="C193">
        <f>IFERROR(INDEX(Scores!$BM$2:$BM$158,MATCH($B193,Scores!$BM$2:$BM$158,0)),"")</f>
        <v/>
      </c>
      <c r="D193">
        <f>IFERROR(INDEX(Scores!$B$2:$B$158,MATCH($B193,Scores!$BM$2:$BM$158,0)),"")</f>
        <v/>
      </c>
      <c r="E193">
        <f>IFERROR(INDEX(Scores!$C$2:$C$158,MATCH($B193,Scores!$BM$2:$BM$158,0)),"")</f>
        <v/>
      </c>
      <c r="F193">
        <f>IFERROR(INDEX(Scores!$D$2:$D$158,MATCH($B193,Scores!$BM$2:$BM$158,0)),"")</f>
        <v/>
      </c>
      <c r="G193">
        <f>IFERROR(INDEX(Scores!$E$2:$E$158,MATCH($B193,Scores!$BM$2:$BM$158,0)),"")</f>
        <v/>
      </c>
      <c r="H193">
        <f>IFERROR(INDEX(Scores!$BJ$2:$BJ$158,MATCH($B193,Scores!$BM$2:$BM$158,0)),"")</f>
        <v/>
      </c>
      <c r="I193">
        <f>IFERROR(INDEX(Scores!$BL$2:$BL$158,MATCH($B193,Scores!$BM$2:$BM$158,0)),"")</f>
        <v/>
      </c>
      <c r="J193">
        <f>IFERROR(INDEX(Scores!$Q$2:$Q$158,MATCH($B193,Scores!$BM$2:$BM$158,0)),"")</f>
        <v/>
      </c>
      <c r="K193">
        <f>IFERROR(INDEX(Scores!$AE$2:$AE$158,MATCH($B193,Scores!$BM$2:$BM$158,0)),"")</f>
        <v/>
      </c>
      <c r="L193">
        <f>IFERROR(INDEX(Scores!$AM$2:$AM$158,MATCH($B193,Scores!$BM$2:$BM$158,0)),"")</f>
        <v/>
      </c>
      <c r="M193">
        <f>IFERROR(INDEX(Scores!$AW$2:$AW$158,MATCH($B193,Scores!$BM$2:$BM$158,0)),"")</f>
        <v/>
      </c>
      <c r="N193">
        <f>IFERROR(INDEX(Scores!$BG$2:$BG$158,MATCH($B193,Scores!$BM$2:$BM$158,0)),"")</f>
        <v/>
      </c>
    </row>
    <row r="194">
      <c r="A194" t="inlineStr">
        <is>
          <t>Top 50</t>
        </is>
      </c>
      <c r="B194" t="n">
        <v>33</v>
      </c>
      <c r="C194">
        <f>IFERROR(INDEX(Scores!$BM$2:$BM$158,MATCH($B194,Scores!$BM$2:$BM$158,0)),"")</f>
        <v/>
      </c>
      <c r="D194">
        <f>IFERROR(INDEX(Scores!$B$2:$B$158,MATCH($B194,Scores!$BM$2:$BM$158,0)),"")</f>
        <v/>
      </c>
      <c r="E194">
        <f>IFERROR(INDEX(Scores!$C$2:$C$158,MATCH($B194,Scores!$BM$2:$BM$158,0)),"")</f>
        <v/>
      </c>
      <c r="F194">
        <f>IFERROR(INDEX(Scores!$D$2:$D$158,MATCH($B194,Scores!$BM$2:$BM$158,0)),"")</f>
        <v/>
      </c>
      <c r="G194">
        <f>IFERROR(INDEX(Scores!$E$2:$E$158,MATCH($B194,Scores!$BM$2:$BM$158,0)),"")</f>
        <v/>
      </c>
      <c r="H194">
        <f>IFERROR(INDEX(Scores!$BJ$2:$BJ$158,MATCH($B194,Scores!$BM$2:$BM$158,0)),"")</f>
        <v/>
      </c>
      <c r="I194">
        <f>IFERROR(INDEX(Scores!$BL$2:$BL$158,MATCH($B194,Scores!$BM$2:$BM$158,0)),"")</f>
        <v/>
      </c>
      <c r="J194">
        <f>IFERROR(INDEX(Scores!$Q$2:$Q$158,MATCH($B194,Scores!$BM$2:$BM$158,0)),"")</f>
        <v/>
      </c>
      <c r="K194">
        <f>IFERROR(INDEX(Scores!$AE$2:$AE$158,MATCH($B194,Scores!$BM$2:$BM$158,0)),"")</f>
        <v/>
      </c>
      <c r="L194">
        <f>IFERROR(INDEX(Scores!$AM$2:$AM$158,MATCH($B194,Scores!$BM$2:$BM$158,0)),"")</f>
        <v/>
      </c>
      <c r="M194">
        <f>IFERROR(INDEX(Scores!$AW$2:$AW$158,MATCH($B194,Scores!$BM$2:$BM$158,0)),"")</f>
        <v/>
      </c>
      <c r="N194">
        <f>IFERROR(INDEX(Scores!$BG$2:$BG$158,MATCH($B194,Scores!$BM$2:$BM$158,0)),"")</f>
        <v/>
      </c>
    </row>
    <row r="195">
      <c r="A195" t="inlineStr">
        <is>
          <t>Top 50</t>
        </is>
      </c>
      <c r="B195" t="n">
        <v>34</v>
      </c>
      <c r="C195">
        <f>IFERROR(INDEX(Scores!$BM$2:$BM$158,MATCH($B195,Scores!$BM$2:$BM$158,0)),"")</f>
        <v/>
      </c>
      <c r="D195">
        <f>IFERROR(INDEX(Scores!$B$2:$B$158,MATCH($B195,Scores!$BM$2:$BM$158,0)),"")</f>
        <v/>
      </c>
      <c r="E195">
        <f>IFERROR(INDEX(Scores!$C$2:$C$158,MATCH($B195,Scores!$BM$2:$BM$158,0)),"")</f>
        <v/>
      </c>
      <c r="F195">
        <f>IFERROR(INDEX(Scores!$D$2:$D$158,MATCH($B195,Scores!$BM$2:$BM$158,0)),"")</f>
        <v/>
      </c>
      <c r="G195">
        <f>IFERROR(INDEX(Scores!$E$2:$E$158,MATCH($B195,Scores!$BM$2:$BM$158,0)),"")</f>
        <v/>
      </c>
      <c r="H195">
        <f>IFERROR(INDEX(Scores!$BJ$2:$BJ$158,MATCH($B195,Scores!$BM$2:$BM$158,0)),"")</f>
        <v/>
      </c>
      <c r="I195">
        <f>IFERROR(INDEX(Scores!$BL$2:$BL$158,MATCH($B195,Scores!$BM$2:$BM$158,0)),"")</f>
        <v/>
      </c>
      <c r="J195">
        <f>IFERROR(INDEX(Scores!$Q$2:$Q$158,MATCH($B195,Scores!$BM$2:$BM$158,0)),"")</f>
        <v/>
      </c>
      <c r="K195">
        <f>IFERROR(INDEX(Scores!$AE$2:$AE$158,MATCH($B195,Scores!$BM$2:$BM$158,0)),"")</f>
        <v/>
      </c>
      <c r="L195">
        <f>IFERROR(INDEX(Scores!$AM$2:$AM$158,MATCH($B195,Scores!$BM$2:$BM$158,0)),"")</f>
        <v/>
      </c>
      <c r="M195">
        <f>IFERROR(INDEX(Scores!$AW$2:$AW$158,MATCH($B195,Scores!$BM$2:$BM$158,0)),"")</f>
        <v/>
      </c>
      <c r="N195">
        <f>IFERROR(INDEX(Scores!$BG$2:$BG$158,MATCH($B195,Scores!$BM$2:$BM$158,0)),"")</f>
        <v/>
      </c>
    </row>
    <row r="196">
      <c r="A196" t="inlineStr">
        <is>
          <t>Top 50</t>
        </is>
      </c>
      <c r="B196" t="n">
        <v>35</v>
      </c>
      <c r="C196">
        <f>IFERROR(INDEX(Scores!$BM$2:$BM$158,MATCH($B196,Scores!$BM$2:$BM$158,0)),"")</f>
        <v/>
      </c>
      <c r="D196">
        <f>IFERROR(INDEX(Scores!$B$2:$B$158,MATCH($B196,Scores!$BM$2:$BM$158,0)),"")</f>
        <v/>
      </c>
      <c r="E196">
        <f>IFERROR(INDEX(Scores!$C$2:$C$158,MATCH($B196,Scores!$BM$2:$BM$158,0)),"")</f>
        <v/>
      </c>
      <c r="F196">
        <f>IFERROR(INDEX(Scores!$D$2:$D$158,MATCH($B196,Scores!$BM$2:$BM$158,0)),"")</f>
        <v/>
      </c>
      <c r="G196">
        <f>IFERROR(INDEX(Scores!$E$2:$E$158,MATCH($B196,Scores!$BM$2:$BM$158,0)),"")</f>
        <v/>
      </c>
      <c r="H196">
        <f>IFERROR(INDEX(Scores!$BJ$2:$BJ$158,MATCH($B196,Scores!$BM$2:$BM$158,0)),"")</f>
        <v/>
      </c>
      <c r="I196">
        <f>IFERROR(INDEX(Scores!$BL$2:$BL$158,MATCH($B196,Scores!$BM$2:$BM$158,0)),"")</f>
        <v/>
      </c>
      <c r="J196">
        <f>IFERROR(INDEX(Scores!$Q$2:$Q$158,MATCH($B196,Scores!$BM$2:$BM$158,0)),"")</f>
        <v/>
      </c>
      <c r="K196">
        <f>IFERROR(INDEX(Scores!$AE$2:$AE$158,MATCH($B196,Scores!$BM$2:$BM$158,0)),"")</f>
        <v/>
      </c>
      <c r="L196">
        <f>IFERROR(INDEX(Scores!$AM$2:$AM$158,MATCH($B196,Scores!$BM$2:$BM$158,0)),"")</f>
        <v/>
      </c>
      <c r="M196">
        <f>IFERROR(INDEX(Scores!$AW$2:$AW$158,MATCH($B196,Scores!$BM$2:$BM$158,0)),"")</f>
        <v/>
      </c>
      <c r="N196">
        <f>IFERROR(INDEX(Scores!$BG$2:$BG$158,MATCH($B196,Scores!$BM$2:$BM$158,0)),"")</f>
        <v/>
      </c>
    </row>
    <row r="197">
      <c r="A197" t="inlineStr">
        <is>
          <t>Top 50</t>
        </is>
      </c>
      <c r="B197" t="n">
        <v>36</v>
      </c>
      <c r="C197">
        <f>IFERROR(INDEX(Scores!$BM$2:$BM$158,MATCH($B197,Scores!$BM$2:$BM$158,0)),"")</f>
        <v/>
      </c>
      <c r="D197">
        <f>IFERROR(INDEX(Scores!$B$2:$B$158,MATCH($B197,Scores!$BM$2:$BM$158,0)),"")</f>
        <v/>
      </c>
      <c r="E197">
        <f>IFERROR(INDEX(Scores!$C$2:$C$158,MATCH($B197,Scores!$BM$2:$BM$158,0)),"")</f>
        <v/>
      </c>
      <c r="F197">
        <f>IFERROR(INDEX(Scores!$D$2:$D$158,MATCH($B197,Scores!$BM$2:$BM$158,0)),"")</f>
        <v/>
      </c>
      <c r="G197">
        <f>IFERROR(INDEX(Scores!$E$2:$E$158,MATCH($B197,Scores!$BM$2:$BM$158,0)),"")</f>
        <v/>
      </c>
      <c r="H197">
        <f>IFERROR(INDEX(Scores!$BJ$2:$BJ$158,MATCH($B197,Scores!$BM$2:$BM$158,0)),"")</f>
        <v/>
      </c>
      <c r="I197">
        <f>IFERROR(INDEX(Scores!$BL$2:$BL$158,MATCH($B197,Scores!$BM$2:$BM$158,0)),"")</f>
        <v/>
      </c>
      <c r="J197">
        <f>IFERROR(INDEX(Scores!$Q$2:$Q$158,MATCH($B197,Scores!$BM$2:$BM$158,0)),"")</f>
        <v/>
      </c>
      <c r="K197">
        <f>IFERROR(INDEX(Scores!$AE$2:$AE$158,MATCH($B197,Scores!$BM$2:$BM$158,0)),"")</f>
        <v/>
      </c>
      <c r="L197">
        <f>IFERROR(INDEX(Scores!$AM$2:$AM$158,MATCH($B197,Scores!$BM$2:$BM$158,0)),"")</f>
        <v/>
      </c>
      <c r="M197">
        <f>IFERROR(INDEX(Scores!$AW$2:$AW$158,MATCH($B197,Scores!$BM$2:$BM$158,0)),"")</f>
        <v/>
      </c>
      <c r="N197">
        <f>IFERROR(INDEX(Scores!$BG$2:$BG$158,MATCH($B197,Scores!$BM$2:$BM$158,0)),"")</f>
        <v/>
      </c>
    </row>
    <row r="198">
      <c r="A198" t="inlineStr">
        <is>
          <t>Top 50</t>
        </is>
      </c>
      <c r="B198" t="n">
        <v>37</v>
      </c>
      <c r="C198">
        <f>IFERROR(INDEX(Scores!$BM$2:$BM$158,MATCH($B198,Scores!$BM$2:$BM$158,0)),"")</f>
        <v/>
      </c>
      <c r="D198">
        <f>IFERROR(INDEX(Scores!$B$2:$B$158,MATCH($B198,Scores!$BM$2:$BM$158,0)),"")</f>
        <v/>
      </c>
      <c r="E198">
        <f>IFERROR(INDEX(Scores!$C$2:$C$158,MATCH($B198,Scores!$BM$2:$BM$158,0)),"")</f>
        <v/>
      </c>
      <c r="F198">
        <f>IFERROR(INDEX(Scores!$D$2:$D$158,MATCH($B198,Scores!$BM$2:$BM$158,0)),"")</f>
        <v/>
      </c>
      <c r="G198">
        <f>IFERROR(INDEX(Scores!$E$2:$E$158,MATCH($B198,Scores!$BM$2:$BM$158,0)),"")</f>
        <v/>
      </c>
      <c r="H198">
        <f>IFERROR(INDEX(Scores!$BJ$2:$BJ$158,MATCH($B198,Scores!$BM$2:$BM$158,0)),"")</f>
        <v/>
      </c>
      <c r="I198">
        <f>IFERROR(INDEX(Scores!$BL$2:$BL$158,MATCH($B198,Scores!$BM$2:$BM$158,0)),"")</f>
        <v/>
      </c>
      <c r="J198">
        <f>IFERROR(INDEX(Scores!$Q$2:$Q$158,MATCH($B198,Scores!$BM$2:$BM$158,0)),"")</f>
        <v/>
      </c>
      <c r="K198">
        <f>IFERROR(INDEX(Scores!$AE$2:$AE$158,MATCH($B198,Scores!$BM$2:$BM$158,0)),"")</f>
        <v/>
      </c>
      <c r="L198">
        <f>IFERROR(INDEX(Scores!$AM$2:$AM$158,MATCH($B198,Scores!$BM$2:$BM$158,0)),"")</f>
        <v/>
      </c>
      <c r="M198">
        <f>IFERROR(INDEX(Scores!$AW$2:$AW$158,MATCH($B198,Scores!$BM$2:$BM$158,0)),"")</f>
        <v/>
      </c>
      <c r="N198">
        <f>IFERROR(INDEX(Scores!$BG$2:$BG$158,MATCH($B198,Scores!$BM$2:$BM$158,0)),"")</f>
        <v/>
      </c>
    </row>
    <row r="199">
      <c r="A199" t="inlineStr">
        <is>
          <t>Top 50</t>
        </is>
      </c>
      <c r="B199" t="n">
        <v>38</v>
      </c>
      <c r="C199">
        <f>IFERROR(INDEX(Scores!$BM$2:$BM$158,MATCH($B199,Scores!$BM$2:$BM$158,0)),"")</f>
        <v/>
      </c>
      <c r="D199">
        <f>IFERROR(INDEX(Scores!$B$2:$B$158,MATCH($B199,Scores!$BM$2:$BM$158,0)),"")</f>
        <v/>
      </c>
      <c r="E199">
        <f>IFERROR(INDEX(Scores!$C$2:$C$158,MATCH($B199,Scores!$BM$2:$BM$158,0)),"")</f>
        <v/>
      </c>
      <c r="F199">
        <f>IFERROR(INDEX(Scores!$D$2:$D$158,MATCH($B199,Scores!$BM$2:$BM$158,0)),"")</f>
        <v/>
      </c>
      <c r="G199">
        <f>IFERROR(INDEX(Scores!$E$2:$E$158,MATCH($B199,Scores!$BM$2:$BM$158,0)),"")</f>
        <v/>
      </c>
      <c r="H199">
        <f>IFERROR(INDEX(Scores!$BJ$2:$BJ$158,MATCH($B199,Scores!$BM$2:$BM$158,0)),"")</f>
        <v/>
      </c>
      <c r="I199">
        <f>IFERROR(INDEX(Scores!$BL$2:$BL$158,MATCH($B199,Scores!$BM$2:$BM$158,0)),"")</f>
        <v/>
      </c>
      <c r="J199">
        <f>IFERROR(INDEX(Scores!$Q$2:$Q$158,MATCH($B199,Scores!$BM$2:$BM$158,0)),"")</f>
        <v/>
      </c>
      <c r="K199">
        <f>IFERROR(INDEX(Scores!$AE$2:$AE$158,MATCH($B199,Scores!$BM$2:$BM$158,0)),"")</f>
        <v/>
      </c>
      <c r="L199">
        <f>IFERROR(INDEX(Scores!$AM$2:$AM$158,MATCH($B199,Scores!$BM$2:$BM$158,0)),"")</f>
        <v/>
      </c>
      <c r="M199">
        <f>IFERROR(INDEX(Scores!$AW$2:$AW$158,MATCH($B199,Scores!$BM$2:$BM$158,0)),"")</f>
        <v/>
      </c>
      <c r="N199">
        <f>IFERROR(INDEX(Scores!$BG$2:$BG$158,MATCH($B199,Scores!$BM$2:$BM$158,0)),"")</f>
        <v/>
      </c>
    </row>
    <row r="200">
      <c r="A200" t="inlineStr">
        <is>
          <t>Top 50</t>
        </is>
      </c>
      <c r="B200" t="n">
        <v>39</v>
      </c>
      <c r="C200">
        <f>IFERROR(INDEX(Scores!$BM$2:$BM$158,MATCH($B200,Scores!$BM$2:$BM$158,0)),"")</f>
        <v/>
      </c>
      <c r="D200">
        <f>IFERROR(INDEX(Scores!$B$2:$B$158,MATCH($B200,Scores!$BM$2:$BM$158,0)),"")</f>
        <v/>
      </c>
      <c r="E200">
        <f>IFERROR(INDEX(Scores!$C$2:$C$158,MATCH($B200,Scores!$BM$2:$BM$158,0)),"")</f>
        <v/>
      </c>
      <c r="F200">
        <f>IFERROR(INDEX(Scores!$D$2:$D$158,MATCH($B200,Scores!$BM$2:$BM$158,0)),"")</f>
        <v/>
      </c>
      <c r="G200">
        <f>IFERROR(INDEX(Scores!$E$2:$E$158,MATCH($B200,Scores!$BM$2:$BM$158,0)),"")</f>
        <v/>
      </c>
      <c r="H200">
        <f>IFERROR(INDEX(Scores!$BJ$2:$BJ$158,MATCH($B200,Scores!$BM$2:$BM$158,0)),"")</f>
        <v/>
      </c>
      <c r="I200">
        <f>IFERROR(INDEX(Scores!$BL$2:$BL$158,MATCH($B200,Scores!$BM$2:$BM$158,0)),"")</f>
        <v/>
      </c>
      <c r="J200">
        <f>IFERROR(INDEX(Scores!$Q$2:$Q$158,MATCH($B200,Scores!$BM$2:$BM$158,0)),"")</f>
        <v/>
      </c>
      <c r="K200">
        <f>IFERROR(INDEX(Scores!$AE$2:$AE$158,MATCH($B200,Scores!$BM$2:$BM$158,0)),"")</f>
        <v/>
      </c>
      <c r="L200">
        <f>IFERROR(INDEX(Scores!$AM$2:$AM$158,MATCH($B200,Scores!$BM$2:$BM$158,0)),"")</f>
        <v/>
      </c>
      <c r="M200">
        <f>IFERROR(INDEX(Scores!$AW$2:$AW$158,MATCH($B200,Scores!$BM$2:$BM$158,0)),"")</f>
        <v/>
      </c>
      <c r="N200">
        <f>IFERROR(INDEX(Scores!$BG$2:$BG$158,MATCH($B200,Scores!$BM$2:$BM$158,0)),"")</f>
        <v/>
      </c>
    </row>
    <row r="201">
      <c r="A201" t="inlineStr">
        <is>
          <t>Top 50</t>
        </is>
      </c>
      <c r="B201" t="n">
        <v>40</v>
      </c>
      <c r="C201">
        <f>IFERROR(INDEX(Scores!$BM$2:$BM$158,MATCH($B201,Scores!$BM$2:$BM$158,0)),"")</f>
        <v/>
      </c>
      <c r="D201">
        <f>IFERROR(INDEX(Scores!$B$2:$B$158,MATCH($B201,Scores!$BM$2:$BM$158,0)),"")</f>
        <v/>
      </c>
      <c r="E201">
        <f>IFERROR(INDEX(Scores!$C$2:$C$158,MATCH($B201,Scores!$BM$2:$BM$158,0)),"")</f>
        <v/>
      </c>
      <c r="F201">
        <f>IFERROR(INDEX(Scores!$D$2:$D$158,MATCH($B201,Scores!$BM$2:$BM$158,0)),"")</f>
        <v/>
      </c>
      <c r="G201">
        <f>IFERROR(INDEX(Scores!$E$2:$E$158,MATCH($B201,Scores!$BM$2:$BM$158,0)),"")</f>
        <v/>
      </c>
      <c r="H201">
        <f>IFERROR(INDEX(Scores!$BJ$2:$BJ$158,MATCH($B201,Scores!$BM$2:$BM$158,0)),"")</f>
        <v/>
      </c>
      <c r="I201">
        <f>IFERROR(INDEX(Scores!$BL$2:$BL$158,MATCH($B201,Scores!$BM$2:$BM$158,0)),"")</f>
        <v/>
      </c>
      <c r="J201">
        <f>IFERROR(INDEX(Scores!$Q$2:$Q$158,MATCH($B201,Scores!$BM$2:$BM$158,0)),"")</f>
        <v/>
      </c>
      <c r="K201">
        <f>IFERROR(INDEX(Scores!$AE$2:$AE$158,MATCH($B201,Scores!$BM$2:$BM$158,0)),"")</f>
        <v/>
      </c>
      <c r="L201">
        <f>IFERROR(INDEX(Scores!$AM$2:$AM$158,MATCH($B201,Scores!$BM$2:$BM$158,0)),"")</f>
        <v/>
      </c>
      <c r="M201">
        <f>IFERROR(INDEX(Scores!$AW$2:$AW$158,MATCH($B201,Scores!$BM$2:$BM$158,0)),"")</f>
        <v/>
      </c>
      <c r="N201">
        <f>IFERROR(INDEX(Scores!$BG$2:$BG$158,MATCH($B201,Scores!$BM$2:$BM$158,0)),"")</f>
        <v/>
      </c>
    </row>
    <row r="202">
      <c r="A202" t="inlineStr">
        <is>
          <t>Top 50</t>
        </is>
      </c>
      <c r="B202" t="n">
        <v>41</v>
      </c>
      <c r="C202">
        <f>IFERROR(INDEX(Scores!$BM$2:$BM$158,MATCH($B202,Scores!$BM$2:$BM$158,0)),"")</f>
        <v/>
      </c>
      <c r="D202">
        <f>IFERROR(INDEX(Scores!$B$2:$B$158,MATCH($B202,Scores!$BM$2:$BM$158,0)),"")</f>
        <v/>
      </c>
      <c r="E202">
        <f>IFERROR(INDEX(Scores!$C$2:$C$158,MATCH($B202,Scores!$BM$2:$BM$158,0)),"")</f>
        <v/>
      </c>
      <c r="F202">
        <f>IFERROR(INDEX(Scores!$D$2:$D$158,MATCH($B202,Scores!$BM$2:$BM$158,0)),"")</f>
        <v/>
      </c>
      <c r="G202">
        <f>IFERROR(INDEX(Scores!$E$2:$E$158,MATCH($B202,Scores!$BM$2:$BM$158,0)),"")</f>
        <v/>
      </c>
      <c r="H202">
        <f>IFERROR(INDEX(Scores!$BJ$2:$BJ$158,MATCH($B202,Scores!$BM$2:$BM$158,0)),"")</f>
        <v/>
      </c>
      <c r="I202">
        <f>IFERROR(INDEX(Scores!$BL$2:$BL$158,MATCH($B202,Scores!$BM$2:$BM$158,0)),"")</f>
        <v/>
      </c>
      <c r="J202">
        <f>IFERROR(INDEX(Scores!$Q$2:$Q$158,MATCH($B202,Scores!$BM$2:$BM$158,0)),"")</f>
        <v/>
      </c>
      <c r="K202">
        <f>IFERROR(INDEX(Scores!$AE$2:$AE$158,MATCH($B202,Scores!$BM$2:$BM$158,0)),"")</f>
        <v/>
      </c>
      <c r="L202">
        <f>IFERROR(INDEX(Scores!$AM$2:$AM$158,MATCH($B202,Scores!$BM$2:$BM$158,0)),"")</f>
        <v/>
      </c>
      <c r="M202">
        <f>IFERROR(INDEX(Scores!$AW$2:$AW$158,MATCH($B202,Scores!$BM$2:$BM$158,0)),"")</f>
        <v/>
      </c>
      <c r="N202">
        <f>IFERROR(INDEX(Scores!$BG$2:$BG$158,MATCH($B202,Scores!$BM$2:$BM$158,0)),"")</f>
        <v/>
      </c>
    </row>
    <row r="203">
      <c r="A203" t="inlineStr">
        <is>
          <t>Top 50</t>
        </is>
      </c>
      <c r="B203" t="n">
        <v>42</v>
      </c>
      <c r="C203">
        <f>IFERROR(INDEX(Scores!$BM$2:$BM$158,MATCH($B203,Scores!$BM$2:$BM$158,0)),"")</f>
        <v/>
      </c>
      <c r="D203">
        <f>IFERROR(INDEX(Scores!$B$2:$B$158,MATCH($B203,Scores!$BM$2:$BM$158,0)),"")</f>
        <v/>
      </c>
      <c r="E203">
        <f>IFERROR(INDEX(Scores!$C$2:$C$158,MATCH($B203,Scores!$BM$2:$BM$158,0)),"")</f>
        <v/>
      </c>
      <c r="F203">
        <f>IFERROR(INDEX(Scores!$D$2:$D$158,MATCH($B203,Scores!$BM$2:$BM$158,0)),"")</f>
        <v/>
      </c>
      <c r="G203">
        <f>IFERROR(INDEX(Scores!$E$2:$E$158,MATCH($B203,Scores!$BM$2:$BM$158,0)),"")</f>
        <v/>
      </c>
      <c r="H203">
        <f>IFERROR(INDEX(Scores!$BJ$2:$BJ$158,MATCH($B203,Scores!$BM$2:$BM$158,0)),"")</f>
        <v/>
      </c>
      <c r="I203">
        <f>IFERROR(INDEX(Scores!$BL$2:$BL$158,MATCH($B203,Scores!$BM$2:$BM$158,0)),"")</f>
        <v/>
      </c>
      <c r="J203">
        <f>IFERROR(INDEX(Scores!$Q$2:$Q$158,MATCH($B203,Scores!$BM$2:$BM$158,0)),"")</f>
        <v/>
      </c>
      <c r="K203">
        <f>IFERROR(INDEX(Scores!$AE$2:$AE$158,MATCH($B203,Scores!$BM$2:$BM$158,0)),"")</f>
        <v/>
      </c>
      <c r="L203">
        <f>IFERROR(INDEX(Scores!$AM$2:$AM$158,MATCH($B203,Scores!$BM$2:$BM$158,0)),"")</f>
        <v/>
      </c>
      <c r="M203">
        <f>IFERROR(INDEX(Scores!$AW$2:$AW$158,MATCH($B203,Scores!$BM$2:$BM$158,0)),"")</f>
        <v/>
      </c>
      <c r="N203">
        <f>IFERROR(INDEX(Scores!$BG$2:$BG$158,MATCH($B203,Scores!$BM$2:$BM$158,0)),"")</f>
        <v/>
      </c>
    </row>
    <row r="204">
      <c r="A204" t="inlineStr">
        <is>
          <t>Top 50</t>
        </is>
      </c>
      <c r="B204" t="n">
        <v>43</v>
      </c>
      <c r="C204">
        <f>IFERROR(INDEX(Scores!$BM$2:$BM$158,MATCH($B204,Scores!$BM$2:$BM$158,0)),"")</f>
        <v/>
      </c>
      <c r="D204">
        <f>IFERROR(INDEX(Scores!$B$2:$B$158,MATCH($B204,Scores!$BM$2:$BM$158,0)),"")</f>
        <v/>
      </c>
      <c r="E204">
        <f>IFERROR(INDEX(Scores!$C$2:$C$158,MATCH($B204,Scores!$BM$2:$BM$158,0)),"")</f>
        <v/>
      </c>
      <c r="F204">
        <f>IFERROR(INDEX(Scores!$D$2:$D$158,MATCH($B204,Scores!$BM$2:$BM$158,0)),"")</f>
        <v/>
      </c>
      <c r="G204">
        <f>IFERROR(INDEX(Scores!$E$2:$E$158,MATCH($B204,Scores!$BM$2:$BM$158,0)),"")</f>
        <v/>
      </c>
      <c r="H204">
        <f>IFERROR(INDEX(Scores!$BJ$2:$BJ$158,MATCH($B204,Scores!$BM$2:$BM$158,0)),"")</f>
        <v/>
      </c>
      <c r="I204">
        <f>IFERROR(INDEX(Scores!$BL$2:$BL$158,MATCH($B204,Scores!$BM$2:$BM$158,0)),"")</f>
        <v/>
      </c>
      <c r="J204">
        <f>IFERROR(INDEX(Scores!$Q$2:$Q$158,MATCH($B204,Scores!$BM$2:$BM$158,0)),"")</f>
        <v/>
      </c>
      <c r="K204">
        <f>IFERROR(INDEX(Scores!$AE$2:$AE$158,MATCH($B204,Scores!$BM$2:$BM$158,0)),"")</f>
        <v/>
      </c>
      <c r="L204">
        <f>IFERROR(INDEX(Scores!$AM$2:$AM$158,MATCH($B204,Scores!$BM$2:$BM$158,0)),"")</f>
        <v/>
      </c>
      <c r="M204">
        <f>IFERROR(INDEX(Scores!$AW$2:$AW$158,MATCH($B204,Scores!$BM$2:$BM$158,0)),"")</f>
        <v/>
      </c>
      <c r="N204">
        <f>IFERROR(INDEX(Scores!$BG$2:$BG$158,MATCH($B204,Scores!$BM$2:$BM$158,0)),"")</f>
        <v/>
      </c>
    </row>
    <row r="205">
      <c r="A205" t="inlineStr">
        <is>
          <t>Top 50</t>
        </is>
      </c>
      <c r="B205" t="n">
        <v>44</v>
      </c>
      <c r="C205">
        <f>IFERROR(INDEX(Scores!$BM$2:$BM$158,MATCH($B205,Scores!$BM$2:$BM$158,0)),"")</f>
        <v/>
      </c>
      <c r="D205">
        <f>IFERROR(INDEX(Scores!$B$2:$B$158,MATCH($B205,Scores!$BM$2:$BM$158,0)),"")</f>
        <v/>
      </c>
      <c r="E205">
        <f>IFERROR(INDEX(Scores!$C$2:$C$158,MATCH($B205,Scores!$BM$2:$BM$158,0)),"")</f>
        <v/>
      </c>
      <c r="F205">
        <f>IFERROR(INDEX(Scores!$D$2:$D$158,MATCH($B205,Scores!$BM$2:$BM$158,0)),"")</f>
        <v/>
      </c>
      <c r="G205">
        <f>IFERROR(INDEX(Scores!$E$2:$E$158,MATCH($B205,Scores!$BM$2:$BM$158,0)),"")</f>
        <v/>
      </c>
      <c r="H205">
        <f>IFERROR(INDEX(Scores!$BJ$2:$BJ$158,MATCH($B205,Scores!$BM$2:$BM$158,0)),"")</f>
        <v/>
      </c>
      <c r="I205">
        <f>IFERROR(INDEX(Scores!$BL$2:$BL$158,MATCH($B205,Scores!$BM$2:$BM$158,0)),"")</f>
        <v/>
      </c>
      <c r="J205">
        <f>IFERROR(INDEX(Scores!$Q$2:$Q$158,MATCH($B205,Scores!$BM$2:$BM$158,0)),"")</f>
        <v/>
      </c>
      <c r="K205">
        <f>IFERROR(INDEX(Scores!$AE$2:$AE$158,MATCH($B205,Scores!$BM$2:$BM$158,0)),"")</f>
        <v/>
      </c>
      <c r="L205">
        <f>IFERROR(INDEX(Scores!$AM$2:$AM$158,MATCH($B205,Scores!$BM$2:$BM$158,0)),"")</f>
        <v/>
      </c>
      <c r="M205">
        <f>IFERROR(INDEX(Scores!$AW$2:$AW$158,MATCH($B205,Scores!$BM$2:$BM$158,0)),"")</f>
        <v/>
      </c>
      <c r="N205">
        <f>IFERROR(INDEX(Scores!$BG$2:$BG$158,MATCH($B205,Scores!$BM$2:$BM$158,0)),"")</f>
        <v/>
      </c>
    </row>
    <row r="206">
      <c r="A206" t="inlineStr">
        <is>
          <t>Top 50</t>
        </is>
      </c>
      <c r="B206" t="n">
        <v>45</v>
      </c>
      <c r="C206">
        <f>IFERROR(INDEX(Scores!$BM$2:$BM$158,MATCH($B206,Scores!$BM$2:$BM$158,0)),"")</f>
        <v/>
      </c>
      <c r="D206">
        <f>IFERROR(INDEX(Scores!$B$2:$B$158,MATCH($B206,Scores!$BM$2:$BM$158,0)),"")</f>
        <v/>
      </c>
      <c r="E206">
        <f>IFERROR(INDEX(Scores!$C$2:$C$158,MATCH($B206,Scores!$BM$2:$BM$158,0)),"")</f>
        <v/>
      </c>
      <c r="F206">
        <f>IFERROR(INDEX(Scores!$D$2:$D$158,MATCH($B206,Scores!$BM$2:$BM$158,0)),"")</f>
        <v/>
      </c>
      <c r="G206">
        <f>IFERROR(INDEX(Scores!$E$2:$E$158,MATCH($B206,Scores!$BM$2:$BM$158,0)),"")</f>
        <v/>
      </c>
      <c r="H206">
        <f>IFERROR(INDEX(Scores!$BJ$2:$BJ$158,MATCH($B206,Scores!$BM$2:$BM$158,0)),"")</f>
        <v/>
      </c>
      <c r="I206">
        <f>IFERROR(INDEX(Scores!$BL$2:$BL$158,MATCH($B206,Scores!$BM$2:$BM$158,0)),"")</f>
        <v/>
      </c>
      <c r="J206">
        <f>IFERROR(INDEX(Scores!$Q$2:$Q$158,MATCH($B206,Scores!$BM$2:$BM$158,0)),"")</f>
        <v/>
      </c>
      <c r="K206">
        <f>IFERROR(INDEX(Scores!$AE$2:$AE$158,MATCH($B206,Scores!$BM$2:$BM$158,0)),"")</f>
        <v/>
      </c>
      <c r="L206">
        <f>IFERROR(INDEX(Scores!$AM$2:$AM$158,MATCH($B206,Scores!$BM$2:$BM$158,0)),"")</f>
        <v/>
      </c>
      <c r="M206">
        <f>IFERROR(INDEX(Scores!$AW$2:$AW$158,MATCH($B206,Scores!$BM$2:$BM$158,0)),"")</f>
        <v/>
      </c>
      <c r="N206">
        <f>IFERROR(INDEX(Scores!$BG$2:$BG$158,MATCH($B206,Scores!$BM$2:$BM$158,0)),"")</f>
        <v/>
      </c>
    </row>
    <row r="207">
      <c r="A207" t="inlineStr">
        <is>
          <t>Top 50</t>
        </is>
      </c>
      <c r="B207" t="n">
        <v>46</v>
      </c>
      <c r="C207">
        <f>IFERROR(INDEX(Scores!$BM$2:$BM$158,MATCH($B207,Scores!$BM$2:$BM$158,0)),"")</f>
        <v/>
      </c>
      <c r="D207">
        <f>IFERROR(INDEX(Scores!$B$2:$B$158,MATCH($B207,Scores!$BM$2:$BM$158,0)),"")</f>
        <v/>
      </c>
      <c r="E207">
        <f>IFERROR(INDEX(Scores!$C$2:$C$158,MATCH($B207,Scores!$BM$2:$BM$158,0)),"")</f>
        <v/>
      </c>
      <c r="F207">
        <f>IFERROR(INDEX(Scores!$D$2:$D$158,MATCH($B207,Scores!$BM$2:$BM$158,0)),"")</f>
        <v/>
      </c>
      <c r="G207">
        <f>IFERROR(INDEX(Scores!$E$2:$E$158,MATCH($B207,Scores!$BM$2:$BM$158,0)),"")</f>
        <v/>
      </c>
      <c r="H207">
        <f>IFERROR(INDEX(Scores!$BJ$2:$BJ$158,MATCH($B207,Scores!$BM$2:$BM$158,0)),"")</f>
        <v/>
      </c>
      <c r="I207">
        <f>IFERROR(INDEX(Scores!$BL$2:$BL$158,MATCH($B207,Scores!$BM$2:$BM$158,0)),"")</f>
        <v/>
      </c>
      <c r="J207">
        <f>IFERROR(INDEX(Scores!$Q$2:$Q$158,MATCH($B207,Scores!$BM$2:$BM$158,0)),"")</f>
        <v/>
      </c>
      <c r="K207">
        <f>IFERROR(INDEX(Scores!$AE$2:$AE$158,MATCH($B207,Scores!$BM$2:$BM$158,0)),"")</f>
        <v/>
      </c>
      <c r="L207">
        <f>IFERROR(INDEX(Scores!$AM$2:$AM$158,MATCH($B207,Scores!$BM$2:$BM$158,0)),"")</f>
        <v/>
      </c>
      <c r="M207">
        <f>IFERROR(INDEX(Scores!$AW$2:$AW$158,MATCH($B207,Scores!$BM$2:$BM$158,0)),"")</f>
        <v/>
      </c>
      <c r="N207">
        <f>IFERROR(INDEX(Scores!$BG$2:$BG$158,MATCH($B207,Scores!$BM$2:$BM$158,0)),"")</f>
        <v/>
      </c>
    </row>
    <row r="208">
      <c r="A208" t="inlineStr">
        <is>
          <t>Top 50</t>
        </is>
      </c>
      <c r="B208" t="n">
        <v>47</v>
      </c>
      <c r="C208">
        <f>IFERROR(INDEX(Scores!$BM$2:$BM$158,MATCH($B208,Scores!$BM$2:$BM$158,0)),"")</f>
        <v/>
      </c>
      <c r="D208">
        <f>IFERROR(INDEX(Scores!$B$2:$B$158,MATCH($B208,Scores!$BM$2:$BM$158,0)),"")</f>
        <v/>
      </c>
      <c r="E208">
        <f>IFERROR(INDEX(Scores!$C$2:$C$158,MATCH($B208,Scores!$BM$2:$BM$158,0)),"")</f>
        <v/>
      </c>
      <c r="F208">
        <f>IFERROR(INDEX(Scores!$D$2:$D$158,MATCH($B208,Scores!$BM$2:$BM$158,0)),"")</f>
        <v/>
      </c>
      <c r="G208">
        <f>IFERROR(INDEX(Scores!$E$2:$E$158,MATCH($B208,Scores!$BM$2:$BM$158,0)),"")</f>
        <v/>
      </c>
      <c r="H208">
        <f>IFERROR(INDEX(Scores!$BJ$2:$BJ$158,MATCH($B208,Scores!$BM$2:$BM$158,0)),"")</f>
        <v/>
      </c>
      <c r="I208">
        <f>IFERROR(INDEX(Scores!$BL$2:$BL$158,MATCH($B208,Scores!$BM$2:$BM$158,0)),"")</f>
        <v/>
      </c>
      <c r="J208">
        <f>IFERROR(INDEX(Scores!$Q$2:$Q$158,MATCH($B208,Scores!$BM$2:$BM$158,0)),"")</f>
        <v/>
      </c>
      <c r="K208">
        <f>IFERROR(INDEX(Scores!$AE$2:$AE$158,MATCH($B208,Scores!$BM$2:$BM$158,0)),"")</f>
        <v/>
      </c>
      <c r="L208">
        <f>IFERROR(INDEX(Scores!$AM$2:$AM$158,MATCH($B208,Scores!$BM$2:$BM$158,0)),"")</f>
        <v/>
      </c>
      <c r="M208">
        <f>IFERROR(INDEX(Scores!$AW$2:$AW$158,MATCH($B208,Scores!$BM$2:$BM$158,0)),"")</f>
        <v/>
      </c>
      <c r="N208">
        <f>IFERROR(INDEX(Scores!$BG$2:$BG$158,MATCH($B208,Scores!$BM$2:$BM$158,0)),"")</f>
        <v/>
      </c>
    </row>
    <row r="209">
      <c r="A209" t="inlineStr">
        <is>
          <t>Top 50</t>
        </is>
      </c>
      <c r="B209" t="n">
        <v>48</v>
      </c>
      <c r="C209">
        <f>IFERROR(INDEX(Scores!$BM$2:$BM$158,MATCH($B209,Scores!$BM$2:$BM$158,0)),"")</f>
        <v/>
      </c>
      <c r="D209">
        <f>IFERROR(INDEX(Scores!$B$2:$B$158,MATCH($B209,Scores!$BM$2:$BM$158,0)),"")</f>
        <v/>
      </c>
      <c r="E209">
        <f>IFERROR(INDEX(Scores!$C$2:$C$158,MATCH($B209,Scores!$BM$2:$BM$158,0)),"")</f>
        <v/>
      </c>
      <c r="F209">
        <f>IFERROR(INDEX(Scores!$D$2:$D$158,MATCH($B209,Scores!$BM$2:$BM$158,0)),"")</f>
        <v/>
      </c>
      <c r="G209">
        <f>IFERROR(INDEX(Scores!$E$2:$E$158,MATCH($B209,Scores!$BM$2:$BM$158,0)),"")</f>
        <v/>
      </c>
      <c r="H209">
        <f>IFERROR(INDEX(Scores!$BJ$2:$BJ$158,MATCH($B209,Scores!$BM$2:$BM$158,0)),"")</f>
        <v/>
      </c>
      <c r="I209">
        <f>IFERROR(INDEX(Scores!$BL$2:$BL$158,MATCH($B209,Scores!$BM$2:$BM$158,0)),"")</f>
        <v/>
      </c>
      <c r="J209">
        <f>IFERROR(INDEX(Scores!$Q$2:$Q$158,MATCH($B209,Scores!$BM$2:$BM$158,0)),"")</f>
        <v/>
      </c>
      <c r="K209">
        <f>IFERROR(INDEX(Scores!$AE$2:$AE$158,MATCH($B209,Scores!$BM$2:$BM$158,0)),"")</f>
        <v/>
      </c>
      <c r="L209">
        <f>IFERROR(INDEX(Scores!$AM$2:$AM$158,MATCH($B209,Scores!$BM$2:$BM$158,0)),"")</f>
        <v/>
      </c>
      <c r="M209">
        <f>IFERROR(INDEX(Scores!$AW$2:$AW$158,MATCH($B209,Scores!$BM$2:$BM$158,0)),"")</f>
        <v/>
      </c>
      <c r="N209">
        <f>IFERROR(INDEX(Scores!$BG$2:$BG$158,MATCH($B209,Scores!$BM$2:$BM$158,0)),"")</f>
        <v/>
      </c>
    </row>
    <row r="210">
      <c r="A210" t="inlineStr">
        <is>
          <t>Top 50</t>
        </is>
      </c>
      <c r="B210" t="n">
        <v>49</v>
      </c>
      <c r="C210">
        <f>IFERROR(INDEX(Scores!$BM$2:$BM$158,MATCH($B210,Scores!$BM$2:$BM$158,0)),"")</f>
        <v/>
      </c>
      <c r="D210">
        <f>IFERROR(INDEX(Scores!$B$2:$B$158,MATCH($B210,Scores!$BM$2:$BM$158,0)),"")</f>
        <v/>
      </c>
      <c r="E210">
        <f>IFERROR(INDEX(Scores!$C$2:$C$158,MATCH($B210,Scores!$BM$2:$BM$158,0)),"")</f>
        <v/>
      </c>
      <c r="F210">
        <f>IFERROR(INDEX(Scores!$D$2:$D$158,MATCH($B210,Scores!$BM$2:$BM$158,0)),"")</f>
        <v/>
      </c>
      <c r="G210">
        <f>IFERROR(INDEX(Scores!$E$2:$E$158,MATCH($B210,Scores!$BM$2:$BM$158,0)),"")</f>
        <v/>
      </c>
      <c r="H210">
        <f>IFERROR(INDEX(Scores!$BJ$2:$BJ$158,MATCH($B210,Scores!$BM$2:$BM$158,0)),"")</f>
        <v/>
      </c>
      <c r="I210">
        <f>IFERROR(INDEX(Scores!$BL$2:$BL$158,MATCH($B210,Scores!$BM$2:$BM$158,0)),"")</f>
        <v/>
      </c>
      <c r="J210">
        <f>IFERROR(INDEX(Scores!$Q$2:$Q$158,MATCH($B210,Scores!$BM$2:$BM$158,0)),"")</f>
        <v/>
      </c>
      <c r="K210">
        <f>IFERROR(INDEX(Scores!$AE$2:$AE$158,MATCH($B210,Scores!$BM$2:$BM$158,0)),"")</f>
        <v/>
      </c>
      <c r="L210">
        <f>IFERROR(INDEX(Scores!$AM$2:$AM$158,MATCH($B210,Scores!$BM$2:$BM$158,0)),"")</f>
        <v/>
      </c>
      <c r="M210">
        <f>IFERROR(INDEX(Scores!$AW$2:$AW$158,MATCH($B210,Scores!$BM$2:$BM$158,0)),"")</f>
        <v/>
      </c>
      <c r="N210">
        <f>IFERROR(INDEX(Scores!$BG$2:$BG$158,MATCH($B210,Scores!$BM$2:$BM$158,0)),"")</f>
        <v/>
      </c>
    </row>
    <row r="211">
      <c r="A211" t="inlineStr">
        <is>
          <t>Top 50</t>
        </is>
      </c>
      <c r="B211" t="n">
        <v>50</v>
      </c>
      <c r="C211">
        <f>IFERROR(INDEX(Scores!$BM$2:$BM$158,MATCH($B211,Scores!$BM$2:$BM$158,0)),"")</f>
        <v/>
      </c>
      <c r="D211">
        <f>IFERROR(INDEX(Scores!$B$2:$B$158,MATCH($B211,Scores!$BM$2:$BM$158,0)),"")</f>
        <v/>
      </c>
      <c r="E211">
        <f>IFERROR(INDEX(Scores!$C$2:$C$158,MATCH($B211,Scores!$BM$2:$BM$158,0)),"")</f>
        <v/>
      </c>
      <c r="F211">
        <f>IFERROR(INDEX(Scores!$D$2:$D$158,MATCH($B211,Scores!$BM$2:$BM$158,0)),"")</f>
        <v/>
      </c>
      <c r="G211">
        <f>IFERROR(INDEX(Scores!$E$2:$E$158,MATCH($B211,Scores!$BM$2:$BM$158,0)),"")</f>
        <v/>
      </c>
      <c r="H211">
        <f>IFERROR(INDEX(Scores!$BJ$2:$BJ$158,MATCH($B211,Scores!$BM$2:$BM$158,0)),"")</f>
        <v/>
      </c>
      <c r="I211">
        <f>IFERROR(INDEX(Scores!$BL$2:$BL$158,MATCH($B211,Scores!$BM$2:$BM$158,0)),"")</f>
        <v/>
      </c>
      <c r="J211">
        <f>IFERROR(INDEX(Scores!$Q$2:$Q$158,MATCH($B211,Scores!$BM$2:$BM$158,0)),"")</f>
        <v/>
      </c>
      <c r="K211">
        <f>IFERROR(INDEX(Scores!$AE$2:$AE$158,MATCH($B211,Scores!$BM$2:$BM$158,0)),"")</f>
        <v/>
      </c>
      <c r="L211">
        <f>IFERROR(INDEX(Scores!$AM$2:$AM$158,MATCH($B211,Scores!$BM$2:$BM$158,0)),"")</f>
        <v/>
      </c>
      <c r="M211">
        <f>IFERROR(INDEX(Scores!$AW$2:$AW$158,MATCH($B211,Scores!$BM$2:$BM$158,0)),"")</f>
        <v/>
      </c>
      <c r="N211">
        <f>IFERROR(INDEX(Scores!$BG$2:$BG$158,MATCH($B211,Scores!$BM$2:$BM$158,0)),"")</f>
        <v/>
      </c>
    </row>
  </sheetData>
  <autoFilter ref="A1:N211"/>
  <mergeCells count="2">
    <mergeCell ref="A160:N160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6" t="inlineStr">
        <is>
          <t>cohort</t>
        </is>
      </c>
      <c r="B1" s="6" t="inlineStr">
        <is>
          <t>ranked_city_count</t>
        </is>
      </c>
      <c r="C1" s="6" t="inlineStr">
        <is>
          <t>average_slic_score</t>
        </is>
      </c>
      <c r="D1" s="6" t="inlineStr">
        <is>
          <t>average_overall_coverage</t>
        </is>
      </c>
      <c r="E1" s="6" t="inlineStr">
        <is>
          <t>average_pressure_score</t>
        </is>
      </c>
      <c r="F1" s="6" t="inlineStr">
        <is>
          <t>average_creative_score</t>
        </is>
      </c>
      <c r="G1" s="6" t="inlineStr">
        <is>
          <t>top_ranked_city</t>
        </is>
      </c>
    </row>
    <row r="2">
      <c r="A2" t="inlineStr">
        <is>
          <t>Southeast Asia</t>
        </is>
      </c>
      <c r="B2">
        <f>COUNTIFS(Scores!$D$2:$D$158,$A2,Scores!$BK$2:$BK$158,"Ranked")</f>
        <v/>
      </c>
      <c r="C2">
        <f>IFERROR(AVERAGEIFS(Scores!$BL$2:$BL$158,Scores!$D$2:$D$158,$A2,Scores!$BK$2:$BK$158,"Ranked"),"")</f>
        <v/>
      </c>
      <c r="D2">
        <f>IFERROR(AVERAGEIFS(Scores!$BI$2:$BI$158,Scores!$D$2:$D$158,$A2),"")</f>
        <v/>
      </c>
      <c r="E2">
        <f>IFERROR(AVERAGEIFS(Scores!$Q$2:$Q$158,Scores!$D$2:$D$158,$A2,Scores!$BK$2:$BK$158,"Ranked"),"")</f>
        <v/>
      </c>
      <c r="F2">
        <f>IFERROR(AVERAGEIFS(Scores!$BG$2:$BG$158,Scores!$D$2:$D$158,$A2,Scores!$BK$2:$BK$158,"Ranked"),"")</f>
        <v/>
      </c>
      <c r="G2">
        <f>IFERROR(INDEX(Scores!$B$2:$B$158,MATCH(MINIFS(Scores!$BM$2:$BM$158,Scores!$D$2:$D$158,$A2,Scores!$BK$2:$BK$158,"Ranked"),Scores!$BM$2:$BM$158,0)),"")</f>
        <v/>
      </c>
    </row>
    <row r="3">
      <c r="A3" t="inlineStr">
        <is>
          <t>East Asia</t>
        </is>
      </c>
      <c r="B3">
        <f>COUNTIFS(Scores!$D$2:$D$158,$A3,Scores!$BK$2:$BK$158,"Ranked")</f>
        <v/>
      </c>
      <c r="C3">
        <f>IFERROR(AVERAGEIFS(Scores!$BL$2:$BL$158,Scores!$D$2:$D$158,$A3,Scores!$BK$2:$BK$158,"Ranked"),"")</f>
        <v/>
      </c>
      <c r="D3">
        <f>IFERROR(AVERAGEIFS(Scores!$BI$2:$BI$158,Scores!$D$2:$D$158,$A3),"")</f>
        <v/>
      </c>
      <c r="E3">
        <f>IFERROR(AVERAGEIFS(Scores!$Q$2:$Q$158,Scores!$D$2:$D$158,$A3,Scores!$BK$2:$BK$158,"Ranked"),"")</f>
        <v/>
      </c>
      <c r="F3">
        <f>IFERROR(AVERAGEIFS(Scores!$BG$2:$BG$158,Scores!$D$2:$D$158,$A3,Scores!$BK$2:$BK$158,"Ranked"),"")</f>
        <v/>
      </c>
      <c r="G3">
        <f>IFERROR(INDEX(Scores!$B$2:$B$158,MATCH(MINIFS(Scores!$BM$2:$BM$158,Scores!$D$2:$D$158,$A3,Scores!$BK$2:$BK$158,"Ranked"),Scores!$BM$2:$BM$158,0)),"")</f>
        <v/>
      </c>
    </row>
    <row r="4">
      <c r="A4" t="inlineStr">
        <is>
          <t>South Asia</t>
        </is>
      </c>
      <c r="B4">
        <f>COUNTIFS(Scores!$D$2:$D$158,$A4,Scores!$BK$2:$BK$158,"Ranked")</f>
        <v/>
      </c>
      <c r="C4">
        <f>IFERROR(AVERAGEIFS(Scores!$BL$2:$BL$158,Scores!$D$2:$D$158,$A4,Scores!$BK$2:$BK$158,"Ranked"),"")</f>
        <v/>
      </c>
      <c r="D4">
        <f>IFERROR(AVERAGEIFS(Scores!$BI$2:$BI$158,Scores!$D$2:$D$158,$A4),"")</f>
        <v/>
      </c>
      <c r="E4">
        <f>IFERROR(AVERAGEIFS(Scores!$Q$2:$Q$158,Scores!$D$2:$D$158,$A4,Scores!$BK$2:$BK$158,"Ranked"),"")</f>
        <v/>
      </c>
      <c r="F4">
        <f>IFERROR(AVERAGEIFS(Scores!$BG$2:$BG$158,Scores!$D$2:$D$158,$A4,Scores!$BK$2:$BK$158,"Ranked"),"")</f>
        <v/>
      </c>
      <c r="G4">
        <f>IFERROR(INDEX(Scores!$B$2:$B$158,MATCH(MINIFS(Scores!$BM$2:$BM$158,Scores!$D$2:$D$158,$A4,Scores!$BK$2:$BK$158,"Ranked"),Scores!$BM$2:$BM$158,0)),"")</f>
        <v/>
      </c>
    </row>
    <row r="5">
      <c r="A5" t="inlineStr">
        <is>
          <t>Western, Northern, and Southern Europe</t>
        </is>
      </c>
      <c r="B5">
        <f>COUNTIFS(Scores!$D$2:$D$158,$A5,Scores!$BK$2:$BK$158,"Ranked")</f>
        <v/>
      </c>
      <c r="C5">
        <f>IFERROR(AVERAGEIFS(Scores!$BL$2:$BL$158,Scores!$D$2:$D$158,$A5,Scores!$BK$2:$BK$158,"Ranked"),"")</f>
        <v/>
      </c>
      <c r="D5">
        <f>IFERROR(AVERAGEIFS(Scores!$BI$2:$BI$158,Scores!$D$2:$D$158,$A5),"")</f>
        <v/>
      </c>
      <c r="E5">
        <f>IFERROR(AVERAGEIFS(Scores!$Q$2:$Q$158,Scores!$D$2:$D$158,$A5,Scores!$BK$2:$BK$158,"Ranked"),"")</f>
        <v/>
      </c>
      <c r="F5">
        <f>IFERROR(AVERAGEIFS(Scores!$BG$2:$BG$158,Scores!$D$2:$D$158,$A5,Scores!$BK$2:$BK$158,"Ranked"),"")</f>
        <v/>
      </c>
      <c r="G5">
        <f>IFERROR(INDEX(Scores!$B$2:$B$158,MATCH(MINIFS(Scores!$BM$2:$BM$158,Scores!$D$2:$D$158,$A5,Scores!$BK$2:$BK$158,"Ranked"),Scores!$BM$2:$BM$158,0)),"")</f>
        <v/>
      </c>
    </row>
    <row r="6">
      <c r="A6" t="inlineStr">
        <is>
          <t>Southern/Eastern Europe and Eurasia</t>
        </is>
      </c>
      <c r="B6">
        <f>COUNTIFS(Scores!$D$2:$D$158,$A6,Scores!$BK$2:$BK$158,"Ranked")</f>
        <v/>
      </c>
      <c r="C6">
        <f>IFERROR(AVERAGEIFS(Scores!$BL$2:$BL$158,Scores!$D$2:$D$158,$A6,Scores!$BK$2:$BK$158,"Ranked"),"")</f>
        <v/>
      </c>
      <c r="D6">
        <f>IFERROR(AVERAGEIFS(Scores!$BI$2:$BI$158,Scores!$D$2:$D$158,$A6),"")</f>
        <v/>
      </c>
      <c r="E6">
        <f>IFERROR(AVERAGEIFS(Scores!$Q$2:$Q$158,Scores!$D$2:$D$158,$A6,Scores!$BK$2:$BK$158,"Ranked"),"")</f>
        <v/>
      </c>
      <c r="F6">
        <f>IFERROR(AVERAGEIFS(Scores!$BG$2:$BG$158,Scores!$D$2:$D$158,$A6,Scores!$BK$2:$BK$158,"Ranked"),"")</f>
        <v/>
      </c>
      <c r="G6">
        <f>IFERROR(INDEX(Scores!$B$2:$B$158,MATCH(MINIFS(Scores!$BM$2:$BM$158,Scores!$D$2:$D$158,$A6,Scores!$BK$2:$BK$158,"Ranked"),Scores!$BM$2:$BM$158,0)),"")</f>
        <v/>
      </c>
    </row>
    <row r="7">
      <c r="A7" t="inlineStr">
        <is>
          <t>North America</t>
        </is>
      </c>
      <c r="B7">
        <f>COUNTIFS(Scores!$D$2:$D$158,$A7,Scores!$BK$2:$BK$158,"Ranked")</f>
        <v/>
      </c>
      <c r="C7">
        <f>IFERROR(AVERAGEIFS(Scores!$BL$2:$BL$158,Scores!$D$2:$D$158,$A7,Scores!$BK$2:$BK$158,"Ranked"),"")</f>
        <v/>
      </c>
      <c r="D7">
        <f>IFERROR(AVERAGEIFS(Scores!$BI$2:$BI$158,Scores!$D$2:$D$158,$A7),"")</f>
        <v/>
      </c>
      <c r="E7">
        <f>IFERROR(AVERAGEIFS(Scores!$Q$2:$Q$158,Scores!$D$2:$D$158,$A7,Scores!$BK$2:$BK$158,"Ranked"),"")</f>
        <v/>
      </c>
      <c r="F7">
        <f>IFERROR(AVERAGEIFS(Scores!$BG$2:$BG$158,Scores!$D$2:$D$158,$A7,Scores!$BK$2:$BK$158,"Ranked"),"")</f>
        <v/>
      </c>
      <c r="G7">
        <f>IFERROR(INDEX(Scores!$B$2:$B$158,MATCH(MINIFS(Scores!$BM$2:$BM$158,Scores!$D$2:$D$158,$A7,Scores!$BK$2:$BK$158,"Ranked"),Scores!$BM$2:$BM$158,0)),"")</f>
        <v/>
      </c>
    </row>
    <row r="8">
      <c r="A8" t="inlineStr">
        <is>
          <t>Latin America</t>
        </is>
      </c>
      <c r="B8">
        <f>COUNTIFS(Scores!$D$2:$D$158,$A8,Scores!$BK$2:$BK$158,"Ranked")</f>
        <v/>
      </c>
      <c r="C8">
        <f>IFERROR(AVERAGEIFS(Scores!$BL$2:$BL$158,Scores!$D$2:$D$158,$A8,Scores!$BK$2:$BK$158,"Ranked"),"")</f>
        <v/>
      </c>
      <c r="D8">
        <f>IFERROR(AVERAGEIFS(Scores!$BI$2:$BI$158,Scores!$D$2:$D$158,$A8),"")</f>
        <v/>
      </c>
      <c r="E8">
        <f>IFERROR(AVERAGEIFS(Scores!$Q$2:$Q$158,Scores!$D$2:$D$158,$A8,Scores!$BK$2:$BK$158,"Ranked"),"")</f>
        <v/>
      </c>
      <c r="F8">
        <f>IFERROR(AVERAGEIFS(Scores!$BG$2:$BG$158,Scores!$D$2:$D$158,$A8,Scores!$BK$2:$BK$158,"Ranked"),"")</f>
        <v/>
      </c>
      <c r="G8">
        <f>IFERROR(INDEX(Scores!$B$2:$B$158,MATCH(MINIFS(Scores!$BM$2:$BM$158,Scores!$D$2:$D$158,$A8,Scores!$BK$2:$BK$158,"Ranked"),Scores!$BM$2:$BM$158,0)),"")</f>
        <v/>
      </c>
    </row>
    <row r="9">
      <c r="A9" t="inlineStr">
        <is>
          <t>Middle East</t>
        </is>
      </c>
      <c r="B9">
        <f>COUNTIFS(Scores!$D$2:$D$158,$A9,Scores!$BK$2:$BK$158,"Ranked")</f>
        <v/>
      </c>
      <c r="C9">
        <f>IFERROR(AVERAGEIFS(Scores!$BL$2:$BL$158,Scores!$D$2:$D$158,$A9,Scores!$BK$2:$BK$158,"Ranked"),"")</f>
        <v/>
      </c>
      <c r="D9">
        <f>IFERROR(AVERAGEIFS(Scores!$BI$2:$BI$158,Scores!$D$2:$D$158,$A9),"")</f>
        <v/>
      </c>
      <c r="E9">
        <f>IFERROR(AVERAGEIFS(Scores!$Q$2:$Q$158,Scores!$D$2:$D$158,$A9,Scores!$BK$2:$BK$158,"Ranked"),"")</f>
        <v/>
      </c>
      <c r="F9">
        <f>IFERROR(AVERAGEIFS(Scores!$BG$2:$BG$158,Scores!$D$2:$D$158,$A9,Scores!$BK$2:$BK$158,"Ranked"),"")</f>
        <v/>
      </c>
      <c r="G9">
        <f>IFERROR(INDEX(Scores!$B$2:$B$158,MATCH(MINIFS(Scores!$BM$2:$BM$158,Scores!$D$2:$D$158,$A9,Scores!$BK$2:$BK$158,"Ranked"),Scores!$BM$2:$BM$158,0)),"")</f>
        <v/>
      </c>
    </row>
    <row r="10">
      <c r="A10" t="inlineStr">
        <is>
          <t>Africa</t>
        </is>
      </c>
      <c r="B10">
        <f>COUNTIFS(Scores!$D$2:$D$158,$A10,Scores!$BK$2:$BK$158,"Ranked")</f>
        <v/>
      </c>
      <c r="C10">
        <f>IFERROR(AVERAGEIFS(Scores!$BL$2:$BL$158,Scores!$D$2:$D$158,$A10,Scores!$BK$2:$BK$158,"Ranked"),"")</f>
        <v/>
      </c>
      <c r="D10">
        <f>IFERROR(AVERAGEIFS(Scores!$BI$2:$BI$158,Scores!$D$2:$D$158,$A10),"")</f>
        <v/>
      </c>
      <c r="E10">
        <f>IFERROR(AVERAGEIFS(Scores!$Q$2:$Q$158,Scores!$D$2:$D$158,$A10,Scores!$BK$2:$BK$158,"Ranked"),"")</f>
        <v/>
      </c>
      <c r="F10">
        <f>IFERROR(AVERAGEIFS(Scores!$BG$2:$BG$158,Scores!$D$2:$D$158,$A10,Scores!$BK$2:$BK$158,"Ranked"),"")</f>
        <v/>
      </c>
      <c r="G10">
        <f>IFERROR(INDEX(Scores!$B$2:$B$158,MATCH(MINIFS(Scores!$BM$2:$BM$158,Scores!$D$2:$D$158,$A10,Scores!$BK$2:$BK$158,"Ranked"),Scores!$BM$2:$BM$158,0)),"")</f>
        <v/>
      </c>
    </row>
    <row r="11">
      <c r="A11" t="inlineStr">
        <is>
          <t>Oceania</t>
        </is>
      </c>
      <c r="B11">
        <f>COUNTIFS(Scores!$D$2:$D$158,$A11,Scores!$BK$2:$BK$158,"Ranked")</f>
        <v/>
      </c>
      <c r="C11">
        <f>IFERROR(AVERAGEIFS(Scores!$BL$2:$BL$158,Scores!$D$2:$D$158,$A11,Scores!$BK$2:$BK$158,"Ranked"),"")</f>
        <v/>
      </c>
      <c r="D11">
        <f>IFERROR(AVERAGEIFS(Scores!$BI$2:$BI$158,Scores!$D$2:$D$158,$A11),"")</f>
        <v/>
      </c>
      <c r="E11">
        <f>IFERROR(AVERAGEIFS(Scores!$Q$2:$Q$158,Scores!$D$2:$D$158,$A11,Scores!$BK$2:$BK$158,"Ranked"),"")</f>
        <v/>
      </c>
      <c r="F11">
        <f>IFERROR(AVERAGEIFS(Scores!$BG$2:$BG$158,Scores!$D$2:$D$158,$A11,Scores!$BK$2:$BK$158,"Ranked"),"")</f>
        <v/>
      </c>
      <c r="G11">
        <f>IFERROR(INDEX(Scores!$B$2:$B$158,MATCH(MINIFS(Scores!$BM$2:$BM$158,Scores!$D$2:$D$158,$A11,Scores!$BK$2:$BK$158,"Ranked"),Scores!$BM$2:$BM$158,0)),"")</f>
        <v/>
      </c>
    </row>
  </sheetData>
  <autoFilter ref="A1:G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5" customWidth="1" min="4" max="4"/>
    <col width="17" customWidth="1" min="5" max="5"/>
    <col width="16" customWidth="1" min="6" max="6"/>
    <col width="14" customWidth="1" min="7" max="7"/>
    <col width="22" customWidth="1" min="8" max="8"/>
    <col width="15" customWidth="1" min="9" max="9"/>
    <col width="12" customWidth="1" min="10" max="10"/>
    <col width="23" customWidth="1" min="11" max="11"/>
    <col width="28" customWidth="1" min="12" max="12"/>
    <col width="28" customWidth="1" min="13" max="13"/>
    <col width="28" customWidth="1" min="14" max="14"/>
  </cols>
  <sheetData>
    <row r="1">
      <c r="A1" s="6" t="inlineStr">
        <is>
          <t>city_id</t>
        </is>
      </c>
      <c r="B1" s="6" t="inlineStr">
        <is>
          <t>display_name</t>
        </is>
      </c>
      <c r="C1" s="6" t="inlineStr">
        <is>
          <t>province</t>
        </is>
      </c>
      <c r="D1" s="6" t="inlineStr">
        <is>
          <t>province_gdp_per_capita</t>
        </is>
      </c>
      <c r="E1" s="6" t="inlineStr">
        <is>
          <t>pollution_index</t>
        </is>
      </c>
      <c r="F1" s="6" t="inlineStr">
        <is>
          <t>hospital_count</t>
        </is>
      </c>
      <c r="G1" s="6" t="inlineStr">
        <is>
          <t>school_count</t>
        </is>
      </c>
      <c r="H1" s="6" t="inlineStr">
        <is>
          <t>infrastructure_index</t>
        </is>
      </c>
      <c r="I1" s="6" t="inlineStr">
        <is>
          <t>median_income</t>
        </is>
      </c>
      <c r="J1" s="6" t="inlineStr">
        <is>
          <t>longevity</t>
        </is>
      </c>
      <c r="K1" s="6" t="inlineStr">
        <is>
          <t>competitiveness_index</t>
        </is>
      </c>
      <c r="L1" s="6" t="inlineStr">
        <is>
          <t>thai_slic_score</t>
        </is>
      </c>
      <c r="M1" s="6" t="inlineStr">
        <is>
          <t>rank</t>
        </is>
      </c>
      <c r="N1" s="6" t="inlineStr">
        <is>
          <t>notes</t>
        </is>
      </c>
    </row>
    <row r="2">
      <c r="A2" t="inlineStr">
        <is>
          <t>th-bangkok</t>
        </is>
      </c>
      <c r="B2" t="inlineStr">
        <is>
          <t>Bangkok</t>
        </is>
      </c>
      <c r="C2" t="inlineStr">
        <is>
          <t>Bangkok</t>
        </is>
      </c>
      <c r="L2" s="13">
        <f>IF(COUNT(D2:K2)=0,"",(IF(D2="",0,IF(COUNT($D$2:$D$12)&gt;=2,PERCENTRANK.INC($D$2:$D$12,D2)*100,"")*0.15)+IF(E2="",0,IF(COUNT($E$2:$E$12)&gt;=2,(1-PERCENTRANK.INC($E$2:$E$12,E2))*100,"")*0.15)+IF(F2="",0,IF(COUNT($F$2:$F$12)&gt;=2,PERCENTRANK.INC($F$2:$F$12,F2)*100,"")*0.15)+IF(G2="",0,IF(COUNT($G$2:$G$12)&gt;=2,PERCENTRANK.INC($G$2:$G$12,G2)*100,"")*0.10)+IF(H2="",0,IF(COUNT($H$2:$H$12)&gt;=2,PERCENTRANK.INC($H$2:$H$12,H2)*100,"")*0.10)+IF(I2="",0,IF(COUNT($I$2:$I$12)&gt;=2,PERCENTRANK.INC($I$2:$I$12,I2)*100,"")*0.15)+IF(J2="",0,IF(COUNT($J$2:$J$12)&gt;=2,PERCENTRANK.INC($J$2:$J$12,J2)*100,"")*0.10)+IF(K2="",0,IF(COUNT($K$2:$K$12)&gt;=2,PERCENTRANK.INC($K$2:$K$12,K2)*100,"")*0.10))/(IF(D2="",0,0.15)+IF(E2="",0,0.15)+IF(F2="",0,0.15)+IF(G2="",0,0.10)+IF(H2="",0,0.10)+IF(I2="",0,0.15)+IF(J2="",0,0.10)+IF(K2="",0,0.10)))</f>
        <v/>
      </c>
      <c r="M2" s="13">
        <f>IF(L2="", "", 1+COUNTIF($L$2:$L$12, "&gt;"&amp;L2))</f>
        <v/>
      </c>
      <c r="N2" s="3" t="inlineStr">
        <is>
          <t>Thailand-only companion ranking. This sheet is intentionally separate from global SLIC so province and city data can be handled with Thai-specific logic.</t>
        </is>
      </c>
    </row>
    <row r="3">
      <c r="A3" t="inlineStr">
        <is>
          <t>th-chonburi</t>
        </is>
      </c>
      <c r="B3" t="inlineStr">
        <is>
          <t>Chonburi-Pattaya</t>
        </is>
      </c>
      <c r="C3" t="inlineStr">
        <is>
          <t>Chonburi</t>
        </is>
      </c>
      <c r="L3" s="13">
        <f>IF(COUNT(D3:K3)=0,"",(IF(D3="",0,IF(COUNT($D$2:$D$12)&gt;=2,PERCENTRANK.INC($D$2:$D$12,D3)*100,"")*0.15)+IF(E3="",0,IF(COUNT($E$2:$E$12)&gt;=2,(1-PERCENTRANK.INC($E$2:$E$12,E3))*100,"")*0.15)+IF(F3="",0,IF(COUNT($F$2:$F$12)&gt;=2,PERCENTRANK.INC($F$2:$F$12,F3)*100,"")*0.15)+IF(G3="",0,IF(COUNT($G$2:$G$12)&gt;=2,PERCENTRANK.INC($G$2:$G$12,G3)*100,"")*0.10)+IF(H3="",0,IF(COUNT($H$2:$H$12)&gt;=2,PERCENTRANK.INC($H$2:$H$12,H3)*100,"")*0.10)+IF(I3="",0,IF(COUNT($I$2:$I$12)&gt;=2,PERCENTRANK.INC($I$2:$I$12,I3)*100,"")*0.15)+IF(J3="",0,IF(COUNT($J$2:$J$12)&gt;=2,PERCENTRANK.INC($J$2:$J$12,J3)*100,"")*0.10)+IF(K3="",0,IF(COUNT($K$2:$K$12)&gt;=2,PERCENTRANK.INC($K$2:$K$12,K3)*100,"")*0.10))/(IF(D3="",0,0.15)+IF(E3="",0,0.15)+IF(F3="",0,0.15)+IF(G3="",0,0.10)+IF(H3="",0,0.10)+IF(I3="",0,0.15)+IF(J3="",0,0.10)+IF(K3="",0,0.10)))</f>
        <v/>
      </c>
      <c r="M3" s="13">
        <f>IF(L3="", "", 1+COUNTIF($L$2:$L$12, "&gt;"&amp;L3))</f>
        <v/>
      </c>
    </row>
    <row r="4">
      <c r="A4" t="inlineStr">
        <is>
          <t>th-phuket</t>
        </is>
      </c>
      <c r="B4" t="inlineStr">
        <is>
          <t>Phuket</t>
        </is>
      </c>
      <c r="C4" t="inlineStr">
        <is>
          <t>Phuket</t>
        </is>
      </c>
      <c r="L4" s="13">
        <f>IF(COUNT(D4:K4)=0,"",(IF(D4="",0,IF(COUNT($D$2:$D$12)&gt;=2,PERCENTRANK.INC($D$2:$D$12,D4)*100,"")*0.15)+IF(E4="",0,IF(COUNT($E$2:$E$12)&gt;=2,(1-PERCENTRANK.INC($E$2:$E$12,E4))*100,"")*0.15)+IF(F4="",0,IF(COUNT($F$2:$F$12)&gt;=2,PERCENTRANK.INC($F$2:$F$12,F4)*100,"")*0.15)+IF(G4="",0,IF(COUNT($G$2:$G$12)&gt;=2,PERCENTRANK.INC($G$2:$G$12,G4)*100,"")*0.10)+IF(H4="",0,IF(COUNT($H$2:$H$12)&gt;=2,PERCENTRANK.INC($H$2:$H$12,H4)*100,"")*0.10)+IF(I4="",0,IF(COUNT($I$2:$I$12)&gt;=2,PERCENTRANK.INC($I$2:$I$12,I4)*100,"")*0.15)+IF(J4="",0,IF(COUNT($J$2:$J$12)&gt;=2,PERCENTRANK.INC($J$2:$J$12,J4)*100,"")*0.10)+IF(K4="",0,IF(COUNT($K$2:$K$12)&gt;=2,PERCENTRANK.INC($K$2:$K$12,K4)*100,"")*0.10))/(IF(D4="",0,0.15)+IF(E4="",0,0.15)+IF(F4="",0,0.15)+IF(G4="",0,0.10)+IF(H4="",0,0.10)+IF(I4="",0,0.15)+IF(J4="",0,0.10)+IF(K4="",0,0.10)))</f>
        <v/>
      </c>
      <c r="M4" s="13">
        <f>IF(L4="", "", 1+COUNTIF($L$2:$L$12, "&gt;"&amp;L4))</f>
        <v/>
      </c>
    </row>
    <row r="5">
      <c r="A5" t="inlineStr">
        <is>
          <t>th-chiang-mai</t>
        </is>
      </c>
      <c r="B5" t="inlineStr">
        <is>
          <t>Chiang Mai</t>
        </is>
      </c>
      <c r="C5" t="inlineStr">
        <is>
          <t>Chiang Mai</t>
        </is>
      </c>
      <c r="L5" s="13">
        <f>IF(COUNT(D5:K5)=0,"",(IF(D5="",0,IF(COUNT($D$2:$D$12)&gt;=2,PERCENTRANK.INC($D$2:$D$12,D5)*100,"")*0.15)+IF(E5="",0,IF(COUNT($E$2:$E$12)&gt;=2,(1-PERCENTRANK.INC($E$2:$E$12,E5))*100,"")*0.15)+IF(F5="",0,IF(COUNT($F$2:$F$12)&gt;=2,PERCENTRANK.INC($F$2:$F$12,F5)*100,"")*0.15)+IF(G5="",0,IF(COUNT($G$2:$G$12)&gt;=2,PERCENTRANK.INC($G$2:$G$12,G5)*100,"")*0.10)+IF(H5="",0,IF(COUNT($H$2:$H$12)&gt;=2,PERCENTRANK.INC($H$2:$H$12,H5)*100,"")*0.10)+IF(I5="",0,IF(COUNT($I$2:$I$12)&gt;=2,PERCENTRANK.INC($I$2:$I$12,I5)*100,"")*0.15)+IF(J5="",0,IF(COUNT($J$2:$J$12)&gt;=2,PERCENTRANK.INC($J$2:$J$12,J5)*100,"")*0.10)+IF(K5="",0,IF(COUNT($K$2:$K$12)&gt;=2,PERCENTRANK.INC($K$2:$K$12,K5)*100,"")*0.10))/(IF(D5="",0,0.15)+IF(E5="",0,0.15)+IF(F5="",0,0.15)+IF(G5="",0,0.10)+IF(H5="",0,0.10)+IF(I5="",0,0.15)+IF(J5="",0,0.10)+IF(K5="",0,0.10)))</f>
        <v/>
      </c>
      <c r="M5" s="13">
        <f>IF(L5="", "", 1+COUNTIF($L$2:$L$12, "&gt;"&amp;L5))</f>
        <v/>
      </c>
    </row>
    <row r="6">
      <c r="A6" t="inlineStr">
        <is>
          <t>th-chiang-rai</t>
        </is>
      </c>
      <c r="B6" t="inlineStr">
        <is>
          <t>Chiang Rai</t>
        </is>
      </c>
      <c r="C6" t="inlineStr">
        <is>
          <t>Chiang Rai</t>
        </is>
      </c>
      <c r="L6" s="13">
        <f>IF(COUNT(D6:K6)=0,"",(IF(D6="",0,IF(COUNT($D$2:$D$12)&gt;=2,PERCENTRANK.INC($D$2:$D$12,D6)*100,"")*0.15)+IF(E6="",0,IF(COUNT($E$2:$E$12)&gt;=2,(1-PERCENTRANK.INC($E$2:$E$12,E6))*100,"")*0.15)+IF(F6="",0,IF(COUNT($F$2:$F$12)&gt;=2,PERCENTRANK.INC($F$2:$F$12,F6)*100,"")*0.15)+IF(G6="",0,IF(COUNT($G$2:$G$12)&gt;=2,PERCENTRANK.INC($G$2:$G$12,G6)*100,"")*0.10)+IF(H6="",0,IF(COUNT($H$2:$H$12)&gt;=2,PERCENTRANK.INC($H$2:$H$12,H6)*100,"")*0.10)+IF(I6="",0,IF(COUNT($I$2:$I$12)&gt;=2,PERCENTRANK.INC($I$2:$I$12,I6)*100,"")*0.15)+IF(J6="",0,IF(COUNT($J$2:$J$12)&gt;=2,PERCENTRANK.INC($J$2:$J$12,J6)*100,"")*0.10)+IF(K6="",0,IF(COUNT($K$2:$K$12)&gt;=2,PERCENTRANK.INC($K$2:$K$12,K6)*100,"")*0.10))/(IF(D6="",0,0.15)+IF(E6="",0,0.15)+IF(F6="",0,0.15)+IF(G6="",0,0.10)+IF(H6="",0,0.10)+IF(I6="",0,0.15)+IF(J6="",0,0.10)+IF(K6="",0,0.10)))</f>
        <v/>
      </c>
      <c r="M6" s="13">
        <f>IF(L6="", "", 1+COUNTIF($L$2:$L$12, "&gt;"&amp;L6))</f>
        <v/>
      </c>
    </row>
    <row r="7">
      <c r="A7" t="inlineStr">
        <is>
          <t>th-nakhon-si-thammarat</t>
        </is>
      </c>
      <c r="B7" t="inlineStr">
        <is>
          <t>Nakhon Si Thammarat</t>
        </is>
      </c>
      <c r="C7" t="inlineStr">
        <is>
          <t>Nakhon Si Thammarat</t>
        </is>
      </c>
      <c r="L7" s="13">
        <f>IF(COUNT(D7:K7)=0,"",(IF(D7="",0,IF(COUNT($D$2:$D$12)&gt;=2,PERCENTRANK.INC($D$2:$D$12,D7)*100,"")*0.15)+IF(E7="",0,IF(COUNT($E$2:$E$12)&gt;=2,(1-PERCENTRANK.INC($E$2:$E$12,E7))*100,"")*0.15)+IF(F7="",0,IF(COUNT($F$2:$F$12)&gt;=2,PERCENTRANK.INC($F$2:$F$12,F7)*100,"")*0.15)+IF(G7="",0,IF(COUNT($G$2:$G$12)&gt;=2,PERCENTRANK.INC($G$2:$G$12,G7)*100,"")*0.10)+IF(H7="",0,IF(COUNT($H$2:$H$12)&gt;=2,PERCENTRANK.INC($H$2:$H$12,H7)*100,"")*0.10)+IF(I7="",0,IF(COUNT($I$2:$I$12)&gt;=2,PERCENTRANK.INC($I$2:$I$12,I7)*100,"")*0.15)+IF(J7="",0,IF(COUNT($J$2:$J$12)&gt;=2,PERCENTRANK.INC($J$2:$J$12,J7)*100,"")*0.10)+IF(K7="",0,IF(COUNT($K$2:$K$12)&gt;=2,PERCENTRANK.INC($K$2:$K$12,K7)*100,"")*0.10))/(IF(D7="",0,0.15)+IF(E7="",0,0.15)+IF(F7="",0,0.15)+IF(G7="",0,0.10)+IF(H7="",0,0.10)+IF(I7="",0,0.15)+IF(J7="",0,0.10)+IF(K7="",0,0.10)))</f>
        <v/>
      </c>
      <c r="M7" s="13">
        <f>IF(L7="", "", 1+COUNTIF($L$2:$L$12, "&gt;"&amp;L7))</f>
        <v/>
      </c>
    </row>
    <row r="8">
      <c r="A8" t="inlineStr">
        <is>
          <t>th-nakhon-ratchasima</t>
        </is>
      </c>
      <c r="B8" t="inlineStr">
        <is>
          <t>Nakhon Ratchasima</t>
        </is>
      </c>
      <c r="C8" t="inlineStr">
        <is>
          <t>Nakhon Ratchasima</t>
        </is>
      </c>
      <c r="L8" s="13">
        <f>IF(COUNT(D8:K8)=0,"",(IF(D8="",0,IF(COUNT($D$2:$D$12)&gt;=2,PERCENTRANK.INC($D$2:$D$12,D8)*100,"")*0.15)+IF(E8="",0,IF(COUNT($E$2:$E$12)&gt;=2,(1-PERCENTRANK.INC($E$2:$E$12,E8))*100,"")*0.15)+IF(F8="",0,IF(COUNT($F$2:$F$12)&gt;=2,PERCENTRANK.INC($F$2:$F$12,F8)*100,"")*0.15)+IF(G8="",0,IF(COUNT($G$2:$G$12)&gt;=2,PERCENTRANK.INC($G$2:$G$12,G8)*100,"")*0.10)+IF(H8="",0,IF(COUNT($H$2:$H$12)&gt;=2,PERCENTRANK.INC($H$2:$H$12,H8)*100,"")*0.10)+IF(I8="",0,IF(COUNT($I$2:$I$12)&gt;=2,PERCENTRANK.INC($I$2:$I$12,I8)*100,"")*0.15)+IF(J8="",0,IF(COUNT($J$2:$J$12)&gt;=2,PERCENTRANK.INC($J$2:$J$12,J8)*100,"")*0.10)+IF(K8="",0,IF(COUNT($K$2:$K$12)&gt;=2,PERCENTRANK.INC($K$2:$K$12,K8)*100,"")*0.10))/(IF(D8="",0,0.15)+IF(E8="",0,0.15)+IF(F8="",0,0.15)+IF(G8="",0,0.10)+IF(H8="",0,0.10)+IF(I8="",0,0.15)+IF(J8="",0,0.10)+IF(K8="",0,0.10)))</f>
        <v/>
      </c>
      <c r="M8" s="13">
        <f>IF(L8="", "", 1+COUNTIF($L$2:$L$12, "&gt;"&amp;L8))</f>
        <v/>
      </c>
    </row>
    <row r="9">
      <c r="A9" t="inlineStr">
        <is>
          <t>th-khon-kaen</t>
        </is>
      </c>
      <c r="B9" t="inlineStr">
        <is>
          <t>Khon Kaen</t>
        </is>
      </c>
      <c r="C9" t="inlineStr">
        <is>
          <t>Khon Kaen</t>
        </is>
      </c>
      <c r="L9" s="13">
        <f>IF(COUNT(D9:K9)=0,"",(IF(D9="",0,IF(COUNT($D$2:$D$12)&gt;=2,PERCENTRANK.INC($D$2:$D$12,D9)*100,"")*0.15)+IF(E9="",0,IF(COUNT($E$2:$E$12)&gt;=2,(1-PERCENTRANK.INC($E$2:$E$12,E9))*100,"")*0.15)+IF(F9="",0,IF(COUNT($F$2:$F$12)&gt;=2,PERCENTRANK.INC($F$2:$F$12,F9)*100,"")*0.15)+IF(G9="",0,IF(COUNT($G$2:$G$12)&gt;=2,PERCENTRANK.INC($G$2:$G$12,G9)*100,"")*0.10)+IF(H9="",0,IF(COUNT($H$2:$H$12)&gt;=2,PERCENTRANK.INC($H$2:$H$12,H9)*100,"")*0.10)+IF(I9="",0,IF(COUNT($I$2:$I$12)&gt;=2,PERCENTRANK.INC($I$2:$I$12,I9)*100,"")*0.15)+IF(J9="",0,IF(COUNT($J$2:$J$12)&gt;=2,PERCENTRANK.INC($J$2:$J$12,J9)*100,"")*0.10)+IF(K9="",0,IF(COUNT($K$2:$K$12)&gt;=2,PERCENTRANK.INC($K$2:$K$12,K9)*100,"")*0.10))/(IF(D9="",0,0.15)+IF(E9="",0,0.15)+IF(F9="",0,0.15)+IF(G9="",0,0.10)+IF(H9="",0,0.10)+IF(I9="",0,0.15)+IF(J9="",0,0.10)+IF(K9="",0,0.10)))</f>
        <v/>
      </c>
      <c r="M9" s="13">
        <f>IF(L9="", "", 1+COUNTIF($L$2:$L$12, "&gt;"&amp;L9))</f>
        <v/>
      </c>
    </row>
    <row r="10">
      <c r="A10" t="inlineStr">
        <is>
          <t>th-ubon-ratchathani</t>
        </is>
      </c>
      <c r="B10" t="inlineStr">
        <is>
          <t>Ubon Ratchathani</t>
        </is>
      </c>
      <c r="C10" t="inlineStr">
        <is>
          <t>Ubon Ratchathani</t>
        </is>
      </c>
      <c r="L10" s="13">
        <f>IF(COUNT(D10:K10)=0,"",(IF(D10="",0,IF(COUNT($D$2:$D$12)&gt;=2,PERCENTRANK.INC($D$2:$D$12,D10)*100,"")*0.15)+IF(E10="",0,IF(COUNT($E$2:$E$12)&gt;=2,(1-PERCENTRANK.INC($E$2:$E$12,E10))*100,"")*0.15)+IF(F10="",0,IF(COUNT($F$2:$F$12)&gt;=2,PERCENTRANK.INC($F$2:$F$12,F10)*100,"")*0.15)+IF(G10="",0,IF(COUNT($G$2:$G$12)&gt;=2,PERCENTRANK.INC($G$2:$G$12,G10)*100,"")*0.10)+IF(H10="",0,IF(COUNT($H$2:$H$12)&gt;=2,PERCENTRANK.INC($H$2:$H$12,H10)*100,"")*0.10)+IF(I10="",0,IF(COUNT($I$2:$I$12)&gt;=2,PERCENTRANK.INC($I$2:$I$12,I10)*100,"")*0.15)+IF(J10="",0,IF(COUNT($J$2:$J$12)&gt;=2,PERCENTRANK.INC($J$2:$J$12,J10)*100,"")*0.10)+IF(K10="",0,IF(COUNT($K$2:$K$12)&gt;=2,PERCENTRANK.INC($K$2:$K$12,K10)*100,"")*0.10))/(IF(D10="",0,0.15)+IF(E10="",0,0.15)+IF(F10="",0,0.15)+IF(G10="",0,0.10)+IF(H10="",0,0.10)+IF(I10="",0,0.15)+IF(J10="",0,0.10)+IF(K10="",0,0.10)))</f>
        <v/>
      </c>
      <c r="M10" s="13">
        <f>IF(L10="", "", 1+COUNTIF($L$2:$L$12, "&gt;"&amp;L10))</f>
        <v/>
      </c>
    </row>
    <row r="11">
      <c r="A11" t="inlineStr">
        <is>
          <t>th-surat-thani</t>
        </is>
      </c>
      <c r="B11" t="inlineStr">
        <is>
          <t>Surat Thani</t>
        </is>
      </c>
      <c r="C11" t="inlineStr">
        <is>
          <t>Surat Thani</t>
        </is>
      </c>
      <c r="L11" s="13">
        <f>IF(COUNT(D11:K11)=0,"",(IF(D11="",0,IF(COUNT($D$2:$D$12)&gt;=2,PERCENTRANK.INC($D$2:$D$12,D11)*100,"")*0.15)+IF(E11="",0,IF(COUNT($E$2:$E$12)&gt;=2,(1-PERCENTRANK.INC($E$2:$E$12,E11))*100,"")*0.15)+IF(F11="",0,IF(COUNT($F$2:$F$12)&gt;=2,PERCENTRANK.INC($F$2:$F$12,F11)*100,"")*0.15)+IF(G11="",0,IF(COUNT($G$2:$G$12)&gt;=2,PERCENTRANK.INC($G$2:$G$12,G11)*100,"")*0.10)+IF(H11="",0,IF(COUNT($H$2:$H$12)&gt;=2,PERCENTRANK.INC($H$2:$H$12,H11)*100,"")*0.10)+IF(I11="",0,IF(COUNT($I$2:$I$12)&gt;=2,PERCENTRANK.INC($I$2:$I$12,I11)*100,"")*0.15)+IF(J11="",0,IF(COUNT($J$2:$J$12)&gt;=2,PERCENTRANK.INC($J$2:$J$12,J11)*100,"")*0.10)+IF(K11="",0,IF(COUNT($K$2:$K$12)&gt;=2,PERCENTRANK.INC($K$2:$K$12,K11)*100,"")*0.10))/(IF(D11="",0,0.15)+IF(E11="",0,0.15)+IF(F11="",0,0.15)+IF(G11="",0,0.10)+IF(H11="",0,0.10)+IF(I11="",0,0.15)+IF(J11="",0,0.10)+IF(K11="",0,0.10)))</f>
        <v/>
      </c>
      <c r="M11" s="13">
        <f>IF(L11="", "", 1+COUNTIF($L$2:$L$12, "&gt;"&amp;L11))</f>
        <v/>
      </c>
    </row>
    <row r="12">
      <c r="A12" t="inlineStr">
        <is>
          <t>th-hat-yai</t>
        </is>
      </c>
      <c r="B12" t="inlineStr">
        <is>
          <t>Hat Yai</t>
        </is>
      </c>
      <c r="C12" t="inlineStr">
        <is>
          <t>Songkhla</t>
        </is>
      </c>
      <c r="L12" s="13">
        <f>IF(COUNT(D12:K12)=0,"",(IF(D12="",0,IF(COUNT($D$2:$D$12)&gt;=2,PERCENTRANK.INC($D$2:$D$12,D12)*100,"")*0.15)+IF(E12="",0,IF(COUNT($E$2:$E$12)&gt;=2,(1-PERCENTRANK.INC($E$2:$E$12,E12))*100,"")*0.15)+IF(F12="",0,IF(COUNT($F$2:$F$12)&gt;=2,PERCENTRANK.INC($F$2:$F$12,F12)*100,"")*0.15)+IF(G12="",0,IF(COUNT($G$2:$G$12)&gt;=2,PERCENTRANK.INC($G$2:$G$12,G12)*100,"")*0.10)+IF(H12="",0,IF(COUNT($H$2:$H$12)&gt;=2,PERCENTRANK.INC($H$2:$H$12,H12)*100,"")*0.10)+IF(I12="",0,IF(COUNT($I$2:$I$12)&gt;=2,PERCENTRANK.INC($I$2:$I$12,I12)*100,"")*0.15)+IF(J12="",0,IF(COUNT($J$2:$J$12)&gt;=2,PERCENTRANK.INC($J$2:$J$12,J12)*100,"")*0.10)+IF(K12="",0,IF(COUNT($K$2:$K$12)&gt;=2,PERCENTRANK.INC($K$2:$K$12,K12)*100,"")*0.10))/(IF(D12="",0,0.15)+IF(E12="",0,0.15)+IF(F12="",0,0.15)+IF(G12="",0,0.10)+IF(H12="",0,0.10)+IF(I12="",0,0.15)+IF(J12="",0,0.10)+IF(K12="",0,0.10)))</f>
        <v/>
      </c>
      <c r="M12" s="13">
        <f>IF(L12="", "", 1+COUNTIF($L$2:$L$12, "&gt;"&amp;L12))</f>
        <v/>
      </c>
    </row>
  </sheetData>
  <autoFilter ref="A1:N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2026-04-12T03:38:30Z</dcterms:created>
  <dcterms:modified xmlns:dcterms="http://purl.org/dc/terms/" xmlns:xsi="http://www.w3.org/2001/XMLSchema-instance" xsi:type="dcterms:W3CDTF">2026-04-12T03:38:36Z</dcterms:modified>
</cp:coreProperties>
</file>