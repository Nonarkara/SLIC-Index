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_Catalog" sheetId="2" state="visible" r:id="rId2"/>
    <sheet xmlns:r="http://schemas.openxmlformats.org/officeDocument/2006/relationships" name="City_Universe" sheetId="3" state="visible" r:id="rId3"/>
    <sheet xmlns:r="http://schemas.openxmlformats.org/officeDocument/2006/relationships" name="Country_Context" sheetId="4" state="visible" r:id="rId4"/>
    <sheet xmlns:r="http://schemas.openxmlformats.org/officeDocument/2006/relationships" name="City_Inputs" sheetId="5" state="visible" r:id="rId5"/>
    <sheet xmlns:r="http://schemas.openxmlformats.org/officeDocument/2006/relationships" name="Norm_Stats" sheetId="6" state="visible" r:id="rId6"/>
    <sheet xmlns:r="http://schemas.openxmlformats.org/officeDocument/2006/relationships" name="Scores" sheetId="7" state="visible" r:id="rId7"/>
    <sheet xmlns:r="http://schemas.openxmlformats.org/officeDocument/2006/relationships" name="Leaderboard" sheetId="8" state="visible" r:id="rId8"/>
    <sheet xmlns:r="http://schemas.openxmlformats.org/officeDocument/2006/relationships" name="Region_Comparison" sheetId="9" state="visible" r:id="rId9"/>
    <sheet xmlns:r="http://schemas.openxmlformats.org/officeDocument/2006/relationships" name="Thai_Ranking_Scaffold" sheetId="10" state="visible" r:id="rId10"/>
  </sheets>
  <definedNames>
    <definedName name="_xlnm._FilterDatabase" localSheetId="1" hidden="1">'Metric_Catalog'!$A$1:$M$25</definedName>
    <definedName name="_xlnm._FilterDatabase" localSheetId="2" hidden="1">'City_Universe'!$A$1:$H$101</definedName>
    <definedName name="_xlnm._FilterDatabase" localSheetId="3" hidden="1">'Country_Context'!$A$1:$K$63</definedName>
    <definedName name="_xlnm._FilterDatabase" localSheetId="4" hidden="1">'City_Inputs'!$A$1:$BH$101</definedName>
    <definedName name="_xlnm._FilterDatabase" localSheetId="5" hidden="1">'Norm_Stats'!$A$1:$H$24</definedName>
    <definedName name="_xlnm._FilterDatabase" localSheetId="6" hidden="1">'Scores'!$A$1:$BJ$101</definedName>
    <definedName name="_xlnm._FilterDatabase" localSheetId="7" hidden="1">'Leaderboard'!$A$1:$N$156</definedName>
    <definedName name="_xlnm._FilterDatabase" localSheetId="8" hidden="1">'Region_Comparison'!$A$1:$G$11</definedName>
    <definedName name="_xlnm._FilterDatabase" localSheetId="9" hidden="1">'Thai_Ranking_Scaffold'!$A$1:$N$12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</fonts>
  <fills count="8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100-city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DailyViability + 0.18 HumanCapability + 0.15 Community + 0.20 CreativeVitality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Doctrinal rule: safety</t>
        </is>
      </c>
      <c r="B9" s="3" t="inlineStr">
        <is>
          <t>Safety is scored by harm and victimization outcomes, never by camera count or visible control hardware.</t>
        </is>
      </c>
    </row>
    <row r="10">
      <c r="A10" s="2" t="inlineStr">
        <is>
          <t>Doctrinal rule: tolerance</t>
        </is>
      </c>
      <c r="B10" s="3" t="inlineStr">
        <is>
          <t>Tolerance is scored through low-friction coexistence and real personal freedom, not symbolic branding proxies.</t>
        </is>
      </c>
    </row>
    <row r="11">
      <c r="A11" s="2" t="inlineStr">
        <is>
          <t>Doctrinal rule: visitor flows</t>
        </is>
      </c>
      <c r="B11" s="3" t="inlineStr">
        <is>
          <t>Visitor flow is contextual only. It should be reviewed against crime, civic strain, and public-life quality rather than treated as an automatic positive.</t>
        </is>
      </c>
    </row>
    <row r="12">
      <c r="A12" s="2" t="inlineStr">
        <is>
          <t>Country context</t>
        </is>
      </c>
      <c r="B12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3">
      <c r="A13" s="2" t="inlineStr">
        <is>
          <t>How tax works</t>
        </is>
      </c>
      <c r="B13" s="3" t="inlineStr">
        <is>
          <t>Populate tax_rate_assumption in Country_Context as a decimal such as 0.18. City_Inputs pulls that value automatically into tax_rate_context and recomputes di_ppp_raw.</t>
        </is>
      </c>
    </row>
    <row r="14">
      <c r="A14" s="2" t="inlineStr">
        <is>
          <t>Region comparison</t>
        </is>
      </c>
      <c r="B14" s="3" t="inlineStr">
        <is>
          <t>Region_Comparison summarizes ranked city counts and average scores by cohort so Europe, Asia, the Americas, Africa, the Middle East, and Oceania can be compared cleanly.</t>
        </is>
      </c>
    </row>
    <row r="15">
      <c r="A15" s="2" t="inlineStr">
        <is>
          <t>Thai companion</t>
        </is>
      </c>
      <c r="B15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8">
      <c r="A18" s="4" t="inlineStr">
        <is>
          <t>Coverage thresholds</t>
        </is>
      </c>
    </row>
    <row r="19">
      <c r="A19" t="inlineStr">
        <is>
          <t>ranked_min_overall</t>
        </is>
      </c>
      <c r="B19" s="5" t="n">
        <v>0.5</v>
      </c>
    </row>
    <row r="20">
      <c r="A20" t="inlineStr">
        <is>
          <t>ranked_min_pillar</t>
        </is>
      </c>
      <c r="B20" s="5" t="n">
        <v>0.35</v>
      </c>
    </row>
    <row r="21">
      <c r="A21" t="inlineStr">
        <is>
          <t>grade_a_min</t>
        </is>
      </c>
      <c r="B21" s="5" t="n">
        <v>0.75</v>
      </c>
    </row>
    <row r="22">
      <c r="A22" t="inlineStr">
        <is>
          <t>grade_b_min</t>
        </is>
      </c>
      <c r="B22" s="5" t="n">
        <v>0.5</v>
      </c>
    </row>
    <row r="23">
      <c r="A23" t="inlineStr">
        <is>
          <t>grade_c_min</t>
        </is>
      </c>
      <c r="B23" s="5" t="n">
        <v>0.35</v>
      </c>
    </row>
    <row r="26">
      <c r="A26" s="4" t="inlineStr">
        <is>
          <t>Source tiers</t>
        </is>
      </c>
    </row>
    <row r="27">
      <c r="A27" t="inlineStr">
        <is>
          <t>Tier 1</t>
        </is>
      </c>
      <c r="B27" t="inlineStr">
        <is>
          <t>City and metro official data</t>
        </is>
      </c>
      <c r="C27" s="3" t="inlineStr">
        <is>
          <t>Open-data portals, utility regulators, transit feeds, hospital quality releases, and city statistical offices.</t>
        </is>
      </c>
    </row>
    <row r="28">
      <c r="A28" t="inlineStr">
        <is>
          <t>Tier 2</t>
        </is>
      </c>
      <c r="B28" t="inlineStr">
        <is>
          <t>State, province, and subnational official data</t>
        </is>
      </c>
      <c r="C28" s="3" t="inlineStr">
        <is>
          <t>Regional statistical offices, metropolitan observatories, and subnational administrative datasets.</t>
        </is>
      </c>
    </row>
    <row r="29">
      <c r="A29" t="inlineStr">
        <is>
          <t>Tier 3</t>
        </is>
      </c>
      <c r="B29" t="inlineStr">
        <is>
          <t>National and international official datasets</t>
        </is>
      </c>
      <c r="C29" s="3" t="inlineStr">
        <is>
          <t>World Bank, WHO, ILO, UNESCO UIS, OECD, WIPO, and WHO/UNICEF JMP.</t>
        </is>
      </c>
    </row>
    <row r="30">
      <c r="A30" t="inlineStr">
        <is>
          <t>Tier 4</t>
        </is>
      </c>
      <c r="B30" t="inlineStr">
        <is>
          <t>Audited secondary and experimental layers</t>
        </is>
      </c>
      <c r="C30" s="3" t="inlineStr">
        <is>
          <t>OpenAQ, M-Lab, social listening, crowdsourced cost layers, and city testimony with visible caveats.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36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Pressure, Affordability, and Room to Live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Pressure, Affordability, and Room to Live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Pressure, Affordability, and Room to Live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Pressure, Affordability, and Room to Live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Pressure, Affordability, and Room to Live</t>
        </is>
      </c>
      <c r="E6" t="n">
        <v>25</v>
      </c>
      <c r="F6" t="n">
        <v>3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Daily Viability and Convenience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Daily Viability and Convenience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Daily Viability and Convenience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Daily Viability and Convenience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Daily Viability and Convenience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healthcare_quality</t>
        </is>
      </c>
      <c r="B12" t="inlineStr">
        <is>
          <t>Healthcare quality</t>
        </is>
      </c>
      <c r="C12" t="inlineStr">
        <is>
          <t>capability</t>
        </is>
      </c>
      <c r="D12" t="inlineStr">
        <is>
          <t>Human Capability</t>
        </is>
      </c>
      <c r="E12" t="n">
        <v>18</v>
      </c>
      <c r="F12" t="n">
        <v>8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city_or_metro_with_country_context</t>
        </is>
      </c>
      <c r="K12" t="inlineStr">
        <is>
          <t>Tier 1 city/metro &gt; Tier 2 subnational &gt; Tier 3 WHO/OECD/national &gt; Tier 4 audited secondary</t>
        </is>
      </c>
      <c r="L12" t="inlineStr">
        <is>
          <t>healthcare_quality_raw</t>
        </is>
      </c>
      <c r="M12" t="inlineStr">
        <is>
          <t>Higher effective-care access and outcome quality score better.</t>
        </is>
      </c>
    </row>
    <row r="13">
      <c r="A13" t="inlineStr">
        <is>
          <t>education_quality</t>
        </is>
      </c>
      <c r="B13" t="inlineStr">
        <is>
          <t>Education quality</t>
        </is>
      </c>
      <c r="C13" t="inlineStr">
        <is>
          <t>capability</t>
        </is>
      </c>
      <c r="D13" t="inlineStr">
        <is>
          <t>Human Capability</t>
        </is>
      </c>
      <c r="E13" t="n">
        <v>18</v>
      </c>
      <c r="F13" t="n">
        <v>6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UNESCO/OECD/World Bank &gt; Tier 4 audited secondary</t>
        </is>
      </c>
      <c r="L13" t="inlineStr">
        <is>
          <t>education_quality_raw</t>
        </is>
      </c>
      <c r="M13" t="inlineStr">
        <is>
          <t>Higher learning quality and skills formation score better.</t>
        </is>
      </c>
    </row>
    <row r="14">
      <c r="A14" t="inlineStr">
        <is>
          <t>equal_opportunity_distributional_fairness</t>
        </is>
      </c>
      <c r="B14" t="inlineStr">
        <is>
          <t>Equal opportunity and distributional fairness</t>
        </is>
      </c>
      <c r="C14" t="inlineStr">
        <is>
          <t>capability</t>
        </is>
      </c>
      <c r="D14" t="inlineStr">
        <is>
          <t>Human Capability</t>
        </is>
      </c>
      <c r="E14" t="n">
        <v>18</v>
      </c>
      <c r="F14" t="n">
        <v>4</v>
      </c>
      <c r="G14" t="inlineStr">
        <is>
          <t>positive</t>
        </is>
      </c>
      <c r="H14" t="inlineStr">
        <is>
          <t>composite_scored</t>
        </is>
      </c>
      <c r="I14" t="inlineStr">
        <is>
          <t>core</t>
        </is>
      </c>
      <c r="J14" t="inlineStr">
        <is>
          <t>city_with_country_context</t>
        </is>
      </c>
      <c r="K14" t="inlineStr">
        <is>
          <t>Tier 1 city/metro opportunity data + Tier 3 country Gini fallback</t>
        </is>
      </c>
      <c r="L14" t="inlineStr">
        <is>
          <t>equal_opportunity_raw + gini_coefficient_context</t>
        </is>
      </c>
      <c r="M14" t="inlineStr">
        <is>
          <t>Combines 70% equal-opportunity input with 30% reversed Gini context where available.</t>
        </is>
      </c>
    </row>
    <row r="15">
      <c r="A15" t="inlineStr">
        <is>
          <t>hospitality_belonging</t>
        </is>
      </c>
      <c r="B15" t="inlineStr">
        <is>
          <t>Hospitality and belonging</t>
        </is>
      </c>
      <c r="C15" t="inlineStr">
        <is>
          <t>community</t>
        </is>
      </c>
      <c r="D15" t="inlineStr">
        <is>
          <t>Community and Openness</t>
        </is>
      </c>
      <c r="E15" t="n">
        <v>15</v>
      </c>
      <c r="F15" t="n">
        <v>5</v>
      </c>
      <c r="G15" t="inlineStr">
        <is>
          <t>positive</t>
        </is>
      </c>
      <c r="H15" t="inlineStr">
        <is>
          <t>scored</t>
        </is>
      </c>
      <c r="I15" t="inlineStr">
        <is>
          <t>core</t>
        </is>
      </c>
      <c r="J15" t="inlineStr">
        <is>
          <t>city_or_metro_with_audited_perception_layer</t>
        </is>
      </c>
      <c r="K15" t="inlineStr">
        <is>
          <t>Tier 1 city services &gt; Tier 2 subnational &gt; Tier 4 audited social listening/testimony</t>
        </is>
      </c>
      <c r="L15" t="inlineStr">
        <is>
          <t>hospitality_belonging_raw</t>
        </is>
      </c>
      <c r="M15" t="inlineStr">
        <is>
          <t>Higher civic warmth, multilingual access, and resident attachment score better.</t>
        </is>
      </c>
    </row>
    <row r="16">
      <c r="A16" t="inlineStr">
        <is>
          <t>tolerance_pluralism</t>
        </is>
      </c>
      <c r="B16" t="inlineStr">
        <is>
          <t>Tolerance and pluralism</t>
        </is>
      </c>
      <c r="C16" t="inlineStr">
        <is>
          <t>community</t>
        </is>
      </c>
      <c r="D16" t="inlineStr">
        <is>
          <t>Community and Openness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legal and policy openness &gt; Tier 2 subnational &gt; Tier 4 audited coexistence/testimony proxies</t>
        </is>
      </c>
      <c r="L16" t="inlineStr">
        <is>
          <t>tolerance_pluralism_raw</t>
        </is>
      </c>
      <c r="M16" t="inlineStr">
        <is>
          <t>Scores low-friction coexistence and openness, not symbolic branding proxies.</t>
        </is>
      </c>
    </row>
    <row r="17">
      <c r="A17" t="inlineStr">
        <is>
          <t>cultural_historic_public_life_vitality</t>
        </is>
      </c>
      <c r="B17" t="inlineStr">
        <is>
          <t>Cultural, historic, and public-life vitality</t>
        </is>
      </c>
      <c r="C17" t="inlineStr">
        <is>
          <t>community</t>
        </is>
      </c>
      <c r="D17" t="inlineStr">
        <is>
          <t>Community and Openness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city_or_metro_with_context_layer</t>
        </is>
      </c>
      <c r="K17" t="inlineStr">
        <is>
          <t>Tier 1 city/open data &gt; Tier 2 subnational &gt; Tier 4 audited cultural/testimony and visitor context</t>
        </is>
      </c>
      <c r="L17" t="inlineStr">
        <is>
          <t>cultural_public_life_raw</t>
        </is>
      </c>
      <c r="M17" t="inlineStr">
        <is>
          <t>Visitor flow is contextual only and should be triangulated separately, not scored directly here.</t>
        </is>
      </c>
    </row>
    <row r="18">
      <c r="A18" t="inlineStr">
        <is>
          <t>entrepreneurial_dynamism</t>
        </is>
      </c>
      <c r="B18" t="inlineStr">
        <is>
          <t>Entrepreneurial dynamism</t>
        </is>
      </c>
      <c r="C18" t="inlineStr">
        <is>
          <t>creative</t>
        </is>
      </c>
      <c r="D18" t="inlineStr">
        <is>
          <t>Competitive and Creative Vitality</t>
        </is>
      </c>
      <c r="E18" t="n">
        <v>20</v>
      </c>
      <c r="F18" t="n">
        <v>6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city_or_metro_with_country_context</t>
        </is>
      </c>
      <c r="K18" t="inlineStr">
        <is>
          <t>Tier 1 city/metro &gt; Tier 2 subnational &gt; Tier 3 World Bank/national &gt; Tier 4 audited secondary</t>
        </is>
      </c>
      <c r="L18" t="inlineStr">
        <is>
          <t>entrepreneurial_dynamism_raw</t>
        </is>
      </c>
      <c r="M18" t="inlineStr">
        <is>
          <t>Higher new-business density and startup formation score better.</t>
        </is>
      </c>
    </row>
    <row r="19">
      <c r="A19" t="inlineStr">
        <is>
          <t>innovation_research_intensity</t>
        </is>
      </c>
      <c r="B19" t="inlineStr">
        <is>
          <t>Innovation and research intensity</t>
        </is>
      </c>
      <c r="C19" t="inlineStr">
        <is>
          <t>creative</t>
        </is>
      </c>
      <c r="D19" t="inlineStr">
        <is>
          <t>Competitive and Creative Vitality</t>
        </is>
      </c>
      <c r="E19" t="n">
        <v>20</v>
      </c>
      <c r="F19" t="n">
        <v>5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WIPO/OECD/national &gt; Tier 4 audited secondary</t>
        </is>
      </c>
      <c r="L19" t="inlineStr">
        <is>
          <t>innovation_research_intensity_raw</t>
        </is>
      </c>
      <c r="M19" t="inlineStr">
        <is>
          <t>Higher patent, research, and knowledge-production strength score better.</t>
        </is>
      </c>
    </row>
    <row r="20">
      <c r="A20" t="inlineStr">
        <is>
          <t>economic_vitality_productive_context</t>
        </is>
      </c>
      <c r="B20" t="inlineStr">
        <is>
          <t>Economic vitality and productive context</t>
        </is>
      </c>
      <c r="C20" t="inlineStr">
        <is>
          <t>creative</t>
        </is>
      </c>
      <c r="D20" t="inlineStr">
        <is>
          <t>Competitive and Creative Vitality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composite_scored</t>
        </is>
      </c>
      <c r="I20" t="inlineStr">
        <is>
          <t>core</t>
        </is>
      </c>
      <c r="J20" t="inlineStr">
        <is>
          <t>city_with_capped_country_context</t>
        </is>
      </c>
      <c r="K20" t="inlineStr">
        <is>
          <t>Tier 1 city investment signal + Tier 3 country macro context</t>
        </is>
      </c>
      <c r="L20" t="inlineStr">
        <is>
          <t>investment_signal_raw + gdp_per_capita_ppp_context + gdp_growth_context</t>
        </is>
      </c>
      <c r="M20" t="inlineStr">
        <is>
          <t>Combines 50% city investment signal, 30% GDP per capita PPP context, and 20% GDP growth context.</t>
        </is>
      </c>
    </row>
    <row r="21">
      <c r="A21" t="inlineStr">
        <is>
          <t>administrative_investment_friction</t>
        </is>
      </c>
      <c r="B21" t="inlineStr">
        <is>
          <t>Administrative and investment friction</t>
        </is>
      </c>
      <c r="C21" t="inlineStr">
        <is>
          <t>creative</t>
        </is>
      </c>
      <c r="D21" t="inlineStr">
        <is>
          <t>Competitive and Creative Vitality</t>
        </is>
      </c>
      <c r="E21" t="n">
        <v>20</v>
      </c>
      <c r="F21" t="n">
        <v>4</v>
      </c>
      <c r="G21" t="inlineStr">
        <is>
          <t>negative</t>
        </is>
      </c>
      <c r="H21" t="inlineStr">
        <is>
          <t>scored</t>
        </is>
      </c>
      <c r="I21" t="inlineStr">
        <is>
          <t>core</t>
        </is>
      </c>
      <c r="J21" t="inlineStr">
        <is>
          <t>city_or_metro_with_country_context</t>
        </is>
      </c>
      <c r="K21" t="inlineStr">
        <is>
          <t>Tier 1 city/metro &gt; Tier 2 subnational &gt; Tier 3 national/international &gt; Tier 4 audited secondary</t>
        </is>
      </c>
      <c r="L21" t="inlineStr">
        <is>
          <t>administrative_investment_friction_raw</t>
        </is>
      </c>
      <c r="M21" t="inlineStr">
        <is>
          <t>Higher time-cost and licensing burden score worse.</t>
        </is>
      </c>
    </row>
    <row r="22">
      <c r="A22" t="inlineStr">
        <is>
          <t>gini_coefficient_context</t>
        </is>
      </c>
      <c r="B22" t="inlineStr">
        <is>
          <t>Gini coefficient context</t>
        </is>
      </c>
      <c r="C22" t="inlineStr">
        <is>
          <t>capability</t>
        </is>
      </c>
      <c r="D22" t="inlineStr">
        <is>
          <t>Human Capability</t>
        </is>
      </c>
      <c r="E22" t="n">
        <v>18</v>
      </c>
      <c r="F22" t="n">
        <v>0</v>
      </c>
      <c r="G22" t="inlineStr">
        <is>
          <t>negative</t>
        </is>
      </c>
      <c r="H22" t="inlineStr">
        <is>
          <t>context_capped</t>
        </is>
      </c>
      <c r="I22" t="inlineStr">
        <is>
          <t>supporting</t>
        </is>
      </c>
      <c r="J22" t="inlineStr">
        <is>
          <t>country_context</t>
        </is>
      </c>
      <c r="K22" t="inlineStr">
        <is>
          <t>Tier 3 World Bank/national</t>
        </is>
      </c>
      <c r="L22" t="inlineStr">
        <is>
          <t>gini_coefficient_context</t>
        </is>
      </c>
      <c r="M22" t="inlineStr">
        <is>
          <t>Country-level inequality context used inside equal opportunity and distributional fairness.</t>
        </is>
      </c>
    </row>
    <row r="23">
      <c r="A23" t="inlineStr">
        <is>
          <t>gdp_per_capita_ppp_context</t>
        </is>
      </c>
      <c r="B23" t="inlineStr">
        <is>
          <t>GDP per capita PPP context</t>
        </is>
      </c>
      <c r="C23" t="inlineStr">
        <is>
          <t>creative</t>
        </is>
      </c>
      <c r="D23" t="inlineStr">
        <is>
          <t>Competitive and Creative Vitality</t>
        </is>
      </c>
      <c r="E23" t="n">
        <v>20</v>
      </c>
      <c r="F23" t="n">
        <v>0</v>
      </c>
      <c r="G23" t="inlineStr">
        <is>
          <t>positive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Bank/OECD</t>
        </is>
      </c>
      <c r="L23" t="inlineStr">
        <is>
          <t>gdp_per_capita_ppp_context</t>
        </is>
      </c>
      <c r="M23" t="inlineStr">
        <is>
          <t>Country-level macro context used as a capped term inside economic vitality.</t>
        </is>
      </c>
    </row>
    <row r="24">
      <c r="A24" t="inlineStr">
        <is>
          <t>gdp_growth_context</t>
        </is>
      </c>
      <c r="B24" t="inlineStr">
        <is>
          <t>GDP growth context</t>
        </is>
      </c>
      <c r="C24" t="inlineStr">
        <is>
          <t>creative</t>
        </is>
      </c>
      <c r="D24" t="inlineStr">
        <is>
          <t>Competitive and Creative Vitality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gdp_growth_context</t>
        </is>
      </c>
      <c r="M24" t="inlineStr">
        <is>
          <t>Country-level macro momentum used as a capped term inside economic vitality.</t>
        </is>
      </c>
    </row>
    <row r="25">
      <c r="A25" t="inlineStr">
        <is>
          <t>visitor_flow_context</t>
        </is>
      </c>
      <c r="B25" t="inlineStr">
        <is>
          <t>Visitor flow context</t>
        </is>
      </c>
      <c r="C25" t="inlineStr">
        <is>
          <t>community</t>
        </is>
      </c>
      <c r="D25" t="inlineStr">
        <is>
          <t>Community and Openness</t>
        </is>
      </c>
      <c r="E25" t="n">
        <v>15</v>
      </c>
      <c r="F25" t="n">
        <v>0</v>
      </c>
      <c r="G25" t="inlineStr">
        <is>
          <t>contextual</t>
        </is>
      </c>
      <c r="H25" t="inlineStr">
        <is>
          <t>context_only</t>
        </is>
      </c>
      <c r="I25" t="inlineStr">
        <is>
          <t>supporting</t>
        </is>
      </c>
      <c r="J25" t="inlineStr">
        <is>
          <t>city_or_metro</t>
        </is>
      </c>
      <c r="K25" t="inlineStr">
        <is>
          <t>Tier 1 tourism/open mobility &gt; Tier 4 audited secondary</t>
        </is>
      </c>
      <c r="L25" t="inlineStr">
        <is>
          <t>visitor_flow_context_raw</t>
        </is>
      </c>
      <c r="M25" t="inlineStr">
        <is>
          <t>Visible on the workbook and leaderboard context layer but not scored directly.</t>
        </is>
      </c>
    </row>
  </sheetData>
  <autoFilter ref="A1:M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th-hat-yai</t>
        </is>
      </c>
      <c r="B11" t="inlineStr">
        <is>
          <t>Hat Yai</t>
        </is>
      </c>
      <c r="C11" t="inlineStr">
        <is>
          <t>Hat Yai-Songkhla Urban Area</t>
        </is>
      </c>
      <c r="D11" t="inlineStr">
        <is>
          <t>Thailand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Southern Thai trade and services challenger included to test regional depth beyond capital-city bias.</t>
        </is>
      </c>
    </row>
    <row r="12">
      <c r="A12" t="inlineStr">
        <is>
          <t>tw-taipei</t>
        </is>
      </c>
      <c r="B12" t="inlineStr">
        <is>
          <t>Taipei</t>
        </is>
      </c>
      <c r="C12" t="inlineStr">
        <is>
          <t>Taipei-Keelung-Taoyuan Metropolitan Area</t>
        </is>
      </c>
      <c r="D12" t="inlineStr">
        <is>
          <t>Taiwan</t>
        </is>
      </c>
      <c r="E12" t="inlineStr">
        <is>
          <t>East Asia</t>
        </is>
      </c>
      <c r="F12" t="inlineStr">
        <is>
          <t>primary</t>
        </is>
      </c>
      <c r="G12" t="inlineStr">
        <is>
          <t>locked</t>
        </is>
      </c>
      <c r="H12" t="inlineStr">
        <is>
          <t>High-systems, high-street-life benchmark aligned with earlier SLIC discussion.</t>
        </is>
      </c>
    </row>
    <row r="13">
      <c r="A13" t="inlineStr">
        <is>
          <t>kr-busan</t>
        </is>
      </c>
      <c r="B13" t="inlineStr">
        <is>
          <t>Busan</t>
        </is>
      </c>
      <c r="C13" t="inlineStr">
        <is>
          <t>Greater Busan</t>
        </is>
      </c>
      <c r="D13" t="inlineStr">
        <is>
          <t>South Korea</t>
        </is>
      </c>
      <c r="E13" t="inlineStr">
        <is>
          <t>East Asia</t>
        </is>
      </c>
      <c r="F13" t="inlineStr">
        <is>
          <t>primary</t>
        </is>
      </c>
      <c r="G13" t="inlineStr">
        <is>
          <t>locked</t>
        </is>
      </c>
      <c r="H13" t="inlineStr">
        <is>
          <t>User anchor for second-city infrastructure quality, coastal livability, and economic competence.</t>
        </is>
      </c>
    </row>
    <row r="14">
      <c r="A14" t="inlineStr">
        <is>
          <t>cn-shanghai</t>
        </is>
      </c>
      <c r="B14" t="inlineStr">
        <is>
          <t>Shanghai</t>
        </is>
      </c>
      <c r="C14" t="inlineStr">
        <is>
          <t>Shanghai Metropolitan Area</t>
        </is>
      </c>
      <c r="D14" t="inlineStr">
        <is>
          <t>China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provisional</t>
        </is>
      </c>
      <c r="H14" t="inlineStr">
        <is>
          <t>Economic gravity benchmark included to test how mega-city capability meets affordability and civic-pressure tradeoffs.</t>
        </is>
      </c>
    </row>
    <row r="15">
      <c r="A15" t="inlineStr">
        <is>
          <t>cn-shenzhen</t>
        </is>
      </c>
      <c r="B15" t="inlineStr">
        <is>
          <t>Shenzhen</t>
        </is>
      </c>
      <c r="C15" t="inlineStr">
        <is>
          <t>Shenzhen Metropolitan Area</t>
        </is>
      </c>
      <c r="D15" t="inlineStr">
        <is>
          <t>China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provisional</t>
        </is>
      </c>
      <c r="H15" t="inlineStr">
        <is>
          <t>Innovation and manufacturing benchmark included for productive economic strength and high-pressure urban modernity.</t>
        </is>
      </c>
    </row>
    <row r="16">
      <c r="A16" t="inlineStr">
        <is>
          <t>jp-hiroshima</t>
        </is>
      </c>
      <c r="B16" t="inlineStr">
        <is>
          <t>Hiroshima</t>
        </is>
      </c>
      <c r="C16" t="inlineStr">
        <is>
          <t>Hiroshima Metropolitan Employment Area</t>
        </is>
      </c>
      <c r="D16" t="inlineStr">
        <is>
          <t>Japan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Provisional Japanese primary candidate with stronger everyday scale than megacity peers.</t>
        </is>
      </c>
    </row>
    <row r="17">
      <c r="A17" t="inlineStr">
        <is>
          <t>kr-jeju-city</t>
        </is>
      </c>
      <c r="B17" t="inlineStr">
        <is>
          <t>Jeju City</t>
        </is>
      </c>
      <c r="C17" t="inlineStr">
        <is>
          <t>Jeju Urban Area</t>
        </is>
      </c>
      <c r="D17" t="inlineStr">
        <is>
          <t>South Korea</t>
        </is>
      </c>
      <c r="E17" t="inlineStr">
        <is>
          <t>East Asia</t>
        </is>
      </c>
      <c r="F17" t="inlineStr">
        <is>
          <t>secondary</t>
        </is>
      </c>
      <c r="G17" t="inlineStr">
        <is>
          <t>locked</t>
        </is>
      </c>
      <c r="H17" t="inlineStr">
        <is>
          <t>User anchor for lifestyle quality, hospitality, and island-scale livability.</t>
        </is>
      </c>
    </row>
    <row r="18">
      <c r="A18" t="inlineStr">
        <is>
          <t>jp-fukuoka</t>
        </is>
      </c>
      <c r="B18" t="inlineStr">
        <is>
          <t>Fukuoka</t>
        </is>
      </c>
      <c r="C18" t="inlineStr">
        <is>
          <t>Fukuoka Metropolitan Area</t>
        </is>
      </c>
      <c r="D18" t="inlineStr">
        <is>
          <t>Japan</t>
        </is>
      </c>
      <c r="E18" t="inlineStr">
        <is>
          <t>East Asia</t>
        </is>
      </c>
      <c r="F18" t="inlineStr">
        <is>
          <t>secondary</t>
        </is>
      </c>
      <c r="G18" t="inlineStr">
        <is>
          <t>locked</t>
        </is>
      </c>
      <c r="H18" t="inlineStr">
        <is>
          <t>User anchor and strong challenger city for innovation, access, and livability balance.</t>
        </is>
      </c>
    </row>
    <row r="19">
      <c r="A19" t="inlineStr">
        <is>
          <t>jp-kobe</t>
        </is>
      </c>
      <c r="B19" t="inlineStr">
        <is>
          <t>Kobe</t>
        </is>
      </c>
      <c r="C19" t="inlineStr">
        <is>
          <t>Kobe Metropolitan Area</t>
        </is>
      </c>
      <c r="D19" t="inlineStr">
        <is>
          <t>Japan</t>
        </is>
      </c>
      <c r="E19" t="inlineStr">
        <is>
          <t>East Asia</t>
        </is>
      </c>
      <c r="F19" t="inlineStr">
        <is>
          <t>secondary</t>
        </is>
      </c>
      <c r="G19" t="inlineStr">
        <is>
          <t>locked</t>
        </is>
      </c>
      <c r="H19" t="inlineStr">
        <is>
          <t>User anchor included as a port-city benchmark with strong urban form and quality-of-life reputation.</t>
        </is>
      </c>
    </row>
    <row r="20">
      <c r="A20" t="inlineStr">
        <is>
          <t>jp-sapporo</t>
        </is>
      </c>
      <c r="B20" t="inlineStr">
        <is>
          <t>Sapporo</t>
        </is>
      </c>
      <c r="C20" t="inlineStr">
        <is>
          <t>Sapporo Metropolitan Area</t>
        </is>
      </c>
      <c r="D20" t="inlineStr">
        <is>
          <t>Japan</t>
        </is>
      </c>
      <c r="E20" t="inlineStr">
        <is>
          <t>East Asia</t>
        </is>
      </c>
      <c r="F20" t="inlineStr">
        <is>
          <t>secondary</t>
        </is>
      </c>
      <c r="G20" t="inlineStr">
        <is>
          <t>locked</t>
        </is>
      </c>
      <c r="H20" t="inlineStr">
        <is>
          <t>User anchor and climate-diversified challenger with strong everyday manageability.</t>
        </is>
      </c>
    </row>
    <row r="21">
      <c r="A21" t="inlineStr">
        <is>
          <t>cn-tianjin</t>
        </is>
      </c>
      <c r="B21" t="inlineStr">
        <is>
          <t>Tianjin</t>
        </is>
      </c>
      <c r="C21" t="inlineStr">
        <is>
          <t>Tianjin Metropolitan Area</t>
        </is>
      </c>
      <c r="D21" t="inlineStr">
        <is>
          <t>China</t>
        </is>
      </c>
      <c r="E21" t="inlineStr">
        <is>
          <t>East Asia</t>
        </is>
      </c>
      <c r="F21" t="inlineStr">
        <is>
          <t>secondary</t>
        </is>
      </c>
      <c r="G21" t="inlineStr">
        <is>
          <t>provisional</t>
        </is>
      </c>
      <c r="H21" t="inlineStr">
        <is>
          <t>Secondary East Asian challenger included for industrial relevance, port-city utility, and relief from capital-city prestige bias.</t>
        </is>
      </c>
    </row>
    <row r="22">
      <c r="A22" t="inlineStr">
        <is>
          <t>in-bengaluru</t>
        </is>
      </c>
      <c r="B22" t="inlineStr">
        <is>
          <t>Bengaluru</t>
        </is>
      </c>
      <c r="C22" t="inlineStr">
        <is>
          <t>Bengaluru Metropolitan Area</t>
        </is>
      </c>
      <c r="D22" t="inlineStr">
        <is>
          <t>India</t>
        </is>
      </c>
      <c r="E22" t="inlineStr">
        <is>
          <t>South Asia</t>
        </is>
      </c>
      <c r="F22" t="inlineStr">
        <is>
          <t>primary</t>
        </is>
      </c>
      <c r="G22" t="inlineStr">
        <is>
          <t>locked</t>
        </is>
      </c>
      <c r="H22" t="inlineStr">
        <is>
          <t>Primary South Asian innovation benchmark included despite affordability and infrastructure pressures.</t>
        </is>
      </c>
    </row>
    <row r="23">
      <c r="A23" t="inlineStr">
        <is>
          <t>in-hyderabad</t>
        </is>
      </c>
      <c r="B23" t="inlineStr">
        <is>
          <t>Hyderabad</t>
        </is>
      </c>
      <c r="C23" t="inlineStr">
        <is>
          <t>Hyderabad Metropolitan Region</t>
        </is>
      </c>
      <c r="D23" t="inlineStr">
        <is>
          <t>India</t>
        </is>
      </c>
      <c r="E23" t="inlineStr">
        <is>
          <t>South Asia</t>
        </is>
      </c>
      <c r="F23" t="inlineStr">
        <is>
          <t>primary</t>
        </is>
      </c>
      <c r="G23" t="inlineStr">
        <is>
          <t>locked</t>
        </is>
      </c>
      <c r="H23" t="inlineStr">
        <is>
          <t>Paired with Bengaluru as a competitiveness and opportunity benchmark for South Asia.</t>
        </is>
      </c>
    </row>
    <row r="24">
      <c r="A24" t="inlineStr">
        <is>
          <t>lk-colombo</t>
        </is>
      </c>
      <c r="B24" t="inlineStr">
        <is>
          <t>Colombo</t>
        </is>
      </c>
      <c r="C24" t="inlineStr">
        <is>
          <t>Colombo Metropolitan Region</t>
        </is>
      </c>
      <c r="D24" t="inlineStr">
        <is>
          <t>Sri Lanka</t>
        </is>
      </c>
      <c r="E24" t="inlineStr">
        <is>
          <t>South Asia</t>
        </is>
      </c>
      <c r="F24" t="inlineStr">
        <is>
          <t>primary</t>
        </is>
      </c>
      <c r="G24" t="inlineStr">
        <is>
          <t>locked</t>
        </is>
      </c>
      <c r="H24" t="inlineStr">
        <is>
          <t>Regional capital-city comparator with manageable scale and stronger coastal livability potential.</t>
        </is>
      </c>
    </row>
    <row r="25">
      <c r="A25" t="inlineStr">
        <is>
          <t>bd-dhaka</t>
        </is>
      </c>
      <c r="B25" t="inlineStr">
        <is>
          <t>Dhaka</t>
        </is>
      </c>
      <c r="C25" t="inlineStr">
        <is>
          <t>Dhaka Metropolitan Area</t>
        </is>
      </c>
      <c r="D25" t="inlineStr">
        <is>
          <t>Bangladesh</t>
        </is>
      </c>
      <c r="E25" t="inlineStr">
        <is>
          <t>South Asia</t>
        </is>
      </c>
      <c r="F25" t="inlineStr">
        <is>
          <t>primary</t>
        </is>
      </c>
      <c r="G25" t="inlineStr">
        <is>
          <t>provisional</t>
        </is>
      </c>
      <c r="H25" t="inlineStr">
        <is>
          <t>High-pressure megacity included provisionally as a contrast case inside the South Asian universe.</t>
        </is>
      </c>
    </row>
    <row r="26">
      <c r="A26" t="inlineStr">
        <is>
          <t>pk-karachi</t>
        </is>
      </c>
      <c r="B26" t="inlineStr">
        <is>
          <t>Karachi</t>
        </is>
      </c>
      <c r="C26" t="inlineStr">
        <is>
          <t>Karachi Metropolitan Area</t>
        </is>
      </c>
      <c r="D26" t="inlineStr">
        <is>
          <t>Pakistan</t>
        </is>
      </c>
      <c r="E26" t="inlineStr">
        <is>
          <t>South Asia</t>
        </is>
      </c>
      <c r="F26" t="inlineStr">
        <is>
          <t>primary</t>
        </is>
      </c>
      <c r="G26" t="inlineStr">
        <is>
          <t>provisional</t>
        </is>
      </c>
      <c r="H26" t="inlineStr">
        <is>
          <t>Provisional large-metro comparator included to keep the South Asian candidate field honest and broad.</t>
        </is>
      </c>
    </row>
    <row r="27">
      <c r="A27" t="inlineStr">
        <is>
          <t>pk-lahore</t>
        </is>
      </c>
      <c r="B27" t="inlineStr">
        <is>
          <t>Lahore</t>
        </is>
      </c>
      <c r="C27" t="inlineStr">
        <is>
          <t>Lahore Metropolitan Area</t>
        </is>
      </c>
      <c r="D27" t="inlineStr">
        <is>
          <t>Pakistan</t>
        </is>
      </c>
      <c r="E27" t="inlineStr">
        <is>
          <t>South Asia</t>
        </is>
      </c>
      <c r="F27" t="inlineStr">
        <is>
          <t>secondary</t>
        </is>
      </c>
      <c r="G27" t="inlineStr">
        <is>
          <t>locked</t>
        </is>
      </c>
      <c r="H27" t="inlineStr">
        <is>
          <t>Secondary challenger included for cultural weight and regional importance.</t>
        </is>
      </c>
    </row>
    <row r="28">
      <c r="A28" t="inlineStr">
        <is>
          <t>bd-chattogram</t>
        </is>
      </c>
      <c r="B28" t="inlineStr">
        <is>
          <t>Chattogram</t>
        </is>
      </c>
      <c r="C28" t="inlineStr">
        <is>
          <t>Chattogram Metropolitan Area</t>
        </is>
      </c>
      <c r="D28" t="inlineStr">
        <is>
          <t>Bangladesh</t>
        </is>
      </c>
      <c r="E28" t="inlineStr">
        <is>
          <t>South Asia</t>
        </is>
      </c>
      <c r="F28" t="inlineStr">
        <is>
          <t>secondary</t>
        </is>
      </c>
      <c r="G28" t="inlineStr">
        <is>
          <t>locked</t>
        </is>
      </c>
      <c r="H28" t="inlineStr">
        <is>
          <t>Secondary port-city comparator for industrial relevance and everyday-scale testing.</t>
        </is>
      </c>
    </row>
    <row r="29">
      <c r="A29" t="inlineStr">
        <is>
          <t>np-kathmandu</t>
        </is>
      </c>
      <c r="B29" t="inlineStr">
        <is>
          <t>Kathmandu</t>
        </is>
      </c>
      <c r="C29" t="inlineStr">
        <is>
          <t>Kathmandu Valley</t>
        </is>
      </c>
      <c r="D29" t="inlineStr">
        <is>
          <t>Nepal</t>
        </is>
      </c>
      <c r="E29" t="inlineStr">
        <is>
          <t>South Asia</t>
        </is>
      </c>
      <c r="F29" t="inlineStr">
        <is>
          <t>secondary</t>
        </is>
      </c>
      <c r="G29" t="inlineStr">
        <is>
          <t>provisional</t>
        </is>
      </c>
      <c r="H29" t="inlineStr">
        <is>
          <t>Provisional cultural and tourism-weighted challenger with strong environmental tradeoffs.</t>
        </is>
      </c>
    </row>
    <row r="30">
      <c r="A30" t="inlineStr">
        <is>
          <t>bt-thimphu</t>
        </is>
      </c>
      <c r="B30" t="inlineStr">
        <is>
          <t>Thimphu</t>
        </is>
      </c>
      <c r="C30" t="inlineStr">
        <is>
          <t>Thimphu Urban Area</t>
        </is>
      </c>
      <c r="D30" t="inlineStr">
        <is>
          <t>Bhutan</t>
        </is>
      </c>
      <c r="E30" t="inlineStr">
        <is>
          <t>South Asia</t>
        </is>
      </c>
      <c r="F30" t="inlineStr">
        <is>
          <t>secondary</t>
        </is>
      </c>
      <c r="G30" t="inlineStr">
        <is>
          <t>locked</t>
        </is>
      </c>
      <c r="H30" t="inlineStr">
        <is>
          <t>Smaller-scale South Asian challenger included for governance, environment, and lifestyle contrast.</t>
        </is>
      </c>
    </row>
    <row r="31">
      <c r="A31" t="inlineStr">
        <is>
          <t>mv-male</t>
        </is>
      </c>
      <c r="B31" t="inlineStr">
        <is>
          <t>Male</t>
        </is>
      </c>
      <c r="C31" t="inlineStr">
        <is>
          <t>Male Urban Region</t>
        </is>
      </c>
      <c r="D31" t="inlineStr">
        <is>
          <t>Maldives</t>
        </is>
      </c>
      <c r="E31" t="inlineStr">
        <is>
          <t>South Asia</t>
        </is>
      </c>
      <c r="F31" t="inlineStr">
        <is>
          <t>secondary</t>
        </is>
      </c>
      <c r="G31" t="inlineStr">
        <is>
          <t>locked</t>
        </is>
      </c>
      <c r="H31" t="inlineStr">
        <is>
          <t>Island-city comparator included for service quality, compactness, and extreme spatial constraints.</t>
        </is>
      </c>
    </row>
    <row r="32">
      <c r="A32" t="inlineStr">
        <is>
          <t>fr-paris</t>
        </is>
      </c>
      <c r="B32" t="inlineStr">
        <is>
          <t>Paris</t>
        </is>
      </c>
      <c r="C32" t="inlineStr">
        <is>
          <t>Paris Metropolitan Area</t>
        </is>
      </c>
      <c r="D32" t="inlineStr">
        <is>
          <t>France</t>
        </is>
      </c>
      <c r="E32" t="inlineStr">
        <is>
          <t>Western and Northern Europe</t>
        </is>
      </c>
      <c r="F32" t="inlineStr">
        <is>
          <t>primary</t>
        </is>
      </c>
      <c r="G32" t="inlineStr">
        <is>
          <t>locked</t>
        </is>
      </c>
      <c r="H32" t="inlineStr">
        <is>
          <t>User anchor and global cultural capital included as a prestige city that SLIC can re-score through affordability and pressure.</t>
        </is>
      </c>
    </row>
    <row r="33">
      <c r="A33" t="inlineStr">
        <is>
          <t>at-vienna</t>
        </is>
      </c>
      <c r="B33" t="inlineStr">
        <is>
          <t>Vienna</t>
        </is>
      </c>
      <c r="C33" t="inlineStr">
        <is>
          <t>Vienna Metropolitan Area</t>
        </is>
      </c>
      <c r="D33" t="inlineStr">
        <is>
          <t>Austria</t>
        </is>
      </c>
      <c r="E33" t="inlineStr">
        <is>
          <t>Western and Northern Europe</t>
        </is>
      </c>
      <c r="F33" t="inlineStr">
        <is>
          <t>primary</t>
        </is>
      </c>
      <c r="G33" t="inlineStr">
        <is>
          <t>locked</t>
        </is>
      </c>
      <c r="H33" t="inlineStr">
        <is>
          <t>User anchor included as a conventional benchmark that SLIC can test against pressure and creative vitality.</t>
        </is>
      </c>
    </row>
    <row r="34">
      <c r="A34" t="inlineStr">
        <is>
          <t>ch-zurich</t>
        </is>
      </c>
      <c r="B34" t="inlineStr">
        <is>
          <t>Zurich</t>
        </is>
      </c>
      <c r="C34" t="inlineStr">
        <is>
          <t>Zurich Metropolitan Area</t>
        </is>
      </c>
      <c r="D34" t="inlineStr">
        <is>
          <t>Switzerland</t>
        </is>
      </c>
      <c r="E34" t="inlineStr">
        <is>
          <t>Western and Northern Europe</t>
        </is>
      </c>
      <c r="F34" t="inlineStr">
        <is>
          <t>primary</t>
        </is>
      </c>
      <c r="G34" t="inlineStr">
        <is>
          <t>locked</t>
        </is>
      </c>
      <c r="H34" t="inlineStr">
        <is>
          <t>High-convenience benchmark included so SLIC can visibly penalize cost where necessary.</t>
        </is>
      </c>
    </row>
    <row r="35">
      <c r="A35" t="inlineStr">
        <is>
          <t>nl-amsterdam</t>
        </is>
      </c>
      <c r="B35" t="inlineStr">
        <is>
          <t>Amsterdam</t>
        </is>
      </c>
      <c r="C35" t="inlineStr">
        <is>
          <t>Amsterdam Metropolitan Area</t>
        </is>
      </c>
      <c r="D35" t="inlineStr">
        <is>
          <t>Netherlands</t>
        </is>
      </c>
      <c r="E35" t="inlineStr">
        <is>
          <t>Western and Northern Europe</t>
        </is>
      </c>
      <c r="F35" t="inlineStr">
        <is>
          <t>primary</t>
        </is>
      </c>
      <c r="G35" t="inlineStr">
        <is>
          <t>provisional</t>
        </is>
      </c>
      <c r="H35" t="inlineStr">
        <is>
          <t>Provisional benchmark for global talent pull, openness, and cost pressure.</t>
        </is>
      </c>
    </row>
    <row r="36">
      <c r="A36" t="inlineStr">
        <is>
          <t>dk-copenhagen</t>
        </is>
      </c>
      <c r="B36" t="inlineStr">
        <is>
          <t>Copenhagen</t>
        </is>
      </c>
      <c r="C36" t="inlineStr">
        <is>
          <t>Copenhagen Metropolitan Area</t>
        </is>
      </c>
      <c r="D36" t="inlineStr">
        <is>
          <t>Denmark</t>
        </is>
      </c>
      <c r="E36" t="inlineStr">
        <is>
          <t>Western and Northern Europe</t>
        </is>
      </c>
      <c r="F36" t="inlineStr">
        <is>
          <t>primary</t>
        </is>
      </c>
      <c r="G36" t="inlineStr">
        <is>
          <t>provisional</t>
        </is>
      </c>
      <c r="H36" t="inlineStr">
        <is>
          <t>Provisional systems-quality comparator included for mobility, governance, and cost tradeoffs.</t>
        </is>
      </c>
    </row>
    <row r="37">
      <c r="A37" t="inlineStr">
        <is>
          <t>at-graz</t>
        </is>
      </c>
      <c r="B37" t="inlineStr">
        <is>
          <t>Graz</t>
        </is>
      </c>
      <c r="C37" t="inlineStr">
        <is>
          <t>Graz Urban Region</t>
        </is>
      </c>
      <c r="D37" t="inlineStr">
        <is>
          <t>Austria</t>
        </is>
      </c>
      <c r="E37" t="inlineStr">
        <is>
          <t>Western and Northern Europe</t>
        </is>
      </c>
      <c r="F37" t="inlineStr">
        <is>
          <t>secondary</t>
        </is>
      </c>
      <c r="G37" t="inlineStr">
        <is>
          <t>locked</t>
        </is>
      </c>
      <c r="H37" t="inlineStr">
        <is>
          <t>User anchor and secondary Austrian challenger with lower prestige bias than Vienna.</t>
        </is>
      </c>
    </row>
    <row r="38">
      <c r="A38" t="inlineStr">
        <is>
          <t>pt-porto</t>
        </is>
      </c>
      <c r="B38" t="inlineStr">
        <is>
          <t>Porto</t>
        </is>
      </c>
      <c r="C38" t="inlineStr">
        <is>
          <t>Porto Metropolitan Area</t>
        </is>
      </c>
      <c r="D38" t="inlineStr">
        <is>
          <t>Portugal</t>
        </is>
      </c>
      <c r="E38" t="inlineStr">
        <is>
          <t>Western and Northern Europe</t>
        </is>
      </c>
      <c r="F38" t="inlineStr">
        <is>
          <t>secondary</t>
        </is>
      </c>
      <c r="G38" t="inlineStr">
        <is>
          <t>locked</t>
        </is>
      </c>
      <c r="H38" t="inlineStr">
        <is>
          <t>Secondary-city benchmark for cultural pull, walkability, and relative affordability.</t>
        </is>
      </c>
    </row>
    <row r="39">
      <c r="A39" t="inlineStr">
        <is>
          <t>pt-braga</t>
        </is>
      </c>
      <c r="B39" t="inlineStr">
        <is>
          <t>Braga</t>
        </is>
      </c>
      <c r="C39" t="inlineStr">
        <is>
          <t>Braga Urban Area</t>
        </is>
      </c>
      <c r="D39" t="inlineStr">
        <is>
          <t>Portugal</t>
        </is>
      </c>
      <c r="E39" t="inlineStr">
        <is>
          <t>Western and Northern Europe</t>
        </is>
      </c>
      <c r="F39" t="inlineStr">
        <is>
          <t>secondary</t>
        </is>
      </c>
      <c r="G39" t="inlineStr">
        <is>
          <t>locked</t>
        </is>
      </c>
      <c r="H39" t="inlineStr">
        <is>
          <t>Secondary Portuguese challenger with strong everyday livability and university-city energy.</t>
        </is>
      </c>
    </row>
    <row r="40">
      <c r="A40" t="inlineStr">
        <is>
          <t>ee-tallinn</t>
        </is>
      </c>
      <c r="B40" t="inlineStr">
        <is>
          <t>Tallinn</t>
        </is>
      </c>
      <c r="C40" t="inlineStr">
        <is>
          <t>Tallinn Urban Area</t>
        </is>
      </c>
      <c r="D40" t="inlineStr">
        <is>
          <t>Estonia</t>
        </is>
      </c>
      <c r="E40" t="inlineStr">
        <is>
          <t>Western and Northern Europe</t>
        </is>
      </c>
      <c r="F40" t="inlineStr">
        <is>
          <t>secondary</t>
        </is>
      </c>
      <c r="G40" t="inlineStr">
        <is>
          <t>locked</t>
        </is>
      </c>
      <c r="H40" t="inlineStr">
        <is>
          <t>Digitally competent northern-European challenger with manageable scale.</t>
        </is>
      </c>
    </row>
    <row r="41">
      <c r="A41" t="inlineStr">
        <is>
          <t>fi-helsinki</t>
        </is>
      </c>
      <c r="B41" t="inlineStr">
        <is>
          <t>Helsinki</t>
        </is>
      </c>
      <c r="C41" t="inlineStr">
        <is>
          <t>Helsinki Metropolitan Area</t>
        </is>
      </c>
      <c r="D41" t="inlineStr">
        <is>
          <t>Finland</t>
        </is>
      </c>
      <c r="E41" t="inlineStr">
        <is>
          <t>Western and Northern Europe</t>
        </is>
      </c>
      <c r="F41" t="inlineStr">
        <is>
          <t>secondary</t>
        </is>
      </c>
      <c r="G41" t="inlineStr">
        <is>
          <t>provisional</t>
        </is>
      </c>
      <c r="H41" t="inlineStr">
        <is>
          <t>Provisional Nordic comparator included for systems quality, climate, and cost balance.</t>
        </is>
      </c>
    </row>
    <row r="42">
      <c r="A42" t="inlineStr">
        <is>
          <t>ru-moscow</t>
        </is>
      </c>
      <c r="B42" t="inlineStr">
        <is>
          <t>Moscow</t>
        </is>
      </c>
      <c r="C42" t="inlineStr">
        <is>
          <t>Moscow Metropolitan Area</t>
        </is>
      </c>
      <c r="D42" t="inlineStr">
        <is>
          <t>Russia</t>
        </is>
      </c>
      <c r="E42" t="inlineStr">
        <is>
          <t>Southern/Eastern Europe and Eurasia</t>
        </is>
      </c>
      <c r="F42" t="inlineStr">
        <is>
          <t>primary</t>
        </is>
      </c>
      <c r="G42" t="inlineStr">
        <is>
          <t>locked</t>
        </is>
      </c>
      <c r="H42" t="inlineStr">
        <is>
          <t>User anchor included for scale, culture, infrastructure depth, and Eurasian comparability.</t>
        </is>
      </c>
    </row>
    <row r="43">
      <c r="A43" t="inlineStr">
        <is>
          <t>hu-budapest</t>
        </is>
      </c>
      <c r="B43" t="inlineStr">
        <is>
          <t>Budapest</t>
        </is>
      </c>
      <c r="C43" t="inlineStr">
        <is>
          <t>Budapest Metropolitan Area</t>
        </is>
      </c>
      <c r="D43" t="inlineStr">
        <is>
          <t>Hungary</t>
        </is>
      </c>
      <c r="E43" t="inlineStr">
        <is>
          <t>Southern/Eastern Europe and Eurasia</t>
        </is>
      </c>
      <c r="F43" t="inlineStr">
        <is>
          <t>primary</t>
        </is>
      </c>
      <c r="G43" t="inlineStr">
        <is>
          <t>locked</t>
        </is>
      </c>
      <c r="H43" t="inlineStr">
        <is>
          <t>User anchor with strong urban form, culture, and affordability relative to western peers.</t>
        </is>
      </c>
    </row>
    <row r="44">
      <c r="A44" t="inlineStr">
        <is>
          <t>pl-krakow</t>
        </is>
      </c>
      <c r="B44" t="inlineStr">
        <is>
          <t>Krakow</t>
        </is>
      </c>
      <c r="C44" t="inlineStr">
        <is>
          <t>Krakow Metropolitan Area</t>
        </is>
      </c>
      <c r="D44" t="inlineStr">
        <is>
          <t>Poland</t>
        </is>
      </c>
      <c r="E44" t="inlineStr">
        <is>
          <t>Southern/Eastern Europe and Eurasia</t>
        </is>
      </c>
      <c r="F44" t="inlineStr">
        <is>
          <t>primary</t>
        </is>
      </c>
      <c r="G44" t="inlineStr">
        <is>
          <t>locked</t>
        </is>
      </c>
      <c r="H44" t="inlineStr">
        <is>
          <t>User anchor and strong central-European benchmark for heritage, education, and secondary-scale quality.</t>
        </is>
      </c>
    </row>
    <row r="45">
      <c r="A45" t="inlineStr">
        <is>
          <t>ro-bucharest</t>
        </is>
      </c>
      <c r="B45" t="inlineStr">
        <is>
          <t>Bucharest</t>
        </is>
      </c>
      <c r="C45" t="inlineStr">
        <is>
          <t>Bucharest Metropolitan Area</t>
        </is>
      </c>
      <c r="D45" t="inlineStr">
        <is>
          <t>Romania</t>
        </is>
      </c>
      <c r="E45" t="inlineStr">
        <is>
          <t>Southern/Eastern Europe and Eurasia</t>
        </is>
      </c>
      <c r="F45" t="inlineStr">
        <is>
          <t>primary</t>
        </is>
      </c>
      <c r="G45" t="inlineStr">
        <is>
          <t>locked</t>
        </is>
      </c>
      <c r="H45" t="inlineStr">
        <is>
          <t>Regional capital included for affordability-competitiveness balance and infrastructure trajectory.</t>
        </is>
      </c>
    </row>
    <row r="46">
      <c r="A46" t="inlineStr">
        <is>
          <t>rs-belgrade</t>
        </is>
      </c>
      <c r="B46" t="inlineStr">
        <is>
          <t>Belgrade</t>
        </is>
      </c>
      <c r="C46" t="inlineStr">
        <is>
          <t>Belgrade Metropolitan Area</t>
        </is>
      </c>
      <c r="D46" t="inlineStr">
        <is>
          <t>Serbia</t>
        </is>
      </c>
      <c r="E46" t="inlineStr">
        <is>
          <t>Southern/Eastern Europe and Eurasia</t>
        </is>
      </c>
      <c r="F46" t="inlineStr">
        <is>
          <t>primary</t>
        </is>
      </c>
      <c r="G46" t="inlineStr">
        <is>
          <t>locked</t>
        </is>
      </c>
      <c r="H46" t="inlineStr">
        <is>
          <t>Regional challenger included for dynamism, hospitality, and lower-cost competitiveness.</t>
        </is>
      </c>
    </row>
    <row r="47">
      <c r="A47" t="inlineStr">
        <is>
          <t>ru-nizhny-novgorod</t>
        </is>
      </c>
      <c r="B47" t="inlineStr">
        <is>
          <t>Nizhny Novgorod</t>
        </is>
      </c>
      <c r="C47" t="inlineStr">
        <is>
          <t>Nizhny Novgorod Urban Agglomeration</t>
        </is>
      </c>
      <c r="D47" t="inlineStr">
        <is>
          <t>Russia</t>
        </is>
      </c>
      <c r="E47" t="inlineStr">
        <is>
          <t>Southern/Eastern Europe and Eurasia</t>
        </is>
      </c>
      <c r="F47" t="inlineStr">
        <is>
          <t>secondary</t>
        </is>
      </c>
      <c r="G47" t="inlineStr">
        <is>
          <t>provisional</t>
        </is>
      </c>
      <c r="H47" t="inlineStr">
        <is>
          <t>User-referenced Russian challenger included provisionally as a second-tier Eurasian comparator.</t>
        </is>
      </c>
    </row>
    <row r="48">
      <c r="A48" t="inlineStr">
        <is>
          <t>pl-katowice</t>
        </is>
      </c>
      <c r="B48" t="inlineStr">
        <is>
          <t>Katowice</t>
        </is>
      </c>
      <c r="C48" t="inlineStr">
        <is>
          <t>Upper Silesian Metropolitan Association</t>
        </is>
      </c>
      <c r="D48" t="inlineStr">
        <is>
          <t>Poland</t>
        </is>
      </c>
      <c r="E48" t="inlineStr">
        <is>
          <t>Southern/Eastern Europe and Eurasia</t>
        </is>
      </c>
      <c r="F48" t="inlineStr">
        <is>
          <t>secondary</t>
        </is>
      </c>
      <c r="G48" t="inlineStr">
        <is>
          <t>locked</t>
        </is>
      </c>
      <c r="H48" t="inlineStr">
        <is>
          <t>User anchor included for industrial-transition competitiveness and metro-scale livability.</t>
        </is>
      </c>
    </row>
    <row r="49">
      <c r="A49" t="inlineStr">
        <is>
          <t>pl-gdansk</t>
        </is>
      </c>
      <c r="B49" t="inlineStr">
        <is>
          <t>Gdansk</t>
        </is>
      </c>
      <c r="C49" t="inlineStr">
        <is>
          <t>Tricity Metropolitan Area</t>
        </is>
      </c>
      <c r="D49" t="inlineStr">
        <is>
          <t>Poland</t>
        </is>
      </c>
      <c r="E49" t="inlineStr">
        <is>
          <t>Southern/Eastern Europe and Eurasia</t>
        </is>
      </c>
      <c r="F49" t="inlineStr">
        <is>
          <t>secondary</t>
        </is>
      </c>
      <c r="G49" t="inlineStr">
        <is>
          <t>locked</t>
        </is>
      </c>
      <c r="H49" t="inlineStr">
        <is>
          <t>User anchor included for port-city vitality and Baltic urban quality.</t>
        </is>
      </c>
    </row>
    <row r="50">
      <c r="A50" t="inlineStr">
        <is>
          <t>pl-torun</t>
        </is>
      </c>
      <c r="B50" t="inlineStr">
        <is>
          <t>Torun</t>
        </is>
      </c>
      <c r="C50" t="inlineStr">
        <is>
          <t>Torun Urban Area</t>
        </is>
      </c>
      <c r="D50" t="inlineStr">
        <is>
          <t>Poland</t>
        </is>
      </c>
      <c r="E50" t="inlineStr">
        <is>
          <t>Southern/Eastern Europe and Eurasia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User-referenced university-city challenger retained provisionally for follow-up data testing.</t>
        </is>
      </c>
    </row>
    <row r="51">
      <c r="A51" t="inlineStr">
        <is>
          <t>sk-bratislava</t>
        </is>
      </c>
      <c r="B51" t="inlineStr">
        <is>
          <t>Bratislava</t>
        </is>
      </c>
      <c r="C51" t="inlineStr">
        <is>
          <t>Bratislava Metropolitan Area</t>
        </is>
      </c>
      <c r="D51" t="inlineStr">
        <is>
          <t>Slovakia</t>
        </is>
      </c>
      <c r="E51" t="inlineStr">
        <is>
          <t>Southern/Eastern Europe and Eurasia</t>
        </is>
      </c>
      <c r="F51" t="inlineStr">
        <is>
          <t>secondary</t>
        </is>
      </c>
      <c r="G51" t="inlineStr">
        <is>
          <t>provisional</t>
        </is>
      </c>
      <c r="H51" t="inlineStr">
        <is>
          <t>Secondary central-European challenger included for affordability, cross-border access, and competitiveness.</t>
        </is>
      </c>
    </row>
    <row r="52">
      <c r="A52" t="inlineStr">
        <is>
          <t>us-chicago</t>
        </is>
      </c>
      <c r="B52" t="inlineStr">
        <is>
          <t>Chicago</t>
        </is>
      </c>
      <c r="C52" t="inlineStr">
        <is>
          <t>Chicago Metropolitan Area</t>
        </is>
      </c>
      <c r="D52" t="inlineStr">
        <is>
          <t>United States</t>
        </is>
      </c>
      <c r="E52" t="inlineStr">
        <is>
          <t>North America</t>
        </is>
      </c>
      <c r="F52" t="inlineStr">
        <is>
          <t>primary</t>
        </is>
      </c>
      <c r="G52" t="inlineStr">
        <is>
          <t>locked</t>
        </is>
      </c>
      <c r="H52" t="inlineStr">
        <is>
          <t>U.S. control city included for scale, connectivity, and relative affordability within the American field.</t>
        </is>
      </c>
    </row>
    <row r="53">
      <c r="A53" t="inlineStr">
        <is>
          <t>mx-mexico-city</t>
        </is>
      </c>
      <c r="B53" t="inlineStr">
        <is>
          <t>Mexico City</t>
        </is>
      </c>
      <c r="C53" t="inlineStr">
        <is>
          <t>Valley of Mexico Metropolitan Area</t>
        </is>
      </c>
      <c r="D53" t="inlineStr">
        <is>
          <t>Mexico</t>
        </is>
      </c>
      <c r="E53" t="inlineStr">
        <is>
          <t>North America</t>
        </is>
      </c>
      <c r="F53" t="inlineStr">
        <is>
          <t>primary</t>
        </is>
      </c>
      <c r="G53" t="inlineStr">
        <is>
          <t>locked</t>
        </is>
      </c>
      <c r="H53" t="inlineStr">
        <is>
          <t>North American megacity benchmark included for urban energy, culture, and affordability tension.</t>
        </is>
      </c>
    </row>
    <row r="54">
      <c r="A54" t="inlineStr">
        <is>
          <t>ca-toronto</t>
        </is>
      </c>
      <c r="B54" t="inlineStr">
        <is>
          <t>Toronto</t>
        </is>
      </c>
      <c r="C54" t="inlineStr">
        <is>
          <t>Greater Toronto Area</t>
        </is>
      </c>
      <c r="D54" t="inlineStr">
        <is>
          <t>Canada</t>
        </is>
      </c>
      <c r="E54" t="inlineStr">
        <is>
          <t>North America</t>
        </is>
      </c>
      <c r="F54" t="inlineStr">
        <is>
          <t>primary</t>
        </is>
      </c>
      <c r="G54" t="inlineStr">
        <is>
          <t>provisional</t>
        </is>
      </c>
      <c r="H54" t="inlineStr">
        <is>
          <t>High-cost North American comparator included to test whether strong services can offset pressure.</t>
        </is>
      </c>
    </row>
    <row r="55">
      <c r="A55" t="inlineStr">
        <is>
          <t>pa-panama-city</t>
        </is>
      </c>
      <c r="B55" t="inlineStr">
        <is>
          <t>Panama City</t>
        </is>
      </c>
      <c r="C55" t="inlineStr">
        <is>
          <t>Panama City Metropolitan Area</t>
        </is>
      </c>
      <c r="D55" t="inlineStr">
        <is>
          <t>Panama</t>
        </is>
      </c>
      <c r="E55" t="inlineStr">
        <is>
          <t>North America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gateway benchmark included for connectivity, investment, and logistics-driven vitality.</t>
        </is>
      </c>
    </row>
    <row r="56">
      <c r="A56" t="inlineStr">
        <is>
          <t>cr-san-jose</t>
        </is>
      </c>
      <c r="B56" t="inlineStr">
        <is>
          <t>San Jose</t>
        </is>
      </c>
      <c r="C56" t="inlineStr">
        <is>
          <t>Greater Metropolitan Area of Costa Rica</t>
        </is>
      </c>
      <c r="D56" t="inlineStr">
        <is>
          <t>Costa Rica</t>
        </is>
      </c>
      <c r="E56" t="inlineStr">
        <is>
          <t>North America</t>
        </is>
      </c>
      <c r="F56" t="inlineStr">
        <is>
          <t>primary</t>
        </is>
      </c>
      <c r="G56" t="inlineStr">
        <is>
          <t>locked</t>
        </is>
      </c>
      <c r="H56" t="inlineStr">
        <is>
          <t>Smaller North American capital benchmark included for education, healthcare, and relative stability.</t>
        </is>
      </c>
    </row>
    <row r="57">
      <c r="A57" t="inlineStr">
        <is>
          <t>us-pittsburgh</t>
        </is>
      </c>
      <c r="B57" t="inlineStr">
        <is>
          <t>Pittsburgh</t>
        </is>
      </c>
      <c r="C57" t="inlineStr">
        <is>
          <t>Pittsburgh Metropolitan Area</t>
        </is>
      </c>
      <c r="D57" t="inlineStr">
        <is>
          <t>United States</t>
        </is>
      </c>
      <c r="E57" t="inlineStr">
        <is>
          <t>North America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Secondary U.S. challenger included for education, healthcare, and value relative to coastal hubs.</t>
        </is>
      </c>
    </row>
    <row r="58">
      <c r="A58" t="inlineStr">
        <is>
          <t>ca-montreal</t>
        </is>
      </c>
      <c r="B58" t="inlineStr">
        <is>
          <t>Montreal</t>
        </is>
      </c>
      <c r="C58" t="inlineStr">
        <is>
          <t>Montreal Metropolitan Area</t>
        </is>
      </c>
      <c r="D58" t="inlineStr">
        <is>
          <t>Canada</t>
        </is>
      </c>
      <c r="E58" t="inlineStr">
        <is>
          <t>North America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Secondary Canadian benchmark with strong culture, transit, and urban texture.</t>
        </is>
      </c>
    </row>
    <row r="59">
      <c r="A59" t="inlineStr">
        <is>
          <t>mx-guadalajara</t>
        </is>
      </c>
      <c r="B59" t="inlineStr">
        <is>
          <t>Guadalajara</t>
        </is>
      </c>
      <c r="C59" t="inlineStr">
        <is>
          <t>Guadalajara Metropolitan Area</t>
        </is>
      </c>
      <c r="D59" t="inlineStr">
        <is>
          <t>Mexico</t>
        </is>
      </c>
      <c r="E59" t="inlineStr">
        <is>
          <t>North America</t>
        </is>
      </c>
      <c r="F59" t="inlineStr">
        <is>
          <t>secondary</t>
        </is>
      </c>
      <c r="G59" t="inlineStr">
        <is>
          <t>locked</t>
        </is>
      </c>
      <c r="H59" t="inlineStr">
        <is>
          <t>Secondary Mexican challenger for entrepreneurship, liveability, and cost competitiveness.</t>
        </is>
      </c>
    </row>
    <row r="60">
      <c r="A60" t="inlineStr">
        <is>
          <t>pr-san-juan</t>
        </is>
      </c>
      <c r="B60" t="inlineStr">
        <is>
          <t>San Juan</t>
        </is>
      </c>
      <c r="C60" t="inlineStr">
        <is>
          <t>San Juan Metropolitan Area</t>
        </is>
      </c>
      <c r="D60" t="inlineStr">
        <is>
          <t>Puerto Rico</t>
        </is>
      </c>
      <c r="E60" t="inlineStr">
        <is>
          <t>North America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Caribbean urban challenger included provisionally for climate, connectivity, and services testing.</t>
        </is>
      </c>
    </row>
    <row r="61">
      <c r="A61" t="inlineStr">
        <is>
          <t>mx-merida</t>
        </is>
      </c>
      <c r="B61" t="inlineStr">
        <is>
          <t>Merida</t>
        </is>
      </c>
      <c r="C61" t="inlineStr">
        <is>
          <t>Merida Metropolitan Area</t>
        </is>
      </c>
      <c r="D61" t="inlineStr">
        <is>
          <t>Mexico</t>
        </is>
      </c>
      <c r="E61" t="inlineStr">
        <is>
          <t>North America</t>
        </is>
      </c>
      <c r="F61" t="inlineStr">
        <is>
          <t>secondary</t>
        </is>
      </c>
      <c r="G61" t="inlineStr">
        <is>
          <t>provisional</t>
        </is>
      </c>
      <c r="H61" t="inlineStr">
        <is>
          <t>Lower-pressure Mexican challenger included provisionally for safety and lifestyle contrast.</t>
        </is>
      </c>
    </row>
    <row r="62">
      <c r="A62" t="inlineStr">
        <is>
          <t>br-sao-paulo</t>
        </is>
      </c>
      <c r="B62" t="inlineStr">
        <is>
          <t>Sao Paulo</t>
        </is>
      </c>
      <c r="C62" t="inlineStr">
        <is>
          <t>Sao Paulo Metropolitan Area</t>
        </is>
      </c>
      <c r="D62" t="inlineStr">
        <is>
          <t>Brazil</t>
        </is>
      </c>
      <c r="E62" t="inlineStr">
        <is>
          <t>Latin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User anchor and Latin American scale benchmark for competitiveness and opportunity.</t>
        </is>
      </c>
    </row>
    <row r="63">
      <c r="A63" t="inlineStr">
        <is>
          <t>ar-buenos-aires</t>
        </is>
      </c>
      <c r="B63" t="inlineStr">
        <is>
          <t>Buenos Aires</t>
        </is>
      </c>
      <c r="C63" t="inlineStr">
        <is>
          <t>Greater Buenos Aires</t>
        </is>
      </c>
      <c r="D63" t="inlineStr">
        <is>
          <t>Argentina</t>
        </is>
      </c>
      <c r="E63" t="inlineStr">
        <is>
          <t>Latin America</t>
        </is>
      </c>
      <c r="F63" t="inlineStr">
        <is>
          <t>primary</t>
        </is>
      </c>
      <c r="G63" t="inlineStr">
        <is>
          <t>locked</t>
        </is>
      </c>
      <c r="H63" t="inlineStr">
        <is>
          <t>Primary benchmark for culture, human capital, and urban texture across Latin America.</t>
        </is>
      </c>
    </row>
    <row r="64">
      <c r="A64" t="inlineStr">
        <is>
          <t>cl-santiago</t>
        </is>
      </c>
      <c r="B64" t="inlineStr">
        <is>
          <t>Santiago</t>
        </is>
      </c>
      <c r="C64" t="inlineStr">
        <is>
          <t>Greater Santiago</t>
        </is>
      </c>
      <c r="D64" t="inlineStr">
        <is>
          <t>Chile</t>
        </is>
      </c>
      <c r="E64" t="inlineStr">
        <is>
          <t>Latin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systems-quality benchmark included to compare efficiency against cost and social strain.</t>
        </is>
      </c>
    </row>
    <row r="65">
      <c r="A65" t="inlineStr">
        <is>
          <t>co-bogota</t>
        </is>
      </c>
      <c r="B65" t="inlineStr">
        <is>
          <t>Bogota</t>
        </is>
      </c>
      <c r="C65" t="inlineStr">
        <is>
          <t>Bogota Metropolitan Area</t>
        </is>
      </c>
      <c r="D65" t="inlineStr">
        <is>
          <t>Colombia</t>
        </is>
      </c>
      <c r="E65" t="inlineStr">
        <is>
          <t>Latin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Primary comparator for scale, transit reform, education, and competitiveness.</t>
        </is>
      </c>
    </row>
    <row r="66">
      <c r="A66" t="inlineStr">
        <is>
          <t>pe-lima</t>
        </is>
      </c>
      <c r="B66" t="inlineStr">
        <is>
          <t>Lima</t>
        </is>
      </c>
      <c r="C66" t="inlineStr">
        <is>
          <t>Lima Metropolitan Area</t>
        </is>
      </c>
      <c r="D66" t="inlineStr">
        <is>
          <t>Peru</t>
        </is>
      </c>
      <c r="E66" t="inlineStr">
        <is>
          <t>Latin America</t>
        </is>
      </c>
      <c r="F66" t="inlineStr">
        <is>
          <t>primary</t>
        </is>
      </c>
      <c r="G66" t="inlineStr">
        <is>
          <t>provisional</t>
        </is>
      </c>
      <c r="H66" t="inlineStr">
        <is>
          <t>Provisional Pacific-capital comparator included for scale and coastal livability tradeoffs.</t>
        </is>
      </c>
    </row>
    <row r="67">
      <c r="A67" t="inlineStr">
        <is>
          <t>br-curitiba</t>
        </is>
      </c>
      <c r="B67" t="inlineStr">
        <is>
          <t>Curitiba</t>
        </is>
      </c>
      <c r="C67" t="inlineStr">
        <is>
          <t>Curitiba Metropolitan Area</t>
        </is>
      </c>
      <c r="D67" t="inlineStr">
        <is>
          <t>Brazil</t>
        </is>
      </c>
      <c r="E67" t="inlineStr">
        <is>
          <t>Latin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benchmark for planning reputation, mobility, and relative affordability.</t>
        </is>
      </c>
    </row>
    <row r="68">
      <c r="A68" t="inlineStr">
        <is>
          <t>co-medellin</t>
        </is>
      </c>
      <c r="B68" t="inlineStr">
        <is>
          <t>Medellin</t>
        </is>
      </c>
      <c r="C68" t="inlineStr">
        <is>
          <t>Aburra Valley Metropolitan Area</t>
        </is>
      </c>
      <c r="D68" t="inlineStr">
        <is>
          <t>Colombia</t>
        </is>
      </c>
      <c r="E68" t="inlineStr">
        <is>
          <t>Latin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challenger for entrepreneurship, hillside transit, and urban transformation.</t>
        </is>
      </c>
    </row>
    <row r="69">
      <c r="A69" t="inlineStr">
        <is>
          <t>uy-montevideo</t>
        </is>
      </c>
      <c r="B69" t="inlineStr">
        <is>
          <t>Montevideo</t>
        </is>
      </c>
      <c r="C69" t="inlineStr">
        <is>
          <t>Montevideo Metropolitan Area</t>
        </is>
      </c>
      <c r="D69" t="inlineStr">
        <is>
          <t>Uruguay</t>
        </is>
      </c>
      <c r="E69" t="inlineStr">
        <is>
          <t>Latin America</t>
        </is>
      </c>
      <c r="F69" t="inlineStr">
        <is>
          <t>secondary</t>
        </is>
      </c>
      <c r="G69" t="inlineStr">
        <is>
          <t>locked</t>
        </is>
      </c>
      <c r="H69" t="inlineStr">
        <is>
          <t>Lower-pressure South American benchmark with strong civic and social indicators.</t>
        </is>
      </c>
    </row>
    <row r="70">
      <c r="A70" t="inlineStr">
        <is>
          <t>ar-cordoba</t>
        </is>
      </c>
      <c r="B70" t="inlineStr">
        <is>
          <t>Cordoba</t>
        </is>
      </c>
      <c r="C70" t="inlineStr">
        <is>
          <t>Cordoba Metropolitan Area</t>
        </is>
      </c>
      <c r="D70" t="inlineStr">
        <is>
          <t>Argentina</t>
        </is>
      </c>
      <c r="E70" t="inlineStr">
        <is>
          <t>Latin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Secondary Argentine challenger included provisionally for education, cost, and regional depth.</t>
        </is>
      </c>
    </row>
    <row r="71">
      <c r="A71" t="inlineStr">
        <is>
          <t>cl-valparaiso</t>
        </is>
      </c>
      <c r="B71" t="inlineStr">
        <is>
          <t>Valparaiso</t>
        </is>
      </c>
      <c r="C71" t="inlineStr">
        <is>
          <t>Greater Valparaiso</t>
        </is>
      </c>
      <c r="D71" t="inlineStr">
        <is>
          <t>Chile</t>
        </is>
      </c>
      <c r="E71" t="inlineStr">
        <is>
          <t>Latin America</t>
        </is>
      </c>
      <c r="F71" t="inlineStr">
        <is>
          <t>secondary</t>
        </is>
      </c>
      <c r="G71" t="inlineStr">
        <is>
          <t>provisional</t>
        </is>
      </c>
      <c r="H71" t="inlineStr">
        <is>
          <t>Port-city challenger included provisionally for culture and coastal public-life potential.</t>
        </is>
      </c>
    </row>
    <row r="72">
      <c r="A72" t="inlineStr">
        <is>
          <t>ae-dubai</t>
        </is>
      </c>
      <c r="B72" t="inlineStr">
        <is>
          <t>Dubai</t>
        </is>
      </c>
      <c r="C72" t="inlineStr">
        <is>
          <t>Dubai Metropolitan Area</t>
        </is>
      </c>
      <c r="D72" t="inlineStr">
        <is>
          <t>United Arab Emirates</t>
        </is>
      </c>
      <c r="E72" t="inlineStr">
        <is>
          <t>Middle East</t>
        </is>
      </c>
      <c r="F72" t="inlineStr">
        <is>
          <t>primary</t>
        </is>
      </c>
      <c r="G72" t="inlineStr">
        <is>
          <t>locked</t>
        </is>
      </c>
      <c r="H72" t="inlineStr">
        <is>
          <t>Regional convenience and connectivity benchmark included to test cost and social texture tradeoffs.</t>
        </is>
      </c>
    </row>
    <row r="73">
      <c r="A73" t="inlineStr">
        <is>
          <t>ae-abu-dhabi</t>
        </is>
      </c>
      <c r="B73" t="inlineStr">
        <is>
          <t>Abu Dhabi</t>
        </is>
      </c>
      <c r="C73" t="inlineStr">
        <is>
          <t>Abu Dhabi Metropolitan Area</t>
        </is>
      </c>
      <c r="D73" t="inlineStr">
        <is>
          <t>United Arab Emirates</t>
        </is>
      </c>
      <c r="E73" t="inlineStr">
        <is>
          <t>Middle East</t>
        </is>
      </c>
      <c r="F73" t="inlineStr">
        <is>
          <t>primary</t>
        </is>
      </c>
      <c r="G73" t="inlineStr">
        <is>
          <t>locked</t>
        </is>
      </c>
      <c r="H73" t="inlineStr">
        <is>
          <t>Systems-quality comparator with strong state capacity and high service competence.</t>
        </is>
      </c>
    </row>
    <row r="74">
      <c r="A74" t="inlineStr">
        <is>
          <t>qa-doha</t>
        </is>
      </c>
      <c r="B74" t="inlineStr">
        <is>
          <t>Doha</t>
        </is>
      </c>
      <c r="C74" t="inlineStr">
        <is>
          <t>Doha Metropolitan Area</t>
        </is>
      </c>
      <c r="D74" t="inlineStr">
        <is>
          <t>Qatar</t>
        </is>
      </c>
      <c r="E74" t="inlineStr">
        <is>
          <t>Middle East</t>
        </is>
      </c>
      <c r="F74" t="inlineStr">
        <is>
          <t>primary</t>
        </is>
      </c>
      <c r="G74" t="inlineStr">
        <is>
          <t>locked</t>
        </is>
      </c>
      <c r="H74" t="inlineStr">
        <is>
          <t>High-capacity Gulf benchmark included for infrastructure, safety, and cost testing.</t>
        </is>
      </c>
    </row>
    <row r="75">
      <c r="A75" t="inlineStr">
        <is>
          <t>sa-riyadh</t>
        </is>
      </c>
      <c r="B75" t="inlineStr">
        <is>
          <t>Riyadh</t>
        </is>
      </c>
      <c r="C75" t="inlineStr">
        <is>
          <t>Riyadh Metropolitan Area</t>
        </is>
      </c>
      <c r="D75" t="inlineStr">
        <is>
          <t>Saudi Arabia</t>
        </is>
      </c>
      <c r="E75" t="inlineStr">
        <is>
          <t>Middle East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primary comparator included for scale, investment, and administrative reform testing.</t>
        </is>
      </c>
    </row>
    <row r="76">
      <c r="A76" t="inlineStr">
        <is>
          <t>il-tel-aviv</t>
        </is>
      </c>
      <c r="B76" t="inlineStr">
        <is>
          <t>Tel Aviv</t>
        </is>
      </c>
      <c r="C76" t="inlineStr">
        <is>
          <t>Tel Aviv Metropolitan Area</t>
        </is>
      </c>
      <c r="D76" t="inlineStr">
        <is>
          <t>Israel</t>
        </is>
      </c>
      <c r="E76" t="inlineStr">
        <is>
          <t>Middle East</t>
        </is>
      </c>
      <c r="F76" t="inlineStr">
        <is>
          <t>primary</t>
        </is>
      </c>
      <c r="G76" t="inlineStr">
        <is>
          <t>provisional</t>
        </is>
      </c>
      <c r="H76" t="inlineStr">
        <is>
          <t>Provisional innovation benchmark included for startup intensity, openness, and high cost.</t>
        </is>
      </c>
    </row>
    <row r="77">
      <c r="A77" t="inlineStr">
        <is>
          <t>om-muscat</t>
        </is>
      </c>
      <c r="B77" t="inlineStr">
        <is>
          <t>Muscat</t>
        </is>
      </c>
      <c r="C77" t="inlineStr">
        <is>
          <t>Muscat Metropolitan Area</t>
        </is>
      </c>
      <c r="D77" t="inlineStr">
        <is>
          <t>Oman</t>
        </is>
      </c>
      <c r="E77" t="inlineStr">
        <is>
          <t>Middle East</t>
        </is>
      </c>
      <c r="F77" t="inlineStr">
        <is>
          <t>secondary</t>
        </is>
      </c>
      <c r="G77" t="inlineStr">
        <is>
          <t>locked</t>
        </is>
      </c>
      <c r="H77" t="inlineStr">
        <is>
          <t>Lower-pressure Gulf challenger with strong everyday service quality potential.</t>
        </is>
      </c>
    </row>
    <row r="78">
      <c r="A78" t="inlineStr">
        <is>
          <t>bh-manama</t>
        </is>
      </c>
      <c r="B78" t="inlineStr">
        <is>
          <t>Manama</t>
        </is>
      </c>
      <c r="C78" t="inlineStr">
        <is>
          <t>Greater Manama</t>
        </is>
      </c>
      <c r="D78" t="inlineStr">
        <is>
          <t>Bahrain</t>
        </is>
      </c>
      <c r="E78" t="inlineStr">
        <is>
          <t>Middle East</t>
        </is>
      </c>
      <c r="F78" t="inlineStr">
        <is>
          <t>secondary</t>
        </is>
      </c>
      <c r="G78" t="inlineStr">
        <is>
          <t>locked</t>
        </is>
      </c>
      <c r="H78" t="inlineStr">
        <is>
          <t>Secondary Gulf comparator for openness, compactness, and service-led economy.</t>
        </is>
      </c>
    </row>
    <row r="79">
      <c r="A79" t="inlineStr">
        <is>
          <t>sa-jeddah</t>
        </is>
      </c>
      <c r="B79" t="inlineStr">
        <is>
          <t>Jeddah</t>
        </is>
      </c>
      <c r="C79" t="inlineStr">
        <is>
          <t>Jeddah Metropolitan Area</t>
        </is>
      </c>
      <c r="D79" t="inlineStr">
        <is>
          <t>Saudi Arabia</t>
        </is>
      </c>
      <c r="E79" t="inlineStr">
        <is>
          <t>Middle East</t>
        </is>
      </c>
      <c r="F79" t="inlineStr">
        <is>
          <t>secondary</t>
        </is>
      </c>
      <c r="G79" t="inlineStr">
        <is>
          <t>locked</t>
        </is>
      </c>
      <c r="H79" t="inlineStr">
        <is>
          <t>Coastal Saudi challenger included for commerce, lifestyle, and second-city comparison.</t>
        </is>
      </c>
    </row>
    <row r="80">
      <c r="A80" t="inlineStr">
        <is>
          <t>kw-kuwait-city</t>
        </is>
      </c>
      <c r="B80" t="inlineStr">
        <is>
          <t>Kuwait City</t>
        </is>
      </c>
      <c r="C80" t="inlineStr">
        <is>
          <t>Kuwait Metropolitan Area</t>
        </is>
      </c>
      <c r="D80" t="inlineStr">
        <is>
          <t>Kuwait</t>
        </is>
      </c>
      <c r="E80" t="inlineStr">
        <is>
          <t>Middle East</t>
        </is>
      </c>
      <c r="F80" t="inlineStr">
        <is>
          <t>secondary</t>
        </is>
      </c>
      <c r="G80" t="inlineStr">
        <is>
          <t>locked</t>
        </is>
      </c>
      <c r="H80" t="inlineStr">
        <is>
          <t>Compact Gulf benchmark included for service quality and economic strength.</t>
        </is>
      </c>
    </row>
    <row r="81">
      <c r="A81" t="inlineStr">
        <is>
          <t>jo-amman</t>
        </is>
      </c>
      <c r="B81" t="inlineStr">
        <is>
          <t>Amman</t>
        </is>
      </c>
      <c r="C81" t="inlineStr">
        <is>
          <t>Greater Amman</t>
        </is>
      </c>
      <c r="D81" t="inlineStr">
        <is>
          <t>Jordan</t>
        </is>
      </c>
      <c r="E81" t="inlineStr">
        <is>
          <t>Middle East</t>
        </is>
      </c>
      <c r="F81" t="inlineStr">
        <is>
          <t>secondary</t>
        </is>
      </c>
      <c r="G81" t="inlineStr">
        <is>
          <t>provisional</t>
        </is>
      </c>
      <c r="H81" t="inlineStr">
        <is>
          <t>Provisional Levantine challenger included for education, services, and regional resilience.</t>
        </is>
      </c>
    </row>
    <row r="82">
      <c r="A82" t="inlineStr">
        <is>
          <t>za-cape-town</t>
        </is>
      </c>
      <c r="B82" t="inlineStr">
        <is>
          <t>Cape Town</t>
        </is>
      </c>
      <c r="C82" t="inlineStr">
        <is>
          <t>Cape Town Metropolitan Area</t>
        </is>
      </c>
      <c r="D82" t="inlineStr">
        <is>
          <t>South Africa</t>
        </is>
      </c>
      <c r="E82" t="inlineStr">
        <is>
          <t>Africa</t>
        </is>
      </c>
      <c r="F82" t="inlineStr">
        <is>
          <t>primary</t>
        </is>
      </c>
      <c r="G82" t="inlineStr">
        <is>
          <t>locked</t>
        </is>
      </c>
      <c r="H82" t="inlineStr">
        <is>
          <t>African benchmark for environment, urban form, and inequality tradeoffs.</t>
        </is>
      </c>
    </row>
    <row r="83">
      <c r="A83" t="inlineStr">
        <is>
          <t>za-johannesburg</t>
        </is>
      </c>
      <c r="B83" t="inlineStr">
        <is>
          <t>Johannesburg</t>
        </is>
      </c>
      <c r="C83" t="inlineStr">
        <is>
          <t>Johannesburg Metropolitan Area</t>
        </is>
      </c>
      <c r="D83" t="inlineStr">
        <is>
          <t>South Africa</t>
        </is>
      </c>
      <c r="E83" t="inlineStr">
        <is>
          <t>Africa</t>
        </is>
      </c>
      <c r="F83" t="inlineStr">
        <is>
          <t>primary</t>
        </is>
      </c>
      <c r="G83" t="inlineStr">
        <is>
          <t>provisional</t>
        </is>
      </c>
      <c r="H83" t="inlineStr">
        <is>
          <t>Provisional large-metro comparator included for competitiveness and safety-pressure contrasts.</t>
        </is>
      </c>
    </row>
    <row r="84">
      <c r="A84" t="inlineStr">
        <is>
          <t>ke-nairobi</t>
        </is>
      </c>
      <c r="B84" t="inlineStr">
        <is>
          <t>Nairobi</t>
        </is>
      </c>
      <c r="C84" t="inlineStr">
        <is>
          <t>Nairobi Metropolitan Area</t>
        </is>
      </c>
      <c r="D84" t="inlineStr">
        <is>
          <t>Kenya</t>
        </is>
      </c>
      <c r="E84" t="inlineStr">
        <is>
          <t>Africa</t>
        </is>
      </c>
      <c r="F84" t="inlineStr">
        <is>
          <t>primary</t>
        </is>
      </c>
      <c r="G84" t="inlineStr">
        <is>
          <t>locked</t>
        </is>
      </c>
      <c r="H84" t="inlineStr">
        <is>
          <t>Primary East African benchmark for entrepreneurship, services, and regional gravity.</t>
        </is>
      </c>
    </row>
    <row r="85">
      <c r="A85" t="inlineStr">
        <is>
          <t>rw-kigali</t>
        </is>
      </c>
      <c r="B85" t="inlineStr">
        <is>
          <t>Kigali</t>
        </is>
      </c>
      <c r="C85" t="inlineStr">
        <is>
          <t>Kigali Urban Area</t>
        </is>
      </c>
      <c r="D85" t="inlineStr">
        <is>
          <t>Rwanda</t>
        </is>
      </c>
      <c r="E85" t="inlineStr">
        <is>
          <t>Africa</t>
        </is>
      </c>
      <c r="F85" t="inlineStr">
        <is>
          <t>primary</t>
        </is>
      </c>
      <c r="G85" t="inlineStr">
        <is>
          <t>locked</t>
        </is>
      </c>
      <c r="H85" t="inlineStr">
        <is>
          <t>Primary challenger included for cleanliness, public order, and service reliability.</t>
        </is>
      </c>
    </row>
    <row r="86">
      <c r="A86" t="inlineStr">
        <is>
          <t>ma-casablanca</t>
        </is>
      </c>
      <c r="B86" t="inlineStr">
        <is>
          <t>Casablanca</t>
        </is>
      </c>
      <c r="C86" t="inlineStr">
        <is>
          <t>Casablanca Metropolitan Area</t>
        </is>
      </c>
      <c r="D86" t="inlineStr">
        <is>
          <t>Morocco</t>
        </is>
      </c>
      <c r="E86" t="inlineStr">
        <is>
          <t>Africa</t>
        </is>
      </c>
      <c r="F86" t="inlineStr">
        <is>
          <t>primary</t>
        </is>
      </c>
      <c r="G86" t="inlineStr">
        <is>
          <t>provisional</t>
        </is>
      </c>
      <c r="H86" t="inlineStr">
        <is>
          <t>Provisional north-African benchmark for scale, port economy, and urban vitality.</t>
        </is>
      </c>
    </row>
    <row r="87">
      <c r="A87" t="inlineStr">
        <is>
          <t>mu-port-louis</t>
        </is>
      </c>
      <c r="B87" t="inlineStr">
        <is>
          <t>Port Louis</t>
        </is>
      </c>
      <c r="C87" t="inlineStr">
        <is>
          <t>Port Louis Urban Area</t>
        </is>
      </c>
      <c r="D87" t="inlineStr">
        <is>
          <t>Mauritius</t>
        </is>
      </c>
      <c r="E87" t="inlineStr">
        <is>
          <t>Africa</t>
        </is>
      </c>
      <c r="F87" t="inlineStr">
        <is>
          <t>secondary</t>
        </is>
      </c>
      <c r="G87" t="inlineStr">
        <is>
          <t>locked</t>
        </is>
      </c>
      <c r="H87" t="inlineStr">
        <is>
          <t>Island-city challenger included for service quality, openness, and governance stability.</t>
        </is>
      </c>
    </row>
    <row r="88">
      <c r="A88" t="inlineStr">
        <is>
          <t>bw-gaborone</t>
        </is>
      </c>
      <c r="B88" t="inlineStr">
        <is>
          <t>Gaborone</t>
        </is>
      </c>
      <c r="C88" t="inlineStr">
        <is>
          <t>Greater Gaborone</t>
        </is>
      </c>
      <c r="D88" t="inlineStr">
        <is>
          <t>Botswana</t>
        </is>
      </c>
      <c r="E88" t="inlineStr">
        <is>
          <t>Africa</t>
        </is>
      </c>
      <c r="F88" t="inlineStr">
        <is>
          <t>secondary</t>
        </is>
      </c>
      <c r="G88" t="inlineStr">
        <is>
          <t>locked</t>
        </is>
      </c>
      <c r="H88" t="inlineStr">
        <is>
          <t>Lower-pressure southern-African challenger with cleaner administrative profile.</t>
        </is>
      </c>
    </row>
    <row r="89">
      <c r="A89" t="inlineStr">
        <is>
          <t>na-windhoek</t>
        </is>
      </c>
      <c r="B89" t="inlineStr">
        <is>
          <t>Windhoek</t>
        </is>
      </c>
      <c r="C89" t="inlineStr">
        <is>
          <t>Windhoek Urban Area</t>
        </is>
      </c>
      <c r="D89" t="inlineStr">
        <is>
          <t>Namibia</t>
        </is>
      </c>
      <c r="E89" t="inlineStr">
        <is>
          <t>Africa</t>
        </is>
      </c>
      <c r="F89" t="inlineStr">
        <is>
          <t>secondary</t>
        </is>
      </c>
      <c r="G89" t="inlineStr">
        <is>
          <t>locked</t>
        </is>
      </c>
      <c r="H89" t="inlineStr">
        <is>
          <t>Secondary challenger included for manageable scale and baseline service competence.</t>
        </is>
      </c>
    </row>
    <row r="90">
      <c r="A90" t="inlineStr">
        <is>
          <t>gh-accra</t>
        </is>
      </c>
      <c r="B90" t="inlineStr">
        <is>
          <t>Accra</t>
        </is>
      </c>
      <c r="C90" t="inlineStr">
        <is>
          <t>Greater Accra Metropolitan Area</t>
        </is>
      </c>
      <c r="D90" t="inlineStr">
        <is>
          <t>Ghana</t>
        </is>
      </c>
      <c r="E90" t="inlineStr">
        <is>
          <t>Africa</t>
        </is>
      </c>
      <c r="F90" t="inlineStr">
        <is>
          <t>secondary</t>
        </is>
      </c>
      <c r="G90" t="inlineStr">
        <is>
          <t>locked</t>
        </is>
      </c>
      <c r="H90" t="inlineStr">
        <is>
          <t>West African benchmark for talent, services, and regional connectivity.</t>
        </is>
      </c>
    </row>
    <row r="91">
      <c r="A91" t="inlineStr">
        <is>
          <t>sn-dakar</t>
        </is>
      </c>
      <c r="B91" t="inlineStr">
        <is>
          <t>Dakar</t>
        </is>
      </c>
      <c r="C91" t="inlineStr">
        <is>
          <t>Dakar Metropolitan Area</t>
        </is>
      </c>
      <c r="D91" t="inlineStr">
        <is>
          <t>Senegal</t>
        </is>
      </c>
      <c r="E91" t="inlineStr">
        <is>
          <t>Africa</t>
        </is>
      </c>
      <c r="F91" t="inlineStr">
        <is>
          <t>secondary</t>
        </is>
      </c>
      <c r="G91" t="inlineStr">
        <is>
          <t>provisional</t>
        </is>
      </c>
      <c r="H91" t="inlineStr">
        <is>
          <t>Provisional francophone west-African challenger with cultural and regional pull.</t>
        </is>
      </c>
    </row>
    <row r="92">
      <c r="A92" t="inlineStr">
        <is>
          <t>nz-auckland</t>
        </is>
      </c>
      <c r="B92" t="inlineStr">
        <is>
          <t>Auckland</t>
        </is>
      </c>
      <c r="C92" t="inlineStr">
        <is>
          <t>Auckland Metropolitan Area</t>
        </is>
      </c>
      <c r="D92" t="inlineStr">
        <is>
          <t>New Zealand</t>
        </is>
      </c>
      <c r="E92" t="inlineStr">
        <is>
          <t>Oceania</t>
        </is>
      </c>
      <c r="F92" t="inlineStr">
        <is>
          <t>primary</t>
        </is>
      </c>
      <c r="G92" t="inlineStr">
        <is>
          <t>locked</t>
        </is>
      </c>
      <c r="H92" t="inlineStr">
        <is>
          <t>Primary Oceanian benchmark for human-capital quality, openness, and cost pressure.</t>
        </is>
      </c>
    </row>
    <row r="93">
      <c r="A93" t="inlineStr">
        <is>
          <t>au-sydney</t>
        </is>
      </c>
      <c r="B93" t="inlineStr">
        <is>
          <t>Sydney</t>
        </is>
      </c>
      <c r="C93" t="inlineStr">
        <is>
          <t>Greater Sydney</t>
        </is>
      </c>
      <c r="D93" t="inlineStr">
        <is>
          <t>Australia</t>
        </is>
      </c>
      <c r="E93" t="inlineStr">
        <is>
          <t>Oceania</t>
        </is>
      </c>
      <c r="F93" t="inlineStr">
        <is>
          <t>primary</t>
        </is>
      </c>
      <c r="G93" t="inlineStr">
        <is>
          <t>provisional</t>
        </is>
      </c>
      <c r="H93" t="inlineStr">
        <is>
          <t>Global city control included so SLIC can test whether systems quality survives extreme cost pressure.</t>
        </is>
      </c>
    </row>
    <row r="94">
      <c r="A94" t="inlineStr">
        <is>
          <t>au-melbourne</t>
        </is>
      </c>
      <c r="B94" t="inlineStr">
        <is>
          <t>Melbourne</t>
        </is>
      </c>
      <c r="C94" t="inlineStr">
        <is>
          <t>Greater Melbourne</t>
        </is>
      </c>
      <c r="D94" t="inlineStr">
        <is>
          <t>Australia</t>
        </is>
      </c>
      <c r="E94" t="inlineStr">
        <is>
          <t>Oceania</t>
        </is>
      </c>
      <c r="F94" t="inlineStr">
        <is>
          <t>primary</t>
        </is>
      </c>
      <c r="G94" t="inlineStr">
        <is>
          <t>provisional</t>
        </is>
      </c>
      <c r="H94" t="inlineStr">
        <is>
          <t>Prestige benchmark included to compare mainstream rankings against SLIC's pressure logic.</t>
        </is>
      </c>
    </row>
    <row r="95">
      <c r="A95" t="inlineStr">
        <is>
          <t>au-brisbane</t>
        </is>
      </c>
      <c r="B95" t="inlineStr">
        <is>
          <t>Brisbane</t>
        </is>
      </c>
      <c r="C95" t="inlineStr">
        <is>
          <t>Greater Brisbane</t>
        </is>
      </c>
      <c r="D95" t="inlineStr">
        <is>
          <t>Australia</t>
        </is>
      </c>
      <c r="E95" t="inlineStr">
        <is>
          <t>Oceania</t>
        </is>
      </c>
      <c r="F95" t="inlineStr">
        <is>
          <t>primary</t>
        </is>
      </c>
      <c r="G95" t="inlineStr">
        <is>
          <t>locked</t>
        </is>
      </c>
      <c r="H95" t="inlineStr">
        <is>
          <t>Primary Australian challenger with lower cost pressure than Sydney and Melbourne.</t>
        </is>
      </c>
    </row>
    <row r="96">
      <c r="A96" t="inlineStr">
        <is>
          <t>nz-wellington</t>
        </is>
      </c>
      <c r="B96" t="inlineStr">
        <is>
          <t>Wellington</t>
        </is>
      </c>
      <c r="C96" t="inlineStr">
        <is>
          <t>Wellington Metropolitan Area</t>
        </is>
      </c>
      <c r="D96" t="inlineStr">
        <is>
          <t>New Zealand</t>
        </is>
      </c>
      <c r="E96" t="inlineStr">
        <is>
          <t>Oceania</t>
        </is>
      </c>
      <c r="F96" t="inlineStr">
        <is>
          <t>primary</t>
        </is>
      </c>
      <c r="G96" t="inlineStr">
        <is>
          <t>locked</t>
        </is>
      </c>
      <c r="H96" t="inlineStr">
        <is>
          <t>Compact capital benchmark included for services, education, and public-life quality.</t>
        </is>
      </c>
    </row>
    <row r="97">
      <c r="A97" t="inlineStr">
        <is>
          <t>au-perth</t>
        </is>
      </c>
      <c r="B97" t="inlineStr">
        <is>
          <t>Perth</t>
        </is>
      </c>
      <c r="C97" t="inlineStr">
        <is>
          <t>Greater Perth</t>
        </is>
      </c>
      <c r="D97" t="inlineStr">
        <is>
          <t>Australia</t>
        </is>
      </c>
      <c r="E97" t="inlineStr">
        <is>
          <t>Oceania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Western Australian challenger included for lifestyle, wages, and geographic isolation tradeoffs.</t>
        </is>
      </c>
    </row>
    <row r="98">
      <c r="A98" t="inlineStr">
        <is>
          <t>au-adelaide</t>
        </is>
      </c>
      <c r="B98" t="inlineStr">
        <is>
          <t>Adelaide</t>
        </is>
      </c>
      <c r="C98" t="inlineStr">
        <is>
          <t>Greater Adelaide</t>
        </is>
      </c>
      <c r="D98" t="inlineStr">
        <is>
          <t>Australia</t>
        </is>
      </c>
      <c r="E98" t="inlineStr">
        <is>
          <t>Oceania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with strong everyday scale and relatively lower housing pressure.</t>
        </is>
      </c>
    </row>
    <row r="99">
      <c r="A99" t="inlineStr">
        <is>
          <t>au-hobart</t>
        </is>
      </c>
      <c r="B99" t="inlineStr">
        <is>
          <t>Hobart</t>
        </is>
      </c>
      <c r="C99" t="inlineStr">
        <is>
          <t>Greater Hobart</t>
        </is>
      </c>
      <c r="D99" t="inlineStr">
        <is>
          <t>Australia</t>
        </is>
      </c>
      <c r="E99" t="inlineStr">
        <is>
          <t>Oceania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Smaller-scale challenger included for lifestyle quality and public-environment strength.</t>
        </is>
      </c>
    </row>
    <row r="100">
      <c r="A100" t="inlineStr">
        <is>
          <t>nz-christchurch</t>
        </is>
      </c>
      <c r="B100" t="inlineStr">
        <is>
          <t>Christchurch</t>
        </is>
      </c>
      <c r="C100" t="inlineStr">
        <is>
          <t>Christchurch Metropolitan Area</t>
        </is>
      </c>
      <c r="D100" t="inlineStr">
        <is>
          <t>New Zealand</t>
        </is>
      </c>
      <c r="E100" t="inlineStr">
        <is>
          <t>Oceania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challenger included for rebuild-era infrastructure and lower-pressure urban living.</t>
        </is>
      </c>
    </row>
    <row r="101">
      <c r="A101" t="inlineStr">
        <is>
          <t>fj-suva</t>
        </is>
      </c>
      <c r="B101" t="inlineStr">
        <is>
          <t>Suva</t>
        </is>
      </c>
      <c r="C101" t="inlineStr">
        <is>
          <t>Greater Suva</t>
        </is>
      </c>
      <c r="D101" t="inlineStr">
        <is>
          <t>Fiji</t>
        </is>
      </c>
      <c r="E101" t="inlineStr">
        <is>
          <t>Oceania</t>
        </is>
      </c>
      <c r="F101" t="inlineStr">
        <is>
          <t>secondary</t>
        </is>
      </c>
      <c r="G101" t="inlineStr">
        <is>
          <t>locked</t>
        </is>
      </c>
      <c r="H101" t="inlineStr">
        <is>
          <t>Pacific regional challenger included so Oceania is not reduced to Australia and New Zealand alone.</t>
        </is>
      </c>
    </row>
  </sheetData>
  <autoFilter ref="A1:H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36" customWidth="1" min="11" max="11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notes</t>
        </is>
      </c>
    </row>
    <row r="2">
      <c r="A2" t="inlineStr">
        <is>
          <t>Thailand</t>
        </is>
      </c>
      <c r="B2" t="inlineStr"/>
      <c r="C2" s="7" t="inlineStr"/>
      <c r="D2" t="inlineStr"/>
      <c r="E2" t="inlineStr"/>
      <c r="F2" s="7" t="inlineStr"/>
      <c r="G2" t="inlineStr"/>
      <c r="H2" t="inlineStr"/>
      <c r="I2" t="inlineStr">
        <is>
          <t>Tier 3</t>
        </is>
      </c>
      <c r="J2" s="8" t="inlineStr"/>
      <c r="K2" t="inlineStr">
        <is>
          <t>Populate official country context inputs before ranking.</t>
        </is>
      </c>
    </row>
    <row r="3">
      <c r="A3" t="inlineStr">
        <is>
          <t>Singapore</t>
        </is>
      </c>
      <c r="B3" t="inlineStr"/>
      <c r="C3" s="7" t="inlineStr"/>
      <c r="D3" t="inlineStr"/>
      <c r="E3" t="inlineStr"/>
      <c r="F3" s="7" t="inlineStr"/>
      <c r="G3" t="inlineStr"/>
      <c r="H3" t="inlineStr"/>
      <c r="I3" t="inlineStr">
        <is>
          <t>Tier 3</t>
        </is>
      </c>
      <c r="J3" s="8" t="inlineStr"/>
      <c r="K3" t="inlineStr">
        <is>
          <t>Populate official country context inputs before ranking.</t>
        </is>
      </c>
    </row>
    <row r="4">
      <c r="A4" t="inlineStr">
        <is>
          <t>Malaysia</t>
        </is>
      </c>
      <c r="B4" t="inlineStr"/>
      <c r="C4" s="7" t="inlineStr"/>
      <c r="D4" t="inlineStr"/>
      <c r="E4" t="inlineStr"/>
      <c r="F4" s="7" t="inlineStr"/>
      <c r="G4" t="inlineStr"/>
      <c r="H4" t="inlineStr"/>
      <c r="I4" t="inlineStr">
        <is>
          <t>Tier 3</t>
        </is>
      </c>
      <c r="J4" s="8" t="inlineStr"/>
      <c r="K4" t="inlineStr">
        <is>
          <t>Populate official country context inputs before ranking.</t>
        </is>
      </c>
    </row>
    <row r="5">
      <c r="A5" t="inlineStr">
        <is>
          <t>Indonesia</t>
        </is>
      </c>
      <c r="B5" t="inlineStr"/>
      <c r="C5" s="7" t="inlineStr"/>
      <c r="D5" t="inlineStr"/>
      <c r="E5" t="inlineStr"/>
      <c r="F5" s="7" t="inlineStr"/>
      <c r="G5" t="inlineStr"/>
      <c r="H5" t="inlineStr"/>
      <c r="I5" t="inlineStr">
        <is>
          <t>Tier 3</t>
        </is>
      </c>
      <c r="J5" s="8" t="inlineStr"/>
      <c r="K5" t="inlineStr">
        <is>
          <t>Populate official country context inputs before ranking.</t>
        </is>
      </c>
    </row>
    <row r="6">
      <c r="A6" t="inlineStr">
        <is>
          <t>Philippines</t>
        </is>
      </c>
      <c r="B6" t="inlineStr"/>
      <c r="C6" s="7" t="inlineStr"/>
      <c r="D6" t="inlineStr"/>
      <c r="E6" t="inlineStr"/>
      <c r="F6" s="7" t="inlineStr"/>
      <c r="G6" t="inlineStr"/>
      <c r="H6" t="inlineStr"/>
      <c r="I6" t="inlineStr">
        <is>
          <t>Tier 3</t>
        </is>
      </c>
      <c r="J6" s="8" t="inlineStr"/>
      <c r="K6" t="inlineStr">
        <is>
          <t>Populate official country context inputs before ranking.</t>
        </is>
      </c>
    </row>
    <row r="7">
      <c r="A7" t="inlineStr">
        <is>
          <t>Taiwan</t>
        </is>
      </c>
      <c r="B7" t="inlineStr"/>
      <c r="C7" s="7" t="inlineStr"/>
      <c r="D7" t="inlineStr"/>
      <c r="E7" t="inlineStr"/>
      <c r="F7" s="7" t="inlineStr"/>
      <c r="G7" t="inlineStr"/>
      <c r="H7" t="inlineStr"/>
      <c r="I7" t="inlineStr">
        <is>
          <t>Tier 3</t>
        </is>
      </c>
      <c r="J7" s="8" t="inlineStr"/>
      <c r="K7" t="inlineStr">
        <is>
          <t>Populate official country context inputs before ranking.</t>
        </is>
      </c>
    </row>
    <row r="8">
      <c r="A8" t="inlineStr">
        <is>
          <t>South Korea</t>
        </is>
      </c>
      <c r="B8" t="inlineStr"/>
      <c r="C8" s="7" t="inlineStr"/>
      <c r="D8" t="inlineStr"/>
      <c r="E8" t="inlineStr"/>
      <c r="F8" s="7" t="inlineStr"/>
      <c r="G8" t="inlineStr"/>
      <c r="H8" t="inlineStr"/>
      <c r="I8" t="inlineStr">
        <is>
          <t>Tier 3</t>
        </is>
      </c>
      <c r="J8" s="8" t="inlineStr"/>
      <c r="K8" t="inlineStr">
        <is>
          <t>Populate official country context inputs before ranking.</t>
        </is>
      </c>
    </row>
    <row r="9">
      <c r="A9" t="inlineStr">
        <is>
          <t>China</t>
        </is>
      </c>
      <c r="B9" t="inlineStr"/>
      <c r="C9" s="7" t="inlineStr"/>
      <c r="D9" t="inlineStr"/>
      <c r="E9" t="inlineStr"/>
      <c r="F9" s="7" t="inlineStr"/>
      <c r="G9" t="inlineStr"/>
      <c r="H9" t="inlineStr"/>
      <c r="I9" t="inlineStr">
        <is>
          <t>Tier 3</t>
        </is>
      </c>
      <c r="J9" s="8" t="inlineStr"/>
      <c r="K9" t="inlineStr">
        <is>
          <t>Populate official country context inputs before ranking.</t>
        </is>
      </c>
    </row>
    <row r="10">
      <c r="A10" t="inlineStr">
        <is>
          <t>Japan</t>
        </is>
      </c>
      <c r="B10" t="inlineStr"/>
      <c r="C10" s="7" t="inlineStr"/>
      <c r="D10" t="inlineStr"/>
      <c r="E10" t="inlineStr"/>
      <c r="F10" s="7" t="inlineStr"/>
      <c r="G10" t="inlineStr"/>
      <c r="H10" t="inlineStr"/>
      <c r="I10" t="inlineStr">
        <is>
          <t>Tier 3</t>
        </is>
      </c>
      <c r="J10" s="8" t="inlineStr"/>
      <c r="K10" t="inlineStr">
        <is>
          <t>Populate official country context inputs before ranking.</t>
        </is>
      </c>
    </row>
    <row r="11">
      <c r="A11" t="inlineStr">
        <is>
          <t>India</t>
        </is>
      </c>
      <c r="B11" t="inlineStr"/>
      <c r="C11" s="7" t="inlineStr"/>
      <c r="D11" t="inlineStr"/>
      <c r="E11" t="inlineStr"/>
      <c r="F11" s="7" t="inlineStr"/>
      <c r="G11" t="inlineStr"/>
      <c r="H11" t="inlineStr"/>
      <c r="I11" t="inlineStr">
        <is>
          <t>Tier 3</t>
        </is>
      </c>
      <c r="J11" s="8" t="inlineStr"/>
      <c r="K11" t="inlineStr">
        <is>
          <t>Populate official country context inputs before ranking.</t>
        </is>
      </c>
    </row>
    <row r="12">
      <c r="A12" t="inlineStr">
        <is>
          <t>Sri Lanka</t>
        </is>
      </c>
      <c r="B12" t="inlineStr"/>
      <c r="C12" s="7" t="inlineStr"/>
      <c r="D12" t="inlineStr"/>
      <c r="E12" t="inlineStr"/>
      <c r="F12" s="7" t="inlineStr"/>
      <c r="G12" t="inlineStr"/>
      <c r="H12" t="inlineStr"/>
      <c r="I12" t="inlineStr">
        <is>
          <t>Tier 3</t>
        </is>
      </c>
      <c r="J12" s="8" t="inlineStr"/>
      <c r="K12" t="inlineStr">
        <is>
          <t>Populate official country context inputs before ranking.</t>
        </is>
      </c>
    </row>
    <row r="13">
      <c r="A13" t="inlineStr">
        <is>
          <t>Bangladesh</t>
        </is>
      </c>
      <c r="B13" t="inlineStr"/>
      <c r="C13" s="7" t="inlineStr"/>
      <c r="D13" t="inlineStr"/>
      <c r="E13" t="inlineStr"/>
      <c r="F13" s="7" t="inlineStr"/>
      <c r="G13" t="inlineStr"/>
      <c r="H13" t="inlineStr"/>
      <c r="I13" t="inlineStr">
        <is>
          <t>Tier 3</t>
        </is>
      </c>
      <c r="J13" s="8" t="inlineStr"/>
      <c r="K13" t="inlineStr">
        <is>
          <t>Populate official country context inputs before ranking.</t>
        </is>
      </c>
    </row>
    <row r="14">
      <c r="A14" t="inlineStr">
        <is>
          <t>Pakistan</t>
        </is>
      </c>
      <c r="B14" t="inlineStr"/>
      <c r="C14" s="7" t="inlineStr"/>
      <c r="D14" t="inlineStr"/>
      <c r="E14" t="inlineStr"/>
      <c r="F14" s="7" t="inlineStr"/>
      <c r="G14" t="inlineStr"/>
      <c r="H14" t="inlineStr"/>
      <c r="I14" t="inlineStr">
        <is>
          <t>Tier 3</t>
        </is>
      </c>
      <c r="J14" s="8" t="inlineStr"/>
      <c r="K14" t="inlineStr">
        <is>
          <t>Populate official country context inputs before ranking.</t>
        </is>
      </c>
    </row>
    <row r="15">
      <c r="A15" t="inlineStr">
        <is>
          <t>Nepal</t>
        </is>
      </c>
      <c r="B15" t="inlineStr"/>
      <c r="C15" s="7" t="inlineStr"/>
      <c r="D15" t="inlineStr"/>
      <c r="E15" t="inlineStr"/>
      <c r="F15" s="7" t="inlineStr"/>
      <c r="G15" t="inlineStr"/>
      <c r="H15" t="inlineStr"/>
      <c r="I15" t="inlineStr">
        <is>
          <t>Tier 3</t>
        </is>
      </c>
      <c r="J15" s="8" t="inlineStr"/>
      <c r="K15" t="inlineStr">
        <is>
          <t>Populate official country context inputs before ranking.</t>
        </is>
      </c>
    </row>
    <row r="16">
      <c r="A16" t="inlineStr">
        <is>
          <t>Bhutan</t>
        </is>
      </c>
      <c r="B16" t="inlineStr"/>
      <c r="C16" s="7" t="inlineStr"/>
      <c r="D16" t="inlineStr"/>
      <c r="E16" t="inlineStr"/>
      <c r="F16" s="7" t="inlineStr"/>
      <c r="G16" t="inlineStr"/>
      <c r="H16" t="inlineStr"/>
      <c r="I16" t="inlineStr">
        <is>
          <t>Tier 3</t>
        </is>
      </c>
      <c r="J16" s="8" t="inlineStr"/>
      <c r="K16" t="inlineStr">
        <is>
          <t>Populate official country context inputs before ranking.</t>
        </is>
      </c>
    </row>
    <row r="17">
      <c r="A17" t="inlineStr">
        <is>
          <t>Maldives</t>
        </is>
      </c>
      <c r="B17" t="inlineStr"/>
      <c r="C17" s="7" t="inlineStr"/>
      <c r="D17" t="inlineStr"/>
      <c r="E17" t="inlineStr"/>
      <c r="F17" s="7" t="inlineStr"/>
      <c r="G17" t="inlineStr"/>
      <c r="H17" t="inlineStr"/>
      <c r="I17" t="inlineStr">
        <is>
          <t>Tier 3</t>
        </is>
      </c>
      <c r="J17" s="8" t="inlineStr"/>
      <c r="K17" t="inlineStr">
        <is>
          <t>Populate official country context inputs before ranking.</t>
        </is>
      </c>
    </row>
    <row r="18">
      <c r="A18" t="inlineStr">
        <is>
          <t>France</t>
        </is>
      </c>
      <c r="B18" t="inlineStr"/>
      <c r="C18" s="7" t="inlineStr"/>
      <c r="D18" t="inlineStr"/>
      <c r="E18" t="inlineStr"/>
      <c r="F18" s="7" t="inlineStr"/>
      <c r="G18" t="inlineStr"/>
      <c r="H18" t="inlineStr"/>
      <c r="I18" t="inlineStr">
        <is>
          <t>Tier 3</t>
        </is>
      </c>
      <c r="J18" s="8" t="inlineStr"/>
      <c r="K18" t="inlineStr">
        <is>
          <t>Populate official country context inputs before ranking.</t>
        </is>
      </c>
    </row>
    <row r="19">
      <c r="A19" t="inlineStr">
        <is>
          <t>Austria</t>
        </is>
      </c>
      <c r="B19" t="inlineStr"/>
      <c r="C19" s="7" t="inlineStr"/>
      <c r="D19" t="inlineStr"/>
      <c r="E19" t="inlineStr"/>
      <c r="F19" s="7" t="inlineStr"/>
      <c r="G19" t="inlineStr"/>
      <c r="H19" t="inlineStr"/>
      <c r="I19" t="inlineStr">
        <is>
          <t>Tier 3</t>
        </is>
      </c>
      <c r="J19" s="8" t="inlineStr"/>
      <c r="K19" t="inlineStr">
        <is>
          <t>Populate official country context inputs before ranking.</t>
        </is>
      </c>
    </row>
    <row r="20">
      <c r="A20" t="inlineStr">
        <is>
          <t>Switzerland</t>
        </is>
      </c>
      <c r="B20" t="inlineStr"/>
      <c r="C20" s="7" t="inlineStr"/>
      <c r="D20" t="inlineStr"/>
      <c r="E20" t="inlineStr"/>
      <c r="F20" s="7" t="inlineStr"/>
      <c r="G20" t="inlineStr"/>
      <c r="H20" t="inlineStr"/>
      <c r="I20" t="inlineStr">
        <is>
          <t>Tier 3</t>
        </is>
      </c>
      <c r="J20" s="8" t="inlineStr"/>
      <c r="K20" t="inlineStr">
        <is>
          <t>Populate official country context inputs before ranking.</t>
        </is>
      </c>
    </row>
    <row r="21">
      <c r="A21" t="inlineStr">
        <is>
          <t>Netherlands</t>
        </is>
      </c>
      <c r="B21" t="inlineStr"/>
      <c r="C21" s="7" t="inlineStr"/>
      <c r="D21" t="inlineStr"/>
      <c r="E21" t="inlineStr"/>
      <c r="F21" s="7" t="inlineStr"/>
      <c r="G21" t="inlineStr"/>
      <c r="H21" t="inlineStr"/>
      <c r="I21" t="inlineStr">
        <is>
          <t>Tier 3</t>
        </is>
      </c>
      <c r="J21" s="8" t="inlineStr"/>
      <c r="K21" t="inlineStr">
        <is>
          <t>Populate official country context inputs before ranking.</t>
        </is>
      </c>
    </row>
    <row r="22">
      <c r="A22" t="inlineStr">
        <is>
          <t>Denmark</t>
        </is>
      </c>
      <c r="B22" t="inlineStr"/>
      <c r="C22" s="7" t="inlineStr"/>
      <c r="D22" t="inlineStr"/>
      <c r="E22" t="inlineStr"/>
      <c r="F22" s="7" t="inlineStr"/>
      <c r="G22" t="inlineStr"/>
      <c r="H22" t="inlineStr"/>
      <c r="I22" t="inlineStr">
        <is>
          <t>Tier 3</t>
        </is>
      </c>
      <c r="J22" s="8" t="inlineStr"/>
      <c r="K22" t="inlineStr">
        <is>
          <t>Populate official country context inputs before ranking.</t>
        </is>
      </c>
    </row>
    <row r="23">
      <c r="A23" t="inlineStr">
        <is>
          <t>Portugal</t>
        </is>
      </c>
      <c r="B23" t="inlineStr"/>
      <c r="C23" s="7" t="inlineStr"/>
      <c r="D23" t="inlineStr"/>
      <c r="E23" t="inlineStr"/>
      <c r="F23" s="7" t="inlineStr"/>
      <c r="G23" t="inlineStr"/>
      <c r="H23" t="inlineStr"/>
      <c r="I23" t="inlineStr">
        <is>
          <t>Tier 3</t>
        </is>
      </c>
      <c r="J23" s="8" t="inlineStr"/>
      <c r="K23" t="inlineStr">
        <is>
          <t>Populate official country context inputs before ranking.</t>
        </is>
      </c>
    </row>
    <row r="24">
      <c r="A24" t="inlineStr">
        <is>
          <t>Estonia</t>
        </is>
      </c>
      <c r="B24" t="inlineStr"/>
      <c r="C24" s="7" t="inlineStr"/>
      <c r="D24" t="inlineStr"/>
      <c r="E24" t="inlineStr"/>
      <c r="F24" s="7" t="inlineStr"/>
      <c r="G24" t="inlineStr"/>
      <c r="H24" t="inlineStr"/>
      <c r="I24" t="inlineStr">
        <is>
          <t>Tier 3</t>
        </is>
      </c>
      <c r="J24" s="8" t="inlineStr"/>
      <c r="K24" t="inlineStr">
        <is>
          <t>Populate official country context inputs before ranking.</t>
        </is>
      </c>
    </row>
    <row r="25">
      <c r="A25" t="inlineStr">
        <is>
          <t>Finland</t>
        </is>
      </c>
      <c r="B25" t="inlineStr"/>
      <c r="C25" s="7" t="inlineStr"/>
      <c r="D25" t="inlineStr"/>
      <c r="E25" t="inlineStr"/>
      <c r="F25" s="7" t="inlineStr"/>
      <c r="G25" t="inlineStr"/>
      <c r="H25" t="inlineStr"/>
      <c r="I25" t="inlineStr">
        <is>
          <t>Tier 3</t>
        </is>
      </c>
      <c r="J25" s="8" t="inlineStr"/>
      <c r="K25" t="inlineStr">
        <is>
          <t>Populate official country context inputs before ranking.</t>
        </is>
      </c>
    </row>
    <row r="26">
      <c r="A26" t="inlineStr">
        <is>
          <t>Russia</t>
        </is>
      </c>
      <c r="B26" t="inlineStr"/>
      <c r="C26" s="7" t="inlineStr"/>
      <c r="D26" t="inlineStr"/>
      <c r="E26" t="inlineStr"/>
      <c r="F26" s="7" t="inlineStr"/>
      <c r="G26" t="inlineStr"/>
      <c r="H26" t="inlineStr"/>
      <c r="I26" t="inlineStr">
        <is>
          <t>Tier 3</t>
        </is>
      </c>
      <c r="J26" s="8" t="inlineStr"/>
      <c r="K26" t="inlineStr">
        <is>
          <t>Populate official country context inputs before ranking.</t>
        </is>
      </c>
    </row>
    <row r="27">
      <c r="A27" t="inlineStr">
        <is>
          <t>Hungary</t>
        </is>
      </c>
      <c r="B27" t="inlineStr"/>
      <c r="C27" s="7" t="inlineStr"/>
      <c r="D27" t="inlineStr"/>
      <c r="E27" t="inlineStr"/>
      <c r="F27" s="7" t="inlineStr"/>
      <c r="G27" t="inlineStr"/>
      <c r="H27" t="inlineStr"/>
      <c r="I27" t="inlineStr">
        <is>
          <t>Tier 3</t>
        </is>
      </c>
      <c r="J27" s="8" t="inlineStr"/>
      <c r="K27" t="inlineStr">
        <is>
          <t>Populate official country context inputs before ranking.</t>
        </is>
      </c>
    </row>
    <row r="28">
      <c r="A28" t="inlineStr">
        <is>
          <t>Poland</t>
        </is>
      </c>
      <c r="B28" t="inlineStr"/>
      <c r="C28" s="7" t="inlineStr"/>
      <c r="D28" t="inlineStr"/>
      <c r="E28" t="inlineStr"/>
      <c r="F28" s="7" t="inlineStr"/>
      <c r="G28" t="inlineStr"/>
      <c r="H28" t="inlineStr"/>
      <c r="I28" t="inlineStr">
        <is>
          <t>Tier 3</t>
        </is>
      </c>
      <c r="J28" s="8" t="inlineStr"/>
      <c r="K28" t="inlineStr">
        <is>
          <t>Populate official country context inputs before ranking.</t>
        </is>
      </c>
    </row>
    <row r="29">
      <c r="A29" t="inlineStr">
        <is>
          <t>Romania</t>
        </is>
      </c>
      <c r="B29" t="inlineStr"/>
      <c r="C29" s="7" t="inlineStr"/>
      <c r="D29" t="inlineStr"/>
      <c r="E29" t="inlineStr"/>
      <c r="F29" s="7" t="inlineStr"/>
      <c r="G29" t="inlineStr"/>
      <c r="H29" t="inlineStr"/>
      <c r="I29" t="inlineStr">
        <is>
          <t>Tier 3</t>
        </is>
      </c>
      <c r="J29" s="8" t="inlineStr"/>
      <c r="K29" t="inlineStr">
        <is>
          <t>Populate official country context inputs before ranking.</t>
        </is>
      </c>
    </row>
    <row r="30">
      <c r="A30" t="inlineStr">
        <is>
          <t>Serbia</t>
        </is>
      </c>
      <c r="B30" t="inlineStr"/>
      <c r="C30" s="7" t="inlineStr"/>
      <c r="D30" t="inlineStr"/>
      <c r="E30" t="inlineStr"/>
      <c r="F30" s="7" t="inlineStr"/>
      <c r="G30" t="inlineStr"/>
      <c r="H30" t="inlineStr"/>
      <c r="I30" t="inlineStr">
        <is>
          <t>Tier 3</t>
        </is>
      </c>
      <c r="J30" s="8" t="inlineStr"/>
      <c r="K30" t="inlineStr">
        <is>
          <t>Populate official country context inputs before ranking.</t>
        </is>
      </c>
    </row>
    <row r="31">
      <c r="A31" t="inlineStr">
        <is>
          <t>Slovakia</t>
        </is>
      </c>
      <c r="B31" t="inlineStr"/>
      <c r="C31" s="7" t="inlineStr"/>
      <c r="D31" t="inlineStr"/>
      <c r="E31" t="inlineStr"/>
      <c r="F31" s="7" t="inlineStr"/>
      <c r="G31" t="inlineStr"/>
      <c r="H31" t="inlineStr"/>
      <c r="I31" t="inlineStr">
        <is>
          <t>Tier 3</t>
        </is>
      </c>
      <c r="J31" s="8" t="inlineStr"/>
      <c r="K31" t="inlineStr">
        <is>
          <t>Populate official country context inputs before ranking.</t>
        </is>
      </c>
    </row>
    <row r="32">
      <c r="A32" t="inlineStr">
        <is>
          <t>United States</t>
        </is>
      </c>
      <c r="B32" t="inlineStr"/>
      <c r="C32" s="7" t="inlineStr"/>
      <c r="D32" t="inlineStr"/>
      <c r="E32" t="inlineStr"/>
      <c r="F32" s="7" t="inlineStr"/>
      <c r="G32" t="inlineStr"/>
      <c r="H32" t="inlineStr"/>
      <c r="I32" t="inlineStr">
        <is>
          <t>Tier 3</t>
        </is>
      </c>
      <c r="J32" s="8" t="inlineStr"/>
      <c r="K32" t="inlineStr">
        <is>
          <t>Populate official country context inputs before ranking.</t>
        </is>
      </c>
    </row>
    <row r="33">
      <c r="A33" t="inlineStr">
        <is>
          <t>Mexico</t>
        </is>
      </c>
      <c r="B33" t="inlineStr"/>
      <c r="C33" s="7" t="inlineStr"/>
      <c r="D33" t="inlineStr"/>
      <c r="E33" t="inlineStr"/>
      <c r="F33" s="7" t="inlineStr"/>
      <c r="G33" t="inlineStr"/>
      <c r="H33" t="inlineStr"/>
      <c r="I33" t="inlineStr">
        <is>
          <t>Tier 3</t>
        </is>
      </c>
      <c r="J33" s="8" t="inlineStr"/>
      <c r="K33" t="inlineStr">
        <is>
          <t>Populate official country context inputs before ranking.</t>
        </is>
      </c>
    </row>
    <row r="34">
      <c r="A34" t="inlineStr">
        <is>
          <t>Canada</t>
        </is>
      </c>
      <c r="B34" t="inlineStr"/>
      <c r="C34" s="7" t="inlineStr"/>
      <c r="D34" t="inlineStr"/>
      <c r="E34" t="inlineStr"/>
      <c r="F34" s="7" t="inlineStr"/>
      <c r="G34" t="inlineStr"/>
      <c r="H34" t="inlineStr"/>
      <c r="I34" t="inlineStr">
        <is>
          <t>Tier 3</t>
        </is>
      </c>
      <c r="J34" s="8" t="inlineStr"/>
      <c r="K34" t="inlineStr">
        <is>
          <t>Populate official country context inputs before ranking.</t>
        </is>
      </c>
    </row>
    <row r="35">
      <c r="A35" t="inlineStr">
        <is>
          <t>Panama</t>
        </is>
      </c>
      <c r="B35" t="inlineStr"/>
      <c r="C35" s="7" t="inlineStr"/>
      <c r="D35" t="inlineStr"/>
      <c r="E35" t="inlineStr"/>
      <c r="F35" s="7" t="inlineStr"/>
      <c r="G35" t="inlineStr"/>
      <c r="H35" t="inlineStr"/>
      <c r="I35" t="inlineStr">
        <is>
          <t>Tier 3</t>
        </is>
      </c>
      <c r="J35" s="8" t="inlineStr"/>
      <c r="K35" t="inlineStr">
        <is>
          <t>Populate official country context inputs before ranking.</t>
        </is>
      </c>
    </row>
    <row r="36">
      <c r="A36" t="inlineStr">
        <is>
          <t>Costa Rica</t>
        </is>
      </c>
      <c r="B36" t="inlineStr"/>
      <c r="C36" s="7" t="inlineStr"/>
      <c r="D36" t="inlineStr"/>
      <c r="E36" t="inlineStr"/>
      <c r="F36" s="7" t="inlineStr"/>
      <c r="G36" t="inlineStr"/>
      <c r="H36" t="inlineStr"/>
      <c r="I36" t="inlineStr">
        <is>
          <t>Tier 3</t>
        </is>
      </c>
      <c r="J36" s="8" t="inlineStr"/>
      <c r="K36" t="inlineStr">
        <is>
          <t>Populate official country context inputs before ranking.</t>
        </is>
      </c>
    </row>
    <row r="37">
      <c r="A37" t="inlineStr">
        <is>
          <t>Puerto Rico</t>
        </is>
      </c>
      <c r="B37" t="inlineStr"/>
      <c r="C37" s="7" t="inlineStr"/>
      <c r="D37" t="inlineStr"/>
      <c r="E37" t="inlineStr"/>
      <c r="F37" s="7" t="inlineStr"/>
      <c r="G37" t="inlineStr"/>
      <c r="H37" t="inlineStr"/>
      <c r="I37" t="inlineStr">
        <is>
          <t>Tier 3</t>
        </is>
      </c>
      <c r="J37" s="8" t="inlineStr"/>
      <c r="K37" t="inlineStr">
        <is>
          <t>Populate official country context inputs before ranking.</t>
        </is>
      </c>
    </row>
    <row r="38">
      <c r="A38" t="inlineStr">
        <is>
          <t>Brazil</t>
        </is>
      </c>
      <c r="B38" t="inlineStr"/>
      <c r="C38" s="7" t="inlineStr"/>
      <c r="D38" t="inlineStr"/>
      <c r="E38" t="inlineStr"/>
      <c r="F38" s="7" t="inlineStr"/>
      <c r="G38" t="inlineStr"/>
      <c r="H38" t="inlineStr"/>
      <c r="I38" t="inlineStr">
        <is>
          <t>Tier 3</t>
        </is>
      </c>
      <c r="J38" s="8" t="inlineStr"/>
      <c r="K38" t="inlineStr">
        <is>
          <t>Populate official country context inputs before ranking.</t>
        </is>
      </c>
    </row>
    <row r="39">
      <c r="A39" t="inlineStr">
        <is>
          <t>Argentina</t>
        </is>
      </c>
      <c r="B39" t="inlineStr"/>
      <c r="C39" s="7" t="inlineStr"/>
      <c r="D39" t="inlineStr"/>
      <c r="E39" t="inlineStr"/>
      <c r="F39" s="7" t="inlineStr"/>
      <c r="G39" t="inlineStr"/>
      <c r="H39" t="inlineStr"/>
      <c r="I39" t="inlineStr">
        <is>
          <t>Tier 3</t>
        </is>
      </c>
      <c r="J39" s="8" t="inlineStr"/>
      <c r="K39" t="inlineStr">
        <is>
          <t>Populate official country context inputs before ranking.</t>
        </is>
      </c>
    </row>
    <row r="40">
      <c r="A40" t="inlineStr">
        <is>
          <t>Chile</t>
        </is>
      </c>
      <c r="B40" t="inlineStr"/>
      <c r="C40" s="7" t="inlineStr"/>
      <c r="D40" t="inlineStr"/>
      <c r="E40" t="inlineStr"/>
      <c r="F40" s="7" t="inlineStr"/>
      <c r="G40" t="inlineStr"/>
      <c r="H40" t="inlineStr"/>
      <c r="I40" t="inlineStr">
        <is>
          <t>Tier 3</t>
        </is>
      </c>
      <c r="J40" s="8" t="inlineStr"/>
      <c r="K40" t="inlineStr">
        <is>
          <t>Populate official country context inputs before ranking.</t>
        </is>
      </c>
    </row>
    <row r="41">
      <c r="A41" t="inlineStr">
        <is>
          <t>Colombia</t>
        </is>
      </c>
      <c r="B41" t="inlineStr"/>
      <c r="C41" s="7" t="inlineStr"/>
      <c r="D41" t="inlineStr"/>
      <c r="E41" t="inlineStr"/>
      <c r="F41" s="7" t="inlineStr"/>
      <c r="G41" t="inlineStr"/>
      <c r="H41" t="inlineStr"/>
      <c r="I41" t="inlineStr">
        <is>
          <t>Tier 3</t>
        </is>
      </c>
      <c r="J41" s="8" t="inlineStr"/>
      <c r="K41" t="inlineStr">
        <is>
          <t>Populate official country context inputs before ranking.</t>
        </is>
      </c>
    </row>
    <row r="42">
      <c r="A42" t="inlineStr">
        <is>
          <t>Peru</t>
        </is>
      </c>
      <c r="B42" t="inlineStr"/>
      <c r="C42" s="7" t="inlineStr"/>
      <c r="D42" t="inlineStr"/>
      <c r="E42" t="inlineStr"/>
      <c r="F42" s="7" t="inlineStr"/>
      <c r="G42" t="inlineStr"/>
      <c r="H42" t="inlineStr"/>
      <c r="I42" t="inlineStr">
        <is>
          <t>Tier 3</t>
        </is>
      </c>
      <c r="J42" s="8" t="inlineStr"/>
      <c r="K42" t="inlineStr">
        <is>
          <t>Populate official country context inputs before ranking.</t>
        </is>
      </c>
    </row>
    <row r="43">
      <c r="A43" t="inlineStr">
        <is>
          <t>Uruguay</t>
        </is>
      </c>
      <c r="B43" t="inlineStr"/>
      <c r="C43" s="7" t="inlineStr"/>
      <c r="D43" t="inlineStr"/>
      <c r="E43" t="inlineStr"/>
      <c r="F43" s="7" t="inlineStr"/>
      <c r="G43" t="inlineStr"/>
      <c r="H43" t="inlineStr"/>
      <c r="I43" t="inlineStr">
        <is>
          <t>Tier 3</t>
        </is>
      </c>
      <c r="J43" s="8" t="inlineStr"/>
      <c r="K43" t="inlineStr">
        <is>
          <t>Populate official country context inputs before ranking.</t>
        </is>
      </c>
    </row>
    <row r="44">
      <c r="A44" t="inlineStr">
        <is>
          <t>United Arab Emirates</t>
        </is>
      </c>
      <c r="B44" t="inlineStr"/>
      <c r="C44" s="7" t="inlineStr"/>
      <c r="D44" t="inlineStr"/>
      <c r="E44" t="inlineStr"/>
      <c r="F44" s="7" t="inlineStr"/>
      <c r="G44" t="inlineStr"/>
      <c r="H44" t="inlineStr"/>
      <c r="I44" t="inlineStr">
        <is>
          <t>Tier 3</t>
        </is>
      </c>
      <c r="J44" s="8" t="inlineStr"/>
      <c r="K44" t="inlineStr">
        <is>
          <t>Populate official country context inputs before ranking.</t>
        </is>
      </c>
    </row>
    <row r="45">
      <c r="A45" t="inlineStr">
        <is>
          <t>Qatar</t>
        </is>
      </c>
      <c r="B45" t="inlineStr"/>
      <c r="C45" s="7" t="inlineStr"/>
      <c r="D45" t="inlineStr"/>
      <c r="E45" t="inlineStr"/>
      <c r="F45" s="7" t="inlineStr"/>
      <c r="G45" t="inlineStr"/>
      <c r="H45" t="inlineStr"/>
      <c r="I45" t="inlineStr">
        <is>
          <t>Tier 3</t>
        </is>
      </c>
      <c r="J45" s="8" t="inlineStr"/>
      <c r="K45" t="inlineStr">
        <is>
          <t>Populate official country context inputs before ranking.</t>
        </is>
      </c>
    </row>
    <row r="46">
      <c r="A46" t="inlineStr">
        <is>
          <t>Saudi Arabia</t>
        </is>
      </c>
      <c r="B46" t="inlineStr"/>
      <c r="C46" s="7" t="inlineStr"/>
      <c r="D46" t="inlineStr"/>
      <c r="E46" t="inlineStr"/>
      <c r="F46" s="7" t="inlineStr"/>
      <c r="G46" t="inlineStr"/>
      <c r="H46" t="inlineStr"/>
      <c r="I46" t="inlineStr">
        <is>
          <t>Tier 3</t>
        </is>
      </c>
      <c r="J46" s="8" t="inlineStr"/>
      <c r="K46" t="inlineStr">
        <is>
          <t>Populate official country context inputs before ranking.</t>
        </is>
      </c>
    </row>
    <row r="47">
      <c r="A47" t="inlineStr">
        <is>
          <t>Israel</t>
        </is>
      </c>
      <c r="B47" t="inlineStr"/>
      <c r="C47" s="7" t="inlineStr"/>
      <c r="D47" t="inlineStr"/>
      <c r="E47" t="inlineStr"/>
      <c r="F47" s="7" t="inlineStr"/>
      <c r="G47" t="inlineStr"/>
      <c r="H47" t="inlineStr"/>
      <c r="I47" t="inlineStr">
        <is>
          <t>Tier 3</t>
        </is>
      </c>
      <c r="J47" s="8" t="inlineStr"/>
      <c r="K47" t="inlineStr">
        <is>
          <t>Populate official country context inputs before ranking.</t>
        </is>
      </c>
    </row>
    <row r="48">
      <c r="A48" t="inlineStr">
        <is>
          <t>Oman</t>
        </is>
      </c>
      <c r="B48" t="inlineStr"/>
      <c r="C48" s="7" t="inlineStr"/>
      <c r="D48" t="inlineStr"/>
      <c r="E48" t="inlineStr"/>
      <c r="F48" s="7" t="inlineStr"/>
      <c r="G48" t="inlineStr"/>
      <c r="H48" t="inlineStr"/>
      <c r="I48" t="inlineStr">
        <is>
          <t>Tier 3</t>
        </is>
      </c>
      <c r="J48" s="8" t="inlineStr"/>
      <c r="K48" t="inlineStr">
        <is>
          <t>Populate official country context inputs before ranking.</t>
        </is>
      </c>
    </row>
    <row r="49">
      <c r="A49" t="inlineStr">
        <is>
          <t>Bahrain</t>
        </is>
      </c>
      <c r="B49" t="inlineStr"/>
      <c r="C49" s="7" t="inlineStr"/>
      <c r="D49" t="inlineStr"/>
      <c r="E49" t="inlineStr"/>
      <c r="F49" s="7" t="inlineStr"/>
      <c r="G49" t="inlineStr"/>
      <c r="H49" t="inlineStr"/>
      <c r="I49" t="inlineStr">
        <is>
          <t>Tier 3</t>
        </is>
      </c>
      <c r="J49" s="8" t="inlineStr"/>
      <c r="K49" t="inlineStr">
        <is>
          <t>Populate official country context inputs before ranking.</t>
        </is>
      </c>
    </row>
    <row r="50">
      <c r="A50" t="inlineStr">
        <is>
          <t>Kuwait</t>
        </is>
      </c>
      <c r="B50" t="inlineStr"/>
      <c r="C50" s="7" t="inlineStr"/>
      <c r="D50" t="inlineStr"/>
      <c r="E50" t="inlineStr"/>
      <c r="F50" s="7" t="inlineStr"/>
      <c r="G50" t="inlineStr"/>
      <c r="H50" t="inlineStr"/>
      <c r="I50" t="inlineStr">
        <is>
          <t>Tier 3</t>
        </is>
      </c>
      <c r="J50" s="8" t="inlineStr"/>
      <c r="K50" t="inlineStr">
        <is>
          <t>Populate official country context inputs before ranking.</t>
        </is>
      </c>
    </row>
    <row r="51">
      <c r="A51" t="inlineStr">
        <is>
          <t>Jordan</t>
        </is>
      </c>
      <c r="B51" t="inlineStr"/>
      <c r="C51" s="7" t="inlineStr"/>
      <c r="D51" t="inlineStr"/>
      <c r="E51" t="inlineStr"/>
      <c r="F51" s="7" t="inlineStr"/>
      <c r="G51" t="inlineStr"/>
      <c r="H51" t="inlineStr"/>
      <c r="I51" t="inlineStr">
        <is>
          <t>Tier 3</t>
        </is>
      </c>
      <c r="J51" s="8" t="inlineStr"/>
      <c r="K51" t="inlineStr">
        <is>
          <t>Populate official country context inputs before ranking.</t>
        </is>
      </c>
    </row>
    <row r="52">
      <c r="A52" t="inlineStr">
        <is>
          <t>South Africa</t>
        </is>
      </c>
      <c r="B52" t="inlineStr"/>
      <c r="C52" s="7" t="inlineStr"/>
      <c r="D52" t="inlineStr"/>
      <c r="E52" t="inlineStr"/>
      <c r="F52" s="7" t="inlineStr"/>
      <c r="G52" t="inlineStr"/>
      <c r="H52" t="inlineStr"/>
      <c r="I52" t="inlineStr">
        <is>
          <t>Tier 3</t>
        </is>
      </c>
      <c r="J52" s="8" t="inlineStr"/>
      <c r="K52" t="inlineStr">
        <is>
          <t>Populate official country context inputs before ranking.</t>
        </is>
      </c>
    </row>
    <row r="53">
      <c r="A53" t="inlineStr">
        <is>
          <t>Kenya</t>
        </is>
      </c>
      <c r="B53" t="inlineStr"/>
      <c r="C53" s="7" t="inlineStr"/>
      <c r="D53" t="inlineStr"/>
      <c r="E53" t="inlineStr"/>
      <c r="F53" s="7" t="inlineStr"/>
      <c r="G53" t="inlineStr"/>
      <c r="H53" t="inlineStr"/>
      <c r="I53" t="inlineStr">
        <is>
          <t>Tier 3</t>
        </is>
      </c>
      <c r="J53" s="8" t="inlineStr"/>
      <c r="K53" t="inlineStr">
        <is>
          <t>Populate official country context inputs before ranking.</t>
        </is>
      </c>
    </row>
    <row r="54">
      <c r="A54" t="inlineStr">
        <is>
          <t>Rwanda</t>
        </is>
      </c>
      <c r="B54" t="inlineStr"/>
      <c r="C54" s="7" t="inlineStr"/>
      <c r="D54" t="inlineStr"/>
      <c r="E54" t="inlineStr"/>
      <c r="F54" s="7" t="inlineStr"/>
      <c r="G54" t="inlineStr"/>
      <c r="H54" t="inlineStr"/>
      <c r="I54" t="inlineStr">
        <is>
          <t>Tier 3</t>
        </is>
      </c>
      <c r="J54" s="8" t="inlineStr"/>
      <c r="K54" t="inlineStr">
        <is>
          <t>Populate official country context inputs before ranking.</t>
        </is>
      </c>
    </row>
    <row r="55">
      <c r="A55" t="inlineStr">
        <is>
          <t>Morocco</t>
        </is>
      </c>
      <c r="B55" t="inlineStr"/>
      <c r="C55" s="7" t="inlineStr"/>
      <c r="D55" t="inlineStr"/>
      <c r="E55" t="inlineStr"/>
      <c r="F55" s="7" t="inlineStr"/>
      <c r="G55" t="inlineStr"/>
      <c r="H55" t="inlineStr"/>
      <c r="I55" t="inlineStr">
        <is>
          <t>Tier 3</t>
        </is>
      </c>
      <c r="J55" s="8" t="inlineStr"/>
      <c r="K55" t="inlineStr">
        <is>
          <t>Populate official country context inputs before ranking.</t>
        </is>
      </c>
    </row>
    <row r="56">
      <c r="A56" t="inlineStr">
        <is>
          <t>Mauritius</t>
        </is>
      </c>
      <c r="B56" t="inlineStr"/>
      <c r="C56" s="7" t="inlineStr"/>
      <c r="D56" t="inlineStr"/>
      <c r="E56" t="inlineStr"/>
      <c r="F56" s="7" t="inlineStr"/>
      <c r="G56" t="inlineStr"/>
      <c r="H56" t="inlineStr"/>
      <c r="I56" t="inlineStr">
        <is>
          <t>Tier 3</t>
        </is>
      </c>
      <c r="J56" s="8" t="inlineStr"/>
      <c r="K56" t="inlineStr">
        <is>
          <t>Populate official country context inputs before ranking.</t>
        </is>
      </c>
    </row>
    <row r="57">
      <c r="A57" t="inlineStr">
        <is>
          <t>Botswana</t>
        </is>
      </c>
      <c r="B57" t="inlineStr"/>
      <c r="C57" s="7" t="inlineStr"/>
      <c r="D57" t="inlineStr"/>
      <c r="E57" t="inlineStr"/>
      <c r="F57" s="7" t="inlineStr"/>
      <c r="G57" t="inlineStr"/>
      <c r="H57" t="inlineStr"/>
      <c r="I57" t="inlineStr">
        <is>
          <t>Tier 3</t>
        </is>
      </c>
      <c r="J57" s="8" t="inlineStr"/>
      <c r="K57" t="inlineStr">
        <is>
          <t>Populate official country context inputs before ranking.</t>
        </is>
      </c>
    </row>
    <row r="58">
      <c r="A58" t="inlineStr">
        <is>
          <t>Namibia</t>
        </is>
      </c>
      <c r="B58" t="inlineStr"/>
      <c r="C58" s="7" t="inlineStr"/>
      <c r="D58" t="inlineStr"/>
      <c r="E58" t="inlineStr"/>
      <c r="F58" s="7" t="inlineStr"/>
      <c r="G58" t="inlineStr"/>
      <c r="H58" t="inlineStr"/>
      <c r="I58" t="inlineStr">
        <is>
          <t>Tier 3</t>
        </is>
      </c>
      <c r="J58" s="8" t="inlineStr"/>
      <c r="K58" t="inlineStr">
        <is>
          <t>Populate official country context inputs before ranking.</t>
        </is>
      </c>
    </row>
    <row r="59">
      <c r="A59" t="inlineStr">
        <is>
          <t>Ghana</t>
        </is>
      </c>
      <c r="B59" t="inlineStr"/>
      <c r="C59" s="7" t="inlineStr"/>
      <c r="D59" t="inlineStr"/>
      <c r="E59" t="inlineStr"/>
      <c r="F59" s="7" t="inlineStr"/>
      <c r="G59" t="inlineStr"/>
      <c r="H59" t="inlineStr"/>
      <c r="I59" t="inlineStr">
        <is>
          <t>Tier 3</t>
        </is>
      </c>
      <c r="J59" s="8" t="inlineStr"/>
      <c r="K59" t="inlineStr">
        <is>
          <t>Populate official country context inputs before ranking.</t>
        </is>
      </c>
    </row>
    <row r="60">
      <c r="A60" t="inlineStr">
        <is>
          <t>Senegal</t>
        </is>
      </c>
      <c r="B60" t="inlineStr"/>
      <c r="C60" s="7" t="inlineStr"/>
      <c r="D60" t="inlineStr"/>
      <c r="E60" t="inlineStr"/>
      <c r="F60" s="7" t="inlineStr"/>
      <c r="G60" t="inlineStr"/>
      <c r="H60" t="inlineStr"/>
      <c r="I60" t="inlineStr">
        <is>
          <t>Tier 3</t>
        </is>
      </c>
      <c r="J60" s="8" t="inlineStr"/>
      <c r="K60" t="inlineStr">
        <is>
          <t>Populate official country context inputs before ranking.</t>
        </is>
      </c>
    </row>
    <row r="61">
      <c r="A61" t="inlineStr">
        <is>
          <t>New Zealand</t>
        </is>
      </c>
      <c r="B61" t="inlineStr"/>
      <c r="C61" s="7" t="inlineStr"/>
      <c r="D61" t="inlineStr"/>
      <c r="E61" t="inlineStr"/>
      <c r="F61" s="7" t="inlineStr"/>
      <c r="G61" t="inlineStr"/>
      <c r="H61" t="inlineStr"/>
      <c r="I61" t="inlineStr">
        <is>
          <t>Tier 3</t>
        </is>
      </c>
      <c r="J61" s="8" t="inlineStr"/>
      <c r="K61" t="inlineStr">
        <is>
          <t>Populate official country context inputs before ranking.</t>
        </is>
      </c>
    </row>
    <row r="62">
      <c r="A62" t="inlineStr">
        <is>
          <t>Australia</t>
        </is>
      </c>
      <c r="B62" t="inlineStr"/>
      <c r="C62" s="7" t="inlineStr"/>
      <c r="D62" t="inlineStr"/>
      <c r="E62" t="inlineStr"/>
      <c r="F62" s="7" t="inlineStr"/>
      <c r="G62" t="inlineStr"/>
      <c r="H62" t="inlineStr"/>
      <c r="I62" t="inlineStr">
        <is>
          <t>Tier 3</t>
        </is>
      </c>
      <c r="J62" s="8" t="inlineStr"/>
      <c r="K62" t="inlineStr">
        <is>
          <t>Populate official country context inputs before ranking.</t>
        </is>
      </c>
    </row>
    <row r="63">
      <c r="A63" t="inlineStr">
        <is>
          <t>Fiji</t>
        </is>
      </c>
      <c r="B63" t="inlineStr"/>
      <c r="C63" s="7" t="inlineStr"/>
      <c r="D63" t="inlineStr"/>
      <c r="E63" t="inlineStr"/>
      <c r="F63" s="7" t="inlineStr"/>
      <c r="G63" t="inlineStr"/>
      <c r="H63" t="inlineStr"/>
      <c r="I63" t="inlineStr">
        <is>
          <t>Tier 3</t>
        </is>
      </c>
      <c r="J63" s="8" t="inlineStr"/>
      <c r="K63" t="inlineStr">
        <is>
          <t>Populate official country context inputs before ranking.</t>
        </is>
      </c>
    </row>
  </sheetData>
  <autoFilter ref="A1:K6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24" customWidth="1" min="24" max="24"/>
    <col width="23" customWidth="1" min="25" max="25"/>
    <col width="23" customWidth="1" min="26" max="26"/>
    <col width="27" customWidth="1" min="27" max="27"/>
    <col width="25" customWidth="1" min="28" max="28"/>
    <col width="26" customWidth="1" min="29" max="29"/>
    <col width="30" customWidth="1" min="30" max="30"/>
    <col width="30" customWidth="1" min="31" max="31"/>
    <col width="23" customWidth="1" min="32" max="32"/>
    <col width="30" customWidth="1" min="33" max="33"/>
    <col width="26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21" customWidth="1" min="41" max="41"/>
    <col width="22" customWidth="1" min="42" max="42"/>
    <col width="22" customWidth="1" min="43" max="43"/>
    <col width="16" customWidth="1" min="44" max="44"/>
    <col width="22" customWidth="1" min="45" max="45"/>
    <col width="23" customWidth="1" min="46" max="46"/>
    <col width="23" customWidth="1" min="47" max="47"/>
    <col width="17" customWidth="1" min="48" max="48"/>
    <col width="23" customWidth="1" min="49" max="49"/>
    <col width="24" customWidth="1" min="50" max="50"/>
    <col width="24" customWidth="1" min="51" max="51"/>
    <col width="18" customWidth="1" min="52" max="52"/>
    <col width="22" customWidth="1" min="53" max="53"/>
    <col width="23" customWidth="1" min="54" max="54"/>
    <col width="23" customWidth="1" min="55" max="55"/>
    <col width="17" customWidth="1" min="56" max="56"/>
    <col width="21" customWidth="1" min="57" max="57"/>
    <col width="22" customWidth="1" min="58" max="58"/>
    <col width="22" customWidth="1" min="59" max="59"/>
    <col width="16" customWidth="1" min="60" max="60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healthcare_quality_raw</t>
        </is>
      </c>
      <c r="Y1" s="6" t="inlineStr">
        <is>
          <t>education_quality_raw</t>
        </is>
      </c>
      <c r="Z1" s="6" t="inlineStr">
        <is>
          <t>equal_opportunity_raw</t>
        </is>
      </c>
      <c r="AA1" s="6" t="inlineStr">
        <is>
          <t>hospitality_belonging_raw</t>
        </is>
      </c>
      <c r="AB1" s="6" t="inlineStr">
        <is>
          <t>tolerance_pluralism_raw</t>
        </is>
      </c>
      <c r="AC1" s="6" t="inlineStr">
        <is>
          <t>cultural_public_life_raw</t>
        </is>
      </c>
      <c r="AD1" s="6" t="inlineStr">
        <is>
          <t>entrepreneurial_dynamism_raw</t>
        </is>
      </c>
      <c r="AE1" s="6" t="inlineStr">
        <is>
          <t>innovation_research_intensity_raw</t>
        </is>
      </c>
      <c r="AF1" s="6" t="inlineStr">
        <is>
          <t>investment_signal_raw</t>
        </is>
      </c>
      <c r="AG1" s="6" t="inlineStr">
        <is>
          <t>administrative_investment_friction_raw</t>
        </is>
      </c>
      <c r="AH1" s="6" t="inlineStr">
        <is>
          <t>visitor_flow_context_raw</t>
        </is>
      </c>
      <c r="AI1" s="6" t="inlineStr">
        <is>
          <t>gdp_per_capita_ppp_context</t>
        </is>
      </c>
      <c r="AJ1" s="6" t="inlineStr">
        <is>
          <t>gdp_growth_context</t>
        </is>
      </c>
      <c r="AK1" s="6" t="inlineStr">
        <is>
          <t>gini_coefficient_context</t>
        </is>
      </c>
      <c r="AL1" s="6" t="inlineStr">
        <is>
          <t>ppp_private_consumption_context</t>
        </is>
      </c>
      <c r="AM1" s="6" t="inlineStr">
        <is>
          <t>tax_rate_context</t>
        </is>
      </c>
      <c r="AN1" s="6" t="inlineStr">
        <is>
          <t>household_debt_proxy_context</t>
        </is>
      </c>
      <c r="AO1" s="6" t="inlineStr">
        <is>
          <t>pressure_source_url</t>
        </is>
      </c>
      <c r="AP1" s="6" t="inlineStr">
        <is>
          <t>pressure_source_tier</t>
        </is>
      </c>
      <c r="AQ1" s="6" t="inlineStr">
        <is>
          <t>pressure_source_date</t>
        </is>
      </c>
      <c r="AR1" s="6" t="inlineStr">
        <is>
          <t>pressure_notes</t>
        </is>
      </c>
      <c r="AS1" s="6" t="inlineStr">
        <is>
          <t>viability_source_url</t>
        </is>
      </c>
      <c r="AT1" s="6" t="inlineStr">
        <is>
          <t>viability_source_tier</t>
        </is>
      </c>
      <c r="AU1" s="6" t="inlineStr">
        <is>
          <t>viability_source_date</t>
        </is>
      </c>
      <c r="AV1" s="6" t="inlineStr">
        <is>
          <t>viability_notes</t>
        </is>
      </c>
      <c r="AW1" s="6" t="inlineStr">
        <is>
          <t>capability_source_url</t>
        </is>
      </c>
      <c r="AX1" s="6" t="inlineStr">
        <is>
          <t>capability_source_tier</t>
        </is>
      </c>
      <c r="AY1" s="6" t="inlineStr">
        <is>
          <t>capability_source_date</t>
        </is>
      </c>
      <c r="AZ1" s="6" t="inlineStr">
        <is>
          <t>capability_notes</t>
        </is>
      </c>
      <c r="BA1" s="6" t="inlineStr">
        <is>
          <t>community_source_url</t>
        </is>
      </c>
      <c r="BB1" s="6" t="inlineStr">
        <is>
          <t>community_source_tier</t>
        </is>
      </c>
      <c r="BC1" s="6" t="inlineStr">
        <is>
          <t>community_source_date</t>
        </is>
      </c>
      <c r="BD1" s="6" t="inlineStr">
        <is>
          <t>community_notes</t>
        </is>
      </c>
      <c r="BE1" s="6" t="inlineStr">
        <is>
          <t>creative_source_url</t>
        </is>
      </c>
      <c r="BF1" s="6" t="inlineStr">
        <is>
          <t>creative_source_tier</t>
        </is>
      </c>
      <c r="BG1" s="6" t="inlineStr">
        <is>
          <t>creative_source_date</t>
        </is>
      </c>
      <c r="BH1" s="6" t="inlineStr">
        <is>
          <t>creative_notes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inlineStr"/>
      <c r="H2" s="10" t="inlineStr"/>
      <c r="I2" s="10" t="inlineStr"/>
      <c r="J2" s="10" t="inlineStr"/>
      <c r="K2" s="10" t="inlineStr"/>
      <c r="L2" s="10" t="inlineStr"/>
      <c r="M2" s="11">
        <f>IF(OR($G2="",$H2="",$I2="",$J2="",$K2="",$L2="",$AL2="",$AM2=""),"",((($G2*(1-$AM2))-$H2-$I2-$J2-$K2-$L2)/$AL2))</f>
        <v/>
      </c>
      <c r="N2" s="10" t="inlineStr"/>
      <c r="O2" s="10" t="inlineStr"/>
      <c r="P2" s="11">
        <f>IF($O2&lt;&gt;"",$O2,$AN2)</f>
        <v/>
      </c>
      <c r="Q2" s="10" t="inlineStr"/>
      <c r="R2" s="10" t="inlineStr"/>
      <c r="S2" s="10" t="inlineStr"/>
      <c r="T2" s="10" t="inlineStr"/>
      <c r="U2" s="10" t="inlineStr"/>
      <c r="V2" s="10" t="inlineStr"/>
      <c r="W2" s="10" t="inlineStr"/>
      <c r="X2" s="10" t="inlineStr"/>
      <c r="Y2" s="10" t="inlineStr"/>
      <c r="Z2" s="10" t="inlineStr"/>
      <c r="AA2" s="10" t="inlineStr"/>
      <c r="AB2" s="10" t="inlineStr"/>
      <c r="AC2" s="10" t="inlineStr"/>
      <c r="AD2" s="10" t="inlineStr"/>
      <c r="AE2" s="10" t="inlineStr"/>
      <c r="AF2" s="10" t="inlineStr"/>
      <c r="AG2" s="10" t="inlineStr"/>
      <c r="AH2" s="10" t="inlineStr"/>
      <c r="AI2" s="11">
        <f>IFERROR(INDEX(Country_Context!$B$2:$B$63,MATCH($C2,Country_Context!$A$2:$A$63,0)),"")</f>
        <v/>
      </c>
      <c r="AJ2" s="11">
        <f>IFERROR(INDEX(Country_Context!$C$2:$C$63,MATCH($C2,Country_Context!$A$2:$A$63,0)),"")</f>
        <v/>
      </c>
      <c r="AK2" s="11">
        <f>IFERROR(INDEX(Country_Context!$D$2:$D$63,MATCH($C2,Country_Context!$A$2:$A$63,0)),"")</f>
        <v/>
      </c>
      <c r="AL2" s="11">
        <f>IFERROR(INDEX(Country_Context!$E$2:$E$63,MATCH($C2,Country_Context!$A$2:$A$63,0)),"")</f>
        <v/>
      </c>
      <c r="AM2" s="11">
        <f>IFERROR(INDEX(Country_Context!$F$2:$F$63,MATCH($C2,Country_Context!$A$2:$A$63,0)),"")</f>
        <v/>
      </c>
      <c r="AN2" s="11">
        <f>IFERROR(INDEX(Country_Context!$G$2:$G$63,MATCH($C2,Country_Context!$A$2:$A$63,0)),"")</f>
        <v/>
      </c>
      <c r="AO2" s="12" t="inlineStr"/>
      <c r="AP2" s="12" t="inlineStr"/>
      <c r="AQ2" s="12" t="inlineStr"/>
      <c r="AR2" s="12" t="inlineStr"/>
      <c r="AS2" s="12" t="inlineStr"/>
      <c r="AT2" s="12" t="inlineStr"/>
      <c r="AU2" s="12" t="inlineStr"/>
      <c r="AV2" s="12" t="inlineStr"/>
      <c r="AW2" s="12" t="inlineStr"/>
      <c r="AX2" s="12" t="inlineStr"/>
      <c r="AY2" s="12" t="inlineStr"/>
      <c r="AZ2" s="12" t="inlineStr"/>
      <c r="BA2" s="12" t="inlineStr"/>
      <c r="BB2" s="12" t="inlineStr"/>
      <c r="BC2" s="12" t="inlineStr"/>
      <c r="BD2" s="12" t="inlineStr"/>
      <c r="BE2" s="12" t="inlineStr"/>
      <c r="BF2" s="12" t="inlineStr"/>
      <c r="BG2" s="12" t="inlineStr"/>
      <c r="BH2" s="12" t="inlineStr"/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IF(OR($G3="",$H3="",$I3="",$J3="",$K3="",$L3="",$AL3="",$AM3=""),"",((($G3*(1-$AM3))-$H3-$I3-$J3-$K3-$L3)/$AL3))</f>
        <v/>
      </c>
      <c r="N3" s="10" t="inlineStr"/>
      <c r="O3" s="10" t="inlineStr"/>
      <c r="P3" s="11">
        <f>IF($O3&lt;&gt;"",$O3,$AN3)</f>
        <v/>
      </c>
      <c r="Q3" s="10" t="inlineStr"/>
      <c r="R3" s="10" t="inlineStr"/>
      <c r="S3" s="10" t="inlineStr"/>
      <c r="T3" s="10" t="inlineStr"/>
      <c r="U3" s="10" t="inlineStr"/>
      <c r="V3" s="10" t="inlineStr"/>
      <c r="W3" s="10" t="inlineStr"/>
      <c r="X3" s="10" t="inlineStr"/>
      <c r="Y3" s="10" t="inlineStr"/>
      <c r="Z3" s="10" t="inlineStr"/>
      <c r="AA3" s="10" t="inlineStr"/>
      <c r="AB3" s="10" t="inlineStr"/>
      <c r="AC3" s="10" t="inlineStr"/>
      <c r="AD3" s="10" t="inlineStr"/>
      <c r="AE3" s="10" t="inlineStr"/>
      <c r="AF3" s="10" t="inlineStr"/>
      <c r="AG3" s="10" t="inlineStr"/>
      <c r="AH3" s="10" t="inlineStr"/>
      <c r="AI3" s="11">
        <f>IFERROR(INDEX(Country_Context!$B$2:$B$63,MATCH($C3,Country_Context!$A$2:$A$63,0)),"")</f>
        <v/>
      </c>
      <c r="AJ3" s="11">
        <f>IFERROR(INDEX(Country_Context!$C$2:$C$63,MATCH($C3,Country_Context!$A$2:$A$63,0)),"")</f>
        <v/>
      </c>
      <c r="AK3" s="11">
        <f>IFERROR(INDEX(Country_Context!$D$2:$D$63,MATCH($C3,Country_Context!$A$2:$A$63,0)),"")</f>
        <v/>
      </c>
      <c r="AL3" s="11">
        <f>IFERROR(INDEX(Country_Context!$E$2:$E$63,MATCH($C3,Country_Context!$A$2:$A$63,0)),"")</f>
        <v/>
      </c>
      <c r="AM3" s="11">
        <f>IFERROR(INDEX(Country_Context!$F$2:$F$63,MATCH($C3,Country_Context!$A$2:$A$63,0)),"")</f>
        <v/>
      </c>
      <c r="AN3" s="11">
        <f>IFERROR(INDEX(Country_Context!$G$2:$G$63,MATCH($C3,Country_Context!$A$2:$A$63,0)),"")</f>
        <v/>
      </c>
      <c r="AO3" s="12" t="inlineStr"/>
      <c r="AP3" s="12" t="inlineStr"/>
      <c r="AQ3" s="12" t="inlineStr"/>
      <c r="AR3" s="12" t="inlineStr"/>
      <c r="AS3" s="12" t="inlineStr"/>
      <c r="AT3" s="12" t="inlineStr"/>
      <c r="AU3" s="12" t="inlineStr"/>
      <c r="AV3" s="12" t="inlineStr"/>
      <c r="AW3" s="12" t="inlineStr"/>
      <c r="AX3" s="12" t="inlineStr"/>
      <c r="AY3" s="12" t="inlineStr"/>
      <c r="AZ3" s="12" t="inlineStr"/>
      <c r="BA3" s="12" t="inlineStr"/>
      <c r="BB3" s="12" t="inlineStr"/>
      <c r="BC3" s="12" t="inlineStr"/>
      <c r="BD3" s="12" t="inlineStr"/>
      <c r="BE3" s="12" t="inlineStr"/>
      <c r="BF3" s="12" t="inlineStr"/>
      <c r="BG3" s="12" t="inlineStr"/>
      <c r="BH3" s="12" t="inlineStr"/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IF(OR($G4="",$H4="",$I4="",$J4="",$K4="",$L4="",$AL4="",$AM4=""),"",((($G4*(1-$AM4))-$H4-$I4-$J4-$K4-$L4)/$AL4))</f>
        <v/>
      </c>
      <c r="N4" s="10" t="inlineStr"/>
      <c r="O4" s="10" t="inlineStr"/>
      <c r="P4" s="11">
        <f>IF($O4&lt;&gt;"",$O4,$AN4)</f>
        <v/>
      </c>
      <c r="Q4" s="10" t="inlineStr"/>
      <c r="R4" s="10" t="inlineStr"/>
      <c r="S4" s="10" t="inlineStr"/>
      <c r="T4" s="10" t="inlineStr"/>
      <c r="U4" s="10" t="inlineStr"/>
      <c r="V4" s="10" t="inlineStr"/>
      <c r="W4" s="10" t="inlineStr"/>
      <c r="X4" s="10" t="inlineStr"/>
      <c r="Y4" s="10" t="inlineStr"/>
      <c r="Z4" s="10" t="inlineStr"/>
      <c r="AA4" s="10" t="inlineStr"/>
      <c r="AB4" s="10" t="inlineStr"/>
      <c r="AC4" s="10" t="inlineStr"/>
      <c r="AD4" s="10" t="inlineStr"/>
      <c r="AE4" s="10" t="inlineStr"/>
      <c r="AF4" s="10" t="inlineStr"/>
      <c r="AG4" s="10" t="inlineStr"/>
      <c r="AH4" s="10" t="inlineStr"/>
      <c r="AI4" s="11">
        <f>IFERROR(INDEX(Country_Context!$B$2:$B$63,MATCH($C4,Country_Context!$A$2:$A$63,0)),"")</f>
        <v/>
      </c>
      <c r="AJ4" s="11">
        <f>IFERROR(INDEX(Country_Context!$C$2:$C$63,MATCH($C4,Country_Context!$A$2:$A$63,0)),"")</f>
        <v/>
      </c>
      <c r="AK4" s="11">
        <f>IFERROR(INDEX(Country_Context!$D$2:$D$63,MATCH($C4,Country_Context!$A$2:$A$63,0)),"")</f>
        <v/>
      </c>
      <c r="AL4" s="11">
        <f>IFERROR(INDEX(Country_Context!$E$2:$E$63,MATCH($C4,Country_Context!$A$2:$A$63,0)),"")</f>
        <v/>
      </c>
      <c r="AM4" s="11">
        <f>IFERROR(INDEX(Country_Context!$F$2:$F$63,MATCH($C4,Country_Context!$A$2:$A$63,0)),"")</f>
        <v/>
      </c>
      <c r="AN4" s="11">
        <f>IFERROR(INDEX(Country_Context!$G$2:$G$63,MATCH($C4,Country_Context!$A$2:$A$63,0)),"")</f>
        <v/>
      </c>
      <c r="AO4" s="12" t="inlineStr"/>
      <c r="AP4" s="12" t="inlineStr"/>
      <c r="AQ4" s="12" t="inlineStr"/>
      <c r="AR4" s="12" t="inlineStr"/>
      <c r="AS4" s="12" t="inlineStr"/>
      <c r="AT4" s="12" t="inlineStr"/>
      <c r="AU4" s="12" t="inlineStr"/>
      <c r="AV4" s="12" t="inlineStr"/>
      <c r="AW4" s="12" t="inlineStr"/>
      <c r="AX4" s="12" t="inlineStr"/>
      <c r="AY4" s="12" t="inlineStr"/>
      <c r="AZ4" s="12" t="inlineStr"/>
      <c r="BA4" s="12" t="inlineStr"/>
      <c r="BB4" s="12" t="inlineStr"/>
      <c r="BC4" s="12" t="inlineStr"/>
      <c r="BD4" s="12" t="inlineStr"/>
      <c r="BE4" s="12" t="inlineStr"/>
      <c r="BF4" s="12" t="inlineStr"/>
      <c r="BG4" s="12" t="inlineStr"/>
      <c r="BH4" s="12" t="inlineStr"/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IF(OR($G5="",$H5="",$I5="",$J5="",$K5="",$L5="",$AL5="",$AM5=""),"",((($G5*(1-$AM5))-$H5-$I5-$J5-$K5-$L5)/$AL5))</f>
        <v/>
      </c>
      <c r="N5" s="10" t="inlineStr"/>
      <c r="O5" s="10" t="inlineStr"/>
      <c r="P5" s="11">
        <f>IF($O5&lt;&gt;"",$O5,$AN5)</f>
        <v/>
      </c>
      <c r="Q5" s="10" t="inlineStr"/>
      <c r="R5" s="10" t="inlineStr"/>
      <c r="S5" s="10" t="inlineStr"/>
      <c r="T5" s="10" t="inlineStr"/>
      <c r="U5" s="10" t="inlineStr"/>
      <c r="V5" s="10" t="inlineStr"/>
      <c r="W5" s="10" t="inlineStr"/>
      <c r="X5" s="10" t="inlineStr"/>
      <c r="Y5" s="10" t="inlineStr"/>
      <c r="Z5" s="10" t="inlineStr"/>
      <c r="AA5" s="10" t="inlineStr"/>
      <c r="AB5" s="10" t="inlineStr"/>
      <c r="AC5" s="10" t="inlineStr"/>
      <c r="AD5" s="10" t="inlineStr"/>
      <c r="AE5" s="10" t="inlineStr"/>
      <c r="AF5" s="10" t="inlineStr"/>
      <c r="AG5" s="10" t="inlineStr"/>
      <c r="AH5" s="10" t="inlineStr"/>
      <c r="AI5" s="11">
        <f>IFERROR(INDEX(Country_Context!$B$2:$B$63,MATCH($C5,Country_Context!$A$2:$A$63,0)),"")</f>
        <v/>
      </c>
      <c r="AJ5" s="11">
        <f>IFERROR(INDEX(Country_Context!$C$2:$C$63,MATCH($C5,Country_Context!$A$2:$A$63,0)),"")</f>
        <v/>
      </c>
      <c r="AK5" s="11">
        <f>IFERROR(INDEX(Country_Context!$D$2:$D$63,MATCH($C5,Country_Context!$A$2:$A$63,0)),"")</f>
        <v/>
      </c>
      <c r="AL5" s="11">
        <f>IFERROR(INDEX(Country_Context!$E$2:$E$63,MATCH($C5,Country_Context!$A$2:$A$63,0)),"")</f>
        <v/>
      </c>
      <c r="AM5" s="11">
        <f>IFERROR(INDEX(Country_Context!$F$2:$F$63,MATCH($C5,Country_Context!$A$2:$A$63,0)),"")</f>
        <v/>
      </c>
      <c r="AN5" s="11">
        <f>IFERROR(INDEX(Country_Context!$G$2:$G$63,MATCH($C5,Country_Context!$A$2:$A$63,0)),"")</f>
        <v/>
      </c>
      <c r="AO5" s="12" t="inlineStr"/>
      <c r="AP5" s="12" t="inlineStr"/>
      <c r="AQ5" s="12" t="inlineStr"/>
      <c r="AR5" s="12" t="inlineStr"/>
      <c r="AS5" s="12" t="inlineStr"/>
      <c r="AT5" s="12" t="inlineStr"/>
      <c r="AU5" s="12" t="inlineStr"/>
      <c r="AV5" s="12" t="inlineStr"/>
      <c r="AW5" s="12" t="inlineStr"/>
      <c r="AX5" s="12" t="inlineStr"/>
      <c r="AY5" s="12" t="inlineStr"/>
      <c r="AZ5" s="12" t="inlineStr"/>
      <c r="BA5" s="12" t="inlineStr"/>
      <c r="BB5" s="12" t="inlineStr"/>
      <c r="BC5" s="12" t="inlineStr"/>
      <c r="BD5" s="12" t="inlineStr"/>
      <c r="BE5" s="12" t="inlineStr"/>
      <c r="BF5" s="12" t="inlineStr"/>
      <c r="BG5" s="12" t="inlineStr"/>
      <c r="BH5" s="12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IF(OR($G6="",$H6="",$I6="",$J6="",$K6="",$L6="",$AL6="",$AM6=""),"",((($G6*(1-$AM6))-$H6-$I6-$J6-$K6-$L6)/$AL6))</f>
        <v/>
      </c>
      <c r="N6" s="10" t="inlineStr"/>
      <c r="O6" s="10" t="inlineStr"/>
      <c r="P6" s="11">
        <f>IF($O6&lt;&gt;"",$O6,$AN6)</f>
        <v/>
      </c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/>
      <c r="AB6" s="10" t="inlineStr"/>
      <c r="AC6" s="10" t="inlineStr"/>
      <c r="AD6" s="10" t="inlineStr"/>
      <c r="AE6" s="10" t="inlineStr"/>
      <c r="AF6" s="10" t="inlineStr"/>
      <c r="AG6" s="10" t="inlineStr"/>
      <c r="AH6" s="10" t="inlineStr"/>
      <c r="AI6" s="11">
        <f>IFERROR(INDEX(Country_Context!$B$2:$B$63,MATCH($C6,Country_Context!$A$2:$A$63,0)),"")</f>
        <v/>
      </c>
      <c r="AJ6" s="11">
        <f>IFERROR(INDEX(Country_Context!$C$2:$C$63,MATCH($C6,Country_Context!$A$2:$A$63,0)),"")</f>
        <v/>
      </c>
      <c r="AK6" s="11">
        <f>IFERROR(INDEX(Country_Context!$D$2:$D$63,MATCH($C6,Country_Context!$A$2:$A$63,0)),"")</f>
        <v/>
      </c>
      <c r="AL6" s="11">
        <f>IFERROR(INDEX(Country_Context!$E$2:$E$63,MATCH($C6,Country_Context!$A$2:$A$63,0)),"")</f>
        <v/>
      </c>
      <c r="AM6" s="11">
        <f>IFERROR(INDEX(Country_Context!$F$2:$F$63,MATCH($C6,Country_Context!$A$2:$A$63,0)),"")</f>
        <v/>
      </c>
      <c r="AN6" s="11">
        <f>IFERROR(INDEX(Country_Context!$G$2:$G$63,MATCH($C6,Country_Context!$A$2:$A$63,0)),"")</f>
        <v/>
      </c>
      <c r="AO6" s="12" t="inlineStr"/>
      <c r="AP6" s="12" t="inlineStr"/>
      <c r="AQ6" s="12" t="inlineStr"/>
      <c r="AR6" s="12" t="inlineStr"/>
      <c r="AS6" s="12" t="inlineStr"/>
      <c r="AT6" s="12" t="inlineStr"/>
      <c r="AU6" s="12" t="inlineStr"/>
      <c r="AV6" s="12" t="inlineStr"/>
      <c r="AW6" s="12" t="inlineStr"/>
      <c r="AX6" s="12" t="inlineStr"/>
      <c r="AY6" s="12" t="inlineStr"/>
      <c r="AZ6" s="12" t="inlineStr"/>
      <c r="BA6" s="12" t="inlineStr"/>
      <c r="BB6" s="12" t="inlineStr"/>
      <c r="BC6" s="12" t="inlineStr"/>
      <c r="BD6" s="12" t="inlineStr"/>
      <c r="BE6" s="12" t="inlineStr"/>
      <c r="BF6" s="12" t="inlineStr"/>
      <c r="BG6" s="12" t="inlineStr"/>
      <c r="BH6" s="12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IF(OR($G7="",$H7="",$I7="",$J7="",$K7="",$L7="",$AL7="",$AM7=""),"",((($G7*(1-$AM7))-$H7-$I7-$J7-$K7-$L7)/$AL7))</f>
        <v/>
      </c>
      <c r="N7" s="10" t="inlineStr"/>
      <c r="O7" s="10" t="inlineStr"/>
      <c r="P7" s="11">
        <f>IF($O7&lt;&gt;"",$O7,$AN7)</f>
        <v/>
      </c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10" t="inlineStr"/>
      <c r="Y7" s="10" t="inlineStr"/>
      <c r="Z7" s="10" t="inlineStr"/>
      <c r="AA7" s="10" t="inlineStr"/>
      <c r="AB7" s="10" t="inlineStr"/>
      <c r="AC7" s="10" t="inlineStr"/>
      <c r="AD7" s="10" t="inlineStr"/>
      <c r="AE7" s="10" t="inlineStr"/>
      <c r="AF7" s="10" t="inlineStr"/>
      <c r="AG7" s="10" t="inlineStr"/>
      <c r="AH7" s="10" t="inlineStr"/>
      <c r="AI7" s="11">
        <f>IFERROR(INDEX(Country_Context!$B$2:$B$63,MATCH($C7,Country_Context!$A$2:$A$63,0)),"")</f>
        <v/>
      </c>
      <c r="AJ7" s="11">
        <f>IFERROR(INDEX(Country_Context!$C$2:$C$63,MATCH($C7,Country_Context!$A$2:$A$63,0)),"")</f>
        <v/>
      </c>
      <c r="AK7" s="11">
        <f>IFERROR(INDEX(Country_Context!$D$2:$D$63,MATCH($C7,Country_Context!$A$2:$A$63,0)),"")</f>
        <v/>
      </c>
      <c r="AL7" s="11">
        <f>IFERROR(INDEX(Country_Context!$E$2:$E$63,MATCH($C7,Country_Context!$A$2:$A$63,0)),"")</f>
        <v/>
      </c>
      <c r="AM7" s="11">
        <f>IFERROR(INDEX(Country_Context!$F$2:$F$63,MATCH($C7,Country_Context!$A$2:$A$63,0)),"")</f>
        <v/>
      </c>
      <c r="AN7" s="11">
        <f>IFERROR(INDEX(Country_Context!$G$2:$G$63,MATCH($C7,Country_Context!$A$2:$A$63,0)),"")</f>
        <v/>
      </c>
      <c r="AO7" s="12" t="inlineStr"/>
      <c r="AP7" s="12" t="inlineStr"/>
      <c r="AQ7" s="12" t="inlineStr"/>
      <c r="AR7" s="12" t="inlineStr"/>
      <c r="AS7" s="12" t="inlineStr"/>
      <c r="AT7" s="12" t="inlineStr"/>
      <c r="AU7" s="12" t="inlineStr"/>
      <c r="AV7" s="12" t="inlineStr"/>
      <c r="AW7" s="12" t="inlineStr"/>
      <c r="AX7" s="12" t="inlineStr"/>
      <c r="AY7" s="12" t="inlineStr"/>
      <c r="AZ7" s="12" t="inlineStr"/>
      <c r="BA7" s="12" t="inlineStr"/>
      <c r="BB7" s="12" t="inlineStr"/>
      <c r="BC7" s="12" t="inlineStr"/>
      <c r="BD7" s="12" t="inlineStr"/>
      <c r="BE7" s="12" t="inlineStr"/>
      <c r="BF7" s="12" t="inlineStr"/>
      <c r="BG7" s="12" t="inlineStr"/>
      <c r="BH7" s="12" t="inlineStr"/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IF(OR($G8="",$H8="",$I8="",$J8="",$K8="",$L8="",$AL8="",$AM8=""),"",((($G8*(1-$AM8))-$H8-$I8-$J8-$K8-$L8)/$AL8))</f>
        <v/>
      </c>
      <c r="N8" s="10" t="inlineStr"/>
      <c r="O8" s="10" t="inlineStr"/>
      <c r="P8" s="11">
        <f>IF($O8&lt;&gt;"",$O8,$AN8)</f>
        <v/>
      </c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10" t="inlineStr"/>
      <c r="Y8" s="10" t="inlineStr"/>
      <c r="Z8" s="10" t="inlineStr"/>
      <c r="AA8" s="10" t="inlineStr"/>
      <c r="AB8" s="10" t="inlineStr"/>
      <c r="AC8" s="10" t="inlineStr"/>
      <c r="AD8" s="10" t="inlineStr"/>
      <c r="AE8" s="10" t="inlineStr"/>
      <c r="AF8" s="10" t="inlineStr"/>
      <c r="AG8" s="10" t="inlineStr"/>
      <c r="AH8" s="10" t="inlineStr"/>
      <c r="AI8" s="11">
        <f>IFERROR(INDEX(Country_Context!$B$2:$B$63,MATCH($C8,Country_Context!$A$2:$A$63,0)),"")</f>
        <v/>
      </c>
      <c r="AJ8" s="11">
        <f>IFERROR(INDEX(Country_Context!$C$2:$C$63,MATCH($C8,Country_Context!$A$2:$A$63,0)),"")</f>
        <v/>
      </c>
      <c r="AK8" s="11">
        <f>IFERROR(INDEX(Country_Context!$D$2:$D$63,MATCH($C8,Country_Context!$A$2:$A$63,0)),"")</f>
        <v/>
      </c>
      <c r="AL8" s="11">
        <f>IFERROR(INDEX(Country_Context!$E$2:$E$63,MATCH($C8,Country_Context!$A$2:$A$63,0)),"")</f>
        <v/>
      </c>
      <c r="AM8" s="11">
        <f>IFERROR(INDEX(Country_Context!$F$2:$F$63,MATCH($C8,Country_Context!$A$2:$A$63,0)),"")</f>
        <v/>
      </c>
      <c r="AN8" s="11">
        <f>IFERROR(INDEX(Country_Context!$G$2:$G$63,MATCH($C8,Country_Context!$A$2:$A$63,0)),"")</f>
        <v/>
      </c>
      <c r="AO8" s="12" t="inlineStr"/>
      <c r="AP8" s="12" t="inlineStr"/>
      <c r="AQ8" s="12" t="inlineStr"/>
      <c r="AR8" s="12" t="inlineStr"/>
      <c r="AS8" s="12" t="inlineStr"/>
      <c r="AT8" s="12" t="inlineStr"/>
      <c r="AU8" s="12" t="inlineStr"/>
      <c r="AV8" s="12" t="inlineStr"/>
      <c r="AW8" s="12" t="inlineStr"/>
      <c r="AX8" s="12" t="inlineStr"/>
      <c r="AY8" s="12" t="inlineStr"/>
      <c r="AZ8" s="12" t="inlineStr"/>
      <c r="BA8" s="12" t="inlineStr"/>
      <c r="BB8" s="12" t="inlineStr"/>
      <c r="BC8" s="12" t="inlineStr"/>
      <c r="BD8" s="12" t="inlineStr"/>
      <c r="BE8" s="12" t="inlineStr"/>
      <c r="BF8" s="12" t="inlineStr"/>
      <c r="BG8" s="12" t="inlineStr"/>
      <c r="BH8" s="12" t="inlineStr"/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IF(OR($G9="",$H9="",$I9="",$J9="",$K9="",$L9="",$AL9="",$AM9=""),"",((($G9*(1-$AM9))-$H9-$I9-$J9-$K9-$L9)/$AL9))</f>
        <v/>
      </c>
      <c r="N9" s="10" t="inlineStr"/>
      <c r="O9" s="10" t="inlineStr"/>
      <c r="P9" s="11">
        <f>IF($O9&lt;&gt;"",$O9,$AN9)</f>
        <v/>
      </c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  <c r="AD9" s="10" t="inlineStr"/>
      <c r="AE9" s="10" t="inlineStr"/>
      <c r="AF9" s="10" t="inlineStr"/>
      <c r="AG9" s="10" t="inlineStr"/>
      <c r="AH9" s="10" t="inlineStr"/>
      <c r="AI9" s="11">
        <f>IFERROR(INDEX(Country_Context!$B$2:$B$63,MATCH($C9,Country_Context!$A$2:$A$63,0)),"")</f>
        <v/>
      </c>
      <c r="AJ9" s="11">
        <f>IFERROR(INDEX(Country_Context!$C$2:$C$63,MATCH($C9,Country_Context!$A$2:$A$63,0)),"")</f>
        <v/>
      </c>
      <c r="AK9" s="11">
        <f>IFERROR(INDEX(Country_Context!$D$2:$D$63,MATCH($C9,Country_Context!$A$2:$A$63,0)),"")</f>
        <v/>
      </c>
      <c r="AL9" s="11">
        <f>IFERROR(INDEX(Country_Context!$E$2:$E$63,MATCH($C9,Country_Context!$A$2:$A$63,0)),"")</f>
        <v/>
      </c>
      <c r="AM9" s="11">
        <f>IFERROR(INDEX(Country_Context!$F$2:$F$63,MATCH($C9,Country_Context!$A$2:$A$63,0)),"")</f>
        <v/>
      </c>
      <c r="AN9" s="11">
        <f>IFERROR(INDEX(Country_Context!$G$2:$G$63,MATCH($C9,Country_Context!$A$2:$A$63,0)),"")</f>
        <v/>
      </c>
      <c r="AO9" s="12" t="inlineStr"/>
      <c r="AP9" s="12" t="inlineStr"/>
      <c r="AQ9" s="12" t="inlineStr"/>
      <c r="AR9" s="12" t="inlineStr"/>
      <c r="AS9" s="12" t="inlineStr"/>
      <c r="AT9" s="12" t="inlineStr"/>
      <c r="AU9" s="12" t="inlineStr"/>
      <c r="AV9" s="12" t="inlineStr"/>
      <c r="AW9" s="12" t="inlineStr"/>
      <c r="AX9" s="12" t="inlineStr"/>
      <c r="AY9" s="12" t="inlineStr"/>
      <c r="AZ9" s="12" t="inlineStr"/>
      <c r="BA9" s="12" t="inlineStr"/>
      <c r="BB9" s="12" t="inlineStr"/>
      <c r="BC9" s="12" t="inlineStr"/>
      <c r="BD9" s="12" t="inlineStr"/>
      <c r="BE9" s="12" t="inlineStr"/>
      <c r="BF9" s="12" t="inlineStr"/>
      <c r="BG9" s="12" t="inlineStr"/>
      <c r="BH9" s="12" t="inlineStr"/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IF(OR($G10="",$H10="",$I10="",$J10="",$K10="",$L10="",$AL10="",$AM10=""),"",((($G10*(1-$AM10))-$H10-$I10-$J10-$K10-$L10)/$AL10))</f>
        <v/>
      </c>
      <c r="N10" s="10" t="inlineStr"/>
      <c r="O10" s="10" t="inlineStr"/>
      <c r="P10" s="11">
        <f>IF($O10&lt;&gt;"",$O10,$AN10)</f>
        <v/>
      </c>
      <c r="Q10" s="10" t="inlineStr"/>
      <c r="R10" s="10" t="inlineStr"/>
      <c r="S10" s="10" t="inlineStr"/>
      <c r="T10" s="10" t="inlineStr"/>
      <c r="U10" s="10" t="inlineStr"/>
      <c r="V10" s="10" t="inlineStr"/>
      <c r="W10" s="10" t="inlineStr"/>
      <c r="X10" s="10" t="inlineStr"/>
      <c r="Y10" s="10" t="inlineStr"/>
      <c r="Z10" s="10" t="inlineStr"/>
      <c r="AA10" s="10" t="inlineStr"/>
      <c r="AB10" s="10" t="inlineStr"/>
      <c r="AC10" s="10" t="inlineStr"/>
      <c r="AD10" s="10" t="inlineStr"/>
      <c r="AE10" s="10" t="inlineStr"/>
      <c r="AF10" s="10" t="inlineStr"/>
      <c r="AG10" s="10" t="inlineStr"/>
      <c r="AH10" s="10" t="inlineStr"/>
      <c r="AI10" s="11">
        <f>IFERROR(INDEX(Country_Context!$B$2:$B$63,MATCH($C10,Country_Context!$A$2:$A$63,0)),"")</f>
        <v/>
      </c>
      <c r="AJ10" s="11">
        <f>IFERROR(INDEX(Country_Context!$C$2:$C$63,MATCH($C10,Country_Context!$A$2:$A$63,0)),"")</f>
        <v/>
      </c>
      <c r="AK10" s="11">
        <f>IFERROR(INDEX(Country_Context!$D$2:$D$63,MATCH($C10,Country_Context!$A$2:$A$63,0)),"")</f>
        <v/>
      </c>
      <c r="AL10" s="11">
        <f>IFERROR(INDEX(Country_Context!$E$2:$E$63,MATCH($C10,Country_Context!$A$2:$A$63,0)),"")</f>
        <v/>
      </c>
      <c r="AM10" s="11">
        <f>IFERROR(INDEX(Country_Context!$F$2:$F$63,MATCH($C10,Country_Context!$A$2:$A$63,0)),"")</f>
        <v/>
      </c>
      <c r="AN10" s="11">
        <f>IFERROR(INDEX(Country_Context!$G$2:$G$63,MATCH($C10,Country_Context!$A$2:$A$63,0)),"")</f>
        <v/>
      </c>
      <c r="AO10" s="12" t="inlineStr"/>
      <c r="AP10" s="12" t="inlineStr"/>
      <c r="AQ10" s="12" t="inlineStr"/>
      <c r="AR10" s="12" t="inlineStr"/>
      <c r="AS10" s="12" t="inlineStr"/>
      <c r="AT10" s="12" t="inlineStr"/>
      <c r="AU10" s="12" t="inlineStr"/>
      <c r="AV10" s="12" t="inlineStr"/>
      <c r="AW10" s="12" t="inlineStr"/>
      <c r="AX10" s="12" t="inlineStr"/>
      <c r="AY10" s="12" t="inlineStr"/>
      <c r="AZ10" s="12" t="inlineStr"/>
      <c r="BA10" s="12" t="inlineStr"/>
      <c r="BB10" s="12" t="inlineStr"/>
      <c r="BC10" s="12" t="inlineStr"/>
      <c r="BD10" s="12" t="inlineStr"/>
      <c r="BE10" s="12" t="inlineStr"/>
      <c r="BF10" s="12" t="inlineStr"/>
      <c r="BG10" s="12" t="inlineStr"/>
      <c r="BH10" s="12" t="inlineStr"/>
    </row>
    <row r="11">
      <c r="A11" s="9" t="inlineStr">
        <is>
          <t>th-hat-yai</t>
        </is>
      </c>
      <c r="B11" s="9" t="inlineStr">
        <is>
          <t>Hat Yai</t>
        </is>
      </c>
      <c r="C11" s="9" t="inlineStr">
        <is>
          <t>Thailand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IF(OR($G11="",$H11="",$I11="",$J11="",$K11="",$L11="",$AL11="",$AM11=""),"",((($G11*(1-$AM11))-$H11-$I11-$J11-$K11-$L11)/$AL11))</f>
        <v/>
      </c>
      <c r="N11" s="10" t="inlineStr"/>
      <c r="O11" s="10" t="inlineStr"/>
      <c r="P11" s="11">
        <f>IF($O11&lt;&gt;"",$O11,$AN11)</f>
        <v/>
      </c>
      <c r="Q11" s="10" t="inlineStr"/>
      <c r="R11" s="10" t="inlineStr"/>
      <c r="S11" s="10" t="inlineStr"/>
      <c r="T11" s="10" t="inlineStr"/>
      <c r="U11" s="10" t="inlineStr"/>
      <c r="V11" s="10" t="inlineStr"/>
      <c r="W11" s="10" t="inlineStr"/>
      <c r="X11" s="10" t="inlineStr"/>
      <c r="Y11" s="10" t="inlineStr"/>
      <c r="Z11" s="10" t="inlineStr"/>
      <c r="AA11" s="10" t="inlineStr"/>
      <c r="AB11" s="10" t="inlineStr"/>
      <c r="AC11" s="10" t="inlineStr"/>
      <c r="AD11" s="10" t="inlineStr"/>
      <c r="AE11" s="10" t="inlineStr"/>
      <c r="AF11" s="10" t="inlineStr"/>
      <c r="AG11" s="10" t="inlineStr"/>
      <c r="AH11" s="10" t="inlineStr"/>
      <c r="AI11" s="11">
        <f>IFERROR(INDEX(Country_Context!$B$2:$B$63,MATCH($C11,Country_Context!$A$2:$A$63,0)),"")</f>
        <v/>
      </c>
      <c r="AJ11" s="11">
        <f>IFERROR(INDEX(Country_Context!$C$2:$C$63,MATCH($C11,Country_Context!$A$2:$A$63,0)),"")</f>
        <v/>
      </c>
      <c r="AK11" s="11">
        <f>IFERROR(INDEX(Country_Context!$D$2:$D$63,MATCH($C11,Country_Context!$A$2:$A$63,0)),"")</f>
        <v/>
      </c>
      <c r="AL11" s="11">
        <f>IFERROR(INDEX(Country_Context!$E$2:$E$63,MATCH($C11,Country_Context!$A$2:$A$63,0)),"")</f>
        <v/>
      </c>
      <c r="AM11" s="11">
        <f>IFERROR(INDEX(Country_Context!$F$2:$F$63,MATCH($C11,Country_Context!$A$2:$A$63,0)),"")</f>
        <v/>
      </c>
      <c r="AN11" s="11">
        <f>IFERROR(INDEX(Country_Context!$G$2:$G$63,MATCH($C11,Country_Context!$A$2:$A$63,0)),"")</f>
        <v/>
      </c>
      <c r="AO11" s="12" t="inlineStr"/>
      <c r="AP11" s="12" t="inlineStr"/>
      <c r="AQ11" s="12" t="inlineStr"/>
      <c r="AR11" s="12" t="inlineStr"/>
      <c r="AS11" s="12" t="inlineStr"/>
      <c r="AT11" s="12" t="inlineStr"/>
      <c r="AU11" s="12" t="inlineStr"/>
      <c r="AV11" s="12" t="inlineStr"/>
      <c r="AW11" s="12" t="inlineStr"/>
      <c r="AX11" s="12" t="inlineStr"/>
      <c r="AY11" s="12" t="inlineStr"/>
      <c r="AZ11" s="12" t="inlineStr"/>
      <c r="BA11" s="12" t="inlineStr"/>
      <c r="BB11" s="12" t="inlineStr"/>
      <c r="BC11" s="12" t="inlineStr"/>
      <c r="BD11" s="12" t="inlineStr"/>
      <c r="BE11" s="12" t="inlineStr"/>
      <c r="BF11" s="12" t="inlineStr"/>
      <c r="BG11" s="12" t="inlineStr"/>
      <c r="BH11" s="12" t="inlineStr"/>
    </row>
    <row r="12">
      <c r="A12" s="9" t="inlineStr">
        <is>
          <t>tw-taipei</t>
        </is>
      </c>
      <c r="B12" s="9" t="inlineStr">
        <is>
          <t>Taipei</t>
        </is>
      </c>
      <c r="C12" s="9" t="inlineStr">
        <is>
          <t>Taiwan</t>
        </is>
      </c>
      <c r="D12" s="9" t="inlineStr">
        <is>
          <t>East Asia</t>
        </is>
      </c>
      <c r="E12" s="9" t="inlineStr">
        <is>
          <t>primary</t>
        </is>
      </c>
      <c r="F12" s="9" t="inlineStr">
        <is>
          <t>locked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IF(OR($G12="",$H12="",$I12="",$J12="",$K12="",$L12="",$AL12="",$AM12=""),"",((($G12*(1-$AM12))-$H12-$I12-$J12-$K12-$L12)/$AL12))</f>
        <v/>
      </c>
      <c r="N12" s="10" t="inlineStr"/>
      <c r="O12" s="10" t="inlineStr"/>
      <c r="P12" s="11">
        <f>IF($O12&lt;&gt;"",$O12,$AN12)</f>
        <v/>
      </c>
      <c r="Q12" s="10" t="inlineStr"/>
      <c r="R12" s="10" t="inlineStr"/>
      <c r="S12" s="10" t="inlineStr"/>
      <c r="T12" s="10" t="inlineStr"/>
      <c r="U12" s="10" t="inlineStr"/>
      <c r="V12" s="10" t="inlineStr"/>
      <c r="W12" s="10" t="inlineStr"/>
      <c r="X12" s="10" t="inlineStr"/>
      <c r="Y12" s="10" t="inlineStr"/>
      <c r="Z12" s="10" t="inlineStr"/>
      <c r="AA12" s="10" t="inlineStr"/>
      <c r="AB12" s="10" t="inlineStr"/>
      <c r="AC12" s="10" t="inlineStr"/>
      <c r="AD12" s="10" t="inlineStr"/>
      <c r="AE12" s="10" t="inlineStr"/>
      <c r="AF12" s="10" t="inlineStr"/>
      <c r="AG12" s="10" t="inlineStr"/>
      <c r="AH12" s="10" t="inlineStr"/>
      <c r="AI12" s="11">
        <f>IFERROR(INDEX(Country_Context!$B$2:$B$63,MATCH($C12,Country_Context!$A$2:$A$63,0)),"")</f>
        <v/>
      </c>
      <c r="AJ12" s="11">
        <f>IFERROR(INDEX(Country_Context!$C$2:$C$63,MATCH($C12,Country_Context!$A$2:$A$63,0)),"")</f>
        <v/>
      </c>
      <c r="AK12" s="11">
        <f>IFERROR(INDEX(Country_Context!$D$2:$D$63,MATCH($C12,Country_Context!$A$2:$A$63,0)),"")</f>
        <v/>
      </c>
      <c r="AL12" s="11">
        <f>IFERROR(INDEX(Country_Context!$E$2:$E$63,MATCH($C12,Country_Context!$A$2:$A$63,0)),"")</f>
        <v/>
      </c>
      <c r="AM12" s="11">
        <f>IFERROR(INDEX(Country_Context!$F$2:$F$63,MATCH($C12,Country_Context!$A$2:$A$63,0)),"")</f>
        <v/>
      </c>
      <c r="AN12" s="11">
        <f>IFERROR(INDEX(Country_Context!$G$2:$G$63,MATCH($C12,Country_Context!$A$2:$A$63,0)),"")</f>
        <v/>
      </c>
      <c r="AO12" s="12" t="inlineStr"/>
      <c r="AP12" s="12" t="inlineStr"/>
      <c r="AQ12" s="12" t="inlineStr"/>
      <c r="AR12" s="12" t="inlineStr"/>
      <c r="AS12" s="12" t="inlineStr"/>
      <c r="AT12" s="12" t="inlineStr"/>
      <c r="AU12" s="12" t="inlineStr"/>
      <c r="AV12" s="12" t="inlineStr"/>
      <c r="AW12" s="12" t="inlineStr"/>
      <c r="AX12" s="12" t="inlineStr"/>
      <c r="AY12" s="12" t="inlineStr"/>
      <c r="AZ12" s="12" t="inlineStr"/>
      <c r="BA12" s="12" t="inlineStr"/>
      <c r="BB12" s="12" t="inlineStr"/>
      <c r="BC12" s="12" t="inlineStr"/>
      <c r="BD12" s="12" t="inlineStr"/>
      <c r="BE12" s="12" t="inlineStr"/>
      <c r="BF12" s="12" t="inlineStr"/>
      <c r="BG12" s="12" t="inlineStr"/>
      <c r="BH12" s="12" t="inlineStr"/>
    </row>
    <row r="13">
      <c r="A13" s="9" t="inlineStr">
        <is>
          <t>kr-busan</t>
        </is>
      </c>
      <c r="B13" s="9" t="inlineStr">
        <is>
          <t>Busan</t>
        </is>
      </c>
      <c r="C13" s="9" t="inlineStr">
        <is>
          <t>South Korea</t>
        </is>
      </c>
      <c r="D13" s="9" t="inlineStr">
        <is>
          <t>East Asia</t>
        </is>
      </c>
      <c r="E13" s="9" t="inlineStr">
        <is>
          <t>primary</t>
        </is>
      </c>
      <c r="F13" s="9" t="inlineStr">
        <is>
          <t>locked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IF(OR($G13="",$H13="",$I13="",$J13="",$K13="",$L13="",$AL13="",$AM13=""),"",((($G13*(1-$AM13))-$H13-$I13-$J13-$K13-$L13)/$AL13))</f>
        <v/>
      </c>
      <c r="N13" s="10" t="inlineStr"/>
      <c r="O13" s="10" t="inlineStr"/>
      <c r="P13" s="11">
        <f>IF($O13&lt;&gt;"",$O13,$AN13)</f>
        <v/>
      </c>
      <c r="Q13" s="10" t="inlineStr"/>
      <c r="R13" s="10" t="inlineStr"/>
      <c r="S13" s="10" t="inlineStr"/>
      <c r="T13" s="10" t="inlineStr"/>
      <c r="U13" s="10" t="inlineStr"/>
      <c r="V13" s="10" t="inlineStr"/>
      <c r="W13" s="10" t="inlineStr"/>
      <c r="X13" s="10" t="inlineStr"/>
      <c r="Y13" s="10" t="inlineStr"/>
      <c r="Z13" s="10" t="inlineStr"/>
      <c r="AA13" s="10" t="inlineStr"/>
      <c r="AB13" s="10" t="inlineStr"/>
      <c r="AC13" s="10" t="inlineStr"/>
      <c r="AD13" s="10" t="inlineStr"/>
      <c r="AE13" s="10" t="inlineStr"/>
      <c r="AF13" s="10" t="inlineStr"/>
      <c r="AG13" s="10" t="inlineStr"/>
      <c r="AH13" s="10" t="inlineStr"/>
      <c r="AI13" s="11">
        <f>IFERROR(INDEX(Country_Context!$B$2:$B$63,MATCH($C13,Country_Context!$A$2:$A$63,0)),"")</f>
        <v/>
      </c>
      <c r="AJ13" s="11">
        <f>IFERROR(INDEX(Country_Context!$C$2:$C$63,MATCH($C13,Country_Context!$A$2:$A$63,0)),"")</f>
        <v/>
      </c>
      <c r="AK13" s="11">
        <f>IFERROR(INDEX(Country_Context!$D$2:$D$63,MATCH($C13,Country_Context!$A$2:$A$63,0)),"")</f>
        <v/>
      </c>
      <c r="AL13" s="11">
        <f>IFERROR(INDEX(Country_Context!$E$2:$E$63,MATCH($C13,Country_Context!$A$2:$A$63,0)),"")</f>
        <v/>
      </c>
      <c r="AM13" s="11">
        <f>IFERROR(INDEX(Country_Context!$F$2:$F$63,MATCH($C13,Country_Context!$A$2:$A$63,0)),"")</f>
        <v/>
      </c>
      <c r="AN13" s="11">
        <f>IFERROR(INDEX(Country_Context!$G$2:$G$63,MATCH($C13,Country_Context!$A$2:$A$63,0)),"")</f>
        <v/>
      </c>
      <c r="AO13" s="12" t="inlineStr"/>
      <c r="AP13" s="12" t="inlineStr"/>
      <c r="AQ13" s="12" t="inlineStr"/>
      <c r="AR13" s="12" t="inlineStr"/>
      <c r="AS13" s="12" t="inlineStr"/>
      <c r="AT13" s="12" t="inlineStr"/>
      <c r="AU13" s="12" t="inlineStr"/>
      <c r="AV13" s="12" t="inlineStr"/>
      <c r="AW13" s="12" t="inlineStr"/>
      <c r="AX13" s="12" t="inlineStr"/>
      <c r="AY13" s="12" t="inlineStr"/>
      <c r="AZ13" s="12" t="inlineStr"/>
      <c r="BA13" s="12" t="inlineStr"/>
      <c r="BB13" s="12" t="inlineStr"/>
      <c r="BC13" s="12" t="inlineStr"/>
      <c r="BD13" s="12" t="inlineStr"/>
      <c r="BE13" s="12" t="inlineStr"/>
      <c r="BF13" s="12" t="inlineStr"/>
      <c r="BG13" s="12" t="inlineStr"/>
      <c r="BH13" s="12" t="inlineStr"/>
    </row>
    <row r="14">
      <c r="A14" s="9" t="inlineStr">
        <is>
          <t>cn-shanghai</t>
        </is>
      </c>
      <c r="B14" s="9" t="inlineStr">
        <is>
          <t>Shanghai</t>
        </is>
      </c>
      <c r="C14" s="9" t="inlineStr">
        <is>
          <t>China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provisional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IF(OR($G14="",$H14="",$I14="",$J14="",$K14="",$L14="",$AL14="",$AM14=""),"",((($G14*(1-$AM14))-$H14-$I14-$J14-$K14-$L14)/$AL14))</f>
        <v/>
      </c>
      <c r="N14" s="10" t="inlineStr"/>
      <c r="O14" s="10" t="inlineStr"/>
      <c r="P14" s="11">
        <f>IF($O14&lt;&gt;"",$O14,$AN14)</f>
        <v/>
      </c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10" t="inlineStr"/>
      <c r="Y14" s="10" t="inlineStr"/>
      <c r="Z14" s="10" t="inlineStr"/>
      <c r="AA14" s="10" t="inlineStr"/>
      <c r="AB14" s="10" t="inlineStr"/>
      <c r="AC14" s="10" t="inlineStr"/>
      <c r="AD14" s="10" t="inlineStr"/>
      <c r="AE14" s="10" t="inlineStr"/>
      <c r="AF14" s="10" t="inlineStr"/>
      <c r="AG14" s="10" t="inlineStr"/>
      <c r="AH14" s="10" t="inlineStr"/>
      <c r="AI14" s="11">
        <f>IFERROR(INDEX(Country_Context!$B$2:$B$63,MATCH($C14,Country_Context!$A$2:$A$63,0)),"")</f>
        <v/>
      </c>
      <c r="AJ14" s="11">
        <f>IFERROR(INDEX(Country_Context!$C$2:$C$63,MATCH($C14,Country_Context!$A$2:$A$63,0)),"")</f>
        <v/>
      </c>
      <c r="AK14" s="11">
        <f>IFERROR(INDEX(Country_Context!$D$2:$D$63,MATCH($C14,Country_Context!$A$2:$A$63,0)),"")</f>
        <v/>
      </c>
      <c r="AL14" s="11">
        <f>IFERROR(INDEX(Country_Context!$E$2:$E$63,MATCH($C14,Country_Context!$A$2:$A$63,0)),"")</f>
        <v/>
      </c>
      <c r="AM14" s="11">
        <f>IFERROR(INDEX(Country_Context!$F$2:$F$63,MATCH($C14,Country_Context!$A$2:$A$63,0)),"")</f>
        <v/>
      </c>
      <c r="AN14" s="11">
        <f>IFERROR(INDEX(Country_Context!$G$2:$G$63,MATCH($C14,Country_Context!$A$2:$A$63,0)),"")</f>
        <v/>
      </c>
      <c r="AO14" s="12" t="inlineStr"/>
      <c r="AP14" s="12" t="inlineStr"/>
      <c r="AQ14" s="12" t="inlineStr"/>
      <c r="AR14" s="12" t="inlineStr"/>
      <c r="AS14" s="12" t="inlineStr"/>
      <c r="AT14" s="12" t="inlineStr"/>
      <c r="AU14" s="12" t="inlineStr"/>
      <c r="AV14" s="12" t="inlineStr"/>
      <c r="AW14" s="12" t="inlineStr"/>
      <c r="AX14" s="12" t="inlineStr"/>
      <c r="AY14" s="12" t="inlineStr"/>
      <c r="AZ14" s="12" t="inlineStr"/>
      <c r="BA14" s="12" t="inlineStr"/>
      <c r="BB14" s="12" t="inlineStr"/>
      <c r="BC14" s="12" t="inlineStr"/>
      <c r="BD14" s="12" t="inlineStr"/>
      <c r="BE14" s="12" t="inlineStr"/>
      <c r="BF14" s="12" t="inlineStr"/>
      <c r="BG14" s="12" t="inlineStr"/>
      <c r="BH14" s="12" t="inlineStr"/>
    </row>
    <row r="15">
      <c r="A15" s="9" t="inlineStr">
        <is>
          <t>cn-shenzhen</t>
        </is>
      </c>
      <c r="B15" s="9" t="inlineStr">
        <is>
          <t>Shenzhen</t>
        </is>
      </c>
      <c r="C15" s="9" t="inlineStr">
        <is>
          <t>China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provisional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IF(OR($G15="",$H15="",$I15="",$J15="",$K15="",$L15="",$AL15="",$AM15=""),"",((($G15*(1-$AM15))-$H15-$I15-$J15-$K15-$L15)/$AL15))</f>
        <v/>
      </c>
      <c r="N15" s="10" t="inlineStr"/>
      <c r="O15" s="10" t="inlineStr"/>
      <c r="P15" s="11">
        <f>IF($O15&lt;&gt;"",$O15,$AN15)</f>
        <v/>
      </c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10" t="inlineStr"/>
      <c r="Y15" s="10" t="inlineStr"/>
      <c r="Z15" s="10" t="inlineStr"/>
      <c r="AA15" s="10" t="inlineStr"/>
      <c r="AB15" s="10" t="inlineStr"/>
      <c r="AC15" s="10" t="inlineStr"/>
      <c r="AD15" s="10" t="inlineStr"/>
      <c r="AE15" s="10" t="inlineStr"/>
      <c r="AF15" s="10" t="inlineStr"/>
      <c r="AG15" s="10" t="inlineStr"/>
      <c r="AH15" s="10" t="inlineStr"/>
      <c r="AI15" s="11">
        <f>IFERROR(INDEX(Country_Context!$B$2:$B$63,MATCH($C15,Country_Context!$A$2:$A$63,0)),"")</f>
        <v/>
      </c>
      <c r="AJ15" s="11">
        <f>IFERROR(INDEX(Country_Context!$C$2:$C$63,MATCH($C15,Country_Context!$A$2:$A$63,0)),"")</f>
        <v/>
      </c>
      <c r="AK15" s="11">
        <f>IFERROR(INDEX(Country_Context!$D$2:$D$63,MATCH($C15,Country_Context!$A$2:$A$63,0)),"")</f>
        <v/>
      </c>
      <c r="AL15" s="11">
        <f>IFERROR(INDEX(Country_Context!$E$2:$E$63,MATCH($C15,Country_Context!$A$2:$A$63,0)),"")</f>
        <v/>
      </c>
      <c r="AM15" s="11">
        <f>IFERROR(INDEX(Country_Context!$F$2:$F$63,MATCH($C15,Country_Context!$A$2:$A$63,0)),"")</f>
        <v/>
      </c>
      <c r="AN15" s="11">
        <f>IFERROR(INDEX(Country_Context!$G$2:$G$63,MATCH($C15,Country_Context!$A$2:$A$63,0)),"")</f>
        <v/>
      </c>
      <c r="AO15" s="12" t="inlineStr"/>
      <c r="AP15" s="12" t="inlineStr"/>
      <c r="AQ15" s="12" t="inlineStr"/>
      <c r="AR15" s="12" t="inlineStr"/>
      <c r="AS15" s="12" t="inlineStr"/>
      <c r="AT15" s="12" t="inlineStr"/>
      <c r="AU15" s="12" t="inlineStr"/>
      <c r="AV15" s="12" t="inlineStr"/>
      <c r="AW15" s="12" t="inlineStr"/>
      <c r="AX15" s="12" t="inlineStr"/>
      <c r="AY15" s="12" t="inlineStr"/>
      <c r="AZ15" s="12" t="inlineStr"/>
      <c r="BA15" s="12" t="inlineStr"/>
      <c r="BB15" s="12" t="inlineStr"/>
      <c r="BC15" s="12" t="inlineStr"/>
      <c r="BD15" s="12" t="inlineStr"/>
      <c r="BE15" s="12" t="inlineStr"/>
      <c r="BF15" s="12" t="inlineStr"/>
      <c r="BG15" s="12" t="inlineStr"/>
      <c r="BH15" s="12" t="inlineStr"/>
    </row>
    <row r="16">
      <c r="A16" s="9" t="inlineStr">
        <is>
          <t>jp-hiroshima</t>
        </is>
      </c>
      <c r="B16" s="9" t="inlineStr">
        <is>
          <t>Hiroshima</t>
        </is>
      </c>
      <c r="C16" s="9" t="inlineStr">
        <is>
          <t>Japan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IF(OR($G16="",$H16="",$I16="",$J16="",$K16="",$L16="",$AL16="",$AM16=""),"",((($G16*(1-$AM16))-$H16-$I16-$J16-$K16-$L16)/$AL16))</f>
        <v/>
      </c>
      <c r="N16" s="10" t="inlineStr"/>
      <c r="O16" s="10" t="inlineStr"/>
      <c r="P16" s="11">
        <f>IF($O16&lt;&gt;"",$O16,$AN16)</f>
        <v/>
      </c>
      <c r="Q16" s="10" t="inlineStr"/>
      <c r="R16" s="10" t="inlineStr"/>
      <c r="S16" s="10" t="inlineStr"/>
      <c r="T16" s="10" t="inlineStr"/>
      <c r="U16" s="10" t="inlineStr"/>
      <c r="V16" s="10" t="inlineStr"/>
      <c r="W16" s="10" t="inlineStr"/>
      <c r="X16" s="10" t="inlineStr"/>
      <c r="Y16" s="10" t="inlineStr"/>
      <c r="Z16" s="10" t="inlineStr"/>
      <c r="AA16" s="10" t="inlineStr"/>
      <c r="AB16" s="10" t="inlineStr"/>
      <c r="AC16" s="10" t="inlineStr"/>
      <c r="AD16" s="10" t="inlineStr"/>
      <c r="AE16" s="10" t="inlineStr"/>
      <c r="AF16" s="10" t="inlineStr"/>
      <c r="AG16" s="10" t="inlineStr"/>
      <c r="AH16" s="10" t="inlineStr"/>
      <c r="AI16" s="11">
        <f>IFERROR(INDEX(Country_Context!$B$2:$B$63,MATCH($C16,Country_Context!$A$2:$A$63,0)),"")</f>
        <v/>
      </c>
      <c r="AJ16" s="11">
        <f>IFERROR(INDEX(Country_Context!$C$2:$C$63,MATCH($C16,Country_Context!$A$2:$A$63,0)),"")</f>
        <v/>
      </c>
      <c r="AK16" s="11">
        <f>IFERROR(INDEX(Country_Context!$D$2:$D$63,MATCH($C16,Country_Context!$A$2:$A$63,0)),"")</f>
        <v/>
      </c>
      <c r="AL16" s="11">
        <f>IFERROR(INDEX(Country_Context!$E$2:$E$63,MATCH($C16,Country_Context!$A$2:$A$63,0)),"")</f>
        <v/>
      </c>
      <c r="AM16" s="11">
        <f>IFERROR(INDEX(Country_Context!$F$2:$F$63,MATCH($C16,Country_Context!$A$2:$A$63,0)),"")</f>
        <v/>
      </c>
      <c r="AN16" s="11">
        <f>IFERROR(INDEX(Country_Context!$G$2:$G$63,MATCH($C16,Country_Context!$A$2:$A$63,0)),"")</f>
        <v/>
      </c>
      <c r="AO16" s="12" t="inlineStr"/>
      <c r="AP16" s="12" t="inlineStr"/>
      <c r="AQ16" s="12" t="inlineStr"/>
      <c r="AR16" s="12" t="inlineStr"/>
      <c r="AS16" s="12" t="inlineStr"/>
      <c r="AT16" s="12" t="inlineStr"/>
      <c r="AU16" s="12" t="inlineStr"/>
      <c r="AV16" s="12" t="inlineStr"/>
      <c r="AW16" s="12" t="inlineStr"/>
      <c r="AX16" s="12" t="inlineStr"/>
      <c r="AY16" s="12" t="inlineStr"/>
      <c r="AZ16" s="12" t="inlineStr"/>
      <c r="BA16" s="12" t="inlineStr"/>
      <c r="BB16" s="12" t="inlineStr"/>
      <c r="BC16" s="12" t="inlineStr"/>
      <c r="BD16" s="12" t="inlineStr"/>
      <c r="BE16" s="12" t="inlineStr"/>
      <c r="BF16" s="12" t="inlineStr"/>
      <c r="BG16" s="12" t="inlineStr"/>
      <c r="BH16" s="12" t="inlineStr"/>
    </row>
    <row r="17">
      <c r="A17" s="9" t="inlineStr">
        <is>
          <t>kr-jeju-city</t>
        </is>
      </c>
      <c r="B17" s="9" t="inlineStr">
        <is>
          <t>Jeju City</t>
        </is>
      </c>
      <c r="C17" s="9" t="inlineStr">
        <is>
          <t>South Korea</t>
        </is>
      </c>
      <c r="D17" s="9" t="inlineStr">
        <is>
          <t>East Asia</t>
        </is>
      </c>
      <c r="E17" s="9" t="inlineStr">
        <is>
          <t>secondary</t>
        </is>
      </c>
      <c r="F17" s="9" t="inlineStr">
        <is>
          <t>locked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IF(OR($G17="",$H17="",$I17="",$J17="",$K17="",$L17="",$AL17="",$AM17=""),"",((($G17*(1-$AM17))-$H17-$I17-$J17-$K17-$L17)/$AL17))</f>
        <v/>
      </c>
      <c r="N17" s="10" t="inlineStr"/>
      <c r="O17" s="10" t="inlineStr"/>
      <c r="P17" s="11">
        <f>IF($O17&lt;&gt;"",$O17,$AN17)</f>
        <v/>
      </c>
      <c r="Q17" s="10" t="inlineStr"/>
      <c r="R17" s="10" t="inlineStr"/>
      <c r="S17" s="10" t="inlineStr"/>
      <c r="T17" s="10" t="inlineStr"/>
      <c r="U17" s="10" t="inlineStr"/>
      <c r="V17" s="10" t="inlineStr"/>
      <c r="W17" s="10" t="inlineStr"/>
      <c r="X17" s="10" t="inlineStr"/>
      <c r="Y17" s="10" t="inlineStr"/>
      <c r="Z17" s="10" t="inlineStr"/>
      <c r="AA17" s="10" t="inlineStr"/>
      <c r="AB17" s="10" t="inlineStr"/>
      <c r="AC17" s="10" t="inlineStr"/>
      <c r="AD17" s="10" t="inlineStr"/>
      <c r="AE17" s="10" t="inlineStr"/>
      <c r="AF17" s="10" t="inlineStr"/>
      <c r="AG17" s="10" t="inlineStr"/>
      <c r="AH17" s="10" t="inlineStr"/>
      <c r="AI17" s="11">
        <f>IFERROR(INDEX(Country_Context!$B$2:$B$63,MATCH($C17,Country_Context!$A$2:$A$63,0)),"")</f>
        <v/>
      </c>
      <c r="AJ17" s="11">
        <f>IFERROR(INDEX(Country_Context!$C$2:$C$63,MATCH($C17,Country_Context!$A$2:$A$63,0)),"")</f>
        <v/>
      </c>
      <c r="AK17" s="11">
        <f>IFERROR(INDEX(Country_Context!$D$2:$D$63,MATCH($C17,Country_Context!$A$2:$A$63,0)),"")</f>
        <v/>
      </c>
      <c r="AL17" s="11">
        <f>IFERROR(INDEX(Country_Context!$E$2:$E$63,MATCH($C17,Country_Context!$A$2:$A$63,0)),"")</f>
        <v/>
      </c>
      <c r="AM17" s="11">
        <f>IFERROR(INDEX(Country_Context!$F$2:$F$63,MATCH($C17,Country_Context!$A$2:$A$63,0)),"")</f>
        <v/>
      </c>
      <c r="AN17" s="11">
        <f>IFERROR(INDEX(Country_Context!$G$2:$G$63,MATCH($C17,Country_Context!$A$2:$A$63,0)),"")</f>
        <v/>
      </c>
      <c r="AO17" s="12" t="inlineStr"/>
      <c r="AP17" s="12" t="inlineStr"/>
      <c r="AQ17" s="12" t="inlineStr"/>
      <c r="AR17" s="12" t="inlineStr"/>
      <c r="AS17" s="12" t="inlineStr"/>
      <c r="AT17" s="12" t="inlineStr"/>
      <c r="AU17" s="12" t="inlineStr"/>
      <c r="AV17" s="12" t="inlineStr"/>
      <c r="AW17" s="12" t="inlineStr"/>
      <c r="AX17" s="12" t="inlineStr"/>
      <c r="AY17" s="12" t="inlineStr"/>
      <c r="AZ17" s="12" t="inlineStr"/>
      <c r="BA17" s="12" t="inlineStr"/>
      <c r="BB17" s="12" t="inlineStr"/>
      <c r="BC17" s="12" t="inlineStr"/>
      <c r="BD17" s="12" t="inlineStr"/>
      <c r="BE17" s="12" t="inlineStr"/>
      <c r="BF17" s="12" t="inlineStr"/>
      <c r="BG17" s="12" t="inlineStr"/>
      <c r="BH17" s="12" t="inlineStr"/>
    </row>
    <row r="18">
      <c r="A18" s="9" t="inlineStr">
        <is>
          <t>jp-fukuoka</t>
        </is>
      </c>
      <c r="B18" s="9" t="inlineStr">
        <is>
          <t>Fukuoka</t>
        </is>
      </c>
      <c r="C18" s="9" t="inlineStr">
        <is>
          <t>Japan</t>
        </is>
      </c>
      <c r="D18" s="9" t="inlineStr">
        <is>
          <t>East Asia</t>
        </is>
      </c>
      <c r="E18" s="9" t="inlineStr">
        <is>
          <t>secondary</t>
        </is>
      </c>
      <c r="F18" s="9" t="inlineStr">
        <is>
          <t>locked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IF(OR($G18="",$H18="",$I18="",$J18="",$K18="",$L18="",$AL18="",$AM18=""),"",((($G18*(1-$AM18))-$H18-$I18-$J18-$K18-$L18)/$AL18))</f>
        <v/>
      </c>
      <c r="N18" s="10" t="inlineStr"/>
      <c r="O18" s="10" t="inlineStr"/>
      <c r="P18" s="11">
        <f>IF($O18&lt;&gt;"",$O18,$AN18)</f>
        <v/>
      </c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10" t="inlineStr"/>
      <c r="Y18" s="10" t="inlineStr"/>
      <c r="Z18" s="10" t="inlineStr"/>
      <c r="AA18" s="10" t="inlineStr"/>
      <c r="AB18" s="10" t="inlineStr"/>
      <c r="AC18" s="10" t="inlineStr"/>
      <c r="AD18" s="10" t="inlineStr"/>
      <c r="AE18" s="10" t="inlineStr"/>
      <c r="AF18" s="10" t="inlineStr"/>
      <c r="AG18" s="10" t="inlineStr"/>
      <c r="AH18" s="10" t="inlineStr"/>
      <c r="AI18" s="11">
        <f>IFERROR(INDEX(Country_Context!$B$2:$B$63,MATCH($C18,Country_Context!$A$2:$A$63,0)),"")</f>
        <v/>
      </c>
      <c r="AJ18" s="11">
        <f>IFERROR(INDEX(Country_Context!$C$2:$C$63,MATCH($C18,Country_Context!$A$2:$A$63,0)),"")</f>
        <v/>
      </c>
      <c r="AK18" s="11">
        <f>IFERROR(INDEX(Country_Context!$D$2:$D$63,MATCH($C18,Country_Context!$A$2:$A$63,0)),"")</f>
        <v/>
      </c>
      <c r="AL18" s="11">
        <f>IFERROR(INDEX(Country_Context!$E$2:$E$63,MATCH($C18,Country_Context!$A$2:$A$63,0)),"")</f>
        <v/>
      </c>
      <c r="AM18" s="11">
        <f>IFERROR(INDEX(Country_Context!$F$2:$F$63,MATCH($C18,Country_Context!$A$2:$A$63,0)),"")</f>
        <v/>
      </c>
      <c r="AN18" s="11">
        <f>IFERROR(INDEX(Country_Context!$G$2:$G$63,MATCH($C18,Country_Context!$A$2:$A$63,0)),"")</f>
        <v/>
      </c>
      <c r="AO18" s="12" t="inlineStr"/>
      <c r="AP18" s="12" t="inlineStr"/>
      <c r="AQ18" s="12" t="inlineStr"/>
      <c r="AR18" s="12" t="inlineStr"/>
      <c r="AS18" s="12" t="inlineStr"/>
      <c r="AT18" s="12" t="inlineStr"/>
      <c r="AU18" s="12" t="inlineStr"/>
      <c r="AV18" s="12" t="inlineStr"/>
      <c r="AW18" s="12" t="inlineStr"/>
      <c r="AX18" s="12" t="inlineStr"/>
      <c r="AY18" s="12" t="inlineStr"/>
      <c r="AZ18" s="12" t="inlineStr"/>
      <c r="BA18" s="12" t="inlineStr"/>
      <c r="BB18" s="12" t="inlineStr"/>
      <c r="BC18" s="12" t="inlineStr"/>
      <c r="BD18" s="12" t="inlineStr"/>
      <c r="BE18" s="12" t="inlineStr"/>
      <c r="BF18" s="12" t="inlineStr"/>
      <c r="BG18" s="12" t="inlineStr"/>
      <c r="BH18" s="12" t="inlineStr"/>
    </row>
    <row r="19">
      <c r="A19" s="9" t="inlineStr">
        <is>
          <t>jp-kobe</t>
        </is>
      </c>
      <c r="B19" s="9" t="inlineStr">
        <is>
          <t>Kobe</t>
        </is>
      </c>
      <c r="C19" s="9" t="inlineStr">
        <is>
          <t>Japan</t>
        </is>
      </c>
      <c r="D19" s="9" t="inlineStr">
        <is>
          <t>East Asia</t>
        </is>
      </c>
      <c r="E19" s="9" t="inlineStr">
        <is>
          <t>secondary</t>
        </is>
      </c>
      <c r="F19" s="9" t="inlineStr">
        <is>
          <t>locked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IF(OR($G19="",$H19="",$I19="",$J19="",$K19="",$L19="",$AL19="",$AM19=""),"",((($G19*(1-$AM19))-$H19-$I19-$J19-$K19-$L19)/$AL19))</f>
        <v/>
      </c>
      <c r="N19" s="10" t="inlineStr"/>
      <c r="O19" s="10" t="inlineStr"/>
      <c r="P19" s="11">
        <f>IF($O19&lt;&gt;"",$O19,$AN19)</f>
        <v/>
      </c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10" t="inlineStr"/>
      <c r="Y19" s="10" t="inlineStr"/>
      <c r="Z19" s="10" t="inlineStr"/>
      <c r="AA19" s="10" t="inlineStr"/>
      <c r="AB19" s="10" t="inlineStr"/>
      <c r="AC19" s="10" t="inlineStr"/>
      <c r="AD19" s="10" t="inlineStr"/>
      <c r="AE19" s="10" t="inlineStr"/>
      <c r="AF19" s="10" t="inlineStr"/>
      <c r="AG19" s="10" t="inlineStr"/>
      <c r="AH19" s="10" t="inlineStr"/>
      <c r="AI19" s="11">
        <f>IFERROR(INDEX(Country_Context!$B$2:$B$63,MATCH($C19,Country_Context!$A$2:$A$63,0)),"")</f>
        <v/>
      </c>
      <c r="AJ19" s="11">
        <f>IFERROR(INDEX(Country_Context!$C$2:$C$63,MATCH($C19,Country_Context!$A$2:$A$63,0)),"")</f>
        <v/>
      </c>
      <c r="AK19" s="11">
        <f>IFERROR(INDEX(Country_Context!$D$2:$D$63,MATCH($C19,Country_Context!$A$2:$A$63,0)),"")</f>
        <v/>
      </c>
      <c r="AL19" s="11">
        <f>IFERROR(INDEX(Country_Context!$E$2:$E$63,MATCH($C19,Country_Context!$A$2:$A$63,0)),"")</f>
        <v/>
      </c>
      <c r="AM19" s="11">
        <f>IFERROR(INDEX(Country_Context!$F$2:$F$63,MATCH($C19,Country_Context!$A$2:$A$63,0)),"")</f>
        <v/>
      </c>
      <c r="AN19" s="11">
        <f>IFERROR(INDEX(Country_Context!$G$2:$G$63,MATCH($C19,Country_Context!$A$2:$A$63,0)),"")</f>
        <v/>
      </c>
      <c r="AO19" s="12" t="inlineStr"/>
      <c r="AP19" s="12" t="inlineStr"/>
      <c r="AQ19" s="12" t="inlineStr"/>
      <c r="AR19" s="12" t="inlineStr"/>
      <c r="AS19" s="12" t="inlineStr"/>
      <c r="AT19" s="12" t="inlineStr"/>
      <c r="AU19" s="12" t="inlineStr"/>
      <c r="AV19" s="12" t="inlineStr"/>
      <c r="AW19" s="12" t="inlineStr"/>
      <c r="AX19" s="12" t="inlineStr"/>
      <c r="AY19" s="12" t="inlineStr"/>
      <c r="AZ19" s="12" t="inlineStr"/>
      <c r="BA19" s="12" t="inlineStr"/>
      <c r="BB19" s="12" t="inlineStr"/>
      <c r="BC19" s="12" t="inlineStr"/>
      <c r="BD19" s="12" t="inlineStr"/>
      <c r="BE19" s="12" t="inlineStr"/>
      <c r="BF19" s="12" t="inlineStr"/>
      <c r="BG19" s="12" t="inlineStr"/>
      <c r="BH19" s="12" t="inlineStr"/>
    </row>
    <row r="20">
      <c r="A20" s="9" t="inlineStr">
        <is>
          <t>jp-sapporo</t>
        </is>
      </c>
      <c r="B20" s="9" t="inlineStr">
        <is>
          <t>Sapporo</t>
        </is>
      </c>
      <c r="C20" s="9" t="inlineStr">
        <is>
          <t>Japan</t>
        </is>
      </c>
      <c r="D20" s="9" t="inlineStr">
        <is>
          <t>East Asia</t>
        </is>
      </c>
      <c r="E20" s="9" t="inlineStr">
        <is>
          <t>secondary</t>
        </is>
      </c>
      <c r="F20" s="9" t="inlineStr">
        <is>
          <t>locked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IF(OR($G20="",$H20="",$I20="",$J20="",$K20="",$L20="",$AL20="",$AM20=""),"",((($G20*(1-$AM20))-$H20-$I20-$J20-$K20-$L20)/$AL20))</f>
        <v/>
      </c>
      <c r="N20" s="10" t="inlineStr"/>
      <c r="O20" s="10" t="inlineStr"/>
      <c r="P20" s="11">
        <f>IF($O20&lt;&gt;"",$O20,$AN20)</f>
        <v/>
      </c>
      <c r="Q20" s="10" t="inlineStr"/>
      <c r="R20" s="10" t="inlineStr"/>
      <c r="S20" s="10" t="inlineStr"/>
      <c r="T20" s="10" t="inlineStr"/>
      <c r="U20" s="10" t="inlineStr"/>
      <c r="V20" s="10" t="inlineStr"/>
      <c r="W20" s="10" t="inlineStr"/>
      <c r="X20" s="10" t="inlineStr"/>
      <c r="Y20" s="10" t="inlineStr"/>
      <c r="Z20" s="10" t="inlineStr"/>
      <c r="AA20" s="10" t="inlineStr"/>
      <c r="AB20" s="10" t="inlineStr"/>
      <c r="AC20" s="10" t="inlineStr"/>
      <c r="AD20" s="10" t="inlineStr"/>
      <c r="AE20" s="10" t="inlineStr"/>
      <c r="AF20" s="10" t="inlineStr"/>
      <c r="AG20" s="10" t="inlineStr"/>
      <c r="AH20" s="10" t="inlineStr"/>
      <c r="AI20" s="11">
        <f>IFERROR(INDEX(Country_Context!$B$2:$B$63,MATCH($C20,Country_Context!$A$2:$A$63,0)),"")</f>
        <v/>
      </c>
      <c r="AJ20" s="11">
        <f>IFERROR(INDEX(Country_Context!$C$2:$C$63,MATCH($C20,Country_Context!$A$2:$A$63,0)),"")</f>
        <v/>
      </c>
      <c r="AK20" s="11">
        <f>IFERROR(INDEX(Country_Context!$D$2:$D$63,MATCH($C20,Country_Context!$A$2:$A$63,0)),"")</f>
        <v/>
      </c>
      <c r="AL20" s="11">
        <f>IFERROR(INDEX(Country_Context!$E$2:$E$63,MATCH($C20,Country_Context!$A$2:$A$63,0)),"")</f>
        <v/>
      </c>
      <c r="AM20" s="11">
        <f>IFERROR(INDEX(Country_Context!$F$2:$F$63,MATCH($C20,Country_Context!$A$2:$A$63,0)),"")</f>
        <v/>
      </c>
      <c r="AN20" s="11">
        <f>IFERROR(INDEX(Country_Context!$G$2:$G$63,MATCH($C20,Country_Context!$A$2:$A$63,0)),"")</f>
        <v/>
      </c>
      <c r="AO20" s="12" t="inlineStr"/>
      <c r="AP20" s="12" t="inlineStr"/>
      <c r="AQ20" s="12" t="inlineStr"/>
      <c r="AR20" s="12" t="inlineStr"/>
      <c r="AS20" s="12" t="inlineStr"/>
      <c r="AT20" s="12" t="inlineStr"/>
      <c r="AU20" s="12" t="inlineStr"/>
      <c r="AV20" s="12" t="inlineStr"/>
      <c r="AW20" s="12" t="inlineStr"/>
      <c r="AX20" s="12" t="inlineStr"/>
      <c r="AY20" s="12" t="inlineStr"/>
      <c r="AZ20" s="12" t="inlineStr"/>
      <c r="BA20" s="12" t="inlineStr"/>
      <c r="BB20" s="12" t="inlineStr"/>
      <c r="BC20" s="12" t="inlineStr"/>
      <c r="BD20" s="12" t="inlineStr"/>
      <c r="BE20" s="12" t="inlineStr"/>
      <c r="BF20" s="12" t="inlineStr"/>
      <c r="BG20" s="12" t="inlineStr"/>
      <c r="BH20" s="12" t="inlineStr"/>
    </row>
    <row r="21">
      <c r="A21" s="9" t="inlineStr">
        <is>
          <t>cn-tianjin</t>
        </is>
      </c>
      <c r="B21" s="9" t="inlineStr">
        <is>
          <t>Tianjin</t>
        </is>
      </c>
      <c r="C21" s="9" t="inlineStr">
        <is>
          <t>China</t>
        </is>
      </c>
      <c r="D21" s="9" t="inlineStr">
        <is>
          <t>East Asia</t>
        </is>
      </c>
      <c r="E21" s="9" t="inlineStr">
        <is>
          <t>secondary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IF(OR($G21="",$H21="",$I21="",$J21="",$K21="",$L21="",$AL21="",$AM21=""),"",((($G21*(1-$AM21))-$H21-$I21-$J21-$K21-$L21)/$AL21))</f>
        <v/>
      </c>
      <c r="N21" s="10" t="inlineStr"/>
      <c r="O21" s="10" t="inlineStr"/>
      <c r="P21" s="11">
        <f>IF($O21&lt;&gt;"",$O21,$AN21)</f>
        <v/>
      </c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10" t="inlineStr"/>
      <c r="Y21" s="10" t="inlineStr"/>
      <c r="Z21" s="10" t="inlineStr"/>
      <c r="AA21" s="10" t="inlineStr"/>
      <c r="AB21" s="10" t="inlineStr"/>
      <c r="AC21" s="10" t="inlineStr"/>
      <c r="AD21" s="10" t="inlineStr"/>
      <c r="AE21" s="10" t="inlineStr"/>
      <c r="AF21" s="10" t="inlineStr"/>
      <c r="AG21" s="10" t="inlineStr"/>
      <c r="AH21" s="10" t="inlineStr"/>
      <c r="AI21" s="11">
        <f>IFERROR(INDEX(Country_Context!$B$2:$B$63,MATCH($C21,Country_Context!$A$2:$A$63,0)),"")</f>
        <v/>
      </c>
      <c r="AJ21" s="11">
        <f>IFERROR(INDEX(Country_Context!$C$2:$C$63,MATCH($C21,Country_Context!$A$2:$A$63,0)),"")</f>
        <v/>
      </c>
      <c r="AK21" s="11">
        <f>IFERROR(INDEX(Country_Context!$D$2:$D$63,MATCH($C21,Country_Context!$A$2:$A$63,0)),"")</f>
        <v/>
      </c>
      <c r="AL21" s="11">
        <f>IFERROR(INDEX(Country_Context!$E$2:$E$63,MATCH($C21,Country_Context!$A$2:$A$63,0)),"")</f>
        <v/>
      </c>
      <c r="AM21" s="11">
        <f>IFERROR(INDEX(Country_Context!$F$2:$F$63,MATCH($C21,Country_Context!$A$2:$A$63,0)),"")</f>
        <v/>
      </c>
      <c r="AN21" s="11">
        <f>IFERROR(INDEX(Country_Context!$G$2:$G$63,MATCH($C21,Country_Context!$A$2:$A$63,0)),"")</f>
        <v/>
      </c>
      <c r="AO21" s="12" t="inlineStr"/>
      <c r="AP21" s="12" t="inlineStr"/>
      <c r="AQ21" s="12" t="inlineStr"/>
      <c r="AR21" s="12" t="inlineStr"/>
      <c r="AS21" s="12" t="inlineStr"/>
      <c r="AT21" s="12" t="inlineStr"/>
      <c r="AU21" s="12" t="inlineStr"/>
      <c r="AV21" s="12" t="inlineStr"/>
      <c r="AW21" s="12" t="inlineStr"/>
      <c r="AX21" s="12" t="inlineStr"/>
      <c r="AY21" s="12" t="inlineStr"/>
      <c r="AZ21" s="12" t="inlineStr"/>
      <c r="BA21" s="12" t="inlineStr"/>
      <c r="BB21" s="12" t="inlineStr"/>
      <c r="BC21" s="12" t="inlineStr"/>
      <c r="BD21" s="12" t="inlineStr"/>
      <c r="BE21" s="12" t="inlineStr"/>
      <c r="BF21" s="12" t="inlineStr"/>
      <c r="BG21" s="12" t="inlineStr"/>
      <c r="BH21" s="12" t="inlineStr"/>
    </row>
    <row r="22">
      <c r="A22" s="9" t="inlineStr">
        <is>
          <t>in-bengaluru</t>
        </is>
      </c>
      <c r="B22" s="9" t="inlineStr">
        <is>
          <t>Bengaluru</t>
        </is>
      </c>
      <c r="C22" s="9" t="inlineStr">
        <is>
          <t>India</t>
        </is>
      </c>
      <c r="D22" s="9" t="inlineStr">
        <is>
          <t>South Asia</t>
        </is>
      </c>
      <c r="E22" s="9" t="inlineStr">
        <is>
          <t>primary</t>
        </is>
      </c>
      <c r="F22" s="9" t="inlineStr">
        <is>
          <t>locked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IF(OR($G22="",$H22="",$I22="",$J22="",$K22="",$L22="",$AL22="",$AM22=""),"",((($G22*(1-$AM22))-$H22-$I22-$J22-$K22-$L22)/$AL22))</f>
        <v/>
      </c>
      <c r="N22" s="10" t="inlineStr"/>
      <c r="O22" s="10" t="inlineStr"/>
      <c r="P22" s="11">
        <f>IF($O22&lt;&gt;"",$O22,$AN22)</f>
        <v/>
      </c>
      <c r="Q22" s="10" t="inlineStr"/>
      <c r="R22" s="10" t="inlineStr"/>
      <c r="S22" s="10" t="inlineStr"/>
      <c r="T22" s="10" t="inlineStr"/>
      <c r="U22" s="10" t="inlineStr"/>
      <c r="V22" s="10" t="inlineStr"/>
      <c r="W22" s="10" t="inlineStr"/>
      <c r="X22" s="10" t="inlineStr"/>
      <c r="Y22" s="10" t="inlineStr"/>
      <c r="Z22" s="10" t="inlineStr"/>
      <c r="AA22" s="10" t="inlineStr"/>
      <c r="AB22" s="10" t="inlineStr"/>
      <c r="AC22" s="10" t="inlineStr"/>
      <c r="AD22" s="10" t="inlineStr"/>
      <c r="AE22" s="10" t="inlineStr"/>
      <c r="AF22" s="10" t="inlineStr"/>
      <c r="AG22" s="10" t="inlineStr"/>
      <c r="AH22" s="10" t="inlineStr"/>
      <c r="AI22" s="11">
        <f>IFERROR(INDEX(Country_Context!$B$2:$B$63,MATCH($C22,Country_Context!$A$2:$A$63,0)),"")</f>
        <v/>
      </c>
      <c r="AJ22" s="11">
        <f>IFERROR(INDEX(Country_Context!$C$2:$C$63,MATCH($C22,Country_Context!$A$2:$A$63,0)),"")</f>
        <v/>
      </c>
      <c r="AK22" s="11">
        <f>IFERROR(INDEX(Country_Context!$D$2:$D$63,MATCH($C22,Country_Context!$A$2:$A$63,0)),"")</f>
        <v/>
      </c>
      <c r="AL22" s="11">
        <f>IFERROR(INDEX(Country_Context!$E$2:$E$63,MATCH($C22,Country_Context!$A$2:$A$63,0)),"")</f>
        <v/>
      </c>
      <c r="AM22" s="11">
        <f>IFERROR(INDEX(Country_Context!$F$2:$F$63,MATCH($C22,Country_Context!$A$2:$A$63,0)),"")</f>
        <v/>
      </c>
      <c r="AN22" s="11">
        <f>IFERROR(INDEX(Country_Context!$G$2:$G$63,MATCH($C22,Country_Context!$A$2:$A$63,0)),"")</f>
        <v/>
      </c>
      <c r="AO22" s="12" t="inlineStr"/>
      <c r="AP22" s="12" t="inlineStr"/>
      <c r="AQ22" s="12" t="inlineStr"/>
      <c r="AR22" s="12" t="inlineStr"/>
      <c r="AS22" s="12" t="inlineStr"/>
      <c r="AT22" s="12" t="inlineStr"/>
      <c r="AU22" s="12" t="inlineStr"/>
      <c r="AV22" s="12" t="inlineStr"/>
      <c r="AW22" s="12" t="inlineStr"/>
      <c r="AX22" s="12" t="inlineStr"/>
      <c r="AY22" s="12" t="inlineStr"/>
      <c r="AZ22" s="12" t="inlineStr"/>
      <c r="BA22" s="12" t="inlineStr"/>
      <c r="BB22" s="12" t="inlineStr"/>
      <c r="BC22" s="12" t="inlineStr"/>
      <c r="BD22" s="12" t="inlineStr"/>
      <c r="BE22" s="12" t="inlineStr"/>
      <c r="BF22" s="12" t="inlineStr"/>
      <c r="BG22" s="12" t="inlineStr"/>
      <c r="BH22" s="12" t="inlineStr"/>
    </row>
    <row r="23">
      <c r="A23" s="9" t="inlineStr">
        <is>
          <t>in-hyderabad</t>
        </is>
      </c>
      <c r="B23" s="9" t="inlineStr">
        <is>
          <t>Hyderabad</t>
        </is>
      </c>
      <c r="C23" s="9" t="inlineStr">
        <is>
          <t>India</t>
        </is>
      </c>
      <c r="D23" s="9" t="inlineStr">
        <is>
          <t>South Asia</t>
        </is>
      </c>
      <c r="E23" s="9" t="inlineStr">
        <is>
          <t>primary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IF(OR($G23="",$H23="",$I23="",$J23="",$K23="",$L23="",$AL23="",$AM23=""),"",((($G23*(1-$AM23))-$H23-$I23-$J23-$K23-$L23)/$AL23))</f>
        <v/>
      </c>
      <c r="N23" s="10" t="inlineStr"/>
      <c r="O23" s="10" t="inlineStr"/>
      <c r="P23" s="11">
        <f>IF($O23&lt;&gt;"",$O23,$AN23)</f>
        <v/>
      </c>
      <c r="Q23" s="10" t="inlineStr"/>
      <c r="R23" s="10" t="inlineStr"/>
      <c r="S23" s="10" t="inlineStr"/>
      <c r="T23" s="10" t="inlineStr"/>
      <c r="U23" s="10" t="inlineStr"/>
      <c r="V23" s="10" t="inlineStr"/>
      <c r="W23" s="10" t="inlineStr"/>
      <c r="X23" s="10" t="inlineStr"/>
      <c r="Y23" s="10" t="inlineStr"/>
      <c r="Z23" s="10" t="inlineStr"/>
      <c r="AA23" s="10" t="inlineStr"/>
      <c r="AB23" s="10" t="inlineStr"/>
      <c r="AC23" s="10" t="inlineStr"/>
      <c r="AD23" s="10" t="inlineStr"/>
      <c r="AE23" s="10" t="inlineStr"/>
      <c r="AF23" s="10" t="inlineStr"/>
      <c r="AG23" s="10" t="inlineStr"/>
      <c r="AH23" s="10" t="inlineStr"/>
      <c r="AI23" s="11">
        <f>IFERROR(INDEX(Country_Context!$B$2:$B$63,MATCH($C23,Country_Context!$A$2:$A$63,0)),"")</f>
        <v/>
      </c>
      <c r="AJ23" s="11">
        <f>IFERROR(INDEX(Country_Context!$C$2:$C$63,MATCH($C23,Country_Context!$A$2:$A$63,0)),"")</f>
        <v/>
      </c>
      <c r="AK23" s="11">
        <f>IFERROR(INDEX(Country_Context!$D$2:$D$63,MATCH($C23,Country_Context!$A$2:$A$63,0)),"")</f>
        <v/>
      </c>
      <c r="AL23" s="11">
        <f>IFERROR(INDEX(Country_Context!$E$2:$E$63,MATCH($C23,Country_Context!$A$2:$A$63,0)),"")</f>
        <v/>
      </c>
      <c r="AM23" s="11">
        <f>IFERROR(INDEX(Country_Context!$F$2:$F$63,MATCH($C23,Country_Context!$A$2:$A$63,0)),"")</f>
        <v/>
      </c>
      <c r="AN23" s="11">
        <f>IFERROR(INDEX(Country_Context!$G$2:$G$63,MATCH($C23,Country_Context!$A$2:$A$63,0)),"")</f>
        <v/>
      </c>
      <c r="AO23" s="12" t="inlineStr"/>
      <c r="AP23" s="12" t="inlineStr"/>
      <c r="AQ23" s="12" t="inlineStr"/>
      <c r="AR23" s="12" t="inlineStr"/>
      <c r="AS23" s="12" t="inlineStr"/>
      <c r="AT23" s="12" t="inlineStr"/>
      <c r="AU23" s="12" t="inlineStr"/>
      <c r="AV23" s="12" t="inlineStr"/>
      <c r="AW23" s="12" t="inlineStr"/>
      <c r="AX23" s="12" t="inlineStr"/>
      <c r="AY23" s="12" t="inlineStr"/>
      <c r="AZ23" s="12" t="inlineStr"/>
      <c r="BA23" s="12" t="inlineStr"/>
      <c r="BB23" s="12" t="inlineStr"/>
      <c r="BC23" s="12" t="inlineStr"/>
      <c r="BD23" s="12" t="inlineStr"/>
      <c r="BE23" s="12" t="inlineStr"/>
      <c r="BF23" s="12" t="inlineStr"/>
      <c r="BG23" s="12" t="inlineStr"/>
      <c r="BH23" s="12" t="inlineStr"/>
    </row>
    <row r="24">
      <c r="A24" s="9" t="inlineStr">
        <is>
          <t>lk-colombo</t>
        </is>
      </c>
      <c r="B24" s="9" t="inlineStr">
        <is>
          <t>Colombo</t>
        </is>
      </c>
      <c r="C24" s="9" t="inlineStr">
        <is>
          <t>Sri Lanka</t>
        </is>
      </c>
      <c r="D24" s="9" t="inlineStr">
        <is>
          <t>South Asia</t>
        </is>
      </c>
      <c r="E24" s="9" t="inlineStr">
        <is>
          <t>primary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IF(OR($G24="",$H24="",$I24="",$J24="",$K24="",$L24="",$AL24="",$AM24=""),"",((($G24*(1-$AM24))-$H24-$I24-$J24-$K24-$L24)/$AL24))</f>
        <v/>
      </c>
      <c r="N24" s="10" t="inlineStr"/>
      <c r="O24" s="10" t="inlineStr"/>
      <c r="P24" s="11">
        <f>IF($O24&lt;&gt;"",$O24,$AN24)</f>
        <v/>
      </c>
      <c r="Q24" s="10" t="inlineStr"/>
      <c r="R24" s="10" t="inlineStr"/>
      <c r="S24" s="10" t="inlineStr"/>
      <c r="T24" s="10" t="inlineStr"/>
      <c r="U24" s="10" t="inlineStr"/>
      <c r="V24" s="10" t="inlineStr"/>
      <c r="W24" s="10" t="inlineStr"/>
      <c r="X24" s="10" t="inlineStr"/>
      <c r="Y24" s="10" t="inlineStr"/>
      <c r="Z24" s="10" t="inlineStr"/>
      <c r="AA24" s="10" t="inlineStr"/>
      <c r="AB24" s="10" t="inlineStr"/>
      <c r="AC24" s="10" t="inlineStr"/>
      <c r="AD24" s="10" t="inlineStr"/>
      <c r="AE24" s="10" t="inlineStr"/>
      <c r="AF24" s="10" t="inlineStr"/>
      <c r="AG24" s="10" t="inlineStr"/>
      <c r="AH24" s="10" t="inlineStr"/>
      <c r="AI24" s="11">
        <f>IFERROR(INDEX(Country_Context!$B$2:$B$63,MATCH($C24,Country_Context!$A$2:$A$63,0)),"")</f>
        <v/>
      </c>
      <c r="AJ24" s="11">
        <f>IFERROR(INDEX(Country_Context!$C$2:$C$63,MATCH($C24,Country_Context!$A$2:$A$63,0)),"")</f>
        <v/>
      </c>
      <c r="AK24" s="11">
        <f>IFERROR(INDEX(Country_Context!$D$2:$D$63,MATCH($C24,Country_Context!$A$2:$A$63,0)),"")</f>
        <v/>
      </c>
      <c r="AL24" s="11">
        <f>IFERROR(INDEX(Country_Context!$E$2:$E$63,MATCH($C24,Country_Context!$A$2:$A$63,0)),"")</f>
        <v/>
      </c>
      <c r="AM24" s="11">
        <f>IFERROR(INDEX(Country_Context!$F$2:$F$63,MATCH($C24,Country_Context!$A$2:$A$63,0)),"")</f>
        <v/>
      </c>
      <c r="AN24" s="11">
        <f>IFERROR(INDEX(Country_Context!$G$2:$G$63,MATCH($C24,Country_Context!$A$2:$A$63,0)),"")</f>
        <v/>
      </c>
      <c r="AO24" s="12" t="inlineStr"/>
      <c r="AP24" s="12" t="inlineStr"/>
      <c r="AQ24" s="12" t="inlineStr"/>
      <c r="AR24" s="12" t="inlineStr"/>
      <c r="AS24" s="12" t="inlineStr"/>
      <c r="AT24" s="12" t="inlineStr"/>
      <c r="AU24" s="12" t="inlineStr"/>
      <c r="AV24" s="12" t="inlineStr"/>
      <c r="AW24" s="12" t="inlineStr"/>
      <c r="AX24" s="12" t="inlineStr"/>
      <c r="AY24" s="12" t="inlineStr"/>
      <c r="AZ24" s="12" t="inlineStr"/>
      <c r="BA24" s="12" t="inlineStr"/>
      <c r="BB24" s="12" t="inlineStr"/>
      <c r="BC24" s="12" t="inlineStr"/>
      <c r="BD24" s="12" t="inlineStr"/>
      <c r="BE24" s="12" t="inlineStr"/>
      <c r="BF24" s="12" t="inlineStr"/>
      <c r="BG24" s="12" t="inlineStr"/>
      <c r="BH24" s="12" t="inlineStr"/>
    </row>
    <row r="25">
      <c r="A25" s="9" t="inlineStr">
        <is>
          <t>bd-dhaka</t>
        </is>
      </c>
      <c r="B25" s="9" t="inlineStr">
        <is>
          <t>Dhaka</t>
        </is>
      </c>
      <c r="C25" s="9" t="inlineStr">
        <is>
          <t>Bangladesh</t>
        </is>
      </c>
      <c r="D25" s="9" t="inlineStr">
        <is>
          <t>South Asia</t>
        </is>
      </c>
      <c r="E25" s="9" t="inlineStr">
        <is>
          <t>primary</t>
        </is>
      </c>
      <c r="F25" s="9" t="inlineStr">
        <is>
          <t>provisional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IF(OR($G25="",$H25="",$I25="",$J25="",$K25="",$L25="",$AL25="",$AM25=""),"",((($G25*(1-$AM25))-$H25-$I25-$J25-$K25-$L25)/$AL25))</f>
        <v/>
      </c>
      <c r="N25" s="10" t="inlineStr"/>
      <c r="O25" s="10" t="inlineStr"/>
      <c r="P25" s="11">
        <f>IF($O25&lt;&gt;"",$O25,$AN25)</f>
        <v/>
      </c>
      <c r="Q25" s="10" t="inlineStr"/>
      <c r="R25" s="10" t="inlineStr"/>
      <c r="S25" s="10" t="inlineStr"/>
      <c r="T25" s="10" t="inlineStr"/>
      <c r="U25" s="10" t="inlineStr"/>
      <c r="V25" s="10" t="inlineStr"/>
      <c r="W25" s="10" t="inlineStr"/>
      <c r="X25" s="10" t="inlineStr"/>
      <c r="Y25" s="10" t="inlineStr"/>
      <c r="Z25" s="10" t="inlineStr"/>
      <c r="AA25" s="10" t="inlineStr"/>
      <c r="AB25" s="10" t="inlineStr"/>
      <c r="AC25" s="10" t="inlineStr"/>
      <c r="AD25" s="10" t="inlineStr"/>
      <c r="AE25" s="10" t="inlineStr"/>
      <c r="AF25" s="10" t="inlineStr"/>
      <c r="AG25" s="10" t="inlineStr"/>
      <c r="AH25" s="10" t="inlineStr"/>
      <c r="AI25" s="11">
        <f>IFERROR(INDEX(Country_Context!$B$2:$B$63,MATCH($C25,Country_Context!$A$2:$A$63,0)),"")</f>
        <v/>
      </c>
      <c r="AJ25" s="11">
        <f>IFERROR(INDEX(Country_Context!$C$2:$C$63,MATCH($C25,Country_Context!$A$2:$A$63,0)),"")</f>
        <v/>
      </c>
      <c r="AK25" s="11">
        <f>IFERROR(INDEX(Country_Context!$D$2:$D$63,MATCH($C25,Country_Context!$A$2:$A$63,0)),"")</f>
        <v/>
      </c>
      <c r="AL25" s="11">
        <f>IFERROR(INDEX(Country_Context!$E$2:$E$63,MATCH($C25,Country_Context!$A$2:$A$63,0)),"")</f>
        <v/>
      </c>
      <c r="AM25" s="11">
        <f>IFERROR(INDEX(Country_Context!$F$2:$F$63,MATCH($C25,Country_Context!$A$2:$A$63,0)),"")</f>
        <v/>
      </c>
      <c r="AN25" s="11">
        <f>IFERROR(INDEX(Country_Context!$G$2:$G$63,MATCH($C25,Country_Context!$A$2:$A$63,0)),"")</f>
        <v/>
      </c>
      <c r="AO25" s="12" t="inlineStr"/>
      <c r="AP25" s="12" t="inlineStr"/>
      <c r="AQ25" s="12" t="inlineStr"/>
      <c r="AR25" s="12" t="inlineStr"/>
      <c r="AS25" s="12" t="inlineStr"/>
      <c r="AT25" s="12" t="inlineStr"/>
      <c r="AU25" s="12" t="inlineStr"/>
      <c r="AV25" s="12" t="inlineStr"/>
      <c r="AW25" s="12" t="inlineStr"/>
      <c r="AX25" s="12" t="inlineStr"/>
      <c r="AY25" s="12" t="inlineStr"/>
      <c r="AZ25" s="12" t="inlineStr"/>
      <c r="BA25" s="12" t="inlineStr"/>
      <c r="BB25" s="12" t="inlineStr"/>
      <c r="BC25" s="12" t="inlineStr"/>
      <c r="BD25" s="12" t="inlineStr"/>
      <c r="BE25" s="12" t="inlineStr"/>
      <c r="BF25" s="12" t="inlineStr"/>
      <c r="BG25" s="12" t="inlineStr"/>
      <c r="BH25" s="12" t="inlineStr"/>
    </row>
    <row r="26">
      <c r="A26" s="9" t="inlineStr">
        <is>
          <t>pk-karachi</t>
        </is>
      </c>
      <c r="B26" s="9" t="inlineStr">
        <is>
          <t>Karachi</t>
        </is>
      </c>
      <c r="C26" s="9" t="inlineStr">
        <is>
          <t>Pakistan</t>
        </is>
      </c>
      <c r="D26" s="9" t="inlineStr">
        <is>
          <t>South Asia</t>
        </is>
      </c>
      <c r="E26" s="9" t="inlineStr">
        <is>
          <t>primary</t>
        </is>
      </c>
      <c r="F26" s="9" t="inlineStr">
        <is>
          <t>provisional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IF(OR($G26="",$H26="",$I26="",$J26="",$K26="",$L26="",$AL26="",$AM26=""),"",((($G26*(1-$AM26))-$H26-$I26-$J26-$K26-$L26)/$AL26))</f>
        <v/>
      </c>
      <c r="N26" s="10" t="inlineStr"/>
      <c r="O26" s="10" t="inlineStr"/>
      <c r="P26" s="11">
        <f>IF($O26&lt;&gt;"",$O26,$AN26)</f>
        <v/>
      </c>
      <c r="Q26" s="10" t="inlineStr"/>
      <c r="R26" s="10" t="inlineStr"/>
      <c r="S26" s="10" t="inlineStr"/>
      <c r="T26" s="10" t="inlineStr"/>
      <c r="U26" s="10" t="inlineStr"/>
      <c r="V26" s="10" t="inlineStr"/>
      <c r="W26" s="10" t="inlineStr"/>
      <c r="X26" s="10" t="inlineStr"/>
      <c r="Y26" s="10" t="inlineStr"/>
      <c r="Z26" s="10" t="inlineStr"/>
      <c r="AA26" s="10" t="inlineStr"/>
      <c r="AB26" s="10" t="inlineStr"/>
      <c r="AC26" s="10" t="inlineStr"/>
      <c r="AD26" s="10" t="inlineStr"/>
      <c r="AE26" s="10" t="inlineStr"/>
      <c r="AF26" s="10" t="inlineStr"/>
      <c r="AG26" s="10" t="inlineStr"/>
      <c r="AH26" s="10" t="inlineStr"/>
      <c r="AI26" s="11">
        <f>IFERROR(INDEX(Country_Context!$B$2:$B$63,MATCH($C26,Country_Context!$A$2:$A$63,0)),"")</f>
        <v/>
      </c>
      <c r="AJ26" s="11">
        <f>IFERROR(INDEX(Country_Context!$C$2:$C$63,MATCH($C26,Country_Context!$A$2:$A$63,0)),"")</f>
        <v/>
      </c>
      <c r="AK26" s="11">
        <f>IFERROR(INDEX(Country_Context!$D$2:$D$63,MATCH($C26,Country_Context!$A$2:$A$63,0)),"")</f>
        <v/>
      </c>
      <c r="AL26" s="11">
        <f>IFERROR(INDEX(Country_Context!$E$2:$E$63,MATCH($C26,Country_Context!$A$2:$A$63,0)),"")</f>
        <v/>
      </c>
      <c r="AM26" s="11">
        <f>IFERROR(INDEX(Country_Context!$F$2:$F$63,MATCH($C26,Country_Context!$A$2:$A$63,0)),"")</f>
        <v/>
      </c>
      <c r="AN26" s="11">
        <f>IFERROR(INDEX(Country_Context!$G$2:$G$63,MATCH($C26,Country_Context!$A$2:$A$63,0)),"")</f>
        <v/>
      </c>
      <c r="AO26" s="12" t="inlineStr"/>
      <c r="AP26" s="12" t="inlineStr"/>
      <c r="AQ26" s="12" t="inlineStr"/>
      <c r="AR26" s="12" t="inlineStr"/>
      <c r="AS26" s="12" t="inlineStr"/>
      <c r="AT26" s="12" t="inlineStr"/>
      <c r="AU26" s="12" t="inlineStr"/>
      <c r="AV26" s="12" t="inlineStr"/>
      <c r="AW26" s="12" t="inlineStr"/>
      <c r="AX26" s="12" t="inlineStr"/>
      <c r="AY26" s="12" t="inlineStr"/>
      <c r="AZ26" s="12" t="inlineStr"/>
      <c r="BA26" s="12" t="inlineStr"/>
      <c r="BB26" s="12" t="inlineStr"/>
      <c r="BC26" s="12" t="inlineStr"/>
      <c r="BD26" s="12" t="inlineStr"/>
      <c r="BE26" s="12" t="inlineStr"/>
      <c r="BF26" s="12" t="inlineStr"/>
      <c r="BG26" s="12" t="inlineStr"/>
      <c r="BH26" s="12" t="inlineStr"/>
    </row>
    <row r="27">
      <c r="A27" s="9" t="inlineStr">
        <is>
          <t>pk-lahore</t>
        </is>
      </c>
      <c r="B27" s="9" t="inlineStr">
        <is>
          <t>Lahore</t>
        </is>
      </c>
      <c r="C27" s="9" t="inlineStr">
        <is>
          <t>Pakistan</t>
        </is>
      </c>
      <c r="D27" s="9" t="inlineStr">
        <is>
          <t>South Asia</t>
        </is>
      </c>
      <c r="E27" s="9" t="inlineStr">
        <is>
          <t>secondary</t>
        </is>
      </c>
      <c r="F27" s="9" t="inlineStr">
        <is>
          <t>locked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IF(OR($G27="",$H27="",$I27="",$J27="",$K27="",$L27="",$AL27="",$AM27=""),"",((($G27*(1-$AM27))-$H27-$I27-$J27-$K27-$L27)/$AL27))</f>
        <v/>
      </c>
      <c r="N27" s="10" t="inlineStr"/>
      <c r="O27" s="10" t="inlineStr"/>
      <c r="P27" s="11">
        <f>IF($O27&lt;&gt;"",$O27,$AN27)</f>
        <v/>
      </c>
      <c r="Q27" s="10" t="inlineStr"/>
      <c r="R27" s="10" t="inlineStr"/>
      <c r="S27" s="10" t="inlineStr"/>
      <c r="T27" s="10" t="inlineStr"/>
      <c r="U27" s="10" t="inlineStr"/>
      <c r="V27" s="10" t="inlineStr"/>
      <c r="W27" s="10" t="inlineStr"/>
      <c r="X27" s="10" t="inlineStr"/>
      <c r="Y27" s="10" t="inlineStr"/>
      <c r="Z27" s="10" t="inlineStr"/>
      <c r="AA27" s="10" t="inlineStr"/>
      <c r="AB27" s="10" t="inlineStr"/>
      <c r="AC27" s="10" t="inlineStr"/>
      <c r="AD27" s="10" t="inlineStr"/>
      <c r="AE27" s="10" t="inlineStr"/>
      <c r="AF27" s="10" t="inlineStr"/>
      <c r="AG27" s="10" t="inlineStr"/>
      <c r="AH27" s="10" t="inlineStr"/>
      <c r="AI27" s="11">
        <f>IFERROR(INDEX(Country_Context!$B$2:$B$63,MATCH($C27,Country_Context!$A$2:$A$63,0)),"")</f>
        <v/>
      </c>
      <c r="AJ27" s="11">
        <f>IFERROR(INDEX(Country_Context!$C$2:$C$63,MATCH($C27,Country_Context!$A$2:$A$63,0)),"")</f>
        <v/>
      </c>
      <c r="AK27" s="11">
        <f>IFERROR(INDEX(Country_Context!$D$2:$D$63,MATCH($C27,Country_Context!$A$2:$A$63,0)),"")</f>
        <v/>
      </c>
      <c r="AL27" s="11">
        <f>IFERROR(INDEX(Country_Context!$E$2:$E$63,MATCH($C27,Country_Context!$A$2:$A$63,0)),"")</f>
        <v/>
      </c>
      <c r="AM27" s="11">
        <f>IFERROR(INDEX(Country_Context!$F$2:$F$63,MATCH($C27,Country_Context!$A$2:$A$63,0)),"")</f>
        <v/>
      </c>
      <c r="AN27" s="11">
        <f>IFERROR(INDEX(Country_Context!$G$2:$G$63,MATCH($C27,Country_Context!$A$2:$A$63,0)),"")</f>
        <v/>
      </c>
      <c r="AO27" s="12" t="inlineStr"/>
      <c r="AP27" s="12" t="inlineStr"/>
      <c r="AQ27" s="12" t="inlineStr"/>
      <c r="AR27" s="12" t="inlineStr"/>
      <c r="AS27" s="12" t="inlineStr"/>
      <c r="AT27" s="12" t="inlineStr"/>
      <c r="AU27" s="12" t="inlineStr"/>
      <c r="AV27" s="12" t="inlineStr"/>
      <c r="AW27" s="12" t="inlineStr"/>
      <c r="AX27" s="12" t="inlineStr"/>
      <c r="AY27" s="12" t="inlineStr"/>
      <c r="AZ27" s="12" t="inlineStr"/>
      <c r="BA27" s="12" t="inlineStr"/>
      <c r="BB27" s="12" t="inlineStr"/>
      <c r="BC27" s="12" t="inlineStr"/>
      <c r="BD27" s="12" t="inlineStr"/>
      <c r="BE27" s="12" t="inlineStr"/>
      <c r="BF27" s="12" t="inlineStr"/>
      <c r="BG27" s="12" t="inlineStr"/>
      <c r="BH27" s="12" t="inlineStr"/>
    </row>
    <row r="28">
      <c r="A28" s="9" t="inlineStr">
        <is>
          <t>bd-chattogram</t>
        </is>
      </c>
      <c r="B28" s="9" t="inlineStr">
        <is>
          <t>Chattogram</t>
        </is>
      </c>
      <c r="C28" s="9" t="inlineStr">
        <is>
          <t>Bangladesh</t>
        </is>
      </c>
      <c r="D28" s="9" t="inlineStr">
        <is>
          <t>South Asia</t>
        </is>
      </c>
      <c r="E28" s="9" t="inlineStr">
        <is>
          <t>secondary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IF(OR($G28="",$H28="",$I28="",$J28="",$K28="",$L28="",$AL28="",$AM28=""),"",((($G28*(1-$AM28))-$H28-$I28-$J28-$K28-$L28)/$AL28))</f>
        <v/>
      </c>
      <c r="N28" s="10" t="inlineStr"/>
      <c r="O28" s="10" t="inlineStr"/>
      <c r="P28" s="11">
        <f>IF($O28&lt;&gt;"",$O28,$AN28)</f>
        <v/>
      </c>
      <c r="Q28" s="10" t="inlineStr"/>
      <c r="R28" s="10" t="inlineStr"/>
      <c r="S28" s="10" t="inlineStr"/>
      <c r="T28" s="10" t="inlineStr"/>
      <c r="U28" s="10" t="inlineStr"/>
      <c r="V28" s="10" t="inlineStr"/>
      <c r="W28" s="10" t="inlineStr"/>
      <c r="X28" s="10" t="inlineStr"/>
      <c r="Y28" s="10" t="inlineStr"/>
      <c r="Z28" s="10" t="inlineStr"/>
      <c r="AA28" s="10" t="inlineStr"/>
      <c r="AB28" s="10" t="inlineStr"/>
      <c r="AC28" s="10" t="inlineStr"/>
      <c r="AD28" s="10" t="inlineStr"/>
      <c r="AE28" s="10" t="inlineStr"/>
      <c r="AF28" s="10" t="inlineStr"/>
      <c r="AG28" s="10" t="inlineStr"/>
      <c r="AH28" s="10" t="inlineStr"/>
      <c r="AI28" s="11">
        <f>IFERROR(INDEX(Country_Context!$B$2:$B$63,MATCH($C28,Country_Context!$A$2:$A$63,0)),"")</f>
        <v/>
      </c>
      <c r="AJ28" s="11">
        <f>IFERROR(INDEX(Country_Context!$C$2:$C$63,MATCH($C28,Country_Context!$A$2:$A$63,0)),"")</f>
        <v/>
      </c>
      <c r="AK28" s="11">
        <f>IFERROR(INDEX(Country_Context!$D$2:$D$63,MATCH($C28,Country_Context!$A$2:$A$63,0)),"")</f>
        <v/>
      </c>
      <c r="AL28" s="11">
        <f>IFERROR(INDEX(Country_Context!$E$2:$E$63,MATCH($C28,Country_Context!$A$2:$A$63,0)),"")</f>
        <v/>
      </c>
      <c r="AM28" s="11">
        <f>IFERROR(INDEX(Country_Context!$F$2:$F$63,MATCH($C28,Country_Context!$A$2:$A$63,0)),"")</f>
        <v/>
      </c>
      <c r="AN28" s="11">
        <f>IFERROR(INDEX(Country_Context!$G$2:$G$63,MATCH($C28,Country_Context!$A$2:$A$63,0)),"")</f>
        <v/>
      </c>
      <c r="AO28" s="12" t="inlineStr"/>
      <c r="AP28" s="12" t="inlineStr"/>
      <c r="AQ28" s="12" t="inlineStr"/>
      <c r="AR28" s="12" t="inlineStr"/>
      <c r="AS28" s="12" t="inlineStr"/>
      <c r="AT28" s="12" t="inlineStr"/>
      <c r="AU28" s="12" t="inlineStr"/>
      <c r="AV28" s="12" t="inlineStr"/>
      <c r="AW28" s="12" t="inlineStr"/>
      <c r="AX28" s="12" t="inlineStr"/>
      <c r="AY28" s="12" t="inlineStr"/>
      <c r="AZ28" s="12" t="inlineStr"/>
      <c r="BA28" s="12" t="inlineStr"/>
      <c r="BB28" s="12" t="inlineStr"/>
      <c r="BC28" s="12" t="inlineStr"/>
      <c r="BD28" s="12" t="inlineStr"/>
      <c r="BE28" s="12" t="inlineStr"/>
      <c r="BF28" s="12" t="inlineStr"/>
      <c r="BG28" s="12" t="inlineStr"/>
      <c r="BH28" s="12" t="inlineStr"/>
    </row>
    <row r="29">
      <c r="A29" s="9" t="inlineStr">
        <is>
          <t>np-kathmandu</t>
        </is>
      </c>
      <c r="B29" s="9" t="inlineStr">
        <is>
          <t>Kathmandu</t>
        </is>
      </c>
      <c r="C29" s="9" t="inlineStr">
        <is>
          <t>Nepal</t>
        </is>
      </c>
      <c r="D29" s="9" t="inlineStr">
        <is>
          <t>South Asia</t>
        </is>
      </c>
      <c r="E29" s="9" t="inlineStr">
        <is>
          <t>secondary</t>
        </is>
      </c>
      <c r="F29" s="9" t="inlineStr">
        <is>
          <t>provisional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IF(OR($G29="",$H29="",$I29="",$J29="",$K29="",$L29="",$AL29="",$AM29=""),"",((($G29*(1-$AM29))-$H29-$I29-$J29-$K29-$L29)/$AL29))</f>
        <v/>
      </c>
      <c r="N29" s="10" t="inlineStr"/>
      <c r="O29" s="10" t="inlineStr"/>
      <c r="P29" s="11">
        <f>IF($O29&lt;&gt;"",$O29,$AN29)</f>
        <v/>
      </c>
      <c r="Q29" s="10" t="inlineStr"/>
      <c r="R29" s="10" t="inlineStr"/>
      <c r="S29" s="10" t="inlineStr"/>
      <c r="T29" s="10" t="inlineStr"/>
      <c r="U29" s="10" t="inlineStr"/>
      <c r="V29" s="10" t="inlineStr"/>
      <c r="W29" s="10" t="inlineStr"/>
      <c r="X29" s="10" t="inlineStr"/>
      <c r="Y29" s="10" t="inlineStr"/>
      <c r="Z29" s="10" t="inlineStr"/>
      <c r="AA29" s="10" t="inlineStr"/>
      <c r="AB29" s="10" t="inlineStr"/>
      <c r="AC29" s="10" t="inlineStr"/>
      <c r="AD29" s="10" t="inlineStr"/>
      <c r="AE29" s="10" t="inlineStr"/>
      <c r="AF29" s="10" t="inlineStr"/>
      <c r="AG29" s="10" t="inlineStr"/>
      <c r="AH29" s="10" t="inlineStr"/>
      <c r="AI29" s="11">
        <f>IFERROR(INDEX(Country_Context!$B$2:$B$63,MATCH($C29,Country_Context!$A$2:$A$63,0)),"")</f>
        <v/>
      </c>
      <c r="AJ29" s="11">
        <f>IFERROR(INDEX(Country_Context!$C$2:$C$63,MATCH($C29,Country_Context!$A$2:$A$63,0)),"")</f>
        <v/>
      </c>
      <c r="AK29" s="11">
        <f>IFERROR(INDEX(Country_Context!$D$2:$D$63,MATCH($C29,Country_Context!$A$2:$A$63,0)),"")</f>
        <v/>
      </c>
      <c r="AL29" s="11">
        <f>IFERROR(INDEX(Country_Context!$E$2:$E$63,MATCH($C29,Country_Context!$A$2:$A$63,0)),"")</f>
        <v/>
      </c>
      <c r="AM29" s="11">
        <f>IFERROR(INDEX(Country_Context!$F$2:$F$63,MATCH($C29,Country_Context!$A$2:$A$63,0)),"")</f>
        <v/>
      </c>
      <c r="AN29" s="11">
        <f>IFERROR(INDEX(Country_Context!$G$2:$G$63,MATCH($C29,Country_Context!$A$2:$A$63,0)),"")</f>
        <v/>
      </c>
      <c r="AO29" s="12" t="inlineStr"/>
      <c r="AP29" s="12" t="inlineStr"/>
      <c r="AQ29" s="12" t="inlineStr"/>
      <c r="AR29" s="12" t="inlineStr"/>
      <c r="AS29" s="12" t="inlineStr"/>
      <c r="AT29" s="12" t="inlineStr"/>
      <c r="AU29" s="12" t="inlineStr"/>
      <c r="AV29" s="12" t="inlineStr"/>
      <c r="AW29" s="12" t="inlineStr"/>
      <c r="AX29" s="12" t="inlineStr"/>
      <c r="AY29" s="12" t="inlineStr"/>
      <c r="AZ29" s="12" t="inlineStr"/>
      <c r="BA29" s="12" t="inlineStr"/>
      <c r="BB29" s="12" t="inlineStr"/>
      <c r="BC29" s="12" t="inlineStr"/>
      <c r="BD29" s="12" t="inlineStr"/>
      <c r="BE29" s="12" t="inlineStr"/>
      <c r="BF29" s="12" t="inlineStr"/>
      <c r="BG29" s="12" t="inlineStr"/>
      <c r="BH29" s="12" t="inlineStr"/>
    </row>
    <row r="30">
      <c r="A30" s="9" t="inlineStr">
        <is>
          <t>bt-thimphu</t>
        </is>
      </c>
      <c r="B30" s="9" t="inlineStr">
        <is>
          <t>Thimphu</t>
        </is>
      </c>
      <c r="C30" s="9" t="inlineStr">
        <is>
          <t>Bhutan</t>
        </is>
      </c>
      <c r="D30" s="9" t="inlineStr">
        <is>
          <t>South Asia</t>
        </is>
      </c>
      <c r="E30" s="9" t="inlineStr">
        <is>
          <t>secondary</t>
        </is>
      </c>
      <c r="F30" s="9" t="inlineStr">
        <is>
          <t>locked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IF(OR($G30="",$H30="",$I30="",$J30="",$K30="",$L30="",$AL30="",$AM30=""),"",((($G30*(1-$AM30))-$H30-$I30-$J30-$K30-$L30)/$AL30))</f>
        <v/>
      </c>
      <c r="N30" s="10" t="inlineStr"/>
      <c r="O30" s="10" t="inlineStr"/>
      <c r="P30" s="11">
        <f>IF($O30&lt;&gt;"",$O30,$AN30)</f>
        <v/>
      </c>
      <c r="Q30" s="10" t="inlineStr"/>
      <c r="R30" s="10" t="inlineStr"/>
      <c r="S30" s="10" t="inlineStr"/>
      <c r="T30" s="10" t="inlineStr"/>
      <c r="U30" s="10" t="inlineStr"/>
      <c r="V30" s="10" t="inlineStr"/>
      <c r="W30" s="10" t="inlineStr"/>
      <c r="X30" s="10" t="inlineStr"/>
      <c r="Y30" s="10" t="inlineStr"/>
      <c r="Z30" s="10" t="inlineStr"/>
      <c r="AA30" s="10" t="inlineStr"/>
      <c r="AB30" s="10" t="inlineStr"/>
      <c r="AC30" s="10" t="inlineStr"/>
      <c r="AD30" s="10" t="inlineStr"/>
      <c r="AE30" s="10" t="inlineStr"/>
      <c r="AF30" s="10" t="inlineStr"/>
      <c r="AG30" s="10" t="inlineStr"/>
      <c r="AH30" s="10" t="inlineStr"/>
      <c r="AI30" s="11">
        <f>IFERROR(INDEX(Country_Context!$B$2:$B$63,MATCH($C30,Country_Context!$A$2:$A$63,0)),"")</f>
        <v/>
      </c>
      <c r="AJ30" s="11">
        <f>IFERROR(INDEX(Country_Context!$C$2:$C$63,MATCH($C30,Country_Context!$A$2:$A$63,0)),"")</f>
        <v/>
      </c>
      <c r="AK30" s="11">
        <f>IFERROR(INDEX(Country_Context!$D$2:$D$63,MATCH($C30,Country_Context!$A$2:$A$63,0)),"")</f>
        <v/>
      </c>
      <c r="AL30" s="11">
        <f>IFERROR(INDEX(Country_Context!$E$2:$E$63,MATCH($C30,Country_Context!$A$2:$A$63,0)),"")</f>
        <v/>
      </c>
      <c r="AM30" s="11">
        <f>IFERROR(INDEX(Country_Context!$F$2:$F$63,MATCH($C30,Country_Context!$A$2:$A$63,0)),"")</f>
        <v/>
      </c>
      <c r="AN30" s="11">
        <f>IFERROR(INDEX(Country_Context!$G$2:$G$63,MATCH($C30,Country_Context!$A$2:$A$63,0)),"")</f>
        <v/>
      </c>
      <c r="AO30" s="12" t="inlineStr"/>
      <c r="AP30" s="12" t="inlineStr"/>
      <c r="AQ30" s="12" t="inlineStr"/>
      <c r="AR30" s="12" t="inlineStr"/>
      <c r="AS30" s="12" t="inlineStr"/>
      <c r="AT30" s="12" t="inlineStr"/>
      <c r="AU30" s="12" t="inlineStr"/>
      <c r="AV30" s="12" t="inlineStr"/>
      <c r="AW30" s="12" t="inlineStr"/>
      <c r="AX30" s="12" t="inlineStr"/>
      <c r="AY30" s="12" t="inlineStr"/>
      <c r="AZ30" s="12" t="inlineStr"/>
      <c r="BA30" s="12" t="inlineStr"/>
      <c r="BB30" s="12" t="inlineStr"/>
      <c r="BC30" s="12" t="inlineStr"/>
      <c r="BD30" s="12" t="inlineStr"/>
      <c r="BE30" s="12" t="inlineStr"/>
      <c r="BF30" s="12" t="inlineStr"/>
      <c r="BG30" s="12" t="inlineStr"/>
      <c r="BH30" s="12" t="inlineStr"/>
    </row>
    <row r="31">
      <c r="A31" s="9" t="inlineStr">
        <is>
          <t>mv-male</t>
        </is>
      </c>
      <c r="B31" s="9" t="inlineStr">
        <is>
          <t>Male</t>
        </is>
      </c>
      <c r="C31" s="9" t="inlineStr">
        <is>
          <t>Maldives</t>
        </is>
      </c>
      <c r="D31" s="9" t="inlineStr">
        <is>
          <t>South Asia</t>
        </is>
      </c>
      <c r="E31" s="9" t="inlineStr">
        <is>
          <t>secondary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IF(OR($G31="",$H31="",$I31="",$J31="",$K31="",$L31="",$AL31="",$AM31=""),"",((($G31*(1-$AM31))-$H31-$I31-$J31-$K31-$L31)/$AL31))</f>
        <v/>
      </c>
      <c r="N31" s="10" t="inlineStr"/>
      <c r="O31" s="10" t="inlineStr"/>
      <c r="P31" s="11">
        <f>IF($O31&lt;&gt;"",$O31,$AN31)</f>
        <v/>
      </c>
      <c r="Q31" s="10" t="inlineStr"/>
      <c r="R31" s="10" t="inlineStr"/>
      <c r="S31" s="10" t="inlineStr"/>
      <c r="T31" s="10" t="inlineStr"/>
      <c r="U31" s="10" t="inlineStr"/>
      <c r="V31" s="10" t="inlineStr"/>
      <c r="W31" s="10" t="inlineStr"/>
      <c r="X31" s="10" t="inlineStr"/>
      <c r="Y31" s="10" t="inlineStr"/>
      <c r="Z31" s="10" t="inlineStr"/>
      <c r="AA31" s="10" t="inlineStr"/>
      <c r="AB31" s="10" t="inlineStr"/>
      <c r="AC31" s="10" t="inlineStr"/>
      <c r="AD31" s="10" t="inlineStr"/>
      <c r="AE31" s="10" t="inlineStr"/>
      <c r="AF31" s="10" t="inlineStr"/>
      <c r="AG31" s="10" t="inlineStr"/>
      <c r="AH31" s="10" t="inlineStr"/>
      <c r="AI31" s="11">
        <f>IFERROR(INDEX(Country_Context!$B$2:$B$63,MATCH($C31,Country_Context!$A$2:$A$63,0)),"")</f>
        <v/>
      </c>
      <c r="AJ31" s="11">
        <f>IFERROR(INDEX(Country_Context!$C$2:$C$63,MATCH($C31,Country_Context!$A$2:$A$63,0)),"")</f>
        <v/>
      </c>
      <c r="AK31" s="11">
        <f>IFERROR(INDEX(Country_Context!$D$2:$D$63,MATCH($C31,Country_Context!$A$2:$A$63,0)),"")</f>
        <v/>
      </c>
      <c r="AL31" s="11">
        <f>IFERROR(INDEX(Country_Context!$E$2:$E$63,MATCH($C31,Country_Context!$A$2:$A$63,0)),"")</f>
        <v/>
      </c>
      <c r="AM31" s="11">
        <f>IFERROR(INDEX(Country_Context!$F$2:$F$63,MATCH($C31,Country_Context!$A$2:$A$63,0)),"")</f>
        <v/>
      </c>
      <c r="AN31" s="11">
        <f>IFERROR(INDEX(Country_Context!$G$2:$G$63,MATCH($C31,Country_Context!$A$2:$A$63,0)),"")</f>
        <v/>
      </c>
      <c r="AO31" s="12" t="inlineStr"/>
      <c r="AP31" s="12" t="inlineStr"/>
      <c r="AQ31" s="12" t="inlineStr"/>
      <c r="AR31" s="12" t="inlineStr"/>
      <c r="AS31" s="12" t="inlineStr"/>
      <c r="AT31" s="12" t="inlineStr"/>
      <c r="AU31" s="12" t="inlineStr"/>
      <c r="AV31" s="12" t="inlineStr"/>
      <c r="AW31" s="12" t="inlineStr"/>
      <c r="AX31" s="12" t="inlineStr"/>
      <c r="AY31" s="12" t="inlineStr"/>
      <c r="AZ31" s="12" t="inlineStr"/>
      <c r="BA31" s="12" t="inlineStr"/>
      <c r="BB31" s="12" t="inlineStr"/>
      <c r="BC31" s="12" t="inlineStr"/>
      <c r="BD31" s="12" t="inlineStr"/>
      <c r="BE31" s="12" t="inlineStr"/>
      <c r="BF31" s="12" t="inlineStr"/>
      <c r="BG31" s="12" t="inlineStr"/>
      <c r="BH31" s="12" t="inlineStr"/>
    </row>
    <row r="32">
      <c r="A32" s="9" t="inlineStr">
        <is>
          <t>fr-paris</t>
        </is>
      </c>
      <c r="B32" s="9" t="inlineStr">
        <is>
          <t>Paris</t>
        </is>
      </c>
      <c r="C32" s="9" t="inlineStr">
        <is>
          <t>France</t>
        </is>
      </c>
      <c r="D32" s="9" t="inlineStr">
        <is>
          <t>Western and Northern Europe</t>
        </is>
      </c>
      <c r="E32" s="9" t="inlineStr">
        <is>
          <t>primary</t>
        </is>
      </c>
      <c r="F32" s="9" t="inlineStr">
        <is>
          <t>locked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IF(OR($G32="",$H32="",$I32="",$J32="",$K32="",$L32="",$AL32="",$AM32=""),"",((($G32*(1-$AM32))-$H32-$I32-$J32-$K32-$L32)/$AL32))</f>
        <v/>
      </c>
      <c r="N32" s="10" t="inlineStr"/>
      <c r="O32" s="10" t="inlineStr"/>
      <c r="P32" s="11">
        <f>IF($O32&lt;&gt;"",$O32,$AN32)</f>
        <v/>
      </c>
      <c r="Q32" s="10" t="inlineStr"/>
      <c r="R32" s="10" t="inlineStr"/>
      <c r="S32" s="10" t="inlineStr"/>
      <c r="T32" s="10" t="inlineStr"/>
      <c r="U32" s="10" t="inlineStr"/>
      <c r="V32" s="10" t="inlineStr"/>
      <c r="W32" s="10" t="inlineStr"/>
      <c r="X32" s="10" t="inlineStr"/>
      <c r="Y32" s="10" t="inlineStr"/>
      <c r="Z32" s="10" t="inlineStr"/>
      <c r="AA32" s="10" t="inlineStr"/>
      <c r="AB32" s="10" t="inlineStr"/>
      <c r="AC32" s="10" t="inlineStr"/>
      <c r="AD32" s="10" t="inlineStr"/>
      <c r="AE32" s="10" t="inlineStr"/>
      <c r="AF32" s="10" t="inlineStr"/>
      <c r="AG32" s="10" t="inlineStr"/>
      <c r="AH32" s="10" t="inlineStr"/>
      <c r="AI32" s="11">
        <f>IFERROR(INDEX(Country_Context!$B$2:$B$63,MATCH($C32,Country_Context!$A$2:$A$63,0)),"")</f>
        <v/>
      </c>
      <c r="AJ32" s="11">
        <f>IFERROR(INDEX(Country_Context!$C$2:$C$63,MATCH($C32,Country_Context!$A$2:$A$63,0)),"")</f>
        <v/>
      </c>
      <c r="AK32" s="11">
        <f>IFERROR(INDEX(Country_Context!$D$2:$D$63,MATCH($C32,Country_Context!$A$2:$A$63,0)),"")</f>
        <v/>
      </c>
      <c r="AL32" s="11">
        <f>IFERROR(INDEX(Country_Context!$E$2:$E$63,MATCH($C32,Country_Context!$A$2:$A$63,0)),"")</f>
        <v/>
      </c>
      <c r="AM32" s="11">
        <f>IFERROR(INDEX(Country_Context!$F$2:$F$63,MATCH($C32,Country_Context!$A$2:$A$63,0)),"")</f>
        <v/>
      </c>
      <c r="AN32" s="11">
        <f>IFERROR(INDEX(Country_Context!$G$2:$G$63,MATCH($C32,Country_Context!$A$2:$A$63,0)),"")</f>
        <v/>
      </c>
      <c r="AO32" s="12" t="inlineStr"/>
      <c r="AP32" s="12" t="inlineStr"/>
      <c r="AQ32" s="12" t="inlineStr"/>
      <c r="AR32" s="12" t="inlineStr"/>
      <c r="AS32" s="12" t="inlineStr"/>
      <c r="AT32" s="12" t="inlineStr"/>
      <c r="AU32" s="12" t="inlineStr"/>
      <c r="AV32" s="12" t="inlineStr"/>
      <c r="AW32" s="12" t="inlineStr"/>
      <c r="AX32" s="12" t="inlineStr"/>
      <c r="AY32" s="12" t="inlineStr"/>
      <c r="AZ32" s="12" t="inlineStr"/>
      <c r="BA32" s="12" t="inlineStr"/>
      <c r="BB32" s="12" t="inlineStr"/>
      <c r="BC32" s="12" t="inlineStr"/>
      <c r="BD32" s="12" t="inlineStr"/>
      <c r="BE32" s="12" t="inlineStr"/>
      <c r="BF32" s="12" t="inlineStr"/>
      <c r="BG32" s="12" t="inlineStr"/>
      <c r="BH32" s="12" t="inlineStr"/>
    </row>
    <row r="33">
      <c r="A33" s="9" t="inlineStr">
        <is>
          <t>at-vienna</t>
        </is>
      </c>
      <c r="B33" s="9" t="inlineStr">
        <is>
          <t>Vienna</t>
        </is>
      </c>
      <c r="C33" s="9" t="inlineStr">
        <is>
          <t>Austria</t>
        </is>
      </c>
      <c r="D33" s="9" t="inlineStr">
        <is>
          <t>Western and Northern Europe</t>
        </is>
      </c>
      <c r="E33" s="9" t="inlineStr">
        <is>
          <t>primary</t>
        </is>
      </c>
      <c r="F33" s="9" t="inlineStr">
        <is>
          <t>locked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IF(OR($G33="",$H33="",$I33="",$J33="",$K33="",$L33="",$AL33="",$AM33=""),"",((($G33*(1-$AM33))-$H33-$I33-$J33-$K33-$L33)/$AL33))</f>
        <v/>
      </c>
      <c r="N33" s="10" t="inlineStr"/>
      <c r="O33" s="10" t="inlineStr"/>
      <c r="P33" s="11">
        <f>IF($O33&lt;&gt;"",$O33,$AN33)</f>
        <v/>
      </c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10" t="inlineStr"/>
      <c r="Y33" s="10" t="inlineStr"/>
      <c r="Z33" s="10" t="inlineStr"/>
      <c r="AA33" s="10" t="inlineStr"/>
      <c r="AB33" s="10" t="inlineStr"/>
      <c r="AC33" s="10" t="inlineStr"/>
      <c r="AD33" s="10" t="inlineStr"/>
      <c r="AE33" s="10" t="inlineStr"/>
      <c r="AF33" s="10" t="inlineStr"/>
      <c r="AG33" s="10" t="inlineStr"/>
      <c r="AH33" s="10" t="inlineStr"/>
      <c r="AI33" s="11">
        <f>IFERROR(INDEX(Country_Context!$B$2:$B$63,MATCH($C33,Country_Context!$A$2:$A$63,0)),"")</f>
        <v/>
      </c>
      <c r="AJ33" s="11">
        <f>IFERROR(INDEX(Country_Context!$C$2:$C$63,MATCH($C33,Country_Context!$A$2:$A$63,0)),"")</f>
        <v/>
      </c>
      <c r="AK33" s="11">
        <f>IFERROR(INDEX(Country_Context!$D$2:$D$63,MATCH($C33,Country_Context!$A$2:$A$63,0)),"")</f>
        <v/>
      </c>
      <c r="AL33" s="11">
        <f>IFERROR(INDEX(Country_Context!$E$2:$E$63,MATCH($C33,Country_Context!$A$2:$A$63,0)),"")</f>
        <v/>
      </c>
      <c r="AM33" s="11">
        <f>IFERROR(INDEX(Country_Context!$F$2:$F$63,MATCH($C33,Country_Context!$A$2:$A$63,0)),"")</f>
        <v/>
      </c>
      <c r="AN33" s="11">
        <f>IFERROR(INDEX(Country_Context!$G$2:$G$63,MATCH($C33,Country_Context!$A$2:$A$63,0)),"")</f>
        <v/>
      </c>
      <c r="AO33" s="12" t="inlineStr"/>
      <c r="AP33" s="12" t="inlineStr"/>
      <c r="AQ33" s="12" t="inlineStr"/>
      <c r="AR33" s="12" t="inlineStr"/>
      <c r="AS33" s="12" t="inlineStr"/>
      <c r="AT33" s="12" t="inlineStr"/>
      <c r="AU33" s="12" t="inlineStr"/>
      <c r="AV33" s="12" t="inlineStr"/>
      <c r="AW33" s="12" t="inlineStr"/>
      <c r="AX33" s="12" t="inlineStr"/>
      <c r="AY33" s="12" t="inlineStr"/>
      <c r="AZ33" s="12" t="inlineStr"/>
      <c r="BA33" s="12" t="inlineStr"/>
      <c r="BB33" s="12" t="inlineStr"/>
      <c r="BC33" s="12" t="inlineStr"/>
      <c r="BD33" s="12" t="inlineStr"/>
      <c r="BE33" s="12" t="inlineStr"/>
      <c r="BF33" s="12" t="inlineStr"/>
      <c r="BG33" s="12" t="inlineStr"/>
      <c r="BH33" s="12" t="inlineStr"/>
    </row>
    <row r="34">
      <c r="A34" s="9" t="inlineStr">
        <is>
          <t>ch-zurich</t>
        </is>
      </c>
      <c r="B34" s="9" t="inlineStr">
        <is>
          <t>Zurich</t>
        </is>
      </c>
      <c r="C34" s="9" t="inlineStr">
        <is>
          <t>Switzerland</t>
        </is>
      </c>
      <c r="D34" s="9" t="inlineStr">
        <is>
          <t>Western and Northern Europe</t>
        </is>
      </c>
      <c r="E34" s="9" t="inlineStr">
        <is>
          <t>primary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IF(OR($G34="",$H34="",$I34="",$J34="",$K34="",$L34="",$AL34="",$AM34=""),"",((($G34*(1-$AM34))-$H34-$I34-$J34-$K34-$L34)/$AL34))</f>
        <v/>
      </c>
      <c r="N34" s="10" t="inlineStr"/>
      <c r="O34" s="10" t="inlineStr"/>
      <c r="P34" s="11">
        <f>IF($O34&lt;&gt;"",$O34,$AN34)</f>
        <v/>
      </c>
      <c r="Q34" s="10" t="inlineStr"/>
      <c r="R34" s="10" t="inlineStr"/>
      <c r="S34" s="10" t="inlineStr"/>
      <c r="T34" s="10" t="inlineStr"/>
      <c r="U34" s="10" t="inlineStr"/>
      <c r="V34" s="10" t="inlineStr"/>
      <c r="W34" s="10" t="inlineStr"/>
      <c r="X34" s="10" t="inlineStr"/>
      <c r="Y34" s="10" t="inlineStr"/>
      <c r="Z34" s="10" t="inlineStr"/>
      <c r="AA34" s="10" t="inlineStr"/>
      <c r="AB34" s="10" t="inlineStr"/>
      <c r="AC34" s="10" t="inlineStr"/>
      <c r="AD34" s="10" t="inlineStr"/>
      <c r="AE34" s="10" t="inlineStr"/>
      <c r="AF34" s="10" t="inlineStr"/>
      <c r="AG34" s="10" t="inlineStr"/>
      <c r="AH34" s="10" t="inlineStr"/>
      <c r="AI34" s="11">
        <f>IFERROR(INDEX(Country_Context!$B$2:$B$63,MATCH($C34,Country_Context!$A$2:$A$63,0)),"")</f>
        <v/>
      </c>
      <c r="AJ34" s="11">
        <f>IFERROR(INDEX(Country_Context!$C$2:$C$63,MATCH($C34,Country_Context!$A$2:$A$63,0)),"")</f>
        <v/>
      </c>
      <c r="AK34" s="11">
        <f>IFERROR(INDEX(Country_Context!$D$2:$D$63,MATCH($C34,Country_Context!$A$2:$A$63,0)),"")</f>
        <v/>
      </c>
      <c r="AL34" s="11">
        <f>IFERROR(INDEX(Country_Context!$E$2:$E$63,MATCH($C34,Country_Context!$A$2:$A$63,0)),"")</f>
        <v/>
      </c>
      <c r="AM34" s="11">
        <f>IFERROR(INDEX(Country_Context!$F$2:$F$63,MATCH($C34,Country_Context!$A$2:$A$63,0)),"")</f>
        <v/>
      </c>
      <c r="AN34" s="11">
        <f>IFERROR(INDEX(Country_Context!$G$2:$G$63,MATCH($C34,Country_Context!$A$2:$A$63,0)),"")</f>
        <v/>
      </c>
      <c r="AO34" s="12" t="inlineStr"/>
      <c r="AP34" s="12" t="inlineStr"/>
      <c r="AQ34" s="12" t="inlineStr"/>
      <c r="AR34" s="12" t="inlineStr"/>
      <c r="AS34" s="12" t="inlineStr"/>
      <c r="AT34" s="12" t="inlineStr"/>
      <c r="AU34" s="12" t="inlineStr"/>
      <c r="AV34" s="12" t="inlineStr"/>
      <c r="AW34" s="12" t="inlineStr"/>
      <c r="AX34" s="12" t="inlineStr"/>
      <c r="AY34" s="12" t="inlineStr"/>
      <c r="AZ34" s="12" t="inlineStr"/>
      <c r="BA34" s="12" t="inlineStr"/>
      <c r="BB34" s="12" t="inlineStr"/>
      <c r="BC34" s="12" t="inlineStr"/>
      <c r="BD34" s="12" t="inlineStr"/>
      <c r="BE34" s="12" t="inlineStr"/>
      <c r="BF34" s="12" t="inlineStr"/>
      <c r="BG34" s="12" t="inlineStr"/>
      <c r="BH34" s="12" t="inlineStr"/>
    </row>
    <row r="35">
      <c r="A35" s="9" t="inlineStr">
        <is>
          <t>nl-amsterdam</t>
        </is>
      </c>
      <c r="B35" s="9" t="inlineStr">
        <is>
          <t>Amsterdam</t>
        </is>
      </c>
      <c r="C35" s="9" t="inlineStr">
        <is>
          <t>Netherlands</t>
        </is>
      </c>
      <c r="D35" s="9" t="inlineStr">
        <is>
          <t>Western and Northern Europe</t>
        </is>
      </c>
      <c r="E35" s="9" t="inlineStr">
        <is>
          <t>primary</t>
        </is>
      </c>
      <c r="F35" s="9" t="inlineStr">
        <is>
          <t>provisional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IF(OR($G35="",$H35="",$I35="",$J35="",$K35="",$L35="",$AL35="",$AM35=""),"",((($G35*(1-$AM35))-$H35-$I35-$J35-$K35-$L35)/$AL35))</f>
        <v/>
      </c>
      <c r="N35" s="10" t="inlineStr"/>
      <c r="O35" s="10" t="inlineStr"/>
      <c r="P35" s="11">
        <f>IF($O35&lt;&gt;"",$O35,$AN35)</f>
        <v/>
      </c>
      <c r="Q35" s="10" t="inlineStr"/>
      <c r="R35" s="10" t="inlineStr"/>
      <c r="S35" s="10" t="inlineStr"/>
      <c r="T35" s="10" t="inlineStr"/>
      <c r="U35" s="10" t="inlineStr"/>
      <c r="V35" s="10" t="inlineStr"/>
      <c r="W35" s="10" t="inlineStr"/>
      <c r="X35" s="10" t="inlineStr"/>
      <c r="Y35" s="10" t="inlineStr"/>
      <c r="Z35" s="10" t="inlineStr"/>
      <c r="AA35" s="10" t="inlineStr"/>
      <c r="AB35" s="10" t="inlineStr"/>
      <c r="AC35" s="10" t="inlineStr"/>
      <c r="AD35" s="10" t="inlineStr"/>
      <c r="AE35" s="10" t="inlineStr"/>
      <c r="AF35" s="10" t="inlineStr"/>
      <c r="AG35" s="10" t="inlineStr"/>
      <c r="AH35" s="10" t="inlineStr"/>
      <c r="AI35" s="11">
        <f>IFERROR(INDEX(Country_Context!$B$2:$B$63,MATCH($C35,Country_Context!$A$2:$A$63,0)),"")</f>
        <v/>
      </c>
      <c r="AJ35" s="11">
        <f>IFERROR(INDEX(Country_Context!$C$2:$C$63,MATCH($C35,Country_Context!$A$2:$A$63,0)),"")</f>
        <v/>
      </c>
      <c r="AK35" s="11">
        <f>IFERROR(INDEX(Country_Context!$D$2:$D$63,MATCH($C35,Country_Context!$A$2:$A$63,0)),"")</f>
        <v/>
      </c>
      <c r="AL35" s="11">
        <f>IFERROR(INDEX(Country_Context!$E$2:$E$63,MATCH($C35,Country_Context!$A$2:$A$63,0)),"")</f>
        <v/>
      </c>
      <c r="AM35" s="11">
        <f>IFERROR(INDEX(Country_Context!$F$2:$F$63,MATCH($C35,Country_Context!$A$2:$A$63,0)),"")</f>
        <v/>
      </c>
      <c r="AN35" s="11">
        <f>IFERROR(INDEX(Country_Context!$G$2:$G$63,MATCH($C35,Country_Context!$A$2:$A$63,0)),"")</f>
        <v/>
      </c>
      <c r="AO35" s="12" t="inlineStr"/>
      <c r="AP35" s="12" t="inlineStr"/>
      <c r="AQ35" s="12" t="inlineStr"/>
      <c r="AR35" s="12" t="inlineStr"/>
      <c r="AS35" s="12" t="inlineStr"/>
      <c r="AT35" s="12" t="inlineStr"/>
      <c r="AU35" s="12" t="inlineStr"/>
      <c r="AV35" s="12" t="inlineStr"/>
      <c r="AW35" s="12" t="inlineStr"/>
      <c r="AX35" s="12" t="inlineStr"/>
      <c r="AY35" s="12" t="inlineStr"/>
      <c r="AZ35" s="12" t="inlineStr"/>
      <c r="BA35" s="12" t="inlineStr"/>
      <c r="BB35" s="12" t="inlineStr"/>
      <c r="BC35" s="12" t="inlineStr"/>
      <c r="BD35" s="12" t="inlineStr"/>
      <c r="BE35" s="12" t="inlineStr"/>
      <c r="BF35" s="12" t="inlineStr"/>
      <c r="BG35" s="12" t="inlineStr"/>
      <c r="BH35" s="12" t="inlineStr"/>
    </row>
    <row r="36">
      <c r="A36" s="9" t="inlineStr">
        <is>
          <t>dk-copenhagen</t>
        </is>
      </c>
      <c r="B36" s="9" t="inlineStr">
        <is>
          <t>Copenhagen</t>
        </is>
      </c>
      <c r="C36" s="9" t="inlineStr">
        <is>
          <t>Denmark</t>
        </is>
      </c>
      <c r="D36" s="9" t="inlineStr">
        <is>
          <t>Western and Northern Europe</t>
        </is>
      </c>
      <c r="E36" s="9" t="inlineStr">
        <is>
          <t>primary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IF(OR($G36="",$H36="",$I36="",$J36="",$K36="",$L36="",$AL36="",$AM36=""),"",((($G36*(1-$AM36))-$H36-$I36-$J36-$K36-$L36)/$AL36))</f>
        <v/>
      </c>
      <c r="N36" s="10" t="inlineStr"/>
      <c r="O36" s="10" t="inlineStr"/>
      <c r="P36" s="11">
        <f>IF($O36&lt;&gt;"",$O36,$AN36)</f>
        <v/>
      </c>
      <c r="Q36" s="10" t="inlineStr"/>
      <c r="R36" s="10" t="inlineStr"/>
      <c r="S36" s="10" t="inlineStr"/>
      <c r="T36" s="10" t="inlineStr"/>
      <c r="U36" s="10" t="inlineStr"/>
      <c r="V36" s="10" t="inlineStr"/>
      <c r="W36" s="10" t="inlineStr"/>
      <c r="X36" s="10" t="inlineStr"/>
      <c r="Y36" s="10" t="inlineStr"/>
      <c r="Z36" s="10" t="inlineStr"/>
      <c r="AA36" s="10" t="inlineStr"/>
      <c r="AB36" s="10" t="inlineStr"/>
      <c r="AC36" s="10" t="inlineStr"/>
      <c r="AD36" s="10" t="inlineStr"/>
      <c r="AE36" s="10" t="inlineStr"/>
      <c r="AF36" s="10" t="inlineStr"/>
      <c r="AG36" s="10" t="inlineStr"/>
      <c r="AH36" s="10" t="inlineStr"/>
      <c r="AI36" s="11">
        <f>IFERROR(INDEX(Country_Context!$B$2:$B$63,MATCH($C36,Country_Context!$A$2:$A$63,0)),"")</f>
        <v/>
      </c>
      <c r="AJ36" s="11">
        <f>IFERROR(INDEX(Country_Context!$C$2:$C$63,MATCH($C36,Country_Context!$A$2:$A$63,0)),"")</f>
        <v/>
      </c>
      <c r="AK36" s="11">
        <f>IFERROR(INDEX(Country_Context!$D$2:$D$63,MATCH($C36,Country_Context!$A$2:$A$63,0)),"")</f>
        <v/>
      </c>
      <c r="AL36" s="11">
        <f>IFERROR(INDEX(Country_Context!$E$2:$E$63,MATCH($C36,Country_Context!$A$2:$A$63,0)),"")</f>
        <v/>
      </c>
      <c r="AM36" s="11">
        <f>IFERROR(INDEX(Country_Context!$F$2:$F$63,MATCH($C36,Country_Context!$A$2:$A$63,0)),"")</f>
        <v/>
      </c>
      <c r="AN36" s="11">
        <f>IFERROR(INDEX(Country_Context!$G$2:$G$63,MATCH($C36,Country_Context!$A$2:$A$63,0)),"")</f>
        <v/>
      </c>
      <c r="AO36" s="12" t="inlineStr"/>
      <c r="AP36" s="12" t="inlineStr"/>
      <c r="AQ36" s="12" t="inlineStr"/>
      <c r="AR36" s="12" t="inlineStr"/>
      <c r="AS36" s="12" t="inlineStr"/>
      <c r="AT36" s="12" t="inlineStr"/>
      <c r="AU36" s="12" t="inlineStr"/>
      <c r="AV36" s="12" t="inlineStr"/>
      <c r="AW36" s="12" t="inlineStr"/>
      <c r="AX36" s="12" t="inlineStr"/>
      <c r="AY36" s="12" t="inlineStr"/>
      <c r="AZ36" s="12" t="inlineStr"/>
      <c r="BA36" s="12" t="inlineStr"/>
      <c r="BB36" s="12" t="inlineStr"/>
      <c r="BC36" s="12" t="inlineStr"/>
      <c r="BD36" s="12" t="inlineStr"/>
      <c r="BE36" s="12" t="inlineStr"/>
      <c r="BF36" s="12" t="inlineStr"/>
      <c r="BG36" s="12" t="inlineStr"/>
      <c r="BH36" s="12" t="inlineStr"/>
    </row>
    <row r="37">
      <c r="A37" s="9" t="inlineStr">
        <is>
          <t>at-graz</t>
        </is>
      </c>
      <c r="B37" s="9" t="inlineStr">
        <is>
          <t>Graz</t>
        </is>
      </c>
      <c r="C37" s="9" t="inlineStr">
        <is>
          <t>Austria</t>
        </is>
      </c>
      <c r="D37" s="9" t="inlineStr">
        <is>
          <t>Western and Northern Europe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IF(OR($G37="",$H37="",$I37="",$J37="",$K37="",$L37="",$AL37="",$AM37=""),"",((($G37*(1-$AM37))-$H37-$I37-$J37-$K37-$L37)/$AL37))</f>
        <v/>
      </c>
      <c r="N37" s="10" t="inlineStr"/>
      <c r="O37" s="10" t="inlineStr"/>
      <c r="P37" s="11">
        <f>IF($O37&lt;&gt;"",$O37,$AN37)</f>
        <v/>
      </c>
      <c r="Q37" s="10" t="inlineStr"/>
      <c r="R37" s="10" t="inlineStr"/>
      <c r="S37" s="10" t="inlineStr"/>
      <c r="T37" s="10" t="inlineStr"/>
      <c r="U37" s="10" t="inlineStr"/>
      <c r="V37" s="10" t="inlineStr"/>
      <c r="W37" s="10" t="inlineStr"/>
      <c r="X37" s="10" t="inlineStr"/>
      <c r="Y37" s="10" t="inlineStr"/>
      <c r="Z37" s="10" t="inlineStr"/>
      <c r="AA37" s="10" t="inlineStr"/>
      <c r="AB37" s="10" t="inlineStr"/>
      <c r="AC37" s="10" t="inlineStr"/>
      <c r="AD37" s="10" t="inlineStr"/>
      <c r="AE37" s="10" t="inlineStr"/>
      <c r="AF37" s="10" t="inlineStr"/>
      <c r="AG37" s="10" t="inlineStr"/>
      <c r="AH37" s="10" t="inlineStr"/>
      <c r="AI37" s="11">
        <f>IFERROR(INDEX(Country_Context!$B$2:$B$63,MATCH($C37,Country_Context!$A$2:$A$63,0)),"")</f>
        <v/>
      </c>
      <c r="AJ37" s="11">
        <f>IFERROR(INDEX(Country_Context!$C$2:$C$63,MATCH($C37,Country_Context!$A$2:$A$63,0)),"")</f>
        <v/>
      </c>
      <c r="AK37" s="11">
        <f>IFERROR(INDEX(Country_Context!$D$2:$D$63,MATCH($C37,Country_Context!$A$2:$A$63,0)),"")</f>
        <v/>
      </c>
      <c r="AL37" s="11">
        <f>IFERROR(INDEX(Country_Context!$E$2:$E$63,MATCH($C37,Country_Context!$A$2:$A$63,0)),"")</f>
        <v/>
      </c>
      <c r="AM37" s="11">
        <f>IFERROR(INDEX(Country_Context!$F$2:$F$63,MATCH($C37,Country_Context!$A$2:$A$63,0)),"")</f>
        <v/>
      </c>
      <c r="AN37" s="11">
        <f>IFERROR(INDEX(Country_Context!$G$2:$G$63,MATCH($C37,Country_Context!$A$2:$A$63,0)),"")</f>
        <v/>
      </c>
      <c r="AO37" s="12" t="inlineStr"/>
      <c r="AP37" s="12" t="inlineStr"/>
      <c r="AQ37" s="12" t="inlineStr"/>
      <c r="AR37" s="12" t="inlineStr"/>
      <c r="AS37" s="12" t="inlineStr"/>
      <c r="AT37" s="12" t="inlineStr"/>
      <c r="AU37" s="12" t="inlineStr"/>
      <c r="AV37" s="12" t="inlineStr"/>
      <c r="AW37" s="12" t="inlineStr"/>
      <c r="AX37" s="12" t="inlineStr"/>
      <c r="AY37" s="12" t="inlineStr"/>
      <c r="AZ37" s="12" t="inlineStr"/>
      <c r="BA37" s="12" t="inlineStr"/>
      <c r="BB37" s="12" t="inlineStr"/>
      <c r="BC37" s="12" t="inlineStr"/>
      <c r="BD37" s="12" t="inlineStr"/>
      <c r="BE37" s="12" t="inlineStr"/>
      <c r="BF37" s="12" t="inlineStr"/>
      <c r="BG37" s="12" t="inlineStr"/>
      <c r="BH37" s="12" t="inlineStr"/>
    </row>
    <row r="38">
      <c r="A38" s="9" t="inlineStr">
        <is>
          <t>pt-porto</t>
        </is>
      </c>
      <c r="B38" s="9" t="inlineStr">
        <is>
          <t>Porto</t>
        </is>
      </c>
      <c r="C38" s="9" t="inlineStr">
        <is>
          <t>Portugal</t>
        </is>
      </c>
      <c r="D38" s="9" t="inlineStr">
        <is>
          <t>Western and Northern Europe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IF(OR($G38="",$H38="",$I38="",$J38="",$K38="",$L38="",$AL38="",$AM38=""),"",((($G38*(1-$AM38))-$H38-$I38-$J38-$K38-$L38)/$AL38))</f>
        <v/>
      </c>
      <c r="N38" s="10" t="inlineStr"/>
      <c r="O38" s="10" t="inlineStr"/>
      <c r="P38" s="11">
        <f>IF($O38&lt;&gt;"",$O38,$AN38)</f>
        <v/>
      </c>
      <c r="Q38" s="10" t="inlineStr"/>
      <c r="R38" s="10" t="inlineStr"/>
      <c r="S38" s="10" t="inlineStr"/>
      <c r="T38" s="10" t="inlineStr"/>
      <c r="U38" s="10" t="inlineStr"/>
      <c r="V38" s="10" t="inlineStr"/>
      <c r="W38" s="10" t="inlineStr"/>
      <c r="X38" s="10" t="inlineStr"/>
      <c r="Y38" s="10" t="inlineStr"/>
      <c r="Z38" s="10" t="inlineStr"/>
      <c r="AA38" s="10" t="inlineStr"/>
      <c r="AB38" s="10" t="inlineStr"/>
      <c r="AC38" s="10" t="inlineStr"/>
      <c r="AD38" s="10" t="inlineStr"/>
      <c r="AE38" s="10" t="inlineStr"/>
      <c r="AF38" s="10" t="inlineStr"/>
      <c r="AG38" s="10" t="inlineStr"/>
      <c r="AH38" s="10" t="inlineStr"/>
      <c r="AI38" s="11">
        <f>IFERROR(INDEX(Country_Context!$B$2:$B$63,MATCH($C38,Country_Context!$A$2:$A$63,0)),"")</f>
        <v/>
      </c>
      <c r="AJ38" s="11">
        <f>IFERROR(INDEX(Country_Context!$C$2:$C$63,MATCH($C38,Country_Context!$A$2:$A$63,0)),"")</f>
        <v/>
      </c>
      <c r="AK38" s="11">
        <f>IFERROR(INDEX(Country_Context!$D$2:$D$63,MATCH($C38,Country_Context!$A$2:$A$63,0)),"")</f>
        <v/>
      </c>
      <c r="AL38" s="11">
        <f>IFERROR(INDEX(Country_Context!$E$2:$E$63,MATCH($C38,Country_Context!$A$2:$A$63,0)),"")</f>
        <v/>
      </c>
      <c r="AM38" s="11">
        <f>IFERROR(INDEX(Country_Context!$F$2:$F$63,MATCH($C38,Country_Context!$A$2:$A$63,0)),"")</f>
        <v/>
      </c>
      <c r="AN38" s="11">
        <f>IFERROR(INDEX(Country_Context!$G$2:$G$63,MATCH($C38,Country_Context!$A$2:$A$63,0)),"")</f>
        <v/>
      </c>
      <c r="AO38" s="12" t="inlineStr"/>
      <c r="AP38" s="12" t="inlineStr"/>
      <c r="AQ38" s="12" t="inlineStr"/>
      <c r="AR38" s="12" t="inlineStr"/>
      <c r="AS38" s="12" t="inlineStr"/>
      <c r="AT38" s="12" t="inlineStr"/>
      <c r="AU38" s="12" t="inlineStr"/>
      <c r="AV38" s="12" t="inlineStr"/>
      <c r="AW38" s="12" t="inlineStr"/>
      <c r="AX38" s="12" t="inlineStr"/>
      <c r="AY38" s="12" t="inlineStr"/>
      <c r="AZ38" s="12" t="inlineStr"/>
      <c r="BA38" s="12" t="inlineStr"/>
      <c r="BB38" s="12" t="inlineStr"/>
      <c r="BC38" s="12" t="inlineStr"/>
      <c r="BD38" s="12" t="inlineStr"/>
      <c r="BE38" s="12" t="inlineStr"/>
      <c r="BF38" s="12" t="inlineStr"/>
      <c r="BG38" s="12" t="inlineStr"/>
      <c r="BH38" s="12" t="inlineStr"/>
    </row>
    <row r="39">
      <c r="A39" s="9" t="inlineStr">
        <is>
          <t>pt-braga</t>
        </is>
      </c>
      <c r="B39" s="9" t="inlineStr">
        <is>
          <t>Braga</t>
        </is>
      </c>
      <c r="C39" s="9" t="inlineStr">
        <is>
          <t>Portugal</t>
        </is>
      </c>
      <c r="D39" s="9" t="inlineStr">
        <is>
          <t>Western and Northern Europe</t>
        </is>
      </c>
      <c r="E39" s="9" t="inlineStr">
        <is>
          <t>secondary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IF(OR($G39="",$H39="",$I39="",$J39="",$K39="",$L39="",$AL39="",$AM39=""),"",((($G39*(1-$AM39))-$H39-$I39-$J39-$K39-$L39)/$AL39))</f>
        <v/>
      </c>
      <c r="N39" s="10" t="inlineStr"/>
      <c r="O39" s="10" t="inlineStr"/>
      <c r="P39" s="11">
        <f>IF($O39&lt;&gt;"",$O39,$AN39)</f>
        <v/>
      </c>
      <c r="Q39" s="10" t="inlineStr"/>
      <c r="R39" s="10" t="inlineStr"/>
      <c r="S39" s="10" t="inlineStr"/>
      <c r="T39" s="10" t="inlineStr"/>
      <c r="U39" s="10" t="inlineStr"/>
      <c r="V39" s="10" t="inlineStr"/>
      <c r="W39" s="10" t="inlineStr"/>
      <c r="X39" s="10" t="inlineStr"/>
      <c r="Y39" s="10" t="inlineStr"/>
      <c r="Z39" s="10" t="inlineStr"/>
      <c r="AA39" s="10" t="inlineStr"/>
      <c r="AB39" s="10" t="inlineStr"/>
      <c r="AC39" s="10" t="inlineStr"/>
      <c r="AD39" s="10" t="inlineStr"/>
      <c r="AE39" s="10" t="inlineStr"/>
      <c r="AF39" s="10" t="inlineStr"/>
      <c r="AG39" s="10" t="inlineStr"/>
      <c r="AH39" s="10" t="inlineStr"/>
      <c r="AI39" s="11">
        <f>IFERROR(INDEX(Country_Context!$B$2:$B$63,MATCH($C39,Country_Context!$A$2:$A$63,0)),"")</f>
        <v/>
      </c>
      <c r="AJ39" s="11">
        <f>IFERROR(INDEX(Country_Context!$C$2:$C$63,MATCH($C39,Country_Context!$A$2:$A$63,0)),"")</f>
        <v/>
      </c>
      <c r="AK39" s="11">
        <f>IFERROR(INDEX(Country_Context!$D$2:$D$63,MATCH($C39,Country_Context!$A$2:$A$63,0)),"")</f>
        <v/>
      </c>
      <c r="AL39" s="11">
        <f>IFERROR(INDEX(Country_Context!$E$2:$E$63,MATCH($C39,Country_Context!$A$2:$A$63,0)),"")</f>
        <v/>
      </c>
      <c r="AM39" s="11">
        <f>IFERROR(INDEX(Country_Context!$F$2:$F$63,MATCH($C39,Country_Context!$A$2:$A$63,0)),"")</f>
        <v/>
      </c>
      <c r="AN39" s="11">
        <f>IFERROR(INDEX(Country_Context!$G$2:$G$63,MATCH($C39,Country_Context!$A$2:$A$63,0)),"")</f>
        <v/>
      </c>
      <c r="AO39" s="12" t="inlineStr"/>
      <c r="AP39" s="12" t="inlineStr"/>
      <c r="AQ39" s="12" t="inlineStr"/>
      <c r="AR39" s="12" t="inlineStr"/>
      <c r="AS39" s="12" t="inlineStr"/>
      <c r="AT39" s="12" t="inlineStr"/>
      <c r="AU39" s="12" t="inlineStr"/>
      <c r="AV39" s="12" t="inlineStr"/>
      <c r="AW39" s="12" t="inlineStr"/>
      <c r="AX39" s="12" t="inlineStr"/>
      <c r="AY39" s="12" t="inlineStr"/>
      <c r="AZ39" s="12" t="inlineStr"/>
      <c r="BA39" s="12" t="inlineStr"/>
      <c r="BB39" s="12" t="inlineStr"/>
      <c r="BC39" s="12" t="inlineStr"/>
      <c r="BD39" s="12" t="inlineStr"/>
      <c r="BE39" s="12" t="inlineStr"/>
      <c r="BF39" s="12" t="inlineStr"/>
      <c r="BG39" s="12" t="inlineStr"/>
      <c r="BH39" s="12" t="inlineStr"/>
    </row>
    <row r="40">
      <c r="A40" s="9" t="inlineStr">
        <is>
          <t>ee-tallinn</t>
        </is>
      </c>
      <c r="B40" s="9" t="inlineStr">
        <is>
          <t>Tallinn</t>
        </is>
      </c>
      <c r="C40" s="9" t="inlineStr">
        <is>
          <t>Estonia</t>
        </is>
      </c>
      <c r="D40" s="9" t="inlineStr">
        <is>
          <t>Western and Northern Europe</t>
        </is>
      </c>
      <c r="E40" s="9" t="inlineStr">
        <is>
          <t>secondary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IF(OR($G40="",$H40="",$I40="",$J40="",$K40="",$L40="",$AL40="",$AM40=""),"",((($G40*(1-$AM40))-$H40-$I40-$J40-$K40-$L40)/$AL40))</f>
        <v/>
      </c>
      <c r="N40" s="10" t="inlineStr"/>
      <c r="O40" s="10" t="inlineStr"/>
      <c r="P40" s="11">
        <f>IF($O40&lt;&gt;"",$O40,$AN40)</f>
        <v/>
      </c>
      <c r="Q40" s="10" t="inlineStr"/>
      <c r="R40" s="10" t="inlineStr"/>
      <c r="S40" s="10" t="inlineStr"/>
      <c r="T40" s="10" t="inlineStr"/>
      <c r="U40" s="10" t="inlineStr"/>
      <c r="V40" s="10" t="inlineStr"/>
      <c r="W40" s="10" t="inlineStr"/>
      <c r="X40" s="10" t="inlineStr"/>
      <c r="Y40" s="10" t="inlineStr"/>
      <c r="Z40" s="10" t="inlineStr"/>
      <c r="AA40" s="10" t="inlineStr"/>
      <c r="AB40" s="10" t="inlineStr"/>
      <c r="AC40" s="10" t="inlineStr"/>
      <c r="AD40" s="10" t="inlineStr"/>
      <c r="AE40" s="10" t="inlineStr"/>
      <c r="AF40" s="10" t="inlineStr"/>
      <c r="AG40" s="10" t="inlineStr"/>
      <c r="AH40" s="10" t="inlineStr"/>
      <c r="AI40" s="11">
        <f>IFERROR(INDEX(Country_Context!$B$2:$B$63,MATCH($C40,Country_Context!$A$2:$A$63,0)),"")</f>
        <v/>
      </c>
      <c r="AJ40" s="11">
        <f>IFERROR(INDEX(Country_Context!$C$2:$C$63,MATCH($C40,Country_Context!$A$2:$A$63,0)),"")</f>
        <v/>
      </c>
      <c r="AK40" s="11">
        <f>IFERROR(INDEX(Country_Context!$D$2:$D$63,MATCH($C40,Country_Context!$A$2:$A$63,0)),"")</f>
        <v/>
      </c>
      <c r="AL40" s="11">
        <f>IFERROR(INDEX(Country_Context!$E$2:$E$63,MATCH($C40,Country_Context!$A$2:$A$63,0)),"")</f>
        <v/>
      </c>
      <c r="AM40" s="11">
        <f>IFERROR(INDEX(Country_Context!$F$2:$F$63,MATCH($C40,Country_Context!$A$2:$A$63,0)),"")</f>
        <v/>
      </c>
      <c r="AN40" s="11">
        <f>IFERROR(INDEX(Country_Context!$G$2:$G$63,MATCH($C40,Country_Context!$A$2:$A$63,0)),"")</f>
        <v/>
      </c>
      <c r="AO40" s="12" t="inlineStr"/>
      <c r="AP40" s="12" t="inlineStr"/>
      <c r="AQ40" s="12" t="inlineStr"/>
      <c r="AR40" s="12" t="inlineStr"/>
      <c r="AS40" s="12" t="inlineStr"/>
      <c r="AT40" s="12" t="inlineStr"/>
      <c r="AU40" s="12" t="inlineStr"/>
      <c r="AV40" s="12" t="inlineStr"/>
      <c r="AW40" s="12" t="inlineStr"/>
      <c r="AX40" s="12" t="inlineStr"/>
      <c r="AY40" s="12" t="inlineStr"/>
      <c r="AZ40" s="12" t="inlineStr"/>
      <c r="BA40" s="12" t="inlineStr"/>
      <c r="BB40" s="12" t="inlineStr"/>
      <c r="BC40" s="12" t="inlineStr"/>
      <c r="BD40" s="12" t="inlineStr"/>
      <c r="BE40" s="12" t="inlineStr"/>
      <c r="BF40" s="12" t="inlineStr"/>
      <c r="BG40" s="12" t="inlineStr"/>
      <c r="BH40" s="12" t="inlineStr"/>
    </row>
    <row r="41">
      <c r="A41" s="9" t="inlineStr">
        <is>
          <t>fi-helsinki</t>
        </is>
      </c>
      <c r="B41" s="9" t="inlineStr">
        <is>
          <t>Helsinki</t>
        </is>
      </c>
      <c r="C41" s="9" t="inlineStr">
        <is>
          <t>Finland</t>
        </is>
      </c>
      <c r="D41" s="9" t="inlineStr">
        <is>
          <t>Western and Northern Europe</t>
        </is>
      </c>
      <c r="E41" s="9" t="inlineStr">
        <is>
          <t>secondary</t>
        </is>
      </c>
      <c r="F41" s="9" t="inlineStr">
        <is>
          <t>provisional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IF(OR($G41="",$H41="",$I41="",$J41="",$K41="",$L41="",$AL41="",$AM41=""),"",((($G41*(1-$AM41))-$H41-$I41-$J41-$K41-$L41)/$AL41))</f>
        <v/>
      </c>
      <c r="N41" s="10" t="inlineStr"/>
      <c r="O41" s="10" t="inlineStr"/>
      <c r="P41" s="11">
        <f>IF($O41&lt;&gt;"",$O41,$AN41)</f>
        <v/>
      </c>
      <c r="Q41" s="10" t="inlineStr"/>
      <c r="R41" s="10" t="inlineStr"/>
      <c r="S41" s="10" t="inlineStr"/>
      <c r="T41" s="10" t="inlineStr"/>
      <c r="U41" s="10" t="inlineStr"/>
      <c r="V41" s="10" t="inlineStr"/>
      <c r="W41" s="10" t="inlineStr"/>
      <c r="X41" s="10" t="inlineStr"/>
      <c r="Y41" s="10" t="inlineStr"/>
      <c r="Z41" s="10" t="inlineStr"/>
      <c r="AA41" s="10" t="inlineStr"/>
      <c r="AB41" s="10" t="inlineStr"/>
      <c r="AC41" s="10" t="inlineStr"/>
      <c r="AD41" s="10" t="inlineStr"/>
      <c r="AE41" s="10" t="inlineStr"/>
      <c r="AF41" s="10" t="inlineStr"/>
      <c r="AG41" s="10" t="inlineStr"/>
      <c r="AH41" s="10" t="inlineStr"/>
      <c r="AI41" s="11">
        <f>IFERROR(INDEX(Country_Context!$B$2:$B$63,MATCH($C41,Country_Context!$A$2:$A$63,0)),"")</f>
        <v/>
      </c>
      <c r="AJ41" s="11">
        <f>IFERROR(INDEX(Country_Context!$C$2:$C$63,MATCH($C41,Country_Context!$A$2:$A$63,0)),"")</f>
        <v/>
      </c>
      <c r="AK41" s="11">
        <f>IFERROR(INDEX(Country_Context!$D$2:$D$63,MATCH($C41,Country_Context!$A$2:$A$63,0)),"")</f>
        <v/>
      </c>
      <c r="AL41" s="11">
        <f>IFERROR(INDEX(Country_Context!$E$2:$E$63,MATCH($C41,Country_Context!$A$2:$A$63,0)),"")</f>
        <v/>
      </c>
      <c r="AM41" s="11">
        <f>IFERROR(INDEX(Country_Context!$F$2:$F$63,MATCH($C41,Country_Context!$A$2:$A$63,0)),"")</f>
        <v/>
      </c>
      <c r="AN41" s="11">
        <f>IFERROR(INDEX(Country_Context!$G$2:$G$63,MATCH($C41,Country_Context!$A$2:$A$63,0)),"")</f>
        <v/>
      </c>
      <c r="AO41" s="12" t="inlineStr"/>
      <c r="AP41" s="12" t="inlineStr"/>
      <c r="AQ41" s="12" t="inlineStr"/>
      <c r="AR41" s="12" t="inlineStr"/>
      <c r="AS41" s="12" t="inlineStr"/>
      <c r="AT41" s="12" t="inlineStr"/>
      <c r="AU41" s="12" t="inlineStr"/>
      <c r="AV41" s="12" t="inlineStr"/>
      <c r="AW41" s="12" t="inlineStr"/>
      <c r="AX41" s="12" t="inlineStr"/>
      <c r="AY41" s="12" t="inlineStr"/>
      <c r="AZ41" s="12" t="inlineStr"/>
      <c r="BA41" s="12" t="inlineStr"/>
      <c r="BB41" s="12" t="inlineStr"/>
      <c r="BC41" s="12" t="inlineStr"/>
      <c r="BD41" s="12" t="inlineStr"/>
      <c r="BE41" s="12" t="inlineStr"/>
      <c r="BF41" s="12" t="inlineStr"/>
      <c r="BG41" s="12" t="inlineStr"/>
      <c r="BH41" s="12" t="inlineStr"/>
    </row>
    <row r="42">
      <c r="A42" s="9" t="inlineStr">
        <is>
          <t>ru-moscow</t>
        </is>
      </c>
      <c r="B42" s="9" t="inlineStr">
        <is>
          <t>Moscow</t>
        </is>
      </c>
      <c r="C42" s="9" t="inlineStr">
        <is>
          <t>Russia</t>
        </is>
      </c>
      <c r="D42" s="9" t="inlineStr">
        <is>
          <t>Southern/Eastern Europe and Eurasia</t>
        </is>
      </c>
      <c r="E42" s="9" t="inlineStr">
        <is>
          <t>primary</t>
        </is>
      </c>
      <c r="F42" s="9" t="inlineStr">
        <is>
          <t>locked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IF(OR($G42="",$H42="",$I42="",$J42="",$K42="",$L42="",$AL42="",$AM42=""),"",((($G42*(1-$AM42))-$H42-$I42-$J42-$K42-$L42)/$AL42))</f>
        <v/>
      </c>
      <c r="N42" s="10" t="inlineStr"/>
      <c r="O42" s="10" t="inlineStr"/>
      <c r="P42" s="11">
        <f>IF($O42&lt;&gt;"",$O42,$AN42)</f>
        <v/>
      </c>
      <c r="Q42" s="10" t="inlineStr"/>
      <c r="R42" s="10" t="inlineStr"/>
      <c r="S42" s="10" t="inlineStr"/>
      <c r="T42" s="10" t="inlineStr"/>
      <c r="U42" s="10" t="inlineStr"/>
      <c r="V42" s="10" t="inlineStr"/>
      <c r="W42" s="10" t="inlineStr"/>
      <c r="X42" s="10" t="inlineStr"/>
      <c r="Y42" s="10" t="inlineStr"/>
      <c r="Z42" s="10" t="inlineStr"/>
      <c r="AA42" s="10" t="inlineStr"/>
      <c r="AB42" s="10" t="inlineStr"/>
      <c r="AC42" s="10" t="inlineStr"/>
      <c r="AD42" s="10" t="inlineStr"/>
      <c r="AE42" s="10" t="inlineStr"/>
      <c r="AF42" s="10" t="inlineStr"/>
      <c r="AG42" s="10" t="inlineStr"/>
      <c r="AH42" s="10" t="inlineStr"/>
      <c r="AI42" s="11">
        <f>IFERROR(INDEX(Country_Context!$B$2:$B$63,MATCH($C42,Country_Context!$A$2:$A$63,0)),"")</f>
        <v/>
      </c>
      <c r="AJ42" s="11">
        <f>IFERROR(INDEX(Country_Context!$C$2:$C$63,MATCH($C42,Country_Context!$A$2:$A$63,0)),"")</f>
        <v/>
      </c>
      <c r="AK42" s="11">
        <f>IFERROR(INDEX(Country_Context!$D$2:$D$63,MATCH($C42,Country_Context!$A$2:$A$63,0)),"")</f>
        <v/>
      </c>
      <c r="AL42" s="11">
        <f>IFERROR(INDEX(Country_Context!$E$2:$E$63,MATCH($C42,Country_Context!$A$2:$A$63,0)),"")</f>
        <v/>
      </c>
      <c r="AM42" s="11">
        <f>IFERROR(INDEX(Country_Context!$F$2:$F$63,MATCH($C42,Country_Context!$A$2:$A$63,0)),"")</f>
        <v/>
      </c>
      <c r="AN42" s="11">
        <f>IFERROR(INDEX(Country_Context!$G$2:$G$63,MATCH($C42,Country_Context!$A$2:$A$63,0)),"")</f>
        <v/>
      </c>
      <c r="AO42" s="12" t="inlineStr"/>
      <c r="AP42" s="12" t="inlineStr"/>
      <c r="AQ42" s="12" t="inlineStr"/>
      <c r="AR42" s="12" t="inlineStr"/>
      <c r="AS42" s="12" t="inlineStr"/>
      <c r="AT42" s="12" t="inlineStr"/>
      <c r="AU42" s="12" t="inlineStr"/>
      <c r="AV42" s="12" t="inlineStr"/>
      <c r="AW42" s="12" t="inlineStr"/>
      <c r="AX42" s="12" t="inlineStr"/>
      <c r="AY42" s="12" t="inlineStr"/>
      <c r="AZ42" s="12" t="inlineStr"/>
      <c r="BA42" s="12" t="inlineStr"/>
      <c r="BB42" s="12" t="inlineStr"/>
      <c r="BC42" s="12" t="inlineStr"/>
      <c r="BD42" s="12" t="inlineStr"/>
      <c r="BE42" s="12" t="inlineStr"/>
      <c r="BF42" s="12" t="inlineStr"/>
      <c r="BG42" s="12" t="inlineStr"/>
      <c r="BH42" s="12" t="inlineStr"/>
    </row>
    <row r="43">
      <c r="A43" s="9" t="inlineStr">
        <is>
          <t>hu-budapest</t>
        </is>
      </c>
      <c r="B43" s="9" t="inlineStr">
        <is>
          <t>Budapest</t>
        </is>
      </c>
      <c r="C43" s="9" t="inlineStr">
        <is>
          <t>Hungary</t>
        </is>
      </c>
      <c r="D43" s="9" t="inlineStr">
        <is>
          <t>Southern/Eastern Europe and Eurasia</t>
        </is>
      </c>
      <c r="E43" s="9" t="inlineStr">
        <is>
          <t>primary</t>
        </is>
      </c>
      <c r="F43" s="9" t="inlineStr">
        <is>
          <t>locked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IF(OR($G43="",$H43="",$I43="",$J43="",$K43="",$L43="",$AL43="",$AM43=""),"",((($G43*(1-$AM43))-$H43-$I43-$J43-$K43-$L43)/$AL43))</f>
        <v/>
      </c>
      <c r="N43" s="10" t="inlineStr"/>
      <c r="O43" s="10" t="inlineStr"/>
      <c r="P43" s="11">
        <f>IF($O43&lt;&gt;"",$O43,$AN43)</f>
        <v/>
      </c>
      <c r="Q43" s="10" t="inlineStr"/>
      <c r="R43" s="10" t="inlineStr"/>
      <c r="S43" s="10" t="inlineStr"/>
      <c r="T43" s="10" t="inlineStr"/>
      <c r="U43" s="10" t="inlineStr"/>
      <c r="V43" s="10" t="inlineStr"/>
      <c r="W43" s="10" t="inlineStr"/>
      <c r="X43" s="10" t="inlineStr"/>
      <c r="Y43" s="10" t="inlineStr"/>
      <c r="Z43" s="10" t="inlineStr"/>
      <c r="AA43" s="10" t="inlineStr"/>
      <c r="AB43" s="10" t="inlineStr"/>
      <c r="AC43" s="10" t="inlineStr"/>
      <c r="AD43" s="10" t="inlineStr"/>
      <c r="AE43" s="10" t="inlineStr"/>
      <c r="AF43" s="10" t="inlineStr"/>
      <c r="AG43" s="10" t="inlineStr"/>
      <c r="AH43" s="10" t="inlineStr"/>
      <c r="AI43" s="11">
        <f>IFERROR(INDEX(Country_Context!$B$2:$B$63,MATCH($C43,Country_Context!$A$2:$A$63,0)),"")</f>
        <v/>
      </c>
      <c r="AJ43" s="11">
        <f>IFERROR(INDEX(Country_Context!$C$2:$C$63,MATCH($C43,Country_Context!$A$2:$A$63,0)),"")</f>
        <v/>
      </c>
      <c r="AK43" s="11">
        <f>IFERROR(INDEX(Country_Context!$D$2:$D$63,MATCH($C43,Country_Context!$A$2:$A$63,0)),"")</f>
        <v/>
      </c>
      <c r="AL43" s="11">
        <f>IFERROR(INDEX(Country_Context!$E$2:$E$63,MATCH($C43,Country_Context!$A$2:$A$63,0)),"")</f>
        <v/>
      </c>
      <c r="AM43" s="11">
        <f>IFERROR(INDEX(Country_Context!$F$2:$F$63,MATCH($C43,Country_Context!$A$2:$A$63,0)),"")</f>
        <v/>
      </c>
      <c r="AN43" s="11">
        <f>IFERROR(INDEX(Country_Context!$G$2:$G$63,MATCH($C43,Country_Context!$A$2:$A$63,0)),"")</f>
        <v/>
      </c>
      <c r="AO43" s="12" t="inlineStr"/>
      <c r="AP43" s="12" t="inlineStr"/>
      <c r="AQ43" s="12" t="inlineStr"/>
      <c r="AR43" s="12" t="inlineStr"/>
      <c r="AS43" s="12" t="inlineStr"/>
      <c r="AT43" s="12" t="inlineStr"/>
      <c r="AU43" s="12" t="inlineStr"/>
      <c r="AV43" s="12" t="inlineStr"/>
      <c r="AW43" s="12" t="inlineStr"/>
      <c r="AX43" s="12" t="inlineStr"/>
      <c r="AY43" s="12" t="inlineStr"/>
      <c r="AZ43" s="12" t="inlineStr"/>
      <c r="BA43" s="12" t="inlineStr"/>
      <c r="BB43" s="12" t="inlineStr"/>
      <c r="BC43" s="12" t="inlineStr"/>
      <c r="BD43" s="12" t="inlineStr"/>
      <c r="BE43" s="12" t="inlineStr"/>
      <c r="BF43" s="12" t="inlineStr"/>
      <c r="BG43" s="12" t="inlineStr"/>
      <c r="BH43" s="12" t="inlineStr"/>
    </row>
    <row r="44">
      <c r="A44" s="9" t="inlineStr">
        <is>
          <t>pl-krakow</t>
        </is>
      </c>
      <c r="B44" s="9" t="inlineStr">
        <is>
          <t>Krakow</t>
        </is>
      </c>
      <c r="C44" s="9" t="inlineStr">
        <is>
          <t>Poland</t>
        </is>
      </c>
      <c r="D44" s="9" t="inlineStr">
        <is>
          <t>Southern/Eastern Europe and Eurasia</t>
        </is>
      </c>
      <c r="E44" s="9" t="inlineStr">
        <is>
          <t>primary</t>
        </is>
      </c>
      <c r="F44" s="9" t="inlineStr">
        <is>
          <t>locked</t>
        </is>
      </c>
      <c r="G44" s="10" t="inlineStr"/>
      <c r="H44" s="10" t="inlineStr"/>
      <c r="I44" s="10" t="inlineStr"/>
      <c r="J44" s="10" t="inlineStr"/>
      <c r="K44" s="10" t="inlineStr"/>
      <c r="L44" s="10" t="inlineStr"/>
      <c r="M44" s="11">
        <f>IF(OR($G44="",$H44="",$I44="",$J44="",$K44="",$L44="",$AL44="",$AM44=""),"",((($G44*(1-$AM44))-$H44-$I44-$J44-$K44-$L44)/$AL44))</f>
        <v/>
      </c>
      <c r="N44" s="10" t="inlineStr"/>
      <c r="O44" s="10" t="inlineStr"/>
      <c r="P44" s="11">
        <f>IF($O44&lt;&gt;"",$O44,$AN44)</f>
        <v/>
      </c>
      <c r="Q44" s="10" t="inlineStr"/>
      <c r="R44" s="10" t="inlineStr"/>
      <c r="S44" s="10" t="inlineStr"/>
      <c r="T44" s="10" t="inlineStr"/>
      <c r="U44" s="10" t="inlineStr"/>
      <c r="V44" s="10" t="inlineStr"/>
      <c r="W44" s="10" t="inlineStr"/>
      <c r="X44" s="10" t="inlineStr"/>
      <c r="Y44" s="10" t="inlineStr"/>
      <c r="Z44" s="10" t="inlineStr"/>
      <c r="AA44" s="10" t="inlineStr"/>
      <c r="AB44" s="10" t="inlineStr"/>
      <c r="AC44" s="10" t="inlineStr"/>
      <c r="AD44" s="10" t="inlineStr"/>
      <c r="AE44" s="10" t="inlineStr"/>
      <c r="AF44" s="10" t="inlineStr"/>
      <c r="AG44" s="10" t="inlineStr"/>
      <c r="AH44" s="10" t="inlineStr"/>
      <c r="AI44" s="11">
        <f>IFERROR(INDEX(Country_Context!$B$2:$B$63,MATCH($C44,Country_Context!$A$2:$A$63,0)),"")</f>
        <v/>
      </c>
      <c r="AJ44" s="11">
        <f>IFERROR(INDEX(Country_Context!$C$2:$C$63,MATCH($C44,Country_Context!$A$2:$A$63,0)),"")</f>
        <v/>
      </c>
      <c r="AK44" s="11">
        <f>IFERROR(INDEX(Country_Context!$D$2:$D$63,MATCH($C44,Country_Context!$A$2:$A$63,0)),"")</f>
        <v/>
      </c>
      <c r="AL44" s="11">
        <f>IFERROR(INDEX(Country_Context!$E$2:$E$63,MATCH($C44,Country_Context!$A$2:$A$63,0)),"")</f>
        <v/>
      </c>
      <c r="AM44" s="11">
        <f>IFERROR(INDEX(Country_Context!$F$2:$F$63,MATCH($C44,Country_Context!$A$2:$A$63,0)),"")</f>
        <v/>
      </c>
      <c r="AN44" s="11">
        <f>IFERROR(INDEX(Country_Context!$G$2:$G$63,MATCH($C44,Country_Context!$A$2:$A$63,0)),"")</f>
        <v/>
      </c>
      <c r="AO44" s="12" t="inlineStr"/>
      <c r="AP44" s="12" t="inlineStr"/>
      <c r="AQ44" s="12" t="inlineStr"/>
      <c r="AR44" s="12" t="inlineStr"/>
      <c r="AS44" s="12" t="inlineStr"/>
      <c r="AT44" s="12" t="inlineStr"/>
      <c r="AU44" s="12" t="inlineStr"/>
      <c r="AV44" s="12" t="inlineStr"/>
      <c r="AW44" s="12" t="inlineStr"/>
      <c r="AX44" s="12" t="inlineStr"/>
      <c r="AY44" s="12" t="inlineStr"/>
      <c r="AZ44" s="12" t="inlineStr"/>
      <c r="BA44" s="12" t="inlineStr"/>
      <c r="BB44" s="12" t="inlineStr"/>
      <c r="BC44" s="12" t="inlineStr"/>
      <c r="BD44" s="12" t="inlineStr"/>
      <c r="BE44" s="12" t="inlineStr"/>
      <c r="BF44" s="12" t="inlineStr"/>
      <c r="BG44" s="12" t="inlineStr"/>
      <c r="BH44" s="12" t="inlineStr"/>
    </row>
    <row r="45">
      <c r="A45" s="9" t="inlineStr">
        <is>
          <t>ro-bucharest</t>
        </is>
      </c>
      <c r="B45" s="9" t="inlineStr">
        <is>
          <t>Bucharest</t>
        </is>
      </c>
      <c r="C45" s="9" t="inlineStr">
        <is>
          <t>Romania</t>
        </is>
      </c>
      <c r="D45" s="9" t="inlineStr">
        <is>
          <t>Southern/Eastern Europe and Eurasia</t>
        </is>
      </c>
      <c r="E45" s="9" t="inlineStr">
        <is>
          <t>primary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IF(OR($G45="",$H45="",$I45="",$J45="",$K45="",$L45="",$AL45="",$AM45=""),"",((($G45*(1-$AM45))-$H45-$I45-$J45-$K45-$L45)/$AL45))</f>
        <v/>
      </c>
      <c r="N45" s="10" t="inlineStr"/>
      <c r="O45" s="10" t="inlineStr"/>
      <c r="P45" s="11">
        <f>IF($O45&lt;&gt;"",$O45,$AN45)</f>
        <v/>
      </c>
      <c r="Q45" s="10" t="inlineStr"/>
      <c r="R45" s="10" t="inlineStr"/>
      <c r="S45" s="10" t="inlineStr"/>
      <c r="T45" s="10" t="inlineStr"/>
      <c r="U45" s="10" t="inlineStr"/>
      <c r="V45" s="10" t="inlineStr"/>
      <c r="W45" s="10" t="inlineStr"/>
      <c r="X45" s="10" t="inlineStr"/>
      <c r="Y45" s="10" t="inlineStr"/>
      <c r="Z45" s="10" t="inlineStr"/>
      <c r="AA45" s="10" t="inlineStr"/>
      <c r="AB45" s="10" t="inlineStr"/>
      <c r="AC45" s="10" t="inlineStr"/>
      <c r="AD45" s="10" t="inlineStr"/>
      <c r="AE45" s="10" t="inlineStr"/>
      <c r="AF45" s="10" t="inlineStr"/>
      <c r="AG45" s="10" t="inlineStr"/>
      <c r="AH45" s="10" t="inlineStr"/>
      <c r="AI45" s="11">
        <f>IFERROR(INDEX(Country_Context!$B$2:$B$63,MATCH($C45,Country_Context!$A$2:$A$63,0)),"")</f>
        <v/>
      </c>
      <c r="AJ45" s="11">
        <f>IFERROR(INDEX(Country_Context!$C$2:$C$63,MATCH($C45,Country_Context!$A$2:$A$63,0)),"")</f>
        <v/>
      </c>
      <c r="AK45" s="11">
        <f>IFERROR(INDEX(Country_Context!$D$2:$D$63,MATCH($C45,Country_Context!$A$2:$A$63,0)),"")</f>
        <v/>
      </c>
      <c r="AL45" s="11">
        <f>IFERROR(INDEX(Country_Context!$E$2:$E$63,MATCH($C45,Country_Context!$A$2:$A$63,0)),"")</f>
        <v/>
      </c>
      <c r="AM45" s="11">
        <f>IFERROR(INDEX(Country_Context!$F$2:$F$63,MATCH($C45,Country_Context!$A$2:$A$63,0)),"")</f>
        <v/>
      </c>
      <c r="AN45" s="11">
        <f>IFERROR(INDEX(Country_Context!$G$2:$G$63,MATCH($C45,Country_Context!$A$2:$A$63,0)),"")</f>
        <v/>
      </c>
      <c r="AO45" s="12" t="inlineStr"/>
      <c r="AP45" s="12" t="inlineStr"/>
      <c r="AQ45" s="12" t="inlineStr"/>
      <c r="AR45" s="12" t="inlineStr"/>
      <c r="AS45" s="12" t="inlineStr"/>
      <c r="AT45" s="12" t="inlineStr"/>
      <c r="AU45" s="12" t="inlineStr"/>
      <c r="AV45" s="12" t="inlineStr"/>
      <c r="AW45" s="12" t="inlineStr"/>
      <c r="AX45" s="12" t="inlineStr"/>
      <c r="AY45" s="12" t="inlineStr"/>
      <c r="AZ45" s="12" t="inlineStr"/>
      <c r="BA45" s="12" t="inlineStr"/>
      <c r="BB45" s="12" t="inlineStr"/>
      <c r="BC45" s="12" t="inlineStr"/>
      <c r="BD45" s="12" t="inlineStr"/>
      <c r="BE45" s="12" t="inlineStr"/>
      <c r="BF45" s="12" t="inlineStr"/>
      <c r="BG45" s="12" t="inlineStr"/>
      <c r="BH45" s="12" t="inlineStr"/>
    </row>
    <row r="46">
      <c r="A46" s="9" t="inlineStr">
        <is>
          <t>rs-belgrade</t>
        </is>
      </c>
      <c r="B46" s="9" t="inlineStr">
        <is>
          <t>Belgrade</t>
        </is>
      </c>
      <c r="C46" s="9" t="inlineStr">
        <is>
          <t>Serbia</t>
        </is>
      </c>
      <c r="D46" s="9" t="inlineStr">
        <is>
          <t>Southern/Eastern Europe and Eurasia</t>
        </is>
      </c>
      <c r="E46" s="9" t="inlineStr">
        <is>
          <t>primary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IF(OR($G46="",$H46="",$I46="",$J46="",$K46="",$L46="",$AL46="",$AM46=""),"",((($G46*(1-$AM46))-$H46-$I46-$J46-$K46-$L46)/$AL46))</f>
        <v/>
      </c>
      <c r="N46" s="10" t="inlineStr"/>
      <c r="O46" s="10" t="inlineStr"/>
      <c r="P46" s="11">
        <f>IF($O46&lt;&gt;"",$O46,$AN46)</f>
        <v/>
      </c>
      <c r="Q46" s="10" t="inlineStr"/>
      <c r="R46" s="10" t="inlineStr"/>
      <c r="S46" s="10" t="inlineStr"/>
      <c r="T46" s="10" t="inlineStr"/>
      <c r="U46" s="10" t="inlineStr"/>
      <c r="V46" s="10" t="inlineStr"/>
      <c r="W46" s="10" t="inlineStr"/>
      <c r="X46" s="10" t="inlineStr"/>
      <c r="Y46" s="10" t="inlineStr"/>
      <c r="Z46" s="10" t="inlineStr"/>
      <c r="AA46" s="10" t="inlineStr"/>
      <c r="AB46" s="10" t="inlineStr"/>
      <c r="AC46" s="10" t="inlineStr"/>
      <c r="AD46" s="10" t="inlineStr"/>
      <c r="AE46" s="10" t="inlineStr"/>
      <c r="AF46" s="10" t="inlineStr"/>
      <c r="AG46" s="10" t="inlineStr"/>
      <c r="AH46" s="10" t="inlineStr"/>
      <c r="AI46" s="11">
        <f>IFERROR(INDEX(Country_Context!$B$2:$B$63,MATCH($C46,Country_Context!$A$2:$A$63,0)),"")</f>
        <v/>
      </c>
      <c r="AJ46" s="11">
        <f>IFERROR(INDEX(Country_Context!$C$2:$C$63,MATCH($C46,Country_Context!$A$2:$A$63,0)),"")</f>
        <v/>
      </c>
      <c r="AK46" s="11">
        <f>IFERROR(INDEX(Country_Context!$D$2:$D$63,MATCH($C46,Country_Context!$A$2:$A$63,0)),"")</f>
        <v/>
      </c>
      <c r="AL46" s="11">
        <f>IFERROR(INDEX(Country_Context!$E$2:$E$63,MATCH($C46,Country_Context!$A$2:$A$63,0)),"")</f>
        <v/>
      </c>
      <c r="AM46" s="11">
        <f>IFERROR(INDEX(Country_Context!$F$2:$F$63,MATCH($C46,Country_Context!$A$2:$A$63,0)),"")</f>
        <v/>
      </c>
      <c r="AN46" s="11">
        <f>IFERROR(INDEX(Country_Context!$G$2:$G$63,MATCH($C46,Country_Context!$A$2:$A$63,0)),"")</f>
        <v/>
      </c>
      <c r="AO46" s="12" t="inlineStr"/>
      <c r="AP46" s="12" t="inlineStr"/>
      <c r="AQ46" s="12" t="inlineStr"/>
      <c r="AR46" s="12" t="inlineStr"/>
      <c r="AS46" s="12" t="inlineStr"/>
      <c r="AT46" s="12" t="inlineStr"/>
      <c r="AU46" s="12" t="inlineStr"/>
      <c r="AV46" s="12" t="inlineStr"/>
      <c r="AW46" s="12" t="inlineStr"/>
      <c r="AX46" s="12" t="inlineStr"/>
      <c r="AY46" s="12" t="inlineStr"/>
      <c r="AZ46" s="12" t="inlineStr"/>
      <c r="BA46" s="12" t="inlineStr"/>
      <c r="BB46" s="12" t="inlineStr"/>
      <c r="BC46" s="12" t="inlineStr"/>
      <c r="BD46" s="12" t="inlineStr"/>
      <c r="BE46" s="12" t="inlineStr"/>
      <c r="BF46" s="12" t="inlineStr"/>
      <c r="BG46" s="12" t="inlineStr"/>
      <c r="BH46" s="12" t="inlineStr"/>
    </row>
    <row r="47">
      <c r="A47" s="9" t="inlineStr">
        <is>
          <t>ru-nizhny-novgorod</t>
        </is>
      </c>
      <c r="B47" s="9" t="inlineStr">
        <is>
          <t>Nizhny Novgorod</t>
        </is>
      </c>
      <c r="C47" s="9" t="inlineStr">
        <is>
          <t>Russia</t>
        </is>
      </c>
      <c r="D47" s="9" t="inlineStr">
        <is>
          <t>Southern/Eastern Europe and Eurasia</t>
        </is>
      </c>
      <c r="E47" s="9" t="inlineStr">
        <is>
          <t>secondary</t>
        </is>
      </c>
      <c r="F47" s="9" t="inlineStr">
        <is>
          <t>provisional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IF(OR($G47="",$H47="",$I47="",$J47="",$K47="",$L47="",$AL47="",$AM47=""),"",((($G47*(1-$AM47))-$H47-$I47-$J47-$K47-$L47)/$AL47))</f>
        <v/>
      </c>
      <c r="N47" s="10" t="inlineStr"/>
      <c r="O47" s="10" t="inlineStr"/>
      <c r="P47" s="11">
        <f>IF($O47&lt;&gt;"",$O47,$AN47)</f>
        <v/>
      </c>
      <c r="Q47" s="10" t="inlineStr"/>
      <c r="R47" s="10" t="inlineStr"/>
      <c r="S47" s="10" t="inlineStr"/>
      <c r="T47" s="10" t="inlineStr"/>
      <c r="U47" s="10" t="inlineStr"/>
      <c r="V47" s="10" t="inlineStr"/>
      <c r="W47" s="10" t="inlineStr"/>
      <c r="X47" s="10" t="inlineStr"/>
      <c r="Y47" s="10" t="inlineStr"/>
      <c r="Z47" s="10" t="inlineStr"/>
      <c r="AA47" s="10" t="inlineStr"/>
      <c r="AB47" s="10" t="inlineStr"/>
      <c r="AC47" s="10" t="inlineStr"/>
      <c r="AD47" s="10" t="inlineStr"/>
      <c r="AE47" s="10" t="inlineStr"/>
      <c r="AF47" s="10" t="inlineStr"/>
      <c r="AG47" s="10" t="inlineStr"/>
      <c r="AH47" s="10" t="inlineStr"/>
      <c r="AI47" s="11">
        <f>IFERROR(INDEX(Country_Context!$B$2:$B$63,MATCH($C47,Country_Context!$A$2:$A$63,0)),"")</f>
        <v/>
      </c>
      <c r="AJ47" s="11">
        <f>IFERROR(INDEX(Country_Context!$C$2:$C$63,MATCH($C47,Country_Context!$A$2:$A$63,0)),"")</f>
        <v/>
      </c>
      <c r="AK47" s="11">
        <f>IFERROR(INDEX(Country_Context!$D$2:$D$63,MATCH($C47,Country_Context!$A$2:$A$63,0)),"")</f>
        <v/>
      </c>
      <c r="AL47" s="11">
        <f>IFERROR(INDEX(Country_Context!$E$2:$E$63,MATCH($C47,Country_Context!$A$2:$A$63,0)),"")</f>
        <v/>
      </c>
      <c r="AM47" s="11">
        <f>IFERROR(INDEX(Country_Context!$F$2:$F$63,MATCH($C47,Country_Context!$A$2:$A$63,0)),"")</f>
        <v/>
      </c>
      <c r="AN47" s="11">
        <f>IFERROR(INDEX(Country_Context!$G$2:$G$63,MATCH($C47,Country_Context!$A$2:$A$63,0)),"")</f>
        <v/>
      </c>
      <c r="AO47" s="12" t="inlineStr"/>
      <c r="AP47" s="12" t="inlineStr"/>
      <c r="AQ47" s="12" t="inlineStr"/>
      <c r="AR47" s="12" t="inlineStr"/>
      <c r="AS47" s="12" t="inlineStr"/>
      <c r="AT47" s="12" t="inlineStr"/>
      <c r="AU47" s="12" t="inlineStr"/>
      <c r="AV47" s="12" t="inlineStr"/>
      <c r="AW47" s="12" t="inlineStr"/>
      <c r="AX47" s="12" t="inlineStr"/>
      <c r="AY47" s="12" t="inlineStr"/>
      <c r="AZ47" s="12" t="inlineStr"/>
      <c r="BA47" s="12" t="inlineStr"/>
      <c r="BB47" s="12" t="inlineStr"/>
      <c r="BC47" s="12" t="inlineStr"/>
      <c r="BD47" s="12" t="inlineStr"/>
      <c r="BE47" s="12" t="inlineStr"/>
      <c r="BF47" s="12" t="inlineStr"/>
      <c r="BG47" s="12" t="inlineStr"/>
      <c r="BH47" s="12" t="inlineStr"/>
    </row>
    <row r="48">
      <c r="A48" s="9" t="inlineStr">
        <is>
          <t>pl-katowice</t>
        </is>
      </c>
      <c r="B48" s="9" t="inlineStr">
        <is>
          <t>Katowice</t>
        </is>
      </c>
      <c r="C48" s="9" t="inlineStr">
        <is>
          <t>Poland</t>
        </is>
      </c>
      <c r="D48" s="9" t="inlineStr">
        <is>
          <t>Southern/Eastern Europe and Eurasia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IF(OR($G48="",$H48="",$I48="",$J48="",$K48="",$L48="",$AL48="",$AM48=""),"",((($G48*(1-$AM48))-$H48-$I48-$J48-$K48-$L48)/$AL48))</f>
        <v/>
      </c>
      <c r="N48" s="10" t="inlineStr"/>
      <c r="O48" s="10" t="inlineStr"/>
      <c r="P48" s="11">
        <f>IF($O48&lt;&gt;"",$O48,$AN48)</f>
        <v/>
      </c>
      <c r="Q48" s="10" t="inlineStr"/>
      <c r="R48" s="10" t="inlineStr"/>
      <c r="S48" s="10" t="inlineStr"/>
      <c r="T48" s="10" t="inlineStr"/>
      <c r="U48" s="10" t="inlineStr"/>
      <c r="V48" s="10" t="inlineStr"/>
      <c r="W48" s="10" t="inlineStr"/>
      <c r="X48" s="10" t="inlineStr"/>
      <c r="Y48" s="10" t="inlineStr"/>
      <c r="Z48" s="10" t="inlineStr"/>
      <c r="AA48" s="10" t="inlineStr"/>
      <c r="AB48" s="10" t="inlineStr"/>
      <c r="AC48" s="10" t="inlineStr"/>
      <c r="AD48" s="10" t="inlineStr"/>
      <c r="AE48" s="10" t="inlineStr"/>
      <c r="AF48" s="10" t="inlineStr"/>
      <c r="AG48" s="10" t="inlineStr"/>
      <c r="AH48" s="10" t="inlineStr"/>
      <c r="AI48" s="11">
        <f>IFERROR(INDEX(Country_Context!$B$2:$B$63,MATCH($C48,Country_Context!$A$2:$A$63,0)),"")</f>
        <v/>
      </c>
      <c r="AJ48" s="11">
        <f>IFERROR(INDEX(Country_Context!$C$2:$C$63,MATCH($C48,Country_Context!$A$2:$A$63,0)),"")</f>
        <v/>
      </c>
      <c r="AK48" s="11">
        <f>IFERROR(INDEX(Country_Context!$D$2:$D$63,MATCH($C48,Country_Context!$A$2:$A$63,0)),"")</f>
        <v/>
      </c>
      <c r="AL48" s="11">
        <f>IFERROR(INDEX(Country_Context!$E$2:$E$63,MATCH($C48,Country_Context!$A$2:$A$63,0)),"")</f>
        <v/>
      </c>
      <c r="AM48" s="11">
        <f>IFERROR(INDEX(Country_Context!$F$2:$F$63,MATCH($C48,Country_Context!$A$2:$A$63,0)),"")</f>
        <v/>
      </c>
      <c r="AN48" s="11">
        <f>IFERROR(INDEX(Country_Context!$G$2:$G$63,MATCH($C48,Country_Context!$A$2:$A$63,0)),"")</f>
        <v/>
      </c>
      <c r="AO48" s="12" t="inlineStr"/>
      <c r="AP48" s="12" t="inlineStr"/>
      <c r="AQ48" s="12" t="inlineStr"/>
      <c r="AR48" s="12" t="inlineStr"/>
      <c r="AS48" s="12" t="inlineStr"/>
      <c r="AT48" s="12" t="inlineStr"/>
      <c r="AU48" s="12" t="inlineStr"/>
      <c r="AV48" s="12" t="inlineStr"/>
      <c r="AW48" s="12" t="inlineStr"/>
      <c r="AX48" s="12" t="inlineStr"/>
      <c r="AY48" s="12" t="inlineStr"/>
      <c r="AZ48" s="12" t="inlineStr"/>
      <c r="BA48" s="12" t="inlineStr"/>
      <c r="BB48" s="12" t="inlineStr"/>
      <c r="BC48" s="12" t="inlineStr"/>
      <c r="BD48" s="12" t="inlineStr"/>
      <c r="BE48" s="12" t="inlineStr"/>
      <c r="BF48" s="12" t="inlineStr"/>
      <c r="BG48" s="12" t="inlineStr"/>
      <c r="BH48" s="12" t="inlineStr"/>
    </row>
    <row r="49">
      <c r="A49" s="9" t="inlineStr">
        <is>
          <t>pl-gdansk</t>
        </is>
      </c>
      <c r="B49" s="9" t="inlineStr">
        <is>
          <t>Gdansk</t>
        </is>
      </c>
      <c r="C49" s="9" t="inlineStr">
        <is>
          <t>Poland</t>
        </is>
      </c>
      <c r="D49" s="9" t="inlineStr">
        <is>
          <t>Southern/Eastern Europe and Eurasia</t>
        </is>
      </c>
      <c r="E49" s="9" t="inlineStr">
        <is>
          <t>secondary</t>
        </is>
      </c>
      <c r="F49" s="9" t="inlineStr">
        <is>
          <t>locked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IF(OR($G49="",$H49="",$I49="",$J49="",$K49="",$L49="",$AL49="",$AM49=""),"",((($G49*(1-$AM49))-$H49-$I49-$J49-$K49-$L49)/$AL49))</f>
        <v/>
      </c>
      <c r="N49" s="10" t="inlineStr"/>
      <c r="O49" s="10" t="inlineStr"/>
      <c r="P49" s="11">
        <f>IF($O49&lt;&gt;"",$O49,$AN49)</f>
        <v/>
      </c>
      <c r="Q49" s="10" t="inlineStr"/>
      <c r="R49" s="10" t="inlineStr"/>
      <c r="S49" s="10" t="inlineStr"/>
      <c r="T49" s="10" t="inlineStr"/>
      <c r="U49" s="10" t="inlineStr"/>
      <c r="V49" s="10" t="inlineStr"/>
      <c r="W49" s="10" t="inlineStr"/>
      <c r="X49" s="10" t="inlineStr"/>
      <c r="Y49" s="10" t="inlineStr"/>
      <c r="Z49" s="10" t="inlineStr"/>
      <c r="AA49" s="10" t="inlineStr"/>
      <c r="AB49" s="10" t="inlineStr"/>
      <c r="AC49" s="10" t="inlineStr"/>
      <c r="AD49" s="10" t="inlineStr"/>
      <c r="AE49" s="10" t="inlineStr"/>
      <c r="AF49" s="10" t="inlineStr"/>
      <c r="AG49" s="10" t="inlineStr"/>
      <c r="AH49" s="10" t="inlineStr"/>
      <c r="AI49" s="11">
        <f>IFERROR(INDEX(Country_Context!$B$2:$B$63,MATCH($C49,Country_Context!$A$2:$A$63,0)),"")</f>
        <v/>
      </c>
      <c r="AJ49" s="11">
        <f>IFERROR(INDEX(Country_Context!$C$2:$C$63,MATCH($C49,Country_Context!$A$2:$A$63,0)),"")</f>
        <v/>
      </c>
      <c r="AK49" s="11">
        <f>IFERROR(INDEX(Country_Context!$D$2:$D$63,MATCH($C49,Country_Context!$A$2:$A$63,0)),"")</f>
        <v/>
      </c>
      <c r="AL49" s="11">
        <f>IFERROR(INDEX(Country_Context!$E$2:$E$63,MATCH($C49,Country_Context!$A$2:$A$63,0)),"")</f>
        <v/>
      </c>
      <c r="AM49" s="11">
        <f>IFERROR(INDEX(Country_Context!$F$2:$F$63,MATCH($C49,Country_Context!$A$2:$A$63,0)),"")</f>
        <v/>
      </c>
      <c r="AN49" s="11">
        <f>IFERROR(INDEX(Country_Context!$G$2:$G$63,MATCH($C49,Country_Context!$A$2:$A$63,0)),"")</f>
        <v/>
      </c>
      <c r="AO49" s="12" t="inlineStr"/>
      <c r="AP49" s="12" t="inlineStr"/>
      <c r="AQ49" s="12" t="inlineStr"/>
      <c r="AR49" s="12" t="inlineStr"/>
      <c r="AS49" s="12" t="inlineStr"/>
      <c r="AT49" s="12" t="inlineStr"/>
      <c r="AU49" s="12" t="inlineStr"/>
      <c r="AV49" s="12" t="inlineStr"/>
      <c r="AW49" s="12" t="inlineStr"/>
      <c r="AX49" s="12" t="inlineStr"/>
      <c r="AY49" s="12" t="inlineStr"/>
      <c r="AZ49" s="12" t="inlineStr"/>
      <c r="BA49" s="12" t="inlineStr"/>
      <c r="BB49" s="12" t="inlineStr"/>
      <c r="BC49" s="12" t="inlineStr"/>
      <c r="BD49" s="12" t="inlineStr"/>
      <c r="BE49" s="12" t="inlineStr"/>
      <c r="BF49" s="12" t="inlineStr"/>
      <c r="BG49" s="12" t="inlineStr"/>
      <c r="BH49" s="12" t="inlineStr"/>
    </row>
    <row r="50">
      <c r="A50" s="9" t="inlineStr">
        <is>
          <t>pl-torun</t>
        </is>
      </c>
      <c r="B50" s="9" t="inlineStr">
        <is>
          <t>Torun</t>
        </is>
      </c>
      <c r="C50" s="9" t="inlineStr">
        <is>
          <t>Poland</t>
        </is>
      </c>
      <c r="D50" s="9" t="inlineStr">
        <is>
          <t>Southern/Eastern Europe and Eurasia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IF(OR($G50="",$H50="",$I50="",$J50="",$K50="",$L50="",$AL50="",$AM50=""),"",((($G50*(1-$AM50))-$H50-$I50-$J50-$K50-$L50)/$AL50))</f>
        <v/>
      </c>
      <c r="N50" s="10" t="inlineStr"/>
      <c r="O50" s="10" t="inlineStr"/>
      <c r="P50" s="11">
        <f>IF($O50&lt;&gt;"",$O50,$AN50)</f>
        <v/>
      </c>
      <c r="Q50" s="10" t="inlineStr"/>
      <c r="R50" s="10" t="inlineStr"/>
      <c r="S50" s="10" t="inlineStr"/>
      <c r="T50" s="10" t="inlineStr"/>
      <c r="U50" s="10" t="inlineStr"/>
      <c r="V50" s="10" t="inlineStr"/>
      <c r="W50" s="10" t="inlineStr"/>
      <c r="X50" s="10" t="inlineStr"/>
      <c r="Y50" s="10" t="inlineStr"/>
      <c r="Z50" s="10" t="inlineStr"/>
      <c r="AA50" s="10" t="inlineStr"/>
      <c r="AB50" s="10" t="inlineStr"/>
      <c r="AC50" s="10" t="inlineStr"/>
      <c r="AD50" s="10" t="inlineStr"/>
      <c r="AE50" s="10" t="inlineStr"/>
      <c r="AF50" s="10" t="inlineStr"/>
      <c r="AG50" s="10" t="inlineStr"/>
      <c r="AH50" s="10" t="inlineStr"/>
      <c r="AI50" s="11">
        <f>IFERROR(INDEX(Country_Context!$B$2:$B$63,MATCH($C50,Country_Context!$A$2:$A$63,0)),"")</f>
        <v/>
      </c>
      <c r="AJ50" s="11">
        <f>IFERROR(INDEX(Country_Context!$C$2:$C$63,MATCH($C50,Country_Context!$A$2:$A$63,0)),"")</f>
        <v/>
      </c>
      <c r="AK50" s="11">
        <f>IFERROR(INDEX(Country_Context!$D$2:$D$63,MATCH($C50,Country_Context!$A$2:$A$63,0)),"")</f>
        <v/>
      </c>
      <c r="AL50" s="11">
        <f>IFERROR(INDEX(Country_Context!$E$2:$E$63,MATCH($C50,Country_Context!$A$2:$A$63,0)),"")</f>
        <v/>
      </c>
      <c r="AM50" s="11">
        <f>IFERROR(INDEX(Country_Context!$F$2:$F$63,MATCH($C50,Country_Context!$A$2:$A$63,0)),"")</f>
        <v/>
      </c>
      <c r="AN50" s="11">
        <f>IFERROR(INDEX(Country_Context!$G$2:$G$63,MATCH($C50,Country_Context!$A$2:$A$63,0)),"")</f>
        <v/>
      </c>
      <c r="AO50" s="12" t="inlineStr"/>
      <c r="AP50" s="12" t="inlineStr"/>
      <c r="AQ50" s="12" t="inlineStr"/>
      <c r="AR50" s="12" t="inlineStr"/>
      <c r="AS50" s="12" t="inlineStr"/>
      <c r="AT50" s="12" t="inlineStr"/>
      <c r="AU50" s="12" t="inlineStr"/>
      <c r="AV50" s="12" t="inlineStr"/>
      <c r="AW50" s="12" t="inlineStr"/>
      <c r="AX50" s="12" t="inlineStr"/>
      <c r="AY50" s="12" t="inlineStr"/>
      <c r="AZ50" s="12" t="inlineStr"/>
      <c r="BA50" s="12" t="inlineStr"/>
      <c r="BB50" s="12" t="inlineStr"/>
      <c r="BC50" s="12" t="inlineStr"/>
      <c r="BD50" s="12" t="inlineStr"/>
      <c r="BE50" s="12" t="inlineStr"/>
      <c r="BF50" s="12" t="inlineStr"/>
      <c r="BG50" s="12" t="inlineStr"/>
      <c r="BH50" s="12" t="inlineStr"/>
    </row>
    <row r="51">
      <c r="A51" s="9" t="inlineStr">
        <is>
          <t>sk-bratislava</t>
        </is>
      </c>
      <c r="B51" s="9" t="inlineStr">
        <is>
          <t>Bratislava</t>
        </is>
      </c>
      <c r="C51" s="9" t="inlineStr">
        <is>
          <t>Slovakia</t>
        </is>
      </c>
      <c r="D51" s="9" t="inlineStr">
        <is>
          <t>Southern/Eastern Europe and Eurasia</t>
        </is>
      </c>
      <c r="E51" s="9" t="inlineStr">
        <is>
          <t>secondary</t>
        </is>
      </c>
      <c r="F51" s="9" t="inlineStr">
        <is>
          <t>provisional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IF(OR($G51="",$H51="",$I51="",$J51="",$K51="",$L51="",$AL51="",$AM51=""),"",((($G51*(1-$AM51))-$H51-$I51-$J51-$K51-$L51)/$AL51))</f>
        <v/>
      </c>
      <c r="N51" s="10" t="inlineStr"/>
      <c r="O51" s="10" t="inlineStr"/>
      <c r="P51" s="11">
        <f>IF($O51&lt;&gt;"",$O51,$AN51)</f>
        <v/>
      </c>
      <c r="Q51" s="10" t="inlineStr"/>
      <c r="R51" s="10" t="inlineStr"/>
      <c r="S51" s="10" t="inlineStr"/>
      <c r="T51" s="10" t="inlineStr"/>
      <c r="U51" s="10" t="inlineStr"/>
      <c r="V51" s="10" t="inlineStr"/>
      <c r="W51" s="10" t="inlineStr"/>
      <c r="X51" s="10" t="inlineStr"/>
      <c r="Y51" s="10" t="inlineStr"/>
      <c r="Z51" s="10" t="inlineStr"/>
      <c r="AA51" s="10" t="inlineStr"/>
      <c r="AB51" s="10" t="inlineStr"/>
      <c r="AC51" s="10" t="inlineStr"/>
      <c r="AD51" s="10" t="inlineStr"/>
      <c r="AE51" s="10" t="inlineStr"/>
      <c r="AF51" s="10" t="inlineStr"/>
      <c r="AG51" s="10" t="inlineStr"/>
      <c r="AH51" s="10" t="inlineStr"/>
      <c r="AI51" s="11">
        <f>IFERROR(INDEX(Country_Context!$B$2:$B$63,MATCH($C51,Country_Context!$A$2:$A$63,0)),"")</f>
        <v/>
      </c>
      <c r="AJ51" s="11">
        <f>IFERROR(INDEX(Country_Context!$C$2:$C$63,MATCH($C51,Country_Context!$A$2:$A$63,0)),"")</f>
        <v/>
      </c>
      <c r="AK51" s="11">
        <f>IFERROR(INDEX(Country_Context!$D$2:$D$63,MATCH($C51,Country_Context!$A$2:$A$63,0)),"")</f>
        <v/>
      </c>
      <c r="AL51" s="11">
        <f>IFERROR(INDEX(Country_Context!$E$2:$E$63,MATCH($C51,Country_Context!$A$2:$A$63,0)),"")</f>
        <v/>
      </c>
      <c r="AM51" s="11">
        <f>IFERROR(INDEX(Country_Context!$F$2:$F$63,MATCH($C51,Country_Context!$A$2:$A$63,0)),"")</f>
        <v/>
      </c>
      <c r="AN51" s="11">
        <f>IFERROR(INDEX(Country_Context!$G$2:$G$63,MATCH($C51,Country_Context!$A$2:$A$63,0)),"")</f>
        <v/>
      </c>
      <c r="AO51" s="12" t="inlineStr"/>
      <c r="AP51" s="12" t="inlineStr"/>
      <c r="AQ51" s="12" t="inlineStr"/>
      <c r="AR51" s="12" t="inlineStr"/>
      <c r="AS51" s="12" t="inlineStr"/>
      <c r="AT51" s="12" t="inlineStr"/>
      <c r="AU51" s="12" t="inlineStr"/>
      <c r="AV51" s="12" t="inlineStr"/>
      <c r="AW51" s="12" t="inlineStr"/>
      <c r="AX51" s="12" t="inlineStr"/>
      <c r="AY51" s="12" t="inlineStr"/>
      <c r="AZ51" s="12" t="inlineStr"/>
      <c r="BA51" s="12" t="inlineStr"/>
      <c r="BB51" s="12" t="inlineStr"/>
      <c r="BC51" s="12" t="inlineStr"/>
      <c r="BD51" s="12" t="inlineStr"/>
      <c r="BE51" s="12" t="inlineStr"/>
      <c r="BF51" s="12" t="inlineStr"/>
      <c r="BG51" s="12" t="inlineStr"/>
      <c r="BH51" s="12" t="inlineStr"/>
    </row>
    <row r="52">
      <c r="A52" s="9" t="inlineStr">
        <is>
          <t>us-chicago</t>
        </is>
      </c>
      <c r="B52" s="9" t="inlineStr">
        <is>
          <t>Chicago</t>
        </is>
      </c>
      <c r="C52" s="9" t="inlineStr">
        <is>
          <t>United States</t>
        </is>
      </c>
      <c r="D52" s="9" t="inlineStr">
        <is>
          <t>North America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IF(OR($G52="",$H52="",$I52="",$J52="",$K52="",$L52="",$AL52="",$AM52=""),"",((($G52*(1-$AM52))-$H52-$I52-$J52-$K52-$L52)/$AL52))</f>
        <v/>
      </c>
      <c r="N52" s="10" t="inlineStr"/>
      <c r="O52" s="10" t="inlineStr"/>
      <c r="P52" s="11">
        <f>IF($O52&lt;&gt;"",$O52,$AN52)</f>
        <v/>
      </c>
      <c r="Q52" s="10" t="inlineStr"/>
      <c r="R52" s="10" t="inlineStr"/>
      <c r="S52" s="10" t="inlineStr"/>
      <c r="T52" s="10" t="inlineStr"/>
      <c r="U52" s="10" t="inlineStr"/>
      <c r="V52" s="10" t="inlineStr"/>
      <c r="W52" s="10" t="inlineStr"/>
      <c r="X52" s="10" t="inlineStr"/>
      <c r="Y52" s="10" t="inlineStr"/>
      <c r="Z52" s="10" t="inlineStr"/>
      <c r="AA52" s="10" t="inlineStr"/>
      <c r="AB52" s="10" t="inlineStr"/>
      <c r="AC52" s="10" t="inlineStr"/>
      <c r="AD52" s="10" t="inlineStr"/>
      <c r="AE52" s="10" t="inlineStr"/>
      <c r="AF52" s="10" t="inlineStr"/>
      <c r="AG52" s="10" t="inlineStr"/>
      <c r="AH52" s="10" t="inlineStr"/>
      <c r="AI52" s="11">
        <f>IFERROR(INDEX(Country_Context!$B$2:$B$63,MATCH($C52,Country_Context!$A$2:$A$63,0)),"")</f>
        <v/>
      </c>
      <c r="AJ52" s="11">
        <f>IFERROR(INDEX(Country_Context!$C$2:$C$63,MATCH($C52,Country_Context!$A$2:$A$63,0)),"")</f>
        <v/>
      </c>
      <c r="AK52" s="11">
        <f>IFERROR(INDEX(Country_Context!$D$2:$D$63,MATCH($C52,Country_Context!$A$2:$A$63,0)),"")</f>
        <v/>
      </c>
      <c r="AL52" s="11">
        <f>IFERROR(INDEX(Country_Context!$E$2:$E$63,MATCH($C52,Country_Context!$A$2:$A$63,0)),"")</f>
        <v/>
      </c>
      <c r="AM52" s="11">
        <f>IFERROR(INDEX(Country_Context!$F$2:$F$63,MATCH($C52,Country_Context!$A$2:$A$63,0)),"")</f>
        <v/>
      </c>
      <c r="AN52" s="11">
        <f>IFERROR(INDEX(Country_Context!$G$2:$G$63,MATCH($C52,Country_Context!$A$2:$A$63,0)),"")</f>
        <v/>
      </c>
      <c r="AO52" s="12" t="inlineStr"/>
      <c r="AP52" s="12" t="inlineStr"/>
      <c r="AQ52" s="12" t="inlineStr"/>
      <c r="AR52" s="12" t="inlineStr"/>
      <c r="AS52" s="12" t="inlineStr"/>
      <c r="AT52" s="12" t="inlineStr"/>
      <c r="AU52" s="12" t="inlineStr"/>
      <c r="AV52" s="12" t="inlineStr"/>
      <c r="AW52" s="12" t="inlineStr"/>
      <c r="AX52" s="12" t="inlineStr"/>
      <c r="AY52" s="12" t="inlineStr"/>
      <c r="AZ52" s="12" t="inlineStr"/>
      <c r="BA52" s="12" t="inlineStr"/>
      <c r="BB52" s="12" t="inlineStr"/>
      <c r="BC52" s="12" t="inlineStr"/>
      <c r="BD52" s="12" t="inlineStr"/>
      <c r="BE52" s="12" t="inlineStr"/>
      <c r="BF52" s="12" t="inlineStr"/>
      <c r="BG52" s="12" t="inlineStr"/>
      <c r="BH52" s="12" t="inlineStr"/>
    </row>
    <row r="53">
      <c r="A53" s="9" t="inlineStr">
        <is>
          <t>mx-mexico-city</t>
        </is>
      </c>
      <c r="B53" s="9" t="inlineStr">
        <is>
          <t>Mexico City</t>
        </is>
      </c>
      <c r="C53" s="9" t="inlineStr">
        <is>
          <t>Mexico</t>
        </is>
      </c>
      <c r="D53" s="9" t="inlineStr">
        <is>
          <t>North America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IF(OR($G53="",$H53="",$I53="",$J53="",$K53="",$L53="",$AL53="",$AM53=""),"",((($G53*(1-$AM53))-$H53-$I53-$J53-$K53-$L53)/$AL53))</f>
        <v/>
      </c>
      <c r="N53" s="10" t="inlineStr"/>
      <c r="O53" s="10" t="inlineStr"/>
      <c r="P53" s="11">
        <f>IF($O53&lt;&gt;"",$O53,$AN53)</f>
        <v/>
      </c>
      <c r="Q53" s="10" t="inlineStr"/>
      <c r="R53" s="10" t="inlineStr"/>
      <c r="S53" s="10" t="inlineStr"/>
      <c r="T53" s="10" t="inlineStr"/>
      <c r="U53" s="10" t="inlineStr"/>
      <c r="V53" s="10" t="inlineStr"/>
      <c r="W53" s="10" t="inlineStr"/>
      <c r="X53" s="10" t="inlineStr"/>
      <c r="Y53" s="10" t="inlineStr"/>
      <c r="Z53" s="10" t="inlineStr"/>
      <c r="AA53" s="10" t="inlineStr"/>
      <c r="AB53" s="10" t="inlineStr"/>
      <c r="AC53" s="10" t="inlineStr"/>
      <c r="AD53" s="10" t="inlineStr"/>
      <c r="AE53" s="10" t="inlineStr"/>
      <c r="AF53" s="10" t="inlineStr"/>
      <c r="AG53" s="10" t="inlineStr"/>
      <c r="AH53" s="10" t="inlineStr"/>
      <c r="AI53" s="11">
        <f>IFERROR(INDEX(Country_Context!$B$2:$B$63,MATCH($C53,Country_Context!$A$2:$A$63,0)),"")</f>
        <v/>
      </c>
      <c r="AJ53" s="11">
        <f>IFERROR(INDEX(Country_Context!$C$2:$C$63,MATCH($C53,Country_Context!$A$2:$A$63,0)),"")</f>
        <v/>
      </c>
      <c r="AK53" s="11">
        <f>IFERROR(INDEX(Country_Context!$D$2:$D$63,MATCH($C53,Country_Context!$A$2:$A$63,0)),"")</f>
        <v/>
      </c>
      <c r="AL53" s="11">
        <f>IFERROR(INDEX(Country_Context!$E$2:$E$63,MATCH($C53,Country_Context!$A$2:$A$63,0)),"")</f>
        <v/>
      </c>
      <c r="AM53" s="11">
        <f>IFERROR(INDEX(Country_Context!$F$2:$F$63,MATCH($C53,Country_Context!$A$2:$A$63,0)),"")</f>
        <v/>
      </c>
      <c r="AN53" s="11">
        <f>IFERROR(INDEX(Country_Context!$G$2:$G$63,MATCH($C53,Country_Context!$A$2:$A$63,0)),"")</f>
        <v/>
      </c>
      <c r="AO53" s="12" t="inlineStr"/>
      <c r="AP53" s="12" t="inlineStr"/>
      <c r="AQ53" s="12" t="inlineStr"/>
      <c r="AR53" s="12" t="inlineStr"/>
      <c r="AS53" s="12" t="inlineStr"/>
      <c r="AT53" s="12" t="inlineStr"/>
      <c r="AU53" s="12" t="inlineStr"/>
      <c r="AV53" s="12" t="inlineStr"/>
      <c r="AW53" s="12" t="inlineStr"/>
      <c r="AX53" s="12" t="inlineStr"/>
      <c r="AY53" s="12" t="inlineStr"/>
      <c r="AZ53" s="12" t="inlineStr"/>
      <c r="BA53" s="12" t="inlineStr"/>
      <c r="BB53" s="12" t="inlineStr"/>
      <c r="BC53" s="12" t="inlineStr"/>
      <c r="BD53" s="12" t="inlineStr"/>
      <c r="BE53" s="12" t="inlineStr"/>
      <c r="BF53" s="12" t="inlineStr"/>
      <c r="BG53" s="12" t="inlineStr"/>
      <c r="BH53" s="12" t="inlineStr"/>
    </row>
    <row r="54">
      <c r="A54" s="9" t="inlineStr">
        <is>
          <t>ca-toronto</t>
        </is>
      </c>
      <c r="B54" s="9" t="inlineStr">
        <is>
          <t>Toronto</t>
        </is>
      </c>
      <c r="C54" s="9" t="inlineStr">
        <is>
          <t>Canada</t>
        </is>
      </c>
      <c r="D54" s="9" t="inlineStr">
        <is>
          <t>North America</t>
        </is>
      </c>
      <c r="E54" s="9" t="inlineStr">
        <is>
          <t>primary</t>
        </is>
      </c>
      <c r="F54" s="9" t="inlineStr">
        <is>
          <t>provisional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IF(OR($G54="",$H54="",$I54="",$J54="",$K54="",$L54="",$AL54="",$AM54=""),"",((($G54*(1-$AM54))-$H54-$I54-$J54-$K54-$L54)/$AL54))</f>
        <v/>
      </c>
      <c r="N54" s="10" t="inlineStr"/>
      <c r="O54" s="10" t="inlineStr"/>
      <c r="P54" s="11">
        <f>IF($O54&lt;&gt;"",$O54,$AN54)</f>
        <v/>
      </c>
      <c r="Q54" s="10" t="inlineStr"/>
      <c r="R54" s="10" t="inlineStr"/>
      <c r="S54" s="10" t="inlineStr"/>
      <c r="T54" s="10" t="inlineStr"/>
      <c r="U54" s="10" t="inlineStr"/>
      <c r="V54" s="10" t="inlineStr"/>
      <c r="W54" s="10" t="inlineStr"/>
      <c r="X54" s="10" t="inlineStr"/>
      <c r="Y54" s="10" t="inlineStr"/>
      <c r="Z54" s="10" t="inlineStr"/>
      <c r="AA54" s="10" t="inlineStr"/>
      <c r="AB54" s="10" t="inlineStr"/>
      <c r="AC54" s="10" t="inlineStr"/>
      <c r="AD54" s="10" t="inlineStr"/>
      <c r="AE54" s="10" t="inlineStr"/>
      <c r="AF54" s="10" t="inlineStr"/>
      <c r="AG54" s="10" t="inlineStr"/>
      <c r="AH54" s="10" t="inlineStr"/>
      <c r="AI54" s="11">
        <f>IFERROR(INDEX(Country_Context!$B$2:$B$63,MATCH($C54,Country_Context!$A$2:$A$63,0)),"")</f>
        <v/>
      </c>
      <c r="AJ54" s="11">
        <f>IFERROR(INDEX(Country_Context!$C$2:$C$63,MATCH($C54,Country_Context!$A$2:$A$63,0)),"")</f>
        <v/>
      </c>
      <c r="AK54" s="11">
        <f>IFERROR(INDEX(Country_Context!$D$2:$D$63,MATCH($C54,Country_Context!$A$2:$A$63,0)),"")</f>
        <v/>
      </c>
      <c r="AL54" s="11">
        <f>IFERROR(INDEX(Country_Context!$E$2:$E$63,MATCH($C54,Country_Context!$A$2:$A$63,0)),"")</f>
        <v/>
      </c>
      <c r="AM54" s="11">
        <f>IFERROR(INDEX(Country_Context!$F$2:$F$63,MATCH($C54,Country_Context!$A$2:$A$63,0)),"")</f>
        <v/>
      </c>
      <c r="AN54" s="11">
        <f>IFERROR(INDEX(Country_Context!$G$2:$G$63,MATCH($C54,Country_Context!$A$2:$A$63,0)),"")</f>
        <v/>
      </c>
      <c r="AO54" s="12" t="inlineStr"/>
      <c r="AP54" s="12" t="inlineStr"/>
      <c r="AQ54" s="12" t="inlineStr"/>
      <c r="AR54" s="12" t="inlineStr"/>
      <c r="AS54" s="12" t="inlineStr"/>
      <c r="AT54" s="12" t="inlineStr"/>
      <c r="AU54" s="12" t="inlineStr"/>
      <c r="AV54" s="12" t="inlineStr"/>
      <c r="AW54" s="12" t="inlineStr"/>
      <c r="AX54" s="12" t="inlineStr"/>
      <c r="AY54" s="12" t="inlineStr"/>
      <c r="AZ54" s="12" t="inlineStr"/>
      <c r="BA54" s="12" t="inlineStr"/>
      <c r="BB54" s="12" t="inlineStr"/>
      <c r="BC54" s="12" t="inlineStr"/>
      <c r="BD54" s="12" t="inlineStr"/>
      <c r="BE54" s="12" t="inlineStr"/>
      <c r="BF54" s="12" t="inlineStr"/>
      <c r="BG54" s="12" t="inlineStr"/>
      <c r="BH54" s="12" t="inlineStr"/>
    </row>
    <row r="55">
      <c r="A55" s="9" t="inlineStr">
        <is>
          <t>pa-panama-city</t>
        </is>
      </c>
      <c r="B55" s="9" t="inlineStr">
        <is>
          <t>Panama City</t>
        </is>
      </c>
      <c r="C55" s="9" t="inlineStr">
        <is>
          <t>Panama</t>
        </is>
      </c>
      <c r="D55" s="9" t="inlineStr">
        <is>
          <t>North America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IF(OR($G55="",$H55="",$I55="",$J55="",$K55="",$L55="",$AL55="",$AM55=""),"",((($G55*(1-$AM55))-$H55-$I55-$J55-$K55-$L55)/$AL55))</f>
        <v/>
      </c>
      <c r="N55" s="10" t="inlineStr"/>
      <c r="O55" s="10" t="inlineStr"/>
      <c r="P55" s="11">
        <f>IF($O55&lt;&gt;"",$O55,$AN55)</f>
        <v/>
      </c>
      <c r="Q55" s="10" t="inlineStr"/>
      <c r="R55" s="10" t="inlineStr"/>
      <c r="S55" s="10" t="inlineStr"/>
      <c r="T55" s="10" t="inlineStr"/>
      <c r="U55" s="10" t="inlineStr"/>
      <c r="V55" s="10" t="inlineStr"/>
      <c r="W55" s="10" t="inlineStr"/>
      <c r="X55" s="10" t="inlineStr"/>
      <c r="Y55" s="10" t="inlineStr"/>
      <c r="Z55" s="10" t="inlineStr"/>
      <c r="AA55" s="10" t="inlineStr"/>
      <c r="AB55" s="10" t="inlineStr"/>
      <c r="AC55" s="10" t="inlineStr"/>
      <c r="AD55" s="10" t="inlineStr"/>
      <c r="AE55" s="10" t="inlineStr"/>
      <c r="AF55" s="10" t="inlineStr"/>
      <c r="AG55" s="10" t="inlineStr"/>
      <c r="AH55" s="10" t="inlineStr"/>
      <c r="AI55" s="11">
        <f>IFERROR(INDEX(Country_Context!$B$2:$B$63,MATCH($C55,Country_Context!$A$2:$A$63,0)),"")</f>
        <v/>
      </c>
      <c r="AJ55" s="11">
        <f>IFERROR(INDEX(Country_Context!$C$2:$C$63,MATCH($C55,Country_Context!$A$2:$A$63,0)),"")</f>
        <v/>
      </c>
      <c r="AK55" s="11">
        <f>IFERROR(INDEX(Country_Context!$D$2:$D$63,MATCH($C55,Country_Context!$A$2:$A$63,0)),"")</f>
        <v/>
      </c>
      <c r="AL55" s="11">
        <f>IFERROR(INDEX(Country_Context!$E$2:$E$63,MATCH($C55,Country_Context!$A$2:$A$63,0)),"")</f>
        <v/>
      </c>
      <c r="AM55" s="11">
        <f>IFERROR(INDEX(Country_Context!$F$2:$F$63,MATCH($C55,Country_Context!$A$2:$A$63,0)),"")</f>
        <v/>
      </c>
      <c r="AN55" s="11">
        <f>IFERROR(INDEX(Country_Context!$G$2:$G$63,MATCH($C55,Country_Context!$A$2:$A$63,0)),"")</f>
        <v/>
      </c>
      <c r="AO55" s="12" t="inlineStr"/>
      <c r="AP55" s="12" t="inlineStr"/>
      <c r="AQ55" s="12" t="inlineStr"/>
      <c r="AR55" s="12" t="inlineStr"/>
      <c r="AS55" s="12" t="inlineStr"/>
      <c r="AT55" s="12" t="inlineStr"/>
      <c r="AU55" s="12" t="inlineStr"/>
      <c r="AV55" s="12" t="inlineStr"/>
      <c r="AW55" s="12" t="inlineStr"/>
      <c r="AX55" s="12" t="inlineStr"/>
      <c r="AY55" s="12" t="inlineStr"/>
      <c r="AZ55" s="12" t="inlineStr"/>
      <c r="BA55" s="12" t="inlineStr"/>
      <c r="BB55" s="12" t="inlineStr"/>
      <c r="BC55" s="12" t="inlineStr"/>
      <c r="BD55" s="12" t="inlineStr"/>
      <c r="BE55" s="12" t="inlineStr"/>
      <c r="BF55" s="12" t="inlineStr"/>
      <c r="BG55" s="12" t="inlineStr"/>
      <c r="BH55" s="12" t="inlineStr"/>
    </row>
    <row r="56">
      <c r="A56" s="9" t="inlineStr">
        <is>
          <t>cr-san-jose</t>
        </is>
      </c>
      <c r="B56" s="9" t="inlineStr">
        <is>
          <t>San Jose</t>
        </is>
      </c>
      <c r="C56" s="9" t="inlineStr">
        <is>
          <t>Costa Rica</t>
        </is>
      </c>
      <c r="D56" s="9" t="inlineStr">
        <is>
          <t>North America</t>
        </is>
      </c>
      <c r="E56" s="9" t="inlineStr">
        <is>
          <t>primary</t>
        </is>
      </c>
      <c r="F56" s="9" t="inlineStr">
        <is>
          <t>locked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IF(OR($G56="",$H56="",$I56="",$J56="",$K56="",$L56="",$AL56="",$AM56=""),"",((($G56*(1-$AM56))-$H56-$I56-$J56-$K56-$L56)/$AL56))</f>
        <v/>
      </c>
      <c r="N56" s="10" t="inlineStr"/>
      <c r="O56" s="10" t="inlineStr"/>
      <c r="P56" s="11">
        <f>IF($O56&lt;&gt;"",$O56,$AN56)</f>
        <v/>
      </c>
      <c r="Q56" s="10" t="inlineStr"/>
      <c r="R56" s="10" t="inlineStr"/>
      <c r="S56" s="10" t="inlineStr"/>
      <c r="T56" s="10" t="inlineStr"/>
      <c r="U56" s="10" t="inlineStr"/>
      <c r="V56" s="10" t="inlineStr"/>
      <c r="W56" s="10" t="inlineStr"/>
      <c r="X56" s="10" t="inlineStr"/>
      <c r="Y56" s="10" t="inlineStr"/>
      <c r="Z56" s="10" t="inlineStr"/>
      <c r="AA56" s="10" t="inlineStr"/>
      <c r="AB56" s="10" t="inlineStr"/>
      <c r="AC56" s="10" t="inlineStr"/>
      <c r="AD56" s="10" t="inlineStr"/>
      <c r="AE56" s="10" t="inlineStr"/>
      <c r="AF56" s="10" t="inlineStr"/>
      <c r="AG56" s="10" t="inlineStr"/>
      <c r="AH56" s="10" t="inlineStr"/>
      <c r="AI56" s="11">
        <f>IFERROR(INDEX(Country_Context!$B$2:$B$63,MATCH($C56,Country_Context!$A$2:$A$63,0)),"")</f>
        <v/>
      </c>
      <c r="AJ56" s="11">
        <f>IFERROR(INDEX(Country_Context!$C$2:$C$63,MATCH($C56,Country_Context!$A$2:$A$63,0)),"")</f>
        <v/>
      </c>
      <c r="AK56" s="11">
        <f>IFERROR(INDEX(Country_Context!$D$2:$D$63,MATCH($C56,Country_Context!$A$2:$A$63,0)),"")</f>
        <v/>
      </c>
      <c r="AL56" s="11">
        <f>IFERROR(INDEX(Country_Context!$E$2:$E$63,MATCH($C56,Country_Context!$A$2:$A$63,0)),"")</f>
        <v/>
      </c>
      <c r="AM56" s="11">
        <f>IFERROR(INDEX(Country_Context!$F$2:$F$63,MATCH($C56,Country_Context!$A$2:$A$63,0)),"")</f>
        <v/>
      </c>
      <c r="AN56" s="11">
        <f>IFERROR(INDEX(Country_Context!$G$2:$G$63,MATCH($C56,Country_Context!$A$2:$A$63,0)),"")</f>
        <v/>
      </c>
      <c r="AO56" s="12" t="inlineStr"/>
      <c r="AP56" s="12" t="inlineStr"/>
      <c r="AQ56" s="12" t="inlineStr"/>
      <c r="AR56" s="12" t="inlineStr"/>
      <c r="AS56" s="12" t="inlineStr"/>
      <c r="AT56" s="12" t="inlineStr"/>
      <c r="AU56" s="12" t="inlineStr"/>
      <c r="AV56" s="12" t="inlineStr"/>
      <c r="AW56" s="12" t="inlineStr"/>
      <c r="AX56" s="12" t="inlineStr"/>
      <c r="AY56" s="12" t="inlineStr"/>
      <c r="AZ56" s="12" t="inlineStr"/>
      <c r="BA56" s="12" t="inlineStr"/>
      <c r="BB56" s="12" t="inlineStr"/>
      <c r="BC56" s="12" t="inlineStr"/>
      <c r="BD56" s="12" t="inlineStr"/>
      <c r="BE56" s="12" t="inlineStr"/>
      <c r="BF56" s="12" t="inlineStr"/>
      <c r="BG56" s="12" t="inlineStr"/>
      <c r="BH56" s="12" t="inlineStr"/>
    </row>
    <row r="57">
      <c r="A57" s="9" t="inlineStr">
        <is>
          <t>us-pittsburgh</t>
        </is>
      </c>
      <c r="B57" s="9" t="inlineStr">
        <is>
          <t>Pittsburgh</t>
        </is>
      </c>
      <c r="C57" s="9" t="inlineStr">
        <is>
          <t>United States</t>
        </is>
      </c>
      <c r="D57" s="9" t="inlineStr">
        <is>
          <t>North America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IF(OR($G57="",$H57="",$I57="",$J57="",$K57="",$L57="",$AL57="",$AM57=""),"",((($G57*(1-$AM57))-$H57-$I57-$J57-$K57-$L57)/$AL57))</f>
        <v/>
      </c>
      <c r="N57" s="10" t="inlineStr"/>
      <c r="O57" s="10" t="inlineStr"/>
      <c r="P57" s="11">
        <f>IF($O57&lt;&gt;"",$O57,$AN57)</f>
        <v/>
      </c>
      <c r="Q57" s="10" t="inlineStr"/>
      <c r="R57" s="10" t="inlineStr"/>
      <c r="S57" s="10" t="inlineStr"/>
      <c r="T57" s="10" t="inlineStr"/>
      <c r="U57" s="10" t="inlineStr"/>
      <c r="V57" s="10" t="inlineStr"/>
      <c r="W57" s="10" t="inlineStr"/>
      <c r="X57" s="10" t="inlineStr"/>
      <c r="Y57" s="10" t="inlineStr"/>
      <c r="Z57" s="10" t="inlineStr"/>
      <c r="AA57" s="10" t="inlineStr"/>
      <c r="AB57" s="10" t="inlineStr"/>
      <c r="AC57" s="10" t="inlineStr"/>
      <c r="AD57" s="10" t="inlineStr"/>
      <c r="AE57" s="10" t="inlineStr"/>
      <c r="AF57" s="10" t="inlineStr"/>
      <c r="AG57" s="10" t="inlineStr"/>
      <c r="AH57" s="10" t="inlineStr"/>
      <c r="AI57" s="11">
        <f>IFERROR(INDEX(Country_Context!$B$2:$B$63,MATCH($C57,Country_Context!$A$2:$A$63,0)),"")</f>
        <v/>
      </c>
      <c r="AJ57" s="11">
        <f>IFERROR(INDEX(Country_Context!$C$2:$C$63,MATCH($C57,Country_Context!$A$2:$A$63,0)),"")</f>
        <v/>
      </c>
      <c r="AK57" s="11">
        <f>IFERROR(INDEX(Country_Context!$D$2:$D$63,MATCH($C57,Country_Context!$A$2:$A$63,0)),"")</f>
        <v/>
      </c>
      <c r="AL57" s="11">
        <f>IFERROR(INDEX(Country_Context!$E$2:$E$63,MATCH($C57,Country_Context!$A$2:$A$63,0)),"")</f>
        <v/>
      </c>
      <c r="AM57" s="11">
        <f>IFERROR(INDEX(Country_Context!$F$2:$F$63,MATCH($C57,Country_Context!$A$2:$A$63,0)),"")</f>
        <v/>
      </c>
      <c r="AN57" s="11">
        <f>IFERROR(INDEX(Country_Context!$G$2:$G$63,MATCH($C57,Country_Context!$A$2:$A$63,0)),"")</f>
        <v/>
      </c>
      <c r="AO57" s="12" t="inlineStr"/>
      <c r="AP57" s="12" t="inlineStr"/>
      <c r="AQ57" s="12" t="inlineStr"/>
      <c r="AR57" s="12" t="inlineStr"/>
      <c r="AS57" s="12" t="inlineStr"/>
      <c r="AT57" s="12" t="inlineStr"/>
      <c r="AU57" s="12" t="inlineStr"/>
      <c r="AV57" s="12" t="inlineStr"/>
      <c r="AW57" s="12" t="inlineStr"/>
      <c r="AX57" s="12" t="inlineStr"/>
      <c r="AY57" s="12" t="inlineStr"/>
      <c r="AZ57" s="12" t="inlineStr"/>
      <c r="BA57" s="12" t="inlineStr"/>
      <c r="BB57" s="12" t="inlineStr"/>
      <c r="BC57" s="12" t="inlineStr"/>
      <c r="BD57" s="12" t="inlineStr"/>
      <c r="BE57" s="12" t="inlineStr"/>
      <c r="BF57" s="12" t="inlineStr"/>
      <c r="BG57" s="12" t="inlineStr"/>
      <c r="BH57" s="12" t="inlineStr"/>
    </row>
    <row r="58">
      <c r="A58" s="9" t="inlineStr">
        <is>
          <t>ca-montreal</t>
        </is>
      </c>
      <c r="B58" s="9" t="inlineStr">
        <is>
          <t>Montreal</t>
        </is>
      </c>
      <c r="C58" s="9" t="inlineStr">
        <is>
          <t>Canada</t>
        </is>
      </c>
      <c r="D58" s="9" t="inlineStr">
        <is>
          <t>North America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IF(OR($G58="",$H58="",$I58="",$J58="",$K58="",$L58="",$AL58="",$AM58=""),"",((($G58*(1-$AM58))-$H58-$I58-$J58-$K58-$L58)/$AL58))</f>
        <v/>
      </c>
      <c r="N58" s="10" t="inlineStr"/>
      <c r="O58" s="10" t="inlineStr"/>
      <c r="P58" s="11">
        <f>IF($O58&lt;&gt;"",$O58,$AN58)</f>
        <v/>
      </c>
      <c r="Q58" s="10" t="inlineStr"/>
      <c r="R58" s="10" t="inlineStr"/>
      <c r="S58" s="10" t="inlineStr"/>
      <c r="T58" s="10" t="inlineStr"/>
      <c r="U58" s="10" t="inlineStr"/>
      <c r="V58" s="10" t="inlineStr"/>
      <c r="W58" s="10" t="inlineStr"/>
      <c r="X58" s="10" t="inlineStr"/>
      <c r="Y58" s="10" t="inlineStr"/>
      <c r="Z58" s="10" t="inlineStr"/>
      <c r="AA58" s="10" t="inlineStr"/>
      <c r="AB58" s="10" t="inlineStr"/>
      <c r="AC58" s="10" t="inlineStr"/>
      <c r="AD58" s="10" t="inlineStr"/>
      <c r="AE58" s="10" t="inlineStr"/>
      <c r="AF58" s="10" t="inlineStr"/>
      <c r="AG58" s="10" t="inlineStr"/>
      <c r="AH58" s="10" t="inlineStr"/>
      <c r="AI58" s="11">
        <f>IFERROR(INDEX(Country_Context!$B$2:$B$63,MATCH($C58,Country_Context!$A$2:$A$63,0)),"")</f>
        <v/>
      </c>
      <c r="AJ58" s="11">
        <f>IFERROR(INDEX(Country_Context!$C$2:$C$63,MATCH($C58,Country_Context!$A$2:$A$63,0)),"")</f>
        <v/>
      </c>
      <c r="AK58" s="11">
        <f>IFERROR(INDEX(Country_Context!$D$2:$D$63,MATCH($C58,Country_Context!$A$2:$A$63,0)),"")</f>
        <v/>
      </c>
      <c r="AL58" s="11">
        <f>IFERROR(INDEX(Country_Context!$E$2:$E$63,MATCH($C58,Country_Context!$A$2:$A$63,0)),"")</f>
        <v/>
      </c>
      <c r="AM58" s="11">
        <f>IFERROR(INDEX(Country_Context!$F$2:$F$63,MATCH($C58,Country_Context!$A$2:$A$63,0)),"")</f>
        <v/>
      </c>
      <c r="AN58" s="11">
        <f>IFERROR(INDEX(Country_Context!$G$2:$G$63,MATCH($C58,Country_Context!$A$2:$A$63,0)),"")</f>
        <v/>
      </c>
      <c r="AO58" s="12" t="inlineStr"/>
      <c r="AP58" s="12" t="inlineStr"/>
      <c r="AQ58" s="12" t="inlineStr"/>
      <c r="AR58" s="12" t="inlineStr"/>
      <c r="AS58" s="12" t="inlineStr"/>
      <c r="AT58" s="12" t="inlineStr"/>
      <c r="AU58" s="12" t="inlineStr"/>
      <c r="AV58" s="12" t="inlineStr"/>
      <c r="AW58" s="12" t="inlineStr"/>
      <c r="AX58" s="12" t="inlineStr"/>
      <c r="AY58" s="12" t="inlineStr"/>
      <c r="AZ58" s="12" t="inlineStr"/>
      <c r="BA58" s="12" t="inlineStr"/>
      <c r="BB58" s="12" t="inlineStr"/>
      <c r="BC58" s="12" t="inlineStr"/>
      <c r="BD58" s="12" t="inlineStr"/>
      <c r="BE58" s="12" t="inlineStr"/>
      <c r="BF58" s="12" t="inlineStr"/>
      <c r="BG58" s="12" t="inlineStr"/>
      <c r="BH58" s="12" t="inlineStr"/>
    </row>
    <row r="59">
      <c r="A59" s="9" t="inlineStr">
        <is>
          <t>mx-guadalajara</t>
        </is>
      </c>
      <c r="B59" s="9" t="inlineStr">
        <is>
          <t>Guadalajara</t>
        </is>
      </c>
      <c r="C59" s="9" t="inlineStr">
        <is>
          <t>Mexico</t>
        </is>
      </c>
      <c r="D59" s="9" t="inlineStr">
        <is>
          <t>North America</t>
        </is>
      </c>
      <c r="E59" s="9" t="inlineStr">
        <is>
          <t>secondary</t>
        </is>
      </c>
      <c r="F59" s="9" t="inlineStr">
        <is>
          <t>locked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IF(OR($G59="",$H59="",$I59="",$J59="",$K59="",$L59="",$AL59="",$AM59=""),"",((($G59*(1-$AM59))-$H59-$I59-$J59-$K59-$L59)/$AL59))</f>
        <v/>
      </c>
      <c r="N59" s="10" t="inlineStr"/>
      <c r="O59" s="10" t="inlineStr"/>
      <c r="P59" s="11">
        <f>IF($O59&lt;&gt;"",$O59,$AN59)</f>
        <v/>
      </c>
      <c r="Q59" s="10" t="inlineStr"/>
      <c r="R59" s="10" t="inlineStr"/>
      <c r="S59" s="10" t="inlineStr"/>
      <c r="T59" s="10" t="inlineStr"/>
      <c r="U59" s="10" t="inlineStr"/>
      <c r="V59" s="10" t="inlineStr"/>
      <c r="W59" s="10" t="inlineStr"/>
      <c r="X59" s="10" t="inlineStr"/>
      <c r="Y59" s="10" t="inlineStr"/>
      <c r="Z59" s="10" t="inlineStr"/>
      <c r="AA59" s="10" t="inlineStr"/>
      <c r="AB59" s="10" t="inlineStr"/>
      <c r="AC59" s="10" t="inlineStr"/>
      <c r="AD59" s="10" t="inlineStr"/>
      <c r="AE59" s="10" t="inlineStr"/>
      <c r="AF59" s="10" t="inlineStr"/>
      <c r="AG59" s="10" t="inlineStr"/>
      <c r="AH59" s="10" t="inlineStr"/>
      <c r="AI59" s="11">
        <f>IFERROR(INDEX(Country_Context!$B$2:$B$63,MATCH($C59,Country_Context!$A$2:$A$63,0)),"")</f>
        <v/>
      </c>
      <c r="AJ59" s="11">
        <f>IFERROR(INDEX(Country_Context!$C$2:$C$63,MATCH($C59,Country_Context!$A$2:$A$63,0)),"")</f>
        <v/>
      </c>
      <c r="AK59" s="11">
        <f>IFERROR(INDEX(Country_Context!$D$2:$D$63,MATCH($C59,Country_Context!$A$2:$A$63,0)),"")</f>
        <v/>
      </c>
      <c r="AL59" s="11">
        <f>IFERROR(INDEX(Country_Context!$E$2:$E$63,MATCH($C59,Country_Context!$A$2:$A$63,0)),"")</f>
        <v/>
      </c>
      <c r="AM59" s="11">
        <f>IFERROR(INDEX(Country_Context!$F$2:$F$63,MATCH($C59,Country_Context!$A$2:$A$63,0)),"")</f>
        <v/>
      </c>
      <c r="AN59" s="11">
        <f>IFERROR(INDEX(Country_Context!$G$2:$G$63,MATCH($C59,Country_Context!$A$2:$A$63,0)),"")</f>
        <v/>
      </c>
      <c r="AO59" s="12" t="inlineStr"/>
      <c r="AP59" s="12" t="inlineStr"/>
      <c r="AQ59" s="12" t="inlineStr"/>
      <c r="AR59" s="12" t="inlineStr"/>
      <c r="AS59" s="12" t="inlineStr"/>
      <c r="AT59" s="12" t="inlineStr"/>
      <c r="AU59" s="12" t="inlineStr"/>
      <c r="AV59" s="12" t="inlineStr"/>
      <c r="AW59" s="12" t="inlineStr"/>
      <c r="AX59" s="12" t="inlineStr"/>
      <c r="AY59" s="12" t="inlineStr"/>
      <c r="AZ59" s="12" t="inlineStr"/>
      <c r="BA59" s="12" t="inlineStr"/>
      <c r="BB59" s="12" t="inlineStr"/>
      <c r="BC59" s="12" t="inlineStr"/>
      <c r="BD59" s="12" t="inlineStr"/>
      <c r="BE59" s="12" t="inlineStr"/>
      <c r="BF59" s="12" t="inlineStr"/>
      <c r="BG59" s="12" t="inlineStr"/>
      <c r="BH59" s="12" t="inlineStr"/>
    </row>
    <row r="60">
      <c r="A60" s="9" t="inlineStr">
        <is>
          <t>pr-san-juan</t>
        </is>
      </c>
      <c r="B60" s="9" t="inlineStr">
        <is>
          <t>San Juan</t>
        </is>
      </c>
      <c r="C60" s="9" t="inlineStr">
        <is>
          <t>Puerto Rico</t>
        </is>
      </c>
      <c r="D60" s="9" t="inlineStr">
        <is>
          <t>North America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IF(OR($G60="",$H60="",$I60="",$J60="",$K60="",$L60="",$AL60="",$AM60=""),"",((($G60*(1-$AM60))-$H60-$I60-$J60-$K60-$L60)/$AL60))</f>
        <v/>
      </c>
      <c r="N60" s="10" t="inlineStr"/>
      <c r="O60" s="10" t="inlineStr"/>
      <c r="P60" s="11">
        <f>IF($O60&lt;&gt;"",$O60,$AN60)</f>
        <v/>
      </c>
      <c r="Q60" s="10" t="inlineStr"/>
      <c r="R60" s="10" t="inlineStr"/>
      <c r="S60" s="10" t="inlineStr"/>
      <c r="T60" s="10" t="inlineStr"/>
      <c r="U60" s="10" t="inlineStr"/>
      <c r="V60" s="10" t="inlineStr"/>
      <c r="W60" s="10" t="inlineStr"/>
      <c r="X60" s="10" t="inlineStr"/>
      <c r="Y60" s="10" t="inlineStr"/>
      <c r="Z60" s="10" t="inlineStr"/>
      <c r="AA60" s="10" t="inlineStr"/>
      <c r="AB60" s="10" t="inlineStr"/>
      <c r="AC60" s="10" t="inlineStr"/>
      <c r="AD60" s="10" t="inlineStr"/>
      <c r="AE60" s="10" t="inlineStr"/>
      <c r="AF60" s="10" t="inlineStr"/>
      <c r="AG60" s="10" t="inlineStr"/>
      <c r="AH60" s="10" t="inlineStr"/>
      <c r="AI60" s="11">
        <f>IFERROR(INDEX(Country_Context!$B$2:$B$63,MATCH($C60,Country_Context!$A$2:$A$63,0)),"")</f>
        <v/>
      </c>
      <c r="AJ60" s="11">
        <f>IFERROR(INDEX(Country_Context!$C$2:$C$63,MATCH($C60,Country_Context!$A$2:$A$63,0)),"")</f>
        <v/>
      </c>
      <c r="AK60" s="11">
        <f>IFERROR(INDEX(Country_Context!$D$2:$D$63,MATCH($C60,Country_Context!$A$2:$A$63,0)),"")</f>
        <v/>
      </c>
      <c r="AL60" s="11">
        <f>IFERROR(INDEX(Country_Context!$E$2:$E$63,MATCH($C60,Country_Context!$A$2:$A$63,0)),"")</f>
        <v/>
      </c>
      <c r="AM60" s="11">
        <f>IFERROR(INDEX(Country_Context!$F$2:$F$63,MATCH($C60,Country_Context!$A$2:$A$63,0)),"")</f>
        <v/>
      </c>
      <c r="AN60" s="11">
        <f>IFERROR(INDEX(Country_Context!$G$2:$G$63,MATCH($C60,Country_Context!$A$2:$A$63,0)),"")</f>
        <v/>
      </c>
      <c r="AO60" s="12" t="inlineStr"/>
      <c r="AP60" s="12" t="inlineStr"/>
      <c r="AQ60" s="12" t="inlineStr"/>
      <c r="AR60" s="12" t="inlineStr"/>
      <c r="AS60" s="12" t="inlineStr"/>
      <c r="AT60" s="12" t="inlineStr"/>
      <c r="AU60" s="12" t="inlineStr"/>
      <c r="AV60" s="12" t="inlineStr"/>
      <c r="AW60" s="12" t="inlineStr"/>
      <c r="AX60" s="12" t="inlineStr"/>
      <c r="AY60" s="12" t="inlineStr"/>
      <c r="AZ60" s="12" t="inlineStr"/>
      <c r="BA60" s="12" t="inlineStr"/>
      <c r="BB60" s="12" t="inlineStr"/>
      <c r="BC60" s="12" t="inlineStr"/>
      <c r="BD60" s="12" t="inlineStr"/>
      <c r="BE60" s="12" t="inlineStr"/>
      <c r="BF60" s="12" t="inlineStr"/>
      <c r="BG60" s="12" t="inlineStr"/>
      <c r="BH60" s="12" t="inlineStr"/>
    </row>
    <row r="61">
      <c r="A61" s="9" t="inlineStr">
        <is>
          <t>mx-merida</t>
        </is>
      </c>
      <c r="B61" s="9" t="inlineStr">
        <is>
          <t>Merida</t>
        </is>
      </c>
      <c r="C61" s="9" t="inlineStr">
        <is>
          <t>Mexico</t>
        </is>
      </c>
      <c r="D61" s="9" t="inlineStr">
        <is>
          <t>North America</t>
        </is>
      </c>
      <c r="E61" s="9" t="inlineStr">
        <is>
          <t>secondary</t>
        </is>
      </c>
      <c r="F61" s="9" t="inlineStr">
        <is>
          <t>provisional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IF(OR($G61="",$H61="",$I61="",$J61="",$K61="",$L61="",$AL61="",$AM61=""),"",((($G61*(1-$AM61))-$H61-$I61-$J61-$K61-$L61)/$AL61))</f>
        <v/>
      </c>
      <c r="N61" s="10" t="inlineStr"/>
      <c r="O61" s="10" t="inlineStr"/>
      <c r="P61" s="11">
        <f>IF($O61&lt;&gt;"",$O61,$AN61)</f>
        <v/>
      </c>
      <c r="Q61" s="10" t="inlineStr"/>
      <c r="R61" s="10" t="inlineStr"/>
      <c r="S61" s="10" t="inlineStr"/>
      <c r="T61" s="10" t="inlineStr"/>
      <c r="U61" s="10" t="inlineStr"/>
      <c r="V61" s="10" t="inlineStr"/>
      <c r="W61" s="10" t="inlineStr"/>
      <c r="X61" s="10" t="inlineStr"/>
      <c r="Y61" s="10" t="inlineStr"/>
      <c r="Z61" s="10" t="inlineStr"/>
      <c r="AA61" s="10" t="inlineStr"/>
      <c r="AB61" s="10" t="inlineStr"/>
      <c r="AC61" s="10" t="inlineStr"/>
      <c r="AD61" s="10" t="inlineStr"/>
      <c r="AE61" s="10" t="inlineStr"/>
      <c r="AF61" s="10" t="inlineStr"/>
      <c r="AG61" s="10" t="inlineStr"/>
      <c r="AH61" s="10" t="inlineStr"/>
      <c r="AI61" s="11">
        <f>IFERROR(INDEX(Country_Context!$B$2:$B$63,MATCH($C61,Country_Context!$A$2:$A$63,0)),"")</f>
        <v/>
      </c>
      <c r="AJ61" s="11">
        <f>IFERROR(INDEX(Country_Context!$C$2:$C$63,MATCH($C61,Country_Context!$A$2:$A$63,0)),"")</f>
        <v/>
      </c>
      <c r="AK61" s="11">
        <f>IFERROR(INDEX(Country_Context!$D$2:$D$63,MATCH($C61,Country_Context!$A$2:$A$63,0)),"")</f>
        <v/>
      </c>
      <c r="AL61" s="11">
        <f>IFERROR(INDEX(Country_Context!$E$2:$E$63,MATCH($C61,Country_Context!$A$2:$A$63,0)),"")</f>
        <v/>
      </c>
      <c r="AM61" s="11">
        <f>IFERROR(INDEX(Country_Context!$F$2:$F$63,MATCH($C61,Country_Context!$A$2:$A$63,0)),"")</f>
        <v/>
      </c>
      <c r="AN61" s="11">
        <f>IFERROR(INDEX(Country_Context!$G$2:$G$63,MATCH($C61,Country_Context!$A$2:$A$63,0)),"")</f>
        <v/>
      </c>
      <c r="AO61" s="12" t="inlineStr"/>
      <c r="AP61" s="12" t="inlineStr"/>
      <c r="AQ61" s="12" t="inlineStr"/>
      <c r="AR61" s="12" t="inlineStr"/>
      <c r="AS61" s="12" t="inlineStr"/>
      <c r="AT61" s="12" t="inlineStr"/>
      <c r="AU61" s="12" t="inlineStr"/>
      <c r="AV61" s="12" t="inlineStr"/>
      <c r="AW61" s="12" t="inlineStr"/>
      <c r="AX61" s="12" t="inlineStr"/>
      <c r="AY61" s="12" t="inlineStr"/>
      <c r="AZ61" s="12" t="inlineStr"/>
      <c r="BA61" s="12" t="inlineStr"/>
      <c r="BB61" s="12" t="inlineStr"/>
      <c r="BC61" s="12" t="inlineStr"/>
      <c r="BD61" s="12" t="inlineStr"/>
      <c r="BE61" s="12" t="inlineStr"/>
      <c r="BF61" s="12" t="inlineStr"/>
      <c r="BG61" s="12" t="inlineStr"/>
      <c r="BH61" s="12" t="inlineStr"/>
    </row>
    <row r="62">
      <c r="A62" s="9" t="inlineStr">
        <is>
          <t>br-sao-paulo</t>
        </is>
      </c>
      <c r="B62" s="9" t="inlineStr">
        <is>
          <t>Sao Paulo</t>
        </is>
      </c>
      <c r="C62" s="9" t="inlineStr">
        <is>
          <t>Brazil</t>
        </is>
      </c>
      <c r="D62" s="9" t="inlineStr">
        <is>
          <t>Latin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IF(OR($G62="",$H62="",$I62="",$J62="",$K62="",$L62="",$AL62="",$AM62=""),"",((($G62*(1-$AM62))-$H62-$I62-$J62-$K62-$L62)/$AL62))</f>
        <v/>
      </c>
      <c r="N62" s="10" t="inlineStr"/>
      <c r="O62" s="10" t="inlineStr"/>
      <c r="P62" s="11">
        <f>IF($O62&lt;&gt;"",$O62,$AN62)</f>
        <v/>
      </c>
      <c r="Q62" s="10" t="inlineStr"/>
      <c r="R62" s="10" t="inlineStr"/>
      <c r="S62" s="10" t="inlineStr"/>
      <c r="T62" s="10" t="inlineStr"/>
      <c r="U62" s="10" t="inlineStr"/>
      <c r="V62" s="10" t="inlineStr"/>
      <c r="W62" s="10" t="inlineStr"/>
      <c r="X62" s="10" t="inlineStr"/>
      <c r="Y62" s="10" t="inlineStr"/>
      <c r="Z62" s="10" t="inlineStr"/>
      <c r="AA62" s="10" t="inlineStr"/>
      <c r="AB62" s="10" t="inlineStr"/>
      <c r="AC62" s="10" t="inlineStr"/>
      <c r="AD62" s="10" t="inlineStr"/>
      <c r="AE62" s="10" t="inlineStr"/>
      <c r="AF62" s="10" t="inlineStr"/>
      <c r="AG62" s="10" t="inlineStr"/>
      <c r="AH62" s="10" t="inlineStr"/>
      <c r="AI62" s="11">
        <f>IFERROR(INDEX(Country_Context!$B$2:$B$63,MATCH($C62,Country_Context!$A$2:$A$63,0)),"")</f>
        <v/>
      </c>
      <c r="AJ62" s="11">
        <f>IFERROR(INDEX(Country_Context!$C$2:$C$63,MATCH($C62,Country_Context!$A$2:$A$63,0)),"")</f>
        <v/>
      </c>
      <c r="AK62" s="11">
        <f>IFERROR(INDEX(Country_Context!$D$2:$D$63,MATCH($C62,Country_Context!$A$2:$A$63,0)),"")</f>
        <v/>
      </c>
      <c r="AL62" s="11">
        <f>IFERROR(INDEX(Country_Context!$E$2:$E$63,MATCH($C62,Country_Context!$A$2:$A$63,0)),"")</f>
        <v/>
      </c>
      <c r="AM62" s="11">
        <f>IFERROR(INDEX(Country_Context!$F$2:$F$63,MATCH($C62,Country_Context!$A$2:$A$63,0)),"")</f>
        <v/>
      </c>
      <c r="AN62" s="11">
        <f>IFERROR(INDEX(Country_Context!$G$2:$G$63,MATCH($C62,Country_Context!$A$2:$A$63,0)),"")</f>
        <v/>
      </c>
      <c r="AO62" s="12" t="inlineStr"/>
      <c r="AP62" s="12" t="inlineStr"/>
      <c r="AQ62" s="12" t="inlineStr"/>
      <c r="AR62" s="12" t="inlineStr"/>
      <c r="AS62" s="12" t="inlineStr"/>
      <c r="AT62" s="12" t="inlineStr"/>
      <c r="AU62" s="12" t="inlineStr"/>
      <c r="AV62" s="12" t="inlineStr"/>
      <c r="AW62" s="12" t="inlineStr"/>
      <c r="AX62" s="12" t="inlineStr"/>
      <c r="AY62" s="12" t="inlineStr"/>
      <c r="AZ62" s="12" t="inlineStr"/>
      <c r="BA62" s="12" t="inlineStr"/>
      <c r="BB62" s="12" t="inlineStr"/>
      <c r="BC62" s="12" t="inlineStr"/>
      <c r="BD62" s="12" t="inlineStr"/>
      <c r="BE62" s="12" t="inlineStr"/>
      <c r="BF62" s="12" t="inlineStr"/>
      <c r="BG62" s="12" t="inlineStr"/>
      <c r="BH62" s="12" t="inlineStr"/>
    </row>
    <row r="63">
      <c r="A63" s="9" t="inlineStr">
        <is>
          <t>ar-buenos-aires</t>
        </is>
      </c>
      <c r="B63" s="9" t="inlineStr">
        <is>
          <t>Buenos Aires</t>
        </is>
      </c>
      <c r="C63" s="9" t="inlineStr">
        <is>
          <t>Argentina</t>
        </is>
      </c>
      <c r="D63" s="9" t="inlineStr">
        <is>
          <t>Latin America</t>
        </is>
      </c>
      <c r="E63" s="9" t="inlineStr">
        <is>
          <t>primary</t>
        </is>
      </c>
      <c r="F63" s="9" t="inlineStr">
        <is>
          <t>locked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IF(OR($G63="",$H63="",$I63="",$J63="",$K63="",$L63="",$AL63="",$AM63=""),"",((($G63*(1-$AM63))-$H63-$I63-$J63-$K63-$L63)/$AL63))</f>
        <v/>
      </c>
      <c r="N63" s="10" t="inlineStr"/>
      <c r="O63" s="10" t="inlineStr"/>
      <c r="P63" s="11">
        <f>IF($O63&lt;&gt;"",$O63,$AN63)</f>
        <v/>
      </c>
      <c r="Q63" s="10" t="inlineStr"/>
      <c r="R63" s="10" t="inlineStr"/>
      <c r="S63" s="10" t="inlineStr"/>
      <c r="T63" s="10" t="inlineStr"/>
      <c r="U63" s="10" t="inlineStr"/>
      <c r="V63" s="10" t="inlineStr"/>
      <c r="W63" s="10" t="inlineStr"/>
      <c r="X63" s="10" t="inlineStr"/>
      <c r="Y63" s="10" t="inlineStr"/>
      <c r="Z63" s="10" t="inlineStr"/>
      <c r="AA63" s="10" t="inlineStr"/>
      <c r="AB63" s="10" t="inlineStr"/>
      <c r="AC63" s="10" t="inlineStr"/>
      <c r="AD63" s="10" t="inlineStr"/>
      <c r="AE63" s="10" t="inlineStr"/>
      <c r="AF63" s="10" t="inlineStr"/>
      <c r="AG63" s="10" t="inlineStr"/>
      <c r="AH63" s="10" t="inlineStr"/>
      <c r="AI63" s="11">
        <f>IFERROR(INDEX(Country_Context!$B$2:$B$63,MATCH($C63,Country_Context!$A$2:$A$63,0)),"")</f>
        <v/>
      </c>
      <c r="AJ63" s="11">
        <f>IFERROR(INDEX(Country_Context!$C$2:$C$63,MATCH($C63,Country_Context!$A$2:$A$63,0)),"")</f>
        <v/>
      </c>
      <c r="AK63" s="11">
        <f>IFERROR(INDEX(Country_Context!$D$2:$D$63,MATCH($C63,Country_Context!$A$2:$A$63,0)),"")</f>
        <v/>
      </c>
      <c r="AL63" s="11">
        <f>IFERROR(INDEX(Country_Context!$E$2:$E$63,MATCH($C63,Country_Context!$A$2:$A$63,0)),"")</f>
        <v/>
      </c>
      <c r="AM63" s="11">
        <f>IFERROR(INDEX(Country_Context!$F$2:$F$63,MATCH($C63,Country_Context!$A$2:$A$63,0)),"")</f>
        <v/>
      </c>
      <c r="AN63" s="11">
        <f>IFERROR(INDEX(Country_Context!$G$2:$G$63,MATCH($C63,Country_Context!$A$2:$A$63,0)),"")</f>
        <v/>
      </c>
      <c r="AO63" s="12" t="inlineStr"/>
      <c r="AP63" s="12" t="inlineStr"/>
      <c r="AQ63" s="12" t="inlineStr"/>
      <c r="AR63" s="12" t="inlineStr"/>
      <c r="AS63" s="12" t="inlineStr"/>
      <c r="AT63" s="12" t="inlineStr"/>
      <c r="AU63" s="12" t="inlineStr"/>
      <c r="AV63" s="12" t="inlineStr"/>
      <c r="AW63" s="12" t="inlineStr"/>
      <c r="AX63" s="12" t="inlineStr"/>
      <c r="AY63" s="12" t="inlineStr"/>
      <c r="AZ63" s="12" t="inlineStr"/>
      <c r="BA63" s="12" t="inlineStr"/>
      <c r="BB63" s="12" t="inlineStr"/>
      <c r="BC63" s="12" t="inlineStr"/>
      <c r="BD63" s="12" t="inlineStr"/>
      <c r="BE63" s="12" t="inlineStr"/>
      <c r="BF63" s="12" t="inlineStr"/>
      <c r="BG63" s="12" t="inlineStr"/>
      <c r="BH63" s="12" t="inlineStr"/>
    </row>
    <row r="64">
      <c r="A64" s="9" t="inlineStr">
        <is>
          <t>cl-santiago</t>
        </is>
      </c>
      <c r="B64" s="9" t="inlineStr">
        <is>
          <t>Santiago</t>
        </is>
      </c>
      <c r="C64" s="9" t="inlineStr">
        <is>
          <t>Chile</t>
        </is>
      </c>
      <c r="D64" s="9" t="inlineStr">
        <is>
          <t>Latin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IF(OR($G64="",$H64="",$I64="",$J64="",$K64="",$L64="",$AL64="",$AM64=""),"",((($G64*(1-$AM64))-$H64-$I64-$J64-$K64-$L64)/$AL64))</f>
        <v/>
      </c>
      <c r="N64" s="10" t="inlineStr"/>
      <c r="O64" s="10" t="inlineStr"/>
      <c r="P64" s="11">
        <f>IF($O64&lt;&gt;"",$O64,$AN64)</f>
        <v/>
      </c>
      <c r="Q64" s="10" t="inlineStr"/>
      <c r="R64" s="10" t="inlineStr"/>
      <c r="S64" s="10" t="inlineStr"/>
      <c r="T64" s="10" t="inlineStr"/>
      <c r="U64" s="10" t="inlineStr"/>
      <c r="V64" s="10" t="inlineStr"/>
      <c r="W64" s="10" t="inlineStr"/>
      <c r="X64" s="10" t="inlineStr"/>
      <c r="Y64" s="10" t="inlineStr"/>
      <c r="Z64" s="10" t="inlineStr"/>
      <c r="AA64" s="10" t="inlineStr"/>
      <c r="AB64" s="10" t="inlineStr"/>
      <c r="AC64" s="10" t="inlineStr"/>
      <c r="AD64" s="10" t="inlineStr"/>
      <c r="AE64" s="10" t="inlineStr"/>
      <c r="AF64" s="10" t="inlineStr"/>
      <c r="AG64" s="10" t="inlineStr"/>
      <c r="AH64" s="10" t="inlineStr"/>
      <c r="AI64" s="11">
        <f>IFERROR(INDEX(Country_Context!$B$2:$B$63,MATCH($C64,Country_Context!$A$2:$A$63,0)),"")</f>
        <v/>
      </c>
      <c r="AJ64" s="11">
        <f>IFERROR(INDEX(Country_Context!$C$2:$C$63,MATCH($C64,Country_Context!$A$2:$A$63,0)),"")</f>
        <v/>
      </c>
      <c r="AK64" s="11">
        <f>IFERROR(INDEX(Country_Context!$D$2:$D$63,MATCH($C64,Country_Context!$A$2:$A$63,0)),"")</f>
        <v/>
      </c>
      <c r="AL64" s="11">
        <f>IFERROR(INDEX(Country_Context!$E$2:$E$63,MATCH($C64,Country_Context!$A$2:$A$63,0)),"")</f>
        <v/>
      </c>
      <c r="AM64" s="11">
        <f>IFERROR(INDEX(Country_Context!$F$2:$F$63,MATCH($C64,Country_Context!$A$2:$A$63,0)),"")</f>
        <v/>
      </c>
      <c r="AN64" s="11">
        <f>IFERROR(INDEX(Country_Context!$G$2:$G$63,MATCH($C64,Country_Context!$A$2:$A$63,0)),"")</f>
        <v/>
      </c>
      <c r="AO64" s="12" t="inlineStr"/>
      <c r="AP64" s="12" t="inlineStr"/>
      <c r="AQ64" s="12" t="inlineStr"/>
      <c r="AR64" s="12" t="inlineStr"/>
      <c r="AS64" s="12" t="inlineStr"/>
      <c r="AT64" s="12" t="inlineStr"/>
      <c r="AU64" s="12" t="inlineStr"/>
      <c r="AV64" s="12" t="inlineStr"/>
      <c r="AW64" s="12" t="inlineStr"/>
      <c r="AX64" s="12" t="inlineStr"/>
      <c r="AY64" s="12" t="inlineStr"/>
      <c r="AZ64" s="12" t="inlineStr"/>
      <c r="BA64" s="12" t="inlineStr"/>
      <c r="BB64" s="12" t="inlineStr"/>
      <c r="BC64" s="12" t="inlineStr"/>
      <c r="BD64" s="12" t="inlineStr"/>
      <c r="BE64" s="12" t="inlineStr"/>
      <c r="BF64" s="12" t="inlineStr"/>
      <c r="BG64" s="12" t="inlineStr"/>
      <c r="BH64" s="12" t="inlineStr"/>
    </row>
    <row r="65">
      <c r="A65" s="9" t="inlineStr">
        <is>
          <t>co-bogota</t>
        </is>
      </c>
      <c r="B65" s="9" t="inlineStr">
        <is>
          <t>Bogota</t>
        </is>
      </c>
      <c r="C65" s="9" t="inlineStr">
        <is>
          <t>Colombia</t>
        </is>
      </c>
      <c r="D65" s="9" t="inlineStr">
        <is>
          <t>Latin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IF(OR($G65="",$H65="",$I65="",$J65="",$K65="",$L65="",$AL65="",$AM65=""),"",((($G65*(1-$AM65))-$H65-$I65-$J65-$K65-$L65)/$AL65))</f>
        <v/>
      </c>
      <c r="N65" s="10" t="inlineStr"/>
      <c r="O65" s="10" t="inlineStr"/>
      <c r="P65" s="11">
        <f>IF($O65&lt;&gt;"",$O65,$AN65)</f>
        <v/>
      </c>
      <c r="Q65" s="10" t="inlineStr"/>
      <c r="R65" s="10" t="inlineStr"/>
      <c r="S65" s="10" t="inlineStr"/>
      <c r="T65" s="10" t="inlineStr"/>
      <c r="U65" s="10" t="inlineStr"/>
      <c r="V65" s="10" t="inlineStr"/>
      <c r="W65" s="10" t="inlineStr"/>
      <c r="X65" s="10" t="inlineStr"/>
      <c r="Y65" s="10" t="inlineStr"/>
      <c r="Z65" s="10" t="inlineStr"/>
      <c r="AA65" s="10" t="inlineStr"/>
      <c r="AB65" s="10" t="inlineStr"/>
      <c r="AC65" s="10" t="inlineStr"/>
      <c r="AD65" s="10" t="inlineStr"/>
      <c r="AE65" s="10" t="inlineStr"/>
      <c r="AF65" s="10" t="inlineStr"/>
      <c r="AG65" s="10" t="inlineStr"/>
      <c r="AH65" s="10" t="inlineStr"/>
      <c r="AI65" s="11">
        <f>IFERROR(INDEX(Country_Context!$B$2:$B$63,MATCH($C65,Country_Context!$A$2:$A$63,0)),"")</f>
        <v/>
      </c>
      <c r="AJ65" s="11">
        <f>IFERROR(INDEX(Country_Context!$C$2:$C$63,MATCH($C65,Country_Context!$A$2:$A$63,0)),"")</f>
        <v/>
      </c>
      <c r="AK65" s="11">
        <f>IFERROR(INDEX(Country_Context!$D$2:$D$63,MATCH($C65,Country_Context!$A$2:$A$63,0)),"")</f>
        <v/>
      </c>
      <c r="AL65" s="11">
        <f>IFERROR(INDEX(Country_Context!$E$2:$E$63,MATCH($C65,Country_Context!$A$2:$A$63,0)),"")</f>
        <v/>
      </c>
      <c r="AM65" s="11">
        <f>IFERROR(INDEX(Country_Context!$F$2:$F$63,MATCH($C65,Country_Context!$A$2:$A$63,0)),"")</f>
        <v/>
      </c>
      <c r="AN65" s="11">
        <f>IFERROR(INDEX(Country_Context!$G$2:$G$63,MATCH($C65,Country_Context!$A$2:$A$63,0)),"")</f>
        <v/>
      </c>
      <c r="AO65" s="12" t="inlineStr"/>
      <c r="AP65" s="12" t="inlineStr"/>
      <c r="AQ65" s="12" t="inlineStr"/>
      <c r="AR65" s="12" t="inlineStr"/>
      <c r="AS65" s="12" t="inlineStr"/>
      <c r="AT65" s="12" t="inlineStr"/>
      <c r="AU65" s="12" t="inlineStr"/>
      <c r="AV65" s="12" t="inlineStr"/>
      <c r="AW65" s="12" t="inlineStr"/>
      <c r="AX65" s="12" t="inlineStr"/>
      <c r="AY65" s="12" t="inlineStr"/>
      <c r="AZ65" s="12" t="inlineStr"/>
      <c r="BA65" s="12" t="inlineStr"/>
      <c r="BB65" s="12" t="inlineStr"/>
      <c r="BC65" s="12" t="inlineStr"/>
      <c r="BD65" s="12" t="inlineStr"/>
      <c r="BE65" s="12" t="inlineStr"/>
      <c r="BF65" s="12" t="inlineStr"/>
      <c r="BG65" s="12" t="inlineStr"/>
      <c r="BH65" s="12" t="inlineStr"/>
    </row>
    <row r="66">
      <c r="A66" s="9" t="inlineStr">
        <is>
          <t>pe-lima</t>
        </is>
      </c>
      <c r="B66" s="9" t="inlineStr">
        <is>
          <t>Lima</t>
        </is>
      </c>
      <c r="C66" s="9" t="inlineStr">
        <is>
          <t>Peru</t>
        </is>
      </c>
      <c r="D66" s="9" t="inlineStr">
        <is>
          <t>Latin America</t>
        </is>
      </c>
      <c r="E66" s="9" t="inlineStr">
        <is>
          <t>primary</t>
        </is>
      </c>
      <c r="F66" s="9" t="inlineStr">
        <is>
          <t>provisional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IF(OR($G66="",$H66="",$I66="",$J66="",$K66="",$L66="",$AL66="",$AM66=""),"",((($G66*(1-$AM66))-$H66-$I66-$J66-$K66-$L66)/$AL66))</f>
        <v/>
      </c>
      <c r="N66" s="10" t="inlineStr"/>
      <c r="O66" s="10" t="inlineStr"/>
      <c r="P66" s="11">
        <f>IF($O66&lt;&gt;"",$O66,$AN66)</f>
        <v/>
      </c>
      <c r="Q66" s="10" t="inlineStr"/>
      <c r="R66" s="10" t="inlineStr"/>
      <c r="S66" s="10" t="inlineStr"/>
      <c r="T66" s="10" t="inlineStr"/>
      <c r="U66" s="10" t="inlineStr"/>
      <c r="V66" s="10" t="inlineStr"/>
      <c r="W66" s="10" t="inlineStr"/>
      <c r="X66" s="10" t="inlineStr"/>
      <c r="Y66" s="10" t="inlineStr"/>
      <c r="Z66" s="10" t="inlineStr"/>
      <c r="AA66" s="10" t="inlineStr"/>
      <c r="AB66" s="10" t="inlineStr"/>
      <c r="AC66" s="10" t="inlineStr"/>
      <c r="AD66" s="10" t="inlineStr"/>
      <c r="AE66" s="10" t="inlineStr"/>
      <c r="AF66" s="10" t="inlineStr"/>
      <c r="AG66" s="10" t="inlineStr"/>
      <c r="AH66" s="10" t="inlineStr"/>
      <c r="AI66" s="11">
        <f>IFERROR(INDEX(Country_Context!$B$2:$B$63,MATCH($C66,Country_Context!$A$2:$A$63,0)),"")</f>
        <v/>
      </c>
      <c r="AJ66" s="11">
        <f>IFERROR(INDEX(Country_Context!$C$2:$C$63,MATCH($C66,Country_Context!$A$2:$A$63,0)),"")</f>
        <v/>
      </c>
      <c r="AK66" s="11">
        <f>IFERROR(INDEX(Country_Context!$D$2:$D$63,MATCH($C66,Country_Context!$A$2:$A$63,0)),"")</f>
        <v/>
      </c>
      <c r="AL66" s="11">
        <f>IFERROR(INDEX(Country_Context!$E$2:$E$63,MATCH($C66,Country_Context!$A$2:$A$63,0)),"")</f>
        <v/>
      </c>
      <c r="AM66" s="11">
        <f>IFERROR(INDEX(Country_Context!$F$2:$F$63,MATCH($C66,Country_Context!$A$2:$A$63,0)),"")</f>
        <v/>
      </c>
      <c r="AN66" s="11">
        <f>IFERROR(INDEX(Country_Context!$G$2:$G$63,MATCH($C66,Country_Context!$A$2:$A$63,0)),"")</f>
        <v/>
      </c>
      <c r="AO66" s="12" t="inlineStr"/>
      <c r="AP66" s="12" t="inlineStr"/>
      <c r="AQ66" s="12" t="inlineStr"/>
      <c r="AR66" s="12" t="inlineStr"/>
      <c r="AS66" s="12" t="inlineStr"/>
      <c r="AT66" s="12" t="inlineStr"/>
      <c r="AU66" s="12" t="inlineStr"/>
      <c r="AV66" s="12" t="inlineStr"/>
      <c r="AW66" s="12" t="inlineStr"/>
      <c r="AX66" s="12" t="inlineStr"/>
      <c r="AY66" s="12" t="inlineStr"/>
      <c r="AZ66" s="12" t="inlineStr"/>
      <c r="BA66" s="12" t="inlineStr"/>
      <c r="BB66" s="12" t="inlineStr"/>
      <c r="BC66" s="12" t="inlineStr"/>
      <c r="BD66" s="12" t="inlineStr"/>
      <c r="BE66" s="12" t="inlineStr"/>
      <c r="BF66" s="12" t="inlineStr"/>
      <c r="BG66" s="12" t="inlineStr"/>
      <c r="BH66" s="12" t="inlineStr"/>
    </row>
    <row r="67">
      <c r="A67" s="9" t="inlineStr">
        <is>
          <t>br-curitiba</t>
        </is>
      </c>
      <c r="B67" s="9" t="inlineStr">
        <is>
          <t>Curitiba</t>
        </is>
      </c>
      <c r="C67" s="9" t="inlineStr">
        <is>
          <t>Brazil</t>
        </is>
      </c>
      <c r="D67" s="9" t="inlineStr">
        <is>
          <t>Latin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IF(OR($G67="",$H67="",$I67="",$J67="",$K67="",$L67="",$AL67="",$AM67=""),"",((($G67*(1-$AM67))-$H67-$I67-$J67-$K67-$L67)/$AL67))</f>
        <v/>
      </c>
      <c r="N67" s="10" t="inlineStr"/>
      <c r="O67" s="10" t="inlineStr"/>
      <c r="P67" s="11">
        <f>IF($O67&lt;&gt;"",$O67,$AN67)</f>
        <v/>
      </c>
      <c r="Q67" s="10" t="inlineStr"/>
      <c r="R67" s="10" t="inlineStr"/>
      <c r="S67" s="10" t="inlineStr"/>
      <c r="T67" s="10" t="inlineStr"/>
      <c r="U67" s="10" t="inlineStr"/>
      <c r="V67" s="10" t="inlineStr"/>
      <c r="W67" s="10" t="inlineStr"/>
      <c r="X67" s="10" t="inlineStr"/>
      <c r="Y67" s="10" t="inlineStr"/>
      <c r="Z67" s="10" t="inlineStr"/>
      <c r="AA67" s="10" t="inlineStr"/>
      <c r="AB67" s="10" t="inlineStr"/>
      <c r="AC67" s="10" t="inlineStr"/>
      <c r="AD67" s="10" t="inlineStr"/>
      <c r="AE67" s="10" t="inlineStr"/>
      <c r="AF67" s="10" t="inlineStr"/>
      <c r="AG67" s="10" t="inlineStr"/>
      <c r="AH67" s="10" t="inlineStr"/>
      <c r="AI67" s="11">
        <f>IFERROR(INDEX(Country_Context!$B$2:$B$63,MATCH($C67,Country_Context!$A$2:$A$63,0)),"")</f>
        <v/>
      </c>
      <c r="AJ67" s="11">
        <f>IFERROR(INDEX(Country_Context!$C$2:$C$63,MATCH($C67,Country_Context!$A$2:$A$63,0)),"")</f>
        <v/>
      </c>
      <c r="AK67" s="11">
        <f>IFERROR(INDEX(Country_Context!$D$2:$D$63,MATCH($C67,Country_Context!$A$2:$A$63,0)),"")</f>
        <v/>
      </c>
      <c r="AL67" s="11">
        <f>IFERROR(INDEX(Country_Context!$E$2:$E$63,MATCH($C67,Country_Context!$A$2:$A$63,0)),"")</f>
        <v/>
      </c>
      <c r="AM67" s="11">
        <f>IFERROR(INDEX(Country_Context!$F$2:$F$63,MATCH($C67,Country_Context!$A$2:$A$63,0)),"")</f>
        <v/>
      </c>
      <c r="AN67" s="11">
        <f>IFERROR(INDEX(Country_Context!$G$2:$G$63,MATCH($C67,Country_Context!$A$2:$A$63,0)),"")</f>
        <v/>
      </c>
      <c r="AO67" s="12" t="inlineStr"/>
      <c r="AP67" s="12" t="inlineStr"/>
      <c r="AQ67" s="12" t="inlineStr"/>
      <c r="AR67" s="12" t="inlineStr"/>
      <c r="AS67" s="12" t="inlineStr"/>
      <c r="AT67" s="12" t="inlineStr"/>
      <c r="AU67" s="12" t="inlineStr"/>
      <c r="AV67" s="12" t="inlineStr"/>
      <c r="AW67" s="12" t="inlineStr"/>
      <c r="AX67" s="12" t="inlineStr"/>
      <c r="AY67" s="12" t="inlineStr"/>
      <c r="AZ67" s="12" t="inlineStr"/>
      <c r="BA67" s="12" t="inlineStr"/>
      <c r="BB67" s="12" t="inlineStr"/>
      <c r="BC67" s="12" t="inlineStr"/>
      <c r="BD67" s="12" t="inlineStr"/>
      <c r="BE67" s="12" t="inlineStr"/>
      <c r="BF67" s="12" t="inlineStr"/>
      <c r="BG67" s="12" t="inlineStr"/>
      <c r="BH67" s="12" t="inlineStr"/>
    </row>
    <row r="68">
      <c r="A68" s="9" t="inlineStr">
        <is>
          <t>co-medellin</t>
        </is>
      </c>
      <c r="B68" s="9" t="inlineStr">
        <is>
          <t>Medellin</t>
        </is>
      </c>
      <c r="C68" s="9" t="inlineStr">
        <is>
          <t>Colombia</t>
        </is>
      </c>
      <c r="D68" s="9" t="inlineStr">
        <is>
          <t>Latin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IF(OR($G68="",$H68="",$I68="",$J68="",$K68="",$L68="",$AL68="",$AM68=""),"",((($G68*(1-$AM68))-$H68-$I68-$J68-$K68-$L68)/$AL68))</f>
        <v/>
      </c>
      <c r="N68" s="10" t="inlineStr"/>
      <c r="O68" s="10" t="inlineStr"/>
      <c r="P68" s="11">
        <f>IF($O68&lt;&gt;"",$O68,$AN68)</f>
        <v/>
      </c>
      <c r="Q68" s="10" t="inlineStr"/>
      <c r="R68" s="10" t="inlineStr"/>
      <c r="S68" s="10" t="inlineStr"/>
      <c r="T68" s="10" t="inlineStr"/>
      <c r="U68" s="10" t="inlineStr"/>
      <c r="V68" s="10" t="inlineStr"/>
      <c r="W68" s="10" t="inlineStr"/>
      <c r="X68" s="10" t="inlineStr"/>
      <c r="Y68" s="10" t="inlineStr"/>
      <c r="Z68" s="10" t="inlineStr"/>
      <c r="AA68" s="10" t="inlineStr"/>
      <c r="AB68" s="10" t="inlineStr"/>
      <c r="AC68" s="10" t="inlineStr"/>
      <c r="AD68" s="10" t="inlineStr"/>
      <c r="AE68" s="10" t="inlineStr"/>
      <c r="AF68" s="10" t="inlineStr"/>
      <c r="AG68" s="10" t="inlineStr"/>
      <c r="AH68" s="10" t="inlineStr"/>
      <c r="AI68" s="11">
        <f>IFERROR(INDEX(Country_Context!$B$2:$B$63,MATCH($C68,Country_Context!$A$2:$A$63,0)),"")</f>
        <v/>
      </c>
      <c r="AJ68" s="11">
        <f>IFERROR(INDEX(Country_Context!$C$2:$C$63,MATCH($C68,Country_Context!$A$2:$A$63,0)),"")</f>
        <v/>
      </c>
      <c r="AK68" s="11">
        <f>IFERROR(INDEX(Country_Context!$D$2:$D$63,MATCH($C68,Country_Context!$A$2:$A$63,0)),"")</f>
        <v/>
      </c>
      <c r="AL68" s="11">
        <f>IFERROR(INDEX(Country_Context!$E$2:$E$63,MATCH($C68,Country_Context!$A$2:$A$63,0)),"")</f>
        <v/>
      </c>
      <c r="AM68" s="11">
        <f>IFERROR(INDEX(Country_Context!$F$2:$F$63,MATCH($C68,Country_Context!$A$2:$A$63,0)),"")</f>
        <v/>
      </c>
      <c r="AN68" s="11">
        <f>IFERROR(INDEX(Country_Context!$G$2:$G$63,MATCH($C68,Country_Context!$A$2:$A$63,0)),"")</f>
        <v/>
      </c>
      <c r="AO68" s="12" t="inlineStr"/>
      <c r="AP68" s="12" t="inlineStr"/>
      <c r="AQ68" s="12" t="inlineStr"/>
      <c r="AR68" s="12" t="inlineStr"/>
      <c r="AS68" s="12" t="inlineStr"/>
      <c r="AT68" s="12" t="inlineStr"/>
      <c r="AU68" s="12" t="inlineStr"/>
      <c r="AV68" s="12" t="inlineStr"/>
      <c r="AW68" s="12" t="inlineStr"/>
      <c r="AX68" s="12" t="inlineStr"/>
      <c r="AY68" s="12" t="inlineStr"/>
      <c r="AZ68" s="12" t="inlineStr"/>
      <c r="BA68" s="12" t="inlineStr"/>
      <c r="BB68" s="12" t="inlineStr"/>
      <c r="BC68" s="12" t="inlineStr"/>
      <c r="BD68" s="12" t="inlineStr"/>
      <c r="BE68" s="12" t="inlineStr"/>
      <c r="BF68" s="12" t="inlineStr"/>
      <c r="BG68" s="12" t="inlineStr"/>
      <c r="BH68" s="12" t="inlineStr"/>
    </row>
    <row r="69">
      <c r="A69" s="9" t="inlineStr">
        <is>
          <t>uy-montevideo</t>
        </is>
      </c>
      <c r="B69" s="9" t="inlineStr">
        <is>
          <t>Montevideo</t>
        </is>
      </c>
      <c r="C69" s="9" t="inlineStr">
        <is>
          <t>Uruguay</t>
        </is>
      </c>
      <c r="D69" s="9" t="inlineStr">
        <is>
          <t>Latin America</t>
        </is>
      </c>
      <c r="E69" s="9" t="inlineStr">
        <is>
          <t>secondary</t>
        </is>
      </c>
      <c r="F69" s="9" t="inlineStr">
        <is>
          <t>locked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IF(OR($G69="",$H69="",$I69="",$J69="",$K69="",$L69="",$AL69="",$AM69=""),"",((($G69*(1-$AM69))-$H69-$I69-$J69-$K69-$L69)/$AL69))</f>
        <v/>
      </c>
      <c r="N69" s="10" t="inlineStr"/>
      <c r="O69" s="10" t="inlineStr"/>
      <c r="P69" s="11">
        <f>IF($O69&lt;&gt;"",$O69,$AN69)</f>
        <v/>
      </c>
      <c r="Q69" s="10" t="inlineStr"/>
      <c r="R69" s="10" t="inlineStr"/>
      <c r="S69" s="10" t="inlineStr"/>
      <c r="T69" s="10" t="inlineStr"/>
      <c r="U69" s="10" t="inlineStr"/>
      <c r="V69" s="10" t="inlineStr"/>
      <c r="W69" s="10" t="inlineStr"/>
      <c r="X69" s="10" t="inlineStr"/>
      <c r="Y69" s="10" t="inlineStr"/>
      <c r="Z69" s="10" t="inlineStr"/>
      <c r="AA69" s="10" t="inlineStr"/>
      <c r="AB69" s="10" t="inlineStr"/>
      <c r="AC69" s="10" t="inlineStr"/>
      <c r="AD69" s="10" t="inlineStr"/>
      <c r="AE69" s="10" t="inlineStr"/>
      <c r="AF69" s="10" t="inlineStr"/>
      <c r="AG69" s="10" t="inlineStr"/>
      <c r="AH69" s="10" t="inlineStr"/>
      <c r="AI69" s="11">
        <f>IFERROR(INDEX(Country_Context!$B$2:$B$63,MATCH($C69,Country_Context!$A$2:$A$63,0)),"")</f>
        <v/>
      </c>
      <c r="AJ69" s="11">
        <f>IFERROR(INDEX(Country_Context!$C$2:$C$63,MATCH($C69,Country_Context!$A$2:$A$63,0)),"")</f>
        <v/>
      </c>
      <c r="AK69" s="11">
        <f>IFERROR(INDEX(Country_Context!$D$2:$D$63,MATCH($C69,Country_Context!$A$2:$A$63,0)),"")</f>
        <v/>
      </c>
      <c r="AL69" s="11">
        <f>IFERROR(INDEX(Country_Context!$E$2:$E$63,MATCH($C69,Country_Context!$A$2:$A$63,0)),"")</f>
        <v/>
      </c>
      <c r="AM69" s="11">
        <f>IFERROR(INDEX(Country_Context!$F$2:$F$63,MATCH($C69,Country_Context!$A$2:$A$63,0)),"")</f>
        <v/>
      </c>
      <c r="AN69" s="11">
        <f>IFERROR(INDEX(Country_Context!$G$2:$G$63,MATCH($C69,Country_Context!$A$2:$A$63,0)),"")</f>
        <v/>
      </c>
      <c r="AO69" s="12" t="inlineStr"/>
      <c r="AP69" s="12" t="inlineStr"/>
      <c r="AQ69" s="12" t="inlineStr"/>
      <c r="AR69" s="12" t="inlineStr"/>
      <c r="AS69" s="12" t="inlineStr"/>
      <c r="AT69" s="12" t="inlineStr"/>
      <c r="AU69" s="12" t="inlineStr"/>
      <c r="AV69" s="12" t="inlineStr"/>
      <c r="AW69" s="12" t="inlineStr"/>
      <c r="AX69" s="12" t="inlineStr"/>
      <c r="AY69" s="12" t="inlineStr"/>
      <c r="AZ69" s="12" t="inlineStr"/>
      <c r="BA69" s="12" t="inlineStr"/>
      <c r="BB69" s="12" t="inlineStr"/>
      <c r="BC69" s="12" t="inlineStr"/>
      <c r="BD69" s="12" t="inlineStr"/>
      <c r="BE69" s="12" t="inlineStr"/>
      <c r="BF69" s="12" t="inlineStr"/>
      <c r="BG69" s="12" t="inlineStr"/>
      <c r="BH69" s="12" t="inlineStr"/>
    </row>
    <row r="70">
      <c r="A70" s="9" t="inlineStr">
        <is>
          <t>ar-cordoba</t>
        </is>
      </c>
      <c r="B70" s="9" t="inlineStr">
        <is>
          <t>Cordoba</t>
        </is>
      </c>
      <c r="C70" s="9" t="inlineStr">
        <is>
          <t>Argentina</t>
        </is>
      </c>
      <c r="D70" s="9" t="inlineStr">
        <is>
          <t>Latin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IF(OR($G70="",$H70="",$I70="",$J70="",$K70="",$L70="",$AL70="",$AM70=""),"",((($G70*(1-$AM70))-$H70-$I70-$J70-$K70-$L70)/$AL70))</f>
        <v/>
      </c>
      <c r="N70" s="10" t="inlineStr"/>
      <c r="O70" s="10" t="inlineStr"/>
      <c r="P70" s="11">
        <f>IF($O70&lt;&gt;"",$O70,$AN70)</f>
        <v/>
      </c>
      <c r="Q70" s="10" t="inlineStr"/>
      <c r="R70" s="10" t="inlineStr"/>
      <c r="S70" s="10" t="inlineStr"/>
      <c r="T70" s="10" t="inlineStr"/>
      <c r="U70" s="10" t="inlineStr"/>
      <c r="V70" s="10" t="inlineStr"/>
      <c r="W70" s="10" t="inlineStr"/>
      <c r="X70" s="10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  <c r="AF70" s="10" t="inlineStr"/>
      <c r="AG70" s="10" t="inlineStr"/>
      <c r="AH70" s="10" t="inlineStr"/>
      <c r="AI70" s="11">
        <f>IFERROR(INDEX(Country_Context!$B$2:$B$63,MATCH($C70,Country_Context!$A$2:$A$63,0)),"")</f>
        <v/>
      </c>
      <c r="AJ70" s="11">
        <f>IFERROR(INDEX(Country_Context!$C$2:$C$63,MATCH($C70,Country_Context!$A$2:$A$63,0)),"")</f>
        <v/>
      </c>
      <c r="AK70" s="11">
        <f>IFERROR(INDEX(Country_Context!$D$2:$D$63,MATCH($C70,Country_Context!$A$2:$A$63,0)),"")</f>
        <v/>
      </c>
      <c r="AL70" s="11">
        <f>IFERROR(INDEX(Country_Context!$E$2:$E$63,MATCH($C70,Country_Context!$A$2:$A$63,0)),"")</f>
        <v/>
      </c>
      <c r="AM70" s="11">
        <f>IFERROR(INDEX(Country_Context!$F$2:$F$63,MATCH($C70,Country_Context!$A$2:$A$63,0)),"")</f>
        <v/>
      </c>
      <c r="AN70" s="11">
        <f>IFERROR(INDEX(Country_Context!$G$2:$G$63,MATCH($C70,Country_Context!$A$2:$A$63,0)),"")</f>
        <v/>
      </c>
      <c r="AO70" s="12" t="inlineStr"/>
      <c r="AP70" s="12" t="inlineStr"/>
      <c r="AQ70" s="12" t="inlineStr"/>
      <c r="AR70" s="12" t="inlineStr"/>
      <c r="AS70" s="12" t="inlineStr"/>
      <c r="AT70" s="12" t="inlineStr"/>
      <c r="AU70" s="12" t="inlineStr"/>
      <c r="AV70" s="12" t="inlineStr"/>
      <c r="AW70" s="12" t="inlineStr"/>
      <c r="AX70" s="12" t="inlineStr"/>
      <c r="AY70" s="12" t="inlineStr"/>
      <c r="AZ70" s="12" t="inlineStr"/>
      <c r="BA70" s="12" t="inlineStr"/>
      <c r="BB70" s="12" t="inlineStr"/>
      <c r="BC70" s="12" t="inlineStr"/>
      <c r="BD70" s="12" t="inlineStr"/>
      <c r="BE70" s="12" t="inlineStr"/>
      <c r="BF70" s="12" t="inlineStr"/>
      <c r="BG70" s="12" t="inlineStr"/>
      <c r="BH70" s="12" t="inlineStr"/>
    </row>
    <row r="71">
      <c r="A71" s="9" t="inlineStr">
        <is>
          <t>cl-valparaiso</t>
        </is>
      </c>
      <c r="B71" s="9" t="inlineStr">
        <is>
          <t>Valparaiso</t>
        </is>
      </c>
      <c r="C71" s="9" t="inlineStr">
        <is>
          <t>Chile</t>
        </is>
      </c>
      <c r="D71" s="9" t="inlineStr">
        <is>
          <t>Latin America</t>
        </is>
      </c>
      <c r="E71" s="9" t="inlineStr">
        <is>
          <t>secondary</t>
        </is>
      </c>
      <c r="F71" s="9" t="inlineStr">
        <is>
          <t>provisional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IF(OR($G71="",$H71="",$I71="",$J71="",$K71="",$L71="",$AL71="",$AM71=""),"",((($G71*(1-$AM71))-$H71-$I71-$J71-$K71-$L71)/$AL71))</f>
        <v/>
      </c>
      <c r="N71" s="10" t="inlineStr"/>
      <c r="O71" s="10" t="inlineStr"/>
      <c r="P71" s="11">
        <f>IF($O71&lt;&gt;"",$O71,$AN71)</f>
        <v/>
      </c>
      <c r="Q71" s="10" t="inlineStr"/>
      <c r="R71" s="10" t="inlineStr"/>
      <c r="S71" s="10" t="inlineStr"/>
      <c r="T71" s="10" t="inlineStr"/>
      <c r="U71" s="10" t="inlineStr"/>
      <c r="V71" s="10" t="inlineStr"/>
      <c r="W71" s="10" t="inlineStr"/>
      <c r="X71" s="10" t="inlineStr"/>
      <c r="Y71" s="10" t="inlineStr"/>
      <c r="Z71" s="10" t="inlineStr"/>
      <c r="AA71" s="10" t="inlineStr"/>
      <c r="AB71" s="10" t="inlineStr"/>
      <c r="AC71" s="10" t="inlineStr"/>
      <c r="AD71" s="10" t="inlineStr"/>
      <c r="AE71" s="10" t="inlineStr"/>
      <c r="AF71" s="10" t="inlineStr"/>
      <c r="AG71" s="10" t="inlineStr"/>
      <c r="AH71" s="10" t="inlineStr"/>
      <c r="AI71" s="11">
        <f>IFERROR(INDEX(Country_Context!$B$2:$B$63,MATCH($C71,Country_Context!$A$2:$A$63,0)),"")</f>
        <v/>
      </c>
      <c r="AJ71" s="11">
        <f>IFERROR(INDEX(Country_Context!$C$2:$C$63,MATCH($C71,Country_Context!$A$2:$A$63,0)),"")</f>
        <v/>
      </c>
      <c r="AK71" s="11">
        <f>IFERROR(INDEX(Country_Context!$D$2:$D$63,MATCH($C71,Country_Context!$A$2:$A$63,0)),"")</f>
        <v/>
      </c>
      <c r="AL71" s="11">
        <f>IFERROR(INDEX(Country_Context!$E$2:$E$63,MATCH($C71,Country_Context!$A$2:$A$63,0)),"")</f>
        <v/>
      </c>
      <c r="AM71" s="11">
        <f>IFERROR(INDEX(Country_Context!$F$2:$F$63,MATCH($C71,Country_Context!$A$2:$A$63,0)),"")</f>
        <v/>
      </c>
      <c r="AN71" s="11">
        <f>IFERROR(INDEX(Country_Context!$G$2:$G$63,MATCH($C71,Country_Context!$A$2:$A$63,0)),"")</f>
        <v/>
      </c>
      <c r="AO71" s="12" t="inlineStr"/>
      <c r="AP71" s="12" t="inlineStr"/>
      <c r="AQ71" s="12" t="inlineStr"/>
      <c r="AR71" s="12" t="inlineStr"/>
      <c r="AS71" s="12" t="inlineStr"/>
      <c r="AT71" s="12" t="inlineStr"/>
      <c r="AU71" s="12" t="inlineStr"/>
      <c r="AV71" s="12" t="inlineStr"/>
      <c r="AW71" s="12" t="inlineStr"/>
      <c r="AX71" s="12" t="inlineStr"/>
      <c r="AY71" s="12" t="inlineStr"/>
      <c r="AZ71" s="12" t="inlineStr"/>
      <c r="BA71" s="12" t="inlineStr"/>
      <c r="BB71" s="12" t="inlineStr"/>
      <c r="BC71" s="12" t="inlineStr"/>
      <c r="BD71" s="12" t="inlineStr"/>
      <c r="BE71" s="12" t="inlineStr"/>
      <c r="BF71" s="12" t="inlineStr"/>
      <c r="BG71" s="12" t="inlineStr"/>
      <c r="BH71" s="12" t="inlineStr"/>
    </row>
    <row r="72">
      <c r="A72" s="9" t="inlineStr">
        <is>
          <t>ae-dubai</t>
        </is>
      </c>
      <c r="B72" s="9" t="inlineStr">
        <is>
          <t>Dubai</t>
        </is>
      </c>
      <c r="C72" s="9" t="inlineStr">
        <is>
          <t>United Arab Emirates</t>
        </is>
      </c>
      <c r="D72" s="9" t="inlineStr">
        <is>
          <t>Middle East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IF(OR($G72="",$H72="",$I72="",$J72="",$K72="",$L72="",$AL72="",$AM72=""),"",((($G72*(1-$AM72))-$H72-$I72-$J72-$K72-$L72)/$AL72))</f>
        <v/>
      </c>
      <c r="N72" s="10" t="inlineStr"/>
      <c r="O72" s="10" t="inlineStr"/>
      <c r="P72" s="11">
        <f>IF($O72&lt;&gt;"",$O72,$AN72)</f>
        <v/>
      </c>
      <c r="Q72" s="10" t="inlineStr"/>
      <c r="R72" s="10" t="inlineStr"/>
      <c r="S72" s="10" t="inlineStr"/>
      <c r="T72" s="10" t="inlineStr"/>
      <c r="U72" s="10" t="inlineStr"/>
      <c r="V72" s="10" t="inlineStr"/>
      <c r="W72" s="10" t="inlineStr"/>
      <c r="X72" s="10" t="inlineStr"/>
      <c r="Y72" s="10" t="inlineStr"/>
      <c r="Z72" s="10" t="inlineStr"/>
      <c r="AA72" s="10" t="inlineStr"/>
      <c r="AB72" s="10" t="inlineStr"/>
      <c r="AC72" s="10" t="inlineStr"/>
      <c r="AD72" s="10" t="inlineStr"/>
      <c r="AE72" s="10" t="inlineStr"/>
      <c r="AF72" s="10" t="inlineStr"/>
      <c r="AG72" s="10" t="inlineStr"/>
      <c r="AH72" s="10" t="inlineStr"/>
      <c r="AI72" s="11">
        <f>IFERROR(INDEX(Country_Context!$B$2:$B$63,MATCH($C72,Country_Context!$A$2:$A$63,0)),"")</f>
        <v/>
      </c>
      <c r="AJ72" s="11">
        <f>IFERROR(INDEX(Country_Context!$C$2:$C$63,MATCH($C72,Country_Context!$A$2:$A$63,0)),"")</f>
        <v/>
      </c>
      <c r="AK72" s="11">
        <f>IFERROR(INDEX(Country_Context!$D$2:$D$63,MATCH($C72,Country_Context!$A$2:$A$63,0)),"")</f>
        <v/>
      </c>
      <c r="AL72" s="11">
        <f>IFERROR(INDEX(Country_Context!$E$2:$E$63,MATCH($C72,Country_Context!$A$2:$A$63,0)),"")</f>
        <v/>
      </c>
      <c r="AM72" s="11">
        <f>IFERROR(INDEX(Country_Context!$F$2:$F$63,MATCH($C72,Country_Context!$A$2:$A$63,0)),"")</f>
        <v/>
      </c>
      <c r="AN72" s="11">
        <f>IFERROR(INDEX(Country_Context!$G$2:$G$63,MATCH($C72,Country_Context!$A$2:$A$63,0)),"")</f>
        <v/>
      </c>
      <c r="AO72" s="12" t="inlineStr"/>
      <c r="AP72" s="12" t="inlineStr"/>
      <c r="AQ72" s="12" t="inlineStr"/>
      <c r="AR72" s="12" t="inlineStr"/>
      <c r="AS72" s="12" t="inlineStr"/>
      <c r="AT72" s="12" t="inlineStr"/>
      <c r="AU72" s="12" t="inlineStr"/>
      <c r="AV72" s="12" t="inlineStr"/>
      <c r="AW72" s="12" t="inlineStr"/>
      <c r="AX72" s="12" t="inlineStr"/>
      <c r="AY72" s="12" t="inlineStr"/>
      <c r="AZ72" s="12" t="inlineStr"/>
      <c r="BA72" s="12" t="inlineStr"/>
      <c r="BB72" s="12" t="inlineStr"/>
      <c r="BC72" s="12" t="inlineStr"/>
      <c r="BD72" s="12" t="inlineStr"/>
      <c r="BE72" s="12" t="inlineStr"/>
      <c r="BF72" s="12" t="inlineStr"/>
      <c r="BG72" s="12" t="inlineStr"/>
      <c r="BH72" s="12" t="inlineStr"/>
    </row>
    <row r="73">
      <c r="A73" s="9" t="inlineStr">
        <is>
          <t>ae-abu-dhabi</t>
        </is>
      </c>
      <c r="B73" s="9" t="inlineStr">
        <is>
          <t>Abu Dhabi</t>
        </is>
      </c>
      <c r="C73" s="9" t="inlineStr">
        <is>
          <t>United Arab Emirates</t>
        </is>
      </c>
      <c r="D73" s="9" t="inlineStr">
        <is>
          <t>Middle East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IF(OR($G73="",$H73="",$I73="",$J73="",$K73="",$L73="",$AL73="",$AM73=""),"",((($G73*(1-$AM73))-$H73-$I73-$J73-$K73-$L73)/$AL73))</f>
        <v/>
      </c>
      <c r="N73" s="10" t="inlineStr"/>
      <c r="O73" s="10" t="inlineStr"/>
      <c r="P73" s="11">
        <f>IF($O73&lt;&gt;"",$O73,$AN73)</f>
        <v/>
      </c>
      <c r="Q73" s="10" t="inlineStr"/>
      <c r="R73" s="10" t="inlineStr"/>
      <c r="S73" s="10" t="inlineStr"/>
      <c r="T73" s="10" t="inlineStr"/>
      <c r="U73" s="10" t="inlineStr"/>
      <c r="V73" s="10" t="inlineStr"/>
      <c r="W73" s="10" t="inlineStr"/>
      <c r="X73" s="10" t="inlineStr"/>
      <c r="Y73" s="10" t="inlineStr"/>
      <c r="Z73" s="10" t="inlineStr"/>
      <c r="AA73" s="10" t="inlineStr"/>
      <c r="AB73" s="10" t="inlineStr"/>
      <c r="AC73" s="10" t="inlineStr"/>
      <c r="AD73" s="10" t="inlineStr"/>
      <c r="AE73" s="10" t="inlineStr"/>
      <c r="AF73" s="10" t="inlineStr"/>
      <c r="AG73" s="10" t="inlineStr"/>
      <c r="AH73" s="10" t="inlineStr"/>
      <c r="AI73" s="11">
        <f>IFERROR(INDEX(Country_Context!$B$2:$B$63,MATCH($C73,Country_Context!$A$2:$A$63,0)),"")</f>
        <v/>
      </c>
      <c r="AJ73" s="11">
        <f>IFERROR(INDEX(Country_Context!$C$2:$C$63,MATCH($C73,Country_Context!$A$2:$A$63,0)),"")</f>
        <v/>
      </c>
      <c r="AK73" s="11">
        <f>IFERROR(INDEX(Country_Context!$D$2:$D$63,MATCH($C73,Country_Context!$A$2:$A$63,0)),"")</f>
        <v/>
      </c>
      <c r="AL73" s="11">
        <f>IFERROR(INDEX(Country_Context!$E$2:$E$63,MATCH($C73,Country_Context!$A$2:$A$63,0)),"")</f>
        <v/>
      </c>
      <c r="AM73" s="11">
        <f>IFERROR(INDEX(Country_Context!$F$2:$F$63,MATCH($C73,Country_Context!$A$2:$A$63,0)),"")</f>
        <v/>
      </c>
      <c r="AN73" s="11">
        <f>IFERROR(INDEX(Country_Context!$G$2:$G$63,MATCH($C73,Country_Context!$A$2:$A$63,0)),"")</f>
        <v/>
      </c>
      <c r="AO73" s="12" t="inlineStr"/>
      <c r="AP73" s="12" t="inlineStr"/>
      <c r="AQ73" s="12" t="inlineStr"/>
      <c r="AR73" s="12" t="inlineStr"/>
      <c r="AS73" s="12" t="inlineStr"/>
      <c r="AT73" s="12" t="inlineStr"/>
      <c r="AU73" s="12" t="inlineStr"/>
      <c r="AV73" s="12" t="inlineStr"/>
      <c r="AW73" s="12" t="inlineStr"/>
      <c r="AX73" s="12" t="inlineStr"/>
      <c r="AY73" s="12" t="inlineStr"/>
      <c r="AZ73" s="12" t="inlineStr"/>
      <c r="BA73" s="12" t="inlineStr"/>
      <c r="BB73" s="12" t="inlineStr"/>
      <c r="BC73" s="12" t="inlineStr"/>
      <c r="BD73" s="12" t="inlineStr"/>
      <c r="BE73" s="12" t="inlineStr"/>
      <c r="BF73" s="12" t="inlineStr"/>
      <c r="BG73" s="12" t="inlineStr"/>
      <c r="BH73" s="12" t="inlineStr"/>
    </row>
    <row r="74">
      <c r="A74" s="9" t="inlineStr">
        <is>
          <t>qa-doha</t>
        </is>
      </c>
      <c r="B74" s="9" t="inlineStr">
        <is>
          <t>Doha</t>
        </is>
      </c>
      <c r="C74" s="9" t="inlineStr">
        <is>
          <t>Qatar</t>
        </is>
      </c>
      <c r="D74" s="9" t="inlineStr">
        <is>
          <t>Middle East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IF(OR($G74="",$H74="",$I74="",$J74="",$K74="",$L74="",$AL74="",$AM74=""),"",((($G74*(1-$AM74))-$H74-$I74-$J74-$K74-$L74)/$AL74))</f>
        <v/>
      </c>
      <c r="N74" s="10" t="inlineStr"/>
      <c r="O74" s="10" t="inlineStr"/>
      <c r="P74" s="11">
        <f>IF($O74&lt;&gt;"",$O74,$AN74)</f>
        <v/>
      </c>
      <c r="Q74" s="10" t="inlineStr"/>
      <c r="R74" s="10" t="inlineStr"/>
      <c r="S74" s="10" t="inlineStr"/>
      <c r="T74" s="10" t="inlineStr"/>
      <c r="U74" s="10" t="inlineStr"/>
      <c r="V74" s="10" t="inlineStr"/>
      <c r="W74" s="10" t="inlineStr"/>
      <c r="X74" s="10" t="inlineStr"/>
      <c r="Y74" s="10" t="inlineStr"/>
      <c r="Z74" s="10" t="inlineStr"/>
      <c r="AA74" s="10" t="inlineStr"/>
      <c r="AB74" s="10" t="inlineStr"/>
      <c r="AC74" s="10" t="inlineStr"/>
      <c r="AD74" s="10" t="inlineStr"/>
      <c r="AE74" s="10" t="inlineStr"/>
      <c r="AF74" s="10" t="inlineStr"/>
      <c r="AG74" s="10" t="inlineStr"/>
      <c r="AH74" s="10" t="inlineStr"/>
      <c r="AI74" s="11">
        <f>IFERROR(INDEX(Country_Context!$B$2:$B$63,MATCH($C74,Country_Context!$A$2:$A$63,0)),"")</f>
        <v/>
      </c>
      <c r="AJ74" s="11">
        <f>IFERROR(INDEX(Country_Context!$C$2:$C$63,MATCH($C74,Country_Context!$A$2:$A$63,0)),"")</f>
        <v/>
      </c>
      <c r="AK74" s="11">
        <f>IFERROR(INDEX(Country_Context!$D$2:$D$63,MATCH($C74,Country_Context!$A$2:$A$63,0)),"")</f>
        <v/>
      </c>
      <c r="AL74" s="11">
        <f>IFERROR(INDEX(Country_Context!$E$2:$E$63,MATCH($C74,Country_Context!$A$2:$A$63,0)),"")</f>
        <v/>
      </c>
      <c r="AM74" s="11">
        <f>IFERROR(INDEX(Country_Context!$F$2:$F$63,MATCH($C74,Country_Context!$A$2:$A$63,0)),"")</f>
        <v/>
      </c>
      <c r="AN74" s="11">
        <f>IFERROR(INDEX(Country_Context!$G$2:$G$63,MATCH($C74,Country_Context!$A$2:$A$63,0)),"")</f>
        <v/>
      </c>
      <c r="AO74" s="12" t="inlineStr"/>
      <c r="AP74" s="12" t="inlineStr"/>
      <c r="AQ74" s="12" t="inlineStr"/>
      <c r="AR74" s="12" t="inlineStr"/>
      <c r="AS74" s="12" t="inlineStr"/>
      <c r="AT74" s="12" t="inlineStr"/>
      <c r="AU74" s="12" t="inlineStr"/>
      <c r="AV74" s="12" t="inlineStr"/>
      <c r="AW74" s="12" t="inlineStr"/>
      <c r="AX74" s="12" t="inlineStr"/>
      <c r="AY74" s="12" t="inlineStr"/>
      <c r="AZ74" s="12" t="inlineStr"/>
      <c r="BA74" s="12" t="inlineStr"/>
      <c r="BB74" s="12" t="inlineStr"/>
      <c r="BC74" s="12" t="inlineStr"/>
      <c r="BD74" s="12" t="inlineStr"/>
      <c r="BE74" s="12" t="inlineStr"/>
      <c r="BF74" s="12" t="inlineStr"/>
      <c r="BG74" s="12" t="inlineStr"/>
      <c r="BH74" s="12" t="inlineStr"/>
    </row>
    <row r="75">
      <c r="A75" s="9" t="inlineStr">
        <is>
          <t>sa-riyadh</t>
        </is>
      </c>
      <c r="B75" s="9" t="inlineStr">
        <is>
          <t>Riyadh</t>
        </is>
      </c>
      <c r="C75" s="9" t="inlineStr">
        <is>
          <t>Saudi Arabia</t>
        </is>
      </c>
      <c r="D75" s="9" t="inlineStr">
        <is>
          <t>Middle East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IF(OR($G75="",$H75="",$I75="",$J75="",$K75="",$L75="",$AL75="",$AM75=""),"",((($G75*(1-$AM75))-$H75-$I75-$J75-$K75-$L75)/$AL75))</f>
        <v/>
      </c>
      <c r="N75" s="10" t="inlineStr"/>
      <c r="O75" s="10" t="inlineStr"/>
      <c r="P75" s="11">
        <f>IF($O75&lt;&gt;"",$O75,$AN75)</f>
        <v/>
      </c>
      <c r="Q75" s="10" t="inlineStr"/>
      <c r="R75" s="10" t="inlineStr"/>
      <c r="S75" s="10" t="inlineStr"/>
      <c r="T75" s="10" t="inlineStr"/>
      <c r="U75" s="10" t="inlineStr"/>
      <c r="V75" s="10" t="inlineStr"/>
      <c r="W75" s="10" t="inlineStr"/>
      <c r="X75" s="10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  <c r="AF75" s="10" t="inlineStr"/>
      <c r="AG75" s="10" t="inlineStr"/>
      <c r="AH75" s="10" t="inlineStr"/>
      <c r="AI75" s="11">
        <f>IFERROR(INDEX(Country_Context!$B$2:$B$63,MATCH($C75,Country_Context!$A$2:$A$63,0)),"")</f>
        <v/>
      </c>
      <c r="AJ75" s="11">
        <f>IFERROR(INDEX(Country_Context!$C$2:$C$63,MATCH($C75,Country_Context!$A$2:$A$63,0)),"")</f>
        <v/>
      </c>
      <c r="AK75" s="11">
        <f>IFERROR(INDEX(Country_Context!$D$2:$D$63,MATCH($C75,Country_Context!$A$2:$A$63,0)),"")</f>
        <v/>
      </c>
      <c r="AL75" s="11">
        <f>IFERROR(INDEX(Country_Context!$E$2:$E$63,MATCH($C75,Country_Context!$A$2:$A$63,0)),"")</f>
        <v/>
      </c>
      <c r="AM75" s="11">
        <f>IFERROR(INDEX(Country_Context!$F$2:$F$63,MATCH($C75,Country_Context!$A$2:$A$63,0)),"")</f>
        <v/>
      </c>
      <c r="AN75" s="11">
        <f>IFERROR(INDEX(Country_Context!$G$2:$G$63,MATCH($C75,Country_Context!$A$2:$A$63,0)),"")</f>
        <v/>
      </c>
      <c r="AO75" s="12" t="inlineStr"/>
      <c r="AP75" s="12" t="inlineStr"/>
      <c r="AQ75" s="12" t="inlineStr"/>
      <c r="AR75" s="12" t="inlineStr"/>
      <c r="AS75" s="12" t="inlineStr"/>
      <c r="AT75" s="12" t="inlineStr"/>
      <c r="AU75" s="12" t="inlineStr"/>
      <c r="AV75" s="12" t="inlineStr"/>
      <c r="AW75" s="12" t="inlineStr"/>
      <c r="AX75" s="12" t="inlineStr"/>
      <c r="AY75" s="12" t="inlineStr"/>
      <c r="AZ75" s="12" t="inlineStr"/>
      <c r="BA75" s="12" t="inlineStr"/>
      <c r="BB75" s="12" t="inlineStr"/>
      <c r="BC75" s="12" t="inlineStr"/>
      <c r="BD75" s="12" t="inlineStr"/>
      <c r="BE75" s="12" t="inlineStr"/>
      <c r="BF75" s="12" t="inlineStr"/>
      <c r="BG75" s="12" t="inlineStr"/>
      <c r="BH75" s="12" t="inlineStr"/>
    </row>
    <row r="76">
      <c r="A76" s="9" t="inlineStr">
        <is>
          <t>il-tel-aviv</t>
        </is>
      </c>
      <c r="B76" s="9" t="inlineStr">
        <is>
          <t>Tel Aviv</t>
        </is>
      </c>
      <c r="C76" s="9" t="inlineStr">
        <is>
          <t>Israel</t>
        </is>
      </c>
      <c r="D76" s="9" t="inlineStr">
        <is>
          <t>Middle East</t>
        </is>
      </c>
      <c r="E76" s="9" t="inlineStr">
        <is>
          <t>primary</t>
        </is>
      </c>
      <c r="F76" s="9" t="inlineStr">
        <is>
          <t>provisional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IF(OR($G76="",$H76="",$I76="",$J76="",$K76="",$L76="",$AL76="",$AM76=""),"",((($G76*(1-$AM76))-$H76-$I76-$J76-$K76-$L76)/$AL76))</f>
        <v/>
      </c>
      <c r="N76" s="10" t="inlineStr"/>
      <c r="O76" s="10" t="inlineStr"/>
      <c r="P76" s="11">
        <f>IF($O76&lt;&gt;"",$O76,$AN76)</f>
        <v/>
      </c>
      <c r="Q76" s="10" t="inlineStr"/>
      <c r="R76" s="10" t="inlineStr"/>
      <c r="S76" s="10" t="inlineStr"/>
      <c r="T76" s="10" t="inlineStr"/>
      <c r="U76" s="10" t="inlineStr"/>
      <c r="V76" s="10" t="inlineStr"/>
      <c r="W76" s="10" t="inlineStr"/>
      <c r="X76" s="10" t="inlineStr"/>
      <c r="Y76" s="10" t="inlineStr"/>
      <c r="Z76" s="10" t="inlineStr"/>
      <c r="AA76" s="10" t="inlineStr"/>
      <c r="AB76" s="10" t="inlineStr"/>
      <c r="AC76" s="10" t="inlineStr"/>
      <c r="AD76" s="10" t="inlineStr"/>
      <c r="AE76" s="10" t="inlineStr"/>
      <c r="AF76" s="10" t="inlineStr"/>
      <c r="AG76" s="10" t="inlineStr"/>
      <c r="AH76" s="10" t="inlineStr"/>
      <c r="AI76" s="11">
        <f>IFERROR(INDEX(Country_Context!$B$2:$B$63,MATCH($C76,Country_Context!$A$2:$A$63,0)),"")</f>
        <v/>
      </c>
      <c r="AJ76" s="11">
        <f>IFERROR(INDEX(Country_Context!$C$2:$C$63,MATCH($C76,Country_Context!$A$2:$A$63,0)),"")</f>
        <v/>
      </c>
      <c r="AK76" s="11">
        <f>IFERROR(INDEX(Country_Context!$D$2:$D$63,MATCH($C76,Country_Context!$A$2:$A$63,0)),"")</f>
        <v/>
      </c>
      <c r="AL76" s="11">
        <f>IFERROR(INDEX(Country_Context!$E$2:$E$63,MATCH($C76,Country_Context!$A$2:$A$63,0)),"")</f>
        <v/>
      </c>
      <c r="AM76" s="11">
        <f>IFERROR(INDEX(Country_Context!$F$2:$F$63,MATCH($C76,Country_Context!$A$2:$A$63,0)),"")</f>
        <v/>
      </c>
      <c r="AN76" s="11">
        <f>IFERROR(INDEX(Country_Context!$G$2:$G$63,MATCH($C76,Country_Context!$A$2:$A$63,0)),"")</f>
        <v/>
      </c>
      <c r="AO76" s="12" t="inlineStr"/>
      <c r="AP76" s="12" t="inlineStr"/>
      <c r="AQ76" s="12" t="inlineStr"/>
      <c r="AR76" s="12" t="inlineStr"/>
      <c r="AS76" s="12" t="inlineStr"/>
      <c r="AT76" s="12" t="inlineStr"/>
      <c r="AU76" s="12" t="inlineStr"/>
      <c r="AV76" s="12" t="inlineStr"/>
      <c r="AW76" s="12" t="inlineStr"/>
      <c r="AX76" s="12" t="inlineStr"/>
      <c r="AY76" s="12" t="inlineStr"/>
      <c r="AZ76" s="12" t="inlineStr"/>
      <c r="BA76" s="12" t="inlineStr"/>
      <c r="BB76" s="12" t="inlineStr"/>
      <c r="BC76" s="12" t="inlineStr"/>
      <c r="BD76" s="12" t="inlineStr"/>
      <c r="BE76" s="12" t="inlineStr"/>
      <c r="BF76" s="12" t="inlineStr"/>
      <c r="BG76" s="12" t="inlineStr"/>
      <c r="BH76" s="12" t="inlineStr"/>
    </row>
    <row r="77">
      <c r="A77" s="9" t="inlineStr">
        <is>
          <t>om-muscat</t>
        </is>
      </c>
      <c r="B77" s="9" t="inlineStr">
        <is>
          <t>Muscat</t>
        </is>
      </c>
      <c r="C77" s="9" t="inlineStr">
        <is>
          <t>Oman</t>
        </is>
      </c>
      <c r="D77" s="9" t="inlineStr">
        <is>
          <t>Middle East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IF(OR($G77="",$H77="",$I77="",$J77="",$K77="",$L77="",$AL77="",$AM77=""),"",((($G77*(1-$AM77))-$H77-$I77-$J77-$K77-$L77)/$AL77))</f>
        <v/>
      </c>
      <c r="N77" s="10" t="inlineStr"/>
      <c r="O77" s="10" t="inlineStr"/>
      <c r="P77" s="11">
        <f>IF($O77&lt;&gt;"",$O77,$AN77)</f>
        <v/>
      </c>
      <c r="Q77" s="10" t="inlineStr"/>
      <c r="R77" s="10" t="inlineStr"/>
      <c r="S77" s="10" t="inlineStr"/>
      <c r="T77" s="10" t="inlineStr"/>
      <c r="U77" s="10" t="inlineStr"/>
      <c r="V77" s="10" t="inlineStr"/>
      <c r="W77" s="10" t="inlineStr"/>
      <c r="X77" s="10" t="inlineStr"/>
      <c r="Y77" s="10" t="inlineStr"/>
      <c r="Z77" s="10" t="inlineStr"/>
      <c r="AA77" s="10" t="inlineStr"/>
      <c r="AB77" s="10" t="inlineStr"/>
      <c r="AC77" s="10" t="inlineStr"/>
      <c r="AD77" s="10" t="inlineStr"/>
      <c r="AE77" s="10" t="inlineStr"/>
      <c r="AF77" s="10" t="inlineStr"/>
      <c r="AG77" s="10" t="inlineStr"/>
      <c r="AH77" s="10" t="inlineStr"/>
      <c r="AI77" s="11">
        <f>IFERROR(INDEX(Country_Context!$B$2:$B$63,MATCH($C77,Country_Context!$A$2:$A$63,0)),"")</f>
        <v/>
      </c>
      <c r="AJ77" s="11">
        <f>IFERROR(INDEX(Country_Context!$C$2:$C$63,MATCH($C77,Country_Context!$A$2:$A$63,0)),"")</f>
        <v/>
      </c>
      <c r="AK77" s="11">
        <f>IFERROR(INDEX(Country_Context!$D$2:$D$63,MATCH($C77,Country_Context!$A$2:$A$63,0)),"")</f>
        <v/>
      </c>
      <c r="AL77" s="11">
        <f>IFERROR(INDEX(Country_Context!$E$2:$E$63,MATCH($C77,Country_Context!$A$2:$A$63,0)),"")</f>
        <v/>
      </c>
      <c r="AM77" s="11">
        <f>IFERROR(INDEX(Country_Context!$F$2:$F$63,MATCH($C77,Country_Context!$A$2:$A$63,0)),"")</f>
        <v/>
      </c>
      <c r="AN77" s="11">
        <f>IFERROR(INDEX(Country_Context!$G$2:$G$63,MATCH($C77,Country_Context!$A$2:$A$63,0)),"")</f>
        <v/>
      </c>
      <c r="AO77" s="12" t="inlineStr"/>
      <c r="AP77" s="12" t="inlineStr"/>
      <c r="AQ77" s="12" t="inlineStr"/>
      <c r="AR77" s="12" t="inlineStr"/>
      <c r="AS77" s="12" t="inlineStr"/>
      <c r="AT77" s="12" t="inlineStr"/>
      <c r="AU77" s="12" t="inlineStr"/>
      <c r="AV77" s="12" t="inlineStr"/>
      <c r="AW77" s="12" t="inlineStr"/>
      <c r="AX77" s="12" t="inlineStr"/>
      <c r="AY77" s="12" t="inlineStr"/>
      <c r="AZ77" s="12" t="inlineStr"/>
      <c r="BA77" s="12" t="inlineStr"/>
      <c r="BB77" s="12" t="inlineStr"/>
      <c r="BC77" s="12" t="inlineStr"/>
      <c r="BD77" s="12" t="inlineStr"/>
      <c r="BE77" s="12" t="inlineStr"/>
      <c r="BF77" s="12" t="inlineStr"/>
      <c r="BG77" s="12" t="inlineStr"/>
      <c r="BH77" s="12" t="inlineStr"/>
    </row>
    <row r="78">
      <c r="A78" s="9" t="inlineStr">
        <is>
          <t>bh-manama</t>
        </is>
      </c>
      <c r="B78" s="9" t="inlineStr">
        <is>
          <t>Manama</t>
        </is>
      </c>
      <c r="C78" s="9" t="inlineStr">
        <is>
          <t>Bahrain</t>
        </is>
      </c>
      <c r="D78" s="9" t="inlineStr">
        <is>
          <t>Middle East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IF(OR($G78="",$H78="",$I78="",$J78="",$K78="",$L78="",$AL78="",$AM78=""),"",((($G78*(1-$AM78))-$H78-$I78-$J78-$K78-$L78)/$AL78))</f>
        <v/>
      </c>
      <c r="N78" s="10" t="inlineStr"/>
      <c r="O78" s="10" t="inlineStr"/>
      <c r="P78" s="11">
        <f>IF($O78&lt;&gt;"",$O78,$AN78)</f>
        <v/>
      </c>
      <c r="Q78" s="10" t="inlineStr"/>
      <c r="R78" s="10" t="inlineStr"/>
      <c r="S78" s="10" t="inlineStr"/>
      <c r="T78" s="10" t="inlineStr"/>
      <c r="U78" s="10" t="inlineStr"/>
      <c r="V78" s="10" t="inlineStr"/>
      <c r="W78" s="10" t="inlineStr"/>
      <c r="X78" s="10" t="inlineStr"/>
      <c r="Y78" s="10" t="inlineStr"/>
      <c r="Z78" s="10" t="inlineStr"/>
      <c r="AA78" s="10" t="inlineStr"/>
      <c r="AB78" s="10" t="inlineStr"/>
      <c r="AC78" s="10" t="inlineStr"/>
      <c r="AD78" s="10" t="inlineStr"/>
      <c r="AE78" s="10" t="inlineStr"/>
      <c r="AF78" s="10" t="inlineStr"/>
      <c r="AG78" s="10" t="inlineStr"/>
      <c r="AH78" s="10" t="inlineStr"/>
      <c r="AI78" s="11">
        <f>IFERROR(INDEX(Country_Context!$B$2:$B$63,MATCH($C78,Country_Context!$A$2:$A$63,0)),"")</f>
        <v/>
      </c>
      <c r="AJ78" s="11">
        <f>IFERROR(INDEX(Country_Context!$C$2:$C$63,MATCH($C78,Country_Context!$A$2:$A$63,0)),"")</f>
        <v/>
      </c>
      <c r="AK78" s="11">
        <f>IFERROR(INDEX(Country_Context!$D$2:$D$63,MATCH($C78,Country_Context!$A$2:$A$63,0)),"")</f>
        <v/>
      </c>
      <c r="AL78" s="11">
        <f>IFERROR(INDEX(Country_Context!$E$2:$E$63,MATCH($C78,Country_Context!$A$2:$A$63,0)),"")</f>
        <v/>
      </c>
      <c r="AM78" s="11">
        <f>IFERROR(INDEX(Country_Context!$F$2:$F$63,MATCH($C78,Country_Context!$A$2:$A$63,0)),"")</f>
        <v/>
      </c>
      <c r="AN78" s="11">
        <f>IFERROR(INDEX(Country_Context!$G$2:$G$63,MATCH($C78,Country_Context!$A$2:$A$63,0)),"")</f>
        <v/>
      </c>
      <c r="AO78" s="12" t="inlineStr"/>
      <c r="AP78" s="12" t="inlineStr"/>
      <c r="AQ78" s="12" t="inlineStr"/>
      <c r="AR78" s="12" t="inlineStr"/>
      <c r="AS78" s="12" t="inlineStr"/>
      <c r="AT78" s="12" t="inlineStr"/>
      <c r="AU78" s="12" t="inlineStr"/>
      <c r="AV78" s="12" t="inlineStr"/>
      <c r="AW78" s="12" t="inlineStr"/>
      <c r="AX78" s="12" t="inlineStr"/>
      <c r="AY78" s="12" t="inlineStr"/>
      <c r="AZ78" s="12" t="inlineStr"/>
      <c r="BA78" s="12" t="inlineStr"/>
      <c r="BB78" s="12" t="inlineStr"/>
      <c r="BC78" s="12" t="inlineStr"/>
      <c r="BD78" s="12" t="inlineStr"/>
      <c r="BE78" s="12" t="inlineStr"/>
      <c r="BF78" s="12" t="inlineStr"/>
      <c r="BG78" s="12" t="inlineStr"/>
      <c r="BH78" s="12" t="inlineStr"/>
    </row>
    <row r="79">
      <c r="A79" s="9" t="inlineStr">
        <is>
          <t>sa-jeddah</t>
        </is>
      </c>
      <c r="B79" s="9" t="inlineStr">
        <is>
          <t>Jeddah</t>
        </is>
      </c>
      <c r="C79" s="9" t="inlineStr">
        <is>
          <t>Saudi Arabia</t>
        </is>
      </c>
      <c r="D79" s="9" t="inlineStr">
        <is>
          <t>Middle East</t>
        </is>
      </c>
      <c r="E79" s="9" t="inlineStr">
        <is>
          <t>secondary</t>
        </is>
      </c>
      <c r="F79" s="9" t="inlineStr">
        <is>
          <t>locked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IF(OR($G79="",$H79="",$I79="",$J79="",$K79="",$L79="",$AL79="",$AM79=""),"",((($G79*(1-$AM79))-$H79-$I79-$J79-$K79-$L79)/$AL79))</f>
        <v/>
      </c>
      <c r="N79" s="10" t="inlineStr"/>
      <c r="O79" s="10" t="inlineStr"/>
      <c r="P79" s="11">
        <f>IF($O79&lt;&gt;"",$O79,$AN79)</f>
        <v/>
      </c>
      <c r="Q79" s="10" t="inlineStr"/>
      <c r="R79" s="10" t="inlineStr"/>
      <c r="S79" s="10" t="inlineStr"/>
      <c r="T79" s="10" t="inlineStr"/>
      <c r="U79" s="10" t="inlineStr"/>
      <c r="V79" s="10" t="inlineStr"/>
      <c r="W79" s="10" t="inlineStr"/>
      <c r="X79" s="10" t="inlineStr"/>
      <c r="Y79" s="10" t="inlineStr"/>
      <c r="Z79" s="10" t="inlineStr"/>
      <c r="AA79" s="10" t="inlineStr"/>
      <c r="AB79" s="10" t="inlineStr"/>
      <c r="AC79" s="10" t="inlineStr"/>
      <c r="AD79" s="10" t="inlineStr"/>
      <c r="AE79" s="10" t="inlineStr"/>
      <c r="AF79" s="10" t="inlineStr"/>
      <c r="AG79" s="10" t="inlineStr"/>
      <c r="AH79" s="10" t="inlineStr"/>
      <c r="AI79" s="11">
        <f>IFERROR(INDEX(Country_Context!$B$2:$B$63,MATCH($C79,Country_Context!$A$2:$A$63,0)),"")</f>
        <v/>
      </c>
      <c r="AJ79" s="11">
        <f>IFERROR(INDEX(Country_Context!$C$2:$C$63,MATCH($C79,Country_Context!$A$2:$A$63,0)),"")</f>
        <v/>
      </c>
      <c r="AK79" s="11">
        <f>IFERROR(INDEX(Country_Context!$D$2:$D$63,MATCH($C79,Country_Context!$A$2:$A$63,0)),"")</f>
        <v/>
      </c>
      <c r="AL79" s="11">
        <f>IFERROR(INDEX(Country_Context!$E$2:$E$63,MATCH($C79,Country_Context!$A$2:$A$63,0)),"")</f>
        <v/>
      </c>
      <c r="AM79" s="11">
        <f>IFERROR(INDEX(Country_Context!$F$2:$F$63,MATCH($C79,Country_Context!$A$2:$A$63,0)),"")</f>
        <v/>
      </c>
      <c r="AN79" s="11">
        <f>IFERROR(INDEX(Country_Context!$G$2:$G$63,MATCH($C79,Country_Context!$A$2:$A$63,0)),"")</f>
        <v/>
      </c>
      <c r="AO79" s="12" t="inlineStr"/>
      <c r="AP79" s="12" t="inlineStr"/>
      <c r="AQ79" s="12" t="inlineStr"/>
      <c r="AR79" s="12" t="inlineStr"/>
      <c r="AS79" s="12" t="inlineStr"/>
      <c r="AT79" s="12" t="inlineStr"/>
      <c r="AU79" s="12" t="inlineStr"/>
      <c r="AV79" s="12" t="inlineStr"/>
      <c r="AW79" s="12" t="inlineStr"/>
      <c r="AX79" s="12" t="inlineStr"/>
      <c r="AY79" s="12" t="inlineStr"/>
      <c r="AZ79" s="12" t="inlineStr"/>
      <c r="BA79" s="12" t="inlineStr"/>
      <c r="BB79" s="12" t="inlineStr"/>
      <c r="BC79" s="12" t="inlineStr"/>
      <c r="BD79" s="12" t="inlineStr"/>
      <c r="BE79" s="12" t="inlineStr"/>
      <c r="BF79" s="12" t="inlineStr"/>
      <c r="BG79" s="12" t="inlineStr"/>
      <c r="BH79" s="12" t="inlineStr"/>
    </row>
    <row r="80">
      <c r="A80" s="9" t="inlineStr">
        <is>
          <t>kw-kuwait-city</t>
        </is>
      </c>
      <c r="B80" s="9" t="inlineStr">
        <is>
          <t>Kuwait City</t>
        </is>
      </c>
      <c r="C80" s="9" t="inlineStr">
        <is>
          <t>Kuwait</t>
        </is>
      </c>
      <c r="D80" s="9" t="inlineStr">
        <is>
          <t>Middle East</t>
        </is>
      </c>
      <c r="E80" s="9" t="inlineStr">
        <is>
          <t>secondary</t>
        </is>
      </c>
      <c r="F80" s="9" t="inlineStr">
        <is>
          <t>locked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IF(OR($G80="",$H80="",$I80="",$J80="",$K80="",$L80="",$AL80="",$AM80=""),"",((($G80*(1-$AM80))-$H80-$I80-$J80-$K80-$L80)/$AL80))</f>
        <v/>
      </c>
      <c r="N80" s="10" t="inlineStr"/>
      <c r="O80" s="10" t="inlineStr"/>
      <c r="P80" s="11">
        <f>IF($O80&lt;&gt;"",$O80,$AN80)</f>
        <v/>
      </c>
      <c r="Q80" s="10" t="inlineStr"/>
      <c r="R80" s="10" t="inlineStr"/>
      <c r="S80" s="10" t="inlineStr"/>
      <c r="T80" s="10" t="inlineStr"/>
      <c r="U80" s="10" t="inlineStr"/>
      <c r="V80" s="10" t="inlineStr"/>
      <c r="W80" s="10" t="inlineStr"/>
      <c r="X80" s="10" t="inlineStr"/>
      <c r="Y80" s="10" t="inlineStr"/>
      <c r="Z80" s="10" t="inlineStr"/>
      <c r="AA80" s="10" t="inlineStr"/>
      <c r="AB80" s="10" t="inlineStr"/>
      <c r="AC80" s="10" t="inlineStr"/>
      <c r="AD80" s="10" t="inlineStr"/>
      <c r="AE80" s="10" t="inlineStr"/>
      <c r="AF80" s="10" t="inlineStr"/>
      <c r="AG80" s="10" t="inlineStr"/>
      <c r="AH80" s="10" t="inlineStr"/>
      <c r="AI80" s="11">
        <f>IFERROR(INDEX(Country_Context!$B$2:$B$63,MATCH($C80,Country_Context!$A$2:$A$63,0)),"")</f>
        <v/>
      </c>
      <c r="AJ80" s="11">
        <f>IFERROR(INDEX(Country_Context!$C$2:$C$63,MATCH($C80,Country_Context!$A$2:$A$63,0)),"")</f>
        <v/>
      </c>
      <c r="AK80" s="11">
        <f>IFERROR(INDEX(Country_Context!$D$2:$D$63,MATCH($C80,Country_Context!$A$2:$A$63,0)),"")</f>
        <v/>
      </c>
      <c r="AL80" s="11">
        <f>IFERROR(INDEX(Country_Context!$E$2:$E$63,MATCH($C80,Country_Context!$A$2:$A$63,0)),"")</f>
        <v/>
      </c>
      <c r="AM80" s="11">
        <f>IFERROR(INDEX(Country_Context!$F$2:$F$63,MATCH($C80,Country_Context!$A$2:$A$63,0)),"")</f>
        <v/>
      </c>
      <c r="AN80" s="11">
        <f>IFERROR(INDEX(Country_Context!$G$2:$G$63,MATCH($C80,Country_Context!$A$2:$A$63,0)),"")</f>
        <v/>
      </c>
      <c r="AO80" s="12" t="inlineStr"/>
      <c r="AP80" s="12" t="inlineStr"/>
      <c r="AQ80" s="12" t="inlineStr"/>
      <c r="AR80" s="12" t="inlineStr"/>
      <c r="AS80" s="12" t="inlineStr"/>
      <c r="AT80" s="12" t="inlineStr"/>
      <c r="AU80" s="12" t="inlineStr"/>
      <c r="AV80" s="12" t="inlineStr"/>
      <c r="AW80" s="12" t="inlineStr"/>
      <c r="AX80" s="12" t="inlineStr"/>
      <c r="AY80" s="12" t="inlineStr"/>
      <c r="AZ80" s="12" t="inlineStr"/>
      <c r="BA80" s="12" t="inlineStr"/>
      <c r="BB80" s="12" t="inlineStr"/>
      <c r="BC80" s="12" t="inlineStr"/>
      <c r="BD80" s="12" t="inlineStr"/>
      <c r="BE80" s="12" t="inlineStr"/>
      <c r="BF80" s="12" t="inlineStr"/>
      <c r="BG80" s="12" t="inlineStr"/>
      <c r="BH80" s="12" t="inlineStr"/>
    </row>
    <row r="81">
      <c r="A81" s="9" t="inlineStr">
        <is>
          <t>jo-amman</t>
        </is>
      </c>
      <c r="B81" s="9" t="inlineStr">
        <is>
          <t>Amman</t>
        </is>
      </c>
      <c r="C81" s="9" t="inlineStr">
        <is>
          <t>Jordan</t>
        </is>
      </c>
      <c r="D81" s="9" t="inlineStr">
        <is>
          <t>Middle East</t>
        </is>
      </c>
      <c r="E81" s="9" t="inlineStr">
        <is>
          <t>secondary</t>
        </is>
      </c>
      <c r="F81" s="9" t="inlineStr">
        <is>
          <t>provisional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IF(OR($G81="",$H81="",$I81="",$J81="",$K81="",$L81="",$AL81="",$AM81=""),"",((($G81*(1-$AM81))-$H81-$I81-$J81-$K81-$L81)/$AL81))</f>
        <v/>
      </c>
      <c r="N81" s="10" t="inlineStr"/>
      <c r="O81" s="10" t="inlineStr"/>
      <c r="P81" s="11">
        <f>IF($O81&lt;&gt;"",$O81,$AN81)</f>
        <v/>
      </c>
      <c r="Q81" s="10" t="inlineStr"/>
      <c r="R81" s="10" t="inlineStr"/>
      <c r="S81" s="10" t="inlineStr"/>
      <c r="T81" s="10" t="inlineStr"/>
      <c r="U81" s="10" t="inlineStr"/>
      <c r="V81" s="10" t="inlineStr"/>
      <c r="W81" s="10" t="inlineStr"/>
      <c r="X81" s="10" t="inlineStr"/>
      <c r="Y81" s="10" t="inlineStr"/>
      <c r="Z81" s="10" t="inlineStr"/>
      <c r="AA81" s="10" t="inlineStr"/>
      <c r="AB81" s="10" t="inlineStr"/>
      <c r="AC81" s="10" t="inlineStr"/>
      <c r="AD81" s="10" t="inlineStr"/>
      <c r="AE81" s="10" t="inlineStr"/>
      <c r="AF81" s="10" t="inlineStr"/>
      <c r="AG81" s="10" t="inlineStr"/>
      <c r="AH81" s="10" t="inlineStr"/>
      <c r="AI81" s="11">
        <f>IFERROR(INDEX(Country_Context!$B$2:$B$63,MATCH($C81,Country_Context!$A$2:$A$63,0)),"")</f>
        <v/>
      </c>
      <c r="AJ81" s="11">
        <f>IFERROR(INDEX(Country_Context!$C$2:$C$63,MATCH($C81,Country_Context!$A$2:$A$63,0)),"")</f>
        <v/>
      </c>
      <c r="AK81" s="11">
        <f>IFERROR(INDEX(Country_Context!$D$2:$D$63,MATCH($C81,Country_Context!$A$2:$A$63,0)),"")</f>
        <v/>
      </c>
      <c r="AL81" s="11">
        <f>IFERROR(INDEX(Country_Context!$E$2:$E$63,MATCH($C81,Country_Context!$A$2:$A$63,0)),"")</f>
        <v/>
      </c>
      <c r="AM81" s="11">
        <f>IFERROR(INDEX(Country_Context!$F$2:$F$63,MATCH($C81,Country_Context!$A$2:$A$63,0)),"")</f>
        <v/>
      </c>
      <c r="AN81" s="11">
        <f>IFERROR(INDEX(Country_Context!$G$2:$G$63,MATCH($C81,Country_Context!$A$2:$A$63,0)),"")</f>
        <v/>
      </c>
      <c r="AO81" s="12" t="inlineStr"/>
      <c r="AP81" s="12" t="inlineStr"/>
      <c r="AQ81" s="12" t="inlineStr"/>
      <c r="AR81" s="12" t="inlineStr"/>
      <c r="AS81" s="12" t="inlineStr"/>
      <c r="AT81" s="12" t="inlineStr"/>
      <c r="AU81" s="12" t="inlineStr"/>
      <c r="AV81" s="12" t="inlineStr"/>
      <c r="AW81" s="12" t="inlineStr"/>
      <c r="AX81" s="12" t="inlineStr"/>
      <c r="AY81" s="12" t="inlineStr"/>
      <c r="AZ81" s="12" t="inlineStr"/>
      <c r="BA81" s="12" t="inlineStr"/>
      <c r="BB81" s="12" t="inlineStr"/>
      <c r="BC81" s="12" t="inlineStr"/>
      <c r="BD81" s="12" t="inlineStr"/>
      <c r="BE81" s="12" t="inlineStr"/>
      <c r="BF81" s="12" t="inlineStr"/>
      <c r="BG81" s="12" t="inlineStr"/>
      <c r="BH81" s="12" t="inlineStr"/>
    </row>
    <row r="82">
      <c r="A82" s="9" t="inlineStr">
        <is>
          <t>za-cape-town</t>
        </is>
      </c>
      <c r="B82" s="9" t="inlineStr">
        <is>
          <t>Cape Town</t>
        </is>
      </c>
      <c r="C82" s="9" t="inlineStr">
        <is>
          <t>South Africa</t>
        </is>
      </c>
      <c r="D82" s="9" t="inlineStr">
        <is>
          <t>Africa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IF(OR($G82="",$H82="",$I82="",$J82="",$K82="",$L82="",$AL82="",$AM82=""),"",((($G82*(1-$AM82))-$H82-$I82-$J82-$K82-$L82)/$AL82))</f>
        <v/>
      </c>
      <c r="N82" s="10" t="inlineStr"/>
      <c r="O82" s="10" t="inlineStr"/>
      <c r="P82" s="11">
        <f>IF($O82&lt;&gt;"",$O82,$AN82)</f>
        <v/>
      </c>
      <c r="Q82" s="10" t="inlineStr"/>
      <c r="R82" s="10" t="inlineStr"/>
      <c r="S82" s="10" t="inlineStr"/>
      <c r="T82" s="10" t="inlineStr"/>
      <c r="U82" s="10" t="inlineStr"/>
      <c r="V82" s="10" t="inlineStr"/>
      <c r="W82" s="10" t="inlineStr"/>
      <c r="X82" s="10" t="inlineStr"/>
      <c r="Y82" s="10" t="inlineStr"/>
      <c r="Z82" s="10" t="inlineStr"/>
      <c r="AA82" s="10" t="inlineStr"/>
      <c r="AB82" s="10" t="inlineStr"/>
      <c r="AC82" s="10" t="inlineStr"/>
      <c r="AD82" s="10" t="inlineStr"/>
      <c r="AE82" s="10" t="inlineStr"/>
      <c r="AF82" s="10" t="inlineStr"/>
      <c r="AG82" s="10" t="inlineStr"/>
      <c r="AH82" s="10" t="inlineStr"/>
      <c r="AI82" s="11">
        <f>IFERROR(INDEX(Country_Context!$B$2:$B$63,MATCH($C82,Country_Context!$A$2:$A$63,0)),"")</f>
        <v/>
      </c>
      <c r="AJ82" s="11">
        <f>IFERROR(INDEX(Country_Context!$C$2:$C$63,MATCH($C82,Country_Context!$A$2:$A$63,0)),"")</f>
        <v/>
      </c>
      <c r="AK82" s="11">
        <f>IFERROR(INDEX(Country_Context!$D$2:$D$63,MATCH($C82,Country_Context!$A$2:$A$63,0)),"")</f>
        <v/>
      </c>
      <c r="AL82" s="11">
        <f>IFERROR(INDEX(Country_Context!$E$2:$E$63,MATCH($C82,Country_Context!$A$2:$A$63,0)),"")</f>
        <v/>
      </c>
      <c r="AM82" s="11">
        <f>IFERROR(INDEX(Country_Context!$F$2:$F$63,MATCH($C82,Country_Context!$A$2:$A$63,0)),"")</f>
        <v/>
      </c>
      <c r="AN82" s="11">
        <f>IFERROR(INDEX(Country_Context!$G$2:$G$63,MATCH($C82,Country_Context!$A$2:$A$63,0)),"")</f>
        <v/>
      </c>
      <c r="AO82" s="12" t="inlineStr"/>
      <c r="AP82" s="12" t="inlineStr"/>
      <c r="AQ82" s="12" t="inlineStr"/>
      <c r="AR82" s="12" t="inlineStr"/>
      <c r="AS82" s="12" t="inlineStr"/>
      <c r="AT82" s="12" t="inlineStr"/>
      <c r="AU82" s="12" t="inlineStr"/>
      <c r="AV82" s="12" t="inlineStr"/>
      <c r="AW82" s="12" t="inlineStr"/>
      <c r="AX82" s="12" t="inlineStr"/>
      <c r="AY82" s="12" t="inlineStr"/>
      <c r="AZ82" s="12" t="inlineStr"/>
      <c r="BA82" s="12" t="inlineStr"/>
      <c r="BB82" s="12" t="inlineStr"/>
      <c r="BC82" s="12" t="inlineStr"/>
      <c r="BD82" s="12" t="inlineStr"/>
      <c r="BE82" s="12" t="inlineStr"/>
      <c r="BF82" s="12" t="inlineStr"/>
      <c r="BG82" s="12" t="inlineStr"/>
      <c r="BH82" s="12" t="inlineStr"/>
    </row>
    <row r="83">
      <c r="A83" s="9" t="inlineStr">
        <is>
          <t>za-johannesburg</t>
        </is>
      </c>
      <c r="B83" s="9" t="inlineStr">
        <is>
          <t>Johannesburg</t>
        </is>
      </c>
      <c r="C83" s="9" t="inlineStr">
        <is>
          <t>South Africa</t>
        </is>
      </c>
      <c r="D83" s="9" t="inlineStr">
        <is>
          <t>Africa</t>
        </is>
      </c>
      <c r="E83" s="9" t="inlineStr">
        <is>
          <t>primary</t>
        </is>
      </c>
      <c r="F83" s="9" t="inlineStr">
        <is>
          <t>provisional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IF(OR($G83="",$H83="",$I83="",$J83="",$K83="",$L83="",$AL83="",$AM83=""),"",((($G83*(1-$AM83))-$H83-$I83-$J83-$K83-$L83)/$AL83))</f>
        <v/>
      </c>
      <c r="N83" s="10" t="inlineStr"/>
      <c r="O83" s="10" t="inlineStr"/>
      <c r="P83" s="11">
        <f>IF($O83&lt;&gt;"",$O83,$AN83)</f>
        <v/>
      </c>
      <c r="Q83" s="10" t="inlineStr"/>
      <c r="R83" s="10" t="inlineStr"/>
      <c r="S83" s="10" t="inlineStr"/>
      <c r="T83" s="10" t="inlineStr"/>
      <c r="U83" s="10" t="inlineStr"/>
      <c r="V83" s="10" t="inlineStr"/>
      <c r="W83" s="10" t="inlineStr"/>
      <c r="X83" s="10" t="inlineStr"/>
      <c r="Y83" s="10" t="inlineStr"/>
      <c r="Z83" s="10" t="inlineStr"/>
      <c r="AA83" s="10" t="inlineStr"/>
      <c r="AB83" s="10" t="inlineStr"/>
      <c r="AC83" s="10" t="inlineStr"/>
      <c r="AD83" s="10" t="inlineStr"/>
      <c r="AE83" s="10" t="inlineStr"/>
      <c r="AF83" s="10" t="inlineStr"/>
      <c r="AG83" s="10" t="inlineStr"/>
      <c r="AH83" s="10" t="inlineStr"/>
      <c r="AI83" s="11">
        <f>IFERROR(INDEX(Country_Context!$B$2:$B$63,MATCH($C83,Country_Context!$A$2:$A$63,0)),"")</f>
        <v/>
      </c>
      <c r="AJ83" s="11">
        <f>IFERROR(INDEX(Country_Context!$C$2:$C$63,MATCH($C83,Country_Context!$A$2:$A$63,0)),"")</f>
        <v/>
      </c>
      <c r="AK83" s="11">
        <f>IFERROR(INDEX(Country_Context!$D$2:$D$63,MATCH($C83,Country_Context!$A$2:$A$63,0)),"")</f>
        <v/>
      </c>
      <c r="AL83" s="11">
        <f>IFERROR(INDEX(Country_Context!$E$2:$E$63,MATCH($C83,Country_Context!$A$2:$A$63,0)),"")</f>
        <v/>
      </c>
      <c r="AM83" s="11">
        <f>IFERROR(INDEX(Country_Context!$F$2:$F$63,MATCH($C83,Country_Context!$A$2:$A$63,0)),"")</f>
        <v/>
      </c>
      <c r="AN83" s="11">
        <f>IFERROR(INDEX(Country_Context!$G$2:$G$63,MATCH($C83,Country_Context!$A$2:$A$63,0)),"")</f>
        <v/>
      </c>
      <c r="AO83" s="12" t="inlineStr"/>
      <c r="AP83" s="12" t="inlineStr"/>
      <c r="AQ83" s="12" t="inlineStr"/>
      <c r="AR83" s="12" t="inlineStr"/>
      <c r="AS83" s="12" t="inlineStr"/>
      <c r="AT83" s="12" t="inlineStr"/>
      <c r="AU83" s="12" t="inlineStr"/>
      <c r="AV83" s="12" t="inlineStr"/>
      <c r="AW83" s="12" t="inlineStr"/>
      <c r="AX83" s="12" t="inlineStr"/>
      <c r="AY83" s="12" t="inlineStr"/>
      <c r="AZ83" s="12" t="inlineStr"/>
      <c r="BA83" s="12" t="inlineStr"/>
      <c r="BB83" s="12" t="inlineStr"/>
      <c r="BC83" s="12" t="inlineStr"/>
      <c r="BD83" s="12" t="inlineStr"/>
      <c r="BE83" s="12" t="inlineStr"/>
      <c r="BF83" s="12" t="inlineStr"/>
      <c r="BG83" s="12" t="inlineStr"/>
      <c r="BH83" s="12" t="inlineStr"/>
    </row>
    <row r="84">
      <c r="A84" s="9" t="inlineStr">
        <is>
          <t>ke-nairobi</t>
        </is>
      </c>
      <c r="B84" s="9" t="inlineStr">
        <is>
          <t>Nairobi</t>
        </is>
      </c>
      <c r="C84" s="9" t="inlineStr">
        <is>
          <t>Kenya</t>
        </is>
      </c>
      <c r="D84" s="9" t="inlineStr">
        <is>
          <t>Africa</t>
        </is>
      </c>
      <c r="E84" s="9" t="inlineStr">
        <is>
          <t>primary</t>
        </is>
      </c>
      <c r="F84" s="9" t="inlineStr">
        <is>
          <t>locked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IF(OR($G84="",$H84="",$I84="",$J84="",$K84="",$L84="",$AL84="",$AM84=""),"",((($G84*(1-$AM84))-$H84-$I84-$J84-$K84-$L84)/$AL84))</f>
        <v/>
      </c>
      <c r="N84" s="10" t="inlineStr"/>
      <c r="O84" s="10" t="inlineStr"/>
      <c r="P84" s="11">
        <f>IF($O84&lt;&gt;"",$O84,$AN84)</f>
        <v/>
      </c>
      <c r="Q84" s="10" t="inlineStr"/>
      <c r="R84" s="10" t="inlineStr"/>
      <c r="S84" s="10" t="inlineStr"/>
      <c r="T84" s="10" t="inlineStr"/>
      <c r="U84" s="10" t="inlineStr"/>
      <c r="V84" s="10" t="inlineStr"/>
      <c r="W84" s="10" t="inlineStr"/>
      <c r="X84" s="10" t="inlineStr"/>
      <c r="Y84" s="10" t="inlineStr"/>
      <c r="Z84" s="10" t="inlineStr"/>
      <c r="AA84" s="10" t="inlineStr"/>
      <c r="AB84" s="10" t="inlineStr"/>
      <c r="AC84" s="10" t="inlineStr"/>
      <c r="AD84" s="10" t="inlineStr"/>
      <c r="AE84" s="10" t="inlineStr"/>
      <c r="AF84" s="10" t="inlineStr"/>
      <c r="AG84" s="10" t="inlineStr"/>
      <c r="AH84" s="10" t="inlineStr"/>
      <c r="AI84" s="11">
        <f>IFERROR(INDEX(Country_Context!$B$2:$B$63,MATCH($C84,Country_Context!$A$2:$A$63,0)),"")</f>
        <v/>
      </c>
      <c r="AJ84" s="11">
        <f>IFERROR(INDEX(Country_Context!$C$2:$C$63,MATCH($C84,Country_Context!$A$2:$A$63,0)),"")</f>
        <v/>
      </c>
      <c r="AK84" s="11">
        <f>IFERROR(INDEX(Country_Context!$D$2:$D$63,MATCH($C84,Country_Context!$A$2:$A$63,0)),"")</f>
        <v/>
      </c>
      <c r="AL84" s="11">
        <f>IFERROR(INDEX(Country_Context!$E$2:$E$63,MATCH($C84,Country_Context!$A$2:$A$63,0)),"")</f>
        <v/>
      </c>
      <c r="AM84" s="11">
        <f>IFERROR(INDEX(Country_Context!$F$2:$F$63,MATCH($C84,Country_Context!$A$2:$A$63,0)),"")</f>
        <v/>
      </c>
      <c r="AN84" s="11">
        <f>IFERROR(INDEX(Country_Context!$G$2:$G$63,MATCH($C84,Country_Context!$A$2:$A$63,0)),"")</f>
        <v/>
      </c>
      <c r="AO84" s="12" t="inlineStr"/>
      <c r="AP84" s="12" t="inlineStr"/>
      <c r="AQ84" s="12" t="inlineStr"/>
      <c r="AR84" s="12" t="inlineStr"/>
      <c r="AS84" s="12" t="inlineStr"/>
      <c r="AT84" s="12" t="inlineStr"/>
      <c r="AU84" s="12" t="inlineStr"/>
      <c r="AV84" s="12" t="inlineStr"/>
      <c r="AW84" s="12" t="inlineStr"/>
      <c r="AX84" s="12" t="inlineStr"/>
      <c r="AY84" s="12" t="inlineStr"/>
      <c r="AZ84" s="12" t="inlineStr"/>
      <c r="BA84" s="12" t="inlineStr"/>
      <c r="BB84" s="12" t="inlineStr"/>
      <c r="BC84" s="12" t="inlineStr"/>
      <c r="BD84" s="12" t="inlineStr"/>
      <c r="BE84" s="12" t="inlineStr"/>
      <c r="BF84" s="12" t="inlineStr"/>
      <c r="BG84" s="12" t="inlineStr"/>
      <c r="BH84" s="12" t="inlineStr"/>
    </row>
    <row r="85">
      <c r="A85" s="9" t="inlineStr">
        <is>
          <t>rw-kigali</t>
        </is>
      </c>
      <c r="B85" s="9" t="inlineStr">
        <is>
          <t>Kigali</t>
        </is>
      </c>
      <c r="C85" s="9" t="inlineStr">
        <is>
          <t>Rwanda</t>
        </is>
      </c>
      <c r="D85" s="9" t="inlineStr">
        <is>
          <t>Africa</t>
        </is>
      </c>
      <c r="E85" s="9" t="inlineStr">
        <is>
          <t>primary</t>
        </is>
      </c>
      <c r="F85" s="9" t="inlineStr">
        <is>
          <t>locked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IF(OR($G85="",$H85="",$I85="",$J85="",$K85="",$L85="",$AL85="",$AM85=""),"",((($G85*(1-$AM85))-$H85-$I85-$J85-$K85-$L85)/$AL85))</f>
        <v/>
      </c>
      <c r="N85" s="10" t="inlineStr"/>
      <c r="O85" s="10" t="inlineStr"/>
      <c r="P85" s="11">
        <f>IF($O85&lt;&gt;"",$O85,$AN85)</f>
        <v/>
      </c>
      <c r="Q85" s="10" t="inlineStr"/>
      <c r="R85" s="10" t="inlineStr"/>
      <c r="S85" s="10" t="inlineStr"/>
      <c r="T85" s="10" t="inlineStr"/>
      <c r="U85" s="10" t="inlineStr"/>
      <c r="V85" s="10" t="inlineStr"/>
      <c r="W85" s="10" t="inlineStr"/>
      <c r="X85" s="10" t="inlineStr"/>
      <c r="Y85" s="10" t="inlineStr"/>
      <c r="Z85" s="10" t="inlineStr"/>
      <c r="AA85" s="10" t="inlineStr"/>
      <c r="AB85" s="10" t="inlineStr"/>
      <c r="AC85" s="10" t="inlineStr"/>
      <c r="AD85" s="10" t="inlineStr"/>
      <c r="AE85" s="10" t="inlineStr"/>
      <c r="AF85" s="10" t="inlineStr"/>
      <c r="AG85" s="10" t="inlineStr"/>
      <c r="AH85" s="10" t="inlineStr"/>
      <c r="AI85" s="11">
        <f>IFERROR(INDEX(Country_Context!$B$2:$B$63,MATCH($C85,Country_Context!$A$2:$A$63,0)),"")</f>
        <v/>
      </c>
      <c r="AJ85" s="11">
        <f>IFERROR(INDEX(Country_Context!$C$2:$C$63,MATCH($C85,Country_Context!$A$2:$A$63,0)),"")</f>
        <v/>
      </c>
      <c r="AK85" s="11">
        <f>IFERROR(INDEX(Country_Context!$D$2:$D$63,MATCH($C85,Country_Context!$A$2:$A$63,0)),"")</f>
        <v/>
      </c>
      <c r="AL85" s="11">
        <f>IFERROR(INDEX(Country_Context!$E$2:$E$63,MATCH($C85,Country_Context!$A$2:$A$63,0)),"")</f>
        <v/>
      </c>
      <c r="AM85" s="11">
        <f>IFERROR(INDEX(Country_Context!$F$2:$F$63,MATCH($C85,Country_Context!$A$2:$A$63,0)),"")</f>
        <v/>
      </c>
      <c r="AN85" s="11">
        <f>IFERROR(INDEX(Country_Context!$G$2:$G$63,MATCH($C85,Country_Context!$A$2:$A$63,0)),"")</f>
        <v/>
      </c>
      <c r="AO85" s="12" t="inlineStr"/>
      <c r="AP85" s="12" t="inlineStr"/>
      <c r="AQ85" s="12" t="inlineStr"/>
      <c r="AR85" s="12" t="inlineStr"/>
      <c r="AS85" s="12" t="inlineStr"/>
      <c r="AT85" s="12" t="inlineStr"/>
      <c r="AU85" s="12" t="inlineStr"/>
      <c r="AV85" s="12" t="inlineStr"/>
      <c r="AW85" s="12" t="inlineStr"/>
      <c r="AX85" s="12" t="inlineStr"/>
      <c r="AY85" s="12" t="inlineStr"/>
      <c r="AZ85" s="12" t="inlineStr"/>
      <c r="BA85" s="12" t="inlineStr"/>
      <c r="BB85" s="12" t="inlineStr"/>
      <c r="BC85" s="12" t="inlineStr"/>
      <c r="BD85" s="12" t="inlineStr"/>
      <c r="BE85" s="12" t="inlineStr"/>
      <c r="BF85" s="12" t="inlineStr"/>
      <c r="BG85" s="12" t="inlineStr"/>
      <c r="BH85" s="12" t="inlineStr"/>
    </row>
    <row r="86">
      <c r="A86" s="9" t="inlineStr">
        <is>
          <t>ma-casablanca</t>
        </is>
      </c>
      <c r="B86" s="9" t="inlineStr">
        <is>
          <t>Casablanca</t>
        </is>
      </c>
      <c r="C86" s="9" t="inlineStr">
        <is>
          <t>Morocco</t>
        </is>
      </c>
      <c r="D86" s="9" t="inlineStr">
        <is>
          <t>Africa</t>
        </is>
      </c>
      <c r="E86" s="9" t="inlineStr">
        <is>
          <t>primary</t>
        </is>
      </c>
      <c r="F86" s="9" t="inlineStr">
        <is>
          <t>provisional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IF(OR($G86="",$H86="",$I86="",$J86="",$K86="",$L86="",$AL86="",$AM86=""),"",((($G86*(1-$AM86))-$H86-$I86-$J86-$K86-$L86)/$AL86))</f>
        <v/>
      </c>
      <c r="N86" s="10" t="inlineStr"/>
      <c r="O86" s="10" t="inlineStr"/>
      <c r="P86" s="11">
        <f>IF($O86&lt;&gt;"",$O86,$AN86)</f>
        <v/>
      </c>
      <c r="Q86" s="10" t="inlineStr"/>
      <c r="R86" s="10" t="inlineStr"/>
      <c r="S86" s="10" t="inlineStr"/>
      <c r="T86" s="10" t="inlineStr"/>
      <c r="U86" s="10" t="inlineStr"/>
      <c r="V86" s="10" t="inlineStr"/>
      <c r="W86" s="10" t="inlineStr"/>
      <c r="X86" s="10" t="inlineStr"/>
      <c r="Y86" s="10" t="inlineStr"/>
      <c r="Z86" s="10" t="inlineStr"/>
      <c r="AA86" s="10" t="inlineStr"/>
      <c r="AB86" s="10" t="inlineStr"/>
      <c r="AC86" s="10" t="inlineStr"/>
      <c r="AD86" s="10" t="inlineStr"/>
      <c r="AE86" s="10" t="inlineStr"/>
      <c r="AF86" s="10" t="inlineStr"/>
      <c r="AG86" s="10" t="inlineStr"/>
      <c r="AH86" s="10" t="inlineStr"/>
      <c r="AI86" s="11">
        <f>IFERROR(INDEX(Country_Context!$B$2:$B$63,MATCH($C86,Country_Context!$A$2:$A$63,0)),"")</f>
        <v/>
      </c>
      <c r="AJ86" s="11">
        <f>IFERROR(INDEX(Country_Context!$C$2:$C$63,MATCH($C86,Country_Context!$A$2:$A$63,0)),"")</f>
        <v/>
      </c>
      <c r="AK86" s="11">
        <f>IFERROR(INDEX(Country_Context!$D$2:$D$63,MATCH($C86,Country_Context!$A$2:$A$63,0)),"")</f>
        <v/>
      </c>
      <c r="AL86" s="11">
        <f>IFERROR(INDEX(Country_Context!$E$2:$E$63,MATCH($C86,Country_Context!$A$2:$A$63,0)),"")</f>
        <v/>
      </c>
      <c r="AM86" s="11">
        <f>IFERROR(INDEX(Country_Context!$F$2:$F$63,MATCH($C86,Country_Context!$A$2:$A$63,0)),"")</f>
        <v/>
      </c>
      <c r="AN86" s="11">
        <f>IFERROR(INDEX(Country_Context!$G$2:$G$63,MATCH($C86,Country_Context!$A$2:$A$63,0)),"")</f>
        <v/>
      </c>
      <c r="AO86" s="12" t="inlineStr"/>
      <c r="AP86" s="12" t="inlineStr"/>
      <c r="AQ86" s="12" t="inlineStr"/>
      <c r="AR86" s="12" t="inlineStr"/>
      <c r="AS86" s="12" t="inlineStr"/>
      <c r="AT86" s="12" t="inlineStr"/>
      <c r="AU86" s="12" t="inlineStr"/>
      <c r="AV86" s="12" t="inlineStr"/>
      <c r="AW86" s="12" t="inlineStr"/>
      <c r="AX86" s="12" t="inlineStr"/>
      <c r="AY86" s="12" t="inlineStr"/>
      <c r="AZ86" s="12" t="inlineStr"/>
      <c r="BA86" s="12" t="inlineStr"/>
      <c r="BB86" s="12" t="inlineStr"/>
      <c r="BC86" s="12" t="inlineStr"/>
      <c r="BD86" s="12" t="inlineStr"/>
      <c r="BE86" s="12" t="inlineStr"/>
      <c r="BF86" s="12" t="inlineStr"/>
      <c r="BG86" s="12" t="inlineStr"/>
      <c r="BH86" s="12" t="inlineStr"/>
    </row>
    <row r="87">
      <c r="A87" s="9" t="inlineStr">
        <is>
          <t>mu-port-louis</t>
        </is>
      </c>
      <c r="B87" s="9" t="inlineStr">
        <is>
          <t>Port Louis</t>
        </is>
      </c>
      <c r="C87" s="9" t="inlineStr">
        <is>
          <t>Mauritius</t>
        </is>
      </c>
      <c r="D87" s="9" t="inlineStr">
        <is>
          <t>Africa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IF(OR($G87="",$H87="",$I87="",$J87="",$K87="",$L87="",$AL87="",$AM87=""),"",((($G87*(1-$AM87))-$H87-$I87-$J87-$K87-$L87)/$AL87))</f>
        <v/>
      </c>
      <c r="N87" s="10" t="inlineStr"/>
      <c r="O87" s="10" t="inlineStr"/>
      <c r="P87" s="11">
        <f>IF($O87&lt;&gt;"",$O87,$AN87)</f>
        <v/>
      </c>
      <c r="Q87" s="10" t="inlineStr"/>
      <c r="R87" s="10" t="inlineStr"/>
      <c r="S87" s="10" t="inlineStr"/>
      <c r="T87" s="10" t="inlineStr"/>
      <c r="U87" s="10" t="inlineStr"/>
      <c r="V87" s="10" t="inlineStr"/>
      <c r="W87" s="10" t="inlineStr"/>
      <c r="X87" s="10" t="inlineStr"/>
      <c r="Y87" s="10" t="inlineStr"/>
      <c r="Z87" s="10" t="inlineStr"/>
      <c r="AA87" s="10" t="inlineStr"/>
      <c r="AB87" s="10" t="inlineStr"/>
      <c r="AC87" s="10" t="inlineStr"/>
      <c r="AD87" s="10" t="inlineStr"/>
      <c r="AE87" s="10" t="inlineStr"/>
      <c r="AF87" s="10" t="inlineStr"/>
      <c r="AG87" s="10" t="inlineStr"/>
      <c r="AH87" s="10" t="inlineStr"/>
      <c r="AI87" s="11">
        <f>IFERROR(INDEX(Country_Context!$B$2:$B$63,MATCH($C87,Country_Context!$A$2:$A$63,0)),"")</f>
        <v/>
      </c>
      <c r="AJ87" s="11">
        <f>IFERROR(INDEX(Country_Context!$C$2:$C$63,MATCH($C87,Country_Context!$A$2:$A$63,0)),"")</f>
        <v/>
      </c>
      <c r="AK87" s="11">
        <f>IFERROR(INDEX(Country_Context!$D$2:$D$63,MATCH($C87,Country_Context!$A$2:$A$63,0)),"")</f>
        <v/>
      </c>
      <c r="AL87" s="11">
        <f>IFERROR(INDEX(Country_Context!$E$2:$E$63,MATCH($C87,Country_Context!$A$2:$A$63,0)),"")</f>
        <v/>
      </c>
      <c r="AM87" s="11">
        <f>IFERROR(INDEX(Country_Context!$F$2:$F$63,MATCH($C87,Country_Context!$A$2:$A$63,0)),"")</f>
        <v/>
      </c>
      <c r="AN87" s="11">
        <f>IFERROR(INDEX(Country_Context!$G$2:$G$63,MATCH($C87,Country_Context!$A$2:$A$63,0)),"")</f>
        <v/>
      </c>
      <c r="AO87" s="12" t="inlineStr"/>
      <c r="AP87" s="12" t="inlineStr"/>
      <c r="AQ87" s="12" t="inlineStr"/>
      <c r="AR87" s="12" t="inlineStr"/>
      <c r="AS87" s="12" t="inlineStr"/>
      <c r="AT87" s="12" t="inlineStr"/>
      <c r="AU87" s="12" t="inlineStr"/>
      <c r="AV87" s="12" t="inlineStr"/>
      <c r="AW87" s="12" t="inlineStr"/>
      <c r="AX87" s="12" t="inlineStr"/>
      <c r="AY87" s="12" t="inlineStr"/>
      <c r="AZ87" s="12" t="inlineStr"/>
      <c r="BA87" s="12" t="inlineStr"/>
      <c r="BB87" s="12" t="inlineStr"/>
      <c r="BC87" s="12" t="inlineStr"/>
      <c r="BD87" s="12" t="inlineStr"/>
      <c r="BE87" s="12" t="inlineStr"/>
      <c r="BF87" s="12" t="inlineStr"/>
      <c r="BG87" s="12" t="inlineStr"/>
      <c r="BH87" s="12" t="inlineStr"/>
    </row>
    <row r="88">
      <c r="A88" s="9" t="inlineStr">
        <is>
          <t>bw-gaborone</t>
        </is>
      </c>
      <c r="B88" s="9" t="inlineStr">
        <is>
          <t>Gaborone</t>
        </is>
      </c>
      <c r="C88" s="9" t="inlineStr">
        <is>
          <t>Botswana</t>
        </is>
      </c>
      <c r="D88" s="9" t="inlineStr">
        <is>
          <t>Africa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IF(OR($G88="",$H88="",$I88="",$J88="",$K88="",$L88="",$AL88="",$AM88=""),"",((($G88*(1-$AM88))-$H88-$I88-$J88-$K88-$L88)/$AL88))</f>
        <v/>
      </c>
      <c r="N88" s="10" t="inlineStr"/>
      <c r="O88" s="10" t="inlineStr"/>
      <c r="P88" s="11">
        <f>IF($O88&lt;&gt;"",$O88,$AN88)</f>
        <v/>
      </c>
      <c r="Q88" s="10" t="inlineStr"/>
      <c r="R88" s="10" t="inlineStr"/>
      <c r="S88" s="10" t="inlineStr"/>
      <c r="T88" s="10" t="inlineStr"/>
      <c r="U88" s="10" t="inlineStr"/>
      <c r="V88" s="10" t="inlineStr"/>
      <c r="W88" s="10" t="inlineStr"/>
      <c r="X88" s="10" t="inlineStr"/>
      <c r="Y88" s="10" t="inlineStr"/>
      <c r="Z88" s="10" t="inlineStr"/>
      <c r="AA88" s="10" t="inlineStr"/>
      <c r="AB88" s="10" t="inlineStr"/>
      <c r="AC88" s="10" t="inlineStr"/>
      <c r="AD88" s="10" t="inlineStr"/>
      <c r="AE88" s="10" t="inlineStr"/>
      <c r="AF88" s="10" t="inlineStr"/>
      <c r="AG88" s="10" t="inlineStr"/>
      <c r="AH88" s="10" t="inlineStr"/>
      <c r="AI88" s="11">
        <f>IFERROR(INDEX(Country_Context!$B$2:$B$63,MATCH($C88,Country_Context!$A$2:$A$63,0)),"")</f>
        <v/>
      </c>
      <c r="AJ88" s="11">
        <f>IFERROR(INDEX(Country_Context!$C$2:$C$63,MATCH($C88,Country_Context!$A$2:$A$63,0)),"")</f>
        <v/>
      </c>
      <c r="AK88" s="11">
        <f>IFERROR(INDEX(Country_Context!$D$2:$D$63,MATCH($C88,Country_Context!$A$2:$A$63,0)),"")</f>
        <v/>
      </c>
      <c r="AL88" s="11">
        <f>IFERROR(INDEX(Country_Context!$E$2:$E$63,MATCH($C88,Country_Context!$A$2:$A$63,0)),"")</f>
        <v/>
      </c>
      <c r="AM88" s="11">
        <f>IFERROR(INDEX(Country_Context!$F$2:$F$63,MATCH($C88,Country_Context!$A$2:$A$63,0)),"")</f>
        <v/>
      </c>
      <c r="AN88" s="11">
        <f>IFERROR(INDEX(Country_Context!$G$2:$G$63,MATCH($C88,Country_Context!$A$2:$A$63,0)),"")</f>
        <v/>
      </c>
      <c r="AO88" s="12" t="inlineStr"/>
      <c r="AP88" s="12" t="inlineStr"/>
      <c r="AQ88" s="12" t="inlineStr"/>
      <c r="AR88" s="12" t="inlineStr"/>
      <c r="AS88" s="12" t="inlineStr"/>
      <c r="AT88" s="12" t="inlineStr"/>
      <c r="AU88" s="12" t="inlineStr"/>
      <c r="AV88" s="12" t="inlineStr"/>
      <c r="AW88" s="12" t="inlineStr"/>
      <c r="AX88" s="12" t="inlineStr"/>
      <c r="AY88" s="12" t="inlineStr"/>
      <c r="AZ88" s="12" t="inlineStr"/>
      <c r="BA88" s="12" t="inlineStr"/>
      <c r="BB88" s="12" t="inlineStr"/>
      <c r="BC88" s="12" t="inlineStr"/>
      <c r="BD88" s="12" t="inlineStr"/>
      <c r="BE88" s="12" t="inlineStr"/>
      <c r="BF88" s="12" t="inlineStr"/>
      <c r="BG88" s="12" t="inlineStr"/>
      <c r="BH88" s="12" t="inlineStr"/>
    </row>
    <row r="89">
      <c r="A89" s="9" t="inlineStr">
        <is>
          <t>na-windhoek</t>
        </is>
      </c>
      <c r="B89" s="9" t="inlineStr">
        <is>
          <t>Windhoek</t>
        </is>
      </c>
      <c r="C89" s="9" t="inlineStr">
        <is>
          <t>Namibia</t>
        </is>
      </c>
      <c r="D89" s="9" t="inlineStr">
        <is>
          <t>Africa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IF(OR($G89="",$H89="",$I89="",$J89="",$K89="",$L89="",$AL89="",$AM89=""),"",((($G89*(1-$AM89))-$H89-$I89-$J89-$K89-$L89)/$AL89))</f>
        <v/>
      </c>
      <c r="N89" s="10" t="inlineStr"/>
      <c r="O89" s="10" t="inlineStr"/>
      <c r="P89" s="11">
        <f>IF($O89&lt;&gt;"",$O89,$AN89)</f>
        <v/>
      </c>
      <c r="Q89" s="10" t="inlineStr"/>
      <c r="R89" s="10" t="inlineStr"/>
      <c r="S89" s="10" t="inlineStr"/>
      <c r="T89" s="10" t="inlineStr"/>
      <c r="U89" s="10" t="inlineStr"/>
      <c r="V89" s="10" t="inlineStr"/>
      <c r="W89" s="10" t="inlineStr"/>
      <c r="X89" s="10" t="inlineStr"/>
      <c r="Y89" s="10" t="inlineStr"/>
      <c r="Z89" s="10" t="inlineStr"/>
      <c r="AA89" s="10" t="inlineStr"/>
      <c r="AB89" s="10" t="inlineStr"/>
      <c r="AC89" s="10" t="inlineStr"/>
      <c r="AD89" s="10" t="inlineStr"/>
      <c r="AE89" s="10" t="inlineStr"/>
      <c r="AF89" s="10" t="inlineStr"/>
      <c r="AG89" s="10" t="inlineStr"/>
      <c r="AH89" s="10" t="inlineStr"/>
      <c r="AI89" s="11">
        <f>IFERROR(INDEX(Country_Context!$B$2:$B$63,MATCH($C89,Country_Context!$A$2:$A$63,0)),"")</f>
        <v/>
      </c>
      <c r="AJ89" s="11">
        <f>IFERROR(INDEX(Country_Context!$C$2:$C$63,MATCH($C89,Country_Context!$A$2:$A$63,0)),"")</f>
        <v/>
      </c>
      <c r="AK89" s="11">
        <f>IFERROR(INDEX(Country_Context!$D$2:$D$63,MATCH($C89,Country_Context!$A$2:$A$63,0)),"")</f>
        <v/>
      </c>
      <c r="AL89" s="11">
        <f>IFERROR(INDEX(Country_Context!$E$2:$E$63,MATCH($C89,Country_Context!$A$2:$A$63,0)),"")</f>
        <v/>
      </c>
      <c r="AM89" s="11">
        <f>IFERROR(INDEX(Country_Context!$F$2:$F$63,MATCH($C89,Country_Context!$A$2:$A$63,0)),"")</f>
        <v/>
      </c>
      <c r="AN89" s="11">
        <f>IFERROR(INDEX(Country_Context!$G$2:$G$63,MATCH($C89,Country_Context!$A$2:$A$63,0)),"")</f>
        <v/>
      </c>
      <c r="AO89" s="12" t="inlineStr"/>
      <c r="AP89" s="12" t="inlineStr"/>
      <c r="AQ89" s="12" t="inlineStr"/>
      <c r="AR89" s="12" t="inlineStr"/>
      <c r="AS89" s="12" t="inlineStr"/>
      <c r="AT89" s="12" t="inlineStr"/>
      <c r="AU89" s="12" t="inlineStr"/>
      <c r="AV89" s="12" t="inlineStr"/>
      <c r="AW89" s="12" t="inlineStr"/>
      <c r="AX89" s="12" t="inlineStr"/>
      <c r="AY89" s="12" t="inlineStr"/>
      <c r="AZ89" s="12" t="inlineStr"/>
      <c r="BA89" s="12" t="inlineStr"/>
      <c r="BB89" s="12" t="inlineStr"/>
      <c r="BC89" s="12" t="inlineStr"/>
      <c r="BD89" s="12" t="inlineStr"/>
      <c r="BE89" s="12" t="inlineStr"/>
      <c r="BF89" s="12" t="inlineStr"/>
      <c r="BG89" s="12" t="inlineStr"/>
      <c r="BH89" s="12" t="inlineStr"/>
    </row>
    <row r="90">
      <c r="A90" s="9" t="inlineStr">
        <is>
          <t>gh-accra</t>
        </is>
      </c>
      <c r="B90" s="9" t="inlineStr">
        <is>
          <t>Accra</t>
        </is>
      </c>
      <c r="C90" s="9" t="inlineStr">
        <is>
          <t>Ghana</t>
        </is>
      </c>
      <c r="D90" s="9" t="inlineStr">
        <is>
          <t>Africa</t>
        </is>
      </c>
      <c r="E90" s="9" t="inlineStr">
        <is>
          <t>secondary</t>
        </is>
      </c>
      <c r="F90" s="9" t="inlineStr">
        <is>
          <t>locked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IF(OR($G90="",$H90="",$I90="",$J90="",$K90="",$L90="",$AL90="",$AM90=""),"",((($G90*(1-$AM90))-$H90-$I90-$J90-$K90-$L90)/$AL90))</f>
        <v/>
      </c>
      <c r="N90" s="10" t="inlineStr"/>
      <c r="O90" s="10" t="inlineStr"/>
      <c r="P90" s="11">
        <f>IF($O90&lt;&gt;"",$O90,$AN90)</f>
        <v/>
      </c>
      <c r="Q90" s="10" t="inlineStr"/>
      <c r="R90" s="10" t="inlineStr"/>
      <c r="S90" s="10" t="inlineStr"/>
      <c r="T90" s="10" t="inlineStr"/>
      <c r="U90" s="10" t="inlineStr"/>
      <c r="V90" s="10" t="inlineStr"/>
      <c r="W90" s="10" t="inlineStr"/>
      <c r="X90" s="10" t="inlineStr"/>
      <c r="Y90" s="10" t="inlineStr"/>
      <c r="Z90" s="10" t="inlineStr"/>
      <c r="AA90" s="10" t="inlineStr"/>
      <c r="AB90" s="10" t="inlineStr"/>
      <c r="AC90" s="10" t="inlineStr"/>
      <c r="AD90" s="10" t="inlineStr"/>
      <c r="AE90" s="10" t="inlineStr"/>
      <c r="AF90" s="10" t="inlineStr"/>
      <c r="AG90" s="10" t="inlineStr"/>
      <c r="AH90" s="10" t="inlineStr"/>
      <c r="AI90" s="11">
        <f>IFERROR(INDEX(Country_Context!$B$2:$B$63,MATCH($C90,Country_Context!$A$2:$A$63,0)),"")</f>
        <v/>
      </c>
      <c r="AJ90" s="11">
        <f>IFERROR(INDEX(Country_Context!$C$2:$C$63,MATCH($C90,Country_Context!$A$2:$A$63,0)),"")</f>
        <v/>
      </c>
      <c r="AK90" s="11">
        <f>IFERROR(INDEX(Country_Context!$D$2:$D$63,MATCH($C90,Country_Context!$A$2:$A$63,0)),"")</f>
        <v/>
      </c>
      <c r="AL90" s="11">
        <f>IFERROR(INDEX(Country_Context!$E$2:$E$63,MATCH($C90,Country_Context!$A$2:$A$63,0)),"")</f>
        <v/>
      </c>
      <c r="AM90" s="11">
        <f>IFERROR(INDEX(Country_Context!$F$2:$F$63,MATCH($C90,Country_Context!$A$2:$A$63,0)),"")</f>
        <v/>
      </c>
      <c r="AN90" s="11">
        <f>IFERROR(INDEX(Country_Context!$G$2:$G$63,MATCH($C90,Country_Context!$A$2:$A$63,0)),"")</f>
        <v/>
      </c>
      <c r="AO90" s="12" t="inlineStr"/>
      <c r="AP90" s="12" t="inlineStr"/>
      <c r="AQ90" s="12" t="inlineStr"/>
      <c r="AR90" s="12" t="inlineStr"/>
      <c r="AS90" s="12" t="inlineStr"/>
      <c r="AT90" s="12" t="inlineStr"/>
      <c r="AU90" s="12" t="inlineStr"/>
      <c r="AV90" s="12" t="inlineStr"/>
      <c r="AW90" s="12" t="inlineStr"/>
      <c r="AX90" s="12" t="inlineStr"/>
      <c r="AY90" s="12" t="inlineStr"/>
      <c r="AZ90" s="12" t="inlineStr"/>
      <c r="BA90" s="12" t="inlineStr"/>
      <c r="BB90" s="12" t="inlineStr"/>
      <c r="BC90" s="12" t="inlineStr"/>
      <c r="BD90" s="12" t="inlineStr"/>
      <c r="BE90" s="12" t="inlineStr"/>
      <c r="BF90" s="12" t="inlineStr"/>
      <c r="BG90" s="12" t="inlineStr"/>
      <c r="BH90" s="12" t="inlineStr"/>
    </row>
    <row r="91">
      <c r="A91" s="9" t="inlineStr">
        <is>
          <t>sn-dakar</t>
        </is>
      </c>
      <c r="B91" s="9" t="inlineStr">
        <is>
          <t>Dakar</t>
        </is>
      </c>
      <c r="C91" s="9" t="inlineStr">
        <is>
          <t>Senegal</t>
        </is>
      </c>
      <c r="D91" s="9" t="inlineStr">
        <is>
          <t>Africa</t>
        </is>
      </c>
      <c r="E91" s="9" t="inlineStr">
        <is>
          <t>secondary</t>
        </is>
      </c>
      <c r="F91" s="9" t="inlineStr">
        <is>
          <t>provisional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IF(OR($G91="",$H91="",$I91="",$J91="",$K91="",$L91="",$AL91="",$AM91=""),"",((($G91*(1-$AM91))-$H91-$I91-$J91-$K91-$L91)/$AL91))</f>
        <v/>
      </c>
      <c r="N91" s="10" t="inlineStr"/>
      <c r="O91" s="10" t="inlineStr"/>
      <c r="P91" s="11">
        <f>IF($O91&lt;&gt;"",$O91,$AN91)</f>
        <v/>
      </c>
      <c r="Q91" s="10" t="inlineStr"/>
      <c r="R91" s="10" t="inlineStr"/>
      <c r="S91" s="10" t="inlineStr"/>
      <c r="T91" s="10" t="inlineStr"/>
      <c r="U91" s="10" t="inlineStr"/>
      <c r="V91" s="10" t="inlineStr"/>
      <c r="W91" s="10" t="inlineStr"/>
      <c r="X91" s="10" t="inlineStr"/>
      <c r="Y91" s="10" t="inlineStr"/>
      <c r="Z91" s="10" t="inlineStr"/>
      <c r="AA91" s="10" t="inlineStr"/>
      <c r="AB91" s="10" t="inlineStr"/>
      <c r="AC91" s="10" t="inlineStr"/>
      <c r="AD91" s="10" t="inlineStr"/>
      <c r="AE91" s="10" t="inlineStr"/>
      <c r="AF91" s="10" t="inlineStr"/>
      <c r="AG91" s="10" t="inlineStr"/>
      <c r="AH91" s="10" t="inlineStr"/>
      <c r="AI91" s="11">
        <f>IFERROR(INDEX(Country_Context!$B$2:$B$63,MATCH($C91,Country_Context!$A$2:$A$63,0)),"")</f>
        <v/>
      </c>
      <c r="AJ91" s="11">
        <f>IFERROR(INDEX(Country_Context!$C$2:$C$63,MATCH($C91,Country_Context!$A$2:$A$63,0)),"")</f>
        <v/>
      </c>
      <c r="AK91" s="11">
        <f>IFERROR(INDEX(Country_Context!$D$2:$D$63,MATCH($C91,Country_Context!$A$2:$A$63,0)),"")</f>
        <v/>
      </c>
      <c r="AL91" s="11">
        <f>IFERROR(INDEX(Country_Context!$E$2:$E$63,MATCH($C91,Country_Context!$A$2:$A$63,0)),"")</f>
        <v/>
      </c>
      <c r="AM91" s="11">
        <f>IFERROR(INDEX(Country_Context!$F$2:$F$63,MATCH($C91,Country_Context!$A$2:$A$63,0)),"")</f>
        <v/>
      </c>
      <c r="AN91" s="11">
        <f>IFERROR(INDEX(Country_Context!$G$2:$G$63,MATCH($C91,Country_Context!$A$2:$A$63,0)),"")</f>
        <v/>
      </c>
      <c r="AO91" s="12" t="inlineStr"/>
      <c r="AP91" s="12" t="inlineStr"/>
      <c r="AQ91" s="12" t="inlineStr"/>
      <c r="AR91" s="12" t="inlineStr"/>
      <c r="AS91" s="12" t="inlineStr"/>
      <c r="AT91" s="12" t="inlineStr"/>
      <c r="AU91" s="12" t="inlineStr"/>
      <c r="AV91" s="12" t="inlineStr"/>
      <c r="AW91" s="12" t="inlineStr"/>
      <c r="AX91" s="12" t="inlineStr"/>
      <c r="AY91" s="12" t="inlineStr"/>
      <c r="AZ91" s="12" t="inlineStr"/>
      <c r="BA91" s="12" t="inlineStr"/>
      <c r="BB91" s="12" t="inlineStr"/>
      <c r="BC91" s="12" t="inlineStr"/>
      <c r="BD91" s="12" t="inlineStr"/>
      <c r="BE91" s="12" t="inlineStr"/>
      <c r="BF91" s="12" t="inlineStr"/>
      <c r="BG91" s="12" t="inlineStr"/>
      <c r="BH91" s="12" t="inlineStr"/>
    </row>
    <row r="92">
      <c r="A92" s="9" t="inlineStr">
        <is>
          <t>nz-auckland</t>
        </is>
      </c>
      <c r="B92" s="9" t="inlineStr">
        <is>
          <t>Auckland</t>
        </is>
      </c>
      <c r="C92" s="9" t="inlineStr">
        <is>
          <t>New Zealand</t>
        </is>
      </c>
      <c r="D92" s="9" t="inlineStr">
        <is>
          <t>Oceania</t>
        </is>
      </c>
      <c r="E92" s="9" t="inlineStr">
        <is>
          <t>primary</t>
        </is>
      </c>
      <c r="F92" s="9" t="inlineStr">
        <is>
          <t>locked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IF(OR($G92="",$H92="",$I92="",$J92="",$K92="",$L92="",$AL92="",$AM92=""),"",((($G92*(1-$AM92))-$H92-$I92-$J92-$K92-$L92)/$AL92))</f>
        <v/>
      </c>
      <c r="N92" s="10" t="inlineStr"/>
      <c r="O92" s="10" t="inlineStr"/>
      <c r="P92" s="11">
        <f>IF($O92&lt;&gt;"",$O92,$AN92)</f>
        <v/>
      </c>
      <c r="Q92" s="10" t="inlineStr"/>
      <c r="R92" s="10" t="inlineStr"/>
      <c r="S92" s="10" t="inlineStr"/>
      <c r="T92" s="10" t="inlineStr"/>
      <c r="U92" s="10" t="inlineStr"/>
      <c r="V92" s="10" t="inlineStr"/>
      <c r="W92" s="10" t="inlineStr"/>
      <c r="X92" s="10" t="inlineStr"/>
      <c r="Y92" s="10" t="inlineStr"/>
      <c r="Z92" s="10" t="inlineStr"/>
      <c r="AA92" s="10" t="inlineStr"/>
      <c r="AB92" s="10" t="inlineStr"/>
      <c r="AC92" s="10" t="inlineStr"/>
      <c r="AD92" s="10" t="inlineStr"/>
      <c r="AE92" s="10" t="inlineStr"/>
      <c r="AF92" s="10" t="inlineStr"/>
      <c r="AG92" s="10" t="inlineStr"/>
      <c r="AH92" s="10" t="inlineStr"/>
      <c r="AI92" s="11">
        <f>IFERROR(INDEX(Country_Context!$B$2:$B$63,MATCH($C92,Country_Context!$A$2:$A$63,0)),"")</f>
        <v/>
      </c>
      <c r="AJ92" s="11">
        <f>IFERROR(INDEX(Country_Context!$C$2:$C$63,MATCH($C92,Country_Context!$A$2:$A$63,0)),"")</f>
        <v/>
      </c>
      <c r="AK92" s="11">
        <f>IFERROR(INDEX(Country_Context!$D$2:$D$63,MATCH($C92,Country_Context!$A$2:$A$63,0)),"")</f>
        <v/>
      </c>
      <c r="AL92" s="11">
        <f>IFERROR(INDEX(Country_Context!$E$2:$E$63,MATCH($C92,Country_Context!$A$2:$A$63,0)),"")</f>
        <v/>
      </c>
      <c r="AM92" s="11">
        <f>IFERROR(INDEX(Country_Context!$F$2:$F$63,MATCH($C92,Country_Context!$A$2:$A$63,0)),"")</f>
        <v/>
      </c>
      <c r="AN92" s="11">
        <f>IFERROR(INDEX(Country_Context!$G$2:$G$63,MATCH($C92,Country_Context!$A$2:$A$63,0)),"")</f>
        <v/>
      </c>
      <c r="AO92" s="12" t="inlineStr"/>
      <c r="AP92" s="12" t="inlineStr"/>
      <c r="AQ92" s="12" t="inlineStr"/>
      <c r="AR92" s="12" t="inlineStr"/>
      <c r="AS92" s="12" t="inlineStr"/>
      <c r="AT92" s="12" t="inlineStr"/>
      <c r="AU92" s="12" t="inlineStr"/>
      <c r="AV92" s="12" t="inlineStr"/>
      <c r="AW92" s="12" t="inlineStr"/>
      <c r="AX92" s="12" t="inlineStr"/>
      <c r="AY92" s="12" t="inlineStr"/>
      <c r="AZ92" s="12" t="inlineStr"/>
      <c r="BA92" s="12" t="inlineStr"/>
      <c r="BB92" s="12" t="inlineStr"/>
      <c r="BC92" s="12" t="inlineStr"/>
      <c r="BD92" s="12" t="inlineStr"/>
      <c r="BE92" s="12" t="inlineStr"/>
      <c r="BF92" s="12" t="inlineStr"/>
      <c r="BG92" s="12" t="inlineStr"/>
      <c r="BH92" s="12" t="inlineStr"/>
    </row>
    <row r="93">
      <c r="A93" s="9" t="inlineStr">
        <is>
          <t>au-sydney</t>
        </is>
      </c>
      <c r="B93" s="9" t="inlineStr">
        <is>
          <t>Sydney</t>
        </is>
      </c>
      <c r="C93" s="9" t="inlineStr">
        <is>
          <t>Australia</t>
        </is>
      </c>
      <c r="D93" s="9" t="inlineStr">
        <is>
          <t>Oceania</t>
        </is>
      </c>
      <c r="E93" s="9" t="inlineStr">
        <is>
          <t>primary</t>
        </is>
      </c>
      <c r="F93" s="9" t="inlineStr">
        <is>
          <t>provisional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IF(OR($G93="",$H93="",$I93="",$J93="",$K93="",$L93="",$AL93="",$AM93=""),"",((($G93*(1-$AM93))-$H93-$I93-$J93-$K93-$L93)/$AL93))</f>
        <v/>
      </c>
      <c r="N93" s="10" t="inlineStr"/>
      <c r="O93" s="10" t="inlineStr"/>
      <c r="P93" s="11">
        <f>IF($O93&lt;&gt;"",$O93,$AN93)</f>
        <v/>
      </c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10" t="inlineStr"/>
      <c r="Y93" s="10" t="inlineStr"/>
      <c r="Z93" s="10" t="inlineStr"/>
      <c r="AA93" s="10" t="inlineStr"/>
      <c r="AB93" s="10" t="inlineStr"/>
      <c r="AC93" s="10" t="inlineStr"/>
      <c r="AD93" s="10" t="inlineStr"/>
      <c r="AE93" s="10" t="inlineStr"/>
      <c r="AF93" s="10" t="inlineStr"/>
      <c r="AG93" s="10" t="inlineStr"/>
      <c r="AH93" s="10" t="inlineStr"/>
      <c r="AI93" s="11">
        <f>IFERROR(INDEX(Country_Context!$B$2:$B$63,MATCH($C93,Country_Context!$A$2:$A$63,0)),"")</f>
        <v/>
      </c>
      <c r="AJ93" s="11">
        <f>IFERROR(INDEX(Country_Context!$C$2:$C$63,MATCH($C93,Country_Context!$A$2:$A$63,0)),"")</f>
        <v/>
      </c>
      <c r="AK93" s="11">
        <f>IFERROR(INDEX(Country_Context!$D$2:$D$63,MATCH($C93,Country_Context!$A$2:$A$63,0)),"")</f>
        <v/>
      </c>
      <c r="AL93" s="11">
        <f>IFERROR(INDEX(Country_Context!$E$2:$E$63,MATCH($C93,Country_Context!$A$2:$A$63,0)),"")</f>
        <v/>
      </c>
      <c r="AM93" s="11">
        <f>IFERROR(INDEX(Country_Context!$F$2:$F$63,MATCH($C93,Country_Context!$A$2:$A$63,0)),"")</f>
        <v/>
      </c>
      <c r="AN93" s="11">
        <f>IFERROR(INDEX(Country_Context!$G$2:$G$63,MATCH($C93,Country_Context!$A$2:$A$63,0)),"")</f>
        <v/>
      </c>
      <c r="AO93" s="12" t="inlineStr"/>
      <c r="AP93" s="12" t="inlineStr"/>
      <c r="AQ93" s="12" t="inlineStr"/>
      <c r="AR93" s="12" t="inlineStr"/>
      <c r="AS93" s="12" t="inlineStr"/>
      <c r="AT93" s="12" t="inlineStr"/>
      <c r="AU93" s="12" t="inlineStr"/>
      <c r="AV93" s="12" t="inlineStr"/>
      <c r="AW93" s="12" t="inlineStr"/>
      <c r="AX93" s="12" t="inlineStr"/>
      <c r="AY93" s="12" t="inlineStr"/>
      <c r="AZ93" s="12" t="inlineStr"/>
      <c r="BA93" s="12" t="inlineStr"/>
      <c r="BB93" s="12" t="inlineStr"/>
      <c r="BC93" s="12" t="inlineStr"/>
      <c r="BD93" s="12" t="inlineStr"/>
      <c r="BE93" s="12" t="inlineStr"/>
      <c r="BF93" s="12" t="inlineStr"/>
      <c r="BG93" s="12" t="inlineStr"/>
      <c r="BH93" s="12" t="inlineStr"/>
    </row>
    <row r="94">
      <c r="A94" s="9" t="inlineStr">
        <is>
          <t>au-melbourne</t>
        </is>
      </c>
      <c r="B94" s="9" t="inlineStr">
        <is>
          <t>Melbourne</t>
        </is>
      </c>
      <c r="C94" s="9" t="inlineStr">
        <is>
          <t>Australia</t>
        </is>
      </c>
      <c r="D94" s="9" t="inlineStr">
        <is>
          <t>Oceania</t>
        </is>
      </c>
      <c r="E94" s="9" t="inlineStr">
        <is>
          <t>primary</t>
        </is>
      </c>
      <c r="F94" s="9" t="inlineStr">
        <is>
          <t>provisional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IF(OR($G94="",$H94="",$I94="",$J94="",$K94="",$L94="",$AL94="",$AM94=""),"",((($G94*(1-$AM94))-$H94-$I94-$J94-$K94-$L94)/$AL94))</f>
        <v/>
      </c>
      <c r="N94" s="10" t="inlineStr"/>
      <c r="O94" s="10" t="inlineStr"/>
      <c r="P94" s="11">
        <f>IF($O94&lt;&gt;"",$O94,$AN94)</f>
        <v/>
      </c>
      <c r="Q94" s="10" t="inlineStr"/>
      <c r="R94" s="10" t="inlineStr"/>
      <c r="S94" s="10" t="inlineStr"/>
      <c r="T94" s="10" t="inlineStr"/>
      <c r="U94" s="10" t="inlineStr"/>
      <c r="V94" s="10" t="inlineStr"/>
      <c r="W94" s="10" t="inlineStr"/>
      <c r="X94" s="10" t="inlineStr"/>
      <c r="Y94" s="10" t="inlineStr"/>
      <c r="Z94" s="10" t="inlineStr"/>
      <c r="AA94" s="10" t="inlineStr"/>
      <c r="AB94" s="10" t="inlineStr"/>
      <c r="AC94" s="10" t="inlineStr"/>
      <c r="AD94" s="10" t="inlineStr"/>
      <c r="AE94" s="10" t="inlineStr"/>
      <c r="AF94" s="10" t="inlineStr"/>
      <c r="AG94" s="10" t="inlineStr"/>
      <c r="AH94" s="10" t="inlineStr"/>
      <c r="AI94" s="11">
        <f>IFERROR(INDEX(Country_Context!$B$2:$B$63,MATCH($C94,Country_Context!$A$2:$A$63,0)),"")</f>
        <v/>
      </c>
      <c r="AJ94" s="11">
        <f>IFERROR(INDEX(Country_Context!$C$2:$C$63,MATCH($C94,Country_Context!$A$2:$A$63,0)),"")</f>
        <v/>
      </c>
      <c r="AK94" s="11">
        <f>IFERROR(INDEX(Country_Context!$D$2:$D$63,MATCH($C94,Country_Context!$A$2:$A$63,0)),"")</f>
        <v/>
      </c>
      <c r="AL94" s="11">
        <f>IFERROR(INDEX(Country_Context!$E$2:$E$63,MATCH($C94,Country_Context!$A$2:$A$63,0)),"")</f>
        <v/>
      </c>
      <c r="AM94" s="11">
        <f>IFERROR(INDEX(Country_Context!$F$2:$F$63,MATCH($C94,Country_Context!$A$2:$A$63,0)),"")</f>
        <v/>
      </c>
      <c r="AN94" s="11">
        <f>IFERROR(INDEX(Country_Context!$G$2:$G$63,MATCH($C94,Country_Context!$A$2:$A$63,0)),"")</f>
        <v/>
      </c>
      <c r="AO94" s="12" t="inlineStr"/>
      <c r="AP94" s="12" t="inlineStr"/>
      <c r="AQ94" s="12" t="inlineStr"/>
      <c r="AR94" s="12" t="inlineStr"/>
      <c r="AS94" s="12" t="inlineStr"/>
      <c r="AT94" s="12" t="inlineStr"/>
      <c r="AU94" s="12" t="inlineStr"/>
      <c r="AV94" s="12" t="inlineStr"/>
      <c r="AW94" s="12" t="inlineStr"/>
      <c r="AX94" s="12" t="inlineStr"/>
      <c r="AY94" s="12" t="inlineStr"/>
      <c r="AZ94" s="12" t="inlineStr"/>
      <c r="BA94" s="12" t="inlineStr"/>
      <c r="BB94" s="12" t="inlineStr"/>
      <c r="BC94" s="12" t="inlineStr"/>
      <c r="BD94" s="12" t="inlineStr"/>
      <c r="BE94" s="12" t="inlineStr"/>
      <c r="BF94" s="12" t="inlineStr"/>
      <c r="BG94" s="12" t="inlineStr"/>
      <c r="BH94" s="12" t="inlineStr"/>
    </row>
    <row r="95">
      <c r="A95" s="9" t="inlineStr">
        <is>
          <t>au-brisbane</t>
        </is>
      </c>
      <c r="B95" s="9" t="inlineStr">
        <is>
          <t>Brisbane</t>
        </is>
      </c>
      <c r="C95" s="9" t="inlineStr">
        <is>
          <t>Australia</t>
        </is>
      </c>
      <c r="D95" s="9" t="inlineStr">
        <is>
          <t>Oceania</t>
        </is>
      </c>
      <c r="E95" s="9" t="inlineStr">
        <is>
          <t>primary</t>
        </is>
      </c>
      <c r="F95" s="9" t="inlineStr">
        <is>
          <t>locked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IF(OR($G95="",$H95="",$I95="",$J95="",$K95="",$L95="",$AL95="",$AM95=""),"",((($G95*(1-$AM95))-$H95-$I95-$J95-$K95-$L95)/$AL95))</f>
        <v/>
      </c>
      <c r="N95" s="10" t="inlineStr"/>
      <c r="O95" s="10" t="inlineStr"/>
      <c r="P95" s="11">
        <f>IF($O95&lt;&gt;"",$O95,$AN95)</f>
        <v/>
      </c>
      <c r="Q95" s="10" t="inlineStr"/>
      <c r="R95" s="10" t="inlineStr"/>
      <c r="S95" s="10" t="inlineStr"/>
      <c r="T95" s="10" t="inlineStr"/>
      <c r="U95" s="10" t="inlineStr"/>
      <c r="V95" s="10" t="inlineStr"/>
      <c r="W95" s="10" t="inlineStr"/>
      <c r="X95" s="10" t="inlineStr"/>
      <c r="Y95" s="10" t="inlineStr"/>
      <c r="Z95" s="10" t="inlineStr"/>
      <c r="AA95" s="10" t="inlineStr"/>
      <c r="AB95" s="10" t="inlineStr"/>
      <c r="AC95" s="10" t="inlineStr"/>
      <c r="AD95" s="10" t="inlineStr"/>
      <c r="AE95" s="10" t="inlineStr"/>
      <c r="AF95" s="10" t="inlineStr"/>
      <c r="AG95" s="10" t="inlineStr"/>
      <c r="AH95" s="10" t="inlineStr"/>
      <c r="AI95" s="11">
        <f>IFERROR(INDEX(Country_Context!$B$2:$B$63,MATCH($C95,Country_Context!$A$2:$A$63,0)),"")</f>
        <v/>
      </c>
      <c r="AJ95" s="11">
        <f>IFERROR(INDEX(Country_Context!$C$2:$C$63,MATCH($C95,Country_Context!$A$2:$A$63,0)),"")</f>
        <v/>
      </c>
      <c r="AK95" s="11">
        <f>IFERROR(INDEX(Country_Context!$D$2:$D$63,MATCH($C95,Country_Context!$A$2:$A$63,0)),"")</f>
        <v/>
      </c>
      <c r="AL95" s="11">
        <f>IFERROR(INDEX(Country_Context!$E$2:$E$63,MATCH($C95,Country_Context!$A$2:$A$63,0)),"")</f>
        <v/>
      </c>
      <c r="AM95" s="11">
        <f>IFERROR(INDEX(Country_Context!$F$2:$F$63,MATCH($C95,Country_Context!$A$2:$A$63,0)),"")</f>
        <v/>
      </c>
      <c r="AN95" s="11">
        <f>IFERROR(INDEX(Country_Context!$G$2:$G$63,MATCH($C95,Country_Context!$A$2:$A$63,0)),"")</f>
        <v/>
      </c>
      <c r="AO95" s="12" t="inlineStr"/>
      <c r="AP95" s="12" t="inlineStr"/>
      <c r="AQ95" s="12" t="inlineStr"/>
      <c r="AR95" s="12" t="inlineStr"/>
      <c r="AS95" s="12" t="inlineStr"/>
      <c r="AT95" s="12" t="inlineStr"/>
      <c r="AU95" s="12" t="inlineStr"/>
      <c r="AV95" s="12" t="inlineStr"/>
      <c r="AW95" s="12" t="inlineStr"/>
      <c r="AX95" s="12" t="inlineStr"/>
      <c r="AY95" s="12" t="inlineStr"/>
      <c r="AZ95" s="12" t="inlineStr"/>
      <c r="BA95" s="12" t="inlineStr"/>
      <c r="BB95" s="12" t="inlineStr"/>
      <c r="BC95" s="12" t="inlineStr"/>
      <c r="BD95" s="12" t="inlineStr"/>
      <c r="BE95" s="12" t="inlineStr"/>
      <c r="BF95" s="12" t="inlineStr"/>
      <c r="BG95" s="12" t="inlineStr"/>
      <c r="BH95" s="12" t="inlineStr"/>
    </row>
    <row r="96">
      <c r="A96" s="9" t="inlineStr">
        <is>
          <t>nz-wellington</t>
        </is>
      </c>
      <c r="B96" s="9" t="inlineStr">
        <is>
          <t>Wellington</t>
        </is>
      </c>
      <c r="C96" s="9" t="inlineStr">
        <is>
          <t>New Zealand</t>
        </is>
      </c>
      <c r="D96" s="9" t="inlineStr">
        <is>
          <t>Oceania</t>
        </is>
      </c>
      <c r="E96" s="9" t="inlineStr">
        <is>
          <t>primary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IF(OR($G96="",$H96="",$I96="",$J96="",$K96="",$L96="",$AL96="",$AM96=""),"",((($G96*(1-$AM96))-$H96-$I96-$J96-$K96-$L96)/$AL96))</f>
        <v/>
      </c>
      <c r="N96" s="10" t="inlineStr"/>
      <c r="O96" s="10" t="inlineStr"/>
      <c r="P96" s="11">
        <f>IF($O96&lt;&gt;"",$O96,$AN96)</f>
        <v/>
      </c>
      <c r="Q96" s="10" t="inlineStr"/>
      <c r="R96" s="10" t="inlineStr"/>
      <c r="S96" s="10" t="inlineStr"/>
      <c r="T96" s="10" t="inlineStr"/>
      <c r="U96" s="10" t="inlineStr"/>
      <c r="V96" s="10" t="inlineStr"/>
      <c r="W96" s="10" t="inlineStr"/>
      <c r="X96" s="10" t="inlineStr"/>
      <c r="Y96" s="10" t="inlineStr"/>
      <c r="Z96" s="10" t="inlineStr"/>
      <c r="AA96" s="10" t="inlineStr"/>
      <c r="AB96" s="10" t="inlineStr"/>
      <c r="AC96" s="10" t="inlineStr"/>
      <c r="AD96" s="10" t="inlineStr"/>
      <c r="AE96" s="10" t="inlineStr"/>
      <c r="AF96" s="10" t="inlineStr"/>
      <c r="AG96" s="10" t="inlineStr"/>
      <c r="AH96" s="10" t="inlineStr"/>
      <c r="AI96" s="11">
        <f>IFERROR(INDEX(Country_Context!$B$2:$B$63,MATCH($C96,Country_Context!$A$2:$A$63,0)),"")</f>
        <v/>
      </c>
      <c r="AJ96" s="11">
        <f>IFERROR(INDEX(Country_Context!$C$2:$C$63,MATCH($C96,Country_Context!$A$2:$A$63,0)),"")</f>
        <v/>
      </c>
      <c r="AK96" s="11">
        <f>IFERROR(INDEX(Country_Context!$D$2:$D$63,MATCH($C96,Country_Context!$A$2:$A$63,0)),"")</f>
        <v/>
      </c>
      <c r="AL96" s="11">
        <f>IFERROR(INDEX(Country_Context!$E$2:$E$63,MATCH($C96,Country_Context!$A$2:$A$63,0)),"")</f>
        <v/>
      </c>
      <c r="AM96" s="11">
        <f>IFERROR(INDEX(Country_Context!$F$2:$F$63,MATCH($C96,Country_Context!$A$2:$A$63,0)),"")</f>
        <v/>
      </c>
      <c r="AN96" s="11">
        <f>IFERROR(INDEX(Country_Context!$G$2:$G$63,MATCH($C96,Country_Context!$A$2:$A$63,0)),"")</f>
        <v/>
      </c>
      <c r="AO96" s="12" t="inlineStr"/>
      <c r="AP96" s="12" t="inlineStr"/>
      <c r="AQ96" s="12" t="inlineStr"/>
      <c r="AR96" s="12" t="inlineStr"/>
      <c r="AS96" s="12" t="inlineStr"/>
      <c r="AT96" s="12" t="inlineStr"/>
      <c r="AU96" s="12" t="inlineStr"/>
      <c r="AV96" s="12" t="inlineStr"/>
      <c r="AW96" s="12" t="inlineStr"/>
      <c r="AX96" s="12" t="inlineStr"/>
      <c r="AY96" s="12" t="inlineStr"/>
      <c r="AZ96" s="12" t="inlineStr"/>
      <c r="BA96" s="12" t="inlineStr"/>
      <c r="BB96" s="12" t="inlineStr"/>
      <c r="BC96" s="12" t="inlineStr"/>
      <c r="BD96" s="12" t="inlineStr"/>
      <c r="BE96" s="12" t="inlineStr"/>
      <c r="BF96" s="12" t="inlineStr"/>
      <c r="BG96" s="12" t="inlineStr"/>
      <c r="BH96" s="12" t="inlineStr"/>
    </row>
    <row r="97">
      <c r="A97" s="9" t="inlineStr">
        <is>
          <t>au-perth</t>
        </is>
      </c>
      <c r="B97" s="9" t="inlineStr">
        <is>
          <t>Perth</t>
        </is>
      </c>
      <c r="C97" s="9" t="inlineStr">
        <is>
          <t>Australia</t>
        </is>
      </c>
      <c r="D97" s="9" t="inlineStr">
        <is>
          <t>Oceania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IF(OR($G97="",$H97="",$I97="",$J97="",$K97="",$L97="",$AL97="",$AM97=""),"",((($G97*(1-$AM97))-$H97-$I97-$J97-$K97-$L97)/$AL97))</f>
        <v/>
      </c>
      <c r="N97" s="10" t="inlineStr"/>
      <c r="O97" s="10" t="inlineStr"/>
      <c r="P97" s="11">
        <f>IF($O97&lt;&gt;"",$O97,$AN97)</f>
        <v/>
      </c>
      <c r="Q97" s="10" t="inlineStr"/>
      <c r="R97" s="10" t="inlineStr"/>
      <c r="S97" s="10" t="inlineStr"/>
      <c r="T97" s="10" t="inlineStr"/>
      <c r="U97" s="10" t="inlineStr"/>
      <c r="V97" s="10" t="inlineStr"/>
      <c r="W97" s="10" t="inlineStr"/>
      <c r="X97" s="10" t="inlineStr"/>
      <c r="Y97" s="10" t="inlineStr"/>
      <c r="Z97" s="10" t="inlineStr"/>
      <c r="AA97" s="10" t="inlineStr"/>
      <c r="AB97" s="10" t="inlineStr"/>
      <c r="AC97" s="10" t="inlineStr"/>
      <c r="AD97" s="10" t="inlineStr"/>
      <c r="AE97" s="10" t="inlineStr"/>
      <c r="AF97" s="10" t="inlineStr"/>
      <c r="AG97" s="10" t="inlineStr"/>
      <c r="AH97" s="10" t="inlineStr"/>
      <c r="AI97" s="11">
        <f>IFERROR(INDEX(Country_Context!$B$2:$B$63,MATCH($C97,Country_Context!$A$2:$A$63,0)),"")</f>
        <v/>
      </c>
      <c r="AJ97" s="11">
        <f>IFERROR(INDEX(Country_Context!$C$2:$C$63,MATCH($C97,Country_Context!$A$2:$A$63,0)),"")</f>
        <v/>
      </c>
      <c r="AK97" s="11">
        <f>IFERROR(INDEX(Country_Context!$D$2:$D$63,MATCH($C97,Country_Context!$A$2:$A$63,0)),"")</f>
        <v/>
      </c>
      <c r="AL97" s="11">
        <f>IFERROR(INDEX(Country_Context!$E$2:$E$63,MATCH($C97,Country_Context!$A$2:$A$63,0)),"")</f>
        <v/>
      </c>
      <c r="AM97" s="11">
        <f>IFERROR(INDEX(Country_Context!$F$2:$F$63,MATCH($C97,Country_Context!$A$2:$A$63,0)),"")</f>
        <v/>
      </c>
      <c r="AN97" s="11">
        <f>IFERROR(INDEX(Country_Context!$G$2:$G$63,MATCH($C97,Country_Context!$A$2:$A$63,0)),"")</f>
        <v/>
      </c>
      <c r="AO97" s="12" t="inlineStr"/>
      <c r="AP97" s="12" t="inlineStr"/>
      <c r="AQ97" s="12" t="inlineStr"/>
      <c r="AR97" s="12" t="inlineStr"/>
      <c r="AS97" s="12" t="inlineStr"/>
      <c r="AT97" s="12" t="inlineStr"/>
      <c r="AU97" s="12" t="inlineStr"/>
      <c r="AV97" s="12" t="inlineStr"/>
      <c r="AW97" s="12" t="inlineStr"/>
      <c r="AX97" s="12" t="inlineStr"/>
      <c r="AY97" s="12" t="inlineStr"/>
      <c r="AZ97" s="12" t="inlineStr"/>
      <c r="BA97" s="12" t="inlineStr"/>
      <c r="BB97" s="12" t="inlineStr"/>
      <c r="BC97" s="12" t="inlineStr"/>
      <c r="BD97" s="12" t="inlineStr"/>
      <c r="BE97" s="12" t="inlineStr"/>
      <c r="BF97" s="12" t="inlineStr"/>
      <c r="BG97" s="12" t="inlineStr"/>
      <c r="BH97" s="12" t="inlineStr"/>
    </row>
    <row r="98">
      <c r="A98" s="9" t="inlineStr">
        <is>
          <t>au-adelaide</t>
        </is>
      </c>
      <c r="B98" s="9" t="inlineStr">
        <is>
          <t>Adelaide</t>
        </is>
      </c>
      <c r="C98" s="9" t="inlineStr">
        <is>
          <t>Australia</t>
        </is>
      </c>
      <c r="D98" s="9" t="inlineStr">
        <is>
          <t>Oceania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IF(OR($G98="",$H98="",$I98="",$J98="",$K98="",$L98="",$AL98="",$AM98=""),"",((($G98*(1-$AM98))-$H98-$I98-$J98-$K98-$L98)/$AL98))</f>
        <v/>
      </c>
      <c r="N98" s="10" t="inlineStr"/>
      <c r="O98" s="10" t="inlineStr"/>
      <c r="P98" s="11">
        <f>IF($O98&lt;&gt;"",$O98,$AN98)</f>
        <v/>
      </c>
      <c r="Q98" s="10" t="inlineStr"/>
      <c r="R98" s="10" t="inlineStr"/>
      <c r="S98" s="10" t="inlineStr"/>
      <c r="T98" s="10" t="inlineStr"/>
      <c r="U98" s="10" t="inlineStr"/>
      <c r="V98" s="10" t="inlineStr"/>
      <c r="W98" s="10" t="inlineStr"/>
      <c r="X98" s="10" t="inlineStr"/>
      <c r="Y98" s="10" t="inlineStr"/>
      <c r="Z98" s="10" t="inlineStr"/>
      <c r="AA98" s="10" t="inlineStr"/>
      <c r="AB98" s="10" t="inlineStr"/>
      <c r="AC98" s="10" t="inlineStr"/>
      <c r="AD98" s="10" t="inlineStr"/>
      <c r="AE98" s="10" t="inlineStr"/>
      <c r="AF98" s="10" t="inlineStr"/>
      <c r="AG98" s="10" t="inlineStr"/>
      <c r="AH98" s="10" t="inlineStr"/>
      <c r="AI98" s="11">
        <f>IFERROR(INDEX(Country_Context!$B$2:$B$63,MATCH($C98,Country_Context!$A$2:$A$63,0)),"")</f>
        <v/>
      </c>
      <c r="AJ98" s="11">
        <f>IFERROR(INDEX(Country_Context!$C$2:$C$63,MATCH($C98,Country_Context!$A$2:$A$63,0)),"")</f>
        <v/>
      </c>
      <c r="AK98" s="11">
        <f>IFERROR(INDEX(Country_Context!$D$2:$D$63,MATCH($C98,Country_Context!$A$2:$A$63,0)),"")</f>
        <v/>
      </c>
      <c r="AL98" s="11">
        <f>IFERROR(INDEX(Country_Context!$E$2:$E$63,MATCH($C98,Country_Context!$A$2:$A$63,0)),"")</f>
        <v/>
      </c>
      <c r="AM98" s="11">
        <f>IFERROR(INDEX(Country_Context!$F$2:$F$63,MATCH($C98,Country_Context!$A$2:$A$63,0)),"")</f>
        <v/>
      </c>
      <c r="AN98" s="11">
        <f>IFERROR(INDEX(Country_Context!$G$2:$G$63,MATCH($C98,Country_Context!$A$2:$A$63,0)),"")</f>
        <v/>
      </c>
      <c r="AO98" s="12" t="inlineStr"/>
      <c r="AP98" s="12" t="inlineStr"/>
      <c r="AQ98" s="12" t="inlineStr"/>
      <c r="AR98" s="12" t="inlineStr"/>
      <c r="AS98" s="12" t="inlineStr"/>
      <c r="AT98" s="12" t="inlineStr"/>
      <c r="AU98" s="12" t="inlineStr"/>
      <c r="AV98" s="12" t="inlineStr"/>
      <c r="AW98" s="12" t="inlineStr"/>
      <c r="AX98" s="12" t="inlineStr"/>
      <c r="AY98" s="12" t="inlineStr"/>
      <c r="AZ98" s="12" t="inlineStr"/>
      <c r="BA98" s="12" t="inlineStr"/>
      <c r="BB98" s="12" t="inlineStr"/>
      <c r="BC98" s="12" t="inlineStr"/>
      <c r="BD98" s="12" t="inlineStr"/>
      <c r="BE98" s="12" t="inlineStr"/>
      <c r="BF98" s="12" t="inlineStr"/>
      <c r="BG98" s="12" t="inlineStr"/>
      <c r="BH98" s="12" t="inlineStr"/>
    </row>
    <row r="99">
      <c r="A99" s="9" t="inlineStr">
        <is>
          <t>au-hobart</t>
        </is>
      </c>
      <c r="B99" s="9" t="inlineStr">
        <is>
          <t>Hobart</t>
        </is>
      </c>
      <c r="C99" s="9" t="inlineStr">
        <is>
          <t>Australia</t>
        </is>
      </c>
      <c r="D99" s="9" t="inlineStr">
        <is>
          <t>Oceania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IF(OR($G99="",$H99="",$I99="",$J99="",$K99="",$L99="",$AL99="",$AM99=""),"",((($G99*(1-$AM99))-$H99-$I99-$J99-$K99-$L99)/$AL99))</f>
        <v/>
      </c>
      <c r="N99" s="10" t="inlineStr"/>
      <c r="O99" s="10" t="inlineStr"/>
      <c r="P99" s="11">
        <f>IF($O99&lt;&gt;"",$O99,$AN99)</f>
        <v/>
      </c>
      <c r="Q99" s="10" t="inlineStr"/>
      <c r="R99" s="10" t="inlineStr"/>
      <c r="S99" s="10" t="inlineStr"/>
      <c r="T99" s="10" t="inlineStr"/>
      <c r="U99" s="10" t="inlineStr"/>
      <c r="V99" s="10" t="inlineStr"/>
      <c r="W99" s="10" t="inlineStr"/>
      <c r="X99" s="10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  <c r="AF99" s="10" t="inlineStr"/>
      <c r="AG99" s="10" t="inlineStr"/>
      <c r="AH99" s="10" t="inlineStr"/>
      <c r="AI99" s="11">
        <f>IFERROR(INDEX(Country_Context!$B$2:$B$63,MATCH($C99,Country_Context!$A$2:$A$63,0)),"")</f>
        <v/>
      </c>
      <c r="AJ99" s="11">
        <f>IFERROR(INDEX(Country_Context!$C$2:$C$63,MATCH($C99,Country_Context!$A$2:$A$63,0)),"")</f>
        <v/>
      </c>
      <c r="AK99" s="11">
        <f>IFERROR(INDEX(Country_Context!$D$2:$D$63,MATCH($C99,Country_Context!$A$2:$A$63,0)),"")</f>
        <v/>
      </c>
      <c r="AL99" s="11">
        <f>IFERROR(INDEX(Country_Context!$E$2:$E$63,MATCH($C99,Country_Context!$A$2:$A$63,0)),"")</f>
        <v/>
      </c>
      <c r="AM99" s="11">
        <f>IFERROR(INDEX(Country_Context!$F$2:$F$63,MATCH($C99,Country_Context!$A$2:$A$63,0)),"")</f>
        <v/>
      </c>
      <c r="AN99" s="11">
        <f>IFERROR(INDEX(Country_Context!$G$2:$G$63,MATCH($C99,Country_Context!$A$2:$A$63,0)),"")</f>
        <v/>
      </c>
      <c r="AO99" s="12" t="inlineStr"/>
      <c r="AP99" s="12" t="inlineStr"/>
      <c r="AQ99" s="12" t="inlineStr"/>
      <c r="AR99" s="12" t="inlineStr"/>
      <c r="AS99" s="12" t="inlineStr"/>
      <c r="AT99" s="12" t="inlineStr"/>
      <c r="AU99" s="12" t="inlineStr"/>
      <c r="AV99" s="12" t="inlineStr"/>
      <c r="AW99" s="12" t="inlineStr"/>
      <c r="AX99" s="12" t="inlineStr"/>
      <c r="AY99" s="12" t="inlineStr"/>
      <c r="AZ99" s="12" t="inlineStr"/>
      <c r="BA99" s="12" t="inlineStr"/>
      <c r="BB99" s="12" t="inlineStr"/>
      <c r="BC99" s="12" t="inlineStr"/>
      <c r="BD99" s="12" t="inlineStr"/>
      <c r="BE99" s="12" t="inlineStr"/>
      <c r="BF99" s="12" t="inlineStr"/>
      <c r="BG99" s="12" t="inlineStr"/>
      <c r="BH99" s="12" t="inlineStr"/>
    </row>
    <row r="100">
      <c r="A100" s="9" t="inlineStr">
        <is>
          <t>nz-christchurch</t>
        </is>
      </c>
      <c r="B100" s="9" t="inlineStr">
        <is>
          <t>Christchurch</t>
        </is>
      </c>
      <c r="C100" s="9" t="inlineStr">
        <is>
          <t>New Zealand</t>
        </is>
      </c>
      <c r="D100" s="9" t="inlineStr">
        <is>
          <t>Oceania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IF(OR($G100="",$H100="",$I100="",$J100="",$K100="",$L100="",$AL100="",$AM100=""),"",((($G100*(1-$AM100))-$H100-$I100-$J100-$K100-$L100)/$AL100))</f>
        <v/>
      </c>
      <c r="N100" s="10" t="inlineStr"/>
      <c r="O100" s="10" t="inlineStr"/>
      <c r="P100" s="11">
        <f>IF($O100&lt;&gt;"",$O100,$AN100)</f>
        <v/>
      </c>
      <c r="Q100" s="10" t="inlineStr"/>
      <c r="R100" s="10" t="inlineStr"/>
      <c r="S100" s="10" t="inlineStr"/>
      <c r="T100" s="10" t="inlineStr"/>
      <c r="U100" s="10" t="inlineStr"/>
      <c r="V100" s="10" t="inlineStr"/>
      <c r="W100" s="10" t="inlineStr"/>
      <c r="X100" s="10" t="inlineStr"/>
      <c r="Y100" s="10" t="inlineStr"/>
      <c r="Z100" s="10" t="inlineStr"/>
      <c r="AA100" s="10" t="inlineStr"/>
      <c r="AB100" s="10" t="inlineStr"/>
      <c r="AC100" s="10" t="inlineStr"/>
      <c r="AD100" s="10" t="inlineStr"/>
      <c r="AE100" s="10" t="inlineStr"/>
      <c r="AF100" s="10" t="inlineStr"/>
      <c r="AG100" s="10" t="inlineStr"/>
      <c r="AH100" s="10" t="inlineStr"/>
      <c r="AI100" s="11">
        <f>IFERROR(INDEX(Country_Context!$B$2:$B$63,MATCH($C100,Country_Context!$A$2:$A$63,0)),"")</f>
        <v/>
      </c>
      <c r="AJ100" s="11">
        <f>IFERROR(INDEX(Country_Context!$C$2:$C$63,MATCH($C100,Country_Context!$A$2:$A$63,0)),"")</f>
        <v/>
      </c>
      <c r="AK100" s="11">
        <f>IFERROR(INDEX(Country_Context!$D$2:$D$63,MATCH($C100,Country_Context!$A$2:$A$63,0)),"")</f>
        <v/>
      </c>
      <c r="AL100" s="11">
        <f>IFERROR(INDEX(Country_Context!$E$2:$E$63,MATCH($C100,Country_Context!$A$2:$A$63,0)),"")</f>
        <v/>
      </c>
      <c r="AM100" s="11">
        <f>IFERROR(INDEX(Country_Context!$F$2:$F$63,MATCH($C100,Country_Context!$A$2:$A$63,0)),"")</f>
        <v/>
      </c>
      <c r="AN100" s="11">
        <f>IFERROR(INDEX(Country_Context!$G$2:$G$63,MATCH($C100,Country_Context!$A$2:$A$63,0)),"")</f>
        <v/>
      </c>
      <c r="AO100" s="12" t="inlineStr"/>
      <c r="AP100" s="12" t="inlineStr"/>
      <c r="AQ100" s="12" t="inlineStr"/>
      <c r="AR100" s="12" t="inlineStr"/>
      <c r="AS100" s="12" t="inlineStr"/>
      <c r="AT100" s="12" t="inlineStr"/>
      <c r="AU100" s="12" t="inlineStr"/>
      <c r="AV100" s="12" t="inlineStr"/>
      <c r="AW100" s="12" t="inlineStr"/>
      <c r="AX100" s="12" t="inlineStr"/>
      <c r="AY100" s="12" t="inlineStr"/>
      <c r="AZ100" s="12" t="inlineStr"/>
      <c r="BA100" s="12" t="inlineStr"/>
      <c r="BB100" s="12" t="inlineStr"/>
      <c r="BC100" s="12" t="inlineStr"/>
      <c r="BD100" s="12" t="inlineStr"/>
      <c r="BE100" s="12" t="inlineStr"/>
      <c r="BF100" s="12" t="inlineStr"/>
      <c r="BG100" s="12" t="inlineStr"/>
      <c r="BH100" s="12" t="inlineStr"/>
    </row>
    <row r="101">
      <c r="A101" s="9" t="inlineStr">
        <is>
          <t>fj-suva</t>
        </is>
      </c>
      <c r="B101" s="9" t="inlineStr">
        <is>
          <t>Suva</t>
        </is>
      </c>
      <c r="C101" s="9" t="inlineStr">
        <is>
          <t>Fiji</t>
        </is>
      </c>
      <c r="D101" s="9" t="inlineStr">
        <is>
          <t>Oceania</t>
        </is>
      </c>
      <c r="E101" s="9" t="inlineStr">
        <is>
          <t>secondary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IF(OR($G101="",$H101="",$I101="",$J101="",$K101="",$L101="",$AL101="",$AM101=""),"",((($G101*(1-$AM101))-$H101-$I101-$J101-$K101-$L101)/$AL101))</f>
        <v/>
      </c>
      <c r="N101" s="10" t="inlineStr"/>
      <c r="O101" s="10" t="inlineStr"/>
      <c r="P101" s="11">
        <f>IF($O101&lt;&gt;"",$O101,$AN101)</f>
        <v/>
      </c>
      <c r="Q101" s="10" t="inlineStr"/>
      <c r="R101" s="10" t="inlineStr"/>
      <c r="S101" s="10" t="inlineStr"/>
      <c r="T101" s="10" t="inlineStr"/>
      <c r="U101" s="10" t="inlineStr"/>
      <c r="V101" s="10" t="inlineStr"/>
      <c r="W101" s="10" t="inlineStr"/>
      <c r="X101" s="10" t="inlineStr"/>
      <c r="Y101" s="10" t="inlineStr"/>
      <c r="Z101" s="10" t="inlineStr"/>
      <c r="AA101" s="10" t="inlineStr"/>
      <c r="AB101" s="10" t="inlineStr"/>
      <c r="AC101" s="10" t="inlineStr"/>
      <c r="AD101" s="10" t="inlineStr"/>
      <c r="AE101" s="10" t="inlineStr"/>
      <c r="AF101" s="10" t="inlineStr"/>
      <c r="AG101" s="10" t="inlineStr"/>
      <c r="AH101" s="10" t="inlineStr"/>
      <c r="AI101" s="11">
        <f>IFERROR(INDEX(Country_Context!$B$2:$B$63,MATCH($C101,Country_Context!$A$2:$A$63,0)),"")</f>
        <v/>
      </c>
      <c r="AJ101" s="11">
        <f>IFERROR(INDEX(Country_Context!$C$2:$C$63,MATCH($C101,Country_Context!$A$2:$A$63,0)),"")</f>
        <v/>
      </c>
      <c r="AK101" s="11">
        <f>IFERROR(INDEX(Country_Context!$D$2:$D$63,MATCH($C101,Country_Context!$A$2:$A$63,0)),"")</f>
        <v/>
      </c>
      <c r="AL101" s="11">
        <f>IFERROR(INDEX(Country_Context!$E$2:$E$63,MATCH($C101,Country_Context!$A$2:$A$63,0)),"")</f>
        <v/>
      </c>
      <c r="AM101" s="11">
        <f>IFERROR(INDEX(Country_Context!$F$2:$F$63,MATCH($C101,Country_Context!$A$2:$A$63,0)),"")</f>
        <v/>
      </c>
      <c r="AN101" s="11">
        <f>IFERROR(INDEX(Country_Context!$G$2:$G$63,MATCH($C101,Country_Context!$A$2:$A$63,0)),"")</f>
        <v/>
      </c>
      <c r="AO101" s="12" t="inlineStr"/>
      <c r="AP101" s="12" t="inlineStr"/>
      <c r="AQ101" s="12" t="inlineStr"/>
      <c r="AR101" s="12" t="inlineStr"/>
      <c r="AS101" s="12" t="inlineStr"/>
      <c r="AT101" s="12" t="inlineStr"/>
      <c r="AU101" s="12" t="inlineStr"/>
      <c r="AV101" s="12" t="inlineStr"/>
      <c r="AW101" s="12" t="inlineStr"/>
      <c r="AX101" s="12" t="inlineStr"/>
      <c r="AY101" s="12" t="inlineStr"/>
      <c r="AZ101" s="12" t="inlineStr"/>
      <c r="BA101" s="12" t="inlineStr"/>
      <c r="BB101" s="12" t="inlineStr"/>
      <c r="BC101" s="12" t="inlineStr"/>
      <c r="BD101" s="12" t="inlineStr"/>
      <c r="BE101" s="12" t="inlineStr"/>
      <c r="BF101" s="12" t="inlineStr"/>
      <c r="BG101" s="12" t="inlineStr"/>
      <c r="BH101" s="12" t="inlineStr"/>
    </row>
  </sheetData>
  <autoFilter ref="A1:BH1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IF(COUNT(City_Inputs!$M$2:$M$101)&gt;=2,PERCENTILE.INC(City_Inputs!$M$2:$M$101,0.05),"")</f>
        <v/>
      </c>
      <c r="G2" s="13">
        <f>IF(COUNT(City_Inputs!$M$2:$M$101)&gt;=2,PERCENTILE.INC(City_Inputs!$M$2:$M$101,0.95),"")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IF(COUNT(City_Inputs!$N$2:$N$101)&gt;=2,PERCENTILE.INC(City_Inputs!$N$2:$N$101,0.05),"")</f>
        <v/>
      </c>
      <c r="G3" s="13">
        <f>IF(COUNT(City_Inputs!$N$2:$N$101)&gt;=2,PERCENTILE.INC(City_Inputs!$N$2:$N$101,0.95),"")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IF(COUNT(City_Inputs!$P$2:$P$101)&gt;=2,PERCENTILE.INC(City_Inputs!$P$2:$P$101,0.05),"")</f>
        <v/>
      </c>
      <c r="G4" s="13">
        <f>IF(COUNT(City_Inputs!$P$2:$P$101)&gt;=2,PERCENTILE.INC(City_Inputs!$P$2:$P$101,0.95),"")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IF(COUNT(City_Inputs!$Q$2:$Q$101)&gt;=2,PERCENTILE.INC(City_Inputs!$Q$2:$Q$101,0.05),"")</f>
        <v/>
      </c>
      <c r="G5" s="13">
        <f>IF(COUNT(City_Inputs!$Q$2:$Q$101)&gt;=2,PERCENTILE.INC(City_Inputs!$Q$2:$Q$101,0.95),"")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IF(COUNT(City_Inputs!$R$2:$R$101)&gt;=2,PERCENTILE.INC(City_Inputs!$R$2:$R$101,0.05),"")</f>
        <v/>
      </c>
      <c r="G6" s="13">
        <f>IF(COUNT(City_Inputs!$R$2:$R$101)&gt;=2,PERCENTILE.INC(City_Inputs!$R$2:$R$101,0.95),"")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IF(COUNT(City_Inputs!$S$2:$S$101)&gt;=2,PERCENTILE.INC(City_Inputs!$S$2:$S$101,0.05),"")</f>
        <v/>
      </c>
      <c r="G7" s="13">
        <f>IF(COUNT(City_Inputs!$S$2:$S$101)&gt;=2,PERCENTILE.INC(City_Inputs!$S$2:$S$101,0.95),"")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IF(COUNT(City_Inputs!$T$2:$T$101)&gt;=2,PERCENTILE.INC(City_Inputs!$T$2:$T$101,0.05),"")</f>
        <v/>
      </c>
      <c r="G8" s="13">
        <f>IF(COUNT(City_Inputs!$T$2:$T$101)&gt;=2,PERCENTILE.INC(City_Inputs!$T$2:$T$101,0.95),"")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IF(COUNT(City_Inputs!$U$2:$U$101)&gt;=2,PERCENTILE.INC(City_Inputs!$U$2:$U$101,0.05),"")</f>
        <v/>
      </c>
      <c r="G9" s="13">
        <f>IF(COUNT(City_Inputs!$U$2:$U$101)&gt;=2,PERCENTILE.INC(City_Inputs!$U$2:$U$101,0.95),"")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IF(COUNT(City_Inputs!$V$2:$V$101)&gt;=2,PERCENTILE.INC(City_Inputs!$V$2:$V$101,0.05),"")</f>
        <v/>
      </c>
      <c r="G10" s="13">
        <f>IF(COUNT(City_Inputs!$V$2:$V$101)&gt;=2,PERCENTILE.INC(City_Inputs!$V$2:$V$101,0.95),"")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IF(COUNT(City_Inputs!$W$2:$W$101)&gt;=2,PERCENTILE.INC(City_Inputs!$W$2:$W$101,0.05),"")</f>
        <v/>
      </c>
      <c r="G11" s="13">
        <f>IF(COUNT(City_Inputs!$W$2:$W$101)&gt;=2,PERCENTILE.INC(City_Inputs!$W$2:$W$101,0.95),"")</f>
        <v/>
      </c>
      <c r="H11" t="inlineStr">
        <is>
          <t>Higher digital quality and affordability score better.</t>
        </is>
      </c>
    </row>
    <row r="12">
      <c r="A12" t="inlineStr">
        <is>
          <t>healthcare_quality_raw</t>
        </is>
      </c>
      <c r="B12" t="inlineStr">
        <is>
          <t>Healthcare quality raw</t>
        </is>
      </c>
      <c r="C12" t="inlineStr">
        <is>
          <t>healthcare_quality_raw</t>
        </is>
      </c>
      <c r="D12" t="inlineStr">
        <is>
          <t>positive</t>
        </is>
      </c>
      <c r="E12" t="n">
        <v>1</v>
      </c>
      <c r="F12" s="13">
        <f>IF(COUNT(City_Inputs!$X$2:$X$101)&gt;=2,PERCENTILE.INC(City_Inputs!$X$2:$X$101,0.05),"")</f>
        <v/>
      </c>
      <c r="G12" s="13">
        <f>IF(COUNT(City_Inputs!$X$2:$X$101)&gt;=2,PERCENTILE.INC(City_Inputs!$X$2:$X$101,0.95),"")</f>
        <v/>
      </c>
      <c r="H12" t="inlineStr">
        <is>
          <t>Higher effective-care quality scores better.</t>
        </is>
      </c>
    </row>
    <row r="13">
      <c r="A13" t="inlineStr">
        <is>
          <t>education_quality_raw</t>
        </is>
      </c>
      <c r="B13" t="inlineStr">
        <is>
          <t>Education quality raw</t>
        </is>
      </c>
      <c r="C13" t="inlineStr">
        <is>
          <t>education_quality_raw</t>
        </is>
      </c>
      <c r="D13" t="inlineStr">
        <is>
          <t>positive</t>
        </is>
      </c>
      <c r="E13" t="n">
        <v>1</v>
      </c>
      <c r="F13" s="13">
        <f>IF(COUNT(City_Inputs!$Y$2:$Y$101)&gt;=2,PERCENTILE.INC(City_Inputs!$Y$2:$Y$101,0.05),"")</f>
        <v/>
      </c>
      <c r="G13" s="13">
        <f>IF(COUNT(City_Inputs!$Y$2:$Y$101)&gt;=2,PERCENTILE.INC(City_Inputs!$Y$2:$Y$101,0.95),"")</f>
        <v/>
      </c>
      <c r="H13" t="inlineStr">
        <is>
          <t>Higher learning quality scores better.</t>
        </is>
      </c>
    </row>
    <row r="14">
      <c r="A14" t="inlineStr">
        <is>
          <t>equal_opportunity_raw</t>
        </is>
      </c>
      <c r="B14" t="inlineStr">
        <is>
          <t>Equal opportunity raw</t>
        </is>
      </c>
      <c r="C14" t="inlineStr">
        <is>
          <t>equal_opportunity_raw</t>
        </is>
      </c>
      <c r="D14" t="inlineStr">
        <is>
          <t>positive</t>
        </is>
      </c>
      <c r="E14" t="n">
        <v>0.7</v>
      </c>
      <c r="F14" s="13">
        <f>IF(COUNT(City_Inputs!$Z$2:$Z$101)&gt;=2,PERCENTILE.INC(City_Inputs!$Z$2:$Z$101,0.05),"")</f>
        <v/>
      </c>
      <c r="G14" s="13">
        <f>IF(COUNT(City_Inputs!$Z$2:$Z$101)&gt;=2,PERCENTILE.INC(City_Inputs!$Z$2:$Z$101,0.95),"")</f>
        <v/>
      </c>
      <c r="H14" t="inlineStr">
        <is>
          <t>Primary opportunity component.</t>
        </is>
      </c>
    </row>
    <row r="15">
      <c r="A15" t="inlineStr">
        <is>
          <t>gini_coefficient_context</t>
        </is>
      </c>
      <c r="B15" t="inlineStr">
        <is>
          <t>Gini coefficient context raw</t>
        </is>
      </c>
      <c r="C15" t="inlineStr">
        <is>
          <t>gini_coefficient_context</t>
        </is>
      </c>
      <c r="D15" t="inlineStr">
        <is>
          <t>negative</t>
        </is>
      </c>
      <c r="E15" t="n">
        <v>0.3</v>
      </c>
      <c r="F15" s="13">
        <f>IF(COUNT(City_Inputs!$AK$2:$AK$101)&gt;=2,PERCENTILE.INC(City_Inputs!$AK$2:$AK$101,0.05),"")</f>
        <v/>
      </c>
      <c r="G15" s="13">
        <f>IF(COUNT(City_Inputs!$AK$2:$AK$101)&gt;=2,PERCENTILE.INC(City_Inputs!$AK$2:$AK$101,0.95),"")</f>
        <v/>
      </c>
      <c r="H15" t="inlineStr">
        <is>
          <t>Country-context fairness component.</t>
        </is>
      </c>
    </row>
    <row r="16">
      <c r="A16" t="inlineStr">
        <is>
          <t>hospitality_belonging_raw</t>
        </is>
      </c>
      <c r="B16" t="inlineStr">
        <is>
          <t>Hospitality and belonging raw</t>
        </is>
      </c>
      <c r="C16" t="inlineStr">
        <is>
          <t>hospitality_belonging_raw</t>
        </is>
      </c>
      <c r="D16" t="inlineStr">
        <is>
          <t>positive</t>
        </is>
      </c>
      <c r="E16" t="n">
        <v>1</v>
      </c>
      <c r="F16" s="13">
        <f>IF(COUNT(City_Inputs!$AA$2:$AA$101)&gt;=2,PERCENTILE.INC(City_Inputs!$AA$2:$AA$101,0.05),"")</f>
        <v/>
      </c>
      <c r="G16" s="13">
        <f>IF(COUNT(City_Inputs!$AA$2:$AA$101)&gt;=2,PERCENTILE.INC(City_Inputs!$AA$2:$AA$101,0.95),"")</f>
        <v/>
      </c>
      <c r="H16" t="inlineStr">
        <is>
          <t>Higher civic warmth and belonging scores better.</t>
        </is>
      </c>
    </row>
    <row r="17">
      <c r="A17" t="inlineStr">
        <is>
          <t>tolerance_pluralism_raw</t>
        </is>
      </c>
      <c r="B17" t="inlineStr">
        <is>
          <t>Tolerance and pluralism raw</t>
        </is>
      </c>
      <c r="C17" t="inlineStr">
        <is>
          <t>tolerance_pluralism_raw</t>
        </is>
      </c>
      <c r="D17" t="inlineStr">
        <is>
          <t>positive</t>
        </is>
      </c>
      <c r="E17" t="n">
        <v>1</v>
      </c>
      <c r="F17" s="13">
        <f>IF(COUNT(City_Inputs!$AB$2:$AB$101)&gt;=2,PERCENTILE.INC(City_Inputs!$AB$2:$AB$101,0.05),"")</f>
        <v/>
      </c>
      <c r="G17" s="13">
        <f>IF(COUNT(City_Inputs!$AB$2:$AB$101)&gt;=2,PERCENTILE.INC(City_Inputs!$AB$2:$AB$101,0.95),"")</f>
        <v/>
      </c>
      <c r="H17" t="inlineStr">
        <is>
          <t>Higher coexistence and openness scores better.</t>
        </is>
      </c>
    </row>
    <row r="18">
      <c r="A18" t="inlineStr">
        <is>
          <t>cultural_public_life_raw</t>
        </is>
      </c>
      <c r="B18" t="inlineStr">
        <is>
          <t>Cultural, historic, and public-life vitality raw</t>
        </is>
      </c>
      <c r="C18" t="inlineStr">
        <is>
          <t>cultural_public_life_raw</t>
        </is>
      </c>
      <c r="D18" t="inlineStr">
        <is>
          <t>positive</t>
        </is>
      </c>
      <c r="E18" t="n">
        <v>1</v>
      </c>
      <c r="F18" s="13">
        <f>IF(COUNT(City_Inputs!$AC$2:$AC$101)&gt;=2,PERCENTILE.INC(City_Inputs!$AC$2:$AC$101,0.05),"")</f>
        <v/>
      </c>
      <c r="G18" s="13">
        <f>IF(COUNT(City_Inputs!$AC$2:$AC$101)&gt;=2,PERCENTILE.INC(City_Inputs!$AC$2:$AC$101,0.95),"")</f>
        <v/>
      </c>
      <c r="H18" t="inlineStr">
        <is>
          <t>Higher everyday cultural vitality scores better.</t>
        </is>
      </c>
    </row>
    <row r="19">
      <c r="A19" t="inlineStr">
        <is>
          <t>entrepreneurial_dynamism_raw</t>
        </is>
      </c>
      <c r="B19" t="inlineStr">
        <is>
          <t>Entrepreneurial dynamism raw</t>
        </is>
      </c>
      <c r="C19" t="inlineStr">
        <is>
          <t>entrepreneurial_dynamism_raw</t>
        </is>
      </c>
      <c r="D19" t="inlineStr">
        <is>
          <t>positive</t>
        </is>
      </c>
      <c r="E19" t="n">
        <v>1</v>
      </c>
      <c r="F19" s="13">
        <f>IF(COUNT(City_Inputs!$AD$2:$AD$101)&gt;=2,PERCENTILE.INC(City_Inputs!$AD$2:$AD$101,0.05),"")</f>
        <v/>
      </c>
      <c r="G19" s="13">
        <f>IF(COUNT(City_Inputs!$AD$2:$AD$101)&gt;=2,PERCENTILE.INC(City_Inputs!$AD$2:$AD$101,0.95),"")</f>
        <v/>
      </c>
      <c r="H19" t="inlineStr">
        <is>
          <t>Higher new-business dynamism scores better.</t>
        </is>
      </c>
    </row>
    <row r="20">
      <c r="A20" t="inlineStr">
        <is>
          <t>innovation_research_intensity_raw</t>
        </is>
      </c>
      <c r="B20" t="inlineStr">
        <is>
          <t>Innovation and research intensity raw</t>
        </is>
      </c>
      <c r="C20" t="inlineStr">
        <is>
          <t>innovation_research_intensity_raw</t>
        </is>
      </c>
      <c r="D20" t="inlineStr">
        <is>
          <t>positive</t>
        </is>
      </c>
      <c r="E20" t="n">
        <v>1</v>
      </c>
      <c r="F20" s="13">
        <f>IF(COUNT(City_Inputs!$AE$2:$AE$101)&gt;=2,PERCENTILE.INC(City_Inputs!$AE$2:$AE$101,0.05),"")</f>
        <v/>
      </c>
      <c r="G20" s="13">
        <f>IF(COUNT(City_Inputs!$AE$2:$AE$101)&gt;=2,PERCENTILE.INC(City_Inputs!$AE$2:$AE$101,0.95),"")</f>
        <v/>
      </c>
      <c r="H20" t="inlineStr">
        <is>
          <t>Higher research strength scores better.</t>
        </is>
      </c>
    </row>
    <row r="21">
      <c r="A21" t="inlineStr">
        <is>
          <t>investment_signal_raw</t>
        </is>
      </c>
      <c r="B21" t="inlineStr">
        <is>
          <t>Investment signal raw</t>
        </is>
      </c>
      <c r="C21" t="inlineStr">
        <is>
          <t>investment_signal_raw</t>
        </is>
      </c>
      <c r="D21" t="inlineStr">
        <is>
          <t>positive</t>
        </is>
      </c>
      <c r="E21" t="n">
        <v>0.5</v>
      </c>
      <c r="F21" s="13">
        <f>IF(COUNT(City_Inputs!$AF$2:$AF$101)&gt;=2,PERCENTILE.INC(City_Inputs!$AF$2:$AF$101,0.05),"")</f>
        <v/>
      </c>
      <c r="G21" s="13">
        <f>IF(COUNT(City_Inputs!$AF$2:$AF$101)&gt;=2,PERCENTILE.INC(City_Inputs!$AF$2:$AF$101,0.95),"")</f>
        <v/>
      </c>
      <c r="H21" t="inlineStr">
        <is>
          <t>Primary city-level productive-energy signal.</t>
        </is>
      </c>
    </row>
    <row r="22">
      <c r="A22" t="inlineStr">
        <is>
          <t>gdp_per_capita_ppp_context</t>
        </is>
      </c>
      <c r="B22" t="inlineStr">
        <is>
          <t>GDP per capita PPP context raw</t>
        </is>
      </c>
      <c r="C22" t="inlineStr">
        <is>
          <t>gdp_per_capita_ppp_context</t>
        </is>
      </c>
      <c r="D22" t="inlineStr">
        <is>
          <t>positive</t>
        </is>
      </c>
      <c r="E22" t="n">
        <v>0.3</v>
      </c>
      <c r="F22" s="13">
        <f>IF(COUNT(City_Inputs!$AI$2:$AI$101)&gt;=2,PERCENTILE.INC(City_Inputs!$AI$2:$AI$101,0.05),"")</f>
        <v/>
      </c>
      <c r="G22" s="13">
        <f>IF(COUNT(City_Inputs!$AI$2:$AI$101)&gt;=2,PERCENTILE.INC(City_Inputs!$AI$2:$AI$101,0.95),"")</f>
        <v/>
      </c>
      <c r="H22" t="inlineStr">
        <is>
          <t>Capped country macro context.</t>
        </is>
      </c>
    </row>
    <row r="23">
      <c r="A23" t="inlineStr">
        <is>
          <t>gdp_growth_context</t>
        </is>
      </c>
      <c r="B23" t="inlineStr">
        <is>
          <t>GDP growth context raw</t>
        </is>
      </c>
      <c r="C23" t="inlineStr">
        <is>
          <t>gdp_growth_context</t>
        </is>
      </c>
      <c r="D23" t="inlineStr">
        <is>
          <t>positive</t>
        </is>
      </c>
      <c r="E23" t="n">
        <v>0.2</v>
      </c>
      <c r="F23" s="13">
        <f>IF(COUNT(City_Inputs!$AJ$2:$AJ$101)&gt;=2,PERCENTILE.INC(City_Inputs!$AJ$2:$AJ$101,0.05),"")</f>
        <v/>
      </c>
      <c r="G23" s="13">
        <f>IF(COUNT(City_Inputs!$AJ$2:$AJ$101)&gt;=2,PERCENTILE.INC(City_Inputs!$AJ$2:$AJ$101,0.95),"")</f>
        <v/>
      </c>
      <c r="H23" t="inlineStr">
        <is>
          <t>Capped country momentum context.</t>
        </is>
      </c>
    </row>
    <row r="24">
      <c r="A24" t="inlineStr">
        <is>
          <t>administrative_investment_friction_raw</t>
        </is>
      </c>
      <c r="B24" t="inlineStr">
        <is>
          <t>Administrative and investment friction raw</t>
        </is>
      </c>
      <c r="C24" t="inlineStr">
        <is>
          <t>administrative_investment_friction_raw</t>
        </is>
      </c>
      <c r="D24" t="inlineStr">
        <is>
          <t>negative</t>
        </is>
      </c>
      <c r="E24" t="n">
        <v>1</v>
      </c>
      <c r="F24" s="13">
        <f>IF(COUNT(City_Inputs!$AG$2:$AG$101)&gt;=2,PERCENTILE.INC(City_Inputs!$AG$2:$AG$101,0.05),"")</f>
        <v/>
      </c>
      <c r="G24" s="13">
        <f>IF(COUNT(City_Inputs!$AG$2:$AG$101)&gt;=2,PERCENTILE.INC(City_Inputs!$AG$2:$AG$101,0.95),"")</f>
        <v/>
      </c>
      <c r="H24" t="inlineStr">
        <is>
          <t>Higher business friction scores worse.</t>
        </is>
      </c>
    </row>
  </sheetData>
  <autoFilter ref="A1:H2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6" customWidth="1" min="62" max="62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viability_pillar_score</t>
        </is>
      </c>
      <c r="AD1" s="6" t="inlineStr">
        <is>
          <t>viability_pillar_coverage</t>
        </is>
      </c>
      <c r="AE1" s="6" t="inlineStr">
        <is>
          <t>capability_healthcare_quality_score</t>
        </is>
      </c>
      <c r="AF1" s="6" t="inlineStr">
        <is>
          <t>capability_healthcare_quality_coverage</t>
        </is>
      </c>
      <c r="AG1" s="6" t="inlineStr">
        <is>
          <t>capability_education_quality_score</t>
        </is>
      </c>
      <c r="AH1" s="6" t="inlineStr">
        <is>
          <t>capability_education_quality_coverage</t>
        </is>
      </c>
      <c r="AI1" s="6" t="inlineStr">
        <is>
          <t>capability_equal_opportunity_distributional_fairness_score</t>
        </is>
      </c>
      <c r="AJ1" s="6" t="inlineStr">
        <is>
          <t>capability_equal_opportunity_distributional_fairness_coverage</t>
        </is>
      </c>
      <c r="AK1" s="6" t="inlineStr">
        <is>
          <t>capability_pillar_score</t>
        </is>
      </c>
      <c r="AL1" s="6" t="inlineStr">
        <is>
          <t>capability_pillar_coverage</t>
        </is>
      </c>
      <c r="AM1" s="6" t="inlineStr">
        <is>
          <t>community_hospitality_belonging_score</t>
        </is>
      </c>
      <c r="AN1" s="6" t="inlineStr">
        <is>
          <t>community_hospitality_belonging_coverage</t>
        </is>
      </c>
      <c r="AO1" s="6" t="inlineStr">
        <is>
          <t>community_tolerance_pluralism_score</t>
        </is>
      </c>
      <c r="AP1" s="6" t="inlineStr">
        <is>
          <t>community_tolerance_pluralism_coverage</t>
        </is>
      </c>
      <c r="AQ1" s="6" t="inlineStr">
        <is>
          <t>community_cultural_historic_public_life_vitality_score</t>
        </is>
      </c>
      <c r="AR1" s="6" t="inlineStr">
        <is>
          <t>community_cultural_historic_public_life_vitality_coverage</t>
        </is>
      </c>
      <c r="AS1" s="6" t="inlineStr">
        <is>
          <t>community_pillar_score</t>
        </is>
      </c>
      <c r="AT1" s="6" t="inlineStr">
        <is>
          <t>community_pillar_coverage</t>
        </is>
      </c>
      <c r="AU1" s="6" t="inlineStr">
        <is>
          <t>creative_entrepreneurial_dynamism_score</t>
        </is>
      </c>
      <c r="AV1" s="6" t="inlineStr">
        <is>
          <t>creative_entrepreneurial_dynamism_coverage</t>
        </is>
      </c>
      <c r="AW1" s="6" t="inlineStr">
        <is>
          <t>creative_innovation_research_intensity_score</t>
        </is>
      </c>
      <c r="AX1" s="6" t="inlineStr">
        <is>
          <t>creative_innovation_research_intensity_coverage</t>
        </is>
      </c>
      <c r="AY1" s="6" t="inlineStr">
        <is>
          <t>creative_economic_vitality_productive_context_score</t>
        </is>
      </c>
      <c r="AZ1" s="6" t="inlineStr">
        <is>
          <t>creative_economic_vitality_productive_context_coverage</t>
        </is>
      </c>
      <c r="BA1" s="6" t="inlineStr">
        <is>
          <t>creative_administrative_investment_friction_score</t>
        </is>
      </c>
      <c r="BB1" s="6" t="inlineStr">
        <is>
          <t>creative_administrative_investment_friction_coverage</t>
        </is>
      </c>
      <c r="BC1" s="6" t="inlineStr">
        <is>
          <t>creative_pillar_score</t>
        </is>
      </c>
      <c r="BD1" s="6" t="inlineStr">
        <is>
          <t>creative_pillar_coverage</t>
        </is>
      </c>
      <c r="BE1" s="6" t="inlineStr">
        <is>
          <t>overall_weighted_coverage</t>
        </is>
      </c>
      <c r="BF1" s="6" t="inlineStr">
        <is>
          <t>coverage_grade</t>
        </is>
      </c>
      <c r="BG1" s="6" t="inlineStr">
        <is>
          <t>ranking_status</t>
        </is>
      </c>
      <c r="BH1" s="6" t="inlineStr">
        <is>
          <t>slic_score</t>
        </is>
      </c>
      <c r="BI1" s="6" t="inlineStr">
        <is>
          <t>rank</t>
        </is>
      </c>
      <c r="BJ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IF((IF(G2="",0,9)+IF(I2="",0,5)+IF(K2="",0,4)+IF(M2="",0,4)+IF(O2="",0,3))=0,"",(IF(G2="",0,G2*9)+IF(I2="",0,I2*5)+IF(K2="",0,K2*4)+IF(M2="",0,M2*4)+IF(O2="",0,O2*3))/(IF(G2="",0,9)+IF(I2="",0,5)+IF(K2="",0,4)+IF(M2="",0,4)+IF(O2="",0,3)))</f>
        <v/>
      </c>
      <c r="R2" s="14">
        <f>IF((IF(H2="",0,9)+IF(J2="",0,5)+IF(L2="",0,4)+IF(N2="",0,4)+IF(P2="",0,3))=0,"",(IF(H2="",0,H2*9)+IF(J2="",0,J2*5)+IF(L2="",0,L2*4)+IF(N2="",0,N2*4)+IF(P2="",0,P2*3))/25)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5">
        <f>IF((IF(S2="",0,5)+IF(U2="",0,5)+IF(W2="",0,4)+IF(Y2="",0,4)+IF(AA2="",0,4))=0,"",(IF(S2="",0,S2*5)+IF(U2="",0,U2*5)+IF(W2="",0,W2*4)+IF(Y2="",0,Y2*4)+IF(AA2="",0,AA2*4))/(IF(S2="",0,5)+IF(U2="",0,5)+IF(W2="",0,4)+IF(Y2="",0,4)+IF(AA2="",0,4)))</f>
        <v/>
      </c>
      <c r="AD2" s="14">
        <f>IF((IF(T2="",0,5)+IF(V2="",0,5)+IF(X2="",0,4)+IF(Z2="",0,4)+IF(AB2="",0,4))=0,"",(IF(T2="",0,T2*5)+IF(V2="",0,V2*5)+IF(X2="",0,X2*4)+IF(Z2="",0,Z2*4)+IF(AB2="",0,AB2*4))/22)</f>
        <v/>
      </c>
      <c r="AE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F2" s="14">
        <f>IF(AE2="","",1)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(IF((IF(OR(City_Inputs!$Z2="",Norm_Stats!$F$14="",Norm_Stats!$G$14="",Norm_Stats!$G$14=Norm_Stats!$F$14),"",MAX(0,MIN(100,100*(MIN(MAX(City_Inputs!$Z2,Norm_Stats!$F$14),Norm_Stats!$G$14)-Norm_Stats!$F$14)/(Norm_Stats!$G$14-Norm_Stats!$F$14)))))="",0,0.7)+IF((IF(OR(City_Inputs!$AK2="",Norm_Stats!$F$15="",Norm_Stats!$G$15="",Norm_Stats!$G$15=Norm_Stats!$F$15),"",MAX(0,MIN(100,100*(Norm_Stats!$G$15-MIN(MAX(City_Inputs!$AK2,Norm_Stats!$F$15),Norm_Stats!$G$15))/(Norm_Stats!$G$15-Norm_Stats!$F$15)))))="",0,0.3))=0,"",(IF((IF(OR(City_Inputs!$Z2="",Norm_Stats!$F$14="",Norm_Stats!$G$14="",Norm_Stats!$G$14=Norm_Stats!$F$14),"",MAX(0,MIN(100,100*(MIN(MAX(City_Inputs!$Z2,Norm_Stats!$F$14),Norm_Stats!$G$14)-Norm_Stats!$F$14)/(Norm_Stats!$G$14-Norm_Stats!$F$14)))))="",0,(IF(OR(City_Inputs!$Z2="",Norm_Stats!$F$14="",Norm_Stats!$G$14="",Norm_Stats!$G$14=Norm_Stats!$F$14),"",MAX(0,MIN(100,100*(MIN(MAX(City_Inputs!$Z2,Norm_Stats!$F$14),Norm_Stats!$G$14)-Norm_Stats!$F$14)/(Norm_Stats!$G$14-Norm_Stats!$F$14)))))*0.7)+IF((IF(OR(City_Inputs!$AK2="",Norm_Stats!$F$15="",Norm_Stats!$G$15="",Norm_Stats!$G$15=Norm_Stats!$F$15),"",MAX(0,MIN(100,100*(Norm_Stats!$G$15-MIN(MAX(City_Inputs!$AK2,Norm_Stats!$F$15),Norm_Stats!$G$15))/(Norm_Stats!$G$15-Norm_Stats!$F$15)))))="",0,(IF(OR(City_Inputs!$AK2="",Norm_Stats!$F$15="",Norm_Stats!$G$15="",Norm_Stats!$G$15=Norm_Stats!$F$15),"",MAX(0,MIN(100,100*(Norm_Stats!$G$15-MIN(MAX(City_Inputs!$AK2,Norm_Stats!$F$15),Norm_Stats!$G$15))/(Norm_Stats!$G$15-Norm_Stats!$F$15)))))*0.3))/(IF((IF(OR(City_Inputs!$Z2="",Norm_Stats!$F$14="",Norm_Stats!$G$14="",Norm_Stats!$G$14=Norm_Stats!$F$14),"",MAX(0,MIN(100,100*(MIN(MAX(City_Inputs!$Z2,Norm_Stats!$F$14),Norm_Stats!$G$14)-Norm_Stats!$F$14)/(Norm_Stats!$G$14-Norm_Stats!$F$14)))))="",0,0.7)+IF((IF(OR(City_Inputs!$AK2="",Norm_Stats!$F$15="",Norm_Stats!$G$15="",Norm_Stats!$G$15=Norm_Stats!$F$15),"",MAX(0,MIN(100,100*(Norm_Stats!$G$15-MIN(MAX(City_Inputs!$AK2,Norm_Stats!$F$15),Norm_Stats!$G$15))/(Norm_Stats!$G$15-Norm_Stats!$F$15)))))="",0,0.3)))</f>
        <v/>
      </c>
      <c r="AJ2" s="14">
        <f>IF((IF((IF(OR(City_Inputs!$Z2="",Norm_Stats!$F$14="",Norm_Stats!$G$14="",Norm_Stats!$G$14=Norm_Stats!$F$14),"",MAX(0,MIN(100,100*(MIN(MAX(City_Inputs!$Z2,Norm_Stats!$F$14),Norm_Stats!$G$14)-Norm_Stats!$F$14)/(Norm_Stats!$G$14-Norm_Stats!$F$14)))))="",0,0.7)+IF((IF(OR(City_Inputs!$AK2="",Norm_Stats!$F$15="",Norm_Stats!$G$15="",Norm_Stats!$G$15=Norm_Stats!$F$15),"",MAX(0,MIN(100,100*(Norm_Stats!$G$15-MIN(MAX(City_Inputs!$AK2,Norm_Stats!$F$15),Norm_Stats!$G$15))/(Norm_Stats!$G$15-Norm_Stats!$F$15)))))="",0,0.3))=0,"",(IF((IF(OR(City_Inputs!$Z2="",Norm_Stats!$F$14="",Norm_Stats!$G$14="",Norm_Stats!$G$14=Norm_Stats!$F$14),"",MAX(0,MIN(100,100*(MIN(MAX(City_Inputs!$Z2,Norm_Stats!$F$14),Norm_Stats!$G$14)-Norm_Stats!$F$14)/(Norm_Stats!$G$14-Norm_Stats!$F$14)))))="",0,0.7)+IF((IF(OR(City_Inputs!$AK2="",Norm_Stats!$F$15="",Norm_Stats!$G$15="",Norm_Stats!$G$15=Norm_Stats!$F$15),"",MAX(0,MIN(100,100*(Norm_Stats!$G$15-MIN(MAX(City_Inputs!$AK2,Norm_Stats!$F$15),Norm_Stats!$G$15))/(Norm_Stats!$G$15-Norm_Stats!$F$15)))))="",0,0.3)))</f>
        <v/>
      </c>
      <c r="AK2" s="15">
        <f>IF((IF(AE2="",0,8)+IF(AG2="",0,6)+IF(AI2="",0,4))=0,"",(IF(AE2="",0,AE2*8)+IF(AG2="",0,AG2*6)+IF(AI2="",0,AI2*4))/(IF(AE2="",0,8)+IF(AG2="",0,6)+IF(AI2="",0,4)))</f>
        <v/>
      </c>
      <c r="AL2" s="14">
        <f>IF((IF(AF2="",0,8)+IF(AH2="",0,6)+IF(AJ2="",0,4))=0,"",(IF(AF2="",0,AF2*8)+IF(AH2="",0,AH2*6)+IF(AJ2="",0,AJ2*4))/18)</f>
        <v/>
      </c>
      <c r="AM2" s="11">
        <f>IF(OR(City_Inputs!$AA2="",Norm_Stats!$F$16="",Norm_Stats!$G$16="",Norm_Stats!$G$16=Norm_Stats!$F$16),"",MAX(0,MIN(100,100*(MIN(MAX(City_Inputs!$AA2,Norm_Stats!$F$16),Norm_Stats!$G$16)-Norm_Stats!$F$16)/(Norm_Stats!$G$16-Norm_Stats!$F$16))))</f>
        <v/>
      </c>
      <c r="AN2" s="14">
        <f>IF(AM2="","",1)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5">
        <f>IF((IF(AM2="",0,5)+IF(AO2="",0,5)+IF(AQ2="",0,5))=0,"",(IF(AM2="",0,AM2*5)+IF(AO2="",0,AO2*5)+IF(AQ2="",0,AQ2*5))/(IF(AM2="",0,5)+IF(AO2="",0,5)+IF(AQ2="",0,5)))</f>
        <v/>
      </c>
      <c r="AT2" s="14">
        <f>IF((IF(AN2="",0,5)+IF(AP2="",0,5)+IF(AR2="",0,5))=0,"",(IF(AN2="",0,AN2*5)+IF(AP2="",0,AP2*5)+IF(AR2="",0,AR2*5))/15)</f>
        <v/>
      </c>
      <c r="AU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V2" s="14">
        <f>IF(AU2="","",1)</f>
        <v/>
      </c>
      <c r="AW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X2" s="14">
        <f>IF(AW2="","",1)</f>
        <v/>
      </c>
      <c r="AY2" s="11">
        <f>IF((IF((IF(OR(City_Inputs!$AF2="",Norm_Stats!$F$21="",Norm_Stats!$G$21="",Norm_Stats!$G$21=Norm_Stats!$F$21),"",MAX(0,MIN(100,100*(MIN(MAX(City_Inputs!$AF2,Norm_Stats!$F$21),Norm_Stats!$G$21)-Norm_Stats!$F$21)/(Norm_Stats!$G$21-Norm_Stats!$F$21)))))="",0,0.5)+IF((IF(OR(City_Inputs!$AI2="",Norm_Stats!$F$22="",Norm_Stats!$G$22="",Norm_Stats!$G$22=Norm_Stats!$F$22),"",MAX(0,MIN(100,100*(MIN(MAX(City_Inputs!$AI2,Norm_Stats!$F$22),Norm_Stats!$G$22)-Norm_Stats!$F$22)/(Norm_Stats!$G$22-Norm_Stats!$F$22)))))="",0,0.3)+IF((IF(OR(City_Inputs!$AJ2="",Norm_Stats!$F$23="",Norm_Stats!$G$23="",Norm_Stats!$G$23=Norm_Stats!$F$23),"",MAX(0,MIN(100,100*(MIN(MAX(City_Inputs!$AJ2,Norm_Stats!$F$23),Norm_Stats!$G$23)-Norm_Stats!$F$23)/(Norm_Stats!$G$23-Norm_Stats!$F$23)))))="",0,0.2))=0,"",(IF((IF(OR(City_Inputs!$AF2="",Norm_Stats!$F$21="",Norm_Stats!$G$21="",Norm_Stats!$G$21=Norm_Stats!$F$21),"",MAX(0,MIN(100,100*(MIN(MAX(City_Inputs!$AF2,Norm_Stats!$F$21),Norm_Stats!$G$21)-Norm_Stats!$F$21)/(Norm_Stats!$G$21-Norm_Stats!$F$21)))))="",0,(IF(OR(City_Inputs!$AF2="",Norm_Stats!$F$21="",Norm_Stats!$G$21="",Norm_Stats!$G$21=Norm_Stats!$F$21),"",MAX(0,MIN(100,100*(MIN(MAX(City_Inputs!$AF2,Norm_Stats!$F$21),Norm_Stats!$G$21)-Norm_Stats!$F$21)/(Norm_Stats!$G$21-Norm_Stats!$F$21)))))*0.5)+IF((IF(OR(City_Inputs!$AI2="",Norm_Stats!$F$22="",Norm_Stats!$G$22="",Norm_Stats!$G$22=Norm_Stats!$F$22),"",MAX(0,MIN(100,100*(MIN(MAX(City_Inputs!$AI2,Norm_Stats!$F$22),Norm_Stats!$G$22)-Norm_Stats!$F$22)/(Norm_Stats!$G$22-Norm_Stats!$F$22)))))="",0,(IF(OR(City_Inputs!$AI2="",Norm_Stats!$F$22="",Norm_Stats!$G$22="",Norm_Stats!$G$22=Norm_Stats!$F$22),"",MAX(0,MIN(100,100*(MIN(MAX(City_Inputs!$AI2,Norm_Stats!$F$22),Norm_Stats!$G$22)-Norm_Stats!$F$22)/(Norm_Stats!$G$22-Norm_Stats!$F$22)))))*0.3)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0.2))/(IF((IF(OR(City_Inputs!$AF2="",Norm_Stats!$F$21="",Norm_Stats!$G$21="",Norm_Stats!$G$21=Norm_Stats!$F$21),"",MAX(0,MIN(100,100*(MIN(MAX(City_Inputs!$AF2,Norm_Stats!$F$21),Norm_Stats!$G$21)-Norm_Stats!$F$21)/(Norm_Stats!$G$21-Norm_Stats!$F$21)))))="",0,0.5)+IF((IF(OR(City_Inputs!$AI2="",Norm_Stats!$F$22="",Norm_Stats!$G$22="",Norm_Stats!$G$22=Norm_Stats!$F$22),"",MAX(0,MIN(100,100*(MIN(MAX(City_Inputs!$AI2,Norm_Stats!$F$22),Norm_Stats!$G$22)-Norm_Stats!$F$22)/(Norm_Stats!$G$22-Norm_Stats!$F$22)))))="",0,0.3)+IF((IF(OR(City_Inputs!$AJ2="",Norm_Stats!$F$23="",Norm_Stats!$G$23="",Norm_Stats!$G$23=Norm_Stats!$F$23),"",MAX(0,MIN(100,100*(MIN(MAX(City_Inputs!$AJ2,Norm_Stats!$F$23),Norm_Stats!$G$23)-Norm_Stats!$F$23)/(Norm_Stats!$G$23-Norm_Stats!$F$23)))))="",0,0.2)))</f>
        <v/>
      </c>
      <c r="AZ2" s="14">
        <f>IF((IF((IF(OR(City_Inputs!$AF2="",Norm_Stats!$F$21="",Norm_Stats!$G$21="",Norm_Stats!$G$21=Norm_Stats!$F$21),"",MAX(0,MIN(100,100*(MIN(MAX(City_Inputs!$AF2,Norm_Stats!$F$21),Norm_Stats!$G$21)-Norm_Stats!$F$21)/(Norm_Stats!$G$21-Norm_Stats!$F$21)))))="",0,0.5)+IF((IF(OR(City_Inputs!$AI2="",Norm_Stats!$F$22="",Norm_Stats!$G$22="",Norm_Stats!$G$22=Norm_Stats!$F$22),"",MAX(0,MIN(100,100*(MIN(MAX(City_Inputs!$AI2,Norm_Stats!$F$22),Norm_Stats!$G$22)-Norm_Stats!$F$22)/(Norm_Stats!$G$22-Norm_Stats!$F$22)))))="",0,0.3)+IF((IF(OR(City_Inputs!$AJ2="",Norm_Stats!$F$23="",Norm_Stats!$G$23="",Norm_Stats!$G$23=Norm_Stats!$F$23),"",MAX(0,MIN(100,100*(MIN(MAX(City_Inputs!$AJ2,Norm_Stats!$F$23),Norm_Stats!$G$23)-Norm_Stats!$F$23)/(Norm_Stats!$G$23-Norm_Stats!$F$23)))))="",0,0.2))=0,"",(IF((IF(OR(City_Inputs!$AF2="",Norm_Stats!$F$21="",Norm_Stats!$G$21="",Norm_Stats!$G$21=Norm_Stats!$F$21),"",MAX(0,MIN(100,100*(MIN(MAX(City_Inputs!$AF2,Norm_Stats!$F$21),Norm_Stats!$G$21)-Norm_Stats!$F$21)/(Norm_Stats!$G$21-Norm_Stats!$F$21)))))="",0,0.5)+IF((IF(OR(City_Inputs!$AI2="",Norm_Stats!$F$22="",Norm_Stats!$G$22="",Norm_Stats!$G$22=Norm_Stats!$F$22),"",MAX(0,MIN(100,100*(MIN(MAX(City_Inputs!$AI2,Norm_Stats!$F$22),Norm_Stats!$G$22)-Norm_Stats!$F$22)/(Norm_Stats!$G$22-Norm_Stats!$F$22)))))="",0,0.3)+IF((IF(OR(City_Inputs!$AJ2="",Norm_Stats!$F$23="",Norm_Stats!$G$23="",Norm_Stats!$G$23=Norm_Stats!$F$23),"",MAX(0,MIN(100,100*(MIN(MAX(City_Inputs!$AJ2,Norm_Stats!$F$23),Norm_Stats!$G$23)-Norm_Stats!$F$23)/(Norm_Stats!$G$23-Norm_Stats!$F$23)))))="",0,0.2)))</f>
        <v/>
      </c>
      <c r="BA2" s="11">
        <f>IF(OR(City_Inputs!$AG2="",Norm_Stats!$F$24="",Norm_Stats!$G$24="",Norm_Stats!$G$24=Norm_Stats!$F$24),"",MAX(0,MIN(100,100*(Norm_Stats!$G$24-MIN(MAX(City_Inputs!$AG2,Norm_Stats!$F$24),Norm_Stats!$G$24))/(Norm_Stats!$G$24-Norm_Stats!$F$24))))</f>
        <v/>
      </c>
      <c r="BB2" s="14">
        <f>IF(BA2="","",1)</f>
        <v/>
      </c>
      <c r="BC2" s="15">
        <f>IF((IF(AU2="",0,6)+IF(AW2="",0,5)+IF(AY2="",0,5)+IF(BA2="",0,4))=0,"",(IF(AU2="",0,AU2*6)+IF(AW2="",0,AW2*5)+IF(AY2="",0,AY2*5)+IF(BA2="",0,BA2*4))/(IF(AU2="",0,6)+IF(AW2="",0,5)+IF(AY2="",0,5)+IF(BA2="",0,4)))</f>
        <v/>
      </c>
      <c r="BD2" s="14">
        <f>IF((IF(AV2="",0,6)+IF(AX2="",0,5)+IF(AZ2="",0,5)+IF(BB2="",0,4))=0,"",(IF(AV2="",0,AV2*6)+IF(AX2="",0,AX2*5)+IF(AZ2="",0,AZ2*5)+IF(BB2="",0,BB2*4))/20)</f>
        <v/>
      </c>
      <c r="BE2" s="14">
        <f>IF(AND(R2="",AD2="",AL2="",AT2="",BD2=""),"",((R2*25)+(AD2*22)+(AL2*18)+(AT2*15)+(BD2*20))/100)</f>
        <v/>
      </c>
      <c r="BF2" s="11">
        <f>IF(BE2="","",IF(BE2&gt;=0.75,"A",IF(BE2&gt;=0.5,"B",IF(BE2&gt;=0.35,"C","Watchlist"))))</f>
        <v/>
      </c>
      <c r="BG2" s="11">
        <f>IF(OR(BE2="",BE2&lt;0.5,R2="",R2&lt;0.35,AD2="",AD2&lt;0.35,AL2="",AL2&lt;0.35,AT2="",AT2&lt;0.35,BD2="",BD2&lt;0.35),"Watchlist","Ranked")</f>
        <v/>
      </c>
      <c r="BH2" s="15">
        <f>IF(AND(Q2="",AC2="",AK2="",AS2="",BC2=""),"",(IF(Q2="",0,Q2*25)+IF(AC2="",0,AC2*22)+IF(AK2="",0,AK2*18)+IF(AS2="",0,AS2*15)+IF(BC2="",0,BC2*20))/(IF(Q2="",0,25)+IF(AC2="",0,22)+IF(AK2="",0,18)+IF(AS2="",0,15)+IF(BC2="",0,20)))</f>
        <v/>
      </c>
      <c r="BI2" s="11">
        <f>IF(BG2="Ranked",1+COUNTIFS($BG$2:$BG$101,"Ranked",$BH$2:$BH$101,"&gt;"&amp;BH2),"")</f>
        <v/>
      </c>
      <c r="BJ2" s="11">
        <f>City_Inputs!$AH2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IF((IF(G3="",0,9)+IF(I3="",0,5)+IF(K3="",0,4)+IF(M3="",0,4)+IF(O3="",0,3))=0,"",(IF(G3="",0,G3*9)+IF(I3="",0,I3*5)+IF(K3="",0,K3*4)+IF(M3="",0,M3*4)+IF(O3="",0,O3*3))/(IF(G3="",0,9)+IF(I3="",0,5)+IF(K3="",0,4)+IF(M3="",0,4)+IF(O3="",0,3)))</f>
        <v/>
      </c>
      <c r="R3" s="14">
        <f>IF((IF(H3="",0,9)+IF(J3="",0,5)+IF(L3="",0,4)+IF(N3="",0,4)+IF(P3="",0,3))=0,"",(IF(H3="",0,H3*9)+IF(J3="",0,J3*5)+IF(L3="",0,L3*4)+IF(N3="",0,N3*4)+IF(P3="",0,P3*3))/25)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5">
        <f>IF((IF(S3="",0,5)+IF(U3="",0,5)+IF(W3="",0,4)+IF(Y3="",0,4)+IF(AA3="",0,4))=0,"",(IF(S3="",0,S3*5)+IF(U3="",0,U3*5)+IF(W3="",0,W3*4)+IF(Y3="",0,Y3*4)+IF(AA3="",0,AA3*4))/(IF(S3="",0,5)+IF(U3="",0,5)+IF(W3="",0,4)+IF(Y3="",0,4)+IF(AA3="",0,4)))</f>
        <v/>
      </c>
      <c r="AD3" s="14">
        <f>IF((IF(T3="",0,5)+IF(V3="",0,5)+IF(X3="",0,4)+IF(Z3="",0,4)+IF(AB3="",0,4))=0,"",(IF(T3="",0,T3*5)+IF(V3="",0,V3*5)+IF(X3="",0,X3*4)+IF(Z3="",0,Z3*4)+IF(AB3="",0,AB3*4))/22)</f>
        <v/>
      </c>
      <c r="AE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F3" s="14">
        <f>IF(AE3="","",1)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(IF((IF(OR(City_Inputs!$Z3="",Norm_Stats!$F$14="",Norm_Stats!$G$14="",Norm_Stats!$G$14=Norm_Stats!$F$14),"",MAX(0,MIN(100,100*(MIN(MAX(City_Inputs!$Z3,Norm_Stats!$F$14),Norm_Stats!$G$14)-Norm_Stats!$F$14)/(Norm_Stats!$G$14-Norm_Stats!$F$14)))))="",0,0.7)+IF((IF(OR(City_Inputs!$AK3="",Norm_Stats!$F$15="",Norm_Stats!$G$15="",Norm_Stats!$G$15=Norm_Stats!$F$15),"",MAX(0,MIN(100,100*(Norm_Stats!$G$15-MIN(MAX(City_Inputs!$AK3,Norm_Stats!$F$15),Norm_Stats!$G$15))/(Norm_Stats!$G$15-Norm_Stats!$F$15)))))="",0,0.3))=0,"",(IF((IF(OR(City_Inputs!$Z3="",Norm_Stats!$F$14="",Norm_Stats!$G$14="",Norm_Stats!$G$14=Norm_Stats!$F$14),"",MAX(0,MIN(100,100*(MIN(MAX(City_Inputs!$Z3,Norm_Stats!$F$14),Norm_Stats!$G$14)-Norm_Stats!$F$14)/(Norm_Stats!$G$14-Norm_Stats!$F$14)))))="",0,(IF(OR(City_Inputs!$Z3="",Norm_Stats!$F$14="",Norm_Stats!$G$14="",Norm_Stats!$G$14=Norm_Stats!$F$14),"",MAX(0,MIN(100,100*(MIN(MAX(City_Inputs!$Z3,Norm_Stats!$F$14),Norm_Stats!$G$14)-Norm_Stats!$F$14)/(Norm_Stats!$G$14-Norm_Stats!$F$14)))))*0.7)+IF((IF(OR(City_Inputs!$AK3="",Norm_Stats!$F$15="",Norm_Stats!$G$15="",Norm_Stats!$G$15=Norm_Stats!$F$15),"",MAX(0,MIN(100,100*(Norm_Stats!$G$15-MIN(MAX(City_Inputs!$AK3,Norm_Stats!$F$15),Norm_Stats!$G$15))/(Norm_Stats!$G$15-Norm_Stats!$F$15)))))="",0,(IF(OR(City_Inputs!$AK3="",Norm_Stats!$F$15="",Norm_Stats!$G$15="",Norm_Stats!$G$15=Norm_Stats!$F$15),"",MAX(0,MIN(100,100*(Norm_Stats!$G$15-MIN(MAX(City_Inputs!$AK3,Norm_Stats!$F$15),Norm_Stats!$G$15))/(Norm_Stats!$G$15-Norm_Stats!$F$15)))))*0.3))/(IF((IF(OR(City_Inputs!$Z3="",Norm_Stats!$F$14="",Norm_Stats!$G$14="",Norm_Stats!$G$14=Norm_Stats!$F$14),"",MAX(0,MIN(100,100*(MIN(MAX(City_Inputs!$Z3,Norm_Stats!$F$14),Norm_Stats!$G$14)-Norm_Stats!$F$14)/(Norm_Stats!$G$14-Norm_Stats!$F$14)))))="",0,0.7)+IF((IF(OR(City_Inputs!$AK3="",Norm_Stats!$F$15="",Norm_Stats!$G$15="",Norm_Stats!$G$15=Norm_Stats!$F$15),"",MAX(0,MIN(100,100*(Norm_Stats!$G$15-MIN(MAX(City_Inputs!$AK3,Norm_Stats!$F$15),Norm_Stats!$G$15))/(Norm_Stats!$G$15-Norm_Stats!$F$15)))))="",0,0.3)))</f>
        <v/>
      </c>
      <c r="AJ3" s="14">
        <f>IF((IF((IF(OR(City_Inputs!$Z3="",Norm_Stats!$F$14="",Norm_Stats!$G$14="",Norm_Stats!$G$14=Norm_Stats!$F$14),"",MAX(0,MIN(100,100*(MIN(MAX(City_Inputs!$Z3,Norm_Stats!$F$14),Norm_Stats!$G$14)-Norm_Stats!$F$14)/(Norm_Stats!$G$14-Norm_Stats!$F$14)))))="",0,0.7)+IF((IF(OR(City_Inputs!$AK3="",Norm_Stats!$F$15="",Norm_Stats!$G$15="",Norm_Stats!$G$15=Norm_Stats!$F$15),"",MAX(0,MIN(100,100*(Norm_Stats!$G$15-MIN(MAX(City_Inputs!$AK3,Norm_Stats!$F$15),Norm_Stats!$G$15))/(Norm_Stats!$G$15-Norm_Stats!$F$15)))))="",0,0.3))=0,"",(IF((IF(OR(City_Inputs!$Z3="",Norm_Stats!$F$14="",Norm_Stats!$G$14="",Norm_Stats!$G$14=Norm_Stats!$F$14),"",MAX(0,MIN(100,100*(MIN(MAX(City_Inputs!$Z3,Norm_Stats!$F$14),Norm_Stats!$G$14)-Norm_Stats!$F$14)/(Norm_Stats!$G$14-Norm_Stats!$F$14)))))="",0,0.7)+IF((IF(OR(City_Inputs!$AK3="",Norm_Stats!$F$15="",Norm_Stats!$G$15="",Norm_Stats!$G$15=Norm_Stats!$F$15),"",MAX(0,MIN(100,100*(Norm_Stats!$G$15-MIN(MAX(City_Inputs!$AK3,Norm_Stats!$F$15),Norm_Stats!$G$15))/(Norm_Stats!$G$15-Norm_Stats!$F$15)))))="",0,0.3)))</f>
        <v/>
      </c>
      <c r="AK3" s="15">
        <f>IF((IF(AE3="",0,8)+IF(AG3="",0,6)+IF(AI3="",0,4))=0,"",(IF(AE3="",0,AE3*8)+IF(AG3="",0,AG3*6)+IF(AI3="",0,AI3*4))/(IF(AE3="",0,8)+IF(AG3="",0,6)+IF(AI3="",0,4)))</f>
        <v/>
      </c>
      <c r="AL3" s="14">
        <f>IF((IF(AF3="",0,8)+IF(AH3="",0,6)+IF(AJ3="",0,4))=0,"",(IF(AF3="",0,AF3*8)+IF(AH3="",0,AH3*6)+IF(AJ3="",0,AJ3*4))/18)</f>
        <v/>
      </c>
      <c r="AM3" s="11">
        <f>IF(OR(City_Inputs!$AA3="",Norm_Stats!$F$16="",Norm_Stats!$G$16="",Norm_Stats!$G$16=Norm_Stats!$F$16),"",MAX(0,MIN(100,100*(MIN(MAX(City_Inputs!$AA3,Norm_Stats!$F$16),Norm_Stats!$G$16)-Norm_Stats!$F$16)/(Norm_Stats!$G$16-Norm_Stats!$F$16))))</f>
        <v/>
      </c>
      <c r="AN3" s="14">
        <f>IF(AM3="","",1)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5">
        <f>IF((IF(AM3="",0,5)+IF(AO3="",0,5)+IF(AQ3="",0,5))=0,"",(IF(AM3="",0,AM3*5)+IF(AO3="",0,AO3*5)+IF(AQ3="",0,AQ3*5))/(IF(AM3="",0,5)+IF(AO3="",0,5)+IF(AQ3="",0,5)))</f>
        <v/>
      </c>
      <c r="AT3" s="14">
        <f>IF((IF(AN3="",0,5)+IF(AP3="",0,5)+IF(AR3="",0,5))=0,"",(IF(AN3="",0,AN3*5)+IF(AP3="",0,AP3*5)+IF(AR3="",0,AR3*5))/15)</f>
        <v/>
      </c>
      <c r="AU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V3" s="14">
        <f>IF(AU3="","",1)</f>
        <v/>
      </c>
      <c r="AW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X3" s="14">
        <f>IF(AW3="","",1)</f>
        <v/>
      </c>
      <c r="AY3" s="11">
        <f>IF((IF((IF(OR(City_Inputs!$AF3="",Norm_Stats!$F$21="",Norm_Stats!$G$21="",Norm_Stats!$G$21=Norm_Stats!$F$21),"",MAX(0,MIN(100,100*(MIN(MAX(City_Inputs!$AF3,Norm_Stats!$F$21),Norm_Stats!$G$21)-Norm_Stats!$F$21)/(Norm_Stats!$G$21-Norm_Stats!$F$21)))))="",0,0.5)+IF((IF(OR(City_Inputs!$AI3="",Norm_Stats!$F$22="",Norm_Stats!$G$22="",Norm_Stats!$G$22=Norm_Stats!$F$22),"",MAX(0,MIN(100,100*(MIN(MAX(City_Inputs!$AI3,Norm_Stats!$F$22),Norm_Stats!$G$22)-Norm_Stats!$F$22)/(Norm_Stats!$G$22-Norm_Stats!$F$22)))))="",0,0.3)+IF((IF(OR(City_Inputs!$AJ3="",Norm_Stats!$F$23="",Norm_Stats!$G$23="",Norm_Stats!$G$23=Norm_Stats!$F$23),"",MAX(0,MIN(100,100*(MIN(MAX(City_Inputs!$AJ3,Norm_Stats!$F$23),Norm_Stats!$G$23)-Norm_Stats!$F$23)/(Norm_Stats!$G$23-Norm_Stats!$F$23)))))="",0,0.2))=0,"",(IF((IF(OR(City_Inputs!$AF3="",Norm_Stats!$F$21="",Norm_Stats!$G$21="",Norm_Stats!$G$21=Norm_Stats!$F$21),"",MAX(0,MIN(100,100*(MIN(MAX(City_Inputs!$AF3,Norm_Stats!$F$21),Norm_Stats!$G$21)-Norm_Stats!$F$21)/(Norm_Stats!$G$21-Norm_Stats!$F$21)))))="",0,(IF(OR(City_Inputs!$AF3="",Norm_Stats!$F$21="",Norm_Stats!$G$21="",Norm_Stats!$G$21=Norm_Stats!$F$21),"",MAX(0,MIN(100,100*(MIN(MAX(City_Inputs!$AF3,Norm_Stats!$F$21),Norm_Stats!$G$21)-Norm_Stats!$F$21)/(Norm_Stats!$G$21-Norm_Stats!$F$21)))))*0.5)+IF((IF(OR(City_Inputs!$AI3="",Norm_Stats!$F$22="",Norm_Stats!$G$22="",Norm_Stats!$G$22=Norm_Stats!$F$22),"",MAX(0,MIN(100,100*(MIN(MAX(City_Inputs!$AI3,Norm_Stats!$F$22),Norm_Stats!$G$22)-Norm_Stats!$F$22)/(Norm_Stats!$G$22-Norm_Stats!$F$22)))))="",0,(IF(OR(City_Inputs!$AI3="",Norm_Stats!$F$22="",Norm_Stats!$G$22="",Norm_Stats!$G$22=Norm_Stats!$F$22),"",MAX(0,MIN(100,100*(MIN(MAX(City_Inputs!$AI3,Norm_Stats!$F$22),Norm_Stats!$G$22)-Norm_Stats!$F$22)/(Norm_Stats!$G$22-Norm_Stats!$F$22)))))*0.3)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0.2))/(IF((IF(OR(City_Inputs!$AF3="",Norm_Stats!$F$21="",Norm_Stats!$G$21="",Norm_Stats!$G$21=Norm_Stats!$F$21),"",MAX(0,MIN(100,100*(MIN(MAX(City_Inputs!$AF3,Norm_Stats!$F$21),Norm_Stats!$G$21)-Norm_Stats!$F$21)/(Norm_Stats!$G$21-Norm_Stats!$F$21)))))="",0,0.5)+IF((IF(OR(City_Inputs!$AI3="",Norm_Stats!$F$22="",Norm_Stats!$G$22="",Norm_Stats!$G$22=Norm_Stats!$F$22),"",MAX(0,MIN(100,100*(MIN(MAX(City_Inputs!$AI3,Norm_Stats!$F$22),Norm_Stats!$G$22)-Norm_Stats!$F$22)/(Norm_Stats!$G$22-Norm_Stats!$F$22)))))="",0,0.3)+IF((IF(OR(City_Inputs!$AJ3="",Norm_Stats!$F$23="",Norm_Stats!$G$23="",Norm_Stats!$G$23=Norm_Stats!$F$23),"",MAX(0,MIN(100,100*(MIN(MAX(City_Inputs!$AJ3,Norm_Stats!$F$23),Norm_Stats!$G$23)-Norm_Stats!$F$23)/(Norm_Stats!$G$23-Norm_Stats!$F$23)))))="",0,0.2)))</f>
        <v/>
      </c>
      <c r="AZ3" s="14">
        <f>IF((IF((IF(OR(City_Inputs!$AF3="",Norm_Stats!$F$21="",Norm_Stats!$G$21="",Norm_Stats!$G$21=Norm_Stats!$F$21),"",MAX(0,MIN(100,100*(MIN(MAX(City_Inputs!$AF3,Norm_Stats!$F$21),Norm_Stats!$G$21)-Norm_Stats!$F$21)/(Norm_Stats!$G$21-Norm_Stats!$F$21)))))="",0,0.5)+IF((IF(OR(City_Inputs!$AI3="",Norm_Stats!$F$22="",Norm_Stats!$G$22="",Norm_Stats!$G$22=Norm_Stats!$F$22),"",MAX(0,MIN(100,100*(MIN(MAX(City_Inputs!$AI3,Norm_Stats!$F$22),Norm_Stats!$G$22)-Norm_Stats!$F$22)/(Norm_Stats!$G$22-Norm_Stats!$F$22)))))="",0,0.3)+IF((IF(OR(City_Inputs!$AJ3="",Norm_Stats!$F$23="",Norm_Stats!$G$23="",Norm_Stats!$G$23=Norm_Stats!$F$23),"",MAX(0,MIN(100,100*(MIN(MAX(City_Inputs!$AJ3,Norm_Stats!$F$23),Norm_Stats!$G$23)-Norm_Stats!$F$23)/(Norm_Stats!$G$23-Norm_Stats!$F$23)))))="",0,0.2))=0,"",(IF((IF(OR(City_Inputs!$AF3="",Norm_Stats!$F$21="",Norm_Stats!$G$21="",Norm_Stats!$G$21=Norm_Stats!$F$21),"",MAX(0,MIN(100,100*(MIN(MAX(City_Inputs!$AF3,Norm_Stats!$F$21),Norm_Stats!$G$21)-Norm_Stats!$F$21)/(Norm_Stats!$G$21-Norm_Stats!$F$21)))))="",0,0.5)+IF((IF(OR(City_Inputs!$AI3="",Norm_Stats!$F$22="",Norm_Stats!$G$22="",Norm_Stats!$G$22=Norm_Stats!$F$22),"",MAX(0,MIN(100,100*(MIN(MAX(City_Inputs!$AI3,Norm_Stats!$F$22),Norm_Stats!$G$22)-Norm_Stats!$F$22)/(Norm_Stats!$G$22-Norm_Stats!$F$22)))))="",0,0.3)+IF((IF(OR(City_Inputs!$AJ3="",Norm_Stats!$F$23="",Norm_Stats!$G$23="",Norm_Stats!$G$23=Norm_Stats!$F$23),"",MAX(0,MIN(100,100*(MIN(MAX(City_Inputs!$AJ3,Norm_Stats!$F$23),Norm_Stats!$G$23)-Norm_Stats!$F$23)/(Norm_Stats!$G$23-Norm_Stats!$F$23)))))="",0,0.2)))</f>
        <v/>
      </c>
      <c r="BA3" s="11">
        <f>IF(OR(City_Inputs!$AG3="",Norm_Stats!$F$24="",Norm_Stats!$G$24="",Norm_Stats!$G$24=Norm_Stats!$F$24),"",MAX(0,MIN(100,100*(Norm_Stats!$G$24-MIN(MAX(City_Inputs!$AG3,Norm_Stats!$F$24),Norm_Stats!$G$24))/(Norm_Stats!$G$24-Norm_Stats!$F$24))))</f>
        <v/>
      </c>
      <c r="BB3" s="14">
        <f>IF(BA3="","",1)</f>
        <v/>
      </c>
      <c r="BC3" s="15">
        <f>IF((IF(AU3="",0,6)+IF(AW3="",0,5)+IF(AY3="",0,5)+IF(BA3="",0,4))=0,"",(IF(AU3="",0,AU3*6)+IF(AW3="",0,AW3*5)+IF(AY3="",0,AY3*5)+IF(BA3="",0,BA3*4))/(IF(AU3="",0,6)+IF(AW3="",0,5)+IF(AY3="",0,5)+IF(BA3="",0,4)))</f>
        <v/>
      </c>
      <c r="BD3" s="14">
        <f>IF((IF(AV3="",0,6)+IF(AX3="",0,5)+IF(AZ3="",0,5)+IF(BB3="",0,4))=0,"",(IF(AV3="",0,AV3*6)+IF(AX3="",0,AX3*5)+IF(AZ3="",0,AZ3*5)+IF(BB3="",0,BB3*4))/20)</f>
        <v/>
      </c>
      <c r="BE3" s="14">
        <f>IF(AND(R3="",AD3="",AL3="",AT3="",BD3=""),"",((R3*25)+(AD3*22)+(AL3*18)+(AT3*15)+(BD3*20))/100)</f>
        <v/>
      </c>
      <c r="BF3" s="11">
        <f>IF(BE3="","",IF(BE3&gt;=0.75,"A",IF(BE3&gt;=0.5,"B",IF(BE3&gt;=0.35,"C","Watchlist"))))</f>
        <v/>
      </c>
      <c r="BG3" s="11">
        <f>IF(OR(BE3="",BE3&lt;0.5,R3="",R3&lt;0.35,AD3="",AD3&lt;0.35,AL3="",AL3&lt;0.35,AT3="",AT3&lt;0.35,BD3="",BD3&lt;0.35),"Watchlist","Ranked")</f>
        <v/>
      </c>
      <c r="BH3" s="15">
        <f>IF(AND(Q3="",AC3="",AK3="",AS3="",BC3=""),"",(IF(Q3="",0,Q3*25)+IF(AC3="",0,AC3*22)+IF(AK3="",0,AK3*18)+IF(AS3="",0,AS3*15)+IF(BC3="",0,BC3*20))/(IF(Q3="",0,25)+IF(AC3="",0,22)+IF(AK3="",0,18)+IF(AS3="",0,15)+IF(BC3="",0,20)))</f>
        <v/>
      </c>
      <c r="BI3" s="11">
        <f>IF(BG3="Ranked",1+COUNTIFS($BG$2:$BG$101,"Ranked",$BH$2:$BH$101,"&gt;"&amp;BH3),"")</f>
        <v/>
      </c>
      <c r="BJ3" s="11">
        <f>City_Inputs!$AH3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IF((IF(G4="",0,9)+IF(I4="",0,5)+IF(K4="",0,4)+IF(M4="",0,4)+IF(O4="",0,3))=0,"",(IF(G4="",0,G4*9)+IF(I4="",0,I4*5)+IF(K4="",0,K4*4)+IF(M4="",0,M4*4)+IF(O4="",0,O4*3))/(IF(G4="",0,9)+IF(I4="",0,5)+IF(K4="",0,4)+IF(M4="",0,4)+IF(O4="",0,3)))</f>
        <v/>
      </c>
      <c r="R4" s="14">
        <f>IF((IF(H4="",0,9)+IF(J4="",0,5)+IF(L4="",0,4)+IF(N4="",0,4)+IF(P4="",0,3))=0,"",(IF(H4="",0,H4*9)+IF(J4="",0,J4*5)+IF(L4="",0,L4*4)+IF(N4="",0,N4*4)+IF(P4="",0,P4*3))/25)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5">
        <f>IF((IF(S4="",0,5)+IF(U4="",0,5)+IF(W4="",0,4)+IF(Y4="",0,4)+IF(AA4="",0,4))=0,"",(IF(S4="",0,S4*5)+IF(U4="",0,U4*5)+IF(W4="",0,W4*4)+IF(Y4="",0,Y4*4)+IF(AA4="",0,AA4*4))/(IF(S4="",0,5)+IF(U4="",0,5)+IF(W4="",0,4)+IF(Y4="",0,4)+IF(AA4="",0,4)))</f>
        <v/>
      </c>
      <c r="AD4" s="14">
        <f>IF((IF(T4="",0,5)+IF(V4="",0,5)+IF(X4="",0,4)+IF(Z4="",0,4)+IF(AB4="",0,4))=0,"",(IF(T4="",0,T4*5)+IF(V4="",0,V4*5)+IF(X4="",0,X4*4)+IF(Z4="",0,Z4*4)+IF(AB4="",0,AB4*4))/22)</f>
        <v/>
      </c>
      <c r="AE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F4" s="14">
        <f>IF(AE4="","",1)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(IF((IF(OR(City_Inputs!$Z4="",Norm_Stats!$F$14="",Norm_Stats!$G$14="",Norm_Stats!$G$14=Norm_Stats!$F$14),"",MAX(0,MIN(100,100*(MIN(MAX(City_Inputs!$Z4,Norm_Stats!$F$14),Norm_Stats!$G$14)-Norm_Stats!$F$14)/(Norm_Stats!$G$14-Norm_Stats!$F$14)))))="",0,0.7)+IF((IF(OR(City_Inputs!$AK4="",Norm_Stats!$F$15="",Norm_Stats!$G$15="",Norm_Stats!$G$15=Norm_Stats!$F$15),"",MAX(0,MIN(100,100*(Norm_Stats!$G$15-MIN(MAX(City_Inputs!$AK4,Norm_Stats!$F$15),Norm_Stats!$G$15))/(Norm_Stats!$G$15-Norm_Stats!$F$15)))))="",0,0.3))=0,"",(IF((IF(OR(City_Inputs!$Z4="",Norm_Stats!$F$14="",Norm_Stats!$G$14="",Norm_Stats!$G$14=Norm_Stats!$F$14),"",MAX(0,MIN(100,100*(MIN(MAX(City_Inputs!$Z4,Norm_Stats!$F$14),Norm_Stats!$G$14)-Norm_Stats!$F$14)/(Norm_Stats!$G$14-Norm_Stats!$F$14)))))="",0,(IF(OR(City_Inputs!$Z4="",Norm_Stats!$F$14="",Norm_Stats!$G$14="",Norm_Stats!$G$14=Norm_Stats!$F$14),"",MAX(0,MIN(100,100*(MIN(MAX(City_Inputs!$Z4,Norm_Stats!$F$14),Norm_Stats!$G$14)-Norm_Stats!$F$14)/(Norm_Stats!$G$14-Norm_Stats!$F$14)))))*0.7)+IF((IF(OR(City_Inputs!$AK4="",Norm_Stats!$F$15="",Norm_Stats!$G$15="",Norm_Stats!$G$15=Norm_Stats!$F$15),"",MAX(0,MIN(100,100*(Norm_Stats!$G$15-MIN(MAX(City_Inputs!$AK4,Norm_Stats!$F$15),Norm_Stats!$G$15))/(Norm_Stats!$G$15-Norm_Stats!$F$15)))))="",0,(IF(OR(City_Inputs!$AK4="",Norm_Stats!$F$15="",Norm_Stats!$G$15="",Norm_Stats!$G$15=Norm_Stats!$F$15),"",MAX(0,MIN(100,100*(Norm_Stats!$G$15-MIN(MAX(City_Inputs!$AK4,Norm_Stats!$F$15),Norm_Stats!$G$15))/(Norm_Stats!$G$15-Norm_Stats!$F$15)))))*0.3))/(IF((IF(OR(City_Inputs!$Z4="",Norm_Stats!$F$14="",Norm_Stats!$G$14="",Norm_Stats!$G$14=Norm_Stats!$F$14),"",MAX(0,MIN(100,100*(MIN(MAX(City_Inputs!$Z4,Norm_Stats!$F$14),Norm_Stats!$G$14)-Norm_Stats!$F$14)/(Norm_Stats!$G$14-Norm_Stats!$F$14)))))="",0,0.7)+IF((IF(OR(City_Inputs!$AK4="",Norm_Stats!$F$15="",Norm_Stats!$G$15="",Norm_Stats!$G$15=Norm_Stats!$F$15),"",MAX(0,MIN(100,100*(Norm_Stats!$G$15-MIN(MAX(City_Inputs!$AK4,Norm_Stats!$F$15),Norm_Stats!$G$15))/(Norm_Stats!$G$15-Norm_Stats!$F$15)))))="",0,0.3)))</f>
        <v/>
      </c>
      <c r="AJ4" s="14">
        <f>IF((IF((IF(OR(City_Inputs!$Z4="",Norm_Stats!$F$14="",Norm_Stats!$G$14="",Norm_Stats!$G$14=Norm_Stats!$F$14),"",MAX(0,MIN(100,100*(MIN(MAX(City_Inputs!$Z4,Norm_Stats!$F$14),Norm_Stats!$G$14)-Norm_Stats!$F$14)/(Norm_Stats!$G$14-Norm_Stats!$F$14)))))="",0,0.7)+IF((IF(OR(City_Inputs!$AK4="",Norm_Stats!$F$15="",Norm_Stats!$G$15="",Norm_Stats!$G$15=Norm_Stats!$F$15),"",MAX(0,MIN(100,100*(Norm_Stats!$G$15-MIN(MAX(City_Inputs!$AK4,Norm_Stats!$F$15),Norm_Stats!$G$15))/(Norm_Stats!$G$15-Norm_Stats!$F$15)))))="",0,0.3))=0,"",(IF((IF(OR(City_Inputs!$Z4="",Norm_Stats!$F$14="",Norm_Stats!$G$14="",Norm_Stats!$G$14=Norm_Stats!$F$14),"",MAX(0,MIN(100,100*(MIN(MAX(City_Inputs!$Z4,Norm_Stats!$F$14),Norm_Stats!$G$14)-Norm_Stats!$F$14)/(Norm_Stats!$G$14-Norm_Stats!$F$14)))))="",0,0.7)+IF((IF(OR(City_Inputs!$AK4="",Norm_Stats!$F$15="",Norm_Stats!$G$15="",Norm_Stats!$G$15=Norm_Stats!$F$15),"",MAX(0,MIN(100,100*(Norm_Stats!$G$15-MIN(MAX(City_Inputs!$AK4,Norm_Stats!$F$15),Norm_Stats!$G$15))/(Norm_Stats!$G$15-Norm_Stats!$F$15)))))="",0,0.3)))</f>
        <v/>
      </c>
      <c r="AK4" s="15">
        <f>IF((IF(AE4="",0,8)+IF(AG4="",0,6)+IF(AI4="",0,4))=0,"",(IF(AE4="",0,AE4*8)+IF(AG4="",0,AG4*6)+IF(AI4="",0,AI4*4))/(IF(AE4="",0,8)+IF(AG4="",0,6)+IF(AI4="",0,4)))</f>
        <v/>
      </c>
      <c r="AL4" s="14">
        <f>IF((IF(AF4="",0,8)+IF(AH4="",0,6)+IF(AJ4="",0,4))=0,"",(IF(AF4="",0,AF4*8)+IF(AH4="",0,AH4*6)+IF(AJ4="",0,AJ4*4))/18)</f>
        <v/>
      </c>
      <c r="AM4" s="11">
        <f>IF(OR(City_Inputs!$AA4="",Norm_Stats!$F$16="",Norm_Stats!$G$16="",Norm_Stats!$G$16=Norm_Stats!$F$16),"",MAX(0,MIN(100,100*(MIN(MAX(City_Inputs!$AA4,Norm_Stats!$F$16),Norm_Stats!$G$16)-Norm_Stats!$F$16)/(Norm_Stats!$G$16-Norm_Stats!$F$16))))</f>
        <v/>
      </c>
      <c r="AN4" s="14">
        <f>IF(AM4="","",1)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5">
        <f>IF((IF(AM4="",0,5)+IF(AO4="",0,5)+IF(AQ4="",0,5))=0,"",(IF(AM4="",0,AM4*5)+IF(AO4="",0,AO4*5)+IF(AQ4="",0,AQ4*5))/(IF(AM4="",0,5)+IF(AO4="",0,5)+IF(AQ4="",0,5)))</f>
        <v/>
      </c>
      <c r="AT4" s="14">
        <f>IF((IF(AN4="",0,5)+IF(AP4="",0,5)+IF(AR4="",0,5))=0,"",(IF(AN4="",0,AN4*5)+IF(AP4="",0,AP4*5)+IF(AR4="",0,AR4*5))/15)</f>
        <v/>
      </c>
      <c r="AU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V4" s="14">
        <f>IF(AU4="","",1)</f>
        <v/>
      </c>
      <c r="AW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X4" s="14">
        <f>IF(AW4="","",1)</f>
        <v/>
      </c>
      <c r="AY4" s="11">
        <f>IF((IF((IF(OR(City_Inputs!$AF4="",Norm_Stats!$F$21="",Norm_Stats!$G$21="",Norm_Stats!$G$21=Norm_Stats!$F$21),"",MAX(0,MIN(100,100*(MIN(MAX(City_Inputs!$AF4,Norm_Stats!$F$21),Norm_Stats!$G$21)-Norm_Stats!$F$21)/(Norm_Stats!$G$21-Norm_Stats!$F$21)))))="",0,0.5)+IF((IF(OR(City_Inputs!$AI4="",Norm_Stats!$F$22="",Norm_Stats!$G$22="",Norm_Stats!$G$22=Norm_Stats!$F$22),"",MAX(0,MIN(100,100*(MIN(MAX(City_Inputs!$AI4,Norm_Stats!$F$22),Norm_Stats!$G$22)-Norm_Stats!$F$22)/(Norm_Stats!$G$22-Norm_Stats!$F$22)))))="",0,0.3)+IF((IF(OR(City_Inputs!$AJ4="",Norm_Stats!$F$23="",Norm_Stats!$G$23="",Norm_Stats!$G$23=Norm_Stats!$F$23),"",MAX(0,MIN(100,100*(MIN(MAX(City_Inputs!$AJ4,Norm_Stats!$F$23),Norm_Stats!$G$23)-Norm_Stats!$F$23)/(Norm_Stats!$G$23-Norm_Stats!$F$23)))))="",0,0.2))=0,"",(IF((IF(OR(City_Inputs!$AF4="",Norm_Stats!$F$21="",Norm_Stats!$G$21="",Norm_Stats!$G$21=Norm_Stats!$F$21),"",MAX(0,MIN(100,100*(MIN(MAX(City_Inputs!$AF4,Norm_Stats!$F$21),Norm_Stats!$G$21)-Norm_Stats!$F$21)/(Norm_Stats!$G$21-Norm_Stats!$F$21)))))="",0,(IF(OR(City_Inputs!$AF4="",Norm_Stats!$F$21="",Norm_Stats!$G$21="",Norm_Stats!$G$21=Norm_Stats!$F$21),"",MAX(0,MIN(100,100*(MIN(MAX(City_Inputs!$AF4,Norm_Stats!$F$21),Norm_Stats!$G$21)-Norm_Stats!$F$21)/(Norm_Stats!$G$21-Norm_Stats!$F$21)))))*0.5)+IF((IF(OR(City_Inputs!$AI4="",Norm_Stats!$F$22="",Norm_Stats!$G$22="",Norm_Stats!$G$22=Norm_Stats!$F$22),"",MAX(0,MIN(100,100*(MIN(MAX(City_Inputs!$AI4,Norm_Stats!$F$22),Norm_Stats!$G$22)-Norm_Stats!$F$22)/(Norm_Stats!$G$22-Norm_Stats!$F$22)))))="",0,(IF(OR(City_Inputs!$AI4="",Norm_Stats!$F$22="",Norm_Stats!$G$22="",Norm_Stats!$G$22=Norm_Stats!$F$22),"",MAX(0,MIN(100,100*(MIN(MAX(City_Inputs!$AI4,Norm_Stats!$F$22),Norm_Stats!$G$22)-Norm_Stats!$F$22)/(Norm_Stats!$G$22-Norm_Stats!$F$22)))))*0.3)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0.2))/(IF((IF(OR(City_Inputs!$AF4="",Norm_Stats!$F$21="",Norm_Stats!$G$21="",Norm_Stats!$G$21=Norm_Stats!$F$21),"",MAX(0,MIN(100,100*(MIN(MAX(City_Inputs!$AF4,Norm_Stats!$F$21),Norm_Stats!$G$21)-Norm_Stats!$F$21)/(Norm_Stats!$G$21-Norm_Stats!$F$21)))))="",0,0.5)+IF((IF(OR(City_Inputs!$AI4="",Norm_Stats!$F$22="",Norm_Stats!$G$22="",Norm_Stats!$G$22=Norm_Stats!$F$22),"",MAX(0,MIN(100,100*(MIN(MAX(City_Inputs!$AI4,Norm_Stats!$F$22),Norm_Stats!$G$22)-Norm_Stats!$F$22)/(Norm_Stats!$G$22-Norm_Stats!$F$22)))))="",0,0.3)+IF((IF(OR(City_Inputs!$AJ4="",Norm_Stats!$F$23="",Norm_Stats!$G$23="",Norm_Stats!$G$23=Norm_Stats!$F$23),"",MAX(0,MIN(100,100*(MIN(MAX(City_Inputs!$AJ4,Norm_Stats!$F$23),Norm_Stats!$G$23)-Norm_Stats!$F$23)/(Norm_Stats!$G$23-Norm_Stats!$F$23)))))="",0,0.2)))</f>
        <v/>
      </c>
      <c r="AZ4" s="14">
        <f>IF((IF((IF(OR(City_Inputs!$AF4="",Norm_Stats!$F$21="",Norm_Stats!$G$21="",Norm_Stats!$G$21=Norm_Stats!$F$21),"",MAX(0,MIN(100,100*(MIN(MAX(City_Inputs!$AF4,Norm_Stats!$F$21),Norm_Stats!$G$21)-Norm_Stats!$F$21)/(Norm_Stats!$G$21-Norm_Stats!$F$21)))))="",0,0.5)+IF((IF(OR(City_Inputs!$AI4="",Norm_Stats!$F$22="",Norm_Stats!$G$22="",Norm_Stats!$G$22=Norm_Stats!$F$22),"",MAX(0,MIN(100,100*(MIN(MAX(City_Inputs!$AI4,Norm_Stats!$F$22),Norm_Stats!$G$22)-Norm_Stats!$F$22)/(Norm_Stats!$G$22-Norm_Stats!$F$22)))))="",0,0.3)+IF((IF(OR(City_Inputs!$AJ4="",Norm_Stats!$F$23="",Norm_Stats!$G$23="",Norm_Stats!$G$23=Norm_Stats!$F$23),"",MAX(0,MIN(100,100*(MIN(MAX(City_Inputs!$AJ4,Norm_Stats!$F$23),Norm_Stats!$G$23)-Norm_Stats!$F$23)/(Norm_Stats!$G$23-Norm_Stats!$F$23)))))="",0,0.2))=0,"",(IF((IF(OR(City_Inputs!$AF4="",Norm_Stats!$F$21="",Norm_Stats!$G$21="",Norm_Stats!$G$21=Norm_Stats!$F$21),"",MAX(0,MIN(100,100*(MIN(MAX(City_Inputs!$AF4,Norm_Stats!$F$21),Norm_Stats!$G$21)-Norm_Stats!$F$21)/(Norm_Stats!$G$21-Norm_Stats!$F$21)))))="",0,0.5)+IF((IF(OR(City_Inputs!$AI4="",Norm_Stats!$F$22="",Norm_Stats!$G$22="",Norm_Stats!$G$22=Norm_Stats!$F$22),"",MAX(0,MIN(100,100*(MIN(MAX(City_Inputs!$AI4,Norm_Stats!$F$22),Norm_Stats!$G$22)-Norm_Stats!$F$22)/(Norm_Stats!$G$22-Norm_Stats!$F$22)))))="",0,0.3)+IF((IF(OR(City_Inputs!$AJ4="",Norm_Stats!$F$23="",Norm_Stats!$G$23="",Norm_Stats!$G$23=Norm_Stats!$F$23),"",MAX(0,MIN(100,100*(MIN(MAX(City_Inputs!$AJ4,Norm_Stats!$F$23),Norm_Stats!$G$23)-Norm_Stats!$F$23)/(Norm_Stats!$G$23-Norm_Stats!$F$23)))))="",0,0.2)))</f>
        <v/>
      </c>
      <c r="BA4" s="11">
        <f>IF(OR(City_Inputs!$AG4="",Norm_Stats!$F$24="",Norm_Stats!$G$24="",Norm_Stats!$G$24=Norm_Stats!$F$24),"",MAX(0,MIN(100,100*(Norm_Stats!$G$24-MIN(MAX(City_Inputs!$AG4,Norm_Stats!$F$24),Norm_Stats!$G$24))/(Norm_Stats!$G$24-Norm_Stats!$F$24))))</f>
        <v/>
      </c>
      <c r="BB4" s="14">
        <f>IF(BA4="","",1)</f>
        <v/>
      </c>
      <c r="BC4" s="15">
        <f>IF((IF(AU4="",0,6)+IF(AW4="",0,5)+IF(AY4="",0,5)+IF(BA4="",0,4))=0,"",(IF(AU4="",0,AU4*6)+IF(AW4="",0,AW4*5)+IF(AY4="",0,AY4*5)+IF(BA4="",0,BA4*4))/(IF(AU4="",0,6)+IF(AW4="",0,5)+IF(AY4="",0,5)+IF(BA4="",0,4)))</f>
        <v/>
      </c>
      <c r="BD4" s="14">
        <f>IF((IF(AV4="",0,6)+IF(AX4="",0,5)+IF(AZ4="",0,5)+IF(BB4="",0,4))=0,"",(IF(AV4="",0,AV4*6)+IF(AX4="",0,AX4*5)+IF(AZ4="",0,AZ4*5)+IF(BB4="",0,BB4*4))/20)</f>
        <v/>
      </c>
      <c r="BE4" s="14">
        <f>IF(AND(R4="",AD4="",AL4="",AT4="",BD4=""),"",((R4*25)+(AD4*22)+(AL4*18)+(AT4*15)+(BD4*20))/100)</f>
        <v/>
      </c>
      <c r="BF4" s="11">
        <f>IF(BE4="","",IF(BE4&gt;=0.75,"A",IF(BE4&gt;=0.5,"B",IF(BE4&gt;=0.35,"C","Watchlist"))))</f>
        <v/>
      </c>
      <c r="BG4" s="11">
        <f>IF(OR(BE4="",BE4&lt;0.5,R4="",R4&lt;0.35,AD4="",AD4&lt;0.35,AL4="",AL4&lt;0.35,AT4="",AT4&lt;0.35,BD4="",BD4&lt;0.35),"Watchlist","Ranked")</f>
        <v/>
      </c>
      <c r="BH4" s="15">
        <f>IF(AND(Q4="",AC4="",AK4="",AS4="",BC4=""),"",(IF(Q4="",0,Q4*25)+IF(AC4="",0,AC4*22)+IF(AK4="",0,AK4*18)+IF(AS4="",0,AS4*15)+IF(BC4="",0,BC4*20))/(IF(Q4="",0,25)+IF(AC4="",0,22)+IF(AK4="",0,18)+IF(AS4="",0,15)+IF(BC4="",0,20)))</f>
        <v/>
      </c>
      <c r="BI4" s="11">
        <f>IF(BG4="Ranked",1+COUNTIFS($BG$2:$BG$101,"Ranked",$BH$2:$BH$101,"&gt;"&amp;BH4),"")</f>
        <v/>
      </c>
      <c r="BJ4" s="11">
        <f>City_Inputs!$AH4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IF((IF(G5="",0,9)+IF(I5="",0,5)+IF(K5="",0,4)+IF(M5="",0,4)+IF(O5="",0,3))=0,"",(IF(G5="",0,G5*9)+IF(I5="",0,I5*5)+IF(K5="",0,K5*4)+IF(M5="",0,M5*4)+IF(O5="",0,O5*3))/(IF(G5="",0,9)+IF(I5="",0,5)+IF(K5="",0,4)+IF(M5="",0,4)+IF(O5="",0,3)))</f>
        <v/>
      </c>
      <c r="R5" s="14">
        <f>IF((IF(H5="",0,9)+IF(J5="",0,5)+IF(L5="",0,4)+IF(N5="",0,4)+IF(P5="",0,3))=0,"",(IF(H5="",0,H5*9)+IF(J5="",0,J5*5)+IF(L5="",0,L5*4)+IF(N5="",0,N5*4)+IF(P5="",0,P5*3))/25)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5">
        <f>IF((IF(S5="",0,5)+IF(U5="",0,5)+IF(W5="",0,4)+IF(Y5="",0,4)+IF(AA5="",0,4))=0,"",(IF(S5="",0,S5*5)+IF(U5="",0,U5*5)+IF(W5="",0,W5*4)+IF(Y5="",0,Y5*4)+IF(AA5="",0,AA5*4))/(IF(S5="",0,5)+IF(U5="",0,5)+IF(W5="",0,4)+IF(Y5="",0,4)+IF(AA5="",0,4)))</f>
        <v/>
      </c>
      <c r="AD5" s="14">
        <f>IF((IF(T5="",0,5)+IF(V5="",0,5)+IF(X5="",0,4)+IF(Z5="",0,4)+IF(AB5="",0,4))=0,"",(IF(T5="",0,T5*5)+IF(V5="",0,V5*5)+IF(X5="",0,X5*4)+IF(Z5="",0,Z5*4)+IF(AB5="",0,AB5*4))/22)</f>
        <v/>
      </c>
      <c r="AE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F5" s="14">
        <f>IF(AE5="","",1)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(IF((IF(OR(City_Inputs!$Z5="",Norm_Stats!$F$14="",Norm_Stats!$G$14="",Norm_Stats!$G$14=Norm_Stats!$F$14),"",MAX(0,MIN(100,100*(MIN(MAX(City_Inputs!$Z5,Norm_Stats!$F$14),Norm_Stats!$G$14)-Norm_Stats!$F$14)/(Norm_Stats!$G$14-Norm_Stats!$F$14)))))="",0,0.7)+IF((IF(OR(City_Inputs!$AK5="",Norm_Stats!$F$15="",Norm_Stats!$G$15="",Norm_Stats!$G$15=Norm_Stats!$F$15),"",MAX(0,MIN(100,100*(Norm_Stats!$G$15-MIN(MAX(City_Inputs!$AK5,Norm_Stats!$F$15),Norm_Stats!$G$15))/(Norm_Stats!$G$15-Norm_Stats!$F$15)))))="",0,0.3))=0,"",(IF((IF(OR(City_Inputs!$Z5="",Norm_Stats!$F$14="",Norm_Stats!$G$14="",Norm_Stats!$G$14=Norm_Stats!$F$14),"",MAX(0,MIN(100,100*(MIN(MAX(City_Inputs!$Z5,Norm_Stats!$F$14),Norm_Stats!$G$14)-Norm_Stats!$F$14)/(Norm_Stats!$G$14-Norm_Stats!$F$14)))))="",0,(IF(OR(City_Inputs!$Z5="",Norm_Stats!$F$14="",Norm_Stats!$G$14="",Norm_Stats!$G$14=Norm_Stats!$F$14),"",MAX(0,MIN(100,100*(MIN(MAX(City_Inputs!$Z5,Norm_Stats!$F$14),Norm_Stats!$G$14)-Norm_Stats!$F$14)/(Norm_Stats!$G$14-Norm_Stats!$F$14)))))*0.7)+IF((IF(OR(City_Inputs!$AK5="",Norm_Stats!$F$15="",Norm_Stats!$G$15="",Norm_Stats!$G$15=Norm_Stats!$F$15),"",MAX(0,MIN(100,100*(Norm_Stats!$G$15-MIN(MAX(City_Inputs!$AK5,Norm_Stats!$F$15),Norm_Stats!$G$15))/(Norm_Stats!$G$15-Norm_Stats!$F$15)))))="",0,(IF(OR(City_Inputs!$AK5="",Norm_Stats!$F$15="",Norm_Stats!$G$15="",Norm_Stats!$G$15=Norm_Stats!$F$15),"",MAX(0,MIN(100,100*(Norm_Stats!$G$15-MIN(MAX(City_Inputs!$AK5,Norm_Stats!$F$15),Norm_Stats!$G$15))/(Norm_Stats!$G$15-Norm_Stats!$F$15)))))*0.3))/(IF((IF(OR(City_Inputs!$Z5="",Norm_Stats!$F$14="",Norm_Stats!$G$14="",Norm_Stats!$G$14=Norm_Stats!$F$14),"",MAX(0,MIN(100,100*(MIN(MAX(City_Inputs!$Z5,Norm_Stats!$F$14),Norm_Stats!$G$14)-Norm_Stats!$F$14)/(Norm_Stats!$G$14-Norm_Stats!$F$14)))))="",0,0.7)+IF((IF(OR(City_Inputs!$AK5="",Norm_Stats!$F$15="",Norm_Stats!$G$15="",Norm_Stats!$G$15=Norm_Stats!$F$15),"",MAX(0,MIN(100,100*(Norm_Stats!$G$15-MIN(MAX(City_Inputs!$AK5,Norm_Stats!$F$15),Norm_Stats!$G$15))/(Norm_Stats!$G$15-Norm_Stats!$F$15)))))="",0,0.3)))</f>
        <v/>
      </c>
      <c r="AJ5" s="14">
        <f>IF((IF((IF(OR(City_Inputs!$Z5="",Norm_Stats!$F$14="",Norm_Stats!$G$14="",Norm_Stats!$G$14=Norm_Stats!$F$14),"",MAX(0,MIN(100,100*(MIN(MAX(City_Inputs!$Z5,Norm_Stats!$F$14),Norm_Stats!$G$14)-Norm_Stats!$F$14)/(Norm_Stats!$G$14-Norm_Stats!$F$14)))))="",0,0.7)+IF((IF(OR(City_Inputs!$AK5="",Norm_Stats!$F$15="",Norm_Stats!$G$15="",Norm_Stats!$G$15=Norm_Stats!$F$15),"",MAX(0,MIN(100,100*(Norm_Stats!$G$15-MIN(MAX(City_Inputs!$AK5,Norm_Stats!$F$15),Norm_Stats!$G$15))/(Norm_Stats!$G$15-Norm_Stats!$F$15)))))="",0,0.3))=0,"",(IF((IF(OR(City_Inputs!$Z5="",Norm_Stats!$F$14="",Norm_Stats!$G$14="",Norm_Stats!$G$14=Norm_Stats!$F$14),"",MAX(0,MIN(100,100*(MIN(MAX(City_Inputs!$Z5,Norm_Stats!$F$14),Norm_Stats!$G$14)-Norm_Stats!$F$14)/(Norm_Stats!$G$14-Norm_Stats!$F$14)))))="",0,0.7)+IF((IF(OR(City_Inputs!$AK5="",Norm_Stats!$F$15="",Norm_Stats!$G$15="",Norm_Stats!$G$15=Norm_Stats!$F$15),"",MAX(0,MIN(100,100*(Norm_Stats!$G$15-MIN(MAX(City_Inputs!$AK5,Norm_Stats!$F$15),Norm_Stats!$G$15))/(Norm_Stats!$G$15-Norm_Stats!$F$15)))))="",0,0.3)))</f>
        <v/>
      </c>
      <c r="AK5" s="15">
        <f>IF((IF(AE5="",0,8)+IF(AG5="",0,6)+IF(AI5="",0,4))=0,"",(IF(AE5="",0,AE5*8)+IF(AG5="",0,AG5*6)+IF(AI5="",0,AI5*4))/(IF(AE5="",0,8)+IF(AG5="",0,6)+IF(AI5="",0,4)))</f>
        <v/>
      </c>
      <c r="AL5" s="14">
        <f>IF((IF(AF5="",0,8)+IF(AH5="",0,6)+IF(AJ5="",0,4))=0,"",(IF(AF5="",0,AF5*8)+IF(AH5="",0,AH5*6)+IF(AJ5="",0,AJ5*4))/18)</f>
        <v/>
      </c>
      <c r="AM5" s="11">
        <f>IF(OR(City_Inputs!$AA5="",Norm_Stats!$F$16="",Norm_Stats!$G$16="",Norm_Stats!$G$16=Norm_Stats!$F$16),"",MAX(0,MIN(100,100*(MIN(MAX(City_Inputs!$AA5,Norm_Stats!$F$16),Norm_Stats!$G$16)-Norm_Stats!$F$16)/(Norm_Stats!$G$16-Norm_Stats!$F$16))))</f>
        <v/>
      </c>
      <c r="AN5" s="14">
        <f>IF(AM5="","",1)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5">
        <f>IF((IF(AM5="",0,5)+IF(AO5="",0,5)+IF(AQ5="",0,5))=0,"",(IF(AM5="",0,AM5*5)+IF(AO5="",0,AO5*5)+IF(AQ5="",0,AQ5*5))/(IF(AM5="",0,5)+IF(AO5="",0,5)+IF(AQ5="",0,5)))</f>
        <v/>
      </c>
      <c r="AT5" s="14">
        <f>IF((IF(AN5="",0,5)+IF(AP5="",0,5)+IF(AR5="",0,5))=0,"",(IF(AN5="",0,AN5*5)+IF(AP5="",0,AP5*5)+IF(AR5="",0,AR5*5))/15)</f>
        <v/>
      </c>
      <c r="AU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V5" s="14">
        <f>IF(AU5="","",1)</f>
        <v/>
      </c>
      <c r="AW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X5" s="14">
        <f>IF(AW5="","",1)</f>
        <v/>
      </c>
      <c r="AY5" s="11">
        <f>IF((IF((IF(OR(City_Inputs!$AF5="",Norm_Stats!$F$21="",Norm_Stats!$G$21="",Norm_Stats!$G$21=Norm_Stats!$F$21),"",MAX(0,MIN(100,100*(MIN(MAX(City_Inputs!$AF5,Norm_Stats!$F$21),Norm_Stats!$G$21)-Norm_Stats!$F$21)/(Norm_Stats!$G$21-Norm_Stats!$F$21)))))="",0,0.5)+IF((IF(OR(City_Inputs!$AI5="",Norm_Stats!$F$22="",Norm_Stats!$G$22="",Norm_Stats!$G$22=Norm_Stats!$F$22),"",MAX(0,MIN(100,100*(MIN(MAX(City_Inputs!$AI5,Norm_Stats!$F$22),Norm_Stats!$G$22)-Norm_Stats!$F$22)/(Norm_Stats!$G$22-Norm_Stats!$F$22)))))="",0,0.3)+IF((IF(OR(City_Inputs!$AJ5="",Norm_Stats!$F$23="",Norm_Stats!$G$23="",Norm_Stats!$G$23=Norm_Stats!$F$23),"",MAX(0,MIN(100,100*(MIN(MAX(City_Inputs!$AJ5,Norm_Stats!$F$23),Norm_Stats!$G$23)-Norm_Stats!$F$23)/(Norm_Stats!$G$23-Norm_Stats!$F$23)))))="",0,0.2))=0,"",(IF((IF(OR(City_Inputs!$AF5="",Norm_Stats!$F$21="",Norm_Stats!$G$21="",Norm_Stats!$G$21=Norm_Stats!$F$21),"",MAX(0,MIN(100,100*(MIN(MAX(City_Inputs!$AF5,Norm_Stats!$F$21),Norm_Stats!$G$21)-Norm_Stats!$F$21)/(Norm_Stats!$G$21-Norm_Stats!$F$21)))))="",0,(IF(OR(City_Inputs!$AF5="",Norm_Stats!$F$21="",Norm_Stats!$G$21="",Norm_Stats!$G$21=Norm_Stats!$F$21),"",MAX(0,MIN(100,100*(MIN(MAX(City_Inputs!$AF5,Norm_Stats!$F$21),Norm_Stats!$G$21)-Norm_Stats!$F$21)/(Norm_Stats!$G$21-Norm_Stats!$F$21)))))*0.5)+IF((IF(OR(City_Inputs!$AI5="",Norm_Stats!$F$22="",Norm_Stats!$G$22="",Norm_Stats!$G$22=Norm_Stats!$F$22),"",MAX(0,MIN(100,100*(MIN(MAX(City_Inputs!$AI5,Norm_Stats!$F$22),Norm_Stats!$G$22)-Norm_Stats!$F$22)/(Norm_Stats!$G$22-Norm_Stats!$F$22)))))="",0,(IF(OR(City_Inputs!$AI5="",Norm_Stats!$F$22="",Norm_Stats!$G$22="",Norm_Stats!$G$22=Norm_Stats!$F$22),"",MAX(0,MIN(100,100*(MIN(MAX(City_Inputs!$AI5,Norm_Stats!$F$22),Norm_Stats!$G$22)-Norm_Stats!$F$22)/(Norm_Stats!$G$22-Norm_Stats!$F$22)))))*0.3)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0.2))/(IF((IF(OR(City_Inputs!$AF5="",Norm_Stats!$F$21="",Norm_Stats!$G$21="",Norm_Stats!$G$21=Norm_Stats!$F$21),"",MAX(0,MIN(100,100*(MIN(MAX(City_Inputs!$AF5,Norm_Stats!$F$21),Norm_Stats!$G$21)-Norm_Stats!$F$21)/(Norm_Stats!$G$21-Norm_Stats!$F$21)))))="",0,0.5)+IF((IF(OR(City_Inputs!$AI5="",Norm_Stats!$F$22="",Norm_Stats!$G$22="",Norm_Stats!$G$22=Norm_Stats!$F$22),"",MAX(0,MIN(100,100*(MIN(MAX(City_Inputs!$AI5,Norm_Stats!$F$22),Norm_Stats!$G$22)-Norm_Stats!$F$22)/(Norm_Stats!$G$22-Norm_Stats!$F$22)))))="",0,0.3)+IF((IF(OR(City_Inputs!$AJ5="",Norm_Stats!$F$23="",Norm_Stats!$G$23="",Norm_Stats!$G$23=Norm_Stats!$F$23),"",MAX(0,MIN(100,100*(MIN(MAX(City_Inputs!$AJ5,Norm_Stats!$F$23),Norm_Stats!$G$23)-Norm_Stats!$F$23)/(Norm_Stats!$G$23-Norm_Stats!$F$23)))))="",0,0.2)))</f>
        <v/>
      </c>
      <c r="AZ5" s="14">
        <f>IF((IF((IF(OR(City_Inputs!$AF5="",Norm_Stats!$F$21="",Norm_Stats!$G$21="",Norm_Stats!$G$21=Norm_Stats!$F$21),"",MAX(0,MIN(100,100*(MIN(MAX(City_Inputs!$AF5,Norm_Stats!$F$21),Norm_Stats!$G$21)-Norm_Stats!$F$21)/(Norm_Stats!$G$21-Norm_Stats!$F$21)))))="",0,0.5)+IF((IF(OR(City_Inputs!$AI5="",Norm_Stats!$F$22="",Norm_Stats!$G$22="",Norm_Stats!$G$22=Norm_Stats!$F$22),"",MAX(0,MIN(100,100*(MIN(MAX(City_Inputs!$AI5,Norm_Stats!$F$22),Norm_Stats!$G$22)-Norm_Stats!$F$22)/(Norm_Stats!$G$22-Norm_Stats!$F$22)))))="",0,0.3)+IF((IF(OR(City_Inputs!$AJ5="",Norm_Stats!$F$23="",Norm_Stats!$G$23="",Norm_Stats!$G$23=Norm_Stats!$F$23),"",MAX(0,MIN(100,100*(MIN(MAX(City_Inputs!$AJ5,Norm_Stats!$F$23),Norm_Stats!$G$23)-Norm_Stats!$F$23)/(Norm_Stats!$G$23-Norm_Stats!$F$23)))))="",0,0.2))=0,"",(IF((IF(OR(City_Inputs!$AF5="",Norm_Stats!$F$21="",Norm_Stats!$G$21="",Norm_Stats!$G$21=Norm_Stats!$F$21),"",MAX(0,MIN(100,100*(MIN(MAX(City_Inputs!$AF5,Norm_Stats!$F$21),Norm_Stats!$G$21)-Norm_Stats!$F$21)/(Norm_Stats!$G$21-Norm_Stats!$F$21)))))="",0,0.5)+IF((IF(OR(City_Inputs!$AI5="",Norm_Stats!$F$22="",Norm_Stats!$G$22="",Norm_Stats!$G$22=Norm_Stats!$F$22),"",MAX(0,MIN(100,100*(MIN(MAX(City_Inputs!$AI5,Norm_Stats!$F$22),Norm_Stats!$G$22)-Norm_Stats!$F$22)/(Norm_Stats!$G$22-Norm_Stats!$F$22)))))="",0,0.3)+IF((IF(OR(City_Inputs!$AJ5="",Norm_Stats!$F$23="",Norm_Stats!$G$23="",Norm_Stats!$G$23=Norm_Stats!$F$23),"",MAX(0,MIN(100,100*(MIN(MAX(City_Inputs!$AJ5,Norm_Stats!$F$23),Norm_Stats!$G$23)-Norm_Stats!$F$23)/(Norm_Stats!$G$23-Norm_Stats!$F$23)))))="",0,0.2)))</f>
        <v/>
      </c>
      <c r="BA5" s="11">
        <f>IF(OR(City_Inputs!$AG5="",Norm_Stats!$F$24="",Norm_Stats!$G$24="",Norm_Stats!$G$24=Norm_Stats!$F$24),"",MAX(0,MIN(100,100*(Norm_Stats!$G$24-MIN(MAX(City_Inputs!$AG5,Norm_Stats!$F$24),Norm_Stats!$G$24))/(Norm_Stats!$G$24-Norm_Stats!$F$24))))</f>
        <v/>
      </c>
      <c r="BB5" s="14">
        <f>IF(BA5="","",1)</f>
        <v/>
      </c>
      <c r="BC5" s="15">
        <f>IF((IF(AU5="",0,6)+IF(AW5="",0,5)+IF(AY5="",0,5)+IF(BA5="",0,4))=0,"",(IF(AU5="",0,AU5*6)+IF(AW5="",0,AW5*5)+IF(AY5="",0,AY5*5)+IF(BA5="",0,BA5*4))/(IF(AU5="",0,6)+IF(AW5="",0,5)+IF(AY5="",0,5)+IF(BA5="",0,4)))</f>
        <v/>
      </c>
      <c r="BD5" s="14">
        <f>IF((IF(AV5="",0,6)+IF(AX5="",0,5)+IF(AZ5="",0,5)+IF(BB5="",0,4))=0,"",(IF(AV5="",0,AV5*6)+IF(AX5="",0,AX5*5)+IF(AZ5="",0,AZ5*5)+IF(BB5="",0,BB5*4))/20)</f>
        <v/>
      </c>
      <c r="BE5" s="14">
        <f>IF(AND(R5="",AD5="",AL5="",AT5="",BD5=""),"",((R5*25)+(AD5*22)+(AL5*18)+(AT5*15)+(BD5*20))/100)</f>
        <v/>
      </c>
      <c r="BF5" s="11">
        <f>IF(BE5="","",IF(BE5&gt;=0.75,"A",IF(BE5&gt;=0.5,"B",IF(BE5&gt;=0.35,"C","Watchlist"))))</f>
        <v/>
      </c>
      <c r="BG5" s="11">
        <f>IF(OR(BE5="",BE5&lt;0.5,R5="",R5&lt;0.35,AD5="",AD5&lt;0.35,AL5="",AL5&lt;0.35,AT5="",AT5&lt;0.35,BD5="",BD5&lt;0.35),"Watchlist","Ranked")</f>
        <v/>
      </c>
      <c r="BH5" s="15">
        <f>IF(AND(Q5="",AC5="",AK5="",AS5="",BC5=""),"",(IF(Q5="",0,Q5*25)+IF(AC5="",0,AC5*22)+IF(AK5="",0,AK5*18)+IF(AS5="",0,AS5*15)+IF(BC5="",0,BC5*20))/(IF(Q5="",0,25)+IF(AC5="",0,22)+IF(AK5="",0,18)+IF(AS5="",0,15)+IF(BC5="",0,20)))</f>
        <v/>
      </c>
      <c r="BI5" s="11">
        <f>IF(BG5="Ranked",1+COUNTIFS($BG$2:$BG$101,"Ranked",$BH$2:$BH$101,"&gt;"&amp;BH5),"")</f>
        <v/>
      </c>
      <c r="BJ5" s="11">
        <f>City_Inputs!$AH5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IF((IF(G6="",0,9)+IF(I6="",0,5)+IF(K6="",0,4)+IF(M6="",0,4)+IF(O6="",0,3))=0,"",(IF(G6="",0,G6*9)+IF(I6="",0,I6*5)+IF(K6="",0,K6*4)+IF(M6="",0,M6*4)+IF(O6="",0,O6*3))/(IF(G6="",0,9)+IF(I6="",0,5)+IF(K6="",0,4)+IF(M6="",0,4)+IF(O6="",0,3)))</f>
        <v/>
      </c>
      <c r="R6" s="14">
        <f>IF((IF(H6="",0,9)+IF(J6="",0,5)+IF(L6="",0,4)+IF(N6="",0,4)+IF(P6="",0,3))=0,"",(IF(H6="",0,H6*9)+IF(J6="",0,J6*5)+IF(L6="",0,L6*4)+IF(N6="",0,N6*4)+IF(P6="",0,P6*3))/25)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5">
        <f>IF((IF(S6="",0,5)+IF(U6="",0,5)+IF(W6="",0,4)+IF(Y6="",0,4)+IF(AA6="",0,4))=0,"",(IF(S6="",0,S6*5)+IF(U6="",0,U6*5)+IF(W6="",0,W6*4)+IF(Y6="",0,Y6*4)+IF(AA6="",0,AA6*4))/(IF(S6="",0,5)+IF(U6="",0,5)+IF(W6="",0,4)+IF(Y6="",0,4)+IF(AA6="",0,4)))</f>
        <v/>
      </c>
      <c r="AD6" s="14">
        <f>IF((IF(T6="",0,5)+IF(V6="",0,5)+IF(X6="",0,4)+IF(Z6="",0,4)+IF(AB6="",0,4))=0,"",(IF(T6="",0,T6*5)+IF(V6="",0,V6*5)+IF(X6="",0,X6*4)+IF(Z6="",0,Z6*4)+IF(AB6="",0,AB6*4))/22)</f>
        <v/>
      </c>
      <c r="AE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F6" s="14">
        <f>IF(AE6="","",1)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(IF((IF(OR(City_Inputs!$Z6="",Norm_Stats!$F$14="",Norm_Stats!$G$14="",Norm_Stats!$G$14=Norm_Stats!$F$14),"",MAX(0,MIN(100,100*(MIN(MAX(City_Inputs!$Z6,Norm_Stats!$F$14),Norm_Stats!$G$14)-Norm_Stats!$F$14)/(Norm_Stats!$G$14-Norm_Stats!$F$14)))))="",0,0.7)+IF((IF(OR(City_Inputs!$AK6="",Norm_Stats!$F$15="",Norm_Stats!$G$15="",Norm_Stats!$G$15=Norm_Stats!$F$15),"",MAX(0,MIN(100,100*(Norm_Stats!$G$15-MIN(MAX(City_Inputs!$AK6,Norm_Stats!$F$15),Norm_Stats!$G$15))/(Norm_Stats!$G$15-Norm_Stats!$F$15)))))="",0,0.3))=0,"",(IF((IF(OR(City_Inputs!$Z6="",Norm_Stats!$F$14="",Norm_Stats!$G$14="",Norm_Stats!$G$14=Norm_Stats!$F$14),"",MAX(0,MIN(100,100*(MIN(MAX(City_Inputs!$Z6,Norm_Stats!$F$14),Norm_Stats!$G$14)-Norm_Stats!$F$14)/(Norm_Stats!$G$14-Norm_Stats!$F$14)))))="",0,(IF(OR(City_Inputs!$Z6="",Norm_Stats!$F$14="",Norm_Stats!$G$14="",Norm_Stats!$G$14=Norm_Stats!$F$14),"",MAX(0,MIN(100,100*(MIN(MAX(City_Inputs!$Z6,Norm_Stats!$F$14),Norm_Stats!$G$14)-Norm_Stats!$F$14)/(Norm_Stats!$G$14-Norm_Stats!$F$14)))))*0.7)+IF((IF(OR(City_Inputs!$AK6="",Norm_Stats!$F$15="",Norm_Stats!$G$15="",Norm_Stats!$G$15=Norm_Stats!$F$15),"",MAX(0,MIN(100,100*(Norm_Stats!$G$15-MIN(MAX(City_Inputs!$AK6,Norm_Stats!$F$15),Norm_Stats!$G$15))/(Norm_Stats!$G$15-Norm_Stats!$F$15)))))="",0,(IF(OR(City_Inputs!$AK6="",Norm_Stats!$F$15="",Norm_Stats!$G$15="",Norm_Stats!$G$15=Norm_Stats!$F$15),"",MAX(0,MIN(100,100*(Norm_Stats!$G$15-MIN(MAX(City_Inputs!$AK6,Norm_Stats!$F$15),Norm_Stats!$G$15))/(Norm_Stats!$G$15-Norm_Stats!$F$15)))))*0.3))/(IF((IF(OR(City_Inputs!$Z6="",Norm_Stats!$F$14="",Norm_Stats!$G$14="",Norm_Stats!$G$14=Norm_Stats!$F$14),"",MAX(0,MIN(100,100*(MIN(MAX(City_Inputs!$Z6,Norm_Stats!$F$14),Norm_Stats!$G$14)-Norm_Stats!$F$14)/(Norm_Stats!$G$14-Norm_Stats!$F$14)))))="",0,0.7)+IF((IF(OR(City_Inputs!$AK6="",Norm_Stats!$F$15="",Norm_Stats!$G$15="",Norm_Stats!$G$15=Norm_Stats!$F$15),"",MAX(0,MIN(100,100*(Norm_Stats!$G$15-MIN(MAX(City_Inputs!$AK6,Norm_Stats!$F$15),Norm_Stats!$G$15))/(Norm_Stats!$G$15-Norm_Stats!$F$15)))))="",0,0.3)))</f>
        <v/>
      </c>
      <c r="AJ6" s="14">
        <f>IF((IF((IF(OR(City_Inputs!$Z6="",Norm_Stats!$F$14="",Norm_Stats!$G$14="",Norm_Stats!$G$14=Norm_Stats!$F$14),"",MAX(0,MIN(100,100*(MIN(MAX(City_Inputs!$Z6,Norm_Stats!$F$14),Norm_Stats!$G$14)-Norm_Stats!$F$14)/(Norm_Stats!$G$14-Norm_Stats!$F$14)))))="",0,0.7)+IF((IF(OR(City_Inputs!$AK6="",Norm_Stats!$F$15="",Norm_Stats!$G$15="",Norm_Stats!$G$15=Norm_Stats!$F$15),"",MAX(0,MIN(100,100*(Norm_Stats!$G$15-MIN(MAX(City_Inputs!$AK6,Norm_Stats!$F$15),Norm_Stats!$G$15))/(Norm_Stats!$G$15-Norm_Stats!$F$15)))))="",0,0.3))=0,"",(IF((IF(OR(City_Inputs!$Z6="",Norm_Stats!$F$14="",Norm_Stats!$G$14="",Norm_Stats!$G$14=Norm_Stats!$F$14),"",MAX(0,MIN(100,100*(MIN(MAX(City_Inputs!$Z6,Norm_Stats!$F$14),Norm_Stats!$G$14)-Norm_Stats!$F$14)/(Norm_Stats!$G$14-Norm_Stats!$F$14)))))="",0,0.7)+IF((IF(OR(City_Inputs!$AK6="",Norm_Stats!$F$15="",Norm_Stats!$G$15="",Norm_Stats!$G$15=Norm_Stats!$F$15),"",MAX(0,MIN(100,100*(Norm_Stats!$G$15-MIN(MAX(City_Inputs!$AK6,Norm_Stats!$F$15),Norm_Stats!$G$15))/(Norm_Stats!$G$15-Norm_Stats!$F$15)))))="",0,0.3)))</f>
        <v/>
      </c>
      <c r="AK6" s="15">
        <f>IF((IF(AE6="",0,8)+IF(AG6="",0,6)+IF(AI6="",0,4))=0,"",(IF(AE6="",0,AE6*8)+IF(AG6="",0,AG6*6)+IF(AI6="",0,AI6*4))/(IF(AE6="",0,8)+IF(AG6="",0,6)+IF(AI6="",0,4)))</f>
        <v/>
      </c>
      <c r="AL6" s="14">
        <f>IF((IF(AF6="",0,8)+IF(AH6="",0,6)+IF(AJ6="",0,4))=0,"",(IF(AF6="",0,AF6*8)+IF(AH6="",0,AH6*6)+IF(AJ6="",0,AJ6*4))/18)</f>
        <v/>
      </c>
      <c r="AM6" s="11">
        <f>IF(OR(City_Inputs!$AA6="",Norm_Stats!$F$16="",Norm_Stats!$G$16="",Norm_Stats!$G$16=Norm_Stats!$F$16),"",MAX(0,MIN(100,100*(MIN(MAX(City_Inputs!$AA6,Norm_Stats!$F$16),Norm_Stats!$G$16)-Norm_Stats!$F$16)/(Norm_Stats!$G$16-Norm_Stats!$F$16))))</f>
        <v/>
      </c>
      <c r="AN6" s="14">
        <f>IF(AM6="","",1)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5">
        <f>IF((IF(AM6="",0,5)+IF(AO6="",0,5)+IF(AQ6="",0,5))=0,"",(IF(AM6="",0,AM6*5)+IF(AO6="",0,AO6*5)+IF(AQ6="",0,AQ6*5))/(IF(AM6="",0,5)+IF(AO6="",0,5)+IF(AQ6="",0,5)))</f>
        <v/>
      </c>
      <c r="AT6" s="14">
        <f>IF((IF(AN6="",0,5)+IF(AP6="",0,5)+IF(AR6="",0,5))=0,"",(IF(AN6="",0,AN6*5)+IF(AP6="",0,AP6*5)+IF(AR6="",0,AR6*5))/15)</f>
        <v/>
      </c>
      <c r="AU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V6" s="14">
        <f>IF(AU6="","",1)</f>
        <v/>
      </c>
      <c r="AW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X6" s="14">
        <f>IF(AW6="","",1)</f>
        <v/>
      </c>
      <c r="AY6" s="11">
        <f>IF((IF((IF(OR(City_Inputs!$AF6="",Norm_Stats!$F$21="",Norm_Stats!$G$21="",Norm_Stats!$G$21=Norm_Stats!$F$21),"",MAX(0,MIN(100,100*(MIN(MAX(City_Inputs!$AF6,Norm_Stats!$F$21),Norm_Stats!$G$21)-Norm_Stats!$F$21)/(Norm_Stats!$G$21-Norm_Stats!$F$21)))))="",0,0.5)+IF((IF(OR(City_Inputs!$AI6="",Norm_Stats!$F$22="",Norm_Stats!$G$22="",Norm_Stats!$G$22=Norm_Stats!$F$22),"",MAX(0,MIN(100,100*(MIN(MAX(City_Inputs!$AI6,Norm_Stats!$F$22),Norm_Stats!$G$22)-Norm_Stats!$F$22)/(Norm_Stats!$G$22-Norm_Stats!$F$22)))))="",0,0.3)+IF((IF(OR(City_Inputs!$AJ6="",Norm_Stats!$F$23="",Norm_Stats!$G$23="",Norm_Stats!$G$23=Norm_Stats!$F$23),"",MAX(0,MIN(100,100*(MIN(MAX(City_Inputs!$AJ6,Norm_Stats!$F$23),Norm_Stats!$G$23)-Norm_Stats!$F$23)/(Norm_Stats!$G$23-Norm_Stats!$F$23)))))="",0,0.2))=0,"",(IF((IF(OR(City_Inputs!$AF6="",Norm_Stats!$F$21="",Norm_Stats!$G$21="",Norm_Stats!$G$21=Norm_Stats!$F$21),"",MAX(0,MIN(100,100*(MIN(MAX(City_Inputs!$AF6,Norm_Stats!$F$21),Norm_Stats!$G$21)-Norm_Stats!$F$21)/(Norm_Stats!$G$21-Norm_Stats!$F$21)))))="",0,(IF(OR(City_Inputs!$AF6="",Norm_Stats!$F$21="",Norm_Stats!$G$21="",Norm_Stats!$G$21=Norm_Stats!$F$21),"",MAX(0,MIN(100,100*(MIN(MAX(City_Inputs!$AF6,Norm_Stats!$F$21),Norm_Stats!$G$21)-Norm_Stats!$F$21)/(Norm_Stats!$G$21-Norm_Stats!$F$21)))))*0.5)+IF((IF(OR(City_Inputs!$AI6="",Norm_Stats!$F$22="",Norm_Stats!$G$22="",Norm_Stats!$G$22=Norm_Stats!$F$22),"",MAX(0,MIN(100,100*(MIN(MAX(City_Inputs!$AI6,Norm_Stats!$F$22),Norm_Stats!$G$22)-Norm_Stats!$F$22)/(Norm_Stats!$G$22-Norm_Stats!$F$22)))))="",0,(IF(OR(City_Inputs!$AI6="",Norm_Stats!$F$22="",Norm_Stats!$G$22="",Norm_Stats!$G$22=Norm_Stats!$F$22),"",MAX(0,MIN(100,100*(MIN(MAX(City_Inputs!$AI6,Norm_Stats!$F$22),Norm_Stats!$G$22)-Norm_Stats!$F$22)/(Norm_Stats!$G$22-Norm_Stats!$F$22)))))*0.3)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0.2))/(IF((IF(OR(City_Inputs!$AF6="",Norm_Stats!$F$21="",Norm_Stats!$G$21="",Norm_Stats!$G$21=Norm_Stats!$F$21),"",MAX(0,MIN(100,100*(MIN(MAX(City_Inputs!$AF6,Norm_Stats!$F$21),Norm_Stats!$G$21)-Norm_Stats!$F$21)/(Norm_Stats!$G$21-Norm_Stats!$F$21)))))="",0,0.5)+IF((IF(OR(City_Inputs!$AI6="",Norm_Stats!$F$22="",Norm_Stats!$G$22="",Norm_Stats!$G$22=Norm_Stats!$F$22),"",MAX(0,MIN(100,100*(MIN(MAX(City_Inputs!$AI6,Norm_Stats!$F$22),Norm_Stats!$G$22)-Norm_Stats!$F$22)/(Norm_Stats!$G$22-Norm_Stats!$F$22)))))="",0,0.3)+IF((IF(OR(City_Inputs!$AJ6="",Norm_Stats!$F$23="",Norm_Stats!$G$23="",Norm_Stats!$G$23=Norm_Stats!$F$23),"",MAX(0,MIN(100,100*(MIN(MAX(City_Inputs!$AJ6,Norm_Stats!$F$23),Norm_Stats!$G$23)-Norm_Stats!$F$23)/(Norm_Stats!$G$23-Norm_Stats!$F$23)))))="",0,0.2)))</f>
        <v/>
      </c>
      <c r="AZ6" s="14">
        <f>IF((IF((IF(OR(City_Inputs!$AF6="",Norm_Stats!$F$21="",Norm_Stats!$G$21="",Norm_Stats!$G$21=Norm_Stats!$F$21),"",MAX(0,MIN(100,100*(MIN(MAX(City_Inputs!$AF6,Norm_Stats!$F$21),Norm_Stats!$G$21)-Norm_Stats!$F$21)/(Norm_Stats!$G$21-Norm_Stats!$F$21)))))="",0,0.5)+IF((IF(OR(City_Inputs!$AI6="",Norm_Stats!$F$22="",Norm_Stats!$G$22="",Norm_Stats!$G$22=Norm_Stats!$F$22),"",MAX(0,MIN(100,100*(MIN(MAX(City_Inputs!$AI6,Norm_Stats!$F$22),Norm_Stats!$G$22)-Norm_Stats!$F$22)/(Norm_Stats!$G$22-Norm_Stats!$F$22)))))="",0,0.3)+IF((IF(OR(City_Inputs!$AJ6="",Norm_Stats!$F$23="",Norm_Stats!$G$23="",Norm_Stats!$G$23=Norm_Stats!$F$23),"",MAX(0,MIN(100,100*(MIN(MAX(City_Inputs!$AJ6,Norm_Stats!$F$23),Norm_Stats!$G$23)-Norm_Stats!$F$23)/(Norm_Stats!$G$23-Norm_Stats!$F$23)))))="",0,0.2))=0,"",(IF((IF(OR(City_Inputs!$AF6="",Norm_Stats!$F$21="",Norm_Stats!$G$21="",Norm_Stats!$G$21=Norm_Stats!$F$21),"",MAX(0,MIN(100,100*(MIN(MAX(City_Inputs!$AF6,Norm_Stats!$F$21),Norm_Stats!$G$21)-Norm_Stats!$F$21)/(Norm_Stats!$G$21-Norm_Stats!$F$21)))))="",0,0.5)+IF((IF(OR(City_Inputs!$AI6="",Norm_Stats!$F$22="",Norm_Stats!$G$22="",Norm_Stats!$G$22=Norm_Stats!$F$22),"",MAX(0,MIN(100,100*(MIN(MAX(City_Inputs!$AI6,Norm_Stats!$F$22),Norm_Stats!$G$22)-Norm_Stats!$F$22)/(Norm_Stats!$G$22-Norm_Stats!$F$22)))))="",0,0.3)+IF((IF(OR(City_Inputs!$AJ6="",Norm_Stats!$F$23="",Norm_Stats!$G$23="",Norm_Stats!$G$23=Norm_Stats!$F$23),"",MAX(0,MIN(100,100*(MIN(MAX(City_Inputs!$AJ6,Norm_Stats!$F$23),Norm_Stats!$G$23)-Norm_Stats!$F$23)/(Norm_Stats!$G$23-Norm_Stats!$F$23)))))="",0,0.2)))</f>
        <v/>
      </c>
      <c r="BA6" s="11">
        <f>IF(OR(City_Inputs!$AG6="",Norm_Stats!$F$24="",Norm_Stats!$G$24="",Norm_Stats!$G$24=Norm_Stats!$F$24),"",MAX(0,MIN(100,100*(Norm_Stats!$G$24-MIN(MAX(City_Inputs!$AG6,Norm_Stats!$F$24),Norm_Stats!$G$24))/(Norm_Stats!$G$24-Norm_Stats!$F$24))))</f>
        <v/>
      </c>
      <c r="BB6" s="14">
        <f>IF(BA6="","",1)</f>
        <v/>
      </c>
      <c r="BC6" s="15">
        <f>IF((IF(AU6="",0,6)+IF(AW6="",0,5)+IF(AY6="",0,5)+IF(BA6="",0,4))=0,"",(IF(AU6="",0,AU6*6)+IF(AW6="",0,AW6*5)+IF(AY6="",0,AY6*5)+IF(BA6="",0,BA6*4))/(IF(AU6="",0,6)+IF(AW6="",0,5)+IF(AY6="",0,5)+IF(BA6="",0,4)))</f>
        <v/>
      </c>
      <c r="BD6" s="14">
        <f>IF((IF(AV6="",0,6)+IF(AX6="",0,5)+IF(AZ6="",0,5)+IF(BB6="",0,4))=0,"",(IF(AV6="",0,AV6*6)+IF(AX6="",0,AX6*5)+IF(AZ6="",0,AZ6*5)+IF(BB6="",0,BB6*4))/20)</f>
        <v/>
      </c>
      <c r="BE6" s="14">
        <f>IF(AND(R6="",AD6="",AL6="",AT6="",BD6=""),"",((R6*25)+(AD6*22)+(AL6*18)+(AT6*15)+(BD6*20))/100)</f>
        <v/>
      </c>
      <c r="BF6" s="11">
        <f>IF(BE6="","",IF(BE6&gt;=0.75,"A",IF(BE6&gt;=0.5,"B",IF(BE6&gt;=0.35,"C","Watchlist"))))</f>
        <v/>
      </c>
      <c r="BG6" s="11">
        <f>IF(OR(BE6="",BE6&lt;0.5,R6="",R6&lt;0.35,AD6="",AD6&lt;0.35,AL6="",AL6&lt;0.35,AT6="",AT6&lt;0.35,BD6="",BD6&lt;0.35),"Watchlist","Ranked")</f>
        <v/>
      </c>
      <c r="BH6" s="15">
        <f>IF(AND(Q6="",AC6="",AK6="",AS6="",BC6=""),"",(IF(Q6="",0,Q6*25)+IF(AC6="",0,AC6*22)+IF(AK6="",0,AK6*18)+IF(AS6="",0,AS6*15)+IF(BC6="",0,BC6*20))/(IF(Q6="",0,25)+IF(AC6="",0,22)+IF(AK6="",0,18)+IF(AS6="",0,15)+IF(BC6="",0,20)))</f>
        <v/>
      </c>
      <c r="BI6" s="11">
        <f>IF(BG6="Ranked",1+COUNTIFS($BG$2:$BG$101,"Ranked",$BH$2:$BH$101,"&gt;"&amp;BH6),"")</f>
        <v/>
      </c>
      <c r="BJ6" s="11">
        <f>City_Inputs!$AH6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IF((IF(G7="",0,9)+IF(I7="",0,5)+IF(K7="",0,4)+IF(M7="",0,4)+IF(O7="",0,3))=0,"",(IF(G7="",0,G7*9)+IF(I7="",0,I7*5)+IF(K7="",0,K7*4)+IF(M7="",0,M7*4)+IF(O7="",0,O7*3))/(IF(G7="",0,9)+IF(I7="",0,5)+IF(K7="",0,4)+IF(M7="",0,4)+IF(O7="",0,3)))</f>
        <v/>
      </c>
      <c r="R7" s="14">
        <f>IF((IF(H7="",0,9)+IF(J7="",0,5)+IF(L7="",0,4)+IF(N7="",0,4)+IF(P7="",0,3))=0,"",(IF(H7="",0,H7*9)+IF(J7="",0,J7*5)+IF(L7="",0,L7*4)+IF(N7="",0,N7*4)+IF(P7="",0,P7*3))/25)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5">
        <f>IF((IF(S7="",0,5)+IF(U7="",0,5)+IF(W7="",0,4)+IF(Y7="",0,4)+IF(AA7="",0,4))=0,"",(IF(S7="",0,S7*5)+IF(U7="",0,U7*5)+IF(W7="",0,W7*4)+IF(Y7="",0,Y7*4)+IF(AA7="",0,AA7*4))/(IF(S7="",0,5)+IF(U7="",0,5)+IF(W7="",0,4)+IF(Y7="",0,4)+IF(AA7="",0,4)))</f>
        <v/>
      </c>
      <c r="AD7" s="14">
        <f>IF((IF(T7="",0,5)+IF(V7="",0,5)+IF(X7="",0,4)+IF(Z7="",0,4)+IF(AB7="",0,4))=0,"",(IF(T7="",0,T7*5)+IF(V7="",0,V7*5)+IF(X7="",0,X7*4)+IF(Z7="",0,Z7*4)+IF(AB7="",0,AB7*4))/22)</f>
        <v/>
      </c>
      <c r="AE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F7" s="14">
        <f>IF(AE7="","",1)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(IF((IF(OR(City_Inputs!$Z7="",Norm_Stats!$F$14="",Norm_Stats!$G$14="",Norm_Stats!$G$14=Norm_Stats!$F$14),"",MAX(0,MIN(100,100*(MIN(MAX(City_Inputs!$Z7,Norm_Stats!$F$14),Norm_Stats!$G$14)-Norm_Stats!$F$14)/(Norm_Stats!$G$14-Norm_Stats!$F$14)))))="",0,0.7)+IF((IF(OR(City_Inputs!$AK7="",Norm_Stats!$F$15="",Norm_Stats!$G$15="",Norm_Stats!$G$15=Norm_Stats!$F$15),"",MAX(0,MIN(100,100*(Norm_Stats!$G$15-MIN(MAX(City_Inputs!$AK7,Norm_Stats!$F$15),Norm_Stats!$G$15))/(Norm_Stats!$G$15-Norm_Stats!$F$15)))))="",0,0.3))=0,"",(IF((IF(OR(City_Inputs!$Z7="",Norm_Stats!$F$14="",Norm_Stats!$G$14="",Norm_Stats!$G$14=Norm_Stats!$F$14),"",MAX(0,MIN(100,100*(MIN(MAX(City_Inputs!$Z7,Norm_Stats!$F$14),Norm_Stats!$G$14)-Norm_Stats!$F$14)/(Norm_Stats!$G$14-Norm_Stats!$F$14)))))="",0,(IF(OR(City_Inputs!$Z7="",Norm_Stats!$F$14="",Norm_Stats!$G$14="",Norm_Stats!$G$14=Norm_Stats!$F$14),"",MAX(0,MIN(100,100*(MIN(MAX(City_Inputs!$Z7,Norm_Stats!$F$14),Norm_Stats!$G$14)-Norm_Stats!$F$14)/(Norm_Stats!$G$14-Norm_Stats!$F$14)))))*0.7)+IF((IF(OR(City_Inputs!$AK7="",Norm_Stats!$F$15="",Norm_Stats!$G$15="",Norm_Stats!$G$15=Norm_Stats!$F$15),"",MAX(0,MIN(100,100*(Norm_Stats!$G$15-MIN(MAX(City_Inputs!$AK7,Norm_Stats!$F$15),Norm_Stats!$G$15))/(Norm_Stats!$G$15-Norm_Stats!$F$15)))))="",0,(IF(OR(City_Inputs!$AK7="",Norm_Stats!$F$15="",Norm_Stats!$G$15="",Norm_Stats!$G$15=Norm_Stats!$F$15),"",MAX(0,MIN(100,100*(Norm_Stats!$G$15-MIN(MAX(City_Inputs!$AK7,Norm_Stats!$F$15),Norm_Stats!$G$15))/(Norm_Stats!$G$15-Norm_Stats!$F$15)))))*0.3))/(IF((IF(OR(City_Inputs!$Z7="",Norm_Stats!$F$14="",Norm_Stats!$G$14="",Norm_Stats!$G$14=Norm_Stats!$F$14),"",MAX(0,MIN(100,100*(MIN(MAX(City_Inputs!$Z7,Norm_Stats!$F$14),Norm_Stats!$G$14)-Norm_Stats!$F$14)/(Norm_Stats!$G$14-Norm_Stats!$F$14)))))="",0,0.7)+IF((IF(OR(City_Inputs!$AK7="",Norm_Stats!$F$15="",Norm_Stats!$G$15="",Norm_Stats!$G$15=Norm_Stats!$F$15),"",MAX(0,MIN(100,100*(Norm_Stats!$G$15-MIN(MAX(City_Inputs!$AK7,Norm_Stats!$F$15),Norm_Stats!$G$15))/(Norm_Stats!$G$15-Norm_Stats!$F$15)))))="",0,0.3)))</f>
        <v/>
      </c>
      <c r="AJ7" s="14">
        <f>IF((IF((IF(OR(City_Inputs!$Z7="",Norm_Stats!$F$14="",Norm_Stats!$G$14="",Norm_Stats!$G$14=Norm_Stats!$F$14),"",MAX(0,MIN(100,100*(MIN(MAX(City_Inputs!$Z7,Norm_Stats!$F$14),Norm_Stats!$G$14)-Norm_Stats!$F$14)/(Norm_Stats!$G$14-Norm_Stats!$F$14)))))="",0,0.7)+IF((IF(OR(City_Inputs!$AK7="",Norm_Stats!$F$15="",Norm_Stats!$G$15="",Norm_Stats!$G$15=Norm_Stats!$F$15),"",MAX(0,MIN(100,100*(Norm_Stats!$G$15-MIN(MAX(City_Inputs!$AK7,Norm_Stats!$F$15),Norm_Stats!$G$15))/(Norm_Stats!$G$15-Norm_Stats!$F$15)))))="",0,0.3))=0,"",(IF((IF(OR(City_Inputs!$Z7="",Norm_Stats!$F$14="",Norm_Stats!$G$14="",Norm_Stats!$G$14=Norm_Stats!$F$14),"",MAX(0,MIN(100,100*(MIN(MAX(City_Inputs!$Z7,Norm_Stats!$F$14),Norm_Stats!$G$14)-Norm_Stats!$F$14)/(Norm_Stats!$G$14-Norm_Stats!$F$14)))))="",0,0.7)+IF((IF(OR(City_Inputs!$AK7="",Norm_Stats!$F$15="",Norm_Stats!$G$15="",Norm_Stats!$G$15=Norm_Stats!$F$15),"",MAX(0,MIN(100,100*(Norm_Stats!$G$15-MIN(MAX(City_Inputs!$AK7,Norm_Stats!$F$15),Norm_Stats!$G$15))/(Norm_Stats!$G$15-Norm_Stats!$F$15)))))="",0,0.3)))</f>
        <v/>
      </c>
      <c r="AK7" s="15">
        <f>IF((IF(AE7="",0,8)+IF(AG7="",0,6)+IF(AI7="",0,4))=0,"",(IF(AE7="",0,AE7*8)+IF(AG7="",0,AG7*6)+IF(AI7="",0,AI7*4))/(IF(AE7="",0,8)+IF(AG7="",0,6)+IF(AI7="",0,4)))</f>
        <v/>
      </c>
      <c r="AL7" s="14">
        <f>IF((IF(AF7="",0,8)+IF(AH7="",0,6)+IF(AJ7="",0,4))=0,"",(IF(AF7="",0,AF7*8)+IF(AH7="",0,AH7*6)+IF(AJ7="",0,AJ7*4))/18)</f>
        <v/>
      </c>
      <c r="AM7" s="11">
        <f>IF(OR(City_Inputs!$AA7="",Norm_Stats!$F$16="",Norm_Stats!$G$16="",Norm_Stats!$G$16=Norm_Stats!$F$16),"",MAX(0,MIN(100,100*(MIN(MAX(City_Inputs!$AA7,Norm_Stats!$F$16),Norm_Stats!$G$16)-Norm_Stats!$F$16)/(Norm_Stats!$G$16-Norm_Stats!$F$16))))</f>
        <v/>
      </c>
      <c r="AN7" s="14">
        <f>IF(AM7="","",1)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5">
        <f>IF((IF(AM7="",0,5)+IF(AO7="",0,5)+IF(AQ7="",0,5))=0,"",(IF(AM7="",0,AM7*5)+IF(AO7="",0,AO7*5)+IF(AQ7="",0,AQ7*5))/(IF(AM7="",0,5)+IF(AO7="",0,5)+IF(AQ7="",0,5)))</f>
        <v/>
      </c>
      <c r="AT7" s="14">
        <f>IF((IF(AN7="",0,5)+IF(AP7="",0,5)+IF(AR7="",0,5))=0,"",(IF(AN7="",0,AN7*5)+IF(AP7="",0,AP7*5)+IF(AR7="",0,AR7*5))/15)</f>
        <v/>
      </c>
      <c r="AU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V7" s="14">
        <f>IF(AU7="","",1)</f>
        <v/>
      </c>
      <c r="AW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X7" s="14">
        <f>IF(AW7="","",1)</f>
        <v/>
      </c>
      <c r="AY7" s="11">
        <f>IF((IF((IF(OR(City_Inputs!$AF7="",Norm_Stats!$F$21="",Norm_Stats!$G$21="",Norm_Stats!$G$21=Norm_Stats!$F$21),"",MAX(0,MIN(100,100*(MIN(MAX(City_Inputs!$AF7,Norm_Stats!$F$21),Norm_Stats!$G$21)-Norm_Stats!$F$21)/(Norm_Stats!$G$21-Norm_Stats!$F$21)))))="",0,0.5)+IF((IF(OR(City_Inputs!$AI7="",Norm_Stats!$F$22="",Norm_Stats!$G$22="",Norm_Stats!$G$22=Norm_Stats!$F$22),"",MAX(0,MIN(100,100*(MIN(MAX(City_Inputs!$AI7,Norm_Stats!$F$22),Norm_Stats!$G$22)-Norm_Stats!$F$22)/(Norm_Stats!$G$22-Norm_Stats!$F$22)))))="",0,0.3)+IF((IF(OR(City_Inputs!$AJ7="",Norm_Stats!$F$23="",Norm_Stats!$G$23="",Norm_Stats!$G$23=Norm_Stats!$F$23),"",MAX(0,MIN(100,100*(MIN(MAX(City_Inputs!$AJ7,Norm_Stats!$F$23),Norm_Stats!$G$23)-Norm_Stats!$F$23)/(Norm_Stats!$G$23-Norm_Stats!$F$23)))))="",0,0.2))=0,"",(IF((IF(OR(City_Inputs!$AF7="",Norm_Stats!$F$21="",Norm_Stats!$G$21="",Norm_Stats!$G$21=Norm_Stats!$F$21),"",MAX(0,MIN(100,100*(MIN(MAX(City_Inputs!$AF7,Norm_Stats!$F$21),Norm_Stats!$G$21)-Norm_Stats!$F$21)/(Norm_Stats!$G$21-Norm_Stats!$F$21)))))="",0,(IF(OR(City_Inputs!$AF7="",Norm_Stats!$F$21="",Norm_Stats!$G$21="",Norm_Stats!$G$21=Norm_Stats!$F$21),"",MAX(0,MIN(100,100*(MIN(MAX(City_Inputs!$AF7,Norm_Stats!$F$21),Norm_Stats!$G$21)-Norm_Stats!$F$21)/(Norm_Stats!$G$21-Norm_Stats!$F$21)))))*0.5)+IF((IF(OR(City_Inputs!$AI7="",Norm_Stats!$F$22="",Norm_Stats!$G$22="",Norm_Stats!$G$22=Norm_Stats!$F$22),"",MAX(0,MIN(100,100*(MIN(MAX(City_Inputs!$AI7,Norm_Stats!$F$22),Norm_Stats!$G$22)-Norm_Stats!$F$22)/(Norm_Stats!$G$22-Norm_Stats!$F$22)))))="",0,(IF(OR(City_Inputs!$AI7="",Norm_Stats!$F$22="",Norm_Stats!$G$22="",Norm_Stats!$G$22=Norm_Stats!$F$22),"",MAX(0,MIN(100,100*(MIN(MAX(City_Inputs!$AI7,Norm_Stats!$F$22),Norm_Stats!$G$22)-Norm_Stats!$F$22)/(Norm_Stats!$G$22-Norm_Stats!$F$22)))))*0.3)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0.2))/(IF((IF(OR(City_Inputs!$AF7="",Norm_Stats!$F$21="",Norm_Stats!$G$21="",Norm_Stats!$G$21=Norm_Stats!$F$21),"",MAX(0,MIN(100,100*(MIN(MAX(City_Inputs!$AF7,Norm_Stats!$F$21),Norm_Stats!$G$21)-Norm_Stats!$F$21)/(Norm_Stats!$G$21-Norm_Stats!$F$21)))))="",0,0.5)+IF((IF(OR(City_Inputs!$AI7="",Norm_Stats!$F$22="",Norm_Stats!$G$22="",Norm_Stats!$G$22=Norm_Stats!$F$22),"",MAX(0,MIN(100,100*(MIN(MAX(City_Inputs!$AI7,Norm_Stats!$F$22),Norm_Stats!$G$22)-Norm_Stats!$F$22)/(Norm_Stats!$G$22-Norm_Stats!$F$22)))))="",0,0.3)+IF((IF(OR(City_Inputs!$AJ7="",Norm_Stats!$F$23="",Norm_Stats!$G$23="",Norm_Stats!$G$23=Norm_Stats!$F$23),"",MAX(0,MIN(100,100*(MIN(MAX(City_Inputs!$AJ7,Norm_Stats!$F$23),Norm_Stats!$G$23)-Norm_Stats!$F$23)/(Norm_Stats!$G$23-Norm_Stats!$F$23)))))="",0,0.2)))</f>
        <v/>
      </c>
      <c r="AZ7" s="14">
        <f>IF((IF((IF(OR(City_Inputs!$AF7="",Norm_Stats!$F$21="",Norm_Stats!$G$21="",Norm_Stats!$G$21=Norm_Stats!$F$21),"",MAX(0,MIN(100,100*(MIN(MAX(City_Inputs!$AF7,Norm_Stats!$F$21),Norm_Stats!$G$21)-Norm_Stats!$F$21)/(Norm_Stats!$G$21-Norm_Stats!$F$21)))))="",0,0.5)+IF((IF(OR(City_Inputs!$AI7="",Norm_Stats!$F$22="",Norm_Stats!$G$22="",Norm_Stats!$G$22=Norm_Stats!$F$22),"",MAX(0,MIN(100,100*(MIN(MAX(City_Inputs!$AI7,Norm_Stats!$F$22),Norm_Stats!$G$22)-Norm_Stats!$F$22)/(Norm_Stats!$G$22-Norm_Stats!$F$22)))))="",0,0.3)+IF((IF(OR(City_Inputs!$AJ7="",Norm_Stats!$F$23="",Norm_Stats!$G$23="",Norm_Stats!$G$23=Norm_Stats!$F$23),"",MAX(0,MIN(100,100*(MIN(MAX(City_Inputs!$AJ7,Norm_Stats!$F$23),Norm_Stats!$G$23)-Norm_Stats!$F$23)/(Norm_Stats!$G$23-Norm_Stats!$F$23)))))="",0,0.2))=0,"",(IF((IF(OR(City_Inputs!$AF7="",Norm_Stats!$F$21="",Norm_Stats!$G$21="",Norm_Stats!$G$21=Norm_Stats!$F$21),"",MAX(0,MIN(100,100*(MIN(MAX(City_Inputs!$AF7,Norm_Stats!$F$21),Norm_Stats!$G$21)-Norm_Stats!$F$21)/(Norm_Stats!$G$21-Norm_Stats!$F$21)))))="",0,0.5)+IF((IF(OR(City_Inputs!$AI7="",Norm_Stats!$F$22="",Norm_Stats!$G$22="",Norm_Stats!$G$22=Norm_Stats!$F$22),"",MAX(0,MIN(100,100*(MIN(MAX(City_Inputs!$AI7,Norm_Stats!$F$22),Norm_Stats!$G$22)-Norm_Stats!$F$22)/(Norm_Stats!$G$22-Norm_Stats!$F$22)))))="",0,0.3)+IF((IF(OR(City_Inputs!$AJ7="",Norm_Stats!$F$23="",Norm_Stats!$G$23="",Norm_Stats!$G$23=Norm_Stats!$F$23),"",MAX(0,MIN(100,100*(MIN(MAX(City_Inputs!$AJ7,Norm_Stats!$F$23),Norm_Stats!$G$23)-Norm_Stats!$F$23)/(Norm_Stats!$G$23-Norm_Stats!$F$23)))))="",0,0.2)))</f>
        <v/>
      </c>
      <c r="BA7" s="11">
        <f>IF(OR(City_Inputs!$AG7="",Norm_Stats!$F$24="",Norm_Stats!$G$24="",Norm_Stats!$G$24=Norm_Stats!$F$24),"",MAX(0,MIN(100,100*(Norm_Stats!$G$24-MIN(MAX(City_Inputs!$AG7,Norm_Stats!$F$24),Norm_Stats!$G$24))/(Norm_Stats!$G$24-Norm_Stats!$F$24))))</f>
        <v/>
      </c>
      <c r="BB7" s="14">
        <f>IF(BA7="","",1)</f>
        <v/>
      </c>
      <c r="BC7" s="15">
        <f>IF((IF(AU7="",0,6)+IF(AW7="",0,5)+IF(AY7="",0,5)+IF(BA7="",0,4))=0,"",(IF(AU7="",0,AU7*6)+IF(AW7="",0,AW7*5)+IF(AY7="",0,AY7*5)+IF(BA7="",0,BA7*4))/(IF(AU7="",0,6)+IF(AW7="",0,5)+IF(AY7="",0,5)+IF(BA7="",0,4)))</f>
        <v/>
      </c>
      <c r="BD7" s="14">
        <f>IF((IF(AV7="",0,6)+IF(AX7="",0,5)+IF(AZ7="",0,5)+IF(BB7="",0,4))=0,"",(IF(AV7="",0,AV7*6)+IF(AX7="",0,AX7*5)+IF(AZ7="",0,AZ7*5)+IF(BB7="",0,BB7*4))/20)</f>
        <v/>
      </c>
      <c r="BE7" s="14">
        <f>IF(AND(R7="",AD7="",AL7="",AT7="",BD7=""),"",((R7*25)+(AD7*22)+(AL7*18)+(AT7*15)+(BD7*20))/100)</f>
        <v/>
      </c>
      <c r="BF7" s="11">
        <f>IF(BE7="","",IF(BE7&gt;=0.75,"A",IF(BE7&gt;=0.5,"B",IF(BE7&gt;=0.35,"C","Watchlist"))))</f>
        <v/>
      </c>
      <c r="BG7" s="11">
        <f>IF(OR(BE7="",BE7&lt;0.5,R7="",R7&lt;0.35,AD7="",AD7&lt;0.35,AL7="",AL7&lt;0.35,AT7="",AT7&lt;0.35,BD7="",BD7&lt;0.35),"Watchlist","Ranked")</f>
        <v/>
      </c>
      <c r="BH7" s="15">
        <f>IF(AND(Q7="",AC7="",AK7="",AS7="",BC7=""),"",(IF(Q7="",0,Q7*25)+IF(AC7="",0,AC7*22)+IF(AK7="",0,AK7*18)+IF(AS7="",0,AS7*15)+IF(BC7="",0,BC7*20))/(IF(Q7="",0,25)+IF(AC7="",0,22)+IF(AK7="",0,18)+IF(AS7="",0,15)+IF(BC7="",0,20)))</f>
        <v/>
      </c>
      <c r="BI7" s="11">
        <f>IF(BG7="Ranked",1+COUNTIFS($BG$2:$BG$101,"Ranked",$BH$2:$BH$101,"&gt;"&amp;BH7),"")</f>
        <v/>
      </c>
      <c r="BJ7" s="11">
        <f>City_Inputs!$AH7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IF((IF(G8="",0,9)+IF(I8="",0,5)+IF(K8="",0,4)+IF(M8="",0,4)+IF(O8="",0,3))=0,"",(IF(G8="",0,G8*9)+IF(I8="",0,I8*5)+IF(K8="",0,K8*4)+IF(M8="",0,M8*4)+IF(O8="",0,O8*3))/(IF(G8="",0,9)+IF(I8="",0,5)+IF(K8="",0,4)+IF(M8="",0,4)+IF(O8="",0,3)))</f>
        <v/>
      </c>
      <c r="R8" s="14">
        <f>IF((IF(H8="",0,9)+IF(J8="",0,5)+IF(L8="",0,4)+IF(N8="",0,4)+IF(P8="",0,3))=0,"",(IF(H8="",0,H8*9)+IF(J8="",0,J8*5)+IF(L8="",0,L8*4)+IF(N8="",0,N8*4)+IF(P8="",0,P8*3))/25)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5">
        <f>IF((IF(S8="",0,5)+IF(U8="",0,5)+IF(W8="",0,4)+IF(Y8="",0,4)+IF(AA8="",0,4))=0,"",(IF(S8="",0,S8*5)+IF(U8="",0,U8*5)+IF(W8="",0,W8*4)+IF(Y8="",0,Y8*4)+IF(AA8="",0,AA8*4))/(IF(S8="",0,5)+IF(U8="",0,5)+IF(W8="",0,4)+IF(Y8="",0,4)+IF(AA8="",0,4)))</f>
        <v/>
      </c>
      <c r="AD8" s="14">
        <f>IF((IF(T8="",0,5)+IF(V8="",0,5)+IF(X8="",0,4)+IF(Z8="",0,4)+IF(AB8="",0,4))=0,"",(IF(T8="",0,T8*5)+IF(V8="",0,V8*5)+IF(X8="",0,X8*4)+IF(Z8="",0,Z8*4)+IF(AB8="",0,AB8*4))/22)</f>
        <v/>
      </c>
      <c r="AE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F8" s="14">
        <f>IF(AE8="","",1)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(IF((IF(OR(City_Inputs!$Z8="",Norm_Stats!$F$14="",Norm_Stats!$G$14="",Norm_Stats!$G$14=Norm_Stats!$F$14),"",MAX(0,MIN(100,100*(MIN(MAX(City_Inputs!$Z8,Norm_Stats!$F$14),Norm_Stats!$G$14)-Norm_Stats!$F$14)/(Norm_Stats!$G$14-Norm_Stats!$F$14)))))="",0,0.7)+IF((IF(OR(City_Inputs!$AK8="",Norm_Stats!$F$15="",Norm_Stats!$G$15="",Norm_Stats!$G$15=Norm_Stats!$F$15),"",MAX(0,MIN(100,100*(Norm_Stats!$G$15-MIN(MAX(City_Inputs!$AK8,Norm_Stats!$F$15),Norm_Stats!$G$15))/(Norm_Stats!$G$15-Norm_Stats!$F$15)))))="",0,0.3))=0,"",(IF((IF(OR(City_Inputs!$Z8="",Norm_Stats!$F$14="",Norm_Stats!$G$14="",Norm_Stats!$G$14=Norm_Stats!$F$14),"",MAX(0,MIN(100,100*(MIN(MAX(City_Inputs!$Z8,Norm_Stats!$F$14),Norm_Stats!$G$14)-Norm_Stats!$F$14)/(Norm_Stats!$G$14-Norm_Stats!$F$14)))))="",0,(IF(OR(City_Inputs!$Z8="",Norm_Stats!$F$14="",Norm_Stats!$G$14="",Norm_Stats!$G$14=Norm_Stats!$F$14),"",MAX(0,MIN(100,100*(MIN(MAX(City_Inputs!$Z8,Norm_Stats!$F$14),Norm_Stats!$G$14)-Norm_Stats!$F$14)/(Norm_Stats!$G$14-Norm_Stats!$F$14)))))*0.7)+IF((IF(OR(City_Inputs!$AK8="",Norm_Stats!$F$15="",Norm_Stats!$G$15="",Norm_Stats!$G$15=Norm_Stats!$F$15),"",MAX(0,MIN(100,100*(Norm_Stats!$G$15-MIN(MAX(City_Inputs!$AK8,Norm_Stats!$F$15),Norm_Stats!$G$15))/(Norm_Stats!$G$15-Norm_Stats!$F$15)))))="",0,(IF(OR(City_Inputs!$AK8="",Norm_Stats!$F$15="",Norm_Stats!$G$15="",Norm_Stats!$G$15=Norm_Stats!$F$15),"",MAX(0,MIN(100,100*(Norm_Stats!$G$15-MIN(MAX(City_Inputs!$AK8,Norm_Stats!$F$15),Norm_Stats!$G$15))/(Norm_Stats!$G$15-Norm_Stats!$F$15)))))*0.3))/(IF((IF(OR(City_Inputs!$Z8="",Norm_Stats!$F$14="",Norm_Stats!$G$14="",Norm_Stats!$G$14=Norm_Stats!$F$14),"",MAX(0,MIN(100,100*(MIN(MAX(City_Inputs!$Z8,Norm_Stats!$F$14),Norm_Stats!$G$14)-Norm_Stats!$F$14)/(Norm_Stats!$G$14-Norm_Stats!$F$14)))))="",0,0.7)+IF((IF(OR(City_Inputs!$AK8="",Norm_Stats!$F$15="",Norm_Stats!$G$15="",Norm_Stats!$G$15=Norm_Stats!$F$15),"",MAX(0,MIN(100,100*(Norm_Stats!$G$15-MIN(MAX(City_Inputs!$AK8,Norm_Stats!$F$15),Norm_Stats!$G$15))/(Norm_Stats!$G$15-Norm_Stats!$F$15)))))="",0,0.3)))</f>
        <v/>
      </c>
      <c r="AJ8" s="14">
        <f>IF((IF((IF(OR(City_Inputs!$Z8="",Norm_Stats!$F$14="",Norm_Stats!$G$14="",Norm_Stats!$G$14=Norm_Stats!$F$14),"",MAX(0,MIN(100,100*(MIN(MAX(City_Inputs!$Z8,Norm_Stats!$F$14),Norm_Stats!$G$14)-Norm_Stats!$F$14)/(Norm_Stats!$G$14-Norm_Stats!$F$14)))))="",0,0.7)+IF((IF(OR(City_Inputs!$AK8="",Norm_Stats!$F$15="",Norm_Stats!$G$15="",Norm_Stats!$G$15=Norm_Stats!$F$15),"",MAX(0,MIN(100,100*(Norm_Stats!$G$15-MIN(MAX(City_Inputs!$AK8,Norm_Stats!$F$15),Norm_Stats!$G$15))/(Norm_Stats!$G$15-Norm_Stats!$F$15)))))="",0,0.3))=0,"",(IF((IF(OR(City_Inputs!$Z8="",Norm_Stats!$F$14="",Norm_Stats!$G$14="",Norm_Stats!$G$14=Norm_Stats!$F$14),"",MAX(0,MIN(100,100*(MIN(MAX(City_Inputs!$Z8,Norm_Stats!$F$14),Norm_Stats!$G$14)-Norm_Stats!$F$14)/(Norm_Stats!$G$14-Norm_Stats!$F$14)))))="",0,0.7)+IF((IF(OR(City_Inputs!$AK8="",Norm_Stats!$F$15="",Norm_Stats!$G$15="",Norm_Stats!$G$15=Norm_Stats!$F$15),"",MAX(0,MIN(100,100*(Norm_Stats!$G$15-MIN(MAX(City_Inputs!$AK8,Norm_Stats!$F$15),Norm_Stats!$G$15))/(Norm_Stats!$G$15-Norm_Stats!$F$15)))))="",0,0.3)))</f>
        <v/>
      </c>
      <c r="AK8" s="15">
        <f>IF((IF(AE8="",0,8)+IF(AG8="",0,6)+IF(AI8="",0,4))=0,"",(IF(AE8="",0,AE8*8)+IF(AG8="",0,AG8*6)+IF(AI8="",0,AI8*4))/(IF(AE8="",0,8)+IF(AG8="",0,6)+IF(AI8="",0,4)))</f>
        <v/>
      </c>
      <c r="AL8" s="14">
        <f>IF((IF(AF8="",0,8)+IF(AH8="",0,6)+IF(AJ8="",0,4))=0,"",(IF(AF8="",0,AF8*8)+IF(AH8="",0,AH8*6)+IF(AJ8="",0,AJ8*4))/18)</f>
        <v/>
      </c>
      <c r="AM8" s="11">
        <f>IF(OR(City_Inputs!$AA8="",Norm_Stats!$F$16="",Norm_Stats!$G$16="",Norm_Stats!$G$16=Norm_Stats!$F$16),"",MAX(0,MIN(100,100*(MIN(MAX(City_Inputs!$AA8,Norm_Stats!$F$16),Norm_Stats!$G$16)-Norm_Stats!$F$16)/(Norm_Stats!$G$16-Norm_Stats!$F$16))))</f>
        <v/>
      </c>
      <c r="AN8" s="14">
        <f>IF(AM8="","",1)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5">
        <f>IF((IF(AM8="",0,5)+IF(AO8="",0,5)+IF(AQ8="",0,5))=0,"",(IF(AM8="",0,AM8*5)+IF(AO8="",0,AO8*5)+IF(AQ8="",0,AQ8*5))/(IF(AM8="",0,5)+IF(AO8="",0,5)+IF(AQ8="",0,5)))</f>
        <v/>
      </c>
      <c r="AT8" s="14">
        <f>IF((IF(AN8="",0,5)+IF(AP8="",0,5)+IF(AR8="",0,5))=0,"",(IF(AN8="",0,AN8*5)+IF(AP8="",0,AP8*5)+IF(AR8="",0,AR8*5))/15)</f>
        <v/>
      </c>
      <c r="AU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V8" s="14">
        <f>IF(AU8="","",1)</f>
        <v/>
      </c>
      <c r="AW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X8" s="14">
        <f>IF(AW8="","",1)</f>
        <v/>
      </c>
      <c r="AY8" s="11">
        <f>IF((IF((IF(OR(City_Inputs!$AF8="",Norm_Stats!$F$21="",Norm_Stats!$G$21="",Norm_Stats!$G$21=Norm_Stats!$F$21),"",MAX(0,MIN(100,100*(MIN(MAX(City_Inputs!$AF8,Norm_Stats!$F$21),Norm_Stats!$G$21)-Norm_Stats!$F$21)/(Norm_Stats!$G$21-Norm_Stats!$F$21)))))="",0,0.5)+IF((IF(OR(City_Inputs!$AI8="",Norm_Stats!$F$22="",Norm_Stats!$G$22="",Norm_Stats!$G$22=Norm_Stats!$F$22),"",MAX(0,MIN(100,100*(MIN(MAX(City_Inputs!$AI8,Norm_Stats!$F$22),Norm_Stats!$G$22)-Norm_Stats!$F$22)/(Norm_Stats!$G$22-Norm_Stats!$F$22)))))="",0,0.3)+IF((IF(OR(City_Inputs!$AJ8="",Norm_Stats!$F$23="",Norm_Stats!$G$23="",Norm_Stats!$G$23=Norm_Stats!$F$23),"",MAX(0,MIN(100,100*(MIN(MAX(City_Inputs!$AJ8,Norm_Stats!$F$23),Norm_Stats!$G$23)-Norm_Stats!$F$23)/(Norm_Stats!$G$23-Norm_Stats!$F$23)))))="",0,0.2))=0,"",(IF((IF(OR(City_Inputs!$AF8="",Norm_Stats!$F$21="",Norm_Stats!$G$21="",Norm_Stats!$G$21=Norm_Stats!$F$21),"",MAX(0,MIN(100,100*(MIN(MAX(City_Inputs!$AF8,Norm_Stats!$F$21),Norm_Stats!$G$21)-Norm_Stats!$F$21)/(Norm_Stats!$G$21-Norm_Stats!$F$21)))))="",0,(IF(OR(City_Inputs!$AF8="",Norm_Stats!$F$21="",Norm_Stats!$G$21="",Norm_Stats!$G$21=Norm_Stats!$F$21),"",MAX(0,MIN(100,100*(MIN(MAX(City_Inputs!$AF8,Norm_Stats!$F$21),Norm_Stats!$G$21)-Norm_Stats!$F$21)/(Norm_Stats!$G$21-Norm_Stats!$F$21)))))*0.5)+IF((IF(OR(City_Inputs!$AI8="",Norm_Stats!$F$22="",Norm_Stats!$G$22="",Norm_Stats!$G$22=Norm_Stats!$F$22),"",MAX(0,MIN(100,100*(MIN(MAX(City_Inputs!$AI8,Norm_Stats!$F$22),Norm_Stats!$G$22)-Norm_Stats!$F$22)/(Norm_Stats!$G$22-Norm_Stats!$F$22)))))="",0,(IF(OR(City_Inputs!$AI8="",Norm_Stats!$F$22="",Norm_Stats!$G$22="",Norm_Stats!$G$22=Norm_Stats!$F$22),"",MAX(0,MIN(100,100*(MIN(MAX(City_Inputs!$AI8,Norm_Stats!$F$22),Norm_Stats!$G$22)-Norm_Stats!$F$22)/(Norm_Stats!$G$22-Norm_Stats!$F$22)))))*0.3)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0.2))/(IF((IF(OR(City_Inputs!$AF8="",Norm_Stats!$F$21="",Norm_Stats!$G$21="",Norm_Stats!$G$21=Norm_Stats!$F$21),"",MAX(0,MIN(100,100*(MIN(MAX(City_Inputs!$AF8,Norm_Stats!$F$21),Norm_Stats!$G$21)-Norm_Stats!$F$21)/(Norm_Stats!$G$21-Norm_Stats!$F$21)))))="",0,0.5)+IF((IF(OR(City_Inputs!$AI8="",Norm_Stats!$F$22="",Norm_Stats!$G$22="",Norm_Stats!$G$22=Norm_Stats!$F$22),"",MAX(0,MIN(100,100*(MIN(MAX(City_Inputs!$AI8,Norm_Stats!$F$22),Norm_Stats!$G$22)-Norm_Stats!$F$22)/(Norm_Stats!$G$22-Norm_Stats!$F$22)))))="",0,0.3)+IF((IF(OR(City_Inputs!$AJ8="",Norm_Stats!$F$23="",Norm_Stats!$G$23="",Norm_Stats!$G$23=Norm_Stats!$F$23),"",MAX(0,MIN(100,100*(MIN(MAX(City_Inputs!$AJ8,Norm_Stats!$F$23),Norm_Stats!$G$23)-Norm_Stats!$F$23)/(Norm_Stats!$G$23-Norm_Stats!$F$23)))))="",0,0.2)))</f>
        <v/>
      </c>
      <c r="AZ8" s="14">
        <f>IF((IF((IF(OR(City_Inputs!$AF8="",Norm_Stats!$F$21="",Norm_Stats!$G$21="",Norm_Stats!$G$21=Norm_Stats!$F$21),"",MAX(0,MIN(100,100*(MIN(MAX(City_Inputs!$AF8,Norm_Stats!$F$21),Norm_Stats!$G$21)-Norm_Stats!$F$21)/(Norm_Stats!$G$21-Norm_Stats!$F$21)))))="",0,0.5)+IF((IF(OR(City_Inputs!$AI8="",Norm_Stats!$F$22="",Norm_Stats!$G$22="",Norm_Stats!$G$22=Norm_Stats!$F$22),"",MAX(0,MIN(100,100*(MIN(MAX(City_Inputs!$AI8,Norm_Stats!$F$22),Norm_Stats!$G$22)-Norm_Stats!$F$22)/(Norm_Stats!$G$22-Norm_Stats!$F$22)))))="",0,0.3)+IF((IF(OR(City_Inputs!$AJ8="",Norm_Stats!$F$23="",Norm_Stats!$G$23="",Norm_Stats!$G$23=Norm_Stats!$F$23),"",MAX(0,MIN(100,100*(MIN(MAX(City_Inputs!$AJ8,Norm_Stats!$F$23),Norm_Stats!$G$23)-Norm_Stats!$F$23)/(Norm_Stats!$G$23-Norm_Stats!$F$23)))))="",0,0.2))=0,"",(IF((IF(OR(City_Inputs!$AF8="",Norm_Stats!$F$21="",Norm_Stats!$G$21="",Norm_Stats!$G$21=Norm_Stats!$F$21),"",MAX(0,MIN(100,100*(MIN(MAX(City_Inputs!$AF8,Norm_Stats!$F$21),Norm_Stats!$G$21)-Norm_Stats!$F$21)/(Norm_Stats!$G$21-Norm_Stats!$F$21)))))="",0,0.5)+IF((IF(OR(City_Inputs!$AI8="",Norm_Stats!$F$22="",Norm_Stats!$G$22="",Norm_Stats!$G$22=Norm_Stats!$F$22),"",MAX(0,MIN(100,100*(MIN(MAX(City_Inputs!$AI8,Norm_Stats!$F$22),Norm_Stats!$G$22)-Norm_Stats!$F$22)/(Norm_Stats!$G$22-Norm_Stats!$F$22)))))="",0,0.3)+IF((IF(OR(City_Inputs!$AJ8="",Norm_Stats!$F$23="",Norm_Stats!$G$23="",Norm_Stats!$G$23=Norm_Stats!$F$23),"",MAX(0,MIN(100,100*(MIN(MAX(City_Inputs!$AJ8,Norm_Stats!$F$23),Norm_Stats!$G$23)-Norm_Stats!$F$23)/(Norm_Stats!$G$23-Norm_Stats!$F$23)))))="",0,0.2)))</f>
        <v/>
      </c>
      <c r="BA8" s="11">
        <f>IF(OR(City_Inputs!$AG8="",Norm_Stats!$F$24="",Norm_Stats!$G$24="",Norm_Stats!$G$24=Norm_Stats!$F$24),"",MAX(0,MIN(100,100*(Norm_Stats!$G$24-MIN(MAX(City_Inputs!$AG8,Norm_Stats!$F$24),Norm_Stats!$G$24))/(Norm_Stats!$G$24-Norm_Stats!$F$24))))</f>
        <v/>
      </c>
      <c r="BB8" s="14">
        <f>IF(BA8="","",1)</f>
        <v/>
      </c>
      <c r="BC8" s="15">
        <f>IF((IF(AU8="",0,6)+IF(AW8="",0,5)+IF(AY8="",0,5)+IF(BA8="",0,4))=0,"",(IF(AU8="",0,AU8*6)+IF(AW8="",0,AW8*5)+IF(AY8="",0,AY8*5)+IF(BA8="",0,BA8*4))/(IF(AU8="",0,6)+IF(AW8="",0,5)+IF(AY8="",0,5)+IF(BA8="",0,4)))</f>
        <v/>
      </c>
      <c r="BD8" s="14">
        <f>IF((IF(AV8="",0,6)+IF(AX8="",0,5)+IF(AZ8="",0,5)+IF(BB8="",0,4))=0,"",(IF(AV8="",0,AV8*6)+IF(AX8="",0,AX8*5)+IF(AZ8="",0,AZ8*5)+IF(BB8="",0,BB8*4))/20)</f>
        <v/>
      </c>
      <c r="BE8" s="14">
        <f>IF(AND(R8="",AD8="",AL8="",AT8="",BD8=""),"",((R8*25)+(AD8*22)+(AL8*18)+(AT8*15)+(BD8*20))/100)</f>
        <v/>
      </c>
      <c r="BF8" s="11">
        <f>IF(BE8="","",IF(BE8&gt;=0.75,"A",IF(BE8&gt;=0.5,"B",IF(BE8&gt;=0.35,"C","Watchlist"))))</f>
        <v/>
      </c>
      <c r="BG8" s="11">
        <f>IF(OR(BE8="",BE8&lt;0.5,R8="",R8&lt;0.35,AD8="",AD8&lt;0.35,AL8="",AL8&lt;0.35,AT8="",AT8&lt;0.35,BD8="",BD8&lt;0.35),"Watchlist","Ranked")</f>
        <v/>
      </c>
      <c r="BH8" s="15">
        <f>IF(AND(Q8="",AC8="",AK8="",AS8="",BC8=""),"",(IF(Q8="",0,Q8*25)+IF(AC8="",0,AC8*22)+IF(AK8="",0,AK8*18)+IF(AS8="",0,AS8*15)+IF(BC8="",0,BC8*20))/(IF(Q8="",0,25)+IF(AC8="",0,22)+IF(AK8="",0,18)+IF(AS8="",0,15)+IF(BC8="",0,20)))</f>
        <v/>
      </c>
      <c r="BI8" s="11">
        <f>IF(BG8="Ranked",1+COUNTIFS($BG$2:$BG$101,"Ranked",$BH$2:$BH$101,"&gt;"&amp;BH8),"")</f>
        <v/>
      </c>
      <c r="BJ8" s="11">
        <f>City_Inputs!$AH8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IF((IF(G9="",0,9)+IF(I9="",0,5)+IF(K9="",0,4)+IF(M9="",0,4)+IF(O9="",0,3))=0,"",(IF(G9="",0,G9*9)+IF(I9="",0,I9*5)+IF(K9="",0,K9*4)+IF(M9="",0,M9*4)+IF(O9="",0,O9*3))/(IF(G9="",0,9)+IF(I9="",0,5)+IF(K9="",0,4)+IF(M9="",0,4)+IF(O9="",0,3)))</f>
        <v/>
      </c>
      <c r="R9" s="14">
        <f>IF((IF(H9="",0,9)+IF(J9="",0,5)+IF(L9="",0,4)+IF(N9="",0,4)+IF(P9="",0,3))=0,"",(IF(H9="",0,H9*9)+IF(J9="",0,J9*5)+IF(L9="",0,L9*4)+IF(N9="",0,N9*4)+IF(P9="",0,P9*3))/25)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5">
        <f>IF((IF(S9="",0,5)+IF(U9="",0,5)+IF(W9="",0,4)+IF(Y9="",0,4)+IF(AA9="",0,4))=0,"",(IF(S9="",0,S9*5)+IF(U9="",0,U9*5)+IF(W9="",0,W9*4)+IF(Y9="",0,Y9*4)+IF(AA9="",0,AA9*4))/(IF(S9="",0,5)+IF(U9="",0,5)+IF(W9="",0,4)+IF(Y9="",0,4)+IF(AA9="",0,4)))</f>
        <v/>
      </c>
      <c r="AD9" s="14">
        <f>IF((IF(T9="",0,5)+IF(V9="",0,5)+IF(X9="",0,4)+IF(Z9="",0,4)+IF(AB9="",0,4))=0,"",(IF(T9="",0,T9*5)+IF(V9="",0,V9*5)+IF(X9="",0,X9*4)+IF(Z9="",0,Z9*4)+IF(AB9="",0,AB9*4))/22)</f>
        <v/>
      </c>
      <c r="AE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F9" s="14">
        <f>IF(AE9="","",1)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(IF((IF(OR(City_Inputs!$Z9="",Norm_Stats!$F$14="",Norm_Stats!$G$14="",Norm_Stats!$G$14=Norm_Stats!$F$14),"",MAX(0,MIN(100,100*(MIN(MAX(City_Inputs!$Z9,Norm_Stats!$F$14),Norm_Stats!$G$14)-Norm_Stats!$F$14)/(Norm_Stats!$G$14-Norm_Stats!$F$14)))))="",0,0.7)+IF((IF(OR(City_Inputs!$AK9="",Norm_Stats!$F$15="",Norm_Stats!$G$15="",Norm_Stats!$G$15=Norm_Stats!$F$15),"",MAX(0,MIN(100,100*(Norm_Stats!$G$15-MIN(MAX(City_Inputs!$AK9,Norm_Stats!$F$15),Norm_Stats!$G$15))/(Norm_Stats!$G$15-Norm_Stats!$F$15)))))="",0,0.3))=0,"",(IF((IF(OR(City_Inputs!$Z9="",Norm_Stats!$F$14="",Norm_Stats!$G$14="",Norm_Stats!$G$14=Norm_Stats!$F$14),"",MAX(0,MIN(100,100*(MIN(MAX(City_Inputs!$Z9,Norm_Stats!$F$14),Norm_Stats!$G$14)-Norm_Stats!$F$14)/(Norm_Stats!$G$14-Norm_Stats!$F$14)))))="",0,(IF(OR(City_Inputs!$Z9="",Norm_Stats!$F$14="",Norm_Stats!$G$14="",Norm_Stats!$G$14=Norm_Stats!$F$14),"",MAX(0,MIN(100,100*(MIN(MAX(City_Inputs!$Z9,Norm_Stats!$F$14),Norm_Stats!$G$14)-Norm_Stats!$F$14)/(Norm_Stats!$G$14-Norm_Stats!$F$14)))))*0.7)+IF((IF(OR(City_Inputs!$AK9="",Norm_Stats!$F$15="",Norm_Stats!$G$15="",Norm_Stats!$G$15=Norm_Stats!$F$15),"",MAX(0,MIN(100,100*(Norm_Stats!$G$15-MIN(MAX(City_Inputs!$AK9,Norm_Stats!$F$15),Norm_Stats!$G$15))/(Norm_Stats!$G$15-Norm_Stats!$F$15)))))="",0,(IF(OR(City_Inputs!$AK9="",Norm_Stats!$F$15="",Norm_Stats!$G$15="",Norm_Stats!$G$15=Norm_Stats!$F$15),"",MAX(0,MIN(100,100*(Norm_Stats!$G$15-MIN(MAX(City_Inputs!$AK9,Norm_Stats!$F$15),Norm_Stats!$G$15))/(Norm_Stats!$G$15-Norm_Stats!$F$15)))))*0.3))/(IF((IF(OR(City_Inputs!$Z9="",Norm_Stats!$F$14="",Norm_Stats!$G$14="",Norm_Stats!$G$14=Norm_Stats!$F$14),"",MAX(0,MIN(100,100*(MIN(MAX(City_Inputs!$Z9,Norm_Stats!$F$14),Norm_Stats!$G$14)-Norm_Stats!$F$14)/(Norm_Stats!$G$14-Norm_Stats!$F$14)))))="",0,0.7)+IF((IF(OR(City_Inputs!$AK9="",Norm_Stats!$F$15="",Norm_Stats!$G$15="",Norm_Stats!$G$15=Norm_Stats!$F$15),"",MAX(0,MIN(100,100*(Norm_Stats!$G$15-MIN(MAX(City_Inputs!$AK9,Norm_Stats!$F$15),Norm_Stats!$G$15))/(Norm_Stats!$G$15-Norm_Stats!$F$15)))))="",0,0.3)))</f>
        <v/>
      </c>
      <c r="AJ9" s="14">
        <f>IF((IF((IF(OR(City_Inputs!$Z9="",Norm_Stats!$F$14="",Norm_Stats!$G$14="",Norm_Stats!$G$14=Norm_Stats!$F$14),"",MAX(0,MIN(100,100*(MIN(MAX(City_Inputs!$Z9,Norm_Stats!$F$14),Norm_Stats!$G$14)-Norm_Stats!$F$14)/(Norm_Stats!$G$14-Norm_Stats!$F$14)))))="",0,0.7)+IF((IF(OR(City_Inputs!$AK9="",Norm_Stats!$F$15="",Norm_Stats!$G$15="",Norm_Stats!$G$15=Norm_Stats!$F$15),"",MAX(0,MIN(100,100*(Norm_Stats!$G$15-MIN(MAX(City_Inputs!$AK9,Norm_Stats!$F$15),Norm_Stats!$G$15))/(Norm_Stats!$G$15-Norm_Stats!$F$15)))))="",0,0.3))=0,"",(IF((IF(OR(City_Inputs!$Z9="",Norm_Stats!$F$14="",Norm_Stats!$G$14="",Norm_Stats!$G$14=Norm_Stats!$F$14),"",MAX(0,MIN(100,100*(MIN(MAX(City_Inputs!$Z9,Norm_Stats!$F$14),Norm_Stats!$G$14)-Norm_Stats!$F$14)/(Norm_Stats!$G$14-Norm_Stats!$F$14)))))="",0,0.7)+IF((IF(OR(City_Inputs!$AK9="",Norm_Stats!$F$15="",Norm_Stats!$G$15="",Norm_Stats!$G$15=Norm_Stats!$F$15),"",MAX(0,MIN(100,100*(Norm_Stats!$G$15-MIN(MAX(City_Inputs!$AK9,Norm_Stats!$F$15),Norm_Stats!$G$15))/(Norm_Stats!$G$15-Norm_Stats!$F$15)))))="",0,0.3)))</f>
        <v/>
      </c>
      <c r="AK9" s="15">
        <f>IF((IF(AE9="",0,8)+IF(AG9="",0,6)+IF(AI9="",0,4))=0,"",(IF(AE9="",0,AE9*8)+IF(AG9="",0,AG9*6)+IF(AI9="",0,AI9*4))/(IF(AE9="",0,8)+IF(AG9="",0,6)+IF(AI9="",0,4)))</f>
        <v/>
      </c>
      <c r="AL9" s="14">
        <f>IF((IF(AF9="",0,8)+IF(AH9="",0,6)+IF(AJ9="",0,4))=0,"",(IF(AF9="",0,AF9*8)+IF(AH9="",0,AH9*6)+IF(AJ9="",0,AJ9*4))/18)</f>
        <v/>
      </c>
      <c r="AM9" s="11">
        <f>IF(OR(City_Inputs!$AA9="",Norm_Stats!$F$16="",Norm_Stats!$G$16="",Norm_Stats!$G$16=Norm_Stats!$F$16),"",MAX(0,MIN(100,100*(MIN(MAX(City_Inputs!$AA9,Norm_Stats!$F$16),Norm_Stats!$G$16)-Norm_Stats!$F$16)/(Norm_Stats!$G$16-Norm_Stats!$F$16))))</f>
        <v/>
      </c>
      <c r="AN9" s="14">
        <f>IF(AM9="","",1)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5">
        <f>IF((IF(AM9="",0,5)+IF(AO9="",0,5)+IF(AQ9="",0,5))=0,"",(IF(AM9="",0,AM9*5)+IF(AO9="",0,AO9*5)+IF(AQ9="",0,AQ9*5))/(IF(AM9="",0,5)+IF(AO9="",0,5)+IF(AQ9="",0,5)))</f>
        <v/>
      </c>
      <c r="AT9" s="14">
        <f>IF((IF(AN9="",0,5)+IF(AP9="",0,5)+IF(AR9="",0,5))=0,"",(IF(AN9="",0,AN9*5)+IF(AP9="",0,AP9*5)+IF(AR9="",0,AR9*5))/15)</f>
        <v/>
      </c>
      <c r="AU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V9" s="14">
        <f>IF(AU9="","",1)</f>
        <v/>
      </c>
      <c r="AW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X9" s="14">
        <f>IF(AW9="","",1)</f>
        <v/>
      </c>
      <c r="AY9" s="11">
        <f>IF((IF((IF(OR(City_Inputs!$AF9="",Norm_Stats!$F$21="",Norm_Stats!$G$21="",Norm_Stats!$G$21=Norm_Stats!$F$21),"",MAX(0,MIN(100,100*(MIN(MAX(City_Inputs!$AF9,Norm_Stats!$F$21),Norm_Stats!$G$21)-Norm_Stats!$F$21)/(Norm_Stats!$G$21-Norm_Stats!$F$21)))))="",0,0.5)+IF((IF(OR(City_Inputs!$AI9="",Norm_Stats!$F$22="",Norm_Stats!$G$22="",Norm_Stats!$G$22=Norm_Stats!$F$22),"",MAX(0,MIN(100,100*(MIN(MAX(City_Inputs!$AI9,Norm_Stats!$F$22),Norm_Stats!$G$22)-Norm_Stats!$F$22)/(Norm_Stats!$G$22-Norm_Stats!$F$22)))))="",0,0.3)+IF((IF(OR(City_Inputs!$AJ9="",Norm_Stats!$F$23="",Norm_Stats!$G$23="",Norm_Stats!$G$23=Norm_Stats!$F$23),"",MAX(0,MIN(100,100*(MIN(MAX(City_Inputs!$AJ9,Norm_Stats!$F$23),Norm_Stats!$G$23)-Norm_Stats!$F$23)/(Norm_Stats!$G$23-Norm_Stats!$F$23)))))="",0,0.2))=0,"",(IF((IF(OR(City_Inputs!$AF9="",Norm_Stats!$F$21="",Norm_Stats!$G$21="",Norm_Stats!$G$21=Norm_Stats!$F$21),"",MAX(0,MIN(100,100*(MIN(MAX(City_Inputs!$AF9,Norm_Stats!$F$21),Norm_Stats!$G$21)-Norm_Stats!$F$21)/(Norm_Stats!$G$21-Norm_Stats!$F$21)))))="",0,(IF(OR(City_Inputs!$AF9="",Norm_Stats!$F$21="",Norm_Stats!$G$21="",Norm_Stats!$G$21=Norm_Stats!$F$21),"",MAX(0,MIN(100,100*(MIN(MAX(City_Inputs!$AF9,Norm_Stats!$F$21),Norm_Stats!$G$21)-Norm_Stats!$F$21)/(Norm_Stats!$G$21-Norm_Stats!$F$21)))))*0.5)+IF((IF(OR(City_Inputs!$AI9="",Norm_Stats!$F$22="",Norm_Stats!$G$22="",Norm_Stats!$G$22=Norm_Stats!$F$22),"",MAX(0,MIN(100,100*(MIN(MAX(City_Inputs!$AI9,Norm_Stats!$F$22),Norm_Stats!$G$22)-Norm_Stats!$F$22)/(Norm_Stats!$G$22-Norm_Stats!$F$22)))))="",0,(IF(OR(City_Inputs!$AI9="",Norm_Stats!$F$22="",Norm_Stats!$G$22="",Norm_Stats!$G$22=Norm_Stats!$F$22),"",MAX(0,MIN(100,100*(MIN(MAX(City_Inputs!$AI9,Norm_Stats!$F$22),Norm_Stats!$G$22)-Norm_Stats!$F$22)/(Norm_Stats!$G$22-Norm_Stats!$F$22)))))*0.3)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0.2))/(IF((IF(OR(City_Inputs!$AF9="",Norm_Stats!$F$21="",Norm_Stats!$G$21="",Norm_Stats!$G$21=Norm_Stats!$F$21),"",MAX(0,MIN(100,100*(MIN(MAX(City_Inputs!$AF9,Norm_Stats!$F$21),Norm_Stats!$G$21)-Norm_Stats!$F$21)/(Norm_Stats!$G$21-Norm_Stats!$F$21)))))="",0,0.5)+IF((IF(OR(City_Inputs!$AI9="",Norm_Stats!$F$22="",Norm_Stats!$G$22="",Norm_Stats!$G$22=Norm_Stats!$F$22),"",MAX(0,MIN(100,100*(MIN(MAX(City_Inputs!$AI9,Norm_Stats!$F$22),Norm_Stats!$G$22)-Norm_Stats!$F$22)/(Norm_Stats!$G$22-Norm_Stats!$F$22)))))="",0,0.3)+IF((IF(OR(City_Inputs!$AJ9="",Norm_Stats!$F$23="",Norm_Stats!$G$23="",Norm_Stats!$G$23=Norm_Stats!$F$23),"",MAX(0,MIN(100,100*(MIN(MAX(City_Inputs!$AJ9,Norm_Stats!$F$23),Norm_Stats!$G$23)-Norm_Stats!$F$23)/(Norm_Stats!$G$23-Norm_Stats!$F$23)))))="",0,0.2)))</f>
        <v/>
      </c>
      <c r="AZ9" s="14">
        <f>IF((IF((IF(OR(City_Inputs!$AF9="",Norm_Stats!$F$21="",Norm_Stats!$G$21="",Norm_Stats!$G$21=Norm_Stats!$F$21),"",MAX(0,MIN(100,100*(MIN(MAX(City_Inputs!$AF9,Norm_Stats!$F$21),Norm_Stats!$G$21)-Norm_Stats!$F$21)/(Norm_Stats!$G$21-Norm_Stats!$F$21)))))="",0,0.5)+IF((IF(OR(City_Inputs!$AI9="",Norm_Stats!$F$22="",Norm_Stats!$G$22="",Norm_Stats!$G$22=Norm_Stats!$F$22),"",MAX(0,MIN(100,100*(MIN(MAX(City_Inputs!$AI9,Norm_Stats!$F$22),Norm_Stats!$G$22)-Norm_Stats!$F$22)/(Norm_Stats!$G$22-Norm_Stats!$F$22)))))="",0,0.3)+IF((IF(OR(City_Inputs!$AJ9="",Norm_Stats!$F$23="",Norm_Stats!$G$23="",Norm_Stats!$G$23=Norm_Stats!$F$23),"",MAX(0,MIN(100,100*(MIN(MAX(City_Inputs!$AJ9,Norm_Stats!$F$23),Norm_Stats!$G$23)-Norm_Stats!$F$23)/(Norm_Stats!$G$23-Norm_Stats!$F$23)))))="",0,0.2))=0,"",(IF((IF(OR(City_Inputs!$AF9="",Norm_Stats!$F$21="",Norm_Stats!$G$21="",Norm_Stats!$G$21=Norm_Stats!$F$21),"",MAX(0,MIN(100,100*(MIN(MAX(City_Inputs!$AF9,Norm_Stats!$F$21),Norm_Stats!$G$21)-Norm_Stats!$F$21)/(Norm_Stats!$G$21-Norm_Stats!$F$21)))))="",0,0.5)+IF((IF(OR(City_Inputs!$AI9="",Norm_Stats!$F$22="",Norm_Stats!$G$22="",Norm_Stats!$G$22=Norm_Stats!$F$22),"",MAX(0,MIN(100,100*(MIN(MAX(City_Inputs!$AI9,Norm_Stats!$F$22),Norm_Stats!$G$22)-Norm_Stats!$F$22)/(Norm_Stats!$G$22-Norm_Stats!$F$22)))))="",0,0.3)+IF((IF(OR(City_Inputs!$AJ9="",Norm_Stats!$F$23="",Norm_Stats!$G$23="",Norm_Stats!$G$23=Norm_Stats!$F$23),"",MAX(0,MIN(100,100*(MIN(MAX(City_Inputs!$AJ9,Norm_Stats!$F$23),Norm_Stats!$G$23)-Norm_Stats!$F$23)/(Norm_Stats!$G$23-Norm_Stats!$F$23)))))="",0,0.2)))</f>
        <v/>
      </c>
      <c r="BA9" s="11">
        <f>IF(OR(City_Inputs!$AG9="",Norm_Stats!$F$24="",Norm_Stats!$G$24="",Norm_Stats!$G$24=Norm_Stats!$F$24),"",MAX(0,MIN(100,100*(Norm_Stats!$G$24-MIN(MAX(City_Inputs!$AG9,Norm_Stats!$F$24),Norm_Stats!$G$24))/(Norm_Stats!$G$24-Norm_Stats!$F$24))))</f>
        <v/>
      </c>
      <c r="BB9" s="14">
        <f>IF(BA9="","",1)</f>
        <v/>
      </c>
      <c r="BC9" s="15">
        <f>IF((IF(AU9="",0,6)+IF(AW9="",0,5)+IF(AY9="",0,5)+IF(BA9="",0,4))=0,"",(IF(AU9="",0,AU9*6)+IF(AW9="",0,AW9*5)+IF(AY9="",0,AY9*5)+IF(BA9="",0,BA9*4))/(IF(AU9="",0,6)+IF(AW9="",0,5)+IF(AY9="",0,5)+IF(BA9="",0,4)))</f>
        <v/>
      </c>
      <c r="BD9" s="14">
        <f>IF((IF(AV9="",0,6)+IF(AX9="",0,5)+IF(AZ9="",0,5)+IF(BB9="",0,4))=0,"",(IF(AV9="",0,AV9*6)+IF(AX9="",0,AX9*5)+IF(AZ9="",0,AZ9*5)+IF(BB9="",0,BB9*4))/20)</f>
        <v/>
      </c>
      <c r="BE9" s="14">
        <f>IF(AND(R9="",AD9="",AL9="",AT9="",BD9=""),"",((R9*25)+(AD9*22)+(AL9*18)+(AT9*15)+(BD9*20))/100)</f>
        <v/>
      </c>
      <c r="BF9" s="11">
        <f>IF(BE9="","",IF(BE9&gt;=0.75,"A",IF(BE9&gt;=0.5,"B",IF(BE9&gt;=0.35,"C","Watchlist"))))</f>
        <v/>
      </c>
      <c r="BG9" s="11">
        <f>IF(OR(BE9="",BE9&lt;0.5,R9="",R9&lt;0.35,AD9="",AD9&lt;0.35,AL9="",AL9&lt;0.35,AT9="",AT9&lt;0.35,BD9="",BD9&lt;0.35),"Watchlist","Ranked")</f>
        <v/>
      </c>
      <c r="BH9" s="15">
        <f>IF(AND(Q9="",AC9="",AK9="",AS9="",BC9=""),"",(IF(Q9="",0,Q9*25)+IF(AC9="",0,AC9*22)+IF(AK9="",0,AK9*18)+IF(AS9="",0,AS9*15)+IF(BC9="",0,BC9*20))/(IF(Q9="",0,25)+IF(AC9="",0,22)+IF(AK9="",0,18)+IF(AS9="",0,15)+IF(BC9="",0,20)))</f>
        <v/>
      </c>
      <c r="BI9" s="11">
        <f>IF(BG9="Ranked",1+COUNTIFS($BG$2:$BG$101,"Ranked",$BH$2:$BH$101,"&gt;"&amp;BH9),"")</f>
        <v/>
      </c>
      <c r="BJ9" s="11">
        <f>City_Inputs!$AH9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IF((IF(G10="",0,9)+IF(I10="",0,5)+IF(K10="",0,4)+IF(M10="",0,4)+IF(O10="",0,3))=0,"",(IF(G10="",0,G10*9)+IF(I10="",0,I10*5)+IF(K10="",0,K10*4)+IF(M10="",0,M10*4)+IF(O10="",0,O10*3))/(IF(G10="",0,9)+IF(I10="",0,5)+IF(K10="",0,4)+IF(M10="",0,4)+IF(O10="",0,3)))</f>
        <v/>
      </c>
      <c r="R10" s="14">
        <f>IF((IF(H10="",0,9)+IF(J10="",0,5)+IF(L10="",0,4)+IF(N10="",0,4)+IF(P10="",0,3))=0,"",(IF(H10="",0,H10*9)+IF(J10="",0,J10*5)+IF(L10="",0,L10*4)+IF(N10="",0,N10*4)+IF(P10="",0,P10*3))/25)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5">
        <f>IF((IF(S10="",0,5)+IF(U10="",0,5)+IF(W10="",0,4)+IF(Y10="",0,4)+IF(AA10="",0,4))=0,"",(IF(S10="",0,S10*5)+IF(U10="",0,U10*5)+IF(W10="",0,W10*4)+IF(Y10="",0,Y10*4)+IF(AA10="",0,AA10*4))/(IF(S10="",0,5)+IF(U10="",0,5)+IF(W10="",0,4)+IF(Y10="",0,4)+IF(AA10="",0,4)))</f>
        <v/>
      </c>
      <c r="AD10" s="14">
        <f>IF((IF(T10="",0,5)+IF(V10="",0,5)+IF(X10="",0,4)+IF(Z10="",0,4)+IF(AB10="",0,4))=0,"",(IF(T10="",0,T10*5)+IF(V10="",0,V10*5)+IF(X10="",0,X10*4)+IF(Z10="",0,Z10*4)+IF(AB10="",0,AB10*4))/22)</f>
        <v/>
      </c>
      <c r="AE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F10" s="14">
        <f>IF(AE10="","",1)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(IF((IF(OR(City_Inputs!$Z10="",Norm_Stats!$F$14="",Norm_Stats!$G$14="",Norm_Stats!$G$14=Norm_Stats!$F$14),"",MAX(0,MIN(100,100*(MIN(MAX(City_Inputs!$Z10,Norm_Stats!$F$14),Norm_Stats!$G$14)-Norm_Stats!$F$14)/(Norm_Stats!$G$14-Norm_Stats!$F$14)))))="",0,0.7)+IF((IF(OR(City_Inputs!$AK10="",Norm_Stats!$F$15="",Norm_Stats!$G$15="",Norm_Stats!$G$15=Norm_Stats!$F$15),"",MAX(0,MIN(100,100*(Norm_Stats!$G$15-MIN(MAX(City_Inputs!$AK10,Norm_Stats!$F$15),Norm_Stats!$G$15))/(Norm_Stats!$G$15-Norm_Stats!$F$15)))))="",0,0.3))=0,"",(IF((IF(OR(City_Inputs!$Z10="",Norm_Stats!$F$14="",Norm_Stats!$G$14="",Norm_Stats!$G$14=Norm_Stats!$F$14),"",MAX(0,MIN(100,100*(MIN(MAX(City_Inputs!$Z10,Norm_Stats!$F$14),Norm_Stats!$G$14)-Norm_Stats!$F$14)/(Norm_Stats!$G$14-Norm_Stats!$F$14)))))="",0,(IF(OR(City_Inputs!$Z10="",Norm_Stats!$F$14="",Norm_Stats!$G$14="",Norm_Stats!$G$14=Norm_Stats!$F$14),"",MAX(0,MIN(100,100*(MIN(MAX(City_Inputs!$Z10,Norm_Stats!$F$14),Norm_Stats!$G$14)-Norm_Stats!$F$14)/(Norm_Stats!$G$14-Norm_Stats!$F$14)))))*0.7)+IF((IF(OR(City_Inputs!$AK10="",Norm_Stats!$F$15="",Norm_Stats!$G$15="",Norm_Stats!$G$15=Norm_Stats!$F$15),"",MAX(0,MIN(100,100*(Norm_Stats!$G$15-MIN(MAX(City_Inputs!$AK10,Norm_Stats!$F$15),Norm_Stats!$G$15))/(Norm_Stats!$G$15-Norm_Stats!$F$15)))))="",0,(IF(OR(City_Inputs!$AK10="",Norm_Stats!$F$15="",Norm_Stats!$G$15="",Norm_Stats!$G$15=Norm_Stats!$F$15),"",MAX(0,MIN(100,100*(Norm_Stats!$G$15-MIN(MAX(City_Inputs!$AK10,Norm_Stats!$F$15),Norm_Stats!$G$15))/(Norm_Stats!$G$15-Norm_Stats!$F$15)))))*0.3))/(IF((IF(OR(City_Inputs!$Z10="",Norm_Stats!$F$14="",Norm_Stats!$G$14="",Norm_Stats!$G$14=Norm_Stats!$F$14),"",MAX(0,MIN(100,100*(MIN(MAX(City_Inputs!$Z10,Norm_Stats!$F$14),Norm_Stats!$G$14)-Norm_Stats!$F$14)/(Norm_Stats!$G$14-Norm_Stats!$F$14)))))="",0,0.7)+IF((IF(OR(City_Inputs!$AK10="",Norm_Stats!$F$15="",Norm_Stats!$G$15="",Norm_Stats!$G$15=Norm_Stats!$F$15),"",MAX(0,MIN(100,100*(Norm_Stats!$G$15-MIN(MAX(City_Inputs!$AK10,Norm_Stats!$F$15),Norm_Stats!$G$15))/(Norm_Stats!$G$15-Norm_Stats!$F$15)))))="",0,0.3)))</f>
        <v/>
      </c>
      <c r="AJ10" s="14">
        <f>IF((IF((IF(OR(City_Inputs!$Z10="",Norm_Stats!$F$14="",Norm_Stats!$G$14="",Norm_Stats!$G$14=Norm_Stats!$F$14),"",MAX(0,MIN(100,100*(MIN(MAX(City_Inputs!$Z10,Norm_Stats!$F$14),Norm_Stats!$G$14)-Norm_Stats!$F$14)/(Norm_Stats!$G$14-Norm_Stats!$F$14)))))="",0,0.7)+IF((IF(OR(City_Inputs!$AK10="",Norm_Stats!$F$15="",Norm_Stats!$G$15="",Norm_Stats!$G$15=Norm_Stats!$F$15),"",MAX(0,MIN(100,100*(Norm_Stats!$G$15-MIN(MAX(City_Inputs!$AK10,Norm_Stats!$F$15),Norm_Stats!$G$15))/(Norm_Stats!$G$15-Norm_Stats!$F$15)))))="",0,0.3))=0,"",(IF((IF(OR(City_Inputs!$Z10="",Norm_Stats!$F$14="",Norm_Stats!$G$14="",Norm_Stats!$G$14=Norm_Stats!$F$14),"",MAX(0,MIN(100,100*(MIN(MAX(City_Inputs!$Z10,Norm_Stats!$F$14),Norm_Stats!$G$14)-Norm_Stats!$F$14)/(Norm_Stats!$G$14-Norm_Stats!$F$14)))))="",0,0.7)+IF((IF(OR(City_Inputs!$AK10="",Norm_Stats!$F$15="",Norm_Stats!$G$15="",Norm_Stats!$G$15=Norm_Stats!$F$15),"",MAX(0,MIN(100,100*(Norm_Stats!$G$15-MIN(MAX(City_Inputs!$AK10,Norm_Stats!$F$15),Norm_Stats!$G$15))/(Norm_Stats!$G$15-Norm_Stats!$F$15)))))="",0,0.3)))</f>
        <v/>
      </c>
      <c r="AK10" s="15">
        <f>IF((IF(AE10="",0,8)+IF(AG10="",0,6)+IF(AI10="",0,4))=0,"",(IF(AE10="",0,AE10*8)+IF(AG10="",0,AG10*6)+IF(AI10="",0,AI10*4))/(IF(AE10="",0,8)+IF(AG10="",0,6)+IF(AI10="",0,4)))</f>
        <v/>
      </c>
      <c r="AL10" s="14">
        <f>IF((IF(AF10="",0,8)+IF(AH10="",0,6)+IF(AJ10="",0,4))=0,"",(IF(AF10="",0,AF10*8)+IF(AH10="",0,AH10*6)+IF(AJ10="",0,AJ10*4))/18)</f>
        <v/>
      </c>
      <c r="AM10" s="11">
        <f>IF(OR(City_Inputs!$AA10="",Norm_Stats!$F$16="",Norm_Stats!$G$16="",Norm_Stats!$G$16=Norm_Stats!$F$16),"",MAX(0,MIN(100,100*(MIN(MAX(City_Inputs!$AA10,Norm_Stats!$F$16),Norm_Stats!$G$16)-Norm_Stats!$F$16)/(Norm_Stats!$G$16-Norm_Stats!$F$16))))</f>
        <v/>
      </c>
      <c r="AN10" s="14">
        <f>IF(AM10="","",1)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5">
        <f>IF((IF(AM10="",0,5)+IF(AO10="",0,5)+IF(AQ10="",0,5))=0,"",(IF(AM10="",0,AM10*5)+IF(AO10="",0,AO10*5)+IF(AQ10="",0,AQ10*5))/(IF(AM10="",0,5)+IF(AO10="",0,5)+IF(AQ10="",0,5)))</f>
        <v/>
      </c>
      <c r="AT10" s="14">
        <f>IF((IF(AN10="",0,5)+IF(AP10="",0,5)+IF(AR10="",0,5))=0,"",(IF(AN10="",0,AN10*5)+IF(AP10="",0,AP10*5)+IF(AR10="",0,AR10*5))/15)</f>
        <v/>
      </c>
      <c r="AU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V10" s="14">
        <f>IF(AU10="","",1)</f>
        <v/>
      </c>
      <c r="AW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X10" s="14">
        <f>IF(AW10="","",1)</f>
        <v/>
      </c>
      <c r="AY10" s="11">
        <f>IF((IF((IF(OR(City_Inputs!$AF10="",Norm_Stats!$F$21="",Norm_Stats!$G$21="",Norm_Stats!$G$21=Norm_Stats!$F$21),"",MAX(0,MIN(100,100*(MIN(MAX(City_Inputs!$AF10,Norm_Stats!$F$21),Norm_Stats!$G$21)-Norm_Stats!$F$21)/(Norm_Stats!$G$21-Norm_Stats!$F$21)))))="",0,0.5)+IF((IF(OR(City_Inputs!$AI10="",Norm_Stats!$F$22="",Norm_Stats!$G$22="",Norm_Stats!$G$22=Norm_Stats!$F$22),"",MAX(0,MIN(100,100*(MIN(MAX(City_Inputs!$AI10,Norm_Stats!$F$22),Norm_Stats!$G$22)-Norm_Stats!$F$22)/(Norm_Stats!$G$22-Norm_Stats!$F$22)))))="",0,0.3)+IF((IF(OR(City_Inputs!$AJ10="",Norm_Stats!$F$23="",Norm_Stats!$G$23="",Norm_Stats!$G$23=Norm_Stats!$F$23),"",MAX(0,MIN(100,100*(MIN(MAX(City_Inputs!$AJ10,Norm_Stats!$F$23),Norm_Stats!$G$23)-Norm_Stats!$F$23)/(Norm_Stats!$G$23-Norm_Stats!$F$23)))))="",0,0.2))=0,"",(IF((IF(OR(City_Inputs!$AF10="",Norm_Stats!$F$21="",Norm_Stats!$G$21="",Norm_Stats!$G$21=Norm_Stats!$F$21),"",MAX(0,MIN(100,100*(MIN(MAX(City_Inputs!$AF10,Norm_Stats!$F$21),Norm_Stats!$G$21)-Norm_Stats!$F$21)/(Norm_Stats!$G$21-Norm_Stats!$F$21)))))="",0,(IF(OR(City_Inputs!$AF10="",Norm_Stats!$F$21="",Norm_Stats!$G$21="",Norm_Stats!$G$21=Norm_Stats!$F$21),"",MAX(0,MIN(100,100*(MIN(MAX(City_Inputs!$AF10,Norm_Stats!$F$21),Norm_Stats!$G$21)-Norm_Stats!$F$21)/(Norm_Stats!$G$21-Norm_Stats!$F$21)))))*0.5)+IF((IF(OR(City_Inputs!$AI10="",Norm_Stats!$F$22="",Norm_Stats!$G$22="",Norm_Stats!$G$22=Norm_Stats!$F$22),"",MAX(0,MIN(100,100*(MIN(MAX(City_Inputs!$AI10,Norm_Stats!$F$22),Norm_Stats!$G$22)-Norm_Stats!$F$22)/(Norm_Stats!$G$22-Norm_Stats!$F$22)))))="",0,(IF(OR(City_Inputs!$AI10="",Norm_Stats!$F$22="",Norm_Stats!$G$22="",Norm_Stats!$G$22=Norm_Stats!$F$22),"",MAX(0,MIN(100,100*(MIN(MAX(City_Inputs!$AI10,Norm_Stats!$F$22),Norm_Stats!$G$22)-Norm_Stats!$F$22)/(Norm_Stats!$G$22-Norm_Stats!$F$22)))))*0.3)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0.2))/(IF((IF(OR(City_Inputs!$AF10="",Norm_Stats!$F$21="",Norm_Stats!$G$21="",Norm_Stats!$G$21=Norm_Stats!$F$21),"",MAX(0,MIN(100,100*(MIN(MAX(City_Inputs!$AF10,Norm_Stats!$F$21),Norm_Stats!$G$21)-Norm_Stats!$F$21)/(Norm_Stats!$G$21-Norm_Stats!$F$21)))))="",0,0.5)+IF((IF(OR(City_Inputs!$AI10="",Norm_Stats!$F$22="",Norm_Stats!$G$22="",Norm_Stats!$G$22=Norm_Stats!$F$22),"",MAX(0,MIN(100,100*(MIN(MAX(City_Inputs!$AI10,Norm_Stats!$F$22),Norm_Stats!$G$22)-Norm_Stats!$F$22)/(Norm_Stats!$G$22-Norm_Stats!$F$22)))))="",0,0.3)+IF((IF(OR(City_Inputs!$AJ10="",Norm_Stats!$F$23="",Norm_Stats!$G$23="",Norm_Stats!$G$23=Norm_Stats!$F$23),"",MAX(0,MIN(100,100*(MIN(MAX(City_Inputs!$AJ10,Norm_Stats!$F$23),Norm_Stats!$G$23)-Norm_Stats!$F$23)/(Norm_Stats!$G$23-Norm_Stats!$F$23)))))="",0,0.2)))</f>
        <v/>
      </c>
      <c r="AZ10" s="14">
        <f>IF((IF((IF(OR(City_Inputs!$AF10="",Norm_Stats!$F$21="",Norm_Stats!$G$21="",Norm_Stats!$G$21=Norm_Stats!$F$21),"",MAX(0,MIN(100,100*(MIN(MAX(City_Inputs!$AF10,Norm_Stats!$F$21),Norm_Stats!$G$21)-Norm_Stats!$F$21)/(Norm_Stats!$G$21-Norm_Stats!$F$21)))))="",0,0.5)+IF((IF(OR(City_Inputs!$AI10="",Norm_Stats!$F$22="",Norm_Stats!$G$22="",Norm_Stats!$G$22=Norm_Stats!$F$22),"",MAX(0,MIN(100,100*(MIN(MAX(City_Inputs!$AI10,Norm_Stats!$F$22),Norm_Stats!$G$22)-Norm_Stats!$F$22)/(Norm_Stats!$G$22-Norm_Stats!$F$22)))))="",0,0.3)+IF((IF(OR(City_Inputs!$AJ10="",Norm_Stats!$F$23="",Norm_Stats!$G$23="",Norm_Stats!$G$23=Norm_Stats!$F$23),"",MAX(0,MIN(100,100*(MIN(MAX(City_Inputs!$AJ10,Norm_Stats!$F$23),Norm_Stats!$G$23)-Norm_Stats!$F$23)/(Norm_Stats!$G$23-Norm_Stats!$F$23)))))="",0,0.2))=0,"",(IF((IF(OR(City_Inputs!$AF10="",Norm_Stats!$F$21="",Norm_Stats!$G$21="",Norm_Stats!$G$21=Norm_Stats!$F$21),"",MAX(0,MIN(100,100*(MIN(MAX(City_Inputs!$AF10,Norm_Stats!$F$21),Norm_Stats!$G$21)-Norm_Stats!$F$21)/(Norm_Stats!$G$21-Norm_Stats!$F$21)))))="",0,0.5)+IF((IF(OR(City_Inputs!$AI10="",Norm_Stats!$F$22="",Norm_Stats!$G$22="",Norm_Stats!$G$22=Norm_Stats!$F$22),"",MAX(0,MIN(100,100*(MIN(MAX(City_Inputs!$AI10,Norm_Stats!$F$22),Norm_Stats!$G$22)-Norm_Stats!$F$22)/(Norm_Stats!$G$22-Norm_Stats!$F$22)))))="",0,0.3)+IF((IF(OR(City_Inputs!$AJ10="",Norm_Stats!$F$23="",Norm_Stats!$G$23="",Norm_Stats!$G$23=Norm_Stats!$F$23),"",MAX(0,MIN(100,100*(MIN(MAX(City_Inputs!$AJ10,Norm_Stats!$F$23),Norm_Stats!$G$23)-Norm_Stats!$F$23)/(Norm_Stats!$G$23-Norm_Stats!$F$23)))))="",0,0.2)))</f>
        <v/>
      </c>
      <c r="BA10" s="11">
        <f>IF(OR(City_Inputs!$AG10="",Norm_Stats!$F$24="",Norm_Stats!$G$24="",Norm_Stats!$G$24=Norm_Stats!$F$24),"",MAX(0,MIN(100,100*(Norm_Stats!$G$24-MIN(MAX(City_Inputs!$AG10,Norm_Stats!$F$24),Norm_Stats!$G$24))/(Norm_Stats!$G$24-Norm_Stats!$F$24))))</f>
        <v/>
      </c>
      <c r="BB10" s="14">
        <f>IF(BA10="","",1)</f>
        <v/>
      </c>
      <c r="BC10" s="15">
        <f>IF((IF(AU10="",0,6)+IF(AW10="",0,5)+IF(AY10="",0,5)+IF(BA10="",0,4))=0,"",(IF(AU10="",0,AU10*6)+IF(AW10="",0,AW10*5)+IF(AY10="",0,AY10*5)+IF(BA10="",0,BA10*4))/(IF(AU10="",0,6)+IF(AW10="",0,5)+IF(AY10="",0,5)+IF(BA10="",0,4)))</f>
        <v/>
      </c>
      <c r="BD10" s="14">
        <f>IF((IF(AV10="",0,6)+IF(AX10="",0,5)+IF(AZ10="",0,5)+IF(BB10="",0,4))=0,"",(IF(AV10="",0,AV10*6)+IF(AX10="",0,AX10*5)+IF(AZ10="",0,AZ10*5)+IF(BB10="",0,BB10*4))/20)</f>
        <v/>
      </c>
      <c r="BE10" s="14">
        <f>IF(AND(R10="",AD10="",AL10="",AT10="",BD10=""),"",((R10*25)+(AD10*22)+(AL10*18)+(AT10*15)+(BD10*20))/100)</f>
        <v/>
      </c>
      <c r="BF10" s="11">
        <f>IF(BE10="","",IF(BE10&gt;=0.75,"A",IF(BE10&gt;=0.5,"B",IF(BE10&gt;=0.35,"C","Watchlist"))))</f>
        <v/>
      </c>
      <c r="BG10" s="11">
        <f>IF(OR(BE10="",BE10&lt;0.5,R10="",R10&lt;0.35,AD10="",AD10&lt;0.35,AL10="",AL10&lt;0.35,AT10="",AT10&lt;0.35,BD10="",BD10&lt;0.35),"Watchlist","Ranked")</f>
        <v/>
      </c>
      <c r="BH10" s="15">
        <f>IF(AND(Q10="",AC10="",AK10="",AS10="",BC10=""),"",(IF(Q10="",0,Q10*25)+IF(AC10="",0,AC10*22)+IF(AK10="",0,AK10*18)+IF(AS10="",0,AS10*15)+IF(BC10="",0,BC10*20))/(IF(Q10="",0,25)+IF(AC10="",0,22)+IF(AK10="",0,18)+IF(AS10="",0,15)+IF(BC10="",0,20)))</f>
        <v/>
      </c>
      <c r="BI10" s="11">
        <f>IF(BG10="Ranked",1+COUNTIFS($BG$2:$BG$101,"Ranked",$BH$2:$BH$101,"&gt;"&amp;BH10),"")</f>
        <v/>
      </c>
      <c r="BJ10" s="11">
        <f>City_Inputs!$AH10</f>
        <v/>
      </c>
    </row>
    <row r="11">
      <c r="A11" t="inlineStr">
        <is>
          <t>th-hat-yai</t>
        </is>
      </c>
      <c r="B11" t="inlineStr">
        <is>
          <t>Hat Yai</t>
        </is>
      </c>
      <c r="C11" t="inlineStr">
        <is>
          <t>Thailand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IF((IF(G11="",0,9)+IF(I11="",0,5)+IF(K11="",0,4)+IF(M11="",0,4)+IF(O11="",0,3))=0,"",(IF(G11="",0,G11*9)+IF(I11="",0,I11*5)+IF(K11="",0,K11*4)+IF(M11="",0,M11*4)+IF(O11="",0,O11*3))/(IF(G11="",0,9)+IF(I11="",0,5)+IF(K11="",0,4)+IF(M11="",0,4)+IF(O11="",0,3)))</f>
        <v/>
      </c>
      <c r="R11" s="14">
        <f>IF((IF(H11="",0,9)+IF(J11="",0,5)+IF(L11="",0,4)+IF(N11="",0,4)+IF(P11="",0,3))=0,"",(IF(H11="",0,H11*9)+IF(J11="",0,J11*5)+IF(L11="",0,L11*4)+IF(N11="",0,N11*4)+IF(P11="",0,P11*3))/25)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5">
        <f>IF((IF(S11="",0,5)+IF(U11="",0,5)+IF(W11="",0,4)+IF(Y11="",0,4)+IF(AA11="",0,4))=0,"",(IF(S11="",0,S11*5)+IF(U11="",0,U11*5)+IF(W11="",0,W11*4)+IF(Y11="",0,Y11*4)+IF(AA11="",0,AA11*4))/(IF(S11="",0,5)+IF(U11="",0,5)+IF(W11="",0,4)+IF(Y11="",0,4)+IF(AA11="",0,4)))</f>
        <v/>
      </c>
      <c r="AD11" s="14">
        <f>IF((IF(T11="",0,5)+IF(V11="",0,5)+IF(X11="",0,4)+IF(Z11="",0,4)+IF(AB11="",0,4))=0,"",(IF(T11="",0,T11*5)+IF(V11="",0,V11*5)+IF(X11="",0,X11*4)+IF(Z11="",0,Z11*4)+IF(AB11="",0,AB11*4))/22)</f>
        <v/>
      </c>
      <c r="AE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F11" s="14">
        <f>IF(AE11="","",1)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(IF((IF(OR(City_Inputs!$Z11="",Norm_Stats!$F$14="",Norm_Stats!$G$14="",Norm_Stats!$G$14=Norm_Stats!$F$14),"",MAX(0,MIN(100,100*(MIN(MAX(City_Inputs!$Z11,Norm_Stats!$F$14),Norm_Stats!$G$14)-Norm_Stats!$F$14)/(Norm_Stats!$G$14-Norm_Stats!$F$14)))))="",0,0.7)+IF((IF(OR(City_Inputs!$AK11="",Norm_Stats!$F$15="",Norm_Stats!$G$15="",Norm_Stats!$G$15=Norm_Stats!$F$15),"",MAX(0,MIN(100,100*(Norm_Stats!$G$15-MIN(MAX(City_Inputs!$AK11,Norm_Stats!$F$15),Norm_Stats!$G$15))/(Norm_Stats!$G$15-Norm_Stats!$F$15)))))="",0,0.3))=0,"",(IF((IF(OR(City_Inputs!$Z11="",Norm_Stats!$F$14="",Norm_Stats!$G$14="",Norm_Stats!$G$14=Norm_Stats!$F$14),"",MAX(0,MIN(100,100*(MIN(MAX(City_Inputs!$Z11,Norm_Stats!$F$14),Norm_Stats!$G$14)-Norm_Stats!$F$14)/(Norm_Stats!$G$14-Norm_Stats!$F$14)))))="",0,(IF(OR(City_Inputs!$Z11="",Norm_Stats!$F$14="",Norm_Stats!$G$14="",Norm_Stats!$G$14=Norm_Stats!$F$14),"",MAX(0,MIN(100,100*(MIN(MAX(City_Inputs!$Z11,Norm_Stats!$F$14),Norm_Stats!$G$14)-Norm_Stats!$F$14)/(Norm_Stats!$G$14-Norm_Stats!$F$14)))))*0.7)+IF((IF(OR(City_Inputs!$AK11="",Norm_Stats!$F$15="",Norm_Stats!$G$15="",Norm_Stats!$G$15=Norm_Stats!$F$15),"",MAX(0,MIN(100,100*(Norm_Stats!$G$15-MIN(MAX(City_Inputs!$AK11,Norm_Stats!$F$15),Norm_Stats!$G$15))/(Norm_Stats!$G$15-Norm_Stats!$F$15)))))="",0,(IF(OR(City_Inputs!$AK11="",Norm_Stats!$F$15="",Norm_Stats!$G$15="",Norm_Stats!$G$15=Norm_Stats!$F$15),"",MAX(0,MIN(100,100*(Norm_Stats!$G$15-MIN(MAX(City_Inputs!$AK11,Norm_Stats!$F$15),Norm_Stats!$G$15))/(Norm_Stats!$G$15-Norm_Stats!$F$15)))))*0.3))/(IF((IF(OR(City_Inputs!$Z11="",Norm_Stats!$F$14="",Norm_Stats!$G$14="",Norm_Stats!$G$14=Norm_Stats!$F$14),"",MAX(0,MIN(100,100*(MIN(MAX(City_Inputs!$Z11,Norm_Stats!$F$14),Norm_Stats!$G$14)-Norm_Stats!$F$14)/(Norm_Stats!$G$14-Norm_Stats!$F$14)))))="",0,0.7)+IF((IF(OR(City_Inputs!$AK11="",Norm_Stats!$F$15="",Norm_Stats!$G$15="",Norm_Stats!$G$15=Norm_Stats!$F$15),"",MAX(0,MIN(100,100*(Norm_Stats!$G$15-MIN(MAX(City_Inputs!$AK11,Norm_Stats!$F$15),Norm_Stats!$G$15))/(Norm_Stats!$G$15-Norm_Stats!$F$15)))))="",0,0.3)))</f>
        <v/>
      </c>
      <c r="AJ11" s="14">
        <f>IF((IF((IF(OR(City_Inputs!$Z11="",Norm_Stats!$F$14="",Norm_Stats!$G$14="",Norm_Stats!$G$14=Norm_Stats!$F$14),"",MAX(0,MIN(100,100*(MIN(MAX(City_Inputs!$Z11,Norm_Stats!$F$14),Norm_Stats!$G$14)-Norm_Stats!$F$14)/(Norm_Stats!$G$14-Norm_Stats!$F$14)))))="",0,0.7)+IF((IF(OR(City_Inputs!$AK11="",Norm_Stats!$F$15="",Norm_Stats!$G$15="",Norm_Stats!$G$15=Norm_Stats!$F$15),"",MAX(0,MIN(100,100*(Norm_Stats!$G$15-MIN(MAX(City_Inputs!$AK11,Norm_Stats!$F$15),Norm_Stats!$G$15))/(Norm_Stats!$G$15-Norm_Stats!$F$15)))))="",0,0.3))=0,"",(IF((IF(OR(City_Inputs!$Z11="",Norm_Stats!$F$14="",Norm_Stats!$G$14="",Norm_Stats!$G$14=Norm_Stats!$F$14),"",MAX(0,MIN(100,100*(MIN(MAX(City_Inputs!$Z11,Norm_Stats!$F$14),Norm_Stats!$G$14)-Norm_Stats!$F$14)/(Norm_Stats!$G$14-Norm_Stats!$F$14)))))="",0,0.7)+IF((IF(OR(City_Inputs!$AK11="",Norm_Stats!$F$15="",Norm_Stats!$G$15="",Norm_Stats!$G$15=Norm_Stats!$F$15),"",MAX(0,MIN(100,100*(Norm_Stats!$G$15-MIN(MAX(City_Inputs!$AK11,Norm_Stats!$F$15),Norm_Stats!$G$15))/(Norm_Stats!$G$15-Norm_Stats!$F$15)))))="",0,0.3)))</f>
        <v/>
      </c>
      <c r="AK11" s="15">
        <f>IF((IF(AE11="",0,8)+IF(AG11="",0,6)+IF(AI11="",0,4))=0,"",(IF(AE11="",0,AE11*8)+IF(AG11="",0,AG11*6)+IF(AI11="",0,AI11*4))/(IF(AE11="",0,8)+IF(AG11="",0,6)+IF(AI11="",0,4)))</f>
        <v/>
      </c>
      <c r="AL11" s="14">
        <f>IF((IF(AF11="",0,8)+IF(AH11="",0,6)+IF(AJ11="",0,4))=0,"",(IF(AF11="",0,AF11*8)+IF(AH11="",0,AH11*6)+IF(AJ11="",0,AJ11*4))/18)</f>
        <v/>
      </c>
      <c r="AM11" s="11">
        <f>IF(OR(City_Inputs!$AA11="",Norm_Stats!$F$16="",Norm_Stats!$G$16="",Norm_Stats!$G$16=Norm_Stats!$F$16),"",MAX(0,MIN(100,100*(MIN(MAX(City_Inputs!$AA11,Norm_Stats!$F$16),Norm_Stats!$G$16)-Norm_Stats!$F$16)/(Norm_Stats!$G$16-Norm_Stats!$F$16))))</f>
        <v/>
      </c>
      <c r="AN11" s="14">
        <f>IF(AM11="","",1)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5">
        <f>IF((IF(AM11="",0,5)+IF(AO11="",0,5)+IF(AQ11="",0,5))=0,"",(IF(AM11="",0,AM11*5)+IF(AO11="",0,AO11*5)+IF(AQ11="",0,AQ11*5))/(IF(AM11="",0,5)+IF(AO11="",0,5)+IF(AQ11="",0,5)))</f>
        <v/>
      </c>
      <c r="AT11" s="14">
        <f>IF((IF(AN11="",0,5)+IF(AP11="",0,5)+IF(AR11="",0,5))=0,"",(IF(AN11="",0,AN11*5)+IF(AP11="",0,AP11*5)+IF(AR11="",0,AR11*5))/15)</f>
        <v/>
      </c>
      <c r="AU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V11" s="14">
        <f>IF(AU11="","",1)</f>
        <v/>
      </c>
      <c r="AW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X11" s="14">
        <f>IF(AW11="","",1)</f>
        <v/>
      </c>
      <c r="AY11" s="11">
        <f>IF((IF((IF(OR(City_Inputs!$AF11="",Norm_Stats!$F$21="",Norm_Stats!$G$21="",Norm_Stats!$G$21=Norm_Stats!$F$21),"",MAX(0,MIN(100,100*(MIN(MAX(City_Inputs!$AF11,Norm_Stats!$F$21),Norm_Stats!$G$21)-Norm_Stats!$F$21)/(Norm_Stats!$G$21-Norm_Stats!$F$21)))))="",0,0.5)+IF((IF(OR(City_Inputs!$AI11="",Norm_Stats!$F$22="",Norm_Stats!$G$22="",Norm_Stats!$G$22=Norm_Stats!$F$22),"",MAX(0,MIN(100,100*(MIN(MAX(City_Inputs!$AI11,Norm_Stats!$F$22),Norm_Stats!$G$22)-Norm_Stats!$F$22)/(Norm_Stats!$G$22-Norm_Stats!$F$22)))))="",0,0.3)+IF((IF(OR(City_Inputs!$AJ11="",Norm_Stats!$F$23="",Norm_Stats!$G$23="",Norm_Stats!$G$23=Norm_Stats!$F$23),"",MAX(0,MIN(100,100*(MIN(MAX(City_Inputs!$AJ11,Norm_Stats!$F$23),Norm_Stats!$G$23)-Norm_Stats!$F$23)/(Norm_Stats!$G$23-Norm_Stats!$F$23)))))="",0,0.2))=0,"",(IF((IF(OR(City_Inputs!$AF11="",Norm_Stats!$F$21="",Norm_Stats!$G$21="",Norm_Stats!$G$21=Norm_Stats!$F$21),"",MAX(0,MIN(100,100*(MIN(MAX(City_Inputs!$AF11,Norm_Stats!$F$21),Norm_Stats!$G$21)-Norm_Stats!$F$21)/(Norm_Stats!$G$21-Norm_Stats!$F$21)))))="",0,(IF(OR(City_Inputs!$AF11="",Norm_Stats!$F$21="",Norm_Stats!$G$21="",Norm_Stats!$G$21=Norm_Stats!$F$21),"",MAX(0,MIN(100,100*(MIN(MAX(City_Inputs!$AF11,Norm_Stats!$F$21),Norm_Stats!$G$21)-Norm_Stats!$F$21)/(Norm_Stats!$G$21-Norm_Stats!$F$21)))))*0.5)+IF((IF(OR(City_Inputs!$AI11="",Norm_Stats!$F$22="",Norm_Stats!$G$22="",Norm_Stats!$G$22=Norm_Stats!$F$22),"",MAX(0,MIN(100,100*(MIN(MAX(City_Inputs!$AI11,Norm_Stats!$F$22),Norm_Stats!$G$22)-Norm_Stats!$F$22)/(Norm_Stats!$G$22-Norm_Stats!$F$22)))))="",0,(IF(OR(City_Inputs!$AI11="",Norm_Stats!$F$22="",Norm_Stats!$G$22="",Norm_Stats!$G$22=Norm_Stats!$F$22),"",MAX(0,MIN(100,100*(MIN(MAX(City_Inputs!$AI11,Norm_Stats!$F$22),Norm_Stats!$G$22)-Norm_Stats!$F$22)/(Norm_Stats!$G$22-Norm_Stats!$F$22)))))*0.3)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0.2))/(IF((IF(OR(City_Inputs!$AF11="",Norm_Stats!$F$21="",Norm_Stats!$G$21="",Norm_Stats!$G$21=Norm_Stats!$F$21),"",MAX(0,MIN(100,100*(MIN(MAX(City_Inputs!$AF11,Norm_Stats!$F$21),Norm_Stats!$G$21)-Norm_Stats!$F$21)/(Norm_Stats!$G$21-Norm_Stats!$F$21)))))="",0,0.5)+IF((IF(OR(City_Inputs!$AI11="",Norm_Stats!$F$22="",Norm_Stats!$G$22="",Norm_Stats!$G$22=Norm_Stats!$F$22),"",MAX(0,MIN(100,100*(MIN(MAX(City_Inputs!$AI11,Norm_Stats!$F$22),Norm_Stats!$G$22)-Norm_Stats!$F$22)/(Norm_Stats!$G$22-Norm_Stats!$F$22)))))="",0,0.3)+IF((IF(OR(City_Inputs!$AJ11="",Norm_Stats!$F$23="",Norm_Stats!$G$23="",Norm_Stats!$G$23=Norm_Stats!$F$23),"",MAX(0,MIN(100,100*(MIN(MAX(City_Inputs!$AJ11,Norm_Stats!$F$23),Norm_Stats!$G$23)-Norm_Stats!$F$23)/(Norm_Stats!$G$23-Norm_Stats!$F$23)))))="",0,0.2)))</f>
        <v/>
      </c>
      <c r="AZ11" s="14">
        <f>IF((IF((IF(OR(City_Inputs!$AF11="",Norm_Stats!$F$21="",Norm_Stats!$G$21="",Norm_Stats!$G$21=Norm_Stats!$F$21),"",MAX(0,MIN(100,100*(MIN(MAX(City_Inputs!$AF11,Norm_Stats!$F$21),Norm_Stats!$G$21)-Norm_Stats!$F$21)/(Norm_Stats!$G$21-Norm_Stats!$F$21)))))="",0,0.5)+IF((IF(OR(City_Inputs!$AI11="",Norm_Stats!$F$22="",Norm_Stats!$G$22="",Norm_Stats!$G$22=Norm_Stats!$F$22),"",MAX(0,MIN(100,100*(MIN(MAX(City_Inputs!$AI11,Norm_Stats!$F$22),Norm_Stats!$G$22)-Norm_Stats!$F$22)/(Norm_Stats!$G$22-Norm_Stats!$F$22)))))="",0,0.3)+IF((IF(OR(City_Inputs!$AJ11="",Norm_Stats!$F$23="",Norm_Stats!$G$23="",Norm_Stats!$G$23=Norm_Stats!$F$23),"",MAX(0,MIN(100,100*(MIN(MAX(City_Inputs!$AJ11,Norm_Stats!$F$23),Norm_Stats!$G$23)-Norm_Stats!$F$23)/(Norm_Stats!$G$23-Norm_Stats!$F$23)))))="",0,0.2))=0,"",(IF((IF(OR(City_Inputs!$AF11="",Norm_Stats!$F$21="",Norm_Stats!$G$21="",Norm_Stats!$G$21=Norm_Stats!$F$21),"",MAX(0,MIN(100,100*(MIN(MAX(City_Inputs!$AF11,Norm_Stats!$F$21),Norm_Stats!$G$21)-Norm_Stats!$F$21)/(Norm_Stats!$G$21-Norm_Stats!$F$21)))))="",0,0.5)+IF((IF(OR(City_Inputs!$AI11="",Norm_Stats!$F$22="",Norm_Stats!$G$22="",Norm_Stats!$G$22=Norm_Stats!$F$22),"",MAX(0,MIN(100,100*(MIN(MAX(City_Inputs!$AI11,Norm_Stats!$F$22),Norm_Stats!$G$22)-Norm_Stats!$F$22)/(Norm_Stats!$G$22-Norm_Stats!$F$22)))))="",0,0.3)+IF((IF(OR(City_Inputs!$AJ11="",Norm_Stats!$F$23="",Norm_Stats!$G$23="",Norm_Stats!$G$23=Norm_Stats!$F$23),"",MAX(0,MIN(100,100*(MIN(MAX(City_Inputs!$AJ11,Norm_Stats!$F$23),Norm_Stats!$G$23)-Norm_Stats!$F$23)/(Norm_Stats!$G$23-Norm_Stats!$F$23)))))="",0,0.2)))</f>
        <v/>
      </c>
      <c r="BA11" s="11">
        <f>IF(OR(City_Inputs!$AG11="",Norm_Stats!$F$24="",Norm_Stats!$G$24="",Norm_Stats!$G$24=Norm_Stats!$F$24),"",MAX(0,MIN(100,100*(Norm_Stats!$G$24-MIN(MAX(City_Inputs!$AG11,Norm_Stats!$F$24),Norm_Stats!$G$24))/(Norm_Stats!$G$24-Norm_Stats!$F$24))))</f>
        <v/>
      </c>
      <c r="BB11" s="14">
        <f>IF(BA11="","",1)</f>
        <v/>
      </c>
      <c r="BC11" s="15">
        <f>IF((IF(AU11="",0,6)+IF(AW11="",0,5)+IF(AY11="",0,5)+IF(BA11="",0,4))=0,"",(IF(AU11="",0,AU11*6)+IF(AW11="",0,AW11*5)+IF(AY11="",0,AY11*5)+IF(BA11="",0,BA11*4))/(IF(AU11="",0,6)+IF(AW11="",0,5)+IF(AY11="",0,5)+IF(BA11="",0,4)))</f>
        <v/>
      </c>
      <c r="BD11" s="14">
        <f>IF((IF(AV11="",0,6)+IF(AX11="",0,5)+IF(AZ11="",0,5)+IF(BB11="",0,4))=0,"",(IF(AV11="",0,AV11*6)+IF(AX11="",0,AX11*5)+IF(AZ11="",0,AZ11*5)+IF(BB11="",0,BB11*4))/20)</f>
        <v/>
      </c>
      <c r="BE11" s="14">
        <f>IF(AND(R11="",AD11="",AL11="",AT11="",BD11=""),"",((R11*25)+(AD11*22)+(AL11*18)+(AT11*15)+(BD11*20))/100)</f>
        <v/>
      </c>
      <c r="BF11" s="11">
        <f>IF(BE11="","",IF(BE11&gt;=0.75,"A",IF(BE11&gt;=0.5,"B",IF(BE11&gt;=0.35,"C","Watchlist"))))</f>
        <v/>
      </c>
      <c r="BG11" s="11">
        <f>IF(OR(BE11="",BE11&lt;0.5,R11="",R11&lt;0.35,AD11="",AD11&lt;0.35,AL11="",AL11&lt;0.35,AT11="",AT11&lt;0.35,BD11="",BD11&lt;0.35),"Watchlist","Ranked")</f>
        <v/>
      </c>
      <c r="BH11" s="15">
        <f>IF(AND(Q11="",AC11="",AK11="",AS11="",BC11=""),"",(IF(Q11="",0,Q11*25)+IF(AC11="",0,AC11*22)+IF(AK11="",0,AK11*18)+IF(AS11="",0,AS11*15)+IF(BC11="",0,BC11*20))/(IF(Q11="",0,25)+IF(AC11="",0,22)+IF(AK11="",0,18)+IF(AS11="",0,15)+IF(BC11="",0,20)))</f>
        <v/>
      </c>
      <c r="BI11" s="11">
        <f>IF(BG11="Ranked",1+COUNTIFS($BG$2:$BG$101,"Ranked",$BH$2:$BH$101,"&gt;"&amp;BH11),"")</f>
        <v/>
      </c>
      <c r="BJ11" s="11">
        <f>City_Inputs!$AH11</f>
        <v/>
      </c>
    </row>
    <row r="12">
      <c r="A12" t="inlineStr">
        <is>
          <t>tw-taipei</t>
        </is>
      </c>
      <c r="B12" t="inlineStr">
        <is>
          <t>Taipei</t>
        </is>
      </c>
      <c r="C12" t="inlineStr">
        <is>
          <t>Taiwan</t>
        </is>
      </c>
      <c r="D12" t="inlineStr">
        <is>
          <t>East Asia</t>
        </is>
      </c>
      <c r="E12" t="inlineStr">
        <is>
          <t>locked</t>
        </is>
      </c>
      <c r="F12" t="inlineStr">
        <is>
          <t>primary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IF((IF(G12="",0,9)+IF(I12="",0,5)+IF(K12="",0,4)+IF(M12="",0,4)+IF(O12="",0,3))=0,"",(IF(G12="",0,G12*9)+IF(I12="",0,I12*5)+IF(K12="",0,K12*4)+IF(M12="",0,M12*4)+IF(O12="",0,O12*3))/(IF(G12="",0,9)+IF(I12="",0,5)+IF(K12="",0,4)+IF(M12="",0,4)+IF(O12="",0,3)))</f>
        <v/>
      </c>
      <c r="R12" s="14">
        <f>IF((IF(H12="",0,9)+IF(J12="",0,5)+IF(L12="",0,4)+IF(N12="",0,4)+IF(P12="",0,3))=0,"",(IF(H12="",0,H12*9)+IF(J12="",0,J12*5)+IF(L12="",0,L12*4)+IF(N12="",0,N12*4)+IF(P12="",0,P12*3))/25)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5">
        <f>IF((IF(S12="",0,5)+IF(U12="",0,5)+IF(W12="",0,4)+IF(Y12="",0,4)+IF(AA12="",0,4))=0,"",(IF(S12="",0,S12*5)+IF(U12="",0,U12*5)+IF(W12="",0,W12*4)+IF(Y12="",0,Y12*4)+IF(AA12="",0,AA12*4))/(IF(S12="",0,5)+IF(U12="",0,5)+IF(W12="",0,4)+IF(Y12="",0,4)+IF(AA12="",0,4)))</f>
        <v/>
      </c>
      <c r="AD12" s="14">
        <f>IF((IF(T12="",0,5)+IF(V12="",0,5)+IF(X12="",0,4)+IF(Z12="",0,4)+IF(AB12="",0,4))=0,"",(IF(T12="",0,T12*5)+IF(V12="",0,V12*5)+IF(X12="",0,X12*4)+IF(Z12="",0,Z12*4)+IF(AB12="",0,AB12*4))/22)</f>
        <v/>
      </c>
      <c r="AE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F12" s="14">
        <f>IF(AE12="","",1)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(IF((IF(OR(City_Inputs!$Z12="",Norm_Stats!$F$14="",Norm_Stats!$G$14="",Norm_Stats!$G$14=Norm_Stats!$F$14),"",MAX(0,MIN(100,100*(MIN(MAX(City_Inputs!$Z12,Norm_Stats!$F$14),Norm_Stats!$G$14)-Norm_Stats!$F$14)/(Norm_Stats!$G$14-Norm_Stats!$F$14)))))="",0,0.7)+IF((IF(OR(City_Inputs!$AK12="",Norm_Stats!$F$15="",Norm_Stats!$G$15="",Norm_Stats!$G$15=Norm_Stats!$F$15),"",MAX(0,MIN(100,100*(Norm_Stats!$G$15-MIN(MAX(City_Inputs!$AK12,Norm_Stats!$F$15),Norm_Stats!$G$15))/(Norm_Stats!$G$15-Norm_Stats!$F$15)))))="",0,0.3))=0,"",(IF((IF(OR(City_Inputs!$Z12="",Norm_Stats!$F$14="",Norm_Stats!$G$14="",Norm_Stats!$G$14=Norm_Stats!$F$14),"",MAX(0,MIN(100,100*(MIN(MAX(City_Inputs!$Z12,Norm_Stats!$F$14),Norm_Stats!$G$14)-Norm_Stats!$F$14)/(Norm_Stats!$G$14-Norm_Stats!$F$14)))))="",0,(IF(OR(City_Inputs!$Z12="",Norm_Stats!$F$14="",Norm_Stats!$G$14="",Norm_Stats!$G$14=Norm_Stats!$F$14),"",MAX(0,MIN(100,100*(MIN(MAX(City_Inputs!$Z12,Norm_Stats!$F$14),Norm_Stats!$G$14)-Norm_Stats!$F$14)/(Norm_Stats!$G$14-Norm_Stats!$F$14)))))*0.7)+IF((IF(OR(City_Inputs!$AK12="",Norm_Stats!$F$15="",Norm_Stats!$G$15="",Norm_Stats!$G$15=Norm_Stats!$F$15),"",MAX(0,MIN(100,100*(Norm_Stats!$G$15-MIN(MAX(City_Inputs!$AK12,Norm_Stats!$F$15),Norm_Stats!$G$15))/(Norm_Stats!$G$15-Norm_Stats!$F$15)))))="",0,(IF(OR(City_Inputs!$AK12="",Norm_Stats!$F$15="",Norm_Stats!$G$15="",Norm_Stats!$G$15=Norm_Stats!$F$15),"",MAX(0,MIN(100,100*(Norm_Stats!$G$15-MIN(MAX(City_Inputs!$AK12,Norm_Stats!$F$15),Norm_Stats!$G$15))/(Norm_Stats!$G$15-Norm_Stats!$F$15)))))*0.3))/(IF((IF(OR(City_Inputs!$Z12="",Norm_Stats!$F$14="",Norm_Stats!$G$14="",Norm_Stats!$G$14=Norm_Stats!$F$14),"",MAX(0,MIN(100,100*(MIN(MAX(City_Inputs!$Z12,Norm_Stats!$F$14),Norm_Stats!$G$14)-Norm_Stats!$F$14)/(Norm_Stats!$G$14-Norm_Stats!$F$14)))))="",0,0.7)+IF((IF(OR(City_Inputs!$AK12="",Norm_Stats!$F$15="",Norm_Stats!$G$15="",Norm_Stats!$G$15=Norm_Stats!$F$15),"",MAX(0,MIN(100,100*(Norm_Stats!$G$15-MIN(MAX(City_Inputs!$AK12,Norm_Stats!$F$15),Norm_Stats!$G$15))/(Norm_Stats!$G$15-Norm_Stats!$F$15)))))="",0,0.3)))</f>
        <v/>
      </c>
      <c r="AJ12" s="14">
        <f>IF((IF((IF(OR(City_Inputs!$Z12="",Norm_Stats!$F$14="",Norm_Stats!$G$14="",Norm_Stats!$G$14=Norm_Stats!$F$14),"",MAX(0,MIN(100,100*(MIN(MAX(City_Inputs!$Z12,Norm_Stats!$F$14),Norm_Stats!$G$14)-Norm_Stats!$F$14)/(Norm_Stats!$G$14-Norm_Stats!$F$14)))))="",0,0.7)+IF((IF(OR(City_Inputs!$AK12="",Norm_Stats!$F$15="",Norm_Stats!$G$15="",Norm_Stats!$G$15=Norm_Stats!$F$15),"",MAX(0,MIN(100,100*(Norm_Stats!$G$15-MIN(MAX(City_Inputs!$AK12,Norm_Stats!$F$15),Norm_Stats!$G$15))/(Norm_Stats!$G$15-Norm_Stats!$F$15)))))="",0,0.3))=0,"",(IF((IF(OR(City_Inputs!$Z12="",Norm_Stats!$F$14="",Norm_Stats!$G$14="",Norm_Stats!$G$14=Norm_Stats!$F$14),"",MAX(0,MIN(100,100*(MIN(MAX(City_Inputs!$Z12,Norm_Stats!$F$14),Norm_Stats!$G$14)-Norm_Stats!$F$14)/(Norm_Stats!$G$14-Norm_Stats!$F$14)))))="",0,0.7)+IF((IF(OR(City_Inputs!$AK12="",Norm_Stats!$F$15="",Norm_Stats!$G$15="",Norm_Stats!$G$15=Norm_Stats!$F$15),"",MAX(0,MIN(100,100*(Norm_Stats!$G$15-MIN(MAX(City_Inputs!$AK12,Norm_Stats!$F$15),Norm_Stats!$G$15))/(Norm_Stats!$G$15-Norm_Stats!$F$15)))))="",0,0.3)))</f>
        <v/>
      </c>
      <c r="AK12" s="15">
        <f>IF((IF(AE12="",0,8)+IF(AG12="",0,6)+IF(AI12="",0,4))=0,"",(IF(AE12="",0,AE12*8)+IF(AG12="",0,AG12*6)+IF(AI12="",0,AI12*4))/(IF(AE12="",0,8)+IF(AG12="",0,6)+IF(AI12="",0,4)))</f>
        <v/>
      </c>
      <c r="AL12" s="14">
        <f>IF((IF(AF12="",0,8)+IF(AH12="",0,6)+IF(AJ12="",0,4))=0,"",(IF(AF12="",0,AF12*8)+IF(AH12="",0,AH12*6)+IF(AJ12="",0,AJ12*4))/18)</f>
        <v/>
      </c>
      <c r="AM12" s="11">
        <f>IF(OR(City_Inputs!$AA12="",Norm_Stats!$F$16="",Norm_Stats!$G$16="",Norm_Stats!$G$16=Norm_Stats!$F$16),"",MAX(0,MIN(100,100*(MIN(MAX(City_Inputs!$AA12,Norm_Stats!$F$16),Norm_Stats!$G$16)-Norm_Stats!$F$16)/(Norm_Stats!$G$16-Norm_Stats!$F$16))))</f>
        <v/>
      </c>
      <c r="AN12" s="14">
        <f>IF(AM12="","",1)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5">
        <f>IF((IF(AM12="",0,5)+IF(AO12="",0,5)+IF(AQ12="",0,5))=0,"",(IF(AM12="",0,AM12*5)+IF(AO12="",0,AO12*5)+IF(AQ12="",0,AQ12*5))/(IF(AM12="",0,5)+IF(AO12="",0,5)+IF(AQ12="",0,5)))</f>
        <v/>
      </c>
      <c r="AT12" s="14">
        <f>IF((IF(AN12="",0,5)+IF(AP12="",0,5)+IF(AR12="",0,5))=0,"",(IF(AN12="",0,AN12*5)+IF(AP12="",0,AP12*5)+IF(AR12="",0,AR12*5))/15)</f>
        <v/>
      </c>
      <c r="AU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V12" s="14">
        <f>IF(AU12="","",1)</f>
        <v/>
      </c>
      <c r="AW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X12" s="14">
        <f>IF(AW12="","",1)</f>
        <v/>
      </c>
      <c r="AY12" s="11">
        <f>IF((IF((IF(OR(City_Inputs!$AF12="",Norm_Stats!$F$21="",Norm_Stats!$G$21="",Norm_Stats!$G$21=Norm_Stats!$F$21),"",MAX(0,MIN(100,100*(MIN(MAX(City_Inputs!$AF12,Norm_Stats!$F$21),Norm_Stats!$G$21)-Norm_Stats!$F$21)/(Norm_Stats!$G$21-Norm_Stats!$F$21)))))="",0,0.5)+IF((IF(OR(City_Inputs!$AI12="",Norm_Stats!$F$22="",Norm_Stats!$G$22="",Norm_Stats!$G$22=Norm_Stats!$F$22),"",MAX(0,MIN(100,100*(MIN(MAX(City_Inputs!$AI12,Norm_Stats!$F$22),Norm_Stats!$G$22)-Norm_Stats!$F$22)/(Norm_Stats!$G$22-Norm_Stats!$F$22)))))="",0,0.3)+IF((IF(OR(City_Inputs!$AJ12="",Norm_Stats!$F$23="",Norm_Stats!$G$23="",Norm_Stats!$G$23=Norm_Stats!$F$23),"",MAX(0,MIN(100,100*(MIN(MAX(City_Inputs!$AJ12,Norm_Stats!$F$23),Norm_Stats!$G$23)-Norm_Stats!$F$23)/(Norm_Stats!$G$23-Norm_Stats!$F$23)))))="",0,0.2))=0,"",(IF((IF(OR(City_Inputs!$AF12="",Norm_Stats!$F$21="",Norm_Stats!$G$21="",Norm_Stats!$G$21=Norm_Stats!$F$21),"",MAX(0,MIN(100,100*(MIN(MAX(City_Inputs!$AF12,Norm_Stats!$F$21),Norm_Stats!$G$21)-Norm_Stats!$F$21)/(Norm_Stats!$G$21-Norm_Stats!$F$21)))))="",0,(IF(OR(City_Inputs!$AF12="",Norm_Stats!$F$21="",Norm_Stats!$G$21="",Norm_Stats!$G$21=Norm_Stats!$F$21),"",MAX(0,MIN(100,100*(MIN(MAX(City_Inputs!$AF12,Norm_Stats!$F$21),Norm_Stats!$G$21)-Norm_Stats!$F$21)/(Norm_Stats!$G$21-Norm_Stats!$F$21)))))*0.5)+IF((IF(OR(City_Inputs!$AI12="",Norm_Stats!$F$22="",Norm_Stats!$G$22="",Norm_Stats!$G$22=Norm_Stats!$F$22),"",MAX(0,MIN(100,100*(MIN(MAX(City_Inputs!$AI12,Norm_Stats!$F$22),Norm_Stats!$G$22)-Norm_Stats!$F$22)/(Norm_Stats!$G$22-Norm_Stats!$F$22)))))="",0,(IF(OR(City_Inputs!$AI12="",Norm_Stats!$F$22="",Norm_Stats!$G$22="",Norm_Stats!$G$22=Norm_Stats!$F$22),"",MAX(0,MIN(100,100*(MIN(MAX(City_Inputs!$AI12,Norm_Stats!$F$22),Norm_Stats!$G$22)-Norm_Stats!$F$22)/(Norm_Stats!$G$22-Norm_Stats!$F$22)))))*0.3)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0.2))/(IF((IF(OR(City_Inputs!$AF12="",Norm_Stats!$F$21="",Norm_Stats!$G$21="",Norm_Stats!$G$21=Norm_Stats!$F$21),"",MAX(0,MIN(100,100*(MIN(MAX(City_Inputs!$AF12,Norm_Stats!$F$21),Norm_Stats!$G$21)-Norm_Stats!$F$21)/(Norm_Stats!$G$21-Norm_Stats!$F$21)))))="",0,0.5)+IF((IF(OR(City_Inputs!$AI12="",Norm_Stats!$F$22="",Norm_Stats!$G$22="",Norm_Stats!$G$22=Norm_Stats!$F$22),"",MAX(0,MIN(100,100*(MIN(MAX(City_Inputs!$AI12,Norm_Stats!$F$22),Norm_Stats!$G$22)-Norm_Stats!$F$22)/(Norm_Stats!$G$22-Norm_Stats!$F$22)))))="",0,0.3)+IF((IF(OR(City_Inputs!$AJ12="",Norm_Stats!$F$23="",Norm_Stats!$G$23="",Norm_Stats!$G$23=Norm_Stats!$F$23),"",MAX(0,MIN(100,100*(MIN(MAX(City_Inputs!$AJ12,Norm_Stats!$F$23),Norm_Stats!$G$23)-Norm_Stats!$F$23)/(Norm_Stats!$G$23-Norm_Stats!$F$23)))))="",0,0.2)))</f>
        <v/>
      </c>
      <c r="AZ12" s="14">
        <f>IF((IF((IF(OR(City_Inputs!$AF12="",Norm_Stats!$F$21="",Norm_Stats!$G$21="",Norm_Stats!$G$21=Norm_Stats!$F$21),"",MAX(0,MIN(100,100*(MIN(MAX(City_Inputs!$AF12,Norm_Stats!$F$21),Norm_Stats!$G$21)-Norm_Stats!$F$21)/(Norm_Stats!$G$21-Norm_Stats!$F$21)))))="",0,0.5)+IF((IF(OR(City_Inputs!$AI12="",Norm_Stats!$F$22="",Norm_Stats!$G$22="",Norm_Stats!$G$22=Norm_Stats!$F$22),"",MAX(0,MIN(100,100*(MIN(MAX(City_Inputs!$AI12,Norm_Stats!$F$22),Norm_Stats!$G$22)-Norm_Stats!$F$22)/(Norm_Stats!$G$22-Norm_Stats!$F$22)))))="",0,0.3)+IF((IF(OR(City_Inputs!$AJ12="",Norm_Stats!$F$23="",Norm_Stats!$G$23="",Norm_Stats!$G$23=Norm_Stats!$F$23),"",MAX(0,MIN(100,100*(MIN(MAX(City_Inputs!$AJ12,Norm_Stats!$F$23),Norm_Stats!$G$23)-Norm_Stats!$F$23)/(Norm_Stats!$G$23-Norm_Stats!$F$23)))))="",0,0.2))=0,"",(IF((IF(OR(City_Inputs!$AF12="",Norm_Stats!$F$21="",Norm_Stats!$G$21="",Norm_Stats!$G$21=Norm_Stats!$F$21),"",MAX(0,MIN(100,100*(MIN(MAX(City_Inputs!$AF12,Norm_Stats!$F$21),Norm_Stats!$G$21)-Norm_Stats!$F$21)/(Norm_Stats!$G$21-Norm_Stats!$F$21)))))="",0,0.5)+IF((IF(OR(City_Inputs!$AI12="",Norm_Stats!$F$22="",Norm_Stats!$G$22="",Norm_Stats!$G$22=Norm_Stats!$F$22),"",MAX(0,MIN(100,100*(MIN(MAX(City_Inputs!$AI12,Norm_Stats!$F$22),Norm_Stats!$G$22)-Norm_Stats!$F$22)/(Norm_Stats!$G$22-Norm_Stats!$F$22)))))="",0,0.3)+IF((IF(OR(City_Inputs!$AJ12="",Norm_Stats!$F$23="",Norm_Stats!$G$23="",Norm_Stats!$G$23=Norm_Stats!$F$23),"",MAX(0,MIN(100,100*(MIN(MAX(City_Inputs!$AJ12,Norm_Stats!$F$23),Norm_Stats!$G$23)-Norm_Stats!$F$23)/(Norm_Stats!$G$23-Norm_Stats!$F$23)))))="",0,0.2)))</f>
        <v/>
      </c>
      <c r="BA12" s="11">
        <f>IF(OR(City_Inputs!$AG12="",Norm_Stats!$F$24="",Norm_Stats!$G$24="",Norm_Stats!$G$24=Norm_Stats!$F$24),"",MAX(0,MIN(100,100*(Norm_Stats!$G$24-MIN(MAX(City_Inputs!$AG12,Norm_Stats!$F$24),Norm_Stats!$G$24))/(Norm_Stats!$G$24-Norm_Stats!$F$24))))</f>
        <v/>
      </c>
      <c r="BB12" s="14">
        <f>IF(BA12="","",1)</f>
        <v/>
      </c>
      <c r="BC12" s="15">
        <f>IF((IF(AU12="",0,6)+IF(AW12="",0,5)+IF(AY12="",0,5)+IF(BA12="",0,4))=0,"",(IF(AU12="",0,AU12*6)+IF(AW12="",0,AW12*5)+IF(AY12="",0,AY12*5)+IF(BA12="",0,BA12*4))/(IF(AU12="",0,6)+IF(AW12="",0,5)+IF(AY12="",0,5)+IF(BA12="",0,4)))</f>
        <v/>
      </c>
      <c r="BD12" s="14">
        <f>IF((IF(AV12="",0,6)+IF(AX12="",0,5)+IF(AZ12="",0,5)+IF(BB12="",0,4))=0,"",(IF(AV12="",0,AV12*6)+IF(AX12="",0,AX12*5)+IF(AZ12="",0,AZ12*5)+IF(BB12="",0,BB12*4))/20)</f>
        <v/>
      </c>
      <c r="BE12" s="14">
        <f>IF(AND(R12="",AD12="",AL12="",AT12="",BD12=""),"",((R12*25)+(AD12*22)+(AL12*18)+(AT12*15)+(BD12*20))/100)</f>
        <v/>
      </c>
      <c r="BF12" s="11">
        <f>IF(BE12="","",IF(BE12&gt;=0.75,"A",IF(BE12&gt;=0.5,"B",IF(BE12&gt;=0.35,"C","Watchlist"))))</f>
        <v/>
      </c>
      <c r="BG12" s="11">
        <f>IF(OR(BE12="",BE12&lt;0.5,R12="",R12&lt;0.35,AD12="",AD12&lt;0.35,AL12="",AL12&lt;0.35,AT12="",AT12&lt;0.35,BD12="",BD12&lt;0.35),"Watchlist","Ranked")</f>
        <v/>
      </c>
      <c r="BH12" s="15">
        <f>IF(AND(Q12="",AC12="",AK12="",AS12="",BC12=""),"",(IF(Q12="",0,Q12*25)+IF(AC12="",0,AC12*22)+IF(AK12="",0,AK12*18)+IF(AS12="",0,AS12*15)+IF(BC12="",0,BC12*20))/(IF(Q12="",0,25)+IF(AC12="",0,22)+IF(AK12="",0,18)+IF(AS12="",0,15)+IF(BC12="",0,20)))</f>
        <v/>
      </c>
      <c r="BI12" s="11">
        <f>IF(BG12="Ranked",1+COUNTIFS($BG$2:$BG$101,"Ranked",$BH$2:$BH$101,"&gt;"&amp;BH12),"")</f>
        <v/>
      </c>
      <c r="BJ12" s="11">
        <f>City_Inputs!$AH12</f>
        <v/>
      </c>
    </row>
    <row r="13">
      <c r="A13" t="inlineStr">
        <is>
          <t>kr-busan</t>
        </is>
      </c>
      <c r="B13" t="inlineStr">
        <is>
          <t>Busan</t>
        </is>
      </c>
      <c r="C13" t="inlineStr">
        <is>
          <t>South Korea</t>
        </is>
      </c>
      <c r="D13" t="inlineStr">
        <is>
          <t>East Asia</t>
        </is>
      </c>
      <c r="E13" t="inlineStr">
        <is>
          <t>locked</t>
        </is>
      </c>
      <c r="F13" t="inlineStr">
        <is>
          <t>primary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IF((IF(G13="",0,9)+IF(I13="",0,5)+IF(K13="",0,4)+IF(M13="",0,4)+IF(O13="",0,3))=0,"",(IF(G13="",0,G13*9)+IF(I13="",0,I13*5)+IF(K13="",0,K13*4)+IF(M13="",0,M13*4)+IF(O13="",0,O13*3))/(IF(G13="",0,9)+IF(I13="",0,5)+IF(K13="",0,4)+IF(M13="",0,4)+IF(O13="",0,3)))</f>
        <v/>
      </c>
      <c r="R13" s="14">
        <f>IF((IF(H13="",0,9)+IF(J13="",0,5)+IF(L13="",0,4)+IF(N13="",0,4)+IF(P13="",0,3))=0,"",(IF(H13="",0,H13*9)+IF(J13="",0,J13*5)+IF(L13="",0,L13*4)+IF(N13="",0,N13*4)+IF(P13="",0,P13*3))/25)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5">
        <f>IF((IF(S13="",0,5)+IF(U13="",0,5)+IF(W13="",0,4)+IF(Y13="",0,4)+IF(AA13="",0,4))=0,"",(IF(S13="",0,S13*5)+IF(U13="",0,U13*5)+IF(W13="",0,W13*4)+IF(Y13="",0,Y13*4)+IF(AA13="",0,AA13*4))/(IF(S13="",0,5)+IF(U13="",0,5)+IF(W13="",0,4)+IF(Y13="",0,4)+IF(AA13="",0,4)))</f>
        <v/>
      </c>
      <c r="AD13" s="14">
        <f>IF((IF(T13="",0,5)+IF(V13="",0,5)+IF(X13="",0,4)+IF(Z13="",0,4)+IF(AB13="",0,4))=0,"",(IF(T13="",0,T13*5)+IF(V13="",0,V13*5)+IF(X13="",0,X13*4)+IF(Z13="",0,Z13*4)+IF(AB13="",0,AB13*4))/22)</f>
        <v/>
      </c>
      <c r="AE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F13" s="14">
        <f>IF(AE13="","",1)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(IF((IF(OR(City_Inputs!$Z13="",Norm_Stats!$F$14="",Norm_Stats!$G$14="",Norm_Stats!$G$14=Norm_Stats!$F$14),"",MAX(0,MIN(100,100*(MIN(MAX(City_Inputs!$Z13,Norm_Stats!$F$14),Norm_Stats!$G$14)-Norm_Stats!$F$14)/(Norm_Stats!$G$14-Norm_Stats!$F$14)))))="",0,0.7)+IF((IF(OR(City_Inputs!$AK13="",Norm_Stats!$F$15="",Norm_Stats!$G$15="",Norm_Stats!$G$15=Norm_Stats!$F$15),"",MAX(0,MIN(100,100*(Norm_Stats!$G$15-MIN(MAX(City_Inputs!$AK13,Norm_Stats!$F$15),Norm_Stats!$G$15))/(Norm_Stats!$G$15-Norm_Stats!$F$15)))))="",0,0.3))=0,"",(IF((IF(OR(City_Inputs!$Z13="",Norm_Stats!$F$14="",Norm_Stats!$G$14="",Norm_Stats!$G$14=Norm_Stats!$F$14),"",MAX(0,MIN(100,100*(MIN(MAX(City_Inputs!$Z13,Norm_Stats!$F$14),Norm_Stats!$G$14)-Norm_Stats!$F$14)/(Norm_Stats!$G$14-Norm_Stats!$F$14)))))="",0,(IF(OR(City_Inputs!$Z13="",Norm_Stats!$F$14="",Norm_Stats!$G$14="",Norm_Stats!$G$14=Norm_Stats!$F$14),"",MAX(0,MIN(100,100*(MIN(MAX(City_Inputs!$Z13,Norm_Stats!$F$14),Norm_Stats!$G$14)-Norm_Stats!$F$14)/(Norm_Stats!$G$14-Norm_Stats!$F$14)))))*0.7)+IF((IF(OR(City_Inputs!$AK13="",Norm_Stats!$F$15="",Norm_Stats!$G$15="",Norm_Stats!$G$15=Norm_Stats!$F$15),"",MAX(0,MIN(100,100*(Norm_Stats!$G$15-MIN(MAX(City_Inputs!$AK13,Norm_Stats!$F$15),Norm_Stats!$G$15))/(Norm_Stats!$G$15-Norm_Stats!$F$15)))))="",0,(IF(OR(City_Inputs!$AK13="",Norm_Stats!$F$15="",Norm_Stats!$G$15="",Norm_Stats!$G$15=Norm_Stats!$F$15),"",MAX(0,MIN(100,100*(Norm_Stats!$G$15-MIN(MAX(City_Inputs!$AK13,Norm_Stats!$F$15),Norm_Stats!$G$15))/(Norm_Stats!$G$15-Norm_Stats!$F$15)))))*0.3))/(IF((IF(OR(City_Inputs!$Z13="",Norm_Stats!$F$14="",Norm_Stats!$G$14="",Norm_Stats!$G$14=Norm_Stats!$F$14),"",MAX(0,MIN(100,100*(MIN(MAX(City_Inputs!$Z13,Norm_Stats!$F$14),Norm_Stats!$G$14)-Norm_Stats!$F$14)/(Norm_Stats!$G$14-Norm_Stats!$F$14)))))="",0,0.7)+IF((IF(OR(City_Inputs!$AK13="",Norm_Stats!$F$15="",Norm_Stats!$G$15="",Norm_Stats!$G$15=Norm_Stats!$F$15),"",MAX(0,MIN(100,100*(Norm_Stats!$G$15-MIN(MAX(City_Inputs!$AK13,Norm_Stats!$F$15),Norm_Stats!$G$15))/(Norm_Stats!$G$15-Norm_Stats!$F$15)))))="",0,0.3)))</f>
        <v/>
      </c>
      <c r="AJ13" s="14">
        <f>IF((IF((IF(OR(City_Inputs!$Z13="",Norm_Stats!$F$14="",Norm_Stats!$G$14="",Norm_Stats!$G$14=Norm_Stats!$F$14),"",MAX(0,MIN(100,100*(MIN(MAX(City_Inputs!$Z13,Norm_Stats!$F$14),Norm_Stats!$G$14)-Norm_Stats!$F$14)/(Norm_Stats!$G$14-Norm_Stats!$F$14)))))="",0,0.7)+IF((IF(OR(City_Inputs!$AK13="",Norm_Stats!$F$15="",Norm_Stats!$G$15="",Norm_Stats!$G$15=Norm_Stats!$F$15),"",MAX(0,MIN(100,100*(Norm_Stats!$G$15-MIN(MAX(City_Inputs!$AK13,Norm_Stats!$F$15),Norm_Stats!$G$15))/(Norm_Stats!$G$15-Norm_Stats!$F$15)))))="",0,0.3))=0,"",(IF((IF(OR(City_Inputs!$Z13="",Norm_Stats!$F$14="",Norm_Stats!$G$14="",Norm_Stats!$G$14=Norm_Stats!$F$14),"",MAX(0,MIN(100,100*(MIN(MAX(City_Inputs!$Z13,Norm_Stats!$F$14),Norm_Stats!$G$14)-Norm_Stats!$F$14)/(Norm_Stats!$G$14-Norm_Stats!$F$14)))))="",0,0.7)+IF((IF(OR(City_Inputs!$AK13="",Norm_Stats!$F$15="",Norm_Stats!$G$15="",Norm_Stats!$G$15=Norm_Stats!$F$15),"",MAX(0,MIN(100,100*(Norm_Stats!$G$15-MIN(MAX(City_Inputs!$AK13,Norm_Stats!$F$15),Norm_Stats!$G$15))/(Norm_Stats!$G$15-Norm_Stats!$F$15)))))="",0,0.3)))</f>
        <v/>
      </c>
      <c r="AK13" s="15">
        <f>IF((IF(AE13="",0,8)+IF(AG13="",0,6)+IF(AI13="",0,4))=0,"",(IF(AE13="",0,AE13*8)+IF(AG13="",0,AG13*6)+IF(AI13="",0,AI13*4))/(IF(AE13="",0,8)+IF(AG13="",0,6)+IF(AI13="",0,4)))</f>
        <v/>
      </c>
      <c r="AL13" s="14">
        <f>IF((IF(AF13="",0,8)+IF(AH13="",0,6)+IF(AJ13="",0,4))=0,"",(IF(AF13="",0,AF13*8)+IF(AH13="",0,AH13*6)+IF(AJ13="",0,AJ13*4))/18)</f>
        <v/>
      </c>
      <c r="AM13" s="11">
        <f>IF(OR(City_Inputs!$AA13="",Norm_Stats!$F$16="",Norm_Stats!$G$16="",Norm_Stats!$G$16=Norm_Stats!$F$16),"",MAX(0,MIN(100,100*(MIN(MAX(City_Inputs!$AA13,Norm_Stats!$F$16),Norm_Stats!$G$16)-Norm_Stats!$F$16)/(Norm_Stats!$G$16-Norm_Stats!$F$16))))</f>
        <v/>
      </c>
      <c r="AN13" s="14">
        <f>IF(AM13="","",1)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5">
        <f>IF((IF(AM13="",0,5)+IF(AO13="",0,5)+IF(AQ13="",0,5))=0,"",(IF(AM13="",0,AM13*5)+IF(AO13="",0,AO13*5)+IF(AQ13="",0,AQ13*5))/(IF(AM13="",0,5)+IF(AO13="",0,5)+IF(AQ13="",0,5)))</f>
        <v/>
      </c>
      <c r="AT13" s="14">
        <f>IF((IF(AN13="",0,5)+IF(AP13="",0,5)+IF(AR13="",0,5))=0,"",(IF(AN13="",0,AN13*5)+IF(AP13="",0,AP13*5)+IF(AR13="",0,AR13*5))/15)</f>
        <v/>
      </c>
      <c r="AU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V13" s="14">
        <f>IF(AU13="","",1)</f>
        <v/>
      </c>
      <c r="AW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X13" s="14">
        <f>IF(AW13="","",1)</f>
        <v/>
      </c>
      <c r="AY13" s="11">
        <f>IF((IF((IF(OR(City_Inputs!$AF13="",Norm_Stats!$F$21="",Norm_Stats!$G$21="",Norm_Stats!$G$21=Norm_Stats!$F$21),"",MAX(0,MIN(100,100*(MIN(MAX(City_Inputs!$AF13,Norm_Stats!$F$21),Norm_Stats!$G$21)-Norm_Stats!$F$21)/(Norm_Stats!$G$21-Norm_Stats!$F$21)))))="",0,0.5)+IF((IF(OR(City_Inputs!$AI13="",Norm_Stats!$F$22="",Norm_Stats!$G$22="",Norm_Stats!$G$22=Norm_Stats!$F$22),"",MAX(0,MIN(100,100*(MIN(MAX(City_Inputs!$AI13,Norm_Stats!$F$22),Norm_Stats!$G$22)-Norm_Stats!$F$22)/(Norm_Stats!$G$22-Norm_Stats!$F$22)))))="",0,0.3)+IF((IF(OR(City_Inputs!$AJ13="",Norm_Stats!$F$23="",Norm_Stats!$G$23="",Norm_Stats!$G$23=Norm_Stats!$F$23),"",MAX(0,MIN(100,100*(MIN(MAX(City_Inputs!$AJ13,Norm_Stats!$F$23),Norm_Stats!$G$23)-Norm_Stats!$F$23)/(Norm_Stats!$G$23-Norm_Stats!$F$23)))))="",0,0.2))=0,"",(IF((IF(OR(City_Inputs!$AF13="",Norm_Stats!$F$21="",Norm_Stats!$G$21="",Norm_Stats!$G$21=Norm_Stats!$F$21),"",MAX(0,MIN(100,100*(MIN(MAX(City_Inputs!$AF13,Norm_Stats!$F$21),Norm_Stats!$G$21)-Norm_Stats!$F$21)/(Norm_Stats!$G$21-Norm_Stats!$F$21)))))="",0,(IF(OR(City_Inputs!$AF13="",Norm_Stats!$F$21="",Norm_Stats!$G$21="",Norm_Stats!$G$21=Norm_Stats!$F$21),"",MAX(0,MIN(100,100*(MIN(MAX(City_Inputs!$AF13,Norm_Stats!$F$21),Norm_Stats!$G$21)-Norm_Stats!$F$21)/(Norm_Stats!$G$21-Norm_Stats!$F$21)))))*0.5)+IF((IF(OR(City_Inputs!$AI13="",Norm_Stats!$F$22="",Norm_Stats!$G$22="",Norm_Stats!$G$22=Norm_Stats!$F$22),"",MAX(0,MIN(100,100*(MIN(MAX(City_Inputs!$AI13,Norm_Stats!$F$22),Norm_Stats!$G$22)-Norm_Stats!$F$22)/(Norm_Stats!$G$22-Norm_Stats!$F$22)))))="",0,(IF(OR(City_Inputs!$AI13="",Norm_Stats!$F$22="",Norm_Stats!$G$22="",Norm_Stats!$G$22=Norm_Stats!$F$22),"",MAX(0,MIN(100,100*(MIN(MAX(City_Inputs!$AI13,Norm_Stats!$F$22),Norm_Stats!$G$22)-Norm_Stats!$F$22)/(Norm_Stats!$G$22-Norm_Stats!$F$22)))))*0.3)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0.2))/(IF((IF(OR(City_Inputs!$AF13="",Norm_Stats!$F$21="",Norm_Stats!$G$21="",Norm_Stats!$G$21=Norm_Stats!$F$21),"",MAX(0,MIN(100,100*(MIN(MAX(City_Inputs!$AF13,Norm_Stats!$F$21),Norm_Stats!$G$21)-Norm_Stats!$F$21)/(Norm_Stats!$G$21-Norm_Stats!$F$21)))))="",0,0.5)+IF((IF(OR(City_Inputs!$AI13="",Norm_Stats!$F$22="",Norm_Stats!$G$22="",Norm_Stats!$G$22=Norm_Stats!$F$22),"",MAX(0,MIN(100,100*(MIN(MAX(City_Inputs!$AI13,Norm_Stats!$F$22),Norm_Stats!$G$22)-Norm_Stats!$F$22)/(Norm_Stats!$G$22-Norm_Stats!$F$22)))))="",0,0.3)+IF((IF(OR(City_Inputs!$AJ13="",Norm_Stats!$F$23="",Norm_Stats!$G$23="",Norm_Stats!$G$23=Norm_Stats!$F$23),"",MAX(0,MIN(100,100*(MIN(MAX(City_Inputs!$AJ13,Norm_Stats!$F$23),Norm_Stats!$G$23)-Norm_Stats!$F$23)/(Norm_Stats!$G$23-Norm_Stats!$F$23)))))="",0,0.2)))</f>
        <v/>
      </c>
      <c r="AZ13" s="14">
        <f>IF((IF((IF(OR(City_Inputs!$AF13="",Norm_Stats!$F$21="",Norm_Stats!$G$21="",Norm_Stats!$G$21=Norm_Stats!$F$21),"",MAX(0,MIN(100,100*(MIN(MAX(City_Inputs!$AF13,Norm_Stats!$F$21),Norm_Stats!$G$21)-Norm_Stats!$F$21)/(Norm_Stats!$G$21-Norm_Stats!$F$21)))))="",0,0.5)+IF((IF(OR(City_Inputs!$AI13="",Norm_Stats!$F$22="",Norm_Stats!$G$22="",Norm_Stats!$G$22=Norm_Stats!$F$22),"",MAX(0,MIN(100,100*(MIN(MAX(City_Inputs!$AI13,Norm_Stats!$F$22),Norm_Stats!$G$22)-Norm_Stats!$F$22)/(Norm_Stats!$G$22-Norm_Stats!$F$22)))))="",0,0.3)+IF((IF(OR(City_Inputs!$AJ13="",Norm_Stats!$F$23="",Norm_Stats!$G$23="",Norm_Stats!$G$23=Norm_Stats!$F$23),"",MAX(0,MIN(100,100*(MIN(MAX(City_Inputs!$AJ13,Norm_Stats!$F$23),Norm_Stats!$G$23)-Norm_Stats!$F$23)/(Norm_Stats!$G$23-Norm_Stats!$F$23)))))="",0,0.2))=0,"",(IF((IF(OR(City_Inputs!$AF13="",Norm_Stats!$F$21="",Norm_Stats!$G$21="",Norm_Stats!$G$21=Norm_Stats!$F$21),"",MAX(0,MIN(100,100*(MIN(MAX(City_Inputs!$AF13,Norm_Stats!$F$21),Norm_Stats!$G$21)-Norm_Stats!$F$21)/(Norm_Stats!$G$21-Norm_Stats!$F$21)))))="",0,0.5)+IF((IF(OR(City_Inputs!$AI13="",Norm_Stats!$F$22="",Norm_Stats!$G$22="",Norm_Stats!$G$22=Norm_Stats!$F$22),"",MAX(0,MIN(100,100*(MIN(MAX(City_Inputs!$AI13,Norm_Stats!$F$22),Norm_Stats!$G$22)-Norm_Stats!$F$22)/(Norm_Stats!$G$22-Norm_Stats!$F$22)))))="",0,0.3)+IF((IF(OR(City_Inputs!$AJ13="",Norm_Stats!$F$23="",Norm_Stats!$G$23="",Norm_Stats!$G$23=Norm_Stats!$F$23),"",MAX(0,MIN(100,100*(MIN(MAX(City_Inputs!$AJ13,Norm_Stats!$F$23),Norm_Stats!$G$23)-Norm_Stats!$F$23)/(Norm_Stats!$G$23-Norm_Stats!$F$23)))))="",0,0.2)))</f>
        <v/>
      </c>
      <c r="BA13" s="11">
        <f>IF(OR(City_Inputs!$AG13="",Norm_Stats!$F$24="",Norm_Stats!$G$24="",Norm_Stats!$G$24=Norm_Stats!$F$24),"",MAX(0,MIN(100,100*(Norm_Stats!$G$24-MIN(MAX(City_Inputs!$AG13,Norm_Stats!$F$24),Norm_Stats!$G$24))/(Norm_Stats!$G$24-Norm_Stats!$F$24))))</f>
        <v/>
      </c>
      <c r="BB13" s="14">
        <f>IF(BA13="","",1)</f>
        <v/>
      </c>
      <c r="BC13" s="15">
        <f>IF((IF(AU13="",0,6)+IF(AW13="",0,5)+IF(AY13="",0,5)+IF(BA13="",0,4))=0,"",(IF(AU13="",0,AU13*6)+IF(AW13="",0,AW13*5)+IF(AY13="",0,AY13*5)+IF(BA13="",0,BA13*4))/(IF(AU13="",0,6)+IF(AW13="",0,5)+IF(AY13="",0,5)+IF(BA13="",0,4)))</f>
        <v/>
      </c>
      <c r="BD13" s="14">
        <f>IF((IF(AV13="",0,6)+IF(AX13="",0,5)+IF(AZ13="",0,5)+IF(BB13="",0,4))=0,"",(IF(AV13="",0,AV13*6)+IF(AX13="",0,AX13*5)+IF(AZ13="",0,AZ13*5)+IF(BB13="",0,BB13*4))/20)</f>
        <v/>
      </c>
      <c r="BE13" s="14">
        <f>IF(AND(R13="",AD13="",AL13="",AT13="",BD13=""),"",((R13*25)+(AD13*22)+(AL13*18)+(AT13*15)+(BD13*20))/100)</f>
        <v/>
      </c>
      <c r="BF13" s="11">
        <f>IF(BE13="","",IF(BE13&gt;=0.75,"A",IF(BE13&gt;=0.5,"B",IF(BE13&gt;=0.35,"C","Watchlist"))))</f>
        <v/>
      </c>
      <c r="BG13" s="11">
        <f>IF(OR(BE13="",BE13&lt;0.5,R13="",R13&lt;0.35,AD13="",AD13&lt;0.35,AL13="",AL13&lt;0.35,AT13="",AT13&lt;0.35,BD13="",BD13&lt;0.35),"Watchlist","Ranked")</f>
        <v/>
      </c>
      <c r="BH13" s="15">
        <f>IF(AND(Q13="",AC13="",AK13="",AS13="",BC13=""),"",(IF(Q13="",0,Q13*25)+IF(AC13="",0,AC13*22)+IF(AK13="",0,AK13*18)+IF(AS13="",0,AS13*15)+IF(BC13="",0,BC13*20))/(IF(Q13="",0,25)+IF(AC13="",0,22)+IF(AK13="",0,18)+IF(AS13="",0,15)+IF(BC13="",0,20)))</f>
        <v/>
      </c>
      <c r="BI13" s="11">
        <f>IF(BG13="Ranked",1+COUNTIFS($BG$2:$BG$101,"Ranked",$BH$2:$BH$101,"&gt;"&amp;BH13),"")</f>
        <v/>
      </c>
      <c r="BJ13" s="11">
        <f>City_Inputs!$AH13</f>
        <v/>
      </c>
    </row>
    <row r="14">
      <c r="A14" t="inlineStr">
        <is>
          <t>cn-shanghai</t>
        </is>
      </c>
      <c r="B14" t="inlineStr">
        <is>
          <t>Shanghai</t>
        </is>
      </c>
      <c r="C14" t="inlineStr">
        <is>
          <t>China</t>
        </is>
      </c>
      <c r="D14" t="inlineStr">
        <is>
          <t>East Asia</t>
        </is>
      </c>
      <c r="E14" t="inlineStr">
        <is>
          <t>provisional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IF((IF(G14="",0,9)+IF(I14="",0,5)+IF(K14="",0,4)+IF(M14="",0,4)+IF(O14="",0,3))=0,"",(IF(G14="",0,G14*9)+IF(I14="",0,I14*5)+IF(K14="",0,K14*4)+IF(M14="",0,M14*4)+IF(O14="",0,O14*3))/(IF(G14="",0,9)+IF(I14="",0,5)+IF(K14="",0,4)+IF(M14="",0,4)+IF(O14="",0,3)))</f>
        <v/>
      </c>
      <c r="R14" s="14">
        <f>IF((IF(H14="",0,9)+IF(J14="",0,5)+IF(L14="",0,4)+IF(N14="",0,4)+IF(P14="",0,3))=0,"",(IF(H14="",0,H14*9)+IF(J14="",0,J14*5)+IF(L14="",0,L14*4)+IF(N14="",0,N14*4)+IF(P14="",0,P14*3))/25)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5">
        <f>IF((IF(S14="",0,5)+IF(U14="",0,5)+IF(W14="",0,4)+IF(Y14="",0,4)+IF(AA14="",0,4))=0,"",(IF(S14="",0,S14*5)+IF(U14="",0,U14*5)+IF(W14="",0,W14*4)+IF(Y14="",0,Y14*4)+IF(AA14="",0,AA14*4))/(IF(S14="",0,5)+IF(U14="",0,5)+IF(W14="",0,4)+IF(Y14="",0,4)+IF(AA14="",0,4)))</f>
        <v/>
      </c>
      <c r="AD14" s="14">
        <f>IF((IF(T14="",0,5)+IF(V14="",0,5)+IF(X14="",0,4)+IF(Z14="",0,4)+IF(AB14="",0,4))=0,"",(IF(T14="",0,T14*5)+IF(V14="",0,V14*5)+IF(X14="",0,X14*4)+IF(Z14="",0,Z14*4)+IF(AB14="",0,AB14*4))/22)</f>
        <v/>
      </c>
      <c r="AE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F14" s="14">
        <f>IF(AE14="","",1)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(IF((IF(OR(City_Inputs!$Z14="",Norm_Stats!$F$14="",Norm_Stats!$G$14="",Norm_Stats!$G$14=Norm_Stats!$F$14),"",MAX(0,MIN(100,100*(MIN(MAX(City_Inputs!$Z14,Norm_Stats!$F$14),Norm_Stats!$G$14)-Norm_Stats!$F$14)/(Norm_Stats!$G$14-Norm_Stats!$F$14)))))="",0,0.7)+IF((IF(OR(City_Inputs!$AK14="",Norm_Stats!$F$15="",Norm_Stats!$G$15="",Norm_Stats!$G$15=Norm_Stats!$F$15),"",MAX(0,MIN(100,100*(Norm_Stats!$G$15-MIN(MAX(City_Inputs!$AK14,Norm_Stats!$F$15),Norm_Stats!$G$15))/(Norm_Stats!$G$15-Norm_Stats!$F$15)))))="",0,0.3))=0,"",(IF((IF(OR(City_Inputs!$Z14="",Norm_Stats!$F$14="",Norm_Stats!$G$14="",Norm_Stats!$G$14=Norm_Stats!$F$14),"",MAX(0,MIN(100,100*(MIN(MAX(City_Inputs!$Z14,Norm_Stats!$F$14),Norm_Stats!$G$14)-Norm_Stats!$F$14)/(Norm_Stats!$G$14-Norm_Stats!$F$14)))))="",0,(IF(OR(City_Inputs!$Z14="",Norm_Stats!$F$14="",Norm_Stats!$G$14="",Norm_Stats!$G$14=Norm_Stats!$F$14),"",MAX(0,MIN(100,100*(MIN(MAX(City_Inputs!$Z14,Norm_Stats!$F$14),Norm_Stats!$G$14)-Norm_Stats!$F$14)/(Norm_Stats!$G$14-Norm_Stats!$F$14)))))*0.7)+IF((IF(OR(City_Inputs!$AK14="",Norm_Stats!$F$15="",Norm_Stats!$G$15="",Norm_Stats!$G$15=Norm_Stats!$F$15),"",MAX(0,MIN(100,100*(Norm_Stats!$G$15-MIN(MAX(City_Inputs!$AK14,Norm_Stats!$F$15),Norm_Stats!$G$15))/(Norm_Stats!$G$15-Norm_Stats!$F$15)))))="",0,(IF(OR(City_Inputs!$AK14="",Norm_Stats!$F$15="",Norm_Stats!$G$15="",Norm_Stats!$G$15=Norm_Stats!$F$15),"",MAX(0,MIN(100,100*(Norm_Stats!$G$15-MIN(MAX(City_Inputs!$AK14,Norm_Stats!$F$15),Norm_Stats!$G$15))/(Norm_Stats!$G$15-Norm_Stats!$F$15)))))*0.3))/(IF((IF(OR(City_Inputs!$Z14="",Norm_Stats!$F$14="",Norm_Stats!$G$14="",Norm_Stats!$G$14=Norm_Stats!$F$14),"",MAX(0,MIN(100,100*(MIN(MAX(City_Inputs!$Z14,Norm_Stats!$F$14),Norm_Stats!$G$14)-Norm_Stats!$F$14)/(Norm_Stats!$G$14-Norm_Stats!$F$14)))))="",0,0.7)+IF((IF(OR(City_Inputs!$AK14="",Norm_Stats!$F$15="",Norm_Stats!$G$15="",Norm_Stats!$G$15=Norm_Stats!$F$15),"",MAX(0,MIN(100,100*(Norm_Stats!$G$15-MIN(MAX(City_Inputs!$AK14,Norm_Stats!$F$15),Norm_Stats!$G$15))/(Norm_Stats!$G$15-Norm_Stats!$F$15)))))="",0,0.3)))</f>
        <v/>
      </c>
      <c r="AJ14" s="14">
        <f>IF((IF((IF(OR(City_Inputs!$Z14="",Norm_Stats!$F$14="",Norm_Stats!$G$14="",Norm_Stats!$G$14=Norm_Stats!$F$14),"",MAX(0,MIN(100,100*(MIN(MAX(City_Inputs!$Z14,Norm_Stats!$F$14),Norm_Stats!$G$14)-Norm_Stats!$F$14)/(Norm_Stats!$G$14-Norm_Stats!$F$14)))))="",0,0.7)+IF((IF(OR(City_Inputs!$AK14="",Norm_Stats!$F$15="",Norm_Stats!$G$15="",Norm_Stats!$G$15=Norm_Stats!$F$15),"",MAX(0,MIN(100,100*(Norm_Stats!$G$15-MIN(MAX(City_Inputs!$AK14,Norm_Stats!$F$15),Norm_Stats!$G$15))/(Norm_Stats!$G$15-Norm_Stats!$F$15)))))="",0,0.3))=0,"",(IF((IF(OR(City_Inputs!$Z14="",Norm_Stats!$F$14="",Norm_Stats!$G$14="",Norm_Stats!$G$14=Norm_Stats!$F$14),"",MAX(0,MIN(100,100*(MIN(MAX(City_Inputs!$Z14,Norm_Stats!$F$14),Norm_Stats!$G$14)-Norm_Stats!$F$14)/(Norm_Stats!$G$14-Norm_Stats!$F$14)))))="",0,0.7)+IF((IF(OR(City_Inputs!$AK14="",Norm_Stats!$F$15="",Norm_Stats!$G$15="",Norm_Stats!$G$15=Norm_Stats!$F$15),"",MAX(0,MIN(100,100*(Norm_Stats!$G$15-MIN(MAX(City_Inputs!$AK14,Norm_Stats!$F$15),Norm_Stats!$G$15))/(Norm_Stats!$G$15-Norm_Stats!$F$15)))))="",0,0.3)))</f>
        <v/>
      </c>
      <c r="AK14" s="15">
        <f>IF((IF(AE14="",0,8)+IF(AG14="",0,6)+IF(AI14="",0,4))=0,"",(IF(AE14="",0,AE14*8)+IF(AG14="",0,AG14*6)+IF(AI14="",0,AI14*4))/(IF(AE14="",0,8)+IF(AG14="",0,6)+IF(AI14="",0,4)))</f>
        <v/>
      </c>
      <c r="AL14" s="14">
        <f>IF((IF(AF14="",0,8)+IF(AH14="",0,6)+IF(AJ14="",0,4))=0,"",(IF(AF14="",0,AF14*8)+IF(AH14="",0,AH14*6)+IF(AJ14="",0,AJ14*4))/18)</f>
        <v/>
      </c>
      <c r="AM14" s="11">
        <f>IF(OR(City_Inputs!$AA14="",Norm_Stats!$F$16="",Norm_Stats!$G$16="",Norm_Stats!$G$16=Norm_Stats!$F$16),"",MAX(0,MIN(100,100*(MIN(MAX(City_Inputs!$AA14,Norm_Stats!$F$16),Norm_Stats!$G$16)-Norm_Stats!$F$16)/(Norm_Stats!$G$16-Norm_Stats!$F$16))))</f>
        <v/>
      </c>
      <c r="AN14" s="14">
        <f>IF(AM14="","",1)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5">
        <f>IF((IF(AM14="",0,5)+IF(AO14="",0,5)+IF(AQ14="",0,5))=0,"",(IF(AM14="",0,AM14*5)+IF(AO14="",0,AO14*5)+IF(AQ14="",0,AQ14*5))/(IF(AM14="",0,5)+IF(AO14="",0,5)+IF(AQ14="",0,5)))</f>
        <v/>
      </c>
      <c r="AT14" s="14">
        <f>IF((IF(AN14="",0,5)+IF(AP14="",0,5)+IF(AR14="",0,5))=0,"",(IF(AN14="",0,AN14*5)+IF(AP14="",0,AP14*5)+IF(AR14="",0,AR14*5))/15)</f>
        <v/>
      </c>
      <c r="AU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V14" s="14">
        <f>IF(AU14="","",1)</f>
        <v/>
      </c>
      <c r="AW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X14" s="14">
        <f>IF(AW14="","",1)</f>
        <v/>
      </c>
      <c r="AY14" s="11">
        <f>IF((IF((IF(OR(City_Inputs!$AF14="",Norm_Stats!$F$21="",Norm_Stats!$G$21="",Norm_Stats!$G$21=Norm_Stats!$F$21),"",MAX(0,MIN(100,100*(MIN(MAX(City_Inputs!$AF14,Norm_Stats!$F$21),Norm_Stats!$G$21)-Norm_Stats!$F$21)/(Norm_Stats!$G$21-Norm_Stats!$F$21)))))="",0,0.5)+IF((IF(OR(City_Inputs!$AI14="",Norm_Stats!$F$22="",Norm_Stats!$G$22="",Norm_Stats!$G$22=Norm_Stats!$F$22),"",MAX(0,MIN(100,100*(MIN(MAX(City_Inputs!$AI14,Norm_Stats!$F$22),Norm_Stats!$G$22)-Norm_Stats!$F$22)/(Norm_Stats!$G$22-Norm_Stats!$F$22)))))="",0,0.3)+IF((IF(OR(City_Inputs!$AJ14="",Norm_Stats!$F$23="",Norm_Stats!$G$23="",Norm_Stats!$G$23=Norm_Stats!$F$23),"",MAX(0,MIN(100,100*(MIN(MAX(City_Inputs!$AJ14,Norm_Stats!$F$23),Norm_Stats!$G$23)-Norm_Stats!$F$23)/(Norm_Stats!$G$23-Norm_Stats!$F$23)))))="",0,0.2))=0,"",(IF((IF(OR(City_Inputs!$AF14="",Norm_Stats!$F$21="",Norm_Stats!$G$21="",Norm_Stats!$G$21=Norm_Stats!$F$21),"",MAX(0,MIN(100,100*(MIN(MAX(City_Inputs!$AF14,Norm_Stats!$F$21),Norm_Stats!$G$21)-Norm_Stats!$F$21)/(Norm_Stats!$G$21-Norm_Stats!$F$21)))))="",0,(IF(OR(City_Inputs!$AF14="",Norm_Stats!$F$21="",Norm_Stats!$G$21="",Norm_Stats!$G$21=Norm_Stats!$F$21),"",MAX(0,MIN(100,100*(MIN(MAX(City_Inputs!$AF14,Norm_Stats!$F$21),Norm_Stats!$G$21)-Norm_Stats!$F$21)/(Norm_Stats!$G$21-Norm_Stats!$F$21)))))*0.5)+IF((IF(OR(City_Inputs!$AI14="",Norm_Stats!$F$22="",Norm_Stats!$G$22="",Norm_Stats!$G$22=Norm_Stats!$F$22),"",MAX(0,MIN(100,100*(MIN(MAX(City_Inputs!$AI14,Norm_Stats!$F$22),Norm_Stats!$G$22)-Norm_Stats!$F$22)/(Norm_Stats!$G$22-Norm_Stats!$F$22)))))="",0,(IF(OR(City_Inputs!$AI14="",Norm_Stats!$F$22="",Norm_Stats!$G$22="",Norm_Stats!$G$22=Norm_Stats!$F$22),"",MAX(0,MIN(100,100*(MIN(MAX(City_Inputs!$AI14,Norm_Stats!$F$22),Norm_Stats!$G$22)-Norm_Stats!$F$22)/(Norm_Stats!$G$22-Norm_Stats!$F$22)))))*0.3)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0.2))/(IF((IF(OR(City_Inputs!$AF14="",Norm_Stats!$F$21="",Norm_Stats!$G$21="",Norm_Stats!$G$21=Norm_Stats!$F$21),"",MAX(0,MIN(100,100*(MIN(MAX(City_Inputs!$AF14,Norm_Stats!$F$21),Norm_Stats!$G$21)-Norm_Stats!$F$21)/(Norm_Stats!$G$21-Norm_Stats!$F$21)))))="",0,0.5)+IF((IF(OR(City_Inputs!$AI14="",Norm_Stats!$F$22="",Norm_Stats!$G$22="",Norm_Stats!$G$22=Norm_Stats!$F$22),"",MAX(0,MIN(100,100*(MIN(MAX(City_Inputs!$AI14,Norm_Stats!$F$22),Norm_Stats!$G$22)-Norm_Stats!$F$22)/(Norm_Stats!$G$22-Norm_Stats!$F$22)))))="",0,0.3)+IF((IF(OR(City_Inputs!$AJ14="",Norm_Stats!$F$23="",Norm_Stats!$G$23="",Norm_Stats!$G$23=Norm_Stats!$F$23),"",MAX(0,MIN(100,100*(MIN(MAX(City_Inputs!$AJ14,Norm_Stats!$F$23),Norm_Stats!$G$23)-Norm_Stats!$F$23)/(Norm_Stats!$G$23-Norm_Stats!$F$23)))))="",0,0.2)))</f>
        <v/>
      </c>
      <c r="AZ14" s="14">
        <f>IF((IF((IF(OR(City_Inputs!$AF14="",Norm_Stats!$F$21="",Norm_Stats!$G$21="",Norm_Stats!$G$21=Norm_Stats!$F$21),"",MAX(0,MIN(100,100*(MIN(MAX(City_Inputs!$AF14,Norm_Stats!$F$21),Norm_Stats!$G$21)-Norm_Stats!$F$21)/(Norm_Stats!$G$21-Norm_Stats!$F$21)))))="",0,0.5)+IF((IF(OR(City_Inputs!$AI14="",Norm_Stats!$F$22="",Norm_Stats!$G$22="",Norm_Stats!$G$22=Norm_Stats!$F$22),"",MAX(0,MIN(100,100*(MIN(MAX(City_Inputs!$AI14,Norm_Stats!$F$22),Norm_Stats!$G$22)-Norm_Stats!$F$22)/(Norm_Stats!$G$22-Norm_Stats!$F$22)))))="",0,0.3)+IF((IF(OR(City_Inputs!$AJ14="",Norm_Stats!$F$23="",Norm_Stats!$G$23="",Norm_Stats!$G$23=Norm_Stats!$F$23),"",MAX(0,MIN(100,100*(MIN(MAX(City_Inputs!$AJ14,Norm_Stats!$F$23),Norm_Stats!$G$23)-Norm_Stats!$F$23)/(Norm_Stats!$G$23-Norm_Stats!$F$23)))))="",0,0.2))=0,"",(IF((IF(OR(City_Inputs!$AF14="",Norm_Stats!$F$21="",Norm_Stats!$G$21="",Norm_Stats!$G$21=Norm_Stats!$F$21),"",MAX(0,MIN(100,100*(MIN(MAX(City_Inputs!$AF14,Norm_Stats!$F$21),Norm_Stats!$G$21)-Norm_Stats!$F$21)/(Norm_Stats!$G$21-Norm_Stats!$F$21)))))="",0,0.5)+IF((IF(OR(City_Inputs!$AI14="",Norm_Stats!$F$22="",Norm_Stats!$G$22="",Norm_Stats!$G$22=Norm_Stats!$F$22),"",MAX(0,MIN(100,100*(MIN(MAX(City_Inputs!$AI14,Norm_Stats!$F$22),Norm_Stats!$G$22)-Norm_Stats!$F$22)/(Norm_Stats!$G$22-Norm_Stats!$F$22)))))="",0,0.3)+IF((IF(OR(City_Inputs!$AJ14="",Norm_Stats!$F$23="",Norm_Stats!$G$23="",Norm_Stats!$G$23=Norm_Stats!$F$23),"",MAX(0,MIN(100,100*(MIN(MAX(City_Inputs!$AJ14,Norm_Stats!$F$23),Norm_Stats!$G$23)-Norm_Stats!$F$23)/(Norm_Stats!$G$23-Norm_Stats!$F$23)))))="",0,0.2)))</f>
        <v/>
      </c>
      <c r="BA14" s="11">
        <f>IF(OR(City_Inputs!$AG14="",Norm_Stats!$F$24="",Norm_Stats!$G$24="",Norm_Stats!$G$24=Norm_Stats!$F$24),"",MAX(0,MIN(100,100*(Norm_Stats!$G$24-MIN(MAX(City_Inputs!$AG14,Norm_Stats!$F$24),Norm_Stats!$G$24))/(Norm_Stats!$G$24-Norm_Stats!$F$24))))</f>
        <v/>
      </c>
      <c r="BB14" s="14">
        <f>IF(BA14="","",1)</f>
        <v/>
      </c>
      <c r="BC14" s="15">
        <f>IF((IF(AU14="",0,6)+IF(AW14="",0,5)+IF(AY14="",0,5)+IF(BA14="",0,4))=0,"",(IF(AU14="",0,AU14*6)+IF(AW14="",0,AW14*5)+IF(AY14="",0,AY14*5)+IF(BA14="",0,BA14*4))/(IF(AU14="",0,6)+IF(AW14="",0,5)+IF(AY14="",0,5)+IF(BA14="",0,4)))</f>
        <v/>
      </c>
      <c r="BD14" s="14">
        <f>IF((IF(AV14="",0,6)+IF(AX14="",0,5)+IF(AZ14="",0,5)+IF(BB14="",0,4))=0,"",(IF(AV14="",0,AV14*6)+IF(AX14="",0,AX14*5)+IF(AZ14="",0,AZ14*5)+IF(BB14="",0,BB14*4))/20)</f>
        <v/>
      </c>
      <c r="BE14" s="14">
        <f>IF(AND(R14="",AD14="",AL14="",AT14="",BD14=""),"",((R14*25)+(AD14*22)+(AL14*18)+(AT14*15)+(BD14*20))/100)</f>
        <v/>
      </c>
      <c r="BF14" s="11">
        <f>IF(BE14="","",IF(BE14&gt;=0.75,"A",IF(BE14&gt;=0.5,"B",IF(BE14&gt;=0.35,"C","Watchlist"))))</f>
        <v/>
      </c>
      <c r="BG14" s="11">
        <f>IF(OR(BE14="",BE14&lt;0.5,R14="",R14&lt;0.35,AD14="",AD14&lt;0.35,AL14="",AL14&lt;0.35,AT14="",AT14&lt;0.35,BD14="",BD14&lt;0.35),"Watchlist","Ranked")</f>
        <v/>
      </c>
      <c r="BH14" s="15">
        <f>IF(AND(Q14="",AC14="",AK14="",AS14="",BC14=""),"",(IF(Q14="",0,Q14*25)+IF(AC14="",0,AC14*22)+IF(AK14="",0,AK14*18)+IF(AS14="",0,AS14*15)+IF(BC14="",0,BC14*20))/(IF(Q14="",0,25)+IF(AC14="",0,22)+IF(AK14="",0,18)+IF(AS14="",0,15)+IF(BC14="",0,20)))</f>
        <v/>
      </c>
      <c r="BI14" s="11">
        <f>IF(BG14="Ranked",1+COUNTIFS($BG$2:$BG$101,"Ranked",$BH$2:$BH$101,"&gt;"&amp;BH14),"")</f>
        <v/>
      </c>
      <c r="BJ14" s="11">
        <f>City_Inputs!$AH14</f>
        <v/>
      </c>
    </row>
    <row r="15">
      <c r="A15" t="inlineStr">
        <is>
          <t>cn-shenzhen</t>
        </is>
      </c>
      <c r="B15" t="inlineStr">
        <is>
          <t>Shenzhen</t>
        </is>
      </c>
      <c r="C15" t="inlineStr">
        <is>
          <t>China</t>
        </is>
      </c>
      <c r="D15" t="inlineStr">
        <is>
          <t>East Asia</t>
        </is>
      </c>
      <c r="E15" t="inlineStr">
        <is>
          <t>provisional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IF((IF(G15="",0,9)+IF(I15="",0,5)+IF(K15="",0,4)+IF(M15="",0,4)+IF(O15="",0,3))=0,"",(IF(G15="",0,G15*9)+IF(I15="",0,I15*5)+IF(K15="",0,K15*4)+IF(M15="",0,M15*4)+IF(O15="",0,O15*3))/(IF(G15="",0,9)+IF(I15="",0,5)+IF(K15="",0,4)+IF(M15="",0,4)+IF(O15="",0,3)))</f>
        <v/>
      </c>
      <c r="R15" s="14">
        <f>IF((IF(H15="",0,9)+IF(J15="",0,5)+IF(L15="",0,4)+IF(N15="",0,4)+IF(P15="",0,3))=0,"",(IF(H15="",0,H15*9)+IF(J15="",0,J15*5)+IF(L15="",0,L15*4)+IF(N15="",0,N15*4)+IF(P15="",0,P15*3))/25)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5">
        <f>IF((IF(S15="",0,5)+IF(U15="",0,5)+IF(W15="",0,4)+IF(Y15="",0,4)+IF(AA15="",0,4))=0,"",(IF(S15="",0,S15*5)+IF(U15="",0,U15*5)+IF(W15="",0,W15*4)+IF(Y15="",0,Y15*4)+IF(AA15="",0,AA15*4))/(IF(S15="",0,5)+IF(U15="",0,5)+IF(W15="",0,4)+IF(Y15="",0,4)+IF(AA15="",0,4)))</f>
        <v/>
      </c>
      <c r="AD15" s="14">
        <f>IF((IF(T15="",0,5)+IF(V15="",0,5)+IF(X15="",0,4)+IF(Z15="",0,4)+IF(AB15="",0,4))=0,"",(IF(T15="",0,T15*5)+IF(V15="",0,V15*5)+IF(X15="",0,X15*4)+IF(Z15="",0,Z15*4)+IF(AB15="",0,AB15*4))/22)</f>
        <v/>
      </c>
      <c r="AE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F15" s="14">
        <f>IF(AE15="","",1)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(IF((IF(OR(City_Inputs!$Z15="",Norm_Stats!$F$14="",Norm_Stats!$G$14="",Norm_Stats!$G$14=Norm_Stats!$F$14),"",MAX(0,MIN(100,100*(MIN(MAX(City_Inputs!$Z15,Norm_Stats!$F$14),Norm_Stats!$G$14)-Norm_Stats!$F$14)/(Norm_Stats!$G$14-Norm_Stats!$F$14)))))="",0,0.7)+IF((IF(OR(City_Inputs!$AK15="",Norm_Stats!$F$15="",Norm_Stats!$G$15="",Norm_Stats!$G$15=Norm_Stats!$F$15),"",MAX(0,MIN(100,100*(Norm_Stats!$G$15-MIN(MAX(City_Inputs!$AK15,Norm_Stats!$F$15),Norm_Stats!$G$15))/(Norm_Stats!$G$15-Norm_Stats!$F$15)))))="",0,0.3))=0,"",(IF((IF(OR(City_Inputs!$Z15="",Norm_Stats!$F$14="",Norm_Stats!$G$14="",Norm_Stats!$G$14=Norm_Stats!$F$14),"",MAX(0,MIN(100,100*(MIN(MAX(City_Inputs!$Z15,Norm_Stats!$F$14),Norm_Stats!$G$14)-Norm_Stats!$F$14)/(Norm_Stats!$G$14-Norm_Stats!$F$14)))))="",0,(IF(OR(City_Inputs!$Z15="",Norm_Stats!$F$14="",Norm_Stats!$G$14="",Norm_Stats!$G$14=Norm_Stats!$F$14),"",MAX(0,MIN(100,100*(MIN(MAX(City_Inputs!$Z15,Norm_Stats!$F$14),Norm_Stats!$G$14)-Norm_Stats!$F$14)/(Norm_Stats!$G$14-Norm_Stats!$F$14)))))*0.7)+IF((IF(OR(City_Inputs!$AK15="",Norm_Stats!$F$15="",Norm_Stats!$G$15="",Norm_Stats!$G$15=Norm_Stats!$F$15),"",MAX(0,MIN(100,100*(Norm_Stats!$G$15-MIN(MAX(City_Inputs!$AK15,Norm_Stats!$F$15),Norm_Stats!$G$15))/(Norm_Stats!$G$15-Norm_Stats!$F$15)))))="",0,(IF(OR(City_Inputs!$AK15="",Norm_Stats!$F$15="",Norm_Stats!$G$15="",Norm_Stats!$G$15=Norm_Stats!$F$15),"",MAX(0,MIN(100,100*(Norm_Stats!$G$15-MIN(MAX(City_Inputs!$AK15,Norm_Stats!$F$15),Norm_Stats!$G$15))/(Norm_Stats!$G$15-Norm_Stats!$F$15)))))*0.3))/(IF((IF(OR(City_Inputs!$Z15="",Norm_Stats!$F$14="",Norm_Stats!$G$14="",Norm_Stats!$G$14=Norm_Stats!$F$14),"",MAX(0,MIN(100,100*(MIN(MAX(City_Inputs!$Z15,Norm_Stats!$F$14),Norm_Stats!$G$14)-Norm_Stats!$F$14)/(Norm_Stats!$G$14-Norm_Stats!$F$14)))))="",0,0.7)+IF((IF(OR(City_Inputs!$AK15="",Norm_Stats!$F$15="",Norm_Stats!$G$15="",Norm_Stats!$G$15=Norm_Stats!$F$15),"",MAX(0,MIN(100,100*(Norm_Stats!$G$15-MIN(MAX(City_Inputs!$AK15,Norm_Stats!$F$15),Norm_Stats!$G$15))/(Norm_Stats!$G$15-Norm_Stats!$F$15)))))="",0,0.3)))</f>
        <v/>
      </c>
      <c r="AJ15" s="14">
        <f>IF((IF((IF(OR(City_Inputs!$Z15="",Norm_Stats!$F$14="",Norm_Stats!$G$14="",Norm_Stats!$G$14=Norm_Stats!$F$14),"",MAX(0,MIN(100,100*(MIN(MAX(City_Inputs!$Z15,Norm_Stats!$F$14),Norm_Stats!$G$14)-Norm_Stats!$F$14)/(Norm_Stats!$G$14-Norm_Stats!$F$14)))))="",0,0.7)+IF((IF(OR(City_Inputs!$AK15="",Norm_Stats!$F$15="",Norm_Stats!$G$15="",Norm_Stats!$G$15=Norm_Stats!$F$15),"",MAX(0,MIN(100,100*(Norm_Stats!$G$15-MIN(MAX(City_Inputs!$AK15,Norm_Stats!$F$15),Norm_Stats!$G$15))/(Norm_Stats!$G$15-Norm_Stats!$F$15)))))="",0,0.3))=0,"",(IF((IF(OR(City_Inputs!$Z15="",Norm_Stats!$F$14="",Norm_Stats!$G$14="",Norm_Stats!$G$14=Norm_Stats!$F$14),"",MAX(0,MIN(100,100*(MIN(MAX(City_Inputs!$Z15,Norm_Stats!$F$14),Norm_Stats!$G$14)-Norm_Stats!$F$14)/(Norm_Stats!$G$14-Norm_Stats!$F$14)))))="",0,0.7)+IF((IF(OR(City_Inputs!$AK15="",Norm_Stats!$F$15="",Norm_Stats!$G$15="",Norm_Stats!$G$15=Norm_Stats!$F$15),"",MAX(0,MIN(100,100*(Norm_Stats!$G$15-MIN(MAX(City_Inputs!$AK15,Norm_Stats!$F$15),Norm_Stats!$G$15))/(Norm_Stats!$G$15-Norm_Stats!$F$15)))))="",0,0.3)))</f>
        <v/>
      </c>
      <c r="AK15" s="15">
        <f>IF((IF(AE15="",0,8)+IF(AG15="",0,6)+IF(AI15="",0,4))=0,"",(IF(AE15="",0,AE15*8)+IF(AG15="",0,AG15*6)+IF(AI15="",0,AI15*4))/(IF(AE15="",0,8)+IF(AG15="",0,6)+IF(AI15="",0,4)))</f>
        <v/>
      </c>
      <c r="AL15" s="14">
        <f>IF((IF(AF15="",0,8)+IF(AH15="",0,6)+IF(AJ15="",0,4))=0,"",(IF(AF15="",0,AF15*8)+IF(AH15="",0,AH15*6)+IF(AJ15="",0,AJ15*4))/18)</f>
        <v/>
      </c>
      <c r="AM15" s="11">
        <f>IF(OR(City_Inputs!$AA15="",Norm_Stats!$F$16="",Norm_Stats!$G$16="",Norm_Stats!$G$16=Norm_Stats!$F$16),"",MAX(0,MIN(100,100*(MIN(MAX(City_Inputs!$AA15,Norm_Stats!$F$16),Norm_Stats!$G$16)-Norm_Stats!$F$16)/(Norm_Stats!$G$16-Norm_Stats!$F$16))))</f>
        <v/>
      </c>
      <c r="AN15" s="14">
        <f>IF(AM15="","",1)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5">
        <f>IF((IF(AM15="",0,5)+IF(AO15="",0,5)+IF(AQ15="",0,5))=0,"",(IF(AM15="",0,AM15*5)+IF(AO15="",0,AO15*5)+IF(AQ15="",0,AQ15*5))/(IF(AM15="",0,5)+IF(AO15="",0,5)+IF(AQ15="",0,5)))</f>
        <v/>
      </c>
      <c r="AT15" s="14">
        <f>IF((IF(AN15="",0,5)+IF(AP15="",0,5)+IF(AR15="",0,5))=0,"",(IF(AN15="",0,AN15*5)+IF(AP15="",0,AP15*5)+IF(AR15="",0,AR15*5))/15)</f>
        <v/>
      </c>
      <c r="AU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V15" s="14">
        <f>IF(AU15="","",1)</f>
        <v/>
      </c>
      <c r="AW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X15" s="14">
        <f>IF(AW15="","",1)</f>
        <v/>
      </c>
      <c r="AY15" s="11">
        <f>IF((IF((IF(OR(City_Inputs!$AF15="",Norm_Stats!$F$21="",Norm_Stats!$G$21="",Norm_Stats!$G$21=Norm_Stats!$F$21),"",MAX(0,MIN(100,100*(MIN(MAX(City_Inputs!$AF15,Norm_Stats!$F$21),Norm_Stats!$G$21)-Norm_Stats!$F$21)/(Norm_Stats!$G$21-Norm_Stats!$F$21)))))="",0,0.5)+IF((IF(OR(City_Inputs!$AI15="",Norm_Stats!$F$22="",Norm_Stats!$G$22="",Norm_Stats!$G$22=Norm_Stats!$F$22),"",MAX(0,MIN(100,100*(MIN(MAX(City_Inputs!$AI15,Norm_Stats!$F$22),Norm_Stats!$G$22)-Norm_Stats!$F$22)/(Norm_Stats!$G$22-Norm_Stats!$F$22)))))="",0,0.3)+IF((IF(OR(City_Inputs!$AJ15="",Norm_Stats!$F$23="",Norm_Stats!$G$23="",Norm_Stats!$G$23=Norm_Stats!$F$23),"",MAX(0,MIN(100,100*(MIN(MAX(City_Inputs!$AJ15,Norm_Stats!$F$23),Norm_Stats!$G$23)-Norm_Stats!$F$23)/(Norm_Stats!$G$23-Norm_Stats!$F$23)))))="",0,0.2))=0,"",(IF((IF(OR(City_Inputs!$AF15="",Norm_Stats!$F$21="",Norm_Stats!$G$21="",Norm_Stats!$G$21=Norm_Stats!$F$21),"",MAX(0,MIN(100,100*(MIN(MAX(City_Inputs!$AF15,Norm_Stats!$F$21),Norm_Stats!$G$21)-Norm_Stats!$F$21)/(Norm_Stats!$G$21-Norm_Stats!$F$21)))))="",0,(IF(OR(City_Inputs!$AF15="",Norm_Stats!$F$21="",Norm_Stats!$G$21="",Norm_Stats!$G$21=Norm_Stats!$F$21),"",MAX(0,MIN(100,100*(MIN(MAX(City_Inputs!$AF15,Norm_Stats!$F$21),Norm_Stats!$G$21)-Norm_Stats!$F$21)/(Norm_Stats!$G$21-Norm_Stats!$F$21)))))*0.5)+IF((IF(OR(City_Inputs!$AI15="",Norm_Stats!$F$22="",Norm_Stats!$G$22="",Norm_Stats!$G$22=Norm_Stats!$F$22),"",MAX(0,MIN(100,100*(MIN(MAX(City_Inputs!$AI15,Norm_Stats!$F$22),Norm_Stats!$G$22)-Norm_Stats!$F$22)/(Norm_Stats!$G$22-Norm_Stats!$F$22)))))="",0,(IF(OR(City_Inputs!$AI15="",Norm_Stats!$F$22="",Norm_Stats!$G$22="",Norm_Stats!$G$22=Norm_Stats!$F$22),"",MAX(0,MIN(100,100*(MIN(MAX(City_Inputs!$AI15,Norm_Stats!$F$22),Norm_Stats!$G$22)-Norm_Stats!$F$22)/(Norm_Stats!$G$22-Norm_Stats!$F$22)))))*0.3)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0.2))/(IF((IF(OR(City_Inputs!$AF15="",Norm_Stats!$F$21="",Norm_Stats!$G$21="",Norm_Stats!$G$21=Norm_Stats!$F$21),"",MAX(0,MIN(100,100*(MIN(MAX(City_Inputs!$AF15,Norm_Stats!$F$21),Norm_Stats!$G$21)-Norm_Stats!$F$21)/(Norm_Stats!$G$21-Norm_Stats!$F$21)))))="",0,0.5)+IF((IF(OR(City_Inputs!$AI15="",Norm_Stats!$F$22="",Norm_Stats!$G$22="",Norm_Stats!$G$22=Norm_Stats!$F$22),"",MAX(0,MIN(100,100*(MIN(MAX(City_Inputs!$AI15,Norm_Stats!$F$22),Norm_Stats!$G$22)-Norm_Stats!$F$22)/(Norm_Stats!$G$22-Norm_Stats!$F$22)))))="",0,0.3)+IF((IF(OR(City_Inputs!$AJ15="",Norm_Stats!$F$23="",Norm_Stats!$G$23="",Norm_Stats!$G$23=Norm_Stats!$F$23),"",MAX(0,MIN(100,100*(MIN(MAX(City_Inputs!$AJ15,Norm_Stats!$F$23),Norm_Stats!$G$23)-Norm_Stats!$F$23)/(Norm_Stats!$G$23-Norm_Stats!$F$23)))))="",0,0.2)))</f>
        <v/>
      </c>
      <c r="AZ15" s="14">
        <f>IF((IF((IF(OR(City_Inputs!$AF15="",Norm_Stats!$F$21="",Norm_Stats!$G$21="",Norm_Stats!$G$21=Norm_Stats!$F$21),"",MAX(0,MIN(100,100*(MIN(MAX(City_Inputs!$AF15,Norm_Stats!$F$21),Norm_Stats!$G$21)-Norm_Stats!$F$21)/(Norm_Stats!$G$21-Norm_Stats!$F$21)))))="",0,0.5)+IF((IF(OR(City_Inputs!$AI15="",Norm_Stats!$F$22="",Norm_Stats!$G$22="",Norm_Stats!$G$22=Norm_Stats!$F$22),"",MAX(0,MIN(100,100*(MIN(MAX(City_Inputs!$AI15,Norm_Stats!$F$22),Norm_Stats!$G$22)-Norm_Stats!$F$22)/(Norm_Stats!$G$22-Norm_Stats!$F$22)))))="",0,0.3)+IF((IF(OR(City_Inputs!$AJ15="",Norm_Stats!$F$23="",Norm_Stats!$G$23="",Norm_Stats!$G$23=Norm_Stats!$F$23),"",MAX(0,MIN(100,100*(MIN(MAX(City_Inputs!$AJ15,Norm_Stats!$F$23),Norm_Stats!$G$23)-Norm_Stats!$F$23)/(Norm_Stats!$G$23-Norm_Stats!$F$23)))))="",0,0.2))=0,"",(IF((IF(OR(City_Inputs!$AF15="",Norm_Stats!$F$21="",Norm_Stats!$G$21="",Norm_Stats!$G$21=Norm_Stats!$F$21),"",MAX(0,MIN(100,100*(MIN(MAX(City_Inputs!$AF15,Norm_Stats!$F$21),Norm_Stats!$G$21)-Norm_Stats!$F$21)/(Norm_Stats!$G$21-Norm_Stats!$F$21)))))="",0,0.5)+IF((IF(OR(City_Inputs!$AI15="",Norm_Stats!$F$22="",Norm_Stats!$G$22="",Norm_Stats!$G$22=Norm_Stats!$F$22),"",MAX(0,MIN(100,100*(MIN(MAX(City_Inputs!$AI15,Norm_Stats!$F$22),Norm_Stats!$G$22)-Norm_Stats!$F$22)/(Norm_Stats!$G$22-Norm_Stats!$F$22)))))="",0,0.3)+IF((IF(OR(City_Inputs!$AJ15="",Norm_Stats!$F$23="",Norm_Stats!$G$23="",Norm_Stats!$G$23=Norm_Stats!$F$23),"",MAX(0,MIN(100,100*(MIN(MAX(City_Inputs!$AJ15,Norm_Stats!$F$23),Norm_Stats!$G$23)-Norm_Stats!$F$23)/(Norm_Stats!$G$23-Norm_Stats!$F$23)))))="",0,0.2)))</f>
        <v/>
      </c>
      <c r="BA15" s="11">
        <f>IF(OR(City_Inputs!$AG15="",Norm_Stats!$F$24="",Norm_Stats!$G$24="",Norm_Stats!$G$24=Norm_Stats!$F$24),"",MAX(0,MIN(100,100*(Norm_Stats!$G$24-MIN(MAX(City_Inputs!$AG15,Norm_Stats!$F$24),Norm_Stats!$G$24))/(Norm_Stats!$G$24-Norm_Stats!$F$24))))</f>
        <v/>
      </c>
      <c r="BB15" s="14">
        <f>IF(BA15="","",1)</f>
        <v/>
      </c>
      <c r="BC15" s="15">
        <f>IF((IF(AU15="",0,6)+IF(AW15="",0,5)+IF(AY15="",0,5)+IF(BA15="",0,4))=0,"",(IF(AU15="",0,AU15*6)+IF(AW15="",0,AW15*5)+IF(AY15="",0,AY15*5)+IF(BA15="",0,BA15*4))/(IF(AU15="",0,6)+IF(AW15="",0,5)+IF(AY15="",0,5)+IF(BA15="",0,4)))</f>
        <v/>
      </c>
      <c r="BD15" s="14">
        <f>IF((IF(AV15="",0,6)+IF(AX15="",0,5)+IF(AZ15="",0,5)+IF(BB15="",0,4))=0,"",(IF(AV15="",0,AV15*6)+IF(AX15="",0,AX15*5)+IF(AZ15="",0,AZ15*5)+IF(BB15="",0,BB15*4))/20)</f>
        <v/>
      </c>
      <c r="BE15" s="14">
        <f>IF(AND(R15="",AD15="",AL15="",AT15="",BD15=""),"",((R15*25)+(AD15*22)+(AL15*18)+(AT15*15)+(BD15*20))/100)</f>
        <v/>
      </c>
      <c r="BF15" s="11">
        <f>IF(BE15="","",IF(BE15&gt;=0.75,"A",IF(BE15&gt;=0.5,"B",IF(BE15&gt;=0.35,"C","Watchlist"))))</f>
        <v/>
      </c>
      <c r="BG15" s="11">
        <f>IF(OR(BE15="",BE15&lt;0.5,R15="",R15&lt;0.35,AD15="",AD15&lt;0.35,AL15="",AL15&lt;0.35,AT15="",AT15&lt;0.35,BD15="",BD15&lt;0.35),"Watchlist","Ranked")</f>
        <v/>
      </c>
      <c r="BH15" s="15">
        <f>IF(AND(Q15="",AC15="",AK15="",AS15="",BC15=""),"",(IF(Q15="",0,Q15*25)+IF(AC15="",0,AC15*22)+IF(AK15="",0,AK15*18)+IF(AS15="",0,AS15*15)+IF(BC15="",0,BC15*20))/(IF(Q15="",0,25)+IF(AC15="",0,22)+IF(AK15="",0,18)+IF(AS15="",0,15)+IF(BC15="",0,20)))</f>
        <v/>
      </c>
      <c r="BI15" s="11">
        <f>IF(BG15="Ranked",1+COUNTIFS($BG$2:$BG$101,"Ranked",$BH$2:$BH$101,"&gt;"&amp;BH15),"")</f>
        <v/>
      </c>
      <c r="BJ15" s="11">
        <f>City_Inputs!$AH15</f>
        <v/>
      </c>
    </row>
    <row r="16">
      <c r="A16" t="inlineStr">
        <is>
          <t>jp-hiroshima</t>
        </is>
      </c>
      <c r="B16" t="inlineStr">
        <is>
          <t>Hiroshima</t>
        </is>
      </c>
      <c r="C16" t="inlineStr">
        <is>
          <t>Japan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IF((IF(G16="",0,9)+IF(I16="",0,5)+IF(K16="",0,4)+IF(M16="",0,4)+IF(O16="",0,3))=0,"",(IF(G16="",0,G16*9)+IF(I16="",0,I16*5)+IF(K16="",0,K16*4)+IF(M16="",0,M16*4)+IF(O16="",0,O16*3))/(IF(G16="",0,9)+IF(I16="",0,5)+IF(K16="",0,4)+IF(M16="",0,4)+IF(O16="",0,3)))</f>
        <v/>
      </c>
      <c r="R16" s="14">
        <f>IF((IF(H16="",0,9)+IF(J16="",0,5)+IF(L16="",0,4)+IF(N16="",0,4)+IF(P16="",0,3))=0,"",(IF(H16="",0,H16*9)+IF(J16="",0,J16*5)+IF(L16="",0,L16*4)+IF(N16="",0,N16*4)+IF(P16="",0,P16*3))/25)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5">
        <f>IF((IF(S16="",0,5)+IF(U16="",0,5)+IF(W16="",0,4)+IF(Y16="",0,4)+IF(AA16="",0,4))=0,"",(IF(S16="",0,S16*5)+IF(U16="",0,U16*5)+IF(W16="",0,W16*4)+IF(Y16="",0,Y16*4)+IF(AA16="",0,AA16*4))/(IF(S16="",0,5)+IF(U16="",0,5)+IF(W16="",0,4)+IF(Y16="",0,4)+IF(AA16="",0,4)))</f>
        <v/>
      </c>
      <c r="AD16" s="14">
        <f>IF((IF(T16="",0,5)+IF(V16="",0,5)+IF(X16="",0,4)+IF(Z16="",0,4)+IF(AB16="",0,4))=0,"",(IF(T16="",0,T16*5)+IF(V16="",0,V16*5)+IF(X16="",0,X16*4)+IF(Z16="",0,Z16*4)+IF(AB16="",0,AB16*4))/22)</f>
        <v/>
      </c>
      <c r="AE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F16" s="14">
        <f>IF(AE16="","",1)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(IF((IF(OR(City_Inputs!$Z16="",Norm_Stats!$F$14="",Norm_Stats!$G$14="",Norm_Stats!$G$14=Norm_Stats!$F$14),"",MAX(0,MIN(100,100*(MIN(MAX(City_Inputs!$Z16,Norm_Stats!$F$14),Norm_Stats!$G$14)-Norm_Stats!$F$14)/(Norm_Stats!$G$14-Norm_Stats!$F$14)))))="",0,0.7)+IF((IF(OR(City_Inputs!$AK16="",Norm_Stats!$F$15="",Norm_Stats!$G$15="",Norm_Stats!$G$15=Norm_Stats!$F$15),"",MAX(0,MIN(100,100*(Norm_Stats!$G$15-MIN(MAX(City_Inputs!$AK16,Norm_Stats!$F$15),Norm_Stats!$G$15))/(Norm_Stats!$G$15-Norm_Stats!$F$15)))))="",0,0.3))=0,"",(IF((IF(OR(City_Inputs!$Z16="",Norm_Stats!$F$14="",Norm_Stats!$G$14="",Norm_Stats!$G$14=Norm_Stats!$F$14),"",MAX(0,MIN(100,100*(MIN(MAX(City_Inputs!$Z16,Norm_Stats!$F$14),Norm_Stats!$G$14)-Norm_Stats!$F$14)/(Norm_Stats!$G$14-Norm_Stats!$F$14)))))="",0,(IF(OR(City_Inputs!$Z16="",Norm_Stats!$F$14="",Norm_Stats!$G$14="",Norm_Stats!$G$14=Norm_Stats!$F$14),"",MAX(0,MIN(100,100*(MIN(MAX(City_Inputs!$Z16,Norm_Stats!$F$14),Norm_Stats!$G$14)-Norm_Stats!$F$14)/(Norm_Stats!$G$14-Norm_Stats!$F$14)))))*0.7)+IF((IF(OR(City_Inputs!$AK16="",Norm_Stats!$F$15="",Norm_Stats!$G$15="",Norm_Stats!$G$15=Norm_Stats!$F$15),"",MAX(0,MIN(100,100*(Norm_Stats!$G$15-MIN(MAX(City_Inputs!$AK16,Norm_Stats!$F$15),Norm_Stats!$G$15))/(Norm_Stats!$G$15-Norm_Stats!$F$15)))))="",0,(IF(OR(City_Inputs!$AK16="",Norm_Stats!$F$15="",Norm_Stats!$G$15="",Norm_Stats!$G$15=Norm_Stats!$F$15),"",MAX(0,MIN(100,100*(Norm_Stats!$G$15-MIN(MAX(City_Inputs!$AK16,Norm_Stats!$F$15),Norm_Stats!$G$15))/(Norm_Stats!$G$15-Norm_Stats!$F$15)))))*0.3))/(IF((IF(OR(City_Inputs!$Z16="",Norm_Stats!$F$14="",Norm_Stats!$G$14="",Norm_Stats!$G$14=Norm_Stats!$F$14),"",MAX(0,MIN(100,100*(MIN(MAX(City_Inputs!$Z16,Norm_Stats!$F$14),Norm_Stats!$G$14)-Norm_Stats!$F$14)/(Norm_Stats!$G$14-Norm_Stats!$F$14)))))="",0,0.7)+IF((IF(OR(City_Inputs!$AK16="",Norm_Stats!$F$15="",Norm_Stats!$G$15="",Norm_Stats!$G$15=Norm_Stats!$F$15),"",MAX(0,MIN(100,100*(Norm_Stats!$G$15-MIN(MAX(City_Inputs!$AK16,Norm_Stats!$F$15),Norm_Stats!$G$15))/(Norm_Stats!$G$15-Norm_Stats!$F$15)))))="",0,0.3)))</f>
        <v/>
      </c>
      <c r="AJ16" s="14">
        <f>IF((IF((IF(OR(City_Inputs!$Z16="",Norm_Stats!$F$14="",Norm_Stats!$G$14="",Norm_Stats!$G$14=Norm_Stats!$F$14),"",MAX(0,MIN(100,100*(MIN(MAX(City_Inputs!$Z16,Norm_Stats!$F$14),Norm_Stats!$G$14)-Norm_Stats!$F$14)/(Norm_Stats!$G$14-Norm_Stats!$F$14)))))="",0,0.7)+IF((IF(OR(City_Inputs!$AK16="",Norm_Stats!$F$15="",Norm_Stats!$G$15="",Norm_Stats!$G$15=Norm_Stats!$F$15),"",MAX(0,MIN(100,100*(Norm_Stats!$G$15-MIN(MAX(City_Inputs!$AK16,Norm_Stats!$F$15),Norm_Stats!$G$15))/(Norm_Stats!$G$15-Norm_Stats!$F$15)))))="",0,0.3))=0,"",(IF((IF(OR(City_Inputs!$Z16="",Norm_Stats!$F$14="",Norm_Stats!$G$14="",Norm_Stats!$G$14=Norm_Stats!$F$14),"",MAX(0,MIN(100,100*(MIN(MAX(City_Inputs!$Z16,Norm_Stats!$F$14),Norm_Stats!$G$14)-Norm_Stats!$F$14)/(Norm_Stats!$G$14-Norm_Stats!$F$14)))))="",0,0.7)+IF((IF(OR(City_Inputs!$AK16="",Norm_Stats!$F$15="",Norm_Stats!$G$15="",Norm_Stats!$G$15=Norm_Stats!$F$15),"",MAX(0,MIN(100,100*(Norm_Stats!$G$15-MIN(MAX(City_Inputs!$AK16,Norm_Stats!$F$15),Norm_Stats!$G$15))/(Norm_Stats!$G$15-Norm_Stats!$F$15)))))="",0,0.3)))</f>
        <v/>
      </c>
      <c r="AK16" s="15">
        <f>IF((IF(AE16="",0,8)+IF(AG16="",0,6)+IF(AI16="",0,4))=0,"",(IF(AE16="",0,AE16*8)+IF(AG16="",0,AG16*6)+IF(AI16="",0,AI16*4))/(IF(AE16="",0,8)+IF(AG16="",0,6)+IF(AI16="",0,4)))</f>
        <v/>
      </c>
      <c r="AL16" s="14">
        <f>IF((IF(AF16="",0,8)+IF(AH16="",0,6)+IF(AJ16="",0,4))=0,"",(IF(AF16="",0,AF16*8)+IF(AH16="",0,AH16*6)+IF(AJ16="",0,AJ16*4))/18)</f>
        <v/>
      </c>
      <c r="AM16" s="11">
        <f>IF(OR(City_Inputs!$AA16="",Norm_Stats!$F$16="",Norm_Stats!$G$16="",Norm_Stats!$G$16=Norm_Stats!$F$16),"",MAX(0,MIN(100,100*(MIN(MAX(City_Inputs!$AA16,Norm_Stats!$F$16),Norm_Stats!$G$16)-Norm_Stats!$F$16)/(Norm_Stats!$G$16-Norm_Stats!$F$16))))</f>
        <v/>
      </c>
      <c r="AN16" s="14">
        <f>IF(AM16="","",1)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5">
        <f>IF((IF(AM16="",0,5)+IF(AO16="",0,5)+IF(AQ16="",0,5))=0,"",(IF(AM16="",0,AM16*5)+IF(AO16="",0,AO16*5)+IF(AQ16="",0,AQ16*5))/(IF(AM16="",0,5)+IF(AO16="",0,5)+IF(AQ16="",0,5)))</f>
        <v/>
      </c>
      <c r="AT16" s="14">
        <f>IF((IF(AN16="",0,5)+IF(AP16="",0,5)+IF(AR16="",0,5))=0,"",(IF(AN16="",0,AN16*5)+IF(AP16="",0,AP16*5)+IF(AR16="",0,AR16*5))/15)</f>
        <v/>
      </c>
      <c r="AU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V16" s="14">
        <f>IF(AU16="","",1)</f>
        <v/>
      </c>
      <c r="AW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X16" s="14">
        <f>IF(AW16="","",1)</f>
        <v/>
      </c>
      <c r="AY16" s="11">
        <f>IF((IF((IF(OR(City_Inputs!$AF16="",Norm_Stats!$F$21="",Norm_Stats!$G$21="",Norm_Stats!$G$21=Norm_Stats!$F$21),"",MAX(0,MIN(100,100*(MIN(MAX(City_Inputs!$AF16,Norm_Stats!$F$21),Norm_Stats!$G$21)-Norm_Stats!$F$21)/(Norm_Stats!$G$21-Norm_Stats!$F$21)))))="",0,0.5)+IF((IF(OR(City_Inputs!$AI16="",Norm_Stats!$F$22="",Norm_Stats!$G$22="",Norm_Stats!$G$22=Norm_Stats!$F$22),"",MAX(0,MIN(100,100*(MIN(MAX(City_Inputs!$AI16,Norm_Stats!$F$22),Norm_Stats!$G$22)-Norm_Stats!$F$22)/(Norm_Stats!$G$22-Norm_Stats!$F$22)))))="",0,0.3)+IF((IF(OR(City_Inputs!$AJ16="",Norm_Stats!$F$23="",Norm_Stats!$G$23="",Norm_Stats!$G$23=Norm_Stats!$F$23),"",MAX(0,MIN(100,100*(MIN(MAX(City_Inputs!$AJ16,Norm_Stats!$F$23),Norm_Stats!$G$23)-Norm_Stats!$F$23)/(Norm_Stats!$G$23-Norm_Stats!$F$23)))))="",0,0.2))=0,"",(IF((IF(OR(City_Inputs!$AF16="",Norm_Stats!$F$21="",Norm_Stats!$G$21="",Norm_Stats!$G$21=Norm_Stats!$F$21),"",MAX(0,MIN(100,100*(MIN(MAX(City_Inputs!$AF16,Norm_Stats!$F$21),Norm_Stats!$G$21)-Norm_Stats!$F$21)/(Norm_Stats!$G$21-Norm_Stats!$F$21)))))="",0,(IF(OR(City_Inputs!$AF16="",Norm_Stats!$F$21="",Norm_Stats!$G$21="",Norm_Stats!$G$21=Norm_Stats!$F$21),"",MAX(0,MIN(100,100*(MIN(MAX(City_Inputs!$AF16,Norm_Stats!$F$21),Norm_Stats!$G$21)-Norm_Stats!$F$21)/(Norm_Stats!$G$21-Norm_Stats!$F$21)))))*0.5)+IF((IF(OR(City_Inputs!$AI16="",Norm_Stats!$F$22="",Norm_Stats!$G$22="",Norm_Stats!$G$22=Norm_Stats!$F$22),"",MAX(0,MIN(100,100*(MIN(MAX(City_Inputs!$AI16,Norm_Stats!$F$22),Norm_Stats!$G$22)-Norm_Stats!$F$22)/(Norm_Stats!$G$22-Norm_Stats!$F$22)))))="",0,(IF(OR(City_Inputs!$AI16="",Norm_Stats!$F$22="",Norm_Stats!$G$22="",Norm_Stats!$G$22=Norm_Stats!$F$22),"",MAX(0,MIN(100,100*(MIN(MAX(City_Inputs!$AI16,Norm_Stats!$F$22),Norm_Stats!$G$22)-Norm_Stats!$F$22)/(Norm_Stats!$G$22-Norm_Stats!$F$22)))))*0.3)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0.2))/(IF((IF(OR(City_Inputs!$AF16="",Norm_Stats!$F$21="",Norm_Stats!$G$21="",Norm_Stats!$G$21=Norm_Stats!$F$21),"",MAX(0,MIN(100,100*(MIN(MAX(City_Inputs!$AF16,Norm_Stats!$F$21),Norm_Stats!$G$21)-Norm_Stats!$F$21)/(Norm_Stats!$G$21-Norm_Stats!$F$21)))))="",0,0.5)+IF((IF(OR(City_Inputs!$AI16="",Norm_Stats!$F$22="",Norm_Stats!$G$22="",Norm_Stats!$G$22=Norm_Stats!$F$22),"",MAX(0,MIN(100,100*(MIN(MAX(City_Inputs!$AI16,Norm_Stats!$F$22),Norm_Stats!$G$22)-Norm_Stats!$F$22)/(Norm_Stats!$G$22-Norm_Stats!$F$22)))))="",0,0.3)+IF((IF(OR(City_Inputs!$AJ16="",Norm_Stats!$F$23="",Norm_Stats!$G$23="",Norm_Stats!$G$23=Norm_Stats!$F$23),"",MAX(0,MIN(100,100*(MIN(MAX(City_Inputs!$AJ16,Norm_Stats!$F$23),Norm_Stats!$G$23)-Norm_Stats!$F$23)/(Norm_Stats!$G$23-Norm_Stats!$F$23)))))="",0,0.2)))</f>
        <v/>
      </c>
      <c r="AZ16" s="14">
        <f>IF((IF((IF(OR(City_Inputs!$AF16="",Norm_Stats!$F$21="",Norm_Stats!$G$21="",Norm_Stats!$G$21=Norm_Stats!$F$21),"",MAX(0,MIN(100,100*(MIN(MAX(City_Inputs!$AF16,Norm_Stats!$F$21),Norm_Stats!$G$21)-Norm_Stats!$F$21)/(Norm_Stats!$G$21-Norm_Stats!$F$21)))))="",0,0.5)+IF((IF(OR(City_Inputs!$AI16="",Norm_Stats!$F$22="",Norm_Stats!$G$22="",Norm_Stats!$G$22=Norm_Stats!$F$22),"",MAX(0,MIN(100,100*(MIN(MAX(City_Inputs!$AI16,Norm_Stats!$F$22),Norm_Stats!$G$22)-Norm_Stats!$F$22)/(Norm_Stats!$G$22-Norm_Stats!$F$22)))))="",0,0.3)+IF((IF(OR(City_Inputs!$AJ16="",Norm_Stats!$F$23="",Norm_Stats!$G$23="",Norm_Stats!$G$23=Norm_Stats!$F$23),"",MAX(0,MIN(100,100*(MIN(MAX(City_Inputs!$AJ16,Norm_Stats!$F$23),Norm_Stats!$G$23)-Norm_Stats!$F$23)/(Norm_Stats!$G$23-Norm_Stats!$F$23)))))="",0,0.2))=0,"",(IF((IF(OR(City_Inputs!$AF16="",Norm_Stats!$F$21="",Norm_Stats!$G$21="",Norm_Stats!$G$21=Norm_Stats!$F$21),"",MAX(0,MIN(100,100*(MIN(MAX(City_Inputs!$AF16,Norm_Stats!$F$21),Norm_Stats!$G$21)-Norm_Stats!$F$21)/(Norm_Stats!$G$21-Norm_Stats!$F$21)))))="",0,0.5)+IF((IF(OR(City_Inputs!$AI16="",Norm_Stats!$F$22="",Norm_Stats!$G$22="",Norm_Stats!$G$22=Norm_Stats!$F$22),"",MAX(0,MIN(100,100*(MIN(MAX(City_Inputs!$AI16,Norm_Stats!$F$22),Norm_Stats!$G$22)-Norm_Stats!$F$22)/(Norm_Stats!$G$22-Norm_Stats!$F$22)))))="",0,0.3)+IF((IF(OR(City_Inputs!$AJ16="",Norm_Stats!$F$23="",Norm_Stats!$G$23="",Norm_Stats!$G$23=Norm_Stats!$F$23),"",MAX(0,MIN(100,100*(MIN(MAX(City_Inputs!$AJ16,Norm_Stats!$F$23),Norm_Stats!$G$23)-Norm_Stats!$F$23)/(Norm_Stats!$G$23-Norm_Stats!$F$23)))))="",0,0.2)))</f>
        <v/>
      </c>
      <c r="BA16" s="11">
        <f>IF(OR(City_Inputs!$AG16="",Norm_Stats!$F$24="",Norm_Stats!$G$24="",Norm_Stats!$G$24=Norm_Stats!$F$24),"",MAX(0,MIN(100,100*(Norm_Stats!$G$24-MIN(MAX(City_Inputs!$AG16,Norm_Stats!$F$24),Norm_Stats!$G$24))/(Norm_Stats!$G$24-Norm_Stats!$F$24))))</f>
        <v/>
      </c>
      <c r="BB16" s="14">
        <f>IF(BA16="","",1)</f>
        <v/>
      </c>
      <c r="BC16" s="15">
        <f>IF((IF(AU16="",0,6)+IF(AW16="",0,5)+IF(AY16="",0,5)+IF(BA16="",0,4))=0,"",(IF(AU16="",0,AU16*6)+IF(AW16="",0,AW16*5)+IF(AY16="",0,AY16*5)+IF(BA16="",0,BA16*4))/(IF(AU16="",0,6)+IF(AW16="",0,5)+IF(AY16="",0,5)+IF(BA16="",0,4)))</f>
        <v/>
      </c>
      <c r="BD16" s="14">
        <f>IF((IF(AV16="",0,6)+IF(AX16="",0,5)+IF(AZ16="",0,5)+IF(BB16="",0,4))=0,"",(IF(AV16="",0,AV16*6)+IF(AX16="",0,AX16*5)+IF(AZ16="",0,AZ16*5)+IF(BB16="",0,BB16*4))/20)</f>
        <v/>
      </c>
      <c r="BE16" s="14">
        <f>IF(AND(R16="",AD16="",AL16="",AT16="",BD16=""),"",((R16*25)+(AD16*22)+(AL16*18)+(AT16*15)+(BD16*20))/100)</f>
        <v/>
      </c>
      <c r="BF16" s="11">
        <f>IF(BE16="","",IF(BE16&gt;=0.75,"A",IF(BE16&gt;=0.5,"B",IF(BE16&gt;=0.35,"C","Watchlist"))))</f>
        <v/>
      </c>
      <c r="BG16" s="11">
        <f>IF(OR(BE16="",BE16&lt;0.5,R16="",R16&lt;0.35,AD16="",AD16&lt;0.35,AL16="",AL16&lt;0.35,AT16="",AT16&lt;0.35,BD16="",BD16&lt;0.35),"Watchlist","Ranked")</f>
        <v/>
      </c>
      <c r="BH16" s="15">
        <f>IF(AND(Q16="",AC16="",AK16="",AS16="",BC16=""),"",(IF(Q16="",0,Q16*25)+IF(AC16="",0,AC16*22)+IF(AK16="",0,AK16*18)+IF(AS16="",0,AS16*15)+IF(BC16="",0,BC16*20))/(IF(Q16="",0,25)+IF(AC16="",0,22)+IF(AK16="",0,18)+IF(AS16="",0,15)+IF(BC16="",0,20)))</f>
        <v/>
      </c>
      <c r="BI16" s="11">
        <f>IF(BG16="Ranked",1+COUNTIFS($BG$2:$BG$101,"Ranked",$BH$2:$BH$101,"&gt;"&amp;BH16),"")</f>
        <v/>
      </c>
      <c r="BJ16" s="11">
        <f>City_Inputs!$AH16</f>
        <v/>
      </c>
    </row>
    <row r="17">
      <c r="A17" t="inlineStr">
        <is>
          <t>kr-jeju-city</t>
        </is>
      </c>
      <c r="B17" t="inlineStr">
        <is>
          <t>Jeju City</t>
        </is>
      </c>
      <c r="C17" t="inlineStr">
        <is>
          <t>South Korea</t>
        </is>
      </c>
      <c r="D17" t="inlineStr">
        <is>
          <t>East Asia</t>
        </is>
      </c>
      <c r="E17" t="inlineStr">
        <is>
          <t>locked</t>
        </is>
      </c>
      <c r="F17" t="inlineStr">
        <is>
          <t>secondary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IF((IF(G17="",0,9)+IF(I17="",0,5)+IF(K17="",0,4)+IF(M17="",0,4)+IF(O17="",0,3))=0,"",(IF(G17="",0,G17*9)+IF(I17="",0,I17*5)+IF(K17="",0,K17*4)+IF(M17="",0,M17*4)+IF(O17="",0,O17*3))/(IF(G17="",0,9)+IF(I17="",0,5)+IF(K17="",0,4)+IF(M17="",0,4)+IF(O17="",0,3)))</f>
        <v/>
      </c>
      <c r="R17" s="14">
        <f>IF((IF(H17="",0,9)+IF(J17="",0,5)+IF(L17="",0,4)+IF(N17="",0,4)+IF(P17="",0,3))=0,"",(IF(H17="",0,H17*9)+IF(J17="",0,J17*5)+IF(L17="",0,L17*4)+IF(N17="",0,N17*4)+IF(P17="",0,P17*3))/25)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5">
        <f>IF((IF(S17="",0,5)+IF(U17="",0,5)+IF(W17="",0,4)+IF(Y17="",0,4)+IF(AA17="",0,4))=0,"",(IF(S17="",0,S17*5)+IF(U17="",0,U17*5)+IF(W17="",0,W17*4)+IF(Y17="",0,Y17*4)+IF(AA17="",0,AA17*4))/(IF(S17="",0,5)+IF(U17="",0,5)+IF(W17="",0,4)+IF(Y17="",0,4)+IF(AA17="",0,4)))</f>
        <v/>
      </c>
      <c r="AD17" s="14">
        <f>IF((IF(T17="",0,5)+IF(V17="",0,5)+IF(X17="",0,4)+IF(Z17="",0,4)+IF(AB17="",0,4))=0,"",(IF(T17="",0,T17*5)+IF(V17="",0,V17*5)+IF(X17="",0,X17*4)+IF(Z17="",0,Z17*4)+IF(AB17="",0,AB17*4))/22)</f>
        <v/>
      </c>
      <c r="AE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F17" s="14">
        <f>IF(AE17="","",1)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(IF((IF(OR(City_Inputs!$Z17="",Norm_Stats!$F$14="",Norm_Stats!$G$14="",Norm_Stats!$G$14=Norm_Stats!$F$14),"",MAX(0,MIN(100,100*(MIN(MAX(City_Inputs!$Z17,Norm_Stats!$F$14),Norm_Stats!$G$14)-Norm_Stats!$F$14)/(Norm_Stats!$G$14-Norm_Stats!$F$14)))))="",0,0.7)+IF((IF(OR(City_Inputs!$AK17="",Norm_Stats!$F$15="",Norm_Stats!$G$15="",Norm_Stats!$G$15=Norm_Stats!$F$15),"",MAX(0,MIN(100,100*(Norm_Stats!$G$15-MIN(MAX(City_Inputs!$AK17,Norm_Stats!$F$15),Norm_Stats!$G$15))/(Norm_Stats!$G$15-Norm_Stats!$F$15)))))="",0,0.3))=0,"",(IF((IF(OR(City_Inputs!$Z17="",Norm_Stats!$F$14="",Norm_Stats!$G$14="",Norm_Stats!$G$14=Norm_Stats!$F$14),"",MAX(0,MIN(100,100*(MIN(MAX(City_Inputs!$Z17,Norm_Stats!$F$14),Norm_Stats!$G$14)-Norm_Stats!$F$14)/(Norm_Stats!$G$14-Norm_Stats!$F$14)))))="",0,(IF(OR(City_Inputs!$Z17="",Norm_Stats!$F$14="",Norm_Stats!$G$14="",Norm_Stats!$G$14=Norm_Stats!$F$14),"",MAX(0,MIN(100,100*(MIN(MAX(City_Inputs!$Z17,Norm_Stats!$F$14),Norm_Stats!$G$14)-Norm_Stats!$F$14)/(Norm_Stats!$G$14-Norm_Stats!$F$14)))))*0.7)+IF((IF(OR(City_Inputs!$AK17="",Norm_Stats!$F$15="",Norm_Stats!$G$15="",Norm_Stats!$G$15=Norm_Stats!$F$15),"",MAX(0,MIN(100,100*(Norm_Stats!$G$15-MIN(MAX(City_Inputs!$AK17,Norm_Stats!$F$15),Norm_Stats!$G$15))/(Norm_Stats!$G$15-Norm_Stats!$F$15)))))="",0,(IF(OR(City_Inputs!$AK17="",Norm_Stats!$F$15="",Norm_Stats!$G$15="",Norm_Stats!$G$15=Norm_Stats!$F$15),"",MAX(0,MIN(100,100*(Norm_Stats!$G$15-MIN(MAX(City_Inputs!$AK17,Norm_Stats!$F$15),Norm_Stats!$G$15))/(Norm_Stats!$G$15-Norm_Stats!$F$15)))))*0.3))/(IF((IF(OR(City_Inputs!$Z17="",Norm_Stats!$F$14="",Norm_Stats!$G$14="",Norm_Stats!$G$14=Norm_Stats!$F$14),"",MAX(0,MIN(100,100*(MIN(MAX(City_Inputs!$Z17,Norm_Stats!$F$14),Norm_Stats!$G$14)-Norm_Stats!$F$14)/(Norm_Stats!$G$14-Norm_Stats!$F$14)))))="",0,0.7)+IF((IF(OR(City_Inputs!$AK17="",Norm_Stats!$F$15="",Norm_Stats!$G$15="",Norm_Stats!$G$15=Norm_Stats!$F$15),"",MAX(0,MIN(100,100*(Norm_Stats!$G$15-MIN(MAX(City_Inputs!$AK17,Norm_Stats!$F$15),Norm_Stats!$G$15))/(Norm_Stats!$G$15-Norm_Stats!$F$15)))))="",0,0.3)))</f>
        <v/>
      </c>
      <c r="AJ17" s="14">
        <f>IF((IF((IF(OR(City_Inputs!$Z17="",Norm_Stats!$F$14="",Norm_Stats!$G$14="",Norm_Stats!$G$14=Norm_Stats!$F$14),"",MAX(0,MIN(100,100*(MIN(MAX(City_Inputs!$Z17,Norm_Stats!$F$14),Norm_Stats!$G$14)-Norm_Stats!$F$14)/(Norm_Stats!$G$14-Norm_Stats!$F$14)))))="",0,0.7)+IF((IF(OR(City_Inputs!$AK17="",Norm_Stats!$F$15="",Norm_Stats!$G$15="",Norm_Stats!$G$15=Norm_Stats!$F$15),"",MAX(0,MIN(100,100*(Norm_Stats!$G$15-MIN(MAX(City_Inputs!$AK17,Norm_Stats!$F$15),Norm_Stats!$G$15))/(Norm_Stats!$G$15-Norm_Stats!$F$15)))))="",0,0.3))=0,"",(IF((IF(OR(City_Inputs!$Z17="",Norm_Stats!$F$14="",Norm_Stats!$G$14="",Norm_Stats!$G$14=Norm_Stats!$F$14),"",MAX(0,MIN(100,100*(MIN(MAX(City_Inputs!$Z17,Norm_Stats!$F$14),Norm_Stats!$G$14)-Norm_Stats!$F$14)/(Norm_Stats!$G$14-Norm_Stats!$F$14)))))="",0,0.7)+IF((IF(OR(City_Inputs!$AK17="",Norm_Stats!$F$15="",Norm_Stats!$G$15="",Norm_Stats!$G$15=Norm_Stats!$F$15),"",MAX(0,MIN(100,100*(Norm_Stats!$G$15-MIN(MAX(City_Inputs!$AK17,Norm_Stats!$F$15),Norm_Stats!$G$15))/(Norm_Stats!$G$15-Norm_Stats!$F$15)))))="",0,0.3)))</f>
        <v/>
      </c>
      <c r="AK17" s="15">
        <f>IF((IF(AE17="",0,8)+IF(AG17="",0,6)+IF(AI17="",0,4))=0,"",(IF(AE17="",0,AE17*8)+IF(AG17="",0,AG17*6)+IF(AI17="",0,AI17*4))/(IF(AE17="",0,8)+IF(AG17="",0,6)+IF(AI17="",0,4)))</f>
        <v/>
      </c>
      <c r="AL17" s="14">
        <f>IF((IF(AF17="",0,8)+IF(AH17="",0,6)+IF(AJ17="",0,4))=0,"",(IF(AF17="",0,AF17*8)+IF(AH17="",0,AH17*6)+IF(AJ17="",0,AJ17*4))/18)</f>
        <v/>
      </c>
      <c r="AM17" s="11">
        <f>IF(OR(City_Inputs!$AA17="",Norm_Stats!$F$16="",Norm_Stats!$G$16="",Norm_Stats!$G$16=Norm_Stats!$F$16),"",MAX(0,MIN(100,100*(MIN(MAX(City_Inputs!$AA17,Norm_Stats!$F$16),Norm_Stats!$G$16)-Norm_Stats!$F$16)/(Norm_Stats!$G$16-Norm_Stats!$F$16))))</f>
        <v/>
      </c>
      <c r="AN17" s="14">
        <f>IF(AM17="","",1)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5">
        <f>IF((IF(AM17="",0,5)+IF(AO17="",0,5)+IF(AQ17="",0,5))=0,"",(IF(AM17="",0,AM17*5)+IF(AO17="",0,AO17*5)+IF(AQ17="",0,AQ17*5))/(IF(AM17="",0,5)+IF(AO17="",0,5)+IF(AQ17="",0,5)))</f>
        <v/>
      </c>
      <c r="AT17" s="14">
        <f>IF((IF(AN17="",0,5)+IF(AP17="",0,5)+IF(AR17="",0,5))=0,"",(IF(AN17="",0,AN17*5)+IF(AP17="",0,AP17*5)+IF(AR17="",0,AR17*5))/15)</f>
        <v/>
      </c>
      <c r="AU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V17" s="14">
        <f>IF(AU17="","",1)</f>
        <v/>
      </c>
      <c r="AW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X17" s="14">
        <f>IF(AW17="","",1)</f>
        <v/>
      </c>
      <c r="AY17" s="11">
        <f>IF((IF((IF(OR(City_Inputs!$AF17="",Norm_Stats!$F$21="",Norm_Stats!$G$21="",Norm_Stats!$G$21=Norm_Stats!$F$21),"",MAX(0,MIN(100,100*(MIN(MAX(City_Inputs!$AF17,Norm_Stats!$F$21),Norm_Stats!$G$21)-Norm_Stats!$F$21)/(Norm_Stats!$G$21-Norm_Stats!$F$21)))))="",0,0.5)+IF((IF(OR(City_Inputs!$AI17="",Norm_Stats!$F$22="",Norm_Stats!$G$22="",Norm_Stats!$G$22=Norm_Stats!$F$22),"",MAX(0,MIN(100,100*(MIN(MAX(City_Inputs!$AI17,Norm_Stats!$F$22),Norm_Stats!$G$22)-Norm_Stats!$F$22)/(Norm_Stats!$G$22-Norm_Stats!$F$22)))))="",0,0.3)+IF((IF(OR(City_Inputs!$AJ17="",Norm_Stats!$F$23="",Norm_Stats!$G$23="",Norm_Stats!$G$23=Norm_Stats!$F$23),"",MAX(0,MIN(100,100*(MIN(MAX(City_Inputs!$AJ17,Norm_Stats!$F$23),Norm_Stats!$G$23)-Norm_Stats!$F$23)/(Norm_Stats!$G$23-Norm_Stats!$F$23)))))="",0,0.2))=0,"",(IF((IF(OR(City_Inputs!$AF17="",Norm_Stats!$F$21="",Norm_Stats!$G$21="",Norm_Stats!$G$21=Norm_Stats!$F$21),"",MAX(0,MIN(100,100*(MIN(MAX(City_Inputs!$AF17,Norm_Stats!$F$21),Norm_Stats!$G$21)-Norm_Stats!$F$21)/(Norm_Stats!$G$21-Norm_Stats!$F$21)))))="",0,(IF(OR(City_Inputs!$AF17="",Norm_Stats!$F$21="",Norm_Stats!$G$21="",Norm_Stats!$G$21=Norm_Stats!$F$21),"",MAX(0,MIN(100,100*(MIN(MAX(City_Inputs!$AF17,Norm_Stats!$F$21),Norm_Stats!$G$21)-Norm_Stats!$F$21)/(Norm_Stats!$G$21-Norm_Stats!$F$21)))))*0.5)+IF((IF(OR(City_Inputs!$AI17="",Norm_Stats!$F$22="",Norm_Stats!$G$22="",Norm_Stats!$G$22=Norm_Stats!$F$22),"",MAX(0,MIN(100,100*(MIN(MAX(City_Inputs!$AI17,Norm_Stats!$F$22),Norm_Stats!$G$22)-Norm_Stats!$F$22)/(Norm_Stats!$G$22-Norm_Stats!$F$22)))))="",0,(IF(OR(City_Inputs!$AI17="",Norm_Stats!$F$22="",Norm_Stats!$G$22="",Norm_Stats!$G$22=Norm_Stats!$F$22),"",MAX(0,MIN(100,100*(MIN(MAX(City_Inputs!$AI17,Norm_Stats!$F$22),Norm_Stats!$G$22)-Norm_Stats!$F$22)/(Norm_Stats!$G$22-Norm_Stats!$F$22)))))*0.3)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0.2))/(IF((IF(OR(City_Inputs!$AF17="",Norm_Stats!$F$21="",Norm_Stats!$G$21="",Norm_Stats!$G$21=Norm_Stats!$F$21),"",MAX(0,MIN(100,100*(MIN(MAX(City_Inputs!$AF17,Norm_Stats!$F$21),Norm_Stats!$G$21)-Norm_Stats!$F$21)/(Norm_Stats!$G$21-Norm_Stats!$F$21)))))="",0,0.5)+IF((IF(OR(City_Inputs!$AI17="",Norm_Stats!$F$22="",Norm_Stats!$G$22="",Norm_Stats!$G$22=Norm_Stats!$F$22),"",MAX(0,MIN(100,100*(MIN(MAX(City_Inputs!$AI17,Norm_Stats!$F$22),Norm_Stats!$G$22)-Norm_Stats!$F$22)/(Norm_Stats!$G$22-Norm_Stats!$F$22)))))="",0,0.3)+IF((IF(OR(City_Inputs!$AJ17="",Norm_Stats!$F$23="",Norm_Stats!$G$23="",Norm_Stats!$G$23=Norm_Stats!$F$23),"",MAX(0,MIN(100,100*(MIN(MAX(City_Inputs!$AJ17,Norm_Stats!$F$23),Norm_Stats!$G$23)-Norm_Stats!$F$23)/(Norm_Stats!$G$23-Norm_Stats!$F$23)))))="",0,0.2)))</f>
        <v/>
      </c>
      <c r="AZ17" s="14">
        <f>IF((IF((IF(OR(City_Inputs!$AF17="",Norm_Stats!$F$21="",Norm_Stats!$G$21="",Norm_Stats!$G$21=Norm_Stats!$F$21),"",MAX(0,MIN(100,100*(MIN(MAX(City_Inputs!$AF17,Norm_Stats!$F$21),Norm_Stats!$G$21)-Norm_Stats!$F$21)/(Norm_Stats!$G$21-Norm_Stats!$F$21)))))="",0,0.5)+IF((IF(OR(City_Inputs!$AI17="",Norm_Stats!$F$22="",Norm_Stats!$G$22="",Norm_Stats!$G$22=Norm_Stats!$F$22),"",MAX(0,MIN(100,100*(MIN(MAX(City_Inputs!$AI17,Norm_Stats!$F$22),Norm_Stats!$G$22)-Norm_Stats!$F$22)/(Norm_Stats!$G$22-Norm_Stats!$F$22)))))="",0,0.3)+IF((IF(OR(City_Inputs!$AJ17="",Norm_Stats!$F$23="",Norm_Stats!$G$23="",Norm_Stats!$G$23=Norm_Stats!$F$23),"",MAX(0,MIN(100,100*(MIN(MAX(City_Inputs!$AJ17,Norm_Stats!$F$23),Norm_Stats!$G$23)-Norm_Stats!$F$23)/(Norm_Stats!$G$23-Norm_Stats!$F$23)))))="",0,0.2))=0,"",(IF((IF(OR(City_Inputs!$AF17="",Norm_Stats!$F$21="",Norm_Stats!$G$21="",Norm_Stats!$G$21=Norm_Stats!$F$21),"",MAX(0,MIN(100,100*(MIN(MAX(City_Inputs!$AF17,Norm_Stats!$F$21),Norm_Stats!$G$21)-Norm_Stats!$F$21)/(Norm_Stats!$G$21-Norm_Stats!$F$21)))))="",0,0.5)+IF((IF(OR(City_Inputs!$AI17="",Norm_Stats!$F$22="",Norm_Stats!$G$22="",Norm_Stats!$G$22=Norm_Stats!$F$22),"",MAX(0,MIN(100,100*(MIN(MAX(City_Inputs!$AI17,Norm_Stats!$F$22),Norm_Stats!$G$22)-Norm_Stats!$F$22)/(Norm_Stats!$G$22-Norm_Stats!$F$22)))))="",0,0.3)+IF((IF(OR(City_Inputs!$AJ17="",Norm_Stats!$F$23="",Norm_Stats!$G$23="",Norm_Stats!$G$23=Norm_Stats!$F$23),"",MAX(0,MIN(100,100*(MIN(MAX(City_Inputs!$AJ17,Norm_Stats!$F$23),Norm_Stats!$G$23)-Norm_Stats!$F$23)/(Norm_Stats!$G$23-Norm_Stats!$F$23)))))="",0,0.2)))</f>
        <v/>
      </c>
      <c r="BA17" s="11">
        <f>IF(OR(City_Inputs!$AG17="",Norm_Stats!$F$24="",Norm_Stats!$G$24="",Norm_Stats!$G$24=Norm_Stats!$F$24),"",MAX(0,MIN(100,100*(Norm_Stats!$G$24-MIN(MAX(City_Inputs!$AG17,Norm_Stats!$F$24),Norm_Stats!$G$24))/(Norm_Stats!$G$24-Norm_Stats!$F$24))))</f>
        <v/>
      </c>
      <c r="BB17" s="14">
        <f>IF(BA17="","",1)</f>
        <v/>
      </c>
      <c r="BC17" s="15">
        <f>IF((IF(AU17="",0,6)+IF(AW17="",0,5)+IF(AY17="",0,5)+IF(BA17="",0,4))=0,"",(IF(AU17="",0,AU17*6)+IF(AW17="",0,AW17*5)+IF(AY17="",0,AY17*5)+IF(BA17="",0,BA17*4))/(IF(AU17="",0,6)+IF(AW17="",0,5)+IF(AY17="",0,5)+IF(BA17="",0,4)))</f>
        <v/>
      </c>
      <c r="BD17" s="14">
        <f>IF((IF(AV17="",0,6)+IF(AX17="",0,5)+IF(AZ17="",0,5)+IF(BB17="",0,4))=0,"",(IF(AV17="",0,AV17*6)+IF(AX17="",0,AX17*5)+IF(AZ17="",0,AZ17*5)+IF(BB17="",0,BB17*4))/20)</f>
        <v/>
      </c>
      <c r="BE17" s="14">
        <f>IF(AND(R17="",AD17="",AL17="",AT17="",BD17=""),"",((R17*25)+(AD17*22)+(AL17*18)+(AT17*15)+(BD17*20))/100)</f>
        <v/>
      </c>
      <c r="BF17" s="11">
        <f>IF(BE17="","",IF(BE17&gt;=0.75,"A",IF(BE17&gt;=0.5,"B",IF(BE17&gt;=0.35,"C","Watchlist"))))</f>
        <v/>
      </c>
      <c r="BG17" s="11">
        <f>IF(OR(BE17="",BE17&lt;0.5,R17="",R17&lt;0.35,AD17="",AD17&lt;0.35,AL17="",AL17&lt;0.35,AT17="",AT17&lt;0.35,BD17="",BD17&lt;0.35),"Watchlist","Ranked")</f>
        <v/>
      </c>
      <c r="BH17" s="15">
        <f>IF(AND(Q17="",AC17="",AK17="",AS17="",BC17=""),"",(IF(Q17="",0,Q17*25)+IF(AC17="",0,AC17*22)+IF(AK17="",0,AK17*18)+IF(AS17="",0,AS17*15)+IF(BC17="",0,BC17*20))/(IF(Q17="",0,25)+IF(AC17="",0,22)+IF(AK17="",0,18)+IF(AS17="",0,15)+IF(BC17="",0,20)))</f>
        <v/>
      </c>
      <c r="BI17" s="11">
        <f>IF(BG17="Ranked",1+COUNTIFS($BG$2:$BG$101,"Ranked",$BH$2:$BH$101,"&gt;"&amp;BH17),"")</f>
        <v/>
      </c>
      <c r="BJ17" s="11">
        <f>City_Inputs!$AH17</f>
        <v/>
      </c>
    </row>
    <row r="18">
      <c r="A18" t="inlineStr">
        <is>
          <t>jp-fukuoka</t>
        </is>
      </c>
      <c r="B18" t="inlineStr">
        <is>
          <t>Fukuoka</t>
        </is>
      </c>
      <c r="C18" t="inlineStr">
        <is>
          <t>Japan</t>
        </is>
      </c>
      <c r="D18" t="inlineStr">
        <is>
          <t>East Asia</t>
        </is>
      </c>
      <c r="E18" t="inlineStr">
        <is>
          <t>locked</t>
        </is>
      </c>
      <c r="F18" t="inlineStr">
        <is>
          <t>secondary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IF((IF(G18="",0,9)+IF(I18="",0,5)+IF(K18="",0,4)+IF(M18="",0,4)+IF(O18="",0,3))=0,"",(IF(G18="",0,G18*9)+IF(I18="",0,I18*5)+IF(K18="",0,K18*4)+IF(M18="",0,M18*4)+IF(O18="",0,O18*3))/(IF(G18="",0,9)+IF(I18="",0,5)+IF(K18="",0,4)+IF(M18="",0,4)+IF(O18="",0,3)))</f>
        <v/>
      </c>
      <c r="R18" s="14">
        <f>IF((IF(H18="",0,9)+IF(J18="",0,5)+IF(L18="",0,4)+IF(N18="",0,4)+IF(P18="",0,3))=0,"",(IF(H18="",0,H18*9)+IF(J18="",0,J18*5)+IF(L18="",0,L18*4)+IF(N18="",0,N18*4)+IF(P18="",0,P18*3))/25)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5">
        <f>IF((IF(S18="",0,5)+IF(U18="",0,5)+IF(W18="",0,4)+IF(Y18="",0,4)+IF(AA18="",0,4))=0,"",(IF(S18="",0,S18*5)+IF(U18="",0,U18*5)+IF(W18="",0,W18*4)+IF(Y18="",0,Y18*4)+IF(AA18="",0,AA18*4))/(IF(S18="",0,5)+IF(U18="",0,5)+IF(W18="",0,4)+IF(Y18="",0,4)+IF(AA18="",0,4)))</f>
        <v/>
      </c>
      <c r="AD18" s="14">
        <f>IF((IF(T18="",0,5)+IF(V18="",0,5)+IF(X18="",0,4)+IF(Z18="",0,4)+IF(AB18="",0,4))=0,"",(IF(T18="",0,T18*5)+IF(V18="",0,V18*5)+IF(X18="",0,X18*4)+IF(Z18="",0,Z18*4)+IF(AB18="",0,AB18*4))/22)</f>
        <v/>
      </c>
      <c r="AE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F18" s="14">
        <f>IF(AE18="","",1)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(IF((IF(OR(City_Inputs!$Z18="",Norm_Stats!$F$14="",Norm_Stats!$G$14="",Norm_Stats!$G$14=Norm_Stats!$F$14),"",MAX(0,MIN(100,100*(MIN(MAX(City_Inputs!$Z18,Norm_Stats!$F$14),Norm_Stats!$G$14)-Norm_Stats!$F$14)/(Norm_Stats!$G$14-Norm_Stats!$F$14)))))="",0,0.7)+IF((IF(OR(City_Inputs!$AK18="",Norm_Stats!$F$15="",Norm_Stats!$G$15="",Norm_Stats!$G$15=Norm_Stats!$F$15),"",MAX(0,MIN(100,100*(Norm_Stats!$G$15-MIN(MAX(City_Inputs!$AK18,Norm_Stats!$F$15),Norm_Stats!$G$15))/(Norm_Stats!$G$15-Norm_Stats!$F$15)))))="",0,0.3))=0,"",(IF((IF(OR(City_Inputs!$Z18="",Norm_Stats!$F$14="",Norm_Stats!$G$14="",Norm_Stats!$G$14=Norm_Stats!$F$14),"",MAX(0,MIN(100,100*(MIN(MAX(City_Inputs!$Z18,Norm_Stats!$F$14),Norm_Stats!$G$14)-Norm_Stats!$F$14)/(Norm_Stats!$G$14-Norm_Stats!$F$14)))))="",0,(IF(OR(City_Inputs!$Z18="",Norm_Stats!$F$14="",Norm_Stats!$G$14="",Norm_Stats!$G$14=Norm_Stats!$F$14),"",MAX(0,MIN(100,100*(MIN(MAX(City_Inputs!$Z18,Norm_Stats!$F$14),Norm_Stats!$G$14)-Norm_Stats!$F$14)/(Norm_Stats!$G$14-Norm_Stats!$F$14)))))*0.7)+IF((IF(OR(City_Inputs!$AK18="",Norm_Stats!$F$15="",Norm_Stats!$G$15="",Norm_Stats!$G$15=Norm_Stats!$F$15),"",MAX(0,MIN(100,100*(Norm_Stats!$G$15-MIN(MAX(City_Inputs!$AK18,Norm_Stats!$F$15),Norm_Stats!$G$15))/(Norm_Stats!$G$15-Norm_Stats!$F$15)))))="",0,(IF(OR(City_Inputs!$AK18="",Norm_Stats!$F$15="",Norm_Stats!$G$15="",Norm_Stats!$G$15=Norm_Stats!$F$15),"",MAX(0,MIN(100,100*(Norm_Stats!$G$15-MIN(MAX(City_Inputs!$AK18,Norm_Stats!$F$15),Norm_Stats!$G$15))/(Norm_Stats!$G$15-Norm_Stats!$F$15)))))*0.3))/(IF((IF(OR(City_Inputs!$Z18="",Norm_Stats!$F$14="",Norm_Stats!$G$14="",Norm_Stats!$G$14=Norm_Stats!$F$14),"",MAX(0,MIN(100,100*(MIN(MAX(City_Inputs!$Z18,Norm_Stats!$F$14),Norm_Stats!$G$14)-Norm_Stats!$F$14)/(Norm_Stats!$G$14-Norm_Stats!$F$14)))))="",0,0.7)+IF((IF(OR(City_Inputs!$AK18="",Norm_Stats!$F$15="",Norm_Stats!$G$15="",Norm_Stats!$G$15=Norm_Stats!$F$15),"",MAX(0,MIN(100,100*(Norm_Stats!$G$15-MIN(MAX(City_Inputs!$AK18,Norm_Stats!$F$15),Norm_Stats!$G$15))/(Norm_Stats!$G$15-Norm_Stats!$F$15)))))="",0,0.3)))</f>
        <v/>
      </c>
      <c r="AJ18" s="14">
        <f>IF((IF((IF(OR(City_Inputs!$Z18="",Norm_Stats!$F$14="",Norm_Stats!$G$14="",Norm_Stats!$G$14=Norm_Stats!$F$14),"",MAX(0,MIN(100,100*(MIN(MAX(City_Inputs!$Z18,Norm_Stats!$F$14),Norm_Stats!$G$14)-Norm_Stats!$F$14)/(Norm_Stats!$G$14-Norm_Stats!$F$14)))))="",0,0.7)+IF((IF(OR(City_Inputs!$AK18="",Norm_Stats!$F$15="",Norm_Stats!$G$15="",Norm_Stats!$G$15=Norm_Stats!$F$15),"",MAX(0,MIN(100,100*(Norm_Stats!$G$15-MIN(MAX(City_Inputs!$AK18,Norm_Stats!$F$15),Norm_Stats!$G$15))/(Norm_Stats!$G$15-Norm_Stats!$F$15)))))="",0,0.3))=0,"",(IF((IF(OR(City_Inputs!$Z18="",Norm_Stats!$F$14="",Norm_Stats!$G$14="",Norm_Stats!$G$14=Norm_Stats!$F$14),"",MAX(0,MIN(100,100*(MIN(MAX(City_Inputs!$Z18,Norm_Stats!$F$14),Norm_Stats!$G$14)-Norm_Stats!$F$14)/(Norm_Stats!$G$14-Norm_Stats!$F$14)))))="",0,0.7)+IF((IF(OR(City_Inputs!$AK18="",Norm_Stats!$F$15="",Norm_Stats!$G$15="",Norm_Stats!$G$15=Norm_Stats!$F$15),"",MAX(0,MIN(100,100*(Norm_Stats!$G$15-MIN(MAX(City_Inputs!$AK18,Norm_Stats!$F$15),Norm_Stats!$G$15))/(Norm_Stats!$G$15-Norm_Stats!$F$15)))))="",0,0.3)))</f>
        <v/>
      </c>
      <c r="AK18" s="15">
        <f>IF((IF(AE18="",0,8)+IF(AG18="",0,6)+IF(AI18="",0,4))=0,"",(IF(AE18="",0,AE18*8)+IF(AG18="",0,AG18*6)+IF(AI18="",0,AI18*4))/(IF(AE18="",0,8)+IF(AG18="",0,6)+IF(AI18="",0,4)))</f>
        <v/>
      </c>
      <c r="AL18" s="14">
        <f>IF((IF(AF18="",0,8)+IF(AH18="",0,6)+IF(AJ18="",0,4))=0,"",(IF(AF18="",0,AF18*8)+IF(AH18="",0,AH18*6)+IF(AJ18="",0,AJ18*4))/18)</f>
        <v/>
      </c>
      <c r="AM18" s="11">
        <f>IF(OR(City_Inputs!$AA18="",Norm_Stats!$F$16="",Norm_Stats!$G$16="",Norm_Stats!$G$16=Norm_Stats!$F$16),"",MAX(0,MIN(100,100*(MIN(MAX(City_Inputs!$AA18,Norm_Stats!$F$16),Norm_Stats!$G$16)-Norm_Stats!$F$16)/(Norm_Stats!$G$16-Norm_Stats!$F$16))))</f>
        <v/>
      </c>
      <c r="AN18" s="14">
        <f>IF(AM18="","",1)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5">
        <f>IF((IF(AM18="",0,5)+IF(AO18="",0,5)+IF(AQ18="",0,5))=0,"",(IF(AM18="",0,AM18*5)+IF(AO18="",0,AO18*5)+IF(AQ18="",0,AQ18*5))/(IF(AM18="",0,5)+IF(AO18="",0,5)+IF(AQ18="",0,5)))</f>
        <v/>
      </c>
      <c r="AT18" s="14">
        <f>IF((IF(AN18="",0,5)+IF(AP18="",0,5)+IF(AR18="",0,5))=0,"",(IF(AN18="",0,AN18*5)+IF(AP18="",0,AP18*5)+IF(AR18="",0,AR18*5))/15)</f>
        <v/>
      </c>
      <c r="AU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V18" s="14">
        <f>IF(AU18="","",1)</f>
        <v/>
      </c>
      <c r="AW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X18" s="14">
        <f>IF(AW18="","",1)</f>
        <v/>
      </c>
      <c r="AY18" s="11">
        <f>IF((IF((IF(OR(City_Inputs!$AF18="",Norm_Stats!$F$21="",Norm_Stats!$G$21="",Norm_Stats!$G$21=Norm_Stats!$F$21),"",MAX(0,MIN(100,100*(MIN(MAX(City_Inputs!$AF18,Norm_Stats!$F$21),Norm_Stats!$G$21)-Norm_Stats!$F$21)/(Norm_Stats!$G$21-Norm_Stats!$F$21)))))="",0,0.5)+IF((IF(OR(City_Inputs!$AI18="",Norm_Stats!$F$22="",Norm_Stats!$G$22="",Norm_Stats!$G$22=Norm_Stats!$F$22),"",MAX(0,MIN(100,100*(MIN(MAX(City_Inputs!$AI18,Norm_Stats!$F$22),Norm_Stats!$G$22)-Norm_Stats!$F$22)/(Norm_Stats!$G$22-Norm_Stats!$F$22)))))="",0,0.3)+IF((IF(OR(City_Inputs!$AJ18="",Norm_Stats!$F$23="",Norm_Stats!$G$23="",Norm_Stats!$G$23=Norm_Stats!$F$23),"",MAX(0,MIN(100,100*(MIN(MAX(City_Inputs!$AJ18,Norm_Stats!$F$23),Norm_Stats!$G$23)-Norm_Stats!$F$23)/(Norm_Stats!$G$23-Norm_Stats!$F$23)))))="",0,0.2))=0,"",(IF((IF(OR(City_Inputs!$AF18="",Norm_Stats!$F$21="",Norm_Stats!$G$21="",Norm_Stats!$G$21=Norm_Stats!$F$21),"",MAX(0,MIN(100,100*(MIN(MAX(City_Inputs!$AF18,Norm_Stats!$F$21),Norm_Stats!$G$21)-Norm_Stats!$F$21)/(Norm_Stats!$G$21-Norm_Stats!$F$21)))))="",0,(IF(OR(City_Inputs!$AF18="",Norm_Stats!$F$21="",Norm_Stats!$G$21="",Norm_Stats!$G$21=Norm_Stats!$F$21),"",MAX(0,MIN(100,100*(MIN(MAX(City_Inputs!$AF18,Norm_Stats!$F$21),Norm_Stats!$G$21)-Norm_Stats!$F$21)/(Norm_Stats!$G$21-Norm_Stats!$F$21)))))*0.5)+IF((IF(OR(City_Inputs!$AI18="",Norm_Stats!$F$22="",Norm_Stats!$G$22="",Norm_Stats!$G$22=Norm_Stats!$F$22),"",MAX(0,MIN(100,100*(MIN(MAX(City_Inputs!$AI18,Norm_Stats!$F$22),Norm_Stats!$G$22)-Norm_Stats!$F$22)/(Norm_Stats!$G$22-Norm_Stats!$F$22)))))="",0,(IF(OR(City_Inputs!$AI18="",Norm_Stats!$F$22="",Norm_Stats!$G$22="",Norm_Stats!$G$22=Norm_Stats!$F$22),"",MAX(0,MIN(100,100*(MIN(MAX(City_Inputs!$AI18,Norm_Stats!$F$22),Norm_Stats!$G$22)-Norm_Stats!$F$22)/(Norm_Stats!$G$22-Norm_Stats!$F$22)))))*0.3)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0.2))/(IF((IF(OR(City_Inputs!$AF18="",Norm_Stats!$F$21="",Norm_Stats!$G$21="",Norm_Stats!$G$21=Norm_Stats!$F$21),"",MAX(0,MIN(100,100*(MIN(MAX(City_Inputs!$AF18,Norm_Stats!$F$21),Norm_Stats!$G$21)-Norm_Stats!$F$21)/(Norm_Stats!$G$21-Norm_Stats!$F$21)))))="",0,0.5)+IF((IF(OR(City_Inputs!$AI18="",Norm_Stats!$F$22="",Norm_Stats!$G$22="",Norm_Stats!$G$22=Norm_Stats!$F$22),"",MAX(0,MIN(100,100*(MIN(MAX(City_Inputs!$AI18,Norm_Stats!$F$22),Norm_Stats!$G$22)-Norm_Stats!$F$22)/(Norm_Stats!$G$22-Norm_Stats!$F$22)))))="",0,0.3)+IF((IF(OR(City_Inputs!$AJ18="",Norm_Stats!$F$23="",Norm_Stats!$G$23="",Norm_Stats!$G$23=Norm_Stats!$F$23),"",MAX(0,MIN(100,100*(MIN(MAX(City_Inputs!$AJ18,Norm_Stats!$F$23),Norm_Stats!$G$23)-Norm_Stats!$F$23)/(Norm_Stats!$G$23-Norm_Stats!$F$23)))))="",0,0.2)))</f>
        <v/>
      </c>
      <c r="AZ18" s="14">
        <f>IF((IF((IF(OR(City_Inputs!$AF18="",Norm_Stats!$F$21="",Norm_Stats!$G$21="",Norm_Stats!$G$21=Norm_Stats!$F$21),"",MAX(0,MIN(100,100*(MIN(MAX(City_Inputs!$AF18,Norm_Stats!$F$21),Norm_Stats!$G$21)-Norm_Stats!$F$21)/(Norm_Stats!$G$21-Norm_Stats!$F$21)))))="",0,0.5)+IF((IF(OR(City_Inputs!$AI18="",Norm_Stats!$F$22="",Norm_Stats!$G$22="",Norm_Stats!$G$22=Norm_Stats!$F$22),"",MAX(0,MIN(100,100*(MIN(MAX(City_Inputs!$AI18,Norm_Stats!$F$22),Norm_Stats!$G$22)-Norm_Stats!$F$22)/(Norm_Stats!$G$22-Norm_Stats!$F$22)))))="",0,0.3)+IF((IF(OR(City_Inputs!$AJ18="",Norm_Stats!$F$23="",Norm_Stats!$G$23="",Norm_Stats!$G$23=Norm_Stats!$F$23),"",MAX(0,MIN(100,100*(MIN(MAX(City_Inputs!$AJ18,Norm_Stats!$F$23),Norm_Stats!$G$23)-Norm_Stats!$F$23)/(Norm_Stats!$G$23-Norm_Stats!$F$23)))))="",0,0.2))=0,"",(IF((IF(OR(City_Inputs!$AF18="",Norm_Stats!$F$21="",Norm_Stats!$G$21="",Norm_Stats!$G$21=Norm_Stats!$F$21),"",MAX(0,MIN(100,100*(MIN(MAX(City_Inputs!$AF18,Norm_Stats!$F$21),Norm_Stats!$G$21)-Norm_Stats!$F$21)/(Norm_Stats!$G$21-Norm_Stats!$F$21)))))="",0,0.5)+IF((IF(OR(City_Inputs!$AI18="",Norm_Stats!$F$22="",Norm_Stats!$G$22="",Norm_Stats!$G$22=Norm_Stats!$F$22),"",MAX(0,MIN(100,100*(MIN(MAX(City_Inputs!$AI18,Norm_Stats!$F$22),Norm_Stats!$G$22)-Norm_Stats!$F$22)/(Norm_Stats!$G$22-Norm_Stats!$F$22)))))="",0,0.3)+IF((IF(OR(City_Inputs!$AJ18="",Norm_Stats!$F$23="",Norm_Stats!$G$23="",Norm_Stats!$G$23=Norm_Stats!$F$23),"",MAX(0,MIN(100,100*(MIN(MAX(City_Inputs!$AJ18,Norm_Stats!$F$23),Norm_Stats!$G$23)-Norm_Stats!$F$23)/(Norm_Stats!$G$23-Norm_Stats!$F$23)))))="",0,0.2)))</f>
        <v/>
      </c>
      <c r="BA18" s="11">
        <f>IF(OR(City_Inputs!$AG18="",Norm_Stats!$F$24="",Norm_Stats!$G$24="",Norm_Stats!$G$24=Norm_Stats!$F$24),"",MAX(0,MIN(100,100*(Norm_Stats!$G$24-MIN(MAX(City_Inputs!$AG18,Norm_Stats!$F$24),Norm_Stats!$G$24))/(Norm_Stats!$G$24-Norm_Stats!$F$24))))</f>
        <v/>
      </c>
      <c r="BB18" s="14">
        <f>IF(BA18="","",1)</f>
        <v/>
      </c>
      <c r="BC18" s="15">
        <f>IF((IF(AU18="",0,6)+IF(AW18="",0,5)+IF(AY18="",0,5)+IF(BA18="",0,4))=0,"",(IF(AU18="",0,AU18*6)+IF(AW18="",0,AW18*5)+IF(AY18="",0,AY18*5)+IF(BA18="",0,BA18*4))/(IF(AU18="",0,6)+IF(AW18="",0,5)+IF(AY18="",0,5)+IF(BA18="",0,4)))</f>
        <v/>
      </c>
      <c r="BD18" s="14">
        <f>IF((IF(AV18="",0,6)+IF(AX18="",0,5)+IF(AZ18="",0,5)+IF(BB18="",0,4))=0,"",(IF(AV18="",0,AV18*6)+IF(AX18="",0,AX18*5)+IF(AZ18="",0,AZ18*5)+IF(BB18="",0,BB18*4))/20)</f>
        <v/>
      </c>
      <c r="BE18" s="14">
        <f>IF(AND(R18="",AD18="",AL18="",AT18="",BD18=""),"",((R18*25)+(AD18*22)+(AL18*18)+(AT18*15)+(BD18*20))/100)</f>
        <v/>
      </c>
      <c r="BF18" s="11">
        <f>IF(BE18="","",IF(BE18&gt;=0.75,"A",IF(BE18&gt;=0.5,"B",IF(BE18&gt;=0.35,"C","Watchlist"))))</f>
        <v/>
      </c>
      <c r="BG18" s="11">
        <f>IF(OR(BE18="",BE18&lt;0.5,R18="",R18&lt;0.35,AD18="",AD18&lt;0.35,AL18="",AL18&lt;0.35,AT18="",AT18&lt;0.35,BD18="",BD18&lt;0.35),"Watchlist","Ranked")</f>
        <v/>
      </c>
      <c r="BH18" s="15">
        <f>IF(AND(Q18="",AC18="",AK18="",AS18="",BC18=""),"",(IF(Q18="",0,Q18*25)+IF(AC18="",0,AC18*22)+IF(AK18="",0,AK18*18)+IF(AS18="",0,AS18*15)+IF(BC18="",0,BC18*20))/(IF(Q18="",0,25)+IF(AC18="",0,22)+IF(AK18="",0,18)+IF(AS18="",0,15)+IF(BC18="",0,20)))</f>
        <v/>
      </c>
      <c r="BI18" s="11">
        <f>IF(BG18="Ranked",1+COUNTIFS($BG$2:$BG$101,"Ranked",$BH$2:$BH$101,"&gt;"&amp;BH18),"")</f>
        <v/>
      </c>
      <c r="BJ18" s="11">
        <f>City_Inputs!$AH18</f>
        <v/>
      </c>
    </row>
    <row r="19">
      <c r="A19" t="inlineStr">
        <is>
          <t>jp-kobe</t>
        </is>
      </c>
      <c r="B19" t="inlineStr">
        <is>
          <t>Kobe</t>
        </is>
      </c>
      <c r="C19" t="inlineStr">
        <is>
          <t>Japan</t>
        </is>
      </c>
      <c r="D19" t="inlineStr">
        <is>
          <t>East Asia</t>
        </is>
      </c>
      <c r="E19" t="inlineStr">
        <is>
          <t>locked</t>
        </is>
      </c>
      <c r="F19" t="inlineStr">
        <is>
          <t>secondary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IF((IF(G19="",0,9)+IF(I19="",0,5)+IF(K19="",0,4)+IF(M19="",0,4)+IF(O19="",0,3))=0,"",(IF(G19="",0,G19*9)+IF(I19="",0,I19*5)+IF(K19="",0,K19*4)+IF(M19="",0,M19*4)+IF(O19="",0,O19*3))/(IF(G19="",0,9)+IF(I19="",0,5)+IF(K19="",0,4)+IF(M19="",0,4)+IF(O19="",0,3)))</f>
        <v/>
      </c>
      <c r="R19" s="14">
        <f>IF((IF(H19="",0,9)+IF(J19="",0,5)+IF(L19="",0,4)+IF(N19="",0,4)+IF(P19="",0,3))=0,"",(IF(H19="",0,H19*9)+IF(J19="",0,J19*5)+IF(L19="",0,L19*4)+IF(N19="",0,N19*4)+IF(P19="",0,P19*3))/25)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5">
        <f>IF((IF(S19="",0,5)+IF(U19="",0,5)+IF(W19="",0,4)+IF(Y19="",0,4)+IF(AA19="",0,4))=0,"",(IF(S19="",0,S19*5)+IF(U19="",0,U19*5)+IF(W19="",0,W19*4)+IF(Y19="",0,Y19*4)+IF(AA19="",0,AA19*4))/(IF(S19="",0,5)+IF(U19="",0,5)+IF(W19="",0,4)+IF(Y19="",0,4)+IF(AA19="",0,4)))</f>
        <v/>
      </c>
      <c r="AD19" s="14">
        <f>IF((IF(T19="",0,5)+IF(V19="",0,5)+IF(X19="",0,4)+IF(Z19="",0,4)+IF(AB19="",0,4))=0,"",(IF(T19="",0,T19*5)+IF(V19="",0,V19*5)+IF(X19="",0,X19*4)+IF(Z19="",0,Z19*4)+IF(AB19="",0,AB19*4))/22)</f>
        <v/>
      </c>
      <c r="AE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F19" s="14">
        <f>IF(AE19="","",1)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(IF((IF(OR(City_Inputs!$Z19="",Norm_Stats!$F$14="",Norm_Stats!$G$14="",Norm_Stats!$G$14=Norm_Stats!$F$14),"",MAX(0,MIN(100,100*(MIN(MAX(City_Inputs!$Z19,Norm_Stats!$F$14),Norm_Stats!$G$14)-Norm_Stats!$F$14)/(Norm_Stats!$G$14-Norm_Stats!$F$14)))))="",0,0.7)+IF((IF(OR(City_Inputs!$AK19="",Norm_Stats!$F$15="",Norm_Stats!$G$15="",Norm_Stats!$G$15=Norm_Stats!$F$15),"",MAX(0,MIN(100,100*(Norm_Stats!$G$15-MIN(MAX(City_Inputs!$AK19,Norm_Stats!$F$15),Norm_Stats!$G$15))/(Norm_Stats!$G$15-Norm_Stats!$F$15)))))="",0,0.3))=0,"",(IF((IF(OR(City_Inputs!$Z19="",Norm_Stats!$F$14="",Norm_Stats!$G$14="",Norm_Stats!$G$14=Norm_Stats!$F$14),"",MAX(0,MIN(100,100*(MIN(MAX(City_Inputs!$Z19,Norm_Stats!$F$14),Norm_Stats!$G$14)-Norm_Stats!$F$14)/(Norm_Stats!$G$14-Norm_Stats!$F$14)))))="",0,(IF(OR(City_Inputs!$Z19="",Norm_Stats!$F$14="",Norm_Stats!$G$14="",Norm_Stats!$G$14=Norm_Stats!$F$14),"",MAX(0,MIN(100,100*(MIN(MAX(City_Inputs!$Z19,Norm_Stats!$F$14),Norm_Stats!$G$14)-Norm_Stats!$F$14)/(Norm_Stats!$G$14-Norm_Stats!$F$14)))))*0.7)+IF((IF(OR(City_Inputs!$AK19="",Norm_Stats!$F$15="",Norm_Stats!$G$15="",Norm_Stats!$G$15=Norm_Stats!$F$15),"",MAX(0,MIN(100,100*(Norm_Stats!$G$15-MIN(MAX(City_Inputs!$AK19,Norm_Stats!$F$15),Norm_Stats!$G$15))/(Norm_Stats!$G$15-Norm_Stats!$F$15)))))="",0,(IF(OR(City_Inputs!$AK19="",Norm_Stats!$F$15="",Norm_Stats!$G$15="",Norm_Stats!$G$15=Norm_Stats!$F$15),"",MAX(0,MIN(100,100*(Norm_Stats!$G$15-MIN(MAX(City_Inputs!$AK19,Norm_Stats!$F$15),Norm_Stats!$G$15))/(Norm_Stats!$G$15-Norm_Stats!$F$15)))))*0.3))/(IF((IF(OR(City_Inputs!$Z19="",Norm_Stats!$F$14="",Norm_Stats!$G$14="",Norm_Stats!$G$14=Norm_Stats!$F$14),"",MAX(0,MIN(100,100*(MIN(MAX(City_Inputs!$Z19,Norm_Stats!$F$14),Norm_Stats!$G$14)-Norm_Stats!$F$14)/(Norm_Stats!$G$14-Norm_Stats!$F$14)))))="",0,0.7)+IF((IF(OR(City_Inputs!$AK19="",Norm_Stats!$F$15="",Norm_Stats!$G$15="",Norm_Stats!$G$15=Norm_Stats!$F$15),"",MAX(0,MIN(100,100*(Norm_Stats!$G$15-MIN(MAX(City_Inputs!$AK19,Norm_Stats!$F$15),Norm_Stats!$G$15))/(Norm_Stats!$G$15-Norm_Stats!$F$15)))))="",0,0.3)))</f>
        <v/>
      </c>
      <c r="AJ19" s="14">
        <f>IF((IF((IF(OR(City_Inputs!$Z19="",Norm_Stats!$F$14="",Norm_Stats!$G$14="",Norm_Stats!$G$14=Norm_Stats!$F$14),"",MAX(0,MIN(100,100*(MIN(MAX(City_Inputs!$Z19,Norm_Stats!$F$14),Norm_Stats!$G$14)-Norm_Stats!$F$14)/(Norm_Stats!$G$14-Norm_Stats!$F$14)))))="",0,0.7)+IF((IF(OR(City_Inputs!$AK19="",Norm_Stats!$F$15="",Norm_Stats!$G$15="",Norm_Stats!$G$15=Norm_Stats!$F$15),"",MAX(0,MIN(100,100*(Norm_Stats!$G$15-MIN(MAX(City_Inputs!$AK19,Norm_Stats!$F$15),Norm_Stats!$G$15))/(Norm_Stats!$G$15-Norm_Stats!$F$15)))))="",0,0.3))=0,"",(IF((IF(OR(City_Inputs!$Z19="",Norm_Stats!$F$14="",Norm_Stats!$G$14="",Norm_Stats!$G$14=Norm_Stats!$F$14),"",MAX(0,MIN(100,100*(MIN(MAX(City_Inputs!$Z19,Norm_Stats!$F$14),Norm_Stats!$G$14)-Norm_Stats!$F$14)/(Norm_Stats!$G$14-Norm_Stats!$F$14)))))="",0,0.7)+IF((IF(OR(City_Inputs!$AK19="",Norm_Stats!$F$15="",Norm_Stats!$G$15="",Norm_Stats!$G$15=Norm_Stats!$F$15),"",MAX(0,MIN(100,100*(Norm_Stats!$G$15-MIN(MAX(City_Inputs!$AK19,Norm_Stats!$F$15),Norm_Stats!$G$15))/(Norm_Stats!$G$15-Norm_Stats!$F$15)))))="",0,0.3)))</f>
        <v/>
      </c>
      <c r="AK19" s="15">
        <f>IF((IF(AE19="",0,8)+IF(AG19="",0,6)+IF(AI19="",0,4))=0,"",(IF(AE19="",0,AE19*8)+IF(AG19="",0,AG19*6)+IF(AI19="",0,AI19*4))/(IF(AE19="",0,8)+IF(AG19="",0,6)+IF(AI19="",0,4)))</f>
        <v/>
      </c>
      <c r="AL19" s="14">
        <f>IF((IF(AF19="",0,8)+IF(AH19="",0,6)+IF(AJ19="",0,4))=0,"",(IF(AF19="",0,AF19*8)+IF(AH19="",0,AH19*6)+IF(AJ19="",0,AJ19*4))/18)</f>
        <v/>
      </c>
      <c r="AM19" s="11">
        <f>IF(OR(City_Inputs!$AA19="",Norm_Stats!$F$16="",Norm_Stats!$G$16="",Norm_Stats!$G$16=Norm_Stats!$F$16),"",MAX(0,MIN(100,100*(MIN(MAX(City_Inputs!$AA19,Norm_Stats!$F$16),Norm_Stats!$G$16)-Norm_Stats!$F$16)/(Norm_Stats!$G$16-Norm_Stats!$F$16))))</f>
        <v/>
      </c>
      <c r="AN19" s="14">
        <f>IF(AM19="","",1)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5">
        <f>IF((IF(AM19="",0,5)+IF(AO19="",0,5)+IF(AQ19="",0,5))=0,"",(IF(AM19="",0,AM19*5)+IF(AO19="",0,AO19*5)+IF(AQ19="",0,AQ19*5))/(IF(AM19="",0,5)+IF(AO19="",0,5)+IF(AQ19="",0,5)))</f>
        <v/>
      </c>
      <c r="AT19" s="14">
        <f>IF((IF(AN19="",0,5)+IF(AP19="",0,5)+IF(AR19="",0,5))=0,"",(IF(AN19="",0,AN19*5)+IF(AP19="",0,AP19*5)+IF(AR19="",0,AR19*5))/15)</f>
        <v/>
      </c>
      <c r="AU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V19" s="14">
        <f>IF(AU19="","",1)</f>
        <v/>
      </c>
      <c r="AW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X19" s="14">
        <f>IF(AW19="","",1)</f>
        <v/>
      </c>
      <c r="AY19" s="11">
        <f>IF((IF((IF(OR(City_Inputs!$AF19="",Norm_Stats!$F$21="",Norm_Stats!$G$21="",Norm_Stats!$G$21=Norm_Stats!$F$21),"",MAX(0,MIN(100,100*(MIN(MAX(City_Inputs!$AF19,Norm_Stats!$F$21),Norm_Stats!$G$21)-Norm_Stats!$F$21)/(Norm_Stats!$G$21-Norm_Stats!$F$21)))))="",0,0.5)+IF((IF(OR(City_Inputs!$AI19="",Norm_Stats!$F$22="",Norm_Stats!$G$22="",Norm_Stats!$G$22=Norm_Stats!$F$22),"",MAX(0,MIN(100,100*(MIN(MAX(City_Inputs!$AI19,Norm_Stats!$F$22),Norm_Stats!$G$22)-Norm_Stats!$F$22)/(Norm_Stats!$G$22-Norm_Stats!$F$22)))))="",0,0.3)+IF((IF(OR(City_Inputs!$AJ19="",Norm_Stats!$F$23="",Norm_Stats!$G$23="",Norm_Stats!$G$23=Norm_Stats!$F$23),"",MAX(0,MIN(100,100*(MIN(MAX(City_Inputs!$AJ19,Norm_Stats!$F$23),Norm_Stats!$G$23)-Norm_Stats!$F$23)/(Norm_Stats!$G$23-Norm_Stats!$F$23)))))="",0,0.2))=0,"",(IF((IF(OR(City_Inputs!$AF19="",Norm_Stats!$F$21="",Norm_Stats!$G$21="",Norm_Stats!$G$21=Norm_Stats!$F$21),"",MAX(0,MIN(100,100*(MIN(MAX(City_Inputs!$AF19,Norm_Stats!$F$21),Norm_Stats!$G$21)-Norm_Stats!$F$21)/(Norm_Stats!$G$21-Norm_Stats!$F$21)))))="",0,(IF(OR(City_Inputs!$AF19="",Norm_Stats!$F$21="",Norm_Stats!$G$21="",Norm_Stats!$G$21=Norm_Stats!$F$21),"",MAX(0,MIN(100,100*(MIN(MAX(City_Inputs!$AF19,Norm_Stats!$F$21),Norm_Stats!$G$21)-Norm_Stats!$F$21)/(Norm_Stats!$G$21-Norm_Stats!$F$21)))))*0.5)+IF((IF(OR(City_Inputs!$AI19="",Norm_Stats!$F$22="",Norm_Stats!$G$22="",Norm_Stats!$G$22=Norm_Stats!$F$22),"",MAX(0,MIN(100,100*(MIN(MAX(City_Inputs!$AI19,Norm_Stats!$F$22),Norm_Stats!$G$22)-Norm_Stats!$F$22)/(Norm_Stats!$G$22-Norm_Stats!$F$22)))))="",0,(IF(OR(City_Inputs!$AI19="",Norm_Stats!$F$22="",Norm_Stats!$G$22="",Norm_Stats!$G$22=Norm_Stats!$F$22),"",MAX(0,MIN(100,100*(MIN(MAX(City_Inputs!$AI19,Norm_Stats!$F$22),Norm_Stats!$G$22)-Norm_Stats!$F$22)/(Norm_Stats!$G$22-Norm_Stats!$F$22)))))*0.3)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0.2))/(IF((IF(OR(City_Inputs!$AF19="",Norm_Stats!$F$21="",Norm_Stats!$G$21="",Norm_Stats!$G$21=Norm_Stats!$F$21),"",MAX(0,MIN(100,100*(MIN(MAX(City_Inputs!$AF19,Norm_Stats!$F$21),Norm_Stats!$G$21)-Norm_Stats!$F$21)/(Norm_Stats!$G$21-Norm_Stats!$F$21)))))="",0,0.5)+IF((IF(OR(City_Inputs!$AI19="",Norm_Stats!$F$22="",Norm_Stats!$G$22="",Norm_Stats!$G$22=Norm_Stats!$F$22),"",MAX(0,MIN(100,100*(MIN(MAX(City_Inputs!$AI19,Norm_Stats!$F$22),Norm_Stats!$G$22)-Norm_Stats!$F$22)/(Norm_Stats!$G$22-Norm_Stats!$F$22)))))="",0,0.3)+IF((IF(OR(City_Inputs!$AJ19="",Norm_Stats!$F$23="",Norm_Stats!$G$23="",Norm_Stats!$G$23=Norm_Stats!$F$23),"",MAX(0,MIN(100,100*(MIN(MAX(City_Inputs!$AJ19,Norm_Stats!$F$23),Norm_Stats!$G$23)-Norm_Stats!$F$23)/(Norm_Stats!$G$23-Norm_Stats!$F$23)))))="",0,0.2)))</f>
        <v/>
      </c>
      <c r="AZ19" s="14">
        <f>IF((IF((IF(OR(City_Inputs!$AF19="",Norm_Stats!$F$21="",Norm_Stats!$G$21="",Norm_Stats!$G$21=Norm_Stats!$F$21),"",MAX(0,MIN(100,100*(MIN(MAX(City_Inputs!$AF19,Norm_Stats!$F$21),Norm_Stats!$G$21)-Norm_Stats!$F$21)/(Norm_Stats!$G$21-Norm_Stats!$F$21)))))="",0,0.5)+IF((IF(OR(City_Inputs!$AI19="",Norm_Stats!$F$22="",Norm_Stats!$G$22="",Norm_Stats!$G$22=Norm_Stats!$F$22),"",MAX(0,MIN(100,100*(MIN(MAX(City_Inputs!$AI19,Norm_Stats!$F$22),Norm_Stats!$G$22)-Norm_Stats!$F$22)/(Norm_Stats!$G$22-Norm_Stats!$F$22)))))="",0,0.3)+IF((IF(OR(City_Inputs!$AJ19="",Norm_Stats!$F$23="",Norm_Stats!$G$23="",Norm_Stats!$G$23=Norm_Stats!$F$23),"",MAX(0,MIN(100,100*(MIN(MAX(City_Inputs!$AJ19,Norm_Stats!$F$23),Norm_Stats!$G$23)-Norm_Stats!$F$23)/(Norm_Stats!$G$23-Norm_Stats!$F$23)))))="",0,0.2))=0,"",(IF((IF(OR(City_Inputs!$AF19="",Norm_Stats!$F$21="",Norm_Stats!$G$21="",Norm_Stats!$G$21=Norm_Stats!$F$21),"",MAX(0,MIN(100,100*(MIN(MAX(City_Inputs!$AF19,Norm_Stats!$F$21),Norm_Stats!$G$21)-Norm_Stats!$F$21)/(Norm_Stats!$G$21-Norm_Stats!$F$21)))))="",0,0.5)+IF((IF(OR(City_Inputs!$AI19="",Norm_Stats!$F$22="",Norm_Stats!$G$22="",Norm_Stats!$G$22=Norm_Stats!$F$22),"",MAX(0,MIN(100,100*(MIN(MAX(City_Inputs!$AI19,Norm_Stats!$F$22),Norm_Stats!$G$22)-Norm_Stats!$F$22)/(Norm_Stats!$G$22-Norm_Stats!$F$22)))))="",0,0.3)+IF((IF(OR(City_Inputs!$AJ19="",Norm_Stats!$F$23="",Norm_Stats!$G$23="",Norm_Stats!$G$23=Norm_Stats!$F$23),"",MAX(0,MIN(100,100*(MIN(MAX(City_Inputs!$AJ19,Norm_Stats!$F$23),Norm_Stats!$G$23)-Norm_Stats!$F$23)/(Norm_Stats!$G$23-Norm_Stats!$F$23)))))="",0,0.2)))</f>
        <v/>
      </c>
      <c r="BA19" s="11">
        <f>IF(OR(City_Inputs!$AG19="",Norm_Stats!$F$24="",Norm_Stats!$G$24="",Norm_Stats!$G$24=Norm_Stats!$F$24),"",MAX(0,MIN(100,100*(Norm_Stats!$G$24-MIN(MAX(City_Inputs!$AG19,Norm_Stats!$F$24),Norm_Stats!$G$24))/(Norm_Stats!$G$24-Norm_Stats!$F$24))))</f>
        <v/>
      </c>
      <c r="BB19" s="14">
        <f>IF(BA19="","",1)</f>
        <v/>
      </c>
      <c r="BC19" s="15">
        <f>IF((IF(AU19="",0,6)+IF(AW19="",0,5)+IF(AY19="",0,5)+IF(BA19="",0,4))=0,"",(IF(AU19="",0,AU19*6)+IF(AW19="",0,AW19*5)+IF(AY19="",0,AY19*5)+IF(BA19="",0,BA19*4))/(IF(AU19="",0,6)+IF(AW19="",0,5)+IF(AY19="",0,5)+IF(BA19="",0,4)))</f>
        <v/>
      </c>
      <c r="BD19" s="14">
        <f>IF((IF(AV19="",0,6)+IF(AX19="",0,5)+IF(AZ19="",0,5)+IF(BB19="",0,4))=0,"",(IF(AV19="",0,AV19*6)+IF(AX19="",0,AX19*5)+IF(AZ19="",0,AZ19*5)+IF(BB19="",0,BB19*4))/20)</f>
        <v/>
      </c>
      <c r="BE19" s="14">
        <f>IF(AND(R19="",AD19="",AL19="",AT19="",BD19=""),"",((R19*25)+(AD19*22)+(AL19*18)+(AT19*15)+(BD19*20))/100)</f>
        <v/>
      </c>
      <c r="BF19" s="11">
        <f>IF(BE19="","",IF(BE19&gt;=0.75,"A",IF(BE19&gt;=0.5,"B",IF(BE19&gt;=0.35,"C","Watchlist"))))</f>
        <v/>
      </c>
      <c r="BG19" s="11">
        <f>IF(OR(BE19="",BE19&lt;0.5,R19="",R19&lt;0.35,AD19="",AD19&lt;0.35,AL19="",AL19&lt;0.35,AT19="",AT19&lt;0.35,BD19="",BD19&lt;0.35),"Watchlist","Ranked")</f>
        <v/>
      </c>
      <c r="BH19" s="15">
        <f>IF(AND(Q19="",AC19="",AK19="",AS19="",BC19=""),"",(IF(Q19="",0,Q19*25)+IF(AC19="",0,AC19*22)+IF(AK19="",0,AK19*18)+IF(AS19="",0,AS19*15)+IF(BC19="",0,BC19*20))/(IF(Q19="",0,25)+IF(AC19="",0,22)+IF(AK19="",0,18)+IF(AS19="",0,15)+IF(BC19="",0,20)))</f>
        <v/>
      </c>
      <c r="BI19" s="11">
        <f>IF(BG19="Ranked",1+COUNTIFS($BG$2:$BG$101,"Ranked",$BH$2:$BH$101,"&gt;"&amp;BH19),"")</f>
        <v/>
      </c>
      <c r="BJ19" s="11">
        <f>City_Inputs!$AH19</f>
        <v/>
      </c>
    </row>
    <row r="20">
      <c r="A20" t="inlineStr">
        <is>
          <t>jp-sapporo</t>
        </is>
      </c>
      <c r="B20" t="inlineStr">
        <is>
          <t>Sapporo</t>
        </is>
      </c>
      <c r="C20" t="inlineStr">
        <is>
          <t>Japan</t>
        </is>
      </c>
      <c r="D20" t="inlineStr">
        <is>
          <t>East Asia</t>
        </is>
      </c>
      <c r="E20" t="inlineStr">
        <is>
          <t>locked</t>
        </is>
      </c>
      <c r="F20" t="inlineStr">
        <is>
          <t>secondary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IF((IF(G20="",0,9)+IF(I20="",0,5)+IF(K20="",0,4)+IF(M20="",0,4)+IF(O20="",0,3))=0,"",(IF(G20="",0,G20*9)+IF(I20="",0,I20*5)+IF(K20="",0,K20*4)+IF(M20="",0,M20*4)+IF(O20="",0,O20*3))/(IF(G20="",0,9)+IF(I20="",0,5)+IF(K20="",0,4)+IF(M20="",0,4)+IF(O20="",0,3)))</f>
        <v/>
      </c>
      <c r="R20" s="14">
        <f>IF((IF(H20="",0,9)+IF(J20="",0,5)+IF(L20="",0,4)+IF(N20="",0,4)+IF(P20="",0,3))=0,"",(IF(H20="",0,H20*9)+IF(J20="",0,J20*5)+IF(L20="",0,L20*4)+IF(N20="",0,N20*4)+IF(P20="",0,P20*3))/25)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5">
        <f>IF((IF(S20="",0,5)+IF(U20="",0,5)+IF(W20="",0,4)+IF(Y20="",0,4)+IF(AA20="",0,4))=0,"",(IF(S20="",0,S20*5)+IF(U20="",0,U20*5)+IF(W20="",0,W20*4)+IF(Y20="",0,Y20*4)+IF(AA20="",0,AA20*4))/(IF(S20="",0,5)+IF(U20="",0,5)+IF(W20="",0,4)+IF(Y20="",0,4)+IF(AA20="",0,4)))</f>
        <v/>
      </c>
      <c r="AD20" s="14">
        <f>IF((IF(T20="",0,5)+IF(V20="",0,5)+IF(X20="",0,4)+IF(Z20="",0,4)+IF(AB20="",0,4))=0,"",(IF(T20="",0,T20*5)+IF(V20="",0,V20*5)+IF(X20="",0,X20*4)+IF(Z20="",0,Z20*4)+IF(AB20="",0,AB20*4))/22)</f>
        <v/>
      </c>
      <c r="AE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F20" s="14">
        <f>IF(AE20="","",1)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(IF((IF(OR(City_Inputs!$Z20="",Norm_Stats!$F$14="",Norm_Stats!$G$14="",Norm_Stats!$G$14=Norm_Stats!$F$14),"",MAX(0,MIN(100,100*(MIN(MAX(City_Inputs!$Z20,Norm_Stats!$F$14),Norm_Stats!$G$14)-Norm_Stats!$F$14)/(Norm_Stats!$G$14-Norm_Stats!$F$14)))))="",0,0.7)+IF((IF(OR(City_Inputs!$AK20="",Norm_Stats!$F$15="",Norm_Stats!$G$15="",Norm_Stats!$G$15=Norm_Stats!$F$15),"",MAX(0,MIN(100,100*(Norm_Stats!$G$15-MIN(MAX(City_Inputs!$AK20,Norm_Stats!$F$15),Norm_Stats!$G$15))/(Norm_Stats!$G$15-Norm_Stats!$F$15)))))="",0,0.3))=0,"",(IF((IF(OR(City_Inputs!$Z20="",Norm_Stats!$F$14="",Norm_Stats!$G$14="",Norm_Stats!$G$14=Norm_Stats!$F$14),"",MAX(0,MIN(100,100*(MIN(MAX(City_Inputs!$Z20,Norm_Stats!$F$14),Norm_Stats!$G$14)-Norm_Stats!$F$14)/(Norm_Stats!$G$14-Norm_Stats!$F$14)))))="",0,(IF(OR(City_Inputs!$Z20="",Norm_Stats!$F$14="",Norm_Stats!$G$14="",Norm_Stats!$G$14=Norm_Stats!$F$14),"",MAX(0,MIN(100,100*(MIN(MAX(City_Inputs!$Z20,Norm_Stats!$F$14),Norm_Stats!$G$14)-Norm_Stats!$F$14)/(Norm_Stats!$G$14-Norm_Stats!$F$14)))))*0.7)+IF((IF(OR(City_Inputs!$AK20="",Norm_Stats!$F$15="",Norm_Stats!$G$15="",Norm_Stats!$G$15=Norm_Stats!$F$15),"",MAX(0,MIN(100,100*(Norm_Stats!$G$15-MIN(MAX(City_Inputs!$AK20,Norm_Stats!$F$15),Norm_Stats!$G$15))/(Norm_Stats!$G$15-Norm_Stats!$F$15)))))="",0,(IF(OR(City_Inputs!$AK20="",Norm_Stats!$F$15="",Norm_Stats!$G$15="",Norm_Stats!$G$15=Norm_Stats!$F$15),"",MAX(0,MIN(100,100*(Norm_Stats!$G$15-MIN(MAX(City_Inputs!$AK20,Norm_Stats!$F$15),Norm_Stats!$G$15))/(Norm_Stats!$G$15-Norm_Stats!$F$15)))))*0.3))/(IF((IF(OR(City_Inputs!$Z20="",Norm_Stats!$F$14="",Norm_Stats!$G$14="",Norm_Stats!$G$14=Norm_Stats!$F$14),"",MAX(0,MIN(100,100*(MIN(MAX(City_Inputs!$Z20,Norm_Stats!$F$14),Norm_Stats!$G$14)-Norm_Stats!$F$14)/(Norm_Stats!$G$14-Norm_Stats!$F$14)))))="",0,0.7)+IF((IF(OR(City_Inputs!$AK20="",Norm_Stats!$F$15="",Norm_Stats!$G$15="",Norm_Stats!$G$15=Norm_Stats!$F$15),"",MAX(0,MIN(100,100*(Norm_Stats!$G$15-MIN(MAX(City_Inputs!$AK20,Norm_Stats!$F$15),Norm_Stats!$G$15))/(Norm_Stats!$G$15-Norm_Stats!$F$15)))))="",0,0.3)))</f>
        <v/>
      </c>
      <c r="AJ20" s="14">
        <f>IF((IF((IF(OR(City_Inputs!$Z20="",Norm_Stats!$F$14="",Norm_Stats!$G$14="",Norm_Stats!$G$14=Norm_Stats!$F$14),"",MAX(0,MIN(100,100*(MIN(MAX(City_Inputs!$Z20,Norm_Stats!$F$14),Norm_Stats!$G$14)-Norm_Stats!$F$14)/(Norm_Stats!$G$14-Norm_Stats!$F$14)))))="",0,0.7)+IF((IF(OR(City_Inputs!$AK20="",Norm_Stats!$F$15="",Norm_Stats!$G$15="",Norm_Stats!$G$15=Norm_Stats!$F$15),"",MAX(0,MIN(100,100*(Norm_Stats!$G$15-MIN(MAX(City_Inputs!$AK20,Norm_Stats!$F$15),Norm_Stats!$G$15))/(Norm_Stats!$G$15-Norm_Stats!$F$15)))))="",0,0.3))=0,"",(IF((IF(OR(City_Inputs!$Z20="",Norm_Stats!$F$14="",Norm_Stats!$G$14="",Norm_Stats!$G$14=Norm_Stats!$F$14),"",MAX(0,MIN(100,100*(MIN(MAX(City_Inputs!$Z20,Norm_Stats!$F$14),Norm_Stats!$G$14)-Norm_Stats!$F$14)/(Norm_Stats!$G$14-Norm_Stats!$F$14)))))="",0,0.7)+IF((IF(OR(City_Inputs!$AK20="",Norm_Stats!$F$15="",Norm_Stats!$G$15="",Norm_Stats!$G$15=Norm_Stats!$F$15),"",MAX(0,MIN(100,100*(Norm_Stats!$G$15-MIN(MAX(City_Inputs!$AK20,Norm_Stats!$F$15),Norm_Stats!$G$15))/(Norm_Stats!$G$15-Norm_Stats!$F$15)))))="",0,0.3)))</f>
        <v/>
      </c>
      <c r="AK20" s="15">
        <f>IF((IF(AE20="",0,8)+IF(AG20="",0,6)+IF(AI20="",0,4))=0,"",(IF(AE20="",0,AE20*8)+IF(AG20="",0,AG20*6)+IF(AI20="",0,AI20*4))/(IF(AE20="",0,8)+IF(AG20="",0,6)+IF(AI20="",0,4)))</f>
        <v/>
      </c>
      <c r="AL20" s="14">
        <f>IF((IF(AF20="",0,8)+IF(AH20="",0,6)+IF(AJ20="",0,4))=0,"",(IF(AF20="",0,AF20*8)+IF(AH20="",0,AH20*6)+IF(AJ20="",0,AJ20*4))/18)</f>
        <v/>
      </c>
      <c r="AM20" s="11">
        <f>IF(OR(City_Inputs!$AA20="",Norm_Stats!$F$16="",Norm_Stats!$G$16="",Norm_Stats!$G$16=Norm_Stats!$F$16),"",MAX(0,MIN(100,100*(MIN(MAX(City_Inputs!$AA20,Norm_Stats!$F$16),Norm_Stats!$G$16)-Norm_Stats!$F$16)/(Norm_Stats!$G$16-Norm_Stats!$F$16))))</f>
        <v/>
      </c>
      <c r="AN20" s="14">
        <f>IF(AM20="","",1)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5">
        <f>IF((IF(AM20="",0,5)+IF(AO20="",0,5)+IF(AQ20="",0,5))=0,"",(IF(AM20="",0,AM20*5)+IF(AO20="",0,AO20*5)+IF(AQ20="",0,AQ20*5))/(IF(AM20="",0,5)+IF(AO20="",0,5)+IF(AQ20="",0,5)))</f>
        <v/>
      </c>
      <c r="AT20" s="14">
        <f>IF((IF(AN20="",0,5)+IF(AP20="",0,5)+IF(AR20="",0,5))=0,"",(IF(AN20="",0,AN20*5)+IF(AP20="",0,AP20*5)+IF(AR20="",0,AR20*5))/15)</f>
        <v/>
      </c>
      <c r="AU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V20" s="14">
        <f>IF(AU20="","",1)</f>
        <v/>
      </c>
      <c r="AW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X20" s="14">
        <f>IF(AW20="","",1)</f>
        <v/>
      </c>
      <c r="AY20" s="11">
        <f>IF((IF((IF(OR(City_Inputs!$AF20="",Norm_Stats!$F$21="",Norm_Stats!$G$21="",Norm_Stats!$G$21=Norm_Stats!$F$21),"",MAX(0,MIN(100,100*(MIN(MAX(City_Inputs!$AF20,Norm_Stats!$F$21),Norm_Stats!$G$21)-Norm_Stats!$F$21)/(Norm_Stats!$G$21-Norm_Stats!$F$21)))))="",0,0.5)+IF((IF(OR(City_Inputs!$AI20="",Norm_Stats!$F$22="",Norm_Stats!$G$22="",Norm_Stats!$G$22=Norm_Stats!$F$22),"",MAX(0,MIN(100,100*(MIN(MAX(City_Inputs!$AI20,Norm_Stats!$F$22),Norm_Stats!$G$22)-Norm_Stats!$F$22)/(Norm_Stats!$G$22-Norm_Stats!$F$22)))))="",0,0.3)+IF((IF(OR(City_Inputs!$AJ20="",Norm_Stats!$F$23="",Norm_Stats!$G$23="",Norm_Stats!$G$23=Norm_Stats!$F$23),"",MAX(0,MIN(100,100*(MIN(MAX(City_Inputs!$AJ20,Norm_Stats!$F$23),Norm_Stats!$G$23)-Norm_Stats!$F$23)/(Norm_Stats!$G$23-Norm_Stats!$F$23)))))="",0,0.2))=0,"",(IF((IF(OR(City_Inputs!$AF20="",Norm_Stats!$F$21="",Norm_Stats!$G$21="",Norm_Stats!$G$21=Norm_Stats!$F$21),"",MAX(0,MIN(100,100*(MIN(MAX(City_Inputs!$AF20,Norm_Stats!$F$21),Norm_Stats!$G$21)-Norm_Stats!$F$21)/(Norm_Stats!$G$21-Norm_Stats!$F$21)))))="",0,(IF(OR(City_Inputs!$AF20="",Norm_Stats!$F$21="",Norm_Stats!$G$21="",Norm_Stats!$G$21=Norm_Stats!$F$21),"",MAX(0,MIN(100,100*(MIN(MAX(City_Inputs!$AF20,Norm_Stats!$F$21),Norm_Stats!$G$21)-Norm_Stats!$F$21)/(Norm_Stats!$G$21-Norm_Stats!$F$21)))))*0.5)+IF((IF(OR(City_Inputs!$AI20="",Norm_Stats!$F$22="",Norm_Stats!$G$22="",Norm_Stats!$G$22=Norm_Stats!$F$22),"",MAX(0,MIN(100,100*(MIN(MAX(City_Inputs!$AI20,Norm_Stats!$F$22),Norm_Stats!$G$22)-Norm_Stats!$F$22)/(Norm_Stats!$G$22-Norm_Stats!$F$22)))))="",0,(IF(OR(City_Inputs!$AI20="",Norm_Stats!$F$22="",Norm_Stats!$G$22="",Norm_Stats!$G$22=Norm_Stats!$F$22),"",MAX(0,MIN(100,100*(MIN(MAX(City_Inputs!$AI20,Norm_Stats!$F$22),Norm_Stats!$G$22)-Norm_Stats!$F$22)/(Norm_Stats!$G$22-Norm_Stats!$F$22)))))*0.3)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0.2))/(IF((IF(OR(City_Inputs!$AF20="",Norm_Stats!$F$21="",Norm_Stats!$G$21="",Norm_Stats!$G$21=Norm_Stats!$F$21),"",MAX(0,MIN(100,100*(MIN(MAX(City_Inputs!$AF20,Norm_Stats!$F$21),Norm_Stats!$G$21)-Norm_Stats!$F$21)/(Norm_Stats!$G$21-Norm_Stats!$F$21)))))="",0,0.5)+IF((IF(OR(City_Inputs!$AI20="",Norm_Stats!$F$22="",Norm_Stats!$G$22="",Norm_Stats!$G$22=Norm_Stats!$F$22),"",MAX(0,MIN(100,100*(MIN(MAX(City_Inputs!$AI20,Norm_Stats!$F$22),Norm_Stats!$G$22)-Norm_Stats!$F$22)/(Norm_Stats!$G$22-Norm_Stats!$F$22)))))="",0,0.3)+IF((IF(OR(City_Inputs!$AJ20="",Norm_Stats!$F$23="",Norm_Stats!$G$23="",Norm_Stats!$G$23=Norm_Stats!$F$23),"",MAX(0,MIN(100,100*(MIN(MAX(City_Inputs!$AJ20,Norm_Stats!$F$23),Norm_Stats!$G$23)-Norm_Stats!$F$23)/(Norm_Stats!$G$23-Norm_Stats!$F$23)))))="",0,0.2)))</f>
        <v/>
      </c>
      <c r="AZ20" s="14">
        <f>IF((IF((IF(OR(City_Inputs!$AF20="",Norm_Stats!$F$21="",Norm_Stats!$G$21="",Norm_Stats!$G$21=Norm_Stats!$F$21),"",MAX(0,MIN(100,100*(MIN(MAX(City_Inputs!$AF20,Norm_Stats!$F$21),Norm_Stats!$G$21)-Norm_Stats!$F$21)/(Norm_Stats!$G$21-Norm_Stats!$F$21)))))="",0,0.5)+IF((IF(OR(City_Inputs!$AI20="",Norm_Stats!$F$22="",Norm_Stats!$G$22="",Norm_Stats!$G$22=Norm_Stats!$F$22),"",MAX(0,MIN(100,100*(MIN(MAX(City_Inputs!$AI20,Norm_Stats!$F$22),Norm_Stats!$G$22)-Norm_Stats!$F$22)/(Norm_Stats!$G$22-Norm_Stats!$F$22)))))="",0,0.3)+IF((IF(OR(City_Inputs!$AJ20="",Norm_Stats!$F$23="",Norm_Stats!$G$23="",Norm_Stats!$G$23=Norm_Stats!$F$23),"",MAX(0,MIN(100,100*(MIN(MAX(City_Inputs!$AJ20,Norm_Stats!$F$23),Norm_Stats!$G$23)-Norm_Stats!$F$23)/(Norm_Stats!$G$23-Norm_Stats!$F$23)))))="",0,0.2))=0,"",(IF((IF(OR(City_Inputs!$AF20="",Norm_Stats!$F$21="",Norm_Stats!$G$21="",Norm_Stats!$G$21=Norm_Stats!$F$21),"",MAX(0,MIN(100,100*(MIN(MAX(City_Inputs!$AF20,Norm_Stats!$F$21),Norm_Stats!$G$21)-Norm_Stats!$F$21)/(Norm_Stats!$G$21-Norm_Stats!$F$21)))))="",0,0.5)+IF((IF(OR(City_Inputs!$AI20="",Norm_Stats!$F$22="",Norm_Stats!$G$22="",Norm_Stats!$G$22=Norm_Stats!$F$22),"",MAX(0,MIN(100,100*(MIN(MAX(City_Inputs!$AI20,Norm_Stats!$F$22),Norm_Stats!$G$22)-Norm_Stats!$F$22)/(Norm_Stats!$G$22-Norm_Stats!$F$22)))))="",0,0.3)+IF((IF(OR(City_Inputs!$AJ20="",Norm_Stats!$F$23="",Norm_Stats!$G$23="",Norm_Stats!$G$23=Norm_Stats!$F$23),"",MAX(0,MIN(100,100*(MIN(MAX(City_Inputs!$AJ20,Norm_Stats!$F$23),Norm_Stats!$G$23)-Norm_Stats!$F$23)/(Norm_Stats!$G$23-Norm_Stats!$F$23)))))="",0,0.2)))</f>
        <v/>
      </c>
      <c r="BA20" s="11">
        <f>IF(OR(City_Inputs!$AG20="",Norm_Stats!$F$24="",Norm_Stats!$G$24="",Norm_Stats!$G$24=Norm_Stats!$F$24),"",MAX(0,MIN(100,100*(Norm_Stats!$G$24-MIN(MAX(City_Inputs!$AG20,Norm_Stats!$F$24),Norm_Stats!$G$24))/(Norm_Stats!$G$24-Norm_Stats!$F$24))))</f>
        <v/>
      </c>
      <c r="BB20" s="14">
        <f>IF(BA20="","",1)</f>
        <v/>
      </c>
      <c r="BC20" s="15">
        <f>IF((IF(AU20="",0,6)+IF(AW20="",0,5)+IF(AY20="",0,5)+IF(BA20="",0,4))=0,"",(IF(AU20="",0,AU20*6)+IF(AW20="",0,AW20*5)+IF(AY20="",0,AY20*5)+IF(BA20="",0,BA20*4))/(IF(AU20="",0,6)+IF(AW20="",0,5)+IF(AY20="",0,5)+IF(BA20="",0,4)))</f>
        <v/>
      </c>
      <c r="BD20" s="14">
        <f>IF((IF(AV20="",0,6)+IF(AX20="",0,5)+IF(AZ20="",0,5)+IF(BB20="",0,4))=0,"",(IF(AV20="",0,AV20*6)+IF(AX20="",0,AX20*5)+IF(AZ20="",0,AZ20*5)+IF(BB20="",0,BB20*4))/20)</f>
        <v/>
      </c>
      <c r="BE20" s="14">
        <f>IF(AND(R20="",AD20="",AL20="",AT20="",BD20=""),"",((R20*25)+(AD20*22)+(AL20*18)+(AT20*15)+(BD20*20))/100)</f>
        <v/>
      </c>
      <c r="BF20" s="11">
        <f>IF(BE20="","",IF(BE20&gt;=0.75,"A",IF(BE20&gt;=0.5,"B",IF(BE20&gt;=0.35,"C","Watchlist"))))</f>
        <v/>
      </c>
      <c r="BG20" s="11">
        <f>IF(OR(BE20="",BE20&lt;0.5,R20="",R20&lt;0.35,AD20="",AD20&lt;0.35,AL20="",AL20&lt;0.35,AT20="",AT20&lt;0.35,BD20="",BD20&lt;0.35),"Watchlist","Ranked")</f>
        <v/>
      </c>
      <c r="BH20" s="15">
        <f>IF(AND(Q20="",AC20="",AK20="",AS20="",BC20=""),"",(IF(Q20="",0,Q20*25)+IF(AC20="",0,AC20*22)+IF(AK20="",0,AK20*18)+IF(AS20="",0,AS20*15)+IF(BC20="",0,BC20*20))/(IF(Q20="",0,25)+IF(AC20="",0,22)+IF(AK20="",0,18)+IF(AS20="",0,15)+IF(BC20="",0,20)))</f>
        <v/>
      </c>
      <c r="BI20" s="11">
        <f>IF(BG20="Ranked",1+COUNTIFS($BG$2:$BG$101,"Ranked",$BH$2:$BH$101,"&gt;"&amp;BH20),"")</f>
        <v/>
      </c>
      <c r="BJ20" s="11">
        <f>City_Inputs!$AH20</f>
        <v/>
      </c>
    </row>
    <row r="21">
      <c r="A21" t="inlineStr">
        <is>
          <t>cn-tianjin</t>
        </is>
      </c>
      <c r="B21" t="inlineStr">
        <is>
          <t>Tianjin</t>
        </is>
      </c>
      <c r="C21" t="inlineStr">
        <is>
          <t>China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secondary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IF((IF(G21="",0,9)+IF(I21="",0,5)+IF(K21="",0,4)+IF(M21="",0,4)+IF(O21="",0,3))=0,"",(IF(G21="",0,G21*9)+IF(I21="",0,I21*5)+IF(K21="",0,K21*4)+IF(M21="",0,M21*4)+IF(O21="",0,O21*3))/(IF(G21="",0,9)+IF(I21="",0,5)+IF(K21="",0,4)+IF(M21="",0,4)+IF(O21="",0,3)))</f>
        <v/>
      </c>
      <c r="R21" s="14">
        <f>IF((IF(H21="",0,9)+IF(J21="",0,5)+IF(L21="",0,4)+IF(N21="",0,4)+IF(P21="",0,3))=0,"",(IF(H21="",0,H21*9)+IF(J21="",0,J21*5)+IF(L21="",0,L21*4)+IF(N21="",0,N21*4)+IF(P21="",0,P21*3))/25)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5">
        <f>IF((IF(S21="",0,5)+IF(U21="",0,5)+IF(W21="",0,4)+IF(Y21="",0,4)+IF(AA21="",0,4))=0,"",(IF(S21="",0,S21*5)+IF(U21="",0,U21*5)+IF(W21="",0,W21*4)+IF(Y21="",0,Y21*4)+IF(AA21="",0,AA21*4))/(IF(S21="",0,5)+IF(U21="",0,5)+IF(W21="",0,4)+IF(Y21="",0,4)+IF(AA21="",0,4)))</f>
        <v/>
      </c>
      <c r="AD21" s="14">
        <f>IF((IF(T21="",0,5)+IF(V21="",0,5)+IF(X21="",0,4)+IF(Z21="",0,4)+IF(AB21="",0,4))=0,"",(IF(T21="",0,T21*5)+IF(V21="",0,V21*5)+IF(X21="",0,X21*4)+IF(Z21="",0,Z21*4)+IF(AB21="",0,AB21*4))/22)</f>
        <v/>
      </c>
      <c r="AE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F21" s="14">
        <f>IF(AE21="","",1)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(IF((IF(OR(City_Inputs!$Z21="",Norm_Stats!$F$14="",Norm_Stats!$G$14="",Norm_Stats!$G$14=Norm_Stats!$F$14),"",MAX(0,MIN(100,100*(MIN(MAX(City_Inputs!$Z21,Norm_Stats!$F$14),Norm_Stats!$G$14)-Norm_Stats!$F$14)/(Norm_Stats!$G$14-Norm_Stats!$F$14)))))="",0,0.7)+IF((IF(OR(City_Inputs!$AK21="",Norm_Stats!$F$15="",Norm_Stats!$G$15="",Norm_Stats!$G$15=Norm_Stats!$F$15),"",MAX(0,MIN(100,100*(Norm_Stats!$G$15-MIN(MAX(City_Inputs!$AK21,Norm_Stats!$F$15),Norm_Stats!$G$15))/(Norm_Stats!$G$15-Norm_Stats!$F$15)))))="",0,0.3))=0,"",(IF((IF(OR(City_Inputs!$Z21="",Norm_Stats!$F$14="",Norm_Stats!$G$14="",Norm_Stats!$G$14=Norm_Stats!$F$14),"",MAX(0,MIN(100,100*(MIN(MAX(City_Inputs!$Z21,Norm_Stats!$F$14),Norm_Stats!$G$14)-Norm_Stats!$F$14)/(Norm_Stats!$G$14-Norm_Stats!$F$14)))))="",0,(IF(OR(City_Inputs!$Z21="",Norm_Stats!$F$14="",Norm_Stats!$G$14="",Norm_Stats!$G$14=Norm_Stats!$F$14),"",MAX(0,MIN(100,100*(MIN(MAX(City_Inputs!$Z21,Norm_Stats!$F$14),Norm_Stats!$G$14)-Norm_Stats!$F$14)/(Norm_Stats!$G$14-Norm_Stats!$F$14)))))*0.7)+IF((IF(OR(City_Inputs!$AK21="",Norm_Stats!$F$15="",Norm_Stats!$G$15="",Norm_Stats!$G$15=Norm_Stats!$F$15),"",MAX(0,MIN(100,100*(Norm_Stats!$G$15-MIN(MAX(City_Inputs!$AK21,Norm_Stats!$F$15),Norm_Stats!$G$15))/(Norm_Stats!$G$15-Norm_Stats!$F$15)))))="",0,(IF(OR(City_Inputs!$AK21="",Norm_Stats!$F$15="",Norm_Stats!$G$15="",Norm_Stats!$G$15=Norm_Stats!$F$15),"",MAX(0,MIN(100,100*(Norm_Stats!$G$15-MIN(MAX(City_Inputs!$AK21,Norm_Stats!$F$15),Norm_Stats!$G$15))/(Norm_Stats!$G$15-Norm_Stats!$F$15)))))*0.3))/(IF((IF(OR(City_Inputs!$Z21="",Norm_Stats!$F$14="",Norm_Stats!$G$14="",Norm_Stats!$G$14=Norm_Stats!$F$14),"",MAX(0,MIN(100,100*(MIN(MAX(City_Inputs!$Z21,Norm_Stats!$F$14),Norm_Stats!$G$14)-Norm_Stats!$F$14)/(Norm_Stats!$G$14-Norm_Stats!$F$14)))))="",0,0.7)+IF((IF(OR(City_Inputs!$AK21="",Norm_Stats!$F$15="",Norm_Stats!$G$15="",Norm_Stats!$G$15=Norm_Stats!$F$15),"",MAX(0,MIN(100,100*(Norm_Stats!$G$15-MIN(MAX(City_Inputs!$AK21,Norm_Stats!$F$15),Norm_Stats!$G$15))/(Norm_Stats!$G$15-Norm_Stats!$F$15)))))="",0,0.3)))</f>
        <v/>
      </c>
      <c r="AJ21" s="14">
        <f>IF((IF((IF(OR(City_Inputs!$Z21="",Norm_Stats!$F$14="",Norm_Stats!$G$14="",Norm_Stats!$G$14=Norm_Stats!$F$14),"",MAX(0,MIN(100,100*(MIN(MAX(City_Inputs!$Z21,Norm_Stats!$F$14),Norm_Stats!$G$14)-Norm_Stats!$F$14)/(Norm_Stats!$G$14-Norm_Stats!$F$14)))))="",0,0.7)+IF((IF(OR(City_Inputs!$AK21="",Norm_Stats!$F$15="",Norm_Stats!$G$15="",Norm_Stats!$G$15=Norm_Stats!$F$15),"",MAX(0,MIN(100,100*(Norm_Stats!$G$15-MIN(MAX(City_Inputs!$AK21,Norm_Stats!$F$15),Norm_Stats!$G$15))/(Norm_Stats!$G$15-Norm_Stats!$F$15)))))="",0,0.3))=0,"",(IF((IF(OR(City_Inputs!$Z21="",Norm_Stats!$F$14="",Norm_Stats!$G$14="",Norm_Stats!$G$14=Norm_Stats!$F$14),"",MAX(0,MIN(100,100*(MIN(MAX(City_Inputs!$Z21,Norm_Stats!$F$14),Norm_Stats!$G$14)-Norm_Stats!$F$14)/(Norm_Stats!$G$14-Norm_Stats!$F$14)))))="",0,0.7)+IF((IF(OR(City_Inputs!$AK21="",Norm_Stats!$F$15="",Norm_Stats!$G$15="",Norm_Stats!$G$15=Norm_Stats!$F$15),"",MAX(0,MIN(100,100*(Norm_Stats!$G$15-MIN(MAX(City_Inputs!$AK21,Norm_Stats!$F$15),Norm_Stats!$G$15))/(Norm_Stats!$G$15-Norm_Stats!$F$15)))))="",0,0.3)))</f>
        <v/>
      </c>
      <c r="AK21" s="15">
        <f>IF((IF(AE21="",0,8)+IF(AG21="",0,6)+IF(AI21="",0,4))=0,"",(IF(AE21="",0,AE21*8)+IF(AG21="",0,AG21*6)+IF(AI21="",0,AI21*4))/(IF(AE21="",0,8)+IF(AG21="",0,6)+IF(AI21="",0,4)))</f>
        <v/>
      </c>
      <c r="AL21" s="14">
        <f>IF((IF(AF21="",0,8)+IF(AH21="",0,6)+IF(AJ21="",0,4))=0,"",(IF(AF21="",0,AF21*8)+IF(AH21="",0,AH21*6)+IF(AJ21="",0,AJ21*4))/18)</f>
        <v/>
      </c>
      <c r="AM21" s="11">
        <f>IF(OR(City_Inputs!$AA21="",Norm_Stats!$F$16="",Norm_Stats!$G$16="",Norm_Stats!$G$16=Norm_Stats!$F$16),"",MAX(0,MIN(100,100*(MIN(MAX(City_Inputs!$AA21,Norm_Stats!$F$16),Norm_Stats!$G$16)-Norm_Stats!$F$16)/(Norm_Stats!$G$16-Norm_Stats!$F$16))))</f>
        <v/>
      </c>
      <c r="AN21" s="14">
        <f>IF(AM21="","",1)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5">
        <f>IF((IF(AM21="",0,5)+IF(AO21="",0,5)+IF(AQ21="",0,5))=0,"",(IF(AM21="",0,AM21*5)+IF(AO21="",0,AO21*5)+IF(AQ21="",0,AQ21*5))/(IF(AM21="",0,5)+IF(AO21="",0,5)+IF(AQ21="",0,5)))</f>
        <v/>
      </c>
      <c r="AT21" s="14">
        <f>IF((IF(AN21="",0,5)+IF(AP21="",0,5)+IF(AR21="",0,5))=0,"",(IF(AN21="",0,AN21*5)+IF(AP21="",0,AP21*5)+IF(AR21="",0,AR21*5))/15)</f>
        <v/>
      </c>
      <c r="AU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V21" s="14">
        <f>IF(AU21="","",1)</f>
        <v/>
      </c>
      <c r="AW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X21" s="14">
        <f>IF(AW21="","",1)</f>
        <v/>
      </c>
      <c r="AY21" s="11">
        <f>IF((IF((IF(OR(City_Inputs!$AF21="",Norm_Stats!$F$21="",Norm_Stats!$G$21="",Norm_Stats!$G$21=Norm_Stats!$F$21),"",MAX(0,MIN(100,100*(MIN(MAX(City_Inputs!$AF21,Norm_Stats!$F$21),Norm_Stats!$G$21)-Norm_Stats!$F$21)/(Norm_Stats!$G$21-Norm_Stats!$F$21)))))="",0,0.5)+IF((IF(OR(City_Inputs!$AI21="",Norm_Stats!$F$22="",Norm_Stats!$G$22="",Norm_Stats!$G$22=Norm_Stats!$F$22),"",MAX(0,MIN(100,100*(MIN(MAX(City_Inputs!$AI21,Norm_Stats!$F$22),Norm_Stats!$G$22)-Norm_Stats!$F$22)/(Norm_Stats!$G$22-Norm_Stats!$F$22)))))="",0,0.3)+IF((IF(OR(City_Inputs!$AJ21="",Norm_Stats!$F$23="",Norm_Stats!$G$23="",Norm_Stats!$G$23=Norm_Stats!$F$23),"",MAX(0,MIN(100,100*(MIN(MAX(City_Inputs!$AJ21,Norm_Stats!$F$23),Norm_Stats!$G$23)-Norm_Stats!$F$23)/(Norm_Stats!$G$23-Norm_Stats!$F$23)))))="",0,0.2))=0,"",(IF((IF(OR(City_Inputs!$AF21="",Norm_Stats!$F$21="",Norm_Stats!$G$21="",Norm_Stats!$G$21=Norm_Stats!$F$21),"",MAX(0,MIN(100,100*(MIN(MAX(City_Inputs!$AF21,Norm_Stats!$F$21),Norm_Stats!$G$21)-Norm_Stats!$F$21)/(Norm_Stats!$G$21-Norm_Stats!$F$21)))))="",0,(IF(OR(City_Inputs!$AF21="",Norm_Stats!$F$21="",Norm_Stats!$G$21="",Norm_Stats!$G$21=Norm_Stats!$F$21),"",MAX(0,MIN(100,100*(MIN(MAX(City_Inputs!$AF21,Norm_Stats!$F$21),Norm_Stats!$G$21)-Norm_Stats!$F$21)/(Norm_Stats!$G$21-Norm_Stats!$F$21)))))*0.5)+IF((IF(OR(City_Inputs!$AI21="",Norm_Stats!$F$22="",Norm_Stats!$G$22="",Norm_Stats!$G$22=Norm_Stats!$F$22),"",MAX(0,MIN(100,100*(MIN(MAX(City_Inputs!$AI21,Norm_Stats!$F$22),Norm_Stats!$G$22)-Norm_Stats!$F$22)/(Norm_Stats!$G$22-Norm_Stats!$F$22)))))="",0,(IF(OR(City_Inputs!$AI21="",Norm_Stats!$F$22="",Norm_Stats!$G$22="",Norm_Stats!$G$22=Norm_Stats!$F$22),"",MAX(0,MIN(100,100*(MIN(MAX(City_Inputs!$AI21,Norm_Stats!$F$22),Norm_Stats!$G$22)-Norm_Stats!$F$22)/(Norm_Stats!$G$22-Norm_Stats!$F$22)))))*0.3)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0.2))/(IF((IF(OR(City_Inputs!$AF21="",Norm_Stats!$F$21="",Norm_Stats!$G$21="",Norm_Stats!$G$21=Norm_Stats!$F$21),"",MAX(0,MIN(100,100*(MIN(MAX(City_Inputs!$AF21,Norm_Stats!$F$21),Norm_Stats!$G$21)-Norm_Stats!$F$21)/(Norm_Stats!$G$21-Norm_Stats!$F$21)))))="",0,0.5)+IF((IF(OR(City_Inputs!$AI21="",Norm_Stats!$F$22="",Norm_Stats!$G$22="",Norm_Stats!$G$22=Norm_Stats!$F$22),"",MAX(0,MIN(100,100*(MIN(MAX(City_Inputs!$AI21,Norm_Stats!$F$22),Norm_Stats!$G$22)-Norm_Stats!$F$22)/(Norm_Stats!$G$22-Norm_Stats!$F$22)))))="",0,0.3)+IF((IF(OR(City_Inputs!$AJ21="",Norm_Stats!$F$23="",Norm_Stats!$G$23="",Norm_Stats!$G$23=Norm_Stats!$F$23),"",MAX(0,MIN(100,100*(MIN(MAX(City_Inputs!$AJ21,Norm_Stats!$F$23),Norm_Stats!$G$23)-Norm_Stats!$F$23)/(Norm_Stats!$G$23-Norm_Stats!$F$23)))))="",0,0.2)))</f>
        <v/>
      </c>
      <c r="AZ21" s="14">
        <f>IF((IF((IF(OR(City_Inputs!$AF21="",Norm_Stats!$F$21="",Norm_Stats!$G$21="",Norm_Stats!$G$21=Norm_Stats!$F$21),"",MAX(0,MIN(100,100*(MIN(MAX(City_Inputs!$AF21,Norm_Stats!$F$21),Norm_Stats!$G$21)-Norm_Stats!$F$21)/(Norm_Stats!$G$21-Norm_Stats!$F$21)))))="",0,0.5)+IF((IF(OR(City_Inputs!$AI21="",Norm_Stats!$F$22="",Norm_Stats!$G$22="",Norm_Stats!$G$22=Norm_Stats!$F$22),"",MAX(0,MIN(100,100*(MIN(MAX(City_Inputs!$AI21,Norm_Stats!$F$22),Norm_Stats!$G$22)-Norm_Stats!$F$22)/(Norm_Stats!$G$22-Norm_Stats!$F$22)))))="",0,0.3)+IF((IF(OR(City_Inputs!$AJ21="",Norm_Stats!$F$23="",Norm_Stats!$G$23="",Norm_Stats!$G$23=Norm_Stats!$F$23),"",MAX(0,MIN(100,100*(MIN(MAX(City_Inputs!$AJ21,Norm_Stats!$F$23),Norm_Stats!$G$23)-Norm_Stats!$F$23)/(Norm_Stats!$G$23-Norm_Stats!$F$23)))))="",0,0.2))=0,"",(IF((IF(OR(City_Inputs!$AF21="",Norm_Stats!$F$21="",Norm_Stats!$G$21="",Norm_Stats!$G$21=Norm_Stats!$F$21),"",MAX(0,MIN(100,100*(MIN(MAX(City_Inputs!$AF21,Norm_Stats!$F$21),Norm_Stats!$G$21)-Norm_Stats!$F$21)/(Norm_Stats!$G$21-Norm_Stats!$F$21)))))="",0,0.5)+IF((IF(OR(City_Inputs!$AI21="",Norm_Stats!$F$22="",Norm_Stats!$G$22="",Norm_Stats!$G$22=Norm_Stats!$F$22),"",MAX(0,MIN(100,100*(MIN(MAX(City_Inputs!$AI21,Norm_Stats!$F$22),Norm_Stats!$G$22)-Norm_Stats!$F$22)/(Norm_Stats!$G$22-Norm_Stats!$F$22)))))="",0,0.3)+IF((IF(OR(City_Inputs!$AJ21="",Norm_Stats!$F$23="",Norm_Stats!$G$23="",Norm_Stats!$G$23=Norm_Stats!$F$23),"",MAX(0,MIN(100,100*(MIN(MAX(City_Inputs!$AJ21,Norm_Stats!$F$23),Norm_Stats!$G$23)-Norm_Stats!$F$23)/(Norm_Stats!$G$23-Norm_Stats!$F$23)))))="",0,0.2)))</f>
        <v/>
      </c>
      <c r="BA21" s="11">
        <f>IF(OR(City_Inputs!$AG21="",Norm_Stats!$F$24="",Norm_Stats!$G$24="",Norm_Stats!$G$24=Norm_Stats!$F$24),"",MAX(0,MIN(100,100*(Norm_Stats!$G$24-MIN(MAX(City_Inputs!$AG21,Norm_Stats!$F$24),Norm_Stats!$G$24))/(Norm_Stats!$G$24-Norm_Stats!$F$24))))</f>
        <v/>
      </c>
      <c r="BB21" s="14">
        <f>IF(BA21="","",1)</f>
        <v/>
      </c>
      <c r="BC21" s="15">
        <f>IF((IF(AU21="",0,6)+IF(AW21="",0,5)+IF(AY21="",0,5)+IF(BA21="",0,4))=0,"",(IF(AU21="",0,AU21*6)+IF(AW21="",0,AW21*5)+IF(AY21="",0,AY21*5)+IF(BA21="",0,BA21*4))/(IF(AU21="",0,6)+IF(AW21="",0,5)+IF(AY21="",0,5)+IF(BA21="",0,4)))</f>
        <v/>
      </c>
      <c r="BD21" s="14">
        <f>IF((IF(AV21="",0,6)+IF(AX21="",0,5)+IF(AZ21="",0,5)+IF(BB21="",0,4))=0,"",(IF(AV21="",0,AV21*6)+IF(AX21="",0,AX21*5)+IF(AZ21="",0,AZ21*5)+IF(BB21="",0,BB21*4))/20)</f>
        <v/>
      </c>
      <c r="BE21" s="14">
        <f>IF(AND(R21="",AD21="",AL21="",AT21="",BD21=""),"",((R21*25)+(AD21*22)+(AL21*18)+(AT21*15)+(BD21*20))/100)</f>
        <v/>
      </c>
      <c r="BF21" s="11">
        <f>IF(BE21="","",IF(BE21&gt;=0.75,"A",IF(BE21&gt;=0.5,"B",IF(BE21&gt;=0.35,"C","Watchlist"))))</f>
        <v/>
      </c>
      <c r="BG21" s="11">
        <f>IF(OR(BE21="",BE21&lt;0.5,R21="",R21&lt;0.35,AD21="",AD21&lt;0.35,AL21="",AL21&lt;0.35,AT21="",AT21&lt;0.35,BD21="",BD21&lt;0.35),"Watchlist","Ranked")</f>
        <v/>
      </c>
      <c r="BH21" s="15">
        <f>IF(AND(Q21="",AC21="",AK21="",AS21="",BC21=""),"",(IF(Q21="",0,Q21*25)+IF(AC21="",0,AC21*22)+IF(AK21="",0,AK21*18)+IF(AS21="",0,AS21*15)+IF(BC21="",0,BC21*20))/(IF(Q21="",0,25)+IF(AC21="",0,22)+IF(AK21="",0,18)+IF(AS21="",0,15)+IF(BC21="",0,20)))</f>
        <v/>
      </c>
      <c r="BI21" s="11">
        <f>IF(BG21="Ranked",1+COUNTIFS($BG$2:$BG$101,"Ranked",$BH$2:$BH$101,"&gt;"&amp;BH21),"")</f>
        <v/>
      </c>
      <c r="BJ21" s="11">
        <f>City_Inputs!$AH21</f>
        <v/>
      </c>
    </row>
    <row r="22">
      <c r="A22" t="inlineStr">
        <is>
          <t>in-bengaluru</t>
        </is>
      </c>
      <c r="B22" t="inlineStr">
        <is>
          <t>Bengaluru</t>
        </is>
      </c>
      <c r="C22" t="inlineStr">
        <is>
          <t>India</t>
        </is>
      </c>
      <c r="D22" t="inlineStr">
        <is>
          <t>South Asia</t>
        </is>
      </c>
      <c r="E22" t="inlineStr">
        <is>
          <t>locked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IF((IF(G22="",0,9)+IF(I22="",0,5)+IF(K22="",0,4)+IF(M22="",0,4)+IF(O22="",0,3))=0,"",(IF(G22="",0,G22*9)+IF(I22="",0,I22*5)+IF(K22="",0,K22*4)+IF(M22="",0,M22*4)+IF(O22="",0,O22*3))/(IF(G22="",0,9)+IF(I22="",0,5)+IF(K22="",0,4)+IF(M22="",0,4)+IF(O22="",0,3)))</f>
        <v/>
      </c>
      <c r="R22" s="14">
        <f>IF((IF(H22="",0,9)+IF(J22="",0,5)+IF(L22="",0,4)+IF(N22="",0,4)+IF(P22="",0,3))=0,"",(IF(H22="",0,H22*9)+IF(J22="",0,J22*5)+IF(L22="",0,L22*4)+IF(N22="",0,N22*4)+IF(P22="",0,P22*3))/25)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5">
        <f>IF((IF(S22="",0,5)+IF(U22="",0,5)+IF(W22="",0,4)+IF(Y22="",0,4)+IF(AA22="",0,4))=0,"",(IF(S22="",0,S22*5)+IF(U22="",0,U22*5)+IF(W22="",0,W22*4)+IF(Y22="",0,Y22*4)+IF(AA22="",0,AA22*4))/(IF(S22="",0,5)+IF(U22="",0,5)+IF(W22="",0,4)+IF(Y22="",0,4)+IF(AA22="",0,4)))</f>
        <v/>
      </c>
      <c r="AD22" s="14">
        <f>IF((IF(T22="",0,5)+IF(V22="",0,5)+IF(X22="",0,4)+IF(Z22="",0,4)+IF(AB22="",0,4))=0,"",(IF(T22="",0,T22*5)+IF(V22="",0,V22*5)+IF(X22="",0,X22*4)+IF(Z22="",0,Z22*4)+IF(AB22="",0,AB22*4))/22)</f>
        <v/>
      </c>
      <c r="AE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F22" s="14">
        <f>IF(AE22="","",1)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(IF((IF(OR(City_Inputs!$Z22="",Norm_Stats!$F$14="",Norm_Stats!$G$14="",Norm_Stats!$G$14=Norm_Stats!$F$14),"",MAX(0,MIN(100,100*(MIN(MAX(City_Inputs!$Z22,Norm_Stats!$F$14),Norm_Stats!$G$14)-Norm_Stats!$F$14)/(Norm_Stats!$G$14-Norm_Stats!$F$14)))))="",0,0.7)+IF((IF(OR(City_Inputs!$AK22="",Norm_Stats!$F$15="",Norm_Stats!$G$15="",Norm_Stats!$G$15=Norm_Stats!$F$15),"",MAX(0,MIN(100,100*(Norm_Stats!$G$15-MIN(MAX(City_Inputs!$AK22,Norm_Stats!$F$15),Norm_Stats!$G$15))/(Norm_Stats!$G$15-Norm_Stats!$F$15)))))="",0,0.3))=0,"",(IF((IF(OR(City_Inputs!$Z22="",Norm_Stats!$F$14="",Norm_Stats!$G$14="",Norm_Stats!$G$14=Norm_Stats!$F$14),"",MAX(0,MIN(100,100*(MIN(MAX(City_Inputs!$Z22,Norm_Stats!$F$14),Norm_Stats!$G$14)-Norm_Stats!$F$14)/(Norm_Stats!$G$14-Norm_Stats!$F$14)))))="",0,(IF(OR(City_Inputs!$Z22="",Norm_Stats!$F$14="",Norm_Stats!$G$14="",Norm_Stats!$G$14=Norm_Stats!$F$14),"",MAX(0,MIN(100,100*(MIN(MAX(City_Inputs!$Z22,Norm_Stats!$F$14),Norm_Stats!$G$14)-Norm_Stats!$F$14)/(Norm_Stats!$G$14-Norm_Stats!$F$14)))))*0.7)+IF((IF(OR(City_Inputs!$AK22="",Norm_Stats!$F$15="",Norm_Stats!$G$15="",Norm_Stats!$G$15=Norm_Stats!$F$15),"",MAX(0,MIN(100,100*(Norm_Stats!$G$15-MIN(MAX(City_Inputs!$AK22,Norm_Stats!$F$15),Norm_Stats!$G$15))/(Norm_Stats!$G$15-Norm_Stats!$F$15)))))="",0,(IF(OR(City_Inputs!$AK22="",Norm_Stats!$F$15="",Norm_Stats!$G$15="",Norm_Stats!$G$15=Norm_Stats!$F$15),"",MAX(0,MIN(100,100*(Norm_Stats!$G$15-MIN(MAX(City_Inputs!$AK22,Norm_Stats!$F$15),Norm_Stats!$G$15))/(Norm_Stats!$G$15-Norm_Stats!$F$15)))))*0.3))/(IF((IF(OR(City_Inputs!$Z22="",Norm_Stats!$F$14="",Norm_Stats!$G$14="",Norm_Stats!$G$14=Norm_Stats!$F$14),"",MAX(0,MIN(100,100*(MIN(MAX(City_Inputs!$Z22,Norm_Stats!$F$14),Norm_Stats!$G$14)-Norm_Stats!$F$14)/(Norm_Stats!$G$14-Norm_Stats!$F$14)))))="",0,0.7)+IF((IF(OR(City_Inputs!$AK22="",Norm_Stats!$F$15="",Norm_Stats!$G$15="",Norm_Stats!$G$15=Norm_Stats!$F$15),"",MAX(0,MIN(100,100*(Norm_Stats!$G$15-MIN(MAX(City_Inputs!$AK22,Norm_Stats!$F$15),Norm_Stats!$G$15))/(Norm_Stats!$G$15-Norm_Stats!$F$15)))))="",0,0.3)))</f>
        <v/>
      </c>
      <c r="AJ22" s="14">
        <f>IF((IF((IF(OR(City_Inputs!$Z22="",Norm_Stats!$F$14="",Norm_Stats!$G$14="",Norm_Stats!$G$14=Norm_Stats!$F$14),"",MAX(0,MIN(100,100*(MIN(MAX(City_Inputs!$Z22,Norm_Stats!$F$14),Norm_Stats!$G$14)-Norm_Stats!$F$14)/(Norm_Stats!$G$14-Norm_Stats!$F$14)))))="",0,0.7)+IF((IF(OR(City_Inputs!$AK22="",Norm_Stats!$F$15="",Norm_Stats!$G$15="",Norm_Stats!$G$15=Norm_Stats!$F$15),"",MAX(0,MIN(100,100*(Norm_Stats!$G$15-MIN(MAX(City_Inputs!$AK22,Norm_Stats!$F$15),Norm_Stats!$G$15))/(Norm_Stats!$G$15-Norm_Stats!$F$15)))))="",0,0.3))=0,"",(IF((IF(OR(City_Inputs!$Z22="",Norm_Stats!$F$14="",Norm_Stats!$G$14="",Norm_Stats!$G$14=Norm_Stats!$F$14),"",MAX(0,MIN(100,100*(MIN(MAX(City_Inputs!$Z22,Norm_Stats!$F$14),Norm_Stats!$G$14)-Norm_Stats!$F$14)/(Norm_Stats!$G$14-Norm_Stats!$F$14)))))="",0,0.7)+IF((IF(OR(City_Inputs!$AK22="",Norm_Stats!$F$15="",Norm_Stats!$G$15="",Norm_Stats!$G$15=Norm_Stats!$F$15),"",MAX(0,MIN(100,100*(Norm_Stats!$G$15-MIN(MAX(City_Inputs!$AK22,Norm_Stats!$F$15),Norm_Stats!$G$15))/(Norm_Stats!$G$15-Norm_Stats!$F$15)))))="",0,0.3)))</f>
        <v/>
      </c>
      <c r="AK22" s="15">
        <f>IF((IF(AE22="",0,8)+IF(AG22="",0,6)+IF(AI22="",0,4))=0,"",(IF(AE22="",0,AE22*8)+IF(AG22="",0,AG22*6)+IF(AI22="",0,AI22*4))/(IF(AE22="",0,8)+IF(AG22="",0,6)+IF(AI22="",0,4)))</f>
        <v/>
      </c>
      <c r="AL22" s="14">
        <f>IF((IF(AF22="",0,8)+IF(AH22="",0,6)+IF(AJ22="",0,4))=0,"",(IF(AF22="",0,AF22*8)+IF(AH22="",0,AH22*6)+IF(AJ22="",0,AJ22*4))/18)</f>
        <v/>
      </c>
      <c r="AM22" s="11">
        <f>IF(OR(City_Inputs!$AA22="",Norm_Stats!$F$16="",Norm_Stats!$G$16="",Norm_Stats!$G$16=Norm_Stats!$F$16),"",MAX(0,MIN(100,100*(MIN(MAX(City_Inputs!$AA22,Norm_Stats!$F$16),Norm_Stats!$G$16)-Norm_Stats!$F$16)/(Norm_Stats!$G$16-Norm_Stats!$F$16))))</f>
        <v/>
      </c>
      <c r="AN22" s="14">
        <f>IF(AM22="","",1)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5">
        <f>IF((IF(AM22="",0,5)+IF(AO22="",0,5)+IF(AQ22="",0,5))=0,"",(IF(AM22="",0,AM22*5)+IF(AO22="",0,AO22*5)+IF(AQ22="",0,AQ22*5))/(IF(AM22="",0,5)+IF(AO22="",0,5)+IF(AQ22="",0,5)))</f>
        <v/>
      </c>
      <c r="AT22" s="14">
        <f>IF((IF(AN22="",0,5)+IF(AP22="",0,5)+IF(AR22="",0,5))=0,"",(IF(AN22="",0,AN22*5)+IF(AP22="",0,AP22*5)+IF(AR22="",0,AR22*5))/15)</f>
        <v/>
      </c>
      <c r="AU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V22" s="14">
        <f>IF(AU22="","",1)</f>
        <v/>
      </c>
      <c r="AW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X22" s="14">
        <f>IF(AW22="","",1)</f>
        <v/>
      </c>
      <c r="AY22" s="11">
        <f>IF((IF((IF(OR(City_Inputs!$AF22="",Norm_Stats!$F$21="",Norm_Stats!$G$21="",Norm_Stats!$G$21=Norm_Stats!$F$21),"",MAX(0,MIN(100,100*(MIN(MAX(City_Inputs!$AF22,Norm_Stats!$F$21),Norm_Stats!$G$21)-Norm_Stats!$F$21)/(Norm_Stats!$G$21-Norm_Stats!$F$21)))))="",0,0.5)+IF((IF(OR(City_Inputs!$AI22="",Norm_Stats!$F$22="",Norm_Stats!$G$22="",Norm_Stats!$G$22=Norm_Stats!$F$22),"",MAX(0,MIN(100,100*(MIN(MAX(City_Inputs!$AI22,Norm_Stats!$F$22),Norm_Stats!$G$22)-Norm_Stats!$F$22)/(Norm_Stats!$G$22-Norm_Stats!$F$22)))))="",0,0.3)+IF((IF(OR(City_Inputs!$AJ22="",Norm_Stats!$F$23="",Norm_Stats!$G$23="",Norm_Stats!$G$23=Norm_Stats!$F$23),"",MAX(0,MIN(100,100*(MIN(MAX(City_Inputs!$AJ22,Norm_Stats!$F$23),Norm_Stats!$G$23)-Norm_Stats!$F$23)/(Norm_Stats!$G$23-Norm_Stats!$F$23)))))="",0,0.2))=0,"",(IF((IF(OR(City_Inputs!$AF22="",Norm_Stats!$F$21="",Norm_Stats!$G$21="",Norm_Stats!$G$21=Norm_Stats!$F$21),"",MAX(0,MIN(100,100*(MIN(MAX(City_Inputs!$AF22,Norm_Stats!$F$21),Norm_Stats!$G$21)-Norm_Stats!$F$21)/(Norm_Stats!$G$21-Norm_Stats!$F$21)))))="",0,(IF(OR(City_Inputs!$AF22="",Norm_Stats!$F$21="",Norm_Stats!$G$21="",Norm_Stats!$G$21=Norm_Stats!$F$21),"",MAX(0,MIN(100,100*(MIN(MAX(City_Inputs!$AF22,Norm_Stats!$F$21),Norm_Stats!$G$21)-Norm_Stats!$F$21)/(Norm_Stats!$G$21-Norm_Stats!$F$21)))))*0.5)+IF((IF(OR(City_Inputs!$AI22="",Norm_Stats!$F$22="",Norm_Stats!$G$22="",Norm_Stats!$G$22=Norm_Stats!$F$22),"",MAX(0,MIN(100,100*(MIN(MAX(City_Inputs!$AI22,Norm_Stats!$F$22),Norm_Stats!$G$22)-Norm_Stats!$F$22)/(Norm_Stats!$G$22-Norm_Stats!$F$22)))))="",0,(IF(OR(City_Inputs!$AI22="",Norm_Stats!$F$22="",Norm_Stats!$G$22="",Norm_Stats!$G$22=Norm_Stats!$F$22),"",MAX(0,MIN(100,100*(MIN(MAX(City_Inputs!$AI22,Norm_Stats!$F$22),Norm_Stats!$G$22)-Norm_Stats!$F$22)/(Norm_Stats!$G$22-Norm_Stats!$F$22)))))*0.3)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0.2))/(IF((IF(OR(City_Inputs!$AF22="",Norm_Stats!$F$21="",Norm_Stats!$G$21="",Norm_Stats!$G$21=Norm_Stats!$F$21),"",MAX(0,MIN(100,100*(MIN(MAX(City_Inputs!$AF22,Norm_Stats!$F$21),Norm_Stats!$G$21)-Norm_Stats!$F$21)/(Norm_Stats!$G$21-Norm_Stats!$F$21)))))="",0,0.5)+IF((IF(OR(City_Inputs!$AI22="",Norm_Stats!$F$22="",Norm_Stats!$G$22="",Norm_Stats!$G$22=Norm_Stats!$F$22),"",MAX(0,MIN(100,100*(MIN(MAX(City_Inputs!$AI22,Norm_Stats!$F$22),Norm_Stats!$G$22)-Norm_Stats!$F$22)/(Norm_Stats!$G$22-Norm_Stats!$F$22)))))="",0,0.3)+IF((IF(OR(City_Inputs!$AJ22="",Norm_Stats!$F$23="",Norm_Stats!$G$23="",Norm_Stats!$G$23=Norm_Stats!$F$23),"",MAX(0,MIN(100,100*(MIN(MAX(City_Inputs!$AJ22,Norm_Stats!$F$23),Norm_Stats!$G$23)-Norm_Stats!$F$23)/(Norm_Stats!$G$23-Norm_Stats!$F$23)))))="",0,0.2)))</f>
        <v/>
      </c>
      <c r="AZ22" s="14">
        <f>IF((IF((IF(OR(City_Inputs!$AF22="",Norm_Stats!$F$21="",Norm_Stats!$G$21="",Norm_Stats!$G$21=Norm_Stats!$F$21),"",MAX(0,MIN(100,100*(MIN(MAX(City_Inputs!$AF22,Norm_Stats!$F$21),Norm_Stats!$G$21)-Norm_Stats!$F$21)/(Norm_Stats!$G$21-Norm_Stats!$F$21)))))="",0,0.5)+IF((IF(OR(City_Inputs!$AI22="",Norm_Stats!$F$22="",Norm_Stats!$G$22="",Norm_Stats!$G$22=Norm_Stats!$F$22),"",MAX(0,MIN(100,100*(MIN(MAX(City_Inputs!$AI22,Norm_Stats!$F$22),Norm_Stats!$G$22)-Norm_Stats!$F$22)/(Norm_Stats!$G$22-Norm_Stats!$F$22)))))="",0,0.3)+IF((IF(OR(City_Inputs!$AJ22="",Norm_Stats!$F$23="",Norm_Stats!$G$23="",Norm_Stats!$G$23=Norm_Stats!$F$23),"",MAX(0,MIN(100,100*(MIN(MAX(City_Inputs!$AJ22,Norm_Stats!$F$23),Norm_Stats!$G$23)-Norm_Stats!$F$23)/(Norm_Stats!$G$23-Norm_Stats!$F$23)))))="",0,0.2))=0,"",(IF((IF(OR(City_Inputs!$AF22="",Norm_Stats!$F$21="",Norm_Stats!$G$21="",Norm_Stats!$G$21=Norm_Stats!$F$21),"",MAX(0,MIN(100,100*(MIN(MAX(City_Inputs!$AF22,Norm_Stats!$F$21),Norm_Stats!$G$21)-Norm_Stats!$F$21)/(Norm_Stats!$G$21-Norm_Stats!$F$21)))))="",0,0.5)+IF((IF(OR(City_Inputs!$AI22="",Norm_Stats!$F$22="",Norm_Stats!$G$22="",Norm_Stats!$G$22=Norm_Stats!$F$22),"",MAX(0,MIN(100,100*(MIN(MAX(City_Inputs!$AI22,Norm_Stats!$F$22),Norm_Stats!$G$22)-Norm_Stats!$F$22)/(Norm_Stats!$G$22-Norm_Stats!$F$22)))))="",0,0.3)+IF((IF(OR(City_Inputs!$AJ22="",Norm_Stats!$F$23="",Norm_Stats!$G$23="",Norm_Stats!$G$23=Norm_Stats!$F$23),"",MAX(0,MIN(100,100*(MIN(MAX(City_Inputs!$AJ22,Norm_Stats!$F$23),Norm_Stats!$G$23)-Norm_Stats!$F$23)/(Norm_Stats!$G$23-Norm_Stats!$F$23)))))="",0,0.2)))</f>
        <v/>
      </c>
      <c r="BA22" s="11">
        <f>IF(OR(City_Inputs!$AG22="",Norm_Stats!$F$24="",Norm_Stats!$G$24="",Norm_Stats!$G$24=Norm_Stats!$F$24),"",MAX(0,MIN(100,100*(Norm_Stats!$G$24-MIN(MAX(City_Inputs!$AG22,Norm_Stats!$F$24),Norm_Stats!$G$24))/(Norm_Stats!$G$24-Norm_Stats!$F$24))))</f>
        <v/>
      </c>
      <c r="BB22" s="14">
        <f>IF(BA22="","",1)</f>
        <v/>
      </c>
      <c r="BC22" s="15">
        <f>IF((IF(AU22="",0,6)+IF(AW22="",0,5)+IF(AY22="",0,5)+IF(BA22="",0,4))=0,"",(IF(AU22="",0,AU22*6)+IF(AW22="",0,AW22*5)+IF(AY22="",0,AY22*5)+IF(BA22="",0,BA22*4))/(IF(AU22="",0,6)+IF(AW22="",0,5)+IF(AY22="",0,5)+IF(BA22="",0,4)))</f>
        <v/>
      </c>
      <c r="BD22" s="14">
        <f>IF((IF(AV22="",0,6)+IF(AX22="",0,5)+IF(AZ22="",0,5)+IF(BB22="",0,4))=0,"",(IF(AV22="",0,AV22*6)+IF(AX22="",0,AX22*5)+IF(AZ22="",0,AZ22*5)+IF(BB22="",0,BB22*4))/20)</f>
        <v/>
      </c>
      <c r="BE22" s="14">
        <f>IF(AND(R22="",AD22="",AL22="",AT22="",BD22=""),"",((R22*25)+(AD22*22)+(AL22*18)+(AT22*15)+(BD22*20))/100)</f>
        <v/>
      </c>
      <c r="BF22" s="11">
        <f>IF(BE22="","",IF(BE22&gt;=0.75,"A",IF(BE22&gt;=0.5,"B",IF(BE22&gt;=0.35,"C","Watchlist"))))</f>
        <v/>
      </c>
      <c r="BG22" s="11">
        <f>IF(OR(BE22="",BE22&lt;0.5,R22="",R22&lt;0.35,AD22="",AD22&lt;0.35,AL22="",AL22&lt;0.35,AT22="",AT22&lt;0.35,BD22="",BD22&lt;0.35),"Watchlist","Ranked")</f>
        <v/>
      </c>
      <c r="BH22" s="15">
        <f>IF(AND(Q22="",AC22="",AK22="",AS22="",BC22=""),"",(IF(Q22="",0,Q22*25)+IF(AC22="",0,AC22*22)+IF(AK22="",0,AK22*18)+IF(AS22="",0,AS22*15)+IF(BC22="",0,BC22*20))/(IF(Q22="",0,25)+IF(AC22="",0,22)+IF(AK22="",0,18)+IF(AS22="",0,15)+IF(BC22="",0,20)))</f>
        <v/>
      </c>
      <c r="BI22" s="11">
        <f>IF(BG22="Ranked",1+COUNTIFS($BG$2:$BG$101,"Ranked",$BH$2:$BH$101,"&gt;"&amp;BH22),"")</f>
        <v/>
      </c>
      <c r="BJ22" s="11">
        <f>City_Inputs!$AH22</f>
        <v/>
      </c>
    </row>
    <row r="23">
      <c r="A23" t="inlineStr">
        <is>
          <t>in-hyderabad</t>
        </is>
      </c>
      <c r="B23" t="inlineStr">
        <is>
          <t>Hyderabad</t>
        </is>
      </c>
      <c r="C23" t="inlineStr">
        <is>
          <t>India</t>
        </is>
      </c>
      <c r="D23" t="inlineStr">
        <is>
          <t>South Asia</t>
        </is>
      </c>
      <c r="E23" t="inlineStr">
        <is>
          <t>locked</t>
        </is>
      </c>
      <c r="F23" t="inlineStr">
        <is>
          <t>primary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IF((IF(G23="",0,9)+IF(I23="",0,5)+IF(K23="",0,4)+IF(M23="",0,4)+IF(O23="",0,3))=0,"",(IF(G23="",0,G23*9)+IF(I23="",0,I23*5)+IF(K23="",0,K23*4)+IF(M23="",0,M23*4)+IF(O23="",0,O23*3))/(IF(G23="",0,9)+IF(I23="",0,5)+IF(K23="",0,4)+IF(M23="",0,4)+IF(O23="",0,3)))</f>
        <v/>
      </c>
      <c r="R23" s="14">
        <f>IF((IF(H23="",0,9)+IF(J23="",0,5)+IF(L23="",0,4)+IF(N23="",0,4)+IF(P23="",0,3))=0,"",(IF(H23="",0,H23*9)+IF(J23="",0,J23*5)+IF(L23="",0,L23*4)+IF(N23="",0,N23*4)+IF(P23="",0,P23*3))/25)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5">
        <f>IF((IF(S23="",0,5)+IF(U23="",0,5)+IF(W23="",0,4)+IF(Y23="",0,4)+IF(AA23="",0,4))=0,"",(IF(S23="",0,S23*5)+IF(U23="",0,U23*5)+IF(W23="",0,W23*4)+IF(Y23="",0,Y23*4)+IF(AA23="",0,AA23*4))/(IF(S23="",0,5)+IF(U23="",0,5)+IF(W23="",0,4)+IF(Y23="",0,4)+IF(AA23="",0,4)))</f>
        <v/>
      </c>
      <c r="AD23" s="14">
        <f>IF((IF(T23="",0,5)+IF(V23="",0,5)+IF(X23="",0,4)+IF(Z23="",0,4)+IF(AB23="",0,4))=0,"",(IF(T23="",0,T23*5)+IF(V23="",0,V23*5)+IF(X23="",0,X23*4)+IF(Z23="",0,Z23*4)+IF(AB23="",0,AB23*4))/22)</f>
        <v/>
      </c>
      <c r="AE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F23" s="14">
        <f>IF(AE23="","",1)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(IF((IF(OR(City_Inputs!$Z23="",Norm_Stats!$F$14="",Norm_Stats!$G$14="",Norm_Stats!$G$14=Norm_Stats!$F$14),"",MAX(0,MIN(100,100*(MIN(MAX(City_Inputs!$Z23,Norm_Stats!$F$14),Norm_Stats!$G$14)-Norm_Stats!$F$14)/(Norm_Stats!$G$14-Norm_Stats!$F$14)))))="",0,0.7)+IF((IF(OR(City_Inputs!$AK23="",Norm_Stats!$F$15="",Norm_Stats!$G$15="",Norm_Stats!$G$15=Norm_Stats!$F$15),"",MAX(0,MIN(100,100*(Norm_Stats!$G$15-MIN(MAX(City_Inputs!$AK23,Norm_Stats!$F$15),Norm_Stats!$G$15))/(Norm_Stats!$G$15-Norm_Stats!$F$15)))))="",0,0.3))=0,"",(IF((IF(OR(City_Inputs!$Z23="",Norm_Stats!$F$14="",Norm_Stats!$G$14="",Norm_Stats!$G$14=Norm_Stats!$F$14),"",MAX(0,MIN(100,100*(MIN(MAX(City_Inputs!$Z23,Norm_Stats!$F$14),Norm_Stats!$G$14)-Norm_Stats!$F$14)/(Norm_Stats!$G$14-Norm_Stats!$F$14)))))="",0,(IF(OR(City_Inputs!$Z23="",Norm_Stats!$F$14="",Norm_Stats!$G$14="",Norm_Stats!$G$14=Norm_Stats!$F$14),"",MAX(0,MIN(100,100*(MIN(MAX(City_Inputs!$Z23,Norm_Stats!$F$14),Norm_Stats!$G$14)-Norm_Stats!$F$14)/(Norm_Stats!$G$14-Norm_Stats!$F$14)))))*0.7)+IF((IF(OR(City_Inputs!$AK23="",Norm_Stats!$F$15="",Norm_Stats!$G$15="",Norm_Stats!$G$15=Norm_Stats!$F$15),"",MAX(0,MIN(100,100*(Norm_Stats!$G$15-MIN(MAX(City_Inputs!$AK23,Norm_Stats!$F$15),Norm_Stats!$G$15))/(Norm_Stats!$G$15-Norm_Stats!$F$15)))))="",0,(IF(OR(City_Inputs!$AK23="",Norm_Stats!$F$15="",Norm_Stats!$G$15="",Norm_Stats!$G$15=Norm_Stats!$F$15),"",MAX(0,MIN(100,100*(Norm_Stats!$G$15-MIN(MAX(City_Inputs!$AK23,Norm_Stats!$F$15),Norm_Stats!$G$15))/(Norm_Stats!$G$15-Norm_Stats!$F$15)))))*0.3))/(IF((IF(OR(City_Inputs!$Z23="",Norm_Stats!$F$14="",Norm_Stats!$G$14="",Norm_Stats!$G$14=Norm_Stats!$F$14),"",MAX(0,MIN(100,100*(MIN(MAX(City_Inputs!$Z23,Norm_Stats!$F$14),Norm_Stats!$G$14)-Norm_Stats!$F$14)/(Norm_Stats!$G$14-Norm_Stats!$F$14)))))="",0,0.7)+IF((IF(OR(City_Inputs!$AK23="",Norm_Stats!$F$15="",Norm_Stats!$G$15="",Norm_Stats!$G$15=Norm_Stats!$F$15),"",MAX(0,MIN(100,100*(Norm_Stats!$G$15-MIN(MAX(City_Inputs!$AK23,Norm_Stats!$F$15),Norm_Stats!$G$15))/(Norm_Stats!$G$15-Norm_Stats!$F$15)))))="",0,0.3)))</f>
        <v/>
      </c>
      <c r="AJ23" s="14">
        <f>IF((IF((IF(OR(City_Inputs!$Z23="",Norm_Stats!$F$14="",Norm_Stats!$G$14="",Norm_Stats!$G$14=Norm_Stats!$F$14),"",MAX(0,MIN(100,100*(MIN(MAX(City_Inputs!$Z23,Norm_Stats!$F$14),Norm_Stats!$G$14)-Norm_Stats!$F$14)/(Norm_Stats!$G$14-Norm_Stats!$F$14)))))="",0,0.7)+IF((IF(OR(City_Inputs!$AK23="",Norm_Stats!$F$15="",Norm_Stats!$G$15="",Norm_Stats!$G$15=Norm_Stats!$F$15),"",MAX(0,MIN(100,100*(Norm_Stats!$G$15-MIN(MAX(City_Inputs!$AK23,Norm_Stats!$F$15),Norm_Stats!$G$15))/(Norm_Stats!$G$15-Norm_Stats!$F$15)))))="",0,0.3))=0,"",(IF((IF(OR(City_Inputs!$Z23="",Norm_Stats!$F$14="",Norm_Stats!$G$14="",Norm_Stats!$G$14=Norm_Stats!$F$14),"",MAX(0,MIN(100,100*(MIN(MAX(City_Inputs!$Z23,Norm_Stats!$F$14),Norm_Stats!$G$14)-Norm_Stats!$F$14)/(Norm_Stats!$G$14-Norm_Stats!$F$14)))))="",0,0.7)+IF((IF(OR(City_Inputs!$AK23="",Norm_Stats!$F$15="",Norm_Stats!$G$15="",Norm_Stats!$G$15=Norm_Stats!$F$15),"",MAX(0,MIN(100,100*(Norm_Stats!$G$15-MIN(MAX(City_Inputs!$AK23,Norm_Stats!$F$15),Norm_Stats!$G$15))/(Norm_Stats!$G$15-Norm_Stats!$F$15)))))="",0,0.3)))</f>
        <v/>
      </c>
      <c r="AK23" s="15">
        <f>IF((IF(AE23="",0,8)+IF(AG23="",0,6)+IF(AI23="",0,4))=0,"",(IF(AE23="",0,AE23*8)+IF(AG23="",0,AG23*6)+IF(AI23="",0,AI23*4))/(IF(AE23="",0,8)+IF(AG23="",0,6)+IF(AI23="",0,4)))</f>
        <v/>
      </c>
      <c r="AL23" s="14">
        <f>IF((IF(AF23="",0,8)+IF(AH23="",0,6)+IF(AJ23="",0,4))=0,"",(IF(AF23="",0,AF23*8)+IF(AH23="",0,AH23*6)+IF(AJ23="",0,AJ23*4))/18)</f>
        <v/>
      </c>
      <c r="AM23" s="11">
        <f>IF(OR(City_Inputs!$AA23="",Norm_Stats!$F$16="",Norm_Stats!$G$16="",Norm_Stats!$G$16=Norm_Stats!$F$16),"",MAX(0,MIN(100,100*(MIN(MAX(City_Inputs!$AA23,Norm_Stats!$F$16),Norm_Stats!$G$16)-Norm_Stats!$F$16)/(Norm_Stats!$G$16-Norm_Stats!$F$16))))</f>
        <v/>
      </c>
      <c r="AN23" s="14">
        <f>IF(AM23="","",1)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5">
        <f>IF((IF(AM23="",0,5)+IF(AO23="",0,5)+IF(AQ23="",0,5))=0,"",(IF(AM23="",0,AM23*5)+IF(AO23="",0,AO23*5)+IF(AQ23="",0,AQ23*5))/(IF(AM23="",0,5)+IF(AO23="",0,5)+IF(AQ23="",0,5)))</f>
        <v/>
      </c>
      <c r="AT23" s="14">
        <f>IF((IF(AN23="",0,5)+IF(AP23="",0,5)+IF(AR23="",0,5))=0,"",(IF(AN23="",0,AN23*5)+IF(AP23="",0,AP23*5)+IF(AR23="",0,AR23*5))/15)</f>
        <v/>
      </c>
      <c r="AU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V23" s="14">
        <f>IF(AU23="","",1)</f>
        <v/>
      </c>
      <c r="AW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X23" s="14">
        <f>IF(AW23="","",1)</f>
        <v/>
      </c>
      <c r="AY23" s="11">
        <f>IF((IF((IF(OR(City_Inputs!$AF23="",Norm_Stats!$F$21="",Norm_Stats!$G$21="",Norm_Stats!$G$21=Norm_Stats!$F$21),"",MAX(0,MIN(100,100*(MIN(MAX(City_Inputs!$AF23,Norm_Stats!$F$21),Norm_Stats!$G$21)-Norm_Stats!$F$21)/(Norm_Stats!$G$21-Norm_Stats!$F$21)))))="",0,0.5)+IF((IF(OR(City_Inputs!$AI23="",Norm_Stats!$F$22="",Norm_Stats!$G$22="",Norm_Stats!$G$22=Norm_Stats!$F$22),"",MAX(0,MIN(100,100*(MIN(MAX(City_Inputs!$AI23,Norm_Stats!$F$22),Norm_Stats!$G$22)-Norm_Stats!$F$22)/(Norm_Stats!$G$22-Norm_Stats!$F$22)))))="",0,0.3)+IF((IF(OR(City_Inputs!$AJ23="",Norm_Stats!$F$23="",Norm_Stats!$G$23="",Norm_Stats!$G$23=Norm_Stats!$F$23),"",MAX(0,MIN(100,100*(MIN(MAX(City_Inputs!$AJ23,Norm_Stats!$F$23),Norm_Stats!$G$23)-Norm_Stats!$F$23)/(Norm_Stats!$G$23-Norm_Stats!$F$23)))))="",0,0.2))=0,"",(IF((IF(OR(City_Inputs!$AF23="",Norm_Stats!$F$21="",Norm_Stats!$G$21="",Norm_Stats!$G$21=Norm_Stats!$F$21),"",MAX(0,MIN(100,100*(MIN(MAX(City_Inputs!$AF23,Norm_Stats!$F$21),Norm_Stats!$G$21)-Norm_Stats!$F$21)/(Norm_Stats!$G$21-Norm_Stats!$F$21)))))="",0,(IF(OR(City_Inputs!$AF23="",Norm_Stats!$F$21="",Norm_Stats!$G$21="",Norm_Stats!$G$21=Norm_Stats!$F$21),"",MAX(0,MIN(100,100*(MIN(MAX(City_Inputs!$AF23,Norm_Stats!$F$21),Norm_Stats!$G$21)-Norm_Stats!$F$21)/(Norm_Stats!$G$21-Norm_Stats!$F$21)))))*0.5)+IF((IF(OR(City_Inputs!$AI23="",Norm_Stats!$F$22="",Norm_Stats!$G$22="",Norm_Stats!$G$22=Norm_Stats!$F$22),"",MAX(0,MIN(100,100*(MIN(MAX(City_Inputs!$AI23,Norm_Stats!$F$22),Norm_Stats!$G$22)-Norm_Stats!$F$22)/(Norm_Stats!$G$22-Norm_Stats!$F$22)))))="",0,(IF(OR(City_Inputs!$AI23="",Norm_Stats!$F$22="",Norm_Stats!$G$22="",Norm_Stats!$G$22=Norm_Stats!$F$22),"",MAX(0,MIN(100,100*(MIN(MAX(City_Inputs!$AI23,Norm_Stats!$F$22),Norm_Stats!$G$22)-Norm_Stats!$F$22)/(Norm_Stats!$G$22-Norm_Stats!$F$22)))))*0.3)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0.2))/(IF((IF(OR(City_Inputs!$AF23="",Norm_Stats!$F$21="",Norm_Stats!$G$21="",Norm_Stats!$G$21=Norm_Stats!$F$21),"",MAX(0,MIN(100,100*(MIN(MAX(City_Inputs!$AF23,Norm_Stats!$F$21),Norm_Stats!$G$21)-Norm_Stats!$F$21)/(Norm_Stats!$G$21-Norm_Stats!$F$21)))))="",0,0.5)+IF((IF(OR(City_Inputs!$AI23="",Norm_Stats!$F$22="",Norm_Stats!$G$22="",Norm_Stats!$G$22=Norm_Stats!$F$22),"",MAX(0,MIN(100,100*(MIN(MAX(City_Inputs!$AI23,Norm_Stats!$F$22),Norm_Stats!$G$22)-Norm_Stats!$F$22)/(Norm_Stats!$G$22-Norm_Stats!$F$22)))))="",0,0.3)+IF((IF(OR(City_Inputs!$AJ23="",Norm_Stats!$F$23="",Norm_Stats!$G$23="",Norm_Stats!$G$23=Norm_Stats!$F$23),"",MAX(0,MIN(100,100*(MIN(MAX(City_Inputs!$AJ23,Norm_Stats!$F$23),Norm_Stats!$G$23)-Norm_Stats!$F$23)/(Norm_Stats!$G$23-Norm_Stats!$F$23)))))="",0,0.2)))</f>
        <v/>
      </c>
      <c r="AZ23" s="14">
        <f>IF((IF((IF(OR(City_Inputs!$AF23="",Norm_Stats!$F$21="",Norm_Stats!$G$21="",Norm_Stats!$G$21=Norm_Stats!$F$21),"",MAX(0,MIN(100,100*(MIN(MAX(City_Inputs!$AF23,Norm_Stats!$F$21),Norm_Stats!$G$21)-Norm_Stats!$F$21)/(Norm_Stats!$G$21-Norm_Stats!$F$21)))))="",0,0.5)+IF((IF(OR(City_Inputs!$AI23="",Norm_Stats!$F$22="",Norm_Stats!$G$22="",Norm_Stats!$G$22=Norm_Stats!$F$22),"",MAX(0,MIN(100,100*(MIN(MAX(City_Inputs!$AI23,Norm_Stats!$F$22),Norm_Stats!$G$22)-Norm_Stats!$F$22)/(Norm_Stats!$G$22-Norm_Stats!$F$22)))))="",0,0.3)+IF((IF(OR(City_Inputs!$AJ23="",Norm_Stats!$F$23="",Norm_Stats!$G$23="",Norm_Stats!$G$23=Norm_Stats!$F$23),"",MAX(0,MIN(100,100*(MIN(MAX(City_Inputs!$AJ23,Norm_Stats!$F$23),Norm_Stats!$G$23)-Norm_Stats!$F$23)/(Norm_Stats!$G$23-Norm_Stats!$F$23)))))="",0,0.2))=0,"",(IF((IF(OR(City_Inputs!$AF23="",Norm_Stats!$F$21="",Norm_Stats!$G$21="",Norm_Stats!$G$21=Norm_Stats!$F$21),"",MAX(0,MIN(100,100*(MIN(MAX(City_Inputs!$AF23,Norm_Stats!$F$21),Norm_Stats!$G$21)-Norm_Stats!$F$21)/(Norm_Stats!$G$21-Norm_Stats!$F$21)))))="",0,0.5)+IF((IF(OR(City_Inputs!$AI23="",Norm_Stats!$F$22="",Norm_Stats!$G$22="",Norm_Stats!$G$22=Norm_Stats!$F$22),"",MAX(0,MIN(100,100*(MIN(MAX(City_Inputs!$AI23,Norm_Stats!$F$22),Norm_Stats!$G$22)-Norm_Stats!$F$22)/(Norm_Stats!$G$22-Norm_Stats!$F$22)))))="",0,0.3)+IF((IF(OR(City_Inputs!$AJ23="",Norm_Stats!$F$23="",Norm_Stats!$G$23="",Norm_Stats!$G$23=Norm_Stats!$F$23),"",MAX(0,MIN(100,100*(MIN(MAX(City_Inputs!$AJ23,Norm_Stats!$F$23),Norm_Stats!$G$23)-Norm_Stats!$F$23)/(Norm_Stats!$G$23-Norm_Stats!$F$23)))))="",0,0.2)))</f>
        <v/>
      </c>
      <c r="BA23" s="11">
        <f>IF(OR(City_Inputs!$AG23="",Norm_Stats!$F$24="",Norm_Stats!$G$24="",Norm_Stats!$G$24=Norm_Stats!$F$24),"",MAX(0,MIN(100,100*(Norm_Stats!$G$24-MIN(MAX(City_Inputs!$AG23,Norm_Stats!$F$24),Norm_Stats!$G$24))/(Norm_Stats!$G$24-Norm_Stats!$F$24))))</f>
        <v/>
      </c>
      <c r="BB23" s="14">
        <f>IF(BA23="","",1)</f>
        <v/>
      </c>
      <c r="BC23" s="15">
        <f>IF((IF(AU23="",0,6)+IF(AW23="",0,5)+IF(AY23="",0,5)+IF(BA23="",0,4))=0,"",(IF(AU23="",0,AU23*6)+IF(AW23="",0,AW23*5)+IF(AY23="",0,AY23*5)+IF(BA23="",0,BA23*4))/(IF(AU23="",0,6)+IF(AW23="",0,5)+IF(AY23="",0,5)+IF(BA23="",0,4)))</f>
        <v/>
      </c>
      <c r="BD23" s="14">
        <f>IF((IF(AV23="",0,6)+IF(AX23="",0,5)+IF(AZ23="",0,5)+IF(BB23="",0,4))=0,"",(IF(AV23="",0,AV23*6)+IF(AX23="",0,AX23*5)+IF(AZ23="",0,AZ23*5)+IF(BB23="",0,BB23*4))/20)</f>
        <v/>
      </c>
      <c r="BE23" s="14">
        <f>IF(AND(R23="",AD23="",AL23="",AT23="",BD23=""),"",((R23*25)+(AD23*22)+(AL23*18)+(AT23*15)+(BD23*20))/100)</f>
        <v/>
      </c>
      <c r="BF23" s="11">
        <f>IF(BE23="","",IF(BE23&gt;=0.75,"A",IF(BE23&gt;=0.5,"B",IF(BE23&gt;=0.35,"C","Watchlist"))))</f>
        <v/>
      </c>
      <c r="BG23" s="11">
        <f>IF(OR(BE23="",BE23&lt;0.5,R23="",R23&lt;0.35,AD23="",AD23&lt;0.35,AL23="",AL23&lt;0.35,AT23="",AT23&lt;0.35,BD23="",BD23&lt;0.35),"Watchlist","Ranked")</f>
        <v/>
      </c>
      <c r="BH23" s="15">
        <f>IF(AND(Q23="",AC23="",AK23="",AS23="",BC23=""),"",(IF(Q23="",0,Q23*25)+IF(AC23="",0,AC23*22)+IF(AK23="",0,AK23*18)+IF(AS23="",0,AS23*15)+IF(BC23="",0,BC23*20))/(IF(Q23="",0,25)+IF(AC23="",0,22)+IF(AK23="",0,18)+IF(AS23="",0,15)+IF(BC23="",0,20)))</f>
        <v/>
      </c>
      <c r="BI23" s="11">
        <f>IF(BG23="Ranked",1+COUNTIFS($BG$2:$BG$101,"Ranked",$BH$2:$BH$101,"&gt;"&amp;BH23),"")</f>
        <v/>
      </c>
      <c r="BJ23" s="11">
        <f>City_Inputs!$AH23</f>
        <v/>
      </c>
    </row>
    <row r="24">
      <c r="A24" t="inlineStr">
        <is>
          <t>lk-colombo</t>
        </is>
      </c>
      <c r="B24" t="inlineStr">
        <is>
          <t>Colombo</t>
        </is>
      </c>
      <c r="C24" t="inlineStr">
        <is>
          <t>Sri Lanka</t>
        </is>
      </c>
      <c r="D24" t="inlineStr">
        <is>
          <t>South Asia</t>
        </is>
      </c>
      <c r="E24" t="inlineStr">
        <is>
          <t>locked</t>
        </is>
      </c>
      <c r="F24" t="inlineStr">
        <is>
          <t>primary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IF((IF(G24="",0,9)+IF(I24="",0,5)+IF(K24="",0,4)+IF(M24="",0,4)+IF(O24="",0,3))=0,"",(IF(G24="",0,G24*9)+IF(I24="",0,I24*5)+IF(K24="",0,K24*4)+IF(M24="",0,M24*4)+IF(O24="",0,O24*3))/(IF(G24="",0,9)+IF(I24="",0,5)+IF(K24="",0,4)+IF(M24="",0,4)+IF(O24="",0,3)))</f>
        <v/>
      </c>
      <c r="R24" s="14">
        <f>IF((IF(H24="",0,9)+IF(J24="",0,5)+IF(L24="",0,4)+IF(N24="",0,4)+IF(P24="",0,3))=0,"",(IF(H24="",0,H24*9)+IF(J24="",0,J24*5)+IF(L24="",0,L24*4)+IF(N24="",0,N24*4)+IF(P24="",0,P24*3))/25)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5">
        <f>IF((IF(S24="",0,5)+IF(U24="",0,5)+IF(W24="",0,4)+IF(Y24="",0,4)+IF(AA24="",0,4))=0,"",(IF(S24="",0,S24*5)+IF(U24="",0,U24*5)+IF(W24="",0,W24*4)+IF(Y24="",0,Y24*4)+IF(AA24="",0,AA24*4))/(IF(S24="",0,5)+IF(U24="",0,5)+IF(W24="",0,4)+IF(Y24="",0,4)+IF(AA24="",0,4)))</f>
        <v/>
      </c>
      <c r="AD24" s="14">
        <f>IF((IF(T24="",0,5)+IF(V24="",0,5)+IF(X24="",0,4)+IF(Z24="",0,4)+IF(AB24="",0,4))=0,"",(IF(T24="",0,T24*5)+IF(V24="",0,V24*5)+IF(X24="",0,X24*4)+IF(Z24="",0,Z24*4)+IF(AB24="",0,AB24*4))/22)</f>
        <v/>
      </c>
      <c r="AE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F24" s="14">
        <f>IF(AE24="","",1)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(IF((IF(OR(City_Inputs!$Z24="",Norm_Stats!$F$14="",Norm_Stats!$G$14="",Norm_Stats!$G$14=Norm_Stats!$F$14),"",MAX(0,MIN(100,100*(MIN(MAX(City_Inputs!$Z24,Norm_Stats!$F$14),Norm_Stats!$G$14)-Norm_Stats!$F$14)/(Norm_Stats!$G$14-Norm_Stats!$F$14)))))="",0,0.7)+IF((IF(OR(City_Inputs!$AK24="",Norm_Stats!$F$15="",Norm_Stats!$G$15="",Norm_Stats!$G$15=Norm_Stats!$F$15),"",MAX(0,MIN(100,100*(Norm_Stats!$G$15-MIN(MAX(City_Inputs!$AK24,Norm_Stats!$F$15),Norm_Stats!$G$15))/(Norm_Stats!$G$15-Norm_Stats!$F$15)))))="",0,0.3))=0,"",(IF((IF(OR(City_Inputs!$Z24="",Norm_Stats!$F$14="",Norm_Stats!$G$14="",Norm_Stats!$G$14=Norm_Stats!$F$14),"",MAX(0,MIN(100,100*(MIN(MAX(City_Inputs!$Z24,Norm_Stats!$F$14),Norm_Stats!$G$14)-Norm_Stats!$F$14)/(Norm_Stats!$G$14-Norm_Stats!$F$14)))))="",0,(IF(OR(City_Inputs!$Z24="",Norm_Stats!$F$14="",Norm_Stats!$G$14="",Norm_Stats!$G$14=Norm_Stats!$F$14),"",MAX(0,MIN(100,100*(MIN(MAX(City_Inputs!$Z24,Norm_Stats!$F$14),Norm_Stats!$G$14)-Norm_Stats!$F$14)/(Norm_Stats!$G$14-Norm_Stats!$F$14)))))*0.7)+IF((IF(OR(City_Inputs!$AK24="",Norm_Stats!$F$15="",Norm_Stats!$G$15="",Norm_Stats!$G$15=Norm_Stats!$F$15),"",MAX(0,MIN(100,100*(Norm_Stats!$G$15-MIN(MAX(City_Inputs!$AK24,Norm_Stats!$F$15),Norm_Stats!$G$15))/(Norm_Stats!$G$15-Norm_Stats!$F$15)))))="",0,(IF(OR(City_Inputs!$AK24="",Norm_Stats!$F$15="",Norm_Stats!$G$15="",Norm_Stats!$G$15=Norm_Stats!$F$15),"",MAX(0,MIN(100,100*(Norm_Stats!$G$15-MIN(MAX(City_Inputs!$AK24,Norm_Stats!$F$15),Norm_Stats!$G$15))/(Norm_Stats!$G$15-Norm_Stats!$F$15)))))*0.3))/(IF((IF(OR(City_Inputs!$Z24="",Norm_Stats!$F$14="",Norm_Stats!$G$14="",Norm_Stats!$G$14=Norm_Stats!$F$14),"",MAX(0,MIN(100,100*(MIN(MAX(City_Inputs!$Z24,Norm_Stats!$F$14),Norm_Stats!$G$14)-Norm_Stats!$F$14)/(Norm_Stats!$G$14-Norm_Stats!$F$14)))))="",0,0.7)+IF((IF(OR(City_Inputs!$AK24="",Norm_Stats!$F$15="",Norm_Stats!$G$15="",Norm_Stats!$G$15=Norm_Stats!$F$15),"",MAX(0,MIN(100,100*(Norm_Stats!$G$15-MIN(MAX(City_Inputs!$AK24,Norm_Stats!$F$15),Norm_Stats!$G$15))/(Norm_Stats!$G$15-Norm_Stats!$F$15)))))="",0,0.3)))</f>
        <v/>
      </c>
      <c r="AJ24" s="14">
        <f>IF((IF((IF(OR(City_Inputs!$Z24="",Norm_Stats!$F$14="",Norm_Stats!$G$14="",Norm_Stats!$G$14=Norm_Stats!$F$14),"",MAX(0,MIN(100,100*(MIN(MAX(City_Inputs!$Z24,Norm_Stats!$F$14),Norm_Stats!$G$14)-Norm_Stats!$F$14)/(Norm_Stats!$G$14-Norm_Stats!$F$14)))))="",0,0.7)+IF((IF(OR(City_Inputs!$AK24="",Norm_Stats!$F$15="",Norm_Stats!$G$15="",Norm_Stats!$G$15=Norm_Stats!$F$15),"",MAX(0,MIN(100,100*(Norm_Stats!$G$15-MIN(MAX(City_Inputs!$AK24,Norm_Stats!$F$15),Norm_Stats!$G$15))/(Norm_Stats!$G$15-Norm_Stats!$F$15)))))="",0,0.3))=0,"",(IF((IF(OR(City_Inputs!$Z24="",Norm_Stats!$F$14="",Norm_Stats!$G$14="",Norm_Stats!$G$14=Norm_Stats!$F$14),"",MAX(0,MIN(100,100*(MIN(MAX(City_Inputs!$Z24,Norm_Stats!$F$14),Norm_Stats!$G$14)-Norm_Stats!$F$14)/(Norm_Stats!$G$14-Norm_Stats!$F$14)))))="",0,0.7)+IF((IF(OR(City_Inputs!$AK24="",Norm_Stats!$F$15="",Norm_Stats!$G$15="",Norm_Stats!$G$15=Norm_Stats!$F$15),"",MAX(0,MIN(100,100*(Norm_Stats!$G$15-MIN(MAX(City_Inputs!$AK24,Norm_Stats!$F$15),Norm_Stats!$G$15))/(Norm_Stats!$G$15-Norm_Stats!$F$15)))))="",0,0.3)))</f>
        <v/>
      </c>
      <c r="AK24" s="15">
        <f>IF((IF(AE24="",0,8)+IF(AG24="",0,6)+IF(AI24="",0,4))=0,"",(IF(AE24="",0,AE24*8)+IF(AG24="",0,AG24*6)+IF(AI24="",0,AI24*4))/(IF(AE24="",0,8)+IF(AG24="",0,6)+IF(AI24="",0,4)))</f>
        <v/>
      </c>
      <c r="AL24" s="14">
        <f>IF((IF(AF24="",0,8)+IF(AH24="",0,6)+IF(AJ24="",0,4))=0,"",(IF(AF24="",0,AF24*8)+IF(AH24="",0,AH24*6)+IF(AJ24="",0,AJ24*4))/18)</f>
        <v/>
      </c>
      <c r="AM24" s="11">
        <f>IF(OR(City_Inputs!$AA24="",Norm_Stats!$F$16="",Norm_Stats!$G$16="",Norm_Stats!$G$16=Norm_Stats!$F$16),"",MAX(0,MIN(100,100*(MIN(MAX(City_Inputs!$AA24,Norm_Stats!$F$16),Norm_Stats!$G$16)-Norm_Stats!$F$16)/(Norm_Stats!$G$16-Norm_Stats!$F$16))))</f>
        <v/>
      </c>
      <c r="AN24" s="14">
        <f>IF(AM24="","",1)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5">
        <f>IF((IF(AM24="",0,5)+IF(AO24="",0,5)+IF(AQ24="",0,5))=0,"",(IF(AM24="",0,AM24*5)+IF(AO24="",0,AO24*5)+IF(AQ24="",0,AQ24*5))/(IF(AM24="",0,5)+IF(AO24="",0,5)+IF(AQ24="",0,5)))</f>
        <v/>
      </c>
      <c r="AT24" s="14">
        <f>IF((IF(AN24="",0,5)+IF(AP24="",0,5)+IF(AR24="",0,5))=0,"",(IF(AN24="",0,AN24*5)+IF(AP24="",0,AP24*5)+IF(AR24="",0,AR24*5))/15)</f>
        <v/>
      </c>
      <c r="AU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V24" s="14">
        <f>IF(AU24="","",1)</f>
        <v/>
      </c>
      <c r="AW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X24" s="14">
        <f>IF(AW24="","",1)</f>
        <v/>
      </c>
      <c r="AY24" s="11">
        <f>IF((IF((IF(OR(City_Inputs!$AF24="",Norm_Stats!$F$21="",Norm_Stats!$G$21="",Norm_Stats!$G$21=Norm_Stats!$F$21),"",MAX(0,MIN(100,100*(MIN(MAX(City_Inputs!$AF24,Norm_Stats!$F$21),Norm_Stats!$G$21)-Norm_Stats!$F$21)/(Norm_Stats!$G$21-Norm_Stats!$F$21)))))="",0,0.5)+IF((IF(OR(City_Inputs!$AI24="",Norm_Stats!$F$22="",Norm_Stats!$G$22="",Norm_Stats!$G$22=Norm_Stats!$F$22),"",MAX(0,MIN(100,100*(MIN(MAX(City_Inputs!$AI24,Norm_Stats!$F$22),Norm_Stats!$G$22)-Norm_Stats!$F$22)/(Norm_Stats!$G$22-Norm_Stats!$F$22)))))="",0,0.3)+IF((IF(OR(City_Inputs!$AJ24="",Norm_Stats!$F$23="",Norm_Stats!$G$23="",Norm_Stats!$G$23=Norm_Stats!$F$23),"",MAX(0,MIN(100,100*(MIN(MAX(City_Inputs!$AJ24,Norm_Stats!$F$23),Norm_Stats!$G$23)-Norm_Stats!$F$23)/(Norm_Stats!$G$23-Norm_Stats!$F$23)))))="",0,0.2))=0,"",(IF((IF(OR(City_Inputs!$AF24="",Norm_Stats!$F$21="",Norm_Stats!$G$21="",Norm_Stats!$G$21=Norm_Stats!$F$21),"",MAX(0,MIN(100,100*(MIN(MAX(City_Inputs!$AF24,Norm_Stats!$F$21),Norm_Stats!$G$21)-Norm_Stats!$F$21)/(Norm_Stats!$G$21-Norm_Stats!$F$21)))))="",0,(IF(OR(City_Inputs!$AF24="",Norm_Stats!$F$21="",Norm_Stats!$G$21="",Norm_Stats!$G$21=Norm_Stats!$F$21),"",MAX(0,MIN(100,100*(MIN(MAX(City_Inputs!$AF24,Norm_Stats!$F$21),Norm_Stats!$G$21)-Norm_Stats!$F$21)/(Norm_Stats!$G$21-Norm_Stats!$F$21)))))*0.5)+IF((IF(OR(City_Inputs!$AI24="",Norm_Stats!$F$22="",Norm_Stats!$G$22="",Norm_Stats!$G$22=Norm_Stats!$F$22),"",MAX(0,MIN(100,100*(MIN(MAX(City_Inputs!$AI24,Norm_Stats!$F$22),Norm_Stats!$G$22)-Norm_Stats!$F$22)/(Norm_Stats!$G$22-Norm_Stats!$F$22)))))="",0,(IF(OR(City_Inputs!$AI24="",Norm_Stats!$F$22="",Norm_Stats!$G$22="",Norm_Stats!$G$22=Norm_Stats!$F$22),"",MAX(0,MIN(100,100*(MIN(MAX(City_Inputs!$AI24,Norm_Stats!$F$22),Norm_Stats!$G$22)-Norm_Stats!$F$22)/(Norm_Stats!$G$22-Norm_Stats!$F$22)))))*0.3)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0.2))/(IF((IF(OR(City_Inputs!$AF24="",Norm_Stats!$F$21="",Norm_Stats!$G$21="",Norm_Stats!$G$21=Norm_Stats!$F$21),"",MAX(0,MIN(100,100*(MIN(MAX(City_Inputs!$AF24,Norm_Stats!$F$21),Norm_Stats!$G$21)-Norm_Stats!$F$21)/(Norm_Stats!$G$21-Norm_Stats!$F$21)))))="",0,0.5)+IF((IF(OR(City_Inputs!$AI24="",Norm_Stats!$F$22="",Norm_Stats!$G$22="",Norm_Stats!$G$22=Norm_Stats!$F$22),"",MAX(0,MIN(100,100*(MIN(MAX(City_Inputs!$AI24,Norm_Stats!$F$22),Norm_Stats!$G$22)-Norm_Stats!$F$22)/(Norm_Stats!$G$22-Norm_Stats!$F$22)))))="",0,0.3)+IF((IF(OR(City_Inputs!$AJ24="",Norm_Stats!$F$23="",Norm_Stats!$G$23="",Norm_Stats!$G$23=Norm_Stats!$F$23),"",MAX(0,MIN(100,100*(MIN(MAX(City_Inputs!$AJ24,Norm_Stats!$F$23),Norm_Stats!$G$23)-Norm_Stats!$F$23)/(Norm_Stats!$G$23-Norm_Stats!$F$23)))))="",0,0.2)))</f>
        <v/>
      </c>
      <c r="AZ24" s="14">
        <f>IF((IF((IF(OR(City_Inputs!$AF24="",Norm_Stats!$F$21="",Norm_Stats!$G$21="",Norm_Stats!$G$21=Norm_Stats!$F$21),"",MAX(0,MIN(100,100*(MIN(MAX(City_Inputs!$AF24,Norm_Stats!$F$21),Norm_Stats!$G$21)-Norm_Stats!$F$21)/(Norm_Stats!$G$21-Norm_Stats!$F$21)))))="",0,0.5)+IF((IF(OR(City_Inputs!$AI24="",Norm_Stats!$F$22="",Norm_Stats!$G$22="",Norm_Stats!$G$22=Norm_Stats!$F$22),"",MAX(0,MIN(100,100*(MIN(MAX(City_Inputs!$AI24,Norm_Stats!$F$22),Norm_Stats!$G$22)-Norm_Stats!$F$22)/(Norm_Stats!$G$22-Norm_Stats!$F$22)))))="",0,0.3)+IF((IF(OR(City_Inputs!$AJ24="",Norm_Stats!$F$23="",Norm_Stats!$G$23="",Norm_Stats!$G$23=Norm_Stats!$F$23),"",MAX(0,MIN(100,100*(MIN(MAX(City_Inputs!$AJ24,Norm_Stats!$F$23),Norm_Stats!$G$23)-Norm_Stats!$F$23)/(Norm_Stats!$G$23-Norm_Stats!$F$23)))))="",0,0.2))=0,"",(IF((IF(OR(City_Inputs!$AF24="",Norm_Stats!$F$21="",Norm_Stats!$G$21="",Norm_Stats!$G$21=Norm_Stats!$F$21),"",MAX(0,MIN(100,100*(MIN(MAX(City_Inputs!$AF24,Norm_Stats!$F$21),Norm_Stats!$G$21)-Norm_Stats!$F$21)/(Norm_Stats!$G$21-Norm_Stats!$F$21)))))="",0,0.5)+IF((IF(OR(City_Inputs!$AI24="",Norm_Stats!$F$22="",Norm_Stats!$G$22="",Norm_Stats!$G$22=Norm_Stats!$F$22),"",MAX(0,MIN(100,100*(MIN(MAX(City_Inputs!$AI24,Norm_Stats!$F$22),Norm_Stats!$G$22)-Norm_Stats!$F$22)/(Norm_Stats!$G$22-Norm_Stats!$F$22)))))="",0,0.3)+IF((IF(OR(City_Inputs!$AJ24="",Norm_Stats!$F$23="",Norm_Stats!$G$23="",Norm_Stats!$G$23=Norm_Stats!$F$23),"",MAX(0,MIN(100,100*(MIN(MAX(City_Inputs!$AJ24,Norm_Stats!$F$23),Norm_Stats!$G$23)-Norm_Stats!$F$23)/(Norm_Stats!$G$23-Norm_Stats!$F$23)))))="",0,0.2)))</f>
        <v/>
      </c>
      <c r="BA24" s="11">
        <f>IF(OR(City_Inputs!$AG24="",Norm_Stats!$F$24="",Norm_Stats!$G$24="",Norm_Stats!$G$24=Norm_Stats!$F$24),"",MAX(0,MIN(100,100*(Norm_Stats!$G$24-MIN(MAX(City_Inputs!$AG24,Norm_Stats!$F$24),Norm_Stats!$G$24))/(Norm_Stats!$G$24-Norm_Stats!$F$24))))</f>
        <v/>
      </c>
      <c r="BB24" s="14">
        <f>IF(BA24="","",1)</f>
        <v/>
      </c>
      <c r="BC24" s="15">
        <f>IF((IF(AU24="",0,6)+IF(AW24="",0,5)+IF(AY24="",0,5)+IF(BA24="",0,4))=0,"",(IF(AU24="",0,AU24*6)+IF(AW24="",0,AW24*5)+IF(AY24="",0,AY24*5)+IF(BA24="",0,BA24*4))/(IF(AU24="",0,6)+IF(AW24="",0,5)+IF(AY24="",0,5)+IF(BA24="",0,4)))</f>
        <v/>
      </c>
      <c r="BD24" s="14">
        <f>IF((IF(AV24="",0,6)+IF(AX24="",0,5)+IF(AZ24="",0,5)+IF(BB24="",0,4))=0,"",(IF(AV24="",0,AV24*6)+IF(AX24="",0,AX24*5)+IF(AZ24="",0,AZ24*5)+IF(BB24="",0,BB24*4))/20)</f>
        <v/>
      </c>
      <c r="BE24" s="14">
        <f>IF(AND(R24="",AD24="",AL24="",AT24="",BD24=""),"",((R24*25)+(AD24*22)+(AL24*18)+(AT24*15)+(BD24*20))/100)</f>
        <v/>
      </c>
      <c r="BF24" s="11">
        <f>IF(BE24="","",IF(BE24&gt;=0.75,"A",IF(BE24&gt;=0.5,"B",IF(BE24&gt;=0.35,"C","Watchlist"))))</f>
        <v/>
      </c>
      <c r="BG24" s="11">
        <f>IF(OR(BE24="",BE24&lt;0.5,R24="",R24&lt;0.35,AD24="",AD24&lt;0.35,AL24="",AL24&lt;0.35,AT24="",AT24&lt;0.35,BD24="",BD24&lt;0.35),"Watchlist","Ranked")</f>
        <v/>
      </c>
      <c r="BH24" s="15">
        <f>IF(AND(Q24="",AC24="",AK24="",AS24="",BC24=""),"",(IF(Q24="",0,Q24*25)+IF(AC24="",0,AC24*22)+IF(AK24="",0,AK24*18)+IF(AS24="",0,AS24*15)+IF(BC24="",0,BC24*20))/(IF(Q24="",0,25)+IF(AC24="",0,22)+IF(AK24="",0,18)+IF(AS24="",0,15)+IF(BC24="",0,20)))</f>
        <v/>
      </c>
      <c r="BI24" s="11">
        <f>IF(BG24="Ranked",1+COUNTIFS($BG$2:$BG$101,"Ranked",$BH$2:$BH$101,"&gt;"&amp;BH24),"")</f>
        <v/>
      </c>
      <c r="BJ24" s="11">
        <f>City_Inputs!$AH24</f>
        <v/>
      </c>
    </row>
    <row r="25">
      <c r="A25" t="inlineStr">
        <is>
          <t>bd-dhaka</t>
        </is>
      </c>
      <c r="B25" t="inlineStr">
        <is>
          <t>Dhaka</t>
        </is>
      </c>
      <c r="C25" t="inlineStr">
        <is>
          <t>Bangladesh</t>
        </is>
      </c>
      <c r="D25" t="inlineStr">
        <is>
          <t>South Asia</t>
        </is>
      </c>
      <c r="E25" t="inlineStr">
        <is>
          <t>provisional</t>
        </is>
      </c>
      <c r="F25" t="inlineStr">
        <is>
          <t>primary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IF((IF(G25="",0,9)+IF(I25="",0,5)+IF(K25="",0,4)+IF(M25="",0,4)+IF(O25="",0,3))=0,"",(IF(G25="",0,G25*9)+IF(I25="",0,I25*5)+IF(K25="",0,K25*4)+IF(M25="",0,M25*4)+IF(O25="",0,O25*3))/(IF(G25="",0,9)+IF(I25="",0,5)+IF(K25="",0,4)+IF(M25="",0,4)+IF(O25="",0,3)))</f>
        <v/>
      </c>
      <c r="R25" s="14">
        <f>IF((IF(H25="",0,9)+IF(J25="",0,5)+IF(L25="",0,4)+IF(N25="",0,4)+IF(P25="",0,3))=0,"",(IF(H25="",0,H25*9)+IF(J25="",0,J25*5)+IF(L25="",0,L25*4)+IF(N25="",0,N25*4)+IF(P25="",0,P25*3))/25)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5">
        <f>IF((IF(S25="",0,5)+IF(U25="",0,5)+IF(W25="",0,4)+IF(Y25="",0,4)+IF(AA25="",0,4))=0,"",(IF(S25="",0,S25*5)+IF(U25="",0,U25*5)+IF(W25="",0,W25*4)+IF(Y25="",0,Y25*4)+IF(AA25="",0,AA25*4))/(IF(S25="",0,5)+IF(U25="",0,5)+IF(W25="",0,4)+IF(Y25="",0,4)+IF(AA25="",0,4)))</f>
        <v/>
      </c>
      <c r="AD25" s="14">
        <f>IF((IF(T25="",0,5)+IF(V25="",0,5)+IF(X25="",0,4)+IF(Z25="",0,4)+IF(AB25="",0,4))=0,"",(IF(T25="",0,T25*5)+IF(V25="",0,V25*5)+IF(X25="",0,X25*4)+IF(Z25="",0,Z25*4)+IF(AB25="",0,AB25*4))/22)</f>
        <v/>
      </c>
      <c r="AE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F25" s="14">
        <f>IF(AE25="","",1)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(IF((IF(OR(City_Inputs!$Z25="",Norm_Stats!$F$14="",Norm_Stats!$G$14="",Norm_Stats!$G$14=Norm_Stats!$F$14),"",MAX(0,MIN(100,100*(MIN(MAX(City_Inputs!$Z25,Norm_Stats!$F$14),Norm_Stats!$G$14)-Norm_Stats!$F$14)/(Norm_Stats!$G$14-Norm_Stats!$F$14)))))="",0,0.7)+IF((IF(OR(City_Inputs!$AK25="",Norm_Stats!$F$15="",Norm_Stats!$G$15="",Norm_Stats!$G$15=Norm_Stats!$F$15),"",MAX(0,MIN(100,100*(Norm_Stats!$G$15-MIN(MAX(City_Inputs!$AK25,Norm_Stats!$F$15),Norm_Stats!$G$15))/(Norm_Stats!$G$15-Norm_Stats!$F$15)))))="",0,0.3))=0,"",(IF((IF(OR(City_Inputs!$Z25="",Norm_Stats!$F$14="",Norm_Stats!$G$14="",Norm_Stats!$G$14=Norm_Stats!$F$14),"",MAX(0,MIN(100,100*(MIN(MAX(City_Inputs!$Z25,Norm_Stats!$F$14),Norm_Stats!$G$14)-Norm_Stats!$F$14)/(Norm_Stats!$G$14-Norm_Stats!$F$14)))))="",0,(IF(OR(City_Inputs!$Z25="",Norm_Stats!$F$14="",Norm_Stats!$G$14="",Norm_Stats!$G$14=Norm_Stats!$F$14),"",MAX(0,MIN(100,100*(MIN(MAX(City_Inputs!$Z25,Norm_Stats!$F$14),Norm_Stats!$G$14)-Norm_Stats!$F$14)/(Norm_Stats!$G$14-Norm_Stats!$F$14)))))*0.7)+IF((IF(OR(City_Inputs!$AK25="",Norm_Stats!$F$15="",Norm_Stats!$G$15="",Norm_Stats!$G$15=Norm_Stats!$F$15),"",MAX(0,MIN(100,100*(Norm_Stats!$G$15-MIN(MAX(City_Inputs!$AK25,Norm_Stats!$F$15),Norm_Stats!$G$15))/(Norm_Stats!$G$15-Norm_Stats!$F$15)))))="",0,(IF(OR(City_Inputs!$AK25="",Norm_Stats!$F$15="",Norm_Stats!$G$15="",Norm_Stats!$G$15=Norm_Stats!$F$15),"",MAX(0,MIN(100,100*(Norm_Stats!$G$15-MIN(MAX(City_Inputs!$AK25,Norm_Stats!$F$15),Norm_Stats!$G$15))/(Norm_Stats!$G$15-Norm_Stats!$F$15)))))*0.3))/(IF((IF(OR(City_Inputs!$Z25="",Norm_Stats!$F$14="",Norm_Stats!$G$14="",Norm_Stats!$G$14=Norm_Stats!$F$14),"",MAX(0,MIN(100,100*(MIN(MAX(City_Inputs!$Z25,Norm_Stats!$F$14),Norm_Stats!$G$14)-Norm_Stats!$F$14)/(Norm_Stats!$G$14-Norm_Stats!$F$14)))))="",0,0.7)+IF((IF(OR(City_Inputs!$AK25="",Norm_Stats!$F$15="",Norm_Stats!$G$15="",Norm_Stats!$G$15=Norm_Stats!$F$15),"",MAX(0,MIN(100,100*(Norm_Stats!$G$15-MIN(MAX(City_Inputs!$AK25,Norm_Stats!$F$15),Norm_Stats!$G$15))/(Norm_Stats!$G$15-Norm_Stats!$F$15)))))="",0,0.3)))</f>
        <v/>
      </c>
      <c r="AJ25" s="14">
        <f>IF((IF((IF(OR(City_Inputs!$Z25="",Norm_Stats!$F$14="",Norm_Stats!$G$14="",Norm_Stats!$G$14=Norm_Stats!$F$14),"",MAX(0,MIN(100,100*(MIN(MAX(City_Inputs!$Z25,Norm_Stats!$F$14),Norm_Stats!$G$14)-Norm_Stats!$F$14)/(Norm_Stats!$G$14-Norm_Stats!$F$14)))))="",0,0.7)+IF((IF(OR(City_Inputs!$AK25="",Norm_Stats!$F$15="",Norm_Stats!$G$15="",Norm_Stats!$G$15=Norm_Stats!$F$15),"",MAX(0,MIN(100,100*(Norm_Stats!$G$15-MIN(MAX(City_Inputs!$AK25,Norm_Stats!$F$15),Norm_Stats!$G$15))/(Norm_Stats!$G$15-Norm_Stats!$F$15)))))="",0,0.3))=0,"",(IF((IF(OR(City_Inputs!$Z25="",Norm_Stats!$F$14="",Norm_Stats!$G$14="",Norm_Stats!$G$14=Norm_Stats!$F$14),"",MAX(0,MIN(100,100*(MIN(MAX(City_Inputs!$Z25,Norm_Stats!$F$14),Norm_Stats!$G$14)-Norm_Stats!$F$14)/(Norm_Stats!$G$14-Norm_Stats!$F$14)))))="",0,0.7)+IF((IF(OR(City_Inputs!$AK25="",Norm_Stats!$F$15="",Norm_Stats!$G$15="",Norm_Stats!$G$15=Norm_Stats!$F$15),"",MAX(0,MIN(100,100*(Norm_Stats!$G$15-MIN(MAX(City_Inputs!$AK25,Norm_Stats!$F$15),Norm_Stats!$G$15))/(Norm_Stats!$G$15-Norm_Stats!$F$15)))))="",0,0.3)))</f>
        <v/>
      </c>
      <c r="AK25" s="15">
        <f>IF((IF(AE25="",0,8)+IF(AG25="",0,6)+IF(AI25="",0,4))=0,"",(IF(AE25="",0,AE25*8)+IF(AG25="",0,AG25*6)+IF(AI25="",0,AI25*4))/(IF(AE25="",0,8)+IF(AG25="",0,6)+IF(AI25="",0,4)))</f>
        <v/>
      </c>
      <c r="AL25" s="14">
        <f>IF((IF(AF25="",0,8)+IF(AH25="",0,6)+IF(AJ25="",0,4))=0,"",(IF(AF25="",0,AF25*8)+IF(AH25="",0,AH25*6)+IF(AJ25="",0,AJ25*4))/18)</f>
        <v/>
      </c>
      <c r="AM25" s="11">
        <f>IF(OR(City_Inputs!$AA25="",Norm_Stats!$F$16="",Norm_Stats!$G$16="",Norm_Stats!$G$16=Norm_Stats!$F$16),"",MAX(0,MIN(100,100*(MIN(MAX(City_Inputs!$AA25,Norm_Stats!$F$16),Norm_Stats!$G$16)-Norm_Stats!$F$16)/(Norm_Stats!$G$16-Norm_Stats!$F$16))))</f>
        <v/>
      </c>
      <c r="AN25" s="14">
        <f>IF(AM25="","",1)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5">
        <f>IF((IF(AM25="",0,5)+IF(AO25="",0,5)+IF(AQ25="",0,5))=0,"",(IF(AM25="",0,AM25*5)+IF(AO25="",0,AO25*5)+IF(AQ25="",0,AQ25*5))/(IF(AM25="",0,5)+IF(AO25="",0,5)+IF(AQ25="",0,5)))</f>
        <v/>
      </c>
      <c r="AT25" s="14">
        <f>IF((IF(AN25="",0,5)+IF(AP25="",0,5)+IF(AR25="",0,5))=0,"",(IF(AN25="",0,AN25*5)+IF(AP25="",0,AP25*5)+IF(AR25="",0,AR25*5))/15)</f>
        <v/>
      </c>
      <c r="AU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V25" s="14">
        <f>IF(AU25="","",1)</f>
        <v/>
      </c>
      <c r="AW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X25" s="14">
        <f>IF(AW25="","",1)</f>
        <v/>
      </c>
      <c r="AY25" s="11">
        <f>IF((IF((IF(OR(City_Inputs!$AF25="",Norm_Stats!$F$21="",Norm_Stats!$G$21="",Norm_Stats!$G$21=Norm_Stats!$F$21),"",MAX(0,MIN(100,100*(MIN(MAX(City_Inputs!$AF25,Norm_Stats!$F$21),Norm_Stats!$G$21)-Norm_Stats!$F$21)/(Norm_Stats!$G$21-Norm_Stats!$F$21)))))="",0,0.5)+IF((IF(OR(City_Inputs!$AI25="",Norm_Stats!$F$22="",Norm_Stats!$G$22="",Norm_Stats!$G$22=Norm_Stats!$F$22),"",MAX(0,MIN(100,100*(MIN(MAX(City_Inputs!$AI25,Norm_Stats!$F$22),Norm_Stats!$G$22)-Norm_Stats!$F$22)/(Norm_Stats!$G$22-Norm_Stats!$F$22)))))="",0,0.3)+IF((IF(OR(City_Inputs!$AJ25="",Norm_Stats!$F$23="",Norm_Stats!$G$23="",Norm_Stats!$G$23=Norm_Stats!$F$23),"",MAX(0,MIN(100,100*(MIN(MAX(City_Inputs!$AJ25,Norm_Stats!$F$23),Norm_Stats!$G$23)-Norm_Stats!$F$23)/(Norm_Stats!$G$23-Norm_Stats!$F$23)))))="",0,0.2))=0,"",(IF((IF(OR(City_Inputs!$AF25="",Norm_Stats!$F$21="",Norm_Stats!$G$21="",Norm_Stats!$G$21=Norm_Stats!$F$21),"",MAX(0,MIN(100,100*(MIN(MAX(City_Inputs!$AF25,Norm_Stats!$F$21),Norm_Stats!$G$21)-Norm_Stats!$F$21)/(Norm_Stats!$G$21-Norm_Stats!$F$21)))))="",0,(IF(OR(City_Inputs!$AF25="",Norm_Stats!$F$21="",Norm_Stats!$G$21="",Norm_Stats!$G$21=Norm_Stats!$F$21),"",MAX(0,MIN(100,100*(MIN(MAX(City_Inputs!$AF25,Norm_Stats!$F$21),Norm_Stats!$G$21)-Norm_Stats!$F$21)/(Norm_Stats!$G$21-Norm_Stats!$F$21)))))*0.5)+IF((IF(OR(City_Inputs!$AI25="",Norm_Stats!$F$22="",Norm_Stats!$G$22="",Norm_Stats!$G$22=Norm_Stats!$F$22),"",MAX(0,MIN(100,100*(MIN(MAX(City_Inputs!$AI25,Norm_Stats!$F$22),Norm_Stats!$G$22)-Norm_Stats!$F$22)/(Norm_Stats!$G$22-Norm_Stats!$F$22)))))="",0,(IF(OR(City_Inputs!$AI25="",Norm_Stats!$F$22="",Norm_Stats!$G$22="",Norm_Stats!$G$22=Norm_Stats!$F$22),"",MAX(0,MIN(100,100*(MIN(MAX(City_Inputs!$AI25,Norm_Stats!$F$22),Norm_Stats!$G$22)-Norm_Stats!$F$22)/(Norm_Stats!$G$22-Norm_Stats!$F$22)))))*0.3)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0.2))/(IF((IF(OR(City_Inputs!$AF25="",Norm_Stats!$F$21="",Norm_Stats!$G$21="",Norm_Stats!$G$21=Norm_Stats!$F$21),"",MAX(0,MIN(100,100*(MIN(MAX(City_Inputs!$AF25,Norm_Stats!$F$21),Norm_Stats!$G$21)-Norm_Stats!$F$21)/(Norm_Stats!$G$21-Norm_Stats!$F$21)))))="",0,0.5)+IF((IF(OR(City_Inputs!$AI25="",Norm_Stats!$F$22="",Norm_Stats!$G$22="",Norm_Stats!$G$22=Norm_Stats!$F$22),"",MAX(0,MIN(100,100*(MIN(MAX(City_Inputs!$AI25,Norm_Stats!$F$22),Norm_Stats!$G$22)-Norm_Stats!$F$22)/(Norm_Stats!$G$22-Norm_Stats!$F$22)))))="",0,0.3)+IF((IF(OR(City_Inputs!$AJ25="",Norm_Stats!$F$23="",Norm_Stats!$G$23="",Norm_Stats!$G$23=Norm_Stats!$F$23),"",MAX(0,MIN(100,100*(MIN(MAX(City_Inputs!$AJ25,Norm_Stats!$F$23),Norm_Stats!$G$23)-Norm_Stats!$F$23)/(Norm_Stats!$G$23-Norm_Stats!$F$23)))))="",0,0.2)))</f>
        <v/>
      </c>
      <c r="AZ25" s="14">
        <f>IF((IF((IF(OR(City_Inputs!$AF25="",Norm_Stats!$F$21="",Norm_Stats!$G$21="",Norm_Stats!$G$21=Norm_Stats!$F$21),"",MAX(0,MIN(100,100*(MIN(MAX(City_Inputs!$AF25,Norm_Stats!$F$21),Norm_Stats!$G$21)-Norm_Stats!$F$21)/(Norm_Stats!$G$21-Norm_Stats!$F$21)))))="",0,0.5)+IF((IF(OR(City_Inputs!$AI25="",Norm_Stats!$F$22="",Norm_Stats!$G$22="",Norm_Stats!$G$22=Norm_Stats!$F$22),"",MAX(0,MIN(100,100*(MIN(MAX(City_Inputs!$AI25,Norm_Stats!$F$22),Norm_Stats!$G$22)-Norm_Stats!$F$22)/(Norm_Stats!$G$22-Norm_Stats!$F$22)))))="",0,0.3)+IF((IF(OR(City_Inputs!$AJ25="",Norm_Stats!$F$23="",Norm_Stats!$G$23="",Norm_Stats!$G$23=Norm_Stats!$F$23),"",MAX(0,MIN(100,100*(MIN(MAX(City_Inputs!$AJ25,Norm_Stats!$F$23),Norm_Stats!$G$23)-Norm_Stats!$F$23)/(Norm_Stats!$G$23-Norm_Stats!$F$23)))))="",0,0.2))=0,"",(IF((IF(OR(City_Inputs!$AF25="",Norm_Stats!$F$21="",Norm_Stats!$G$21="",Norm_Stats!$G$21=Norm_Stats!$F$21),"",MAX(0,MIN(100,100*(MIN(MAX(City_Inputs!$AF25,Norm_Stats!$F$21),Norm_Stats!$G$21)-Norm_Stats!$F$21)/(Norm_Stats!$G$21-Norm_Stats!$F$21)))))="",0,0.5)+IF((IF(OR(City_Inputs!$AI25="",Norm_Stats!$F$22="",Norm_Stats!$G$22="",Norm_Stats!$G$22=Norm_Stats!$F$22),"",MAX(0,MIN(100,100*(MIN(MAX(City_Inputs!$AI25,Norm_Stats!$F$22),Norm_Stats!$G$22)-Norm_Stats!$F$22)/(Norm_Stats!$G$22-Norm_Stats!$F$22)))))="",0,0.3)+IF((IF(OR(City_Inputs!$AJ25="",Norm_Stats!$F$23="",Norm_Stats!$G$23="",Norm_Stats!$G$23=Norm_Stats!$F$23),"",MAX(0,MIN(100,100*(MIN(MAX(City_Inputs!$AJ25,Norm_Stats!$F$23),Norm_Stats!$G$23)-Norm_Stats!$F$23)/(Norm_Stats!$G$23-Norm_Stats!$F$23)))))="",0,0.2)))</f>
        <v/>
      </c>
      <c r="BA25" s="11">
        <f>IF(OR(City_Inputs!$AG25="",Norm_Stats!$F$24="",Norm_Stats!$G$24="",Norm_Stats!$G$24=Norm_Stats!$F$24),"",MAX(0,MIN(100,100*(Norm_Stats!$G$24-MIN(MAX(City_Inputs!$AG25,Norm_Stats!$F$24),Norm_Stats!$G$24))/(Norm_Stats!$G$24-Norm_Stats!$F$24))))</f>
        <v/>
      </c>
      <c r="BB25" s="14">
        <f>IF(BA25="","",1)</f>
        <v/>
      </c>
      <c r="BC25" s="15">
        <f>IF((IF(AU25="",0,6)+IF(AW25="",0,5)+IF(AY25="",0,5)+IF(BA25="",0,4))=0,"",(IF(AU25="",0,AU25*6)+IF(AW25="",0,AW25*5)+IF(AY25="",0,AY25*5)+IF(BA25="",0,BA25*4))/(IF(AU25="",0,6)+IF(AW25="",0,5)+IF(AY25="",0,5)+IF(BA25="",0,4)))</f>
        <v/>
      </c>
      <c r="BD25" s="14">
        <f>IF((IF(AV25="",0,6)+IF(AX25="",0,5)+IF(AZ25="",0,5)+IF(BB25="",0,4))=0,"",(IF(AV25="",0,AV25*6)+IF(AX25="",0,AX25*5)+IF(AZ25="",0,AZ25*5)+IF(BB25="",0,BB25*4))/20)</f>
        <v/>
      </c>
      <c r="BE25" s="14">
        <f>IF(AND(R25="",AD25="",AL25="",AT25="",BD25=""),"",((R25*25)+(AD25*22)+(AL25*18)+(AT25*15)+(BD25*20))/100)</f>
        <v/>
      </c>
      <c r="BF25" s="11">
        <f>IF(BE25="","",IF(BE25&gt;=0.75,"A",IF(BE25&gt;=0.5,"B",IF(BE25&gt;=0.35,"C","Watchlist"))))</f>
        <v/>
      </c>
      <c r="BG25" s="11">
        <f>IF(OR(BE25="",BE25&lt;0.5,R25="",R25&lt;0.35,AD25="",AD25&lt;0.35,AL25="",AL25&lt;0.35,AT25="",AT25&lt;0.35,BD25="",BD25&lt;0.35),"Watchlist","Ranked")</f>
        <v/>
      </c>
      <c r="BH25" s="15">
        <f>IF(AND(Q25="",AC25="",AK25="",AS25="",BC25=""),"",(IF(Q25="",0,Q25*25)+IF(AC25="",0,AC25*22)+IF(AK25="",0,AK25*18)+IF(AS25="",0,AS25*15)+IF(BC25="",0,BC25*20))/(IF(Q25="",0,25)+IF(AC25="",0,22)+IF(AK25="",0,18)+IF(AS25="",0,15)+IF(BC25="",0,20)))</f>
        <v/>
      </c>
      <c r="BI25" s="11">
        <f>IF(BG25="Ranked",1+COUNTIFS($BG$2:$BG$101,"Ranked",$BH$2:$BH$101,"&gt;"&amp;BH25),"")</f>
        <v/>
      </c>
      <c r="BJ25" s="11">
        <f>City_Inputs!$AH25</f>
        <v/>
      </c>
    </row>
    <row r="26">
      <c r="A26" t="inlineStr">
        <is>
          <t>pk-karachi</t>
        </is>
      </c>
      <c r="B26" t="inlineStr">
        <is>
          <t>Karachi</t>
        </is>
      </c>
      <c r="C26" t="inlineStr">
        <is>
          <t>Pakistan</t>
        </is>
      </c>
      <c r="D26" t="inlineStr">
        <is>
          <t>South Asia</t>
        </is>
      </c>
      <c r="E26" t="inlineStr">
        <is>
          <t>provisional</t>
        </is>
      </c>
      <c r="F26" t="inlineStr">
        <is>
          <t>primary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IF((IF(G26="",0,9)+IF(I26="",0,5)+IF(K26="",0,4)+IF(M26="",0,4)+IF(O26="",0,3))=0,"",(IF(G26="",0,G26*9)+IF(I26="",0,I26*5)+IF(K26="",0,K26*4)+IF(M26="",0,M26*4)+IF(O26="",0,O26*3))/(IF(G26="",0,9)+IF(I26="",0,5)+IF(K26="",0,4)+IF(M26="",0,4)+IF(O26="",0,3)))</f>
        <v/>
      </c>
      <c r="R26" s="14">
        <f>IF((IF(H26="",0,9)+IF(J26="",0,5)+IF(L26="",0,4)+IF(N26="",0,4)+IF(P26="",0,3))=0,"",(IF(H26="",0,H26*9)+IF(J26="",0,J26*5)+IF(L26="",0,L26*4)+IF(N26="",0,N26*4)+IF(P26="",0,P26*3))/25)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5">
        <f>IF((IF(S26="",0,5)+IF(U26="",0,5)+IF(W26="",0,4)+IF(Y26="",0,4)+IF(AA26="",0,4))=0,"",(IF(S26="",0,S26*5)+IF(U26="",0,U26*5)+IF(W26="",0,W26*4)+IF(Y26="",0,Y26*4)+IF(AA26="",0,AA26*4))/(IF(S26="",0,5)+IF(U26="",0,5)+IF(W26="",0,4)+IF(Y26="",0,4)+IF(AA26="",0,4)))</f>
        <v/>
      </c>
      <c r="AD26" s="14">
        <f>IF((IF(T26="",0,5)+IF(V26="",0,5)+IF(X26="",0,4)+IF(Z26="",0,4)+IF(AB26="",0,4))=0,"",(IF(T26="",0,T26*5)+IF(V26="",0,V26*5)+IF(X26="",0,X26*4)+IF(Z26="",0,Z26*4)+IF(AB26="",0,AB26*4))/22)</f>
        <v/>
      </c>
      <c r="AE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F26" s="14">
        <f>IF(AE26="","",1)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(IF((IF(OR(City_Inputs!$Z26="",Norm_Stats!$F$14="",Norm_Stats!$G$14="",Norm_Stats!$G$14=Norm_Stats!$F$14),"",MAX(0,MIN(100,100*(MIN(MAX(City_Inputs!$Z26,Norm_Stats!$F$14),Norm_Stats!$G$14)-Norm_Stats!$F$14)/(Norm_Stats!$G$14-Norm_Stats!$F$14)))))="",0,0.7)+IF((IF(OR(City_Inputs!$AK26="",Norm_Stats!$F$15="",Norm_Stats!$G$15="",Norm_Stats!$G$15=Norm_Stats!$F$15),"",MAX(0,MIN(100,100*(Norm_Stats!$G$15-MIN(MAX(City_Inputs!$AK26,Norm_Stats!$F$15),Norm_Stats!$G$15))/(Norm_Stats!$G$15-Norm_Stats!$F$15)))))="",0,0.3))=0,"",(IF((IF(OR(City_Inputs!$Z26="",Norm_Stats!$F$14="",Norm_Stats!$G$14="",Norm_Stats!$G$14=Norm_Stats!$F$14),"",MAX(0,MIN(100,100*(MIN(MAX(City_Inputs!$Z26,Norm_Stats!$F$14),Norm_Stats!$G$14)-Norm_Stats!$F$14)/(Norm_Stats!$G$14-Norm_Stats!$F$14)))))="",0,(IF(OR(City_Inputs!$Z26="",Norm_Stats!$F$14="",Norm_Stats!$G$14="",Norm_Stats!$G$14=Norm_Stats!$F$14),"",MAX(0,MIN(100,100*(MIN(MAX(City_Inputs!$Z26,Norm_Stats!$F$14),Norm_Stats!$G$14)-Norm_Stats!$F$14)/(Norm_Stats!$G$14-Norm_Stats!$F$14)))))*0.7)+IF((IF(OR(City_Inputs!$AK26="",Norm_Stats!$F$15="",Norm_Stats!$G$15="",Norm_Stats!$G$15=Norm_Stats!$F$15),"",MAX(0,MIN(100,100*(Norm_Stats!$G$15-MIN(MAX(City_Inputs!$AK26,Norm_Stats!$F$15),Norm_Stats!$G$15))/(Norm_Stats!$G$15-Norm_Stats!$F$15)))))="",0,(IF(OR(City_Inputs!$AK26="",Norm_Stats!$F$15="",Norm_Stats!$G$15="",Norm_Stats!$G$15=Norm_Stats!$F$15),"",MAX(0,MIN(100,100*(Norm_Stats!$G$15-MIN(MAX(City_Inputs!$AK26,Norm_Stats!$F$15),Norm_Stats!$G$15))/(Norm_Stats!$G$15-Norm_Stats!$F$15)))))*0.3))/(IF((IF(OR(City_Inputs!$Z26="",Norm_Stats!$F$14="",Norm_Stats!$G$14="",Norm_Stats!$G$14=Norm_Stats!$F$14),"",MAX(0,MIN(100,100*(MIN(MAX(City_Inputs!$Z26,Norm_Stats!$F$14),Norm_Stats!$G$14)-Norm_Stats!$F$14)/(Norm_Stats!$G$14-Norm_Stats!$F$14)))))="",0,0.7)+IF((IF(OR(City_Inputs!$AK26="",Norm_Stats!$F$15="",Norm_Stats!$G$15="",Norm_Stats!$G$15=Norm_Stats!$F$15),"",MAX(0,MIN(100,100*(Norm_Stats!$G$15-MIN(MAX(City_Inputs!$AK26,Norm_Stats!$F$15),Norm_Stats!$G$15))/(Norm_Stats!$G$15-Norm_Stats!$F$15)))))="",0,0.3)))</f>
        <v/>
      </c>
      <c r="AJ26" s="14">
        <f>IF((IF((IF(OR(City_Inputs!$Z26="",Norm_Stats!$F$14="",Norm_Stats!$G$14="",Norm_Stats!$G$14=Norm_Stats!$F$14),"",MAX(0,MIN(100,100*(MIN(MAX(City_Inputs!$Z26,Norm_Stats!$F$14),Norm_Stats!$G$14)-Norm_Stats!$F$14)/(Norm_Stats!$G$14-Norm_Stats!$F$14)))))="",0,0.7)+IF((IF(OR(City_Inputs!$AK26="",Norm_Stats!$F$15="",Norm_Stats!$G$15="",Norm_Stats!$G$15=Norm_Stats!$F$15),"",MAX(0,MIN(100,100*(Norm_Stats!$G$15-MIN(MAX(City_Inputs!$AK26,Norm_Stats!$F$15),Norm_Stats!$G$15))/(Norm_Stats!$G$15-Norm_Stats!$F$15)))))="",0,0.3))=0,"",(IF((IF(OR(City_Inputs!$Z26="",Norm_Stats!$F$14="",Norm_Stats!$G$14="",Norm_Stats!$G$14=Norm_Stats!$F$14),"",MAX(0,MIN(100,100*(MIN(MAX(City_Inputs!$Z26,Norm_Stats!$F$14),Norm_Stats!$G$14)-Norm_Stats!$F$14)/(Norm_Stats!$G$14-Norm_Stats!$F$14)))))="",0,0.7)+IF((IF(OR(City_Inputs!$AK26="",Norm_Stats!$F$15="",Norm_Stats!$G$15="",Norm_Stats!$G$15=Norm_Stats!$F$15),"",MAX(0,MIN(100,100*(Norm_Stats!$G$15-MIN(MAX(City_Inputs!$AK26,Norm_Stats!$F$15),Norm_Stats!$G$15))/(Norm_Stats!$G$15-Norm_Stats!$F$15)))))="",0,0.3)))</f>
        <v/>
      </c>
      <c r="AK26" s="15">
        <f>IF((IF(AE26="",0,8)+IF(AG26="",0,6)+IF(AI26="",0,4))=0,"",(IF(AE26="",0,AE26*8)+IF(AG26="",0,AG26*6)+IF(AI26="",0,AI26*4))/(IF(AE26="",0,8)+IF(AG26="",0,6)+IF(AI26="",0,4)))</f>
        <v/>
      </c>
      <c r="AL26" s="14">
        <f>IF((IF(AF26="",0,8)+IF(AH26="",0,6)+IF(AJ26="",0,4))=0,"",(IF(AF26="",0,AF26*8)+IF(AH26="",0,AH26*6)+IF(AJ26="",0,AJ26*4))/18)</f>
        <v/>
      </c>
      <c r="AM26" s="11">
        <f>IF(OR(City_Inputs!$AA26="",Norm_Stats!$F$16="",Norm_Stats!$G$16="",Norm_Stats!$G$16=Norm_Stats!$F$16),"",MAX(0,MIN(100,100*(MIN(MAX(City_Inputs!$AA26,Norm_Stats!$F$16),Norm_Stats!$G$16)-Norm_Stats!$F$16)/(Norm_Stats!$G$16-Norm_Stats!$F$16))))</f>
        <v/>
      </c>
      <c r="AN26" s="14">
        <f>IF(AM26="","",1)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5">
        <f>IF((IF(AM26="",0,5)+IF(AO26="",0,5)+IF(AQ26="",0,5))=0,"",(IF(AM26="",0,AM26*5)+IF(AO26="",0,AO26*5)+IF(AQ26="",0,AQ26*5))/(IF(AM26="",0,5)+IF(AO26="",0,5)+IF(AQ26="",0,5)))</f>
        <v/>
      </c>
      <c r="AT26" s="14">
        <f>IF((IF(AN26="",0,5)+IF(AP26="",0,5)+IF(AR26="",0,5))=0,"",(IF(AN26="",0,AN26*5)+IF(AP26="",0,AP26*5)+IF(AR26="",0,AR26*5))/15)</f>
        <v/>
      </c>
      <c r="AU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V26" s="14">
        <f>IF(AU26="","",1)</f>
        <v/>
      </c>
      <c r="AW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X26" s="14">
        <f>IF(AW26="","",1)</f>
        <v/>
      </c>
      <c r="AY26" s="11">
        <f>IF((IF((IF(OR(City_Inputs!$AF26="",Norm_Stats!$F$21="",Norm_Stats!$G$21="",Norm_Stats!$G$21=Norm_Stats!$F$21),"",MAX(0,MIN(100,100*(MIN(MAX(City_Inputs!$AF26,Norm_Stats!$F$21),Norm_Stats!$G$21)-Norm_Stats!$F$21)/(Norm_Stats!$G$21-Norm_Stats!$F$21)))))="",0,0.5)+IF((IF(OR(City_Inputs!$AI26="",Norm_Stats!$F$22="",Norm_Stats!$G$22="",Norm_Stats!$G$22=Norm_Stats!$F$22),"",MAX(0,MIN(100,100*(MIN(MAX(City_Inputs!$AI26,Norm_Stats!$F$22),Norm_Stats!$G$22)-Norm_Stats!$F$22)/(Norm_Stats!$G$22-Norm_Stats!$F$22)))))="",0,0.3)+IF((IF(OR(City_Inputs!$AJ26="",Norm_Stats!$F$23="",Norm_Stats!$G$23="",Norm_Stats!$G$23=Norm_Stats!$F$23),"",MAX(0,MIN(100,100*(MIN(MAX(City_Inputs!$AJ26,Norm_Stats!$F$23),Norm_Stats!$G$23)-Norm_Stats!$F$23)/(Norm_Stats!$G$23-Norm_Stats!$F$23)))))="",0,0.2))=0,"",(IF((IF(OR(City_Inputs!$AF26="",Norm_Stats!$F$21="",Norm_Stats!$G$21="",Norm_Stats!$G$21=Norm_Stats!$F$21),"",MAX(0,MIN(100,100*(MIN(MAX(City_Inputs!$AF26,Norm_Stats!$F$21),Norm_Stats!$G$21)-Norm_Stats!$F$21)/(Norm_Stats!$G$21-Norm_Stats!$F$21)))))="",0,(IF(OR(City_Inputs!$AF26="",Norm_Stats!$F$21="",Norm_Stats!$G$21="",Norm_Stats!$G$21=Norm_Stats!$F$21),"",MAX(0,MIN(100,100*(MIN(MAX(City_Inputs!$AF26,Norm_Stats!$F$21),Norm_Stats!$G$21)-Norm_Stats!$F$21)/(Norm_Stats!$G$21-Norm_Stats!$F$21)))))*0.5)+IF((IF(OR(City_Inputs!$AI26="",Norm_Stats!$F$22="",Norm_Stats!$G$22="",Norm_Stats!$G$22=Norm_Stats!$F$22),"",MAX(0,MIN(100,100*(MIN(MAX(City_Inputs!$AI26,Norm_Stats!$F$22),Norm_Stats!$G$22)-Norm_Stats!$F$22)/(Norm_Stats!$G$22-Norm_Stats!$F$22)))))="",0,(IF(OR(City_Inputs!$AI26="",Norm_Stats!$F$22="",Norm_Stats!$G$22="",Norm_Stats!$G$22=Norm_Stats!$F$22),"",MAX(0,MIN(100,100*(MIN(MAX(City_Inputs!$AI26,Norm_Stats!$F$22),Norm_Stats!$G$22)-Norm_Stats!$F$22)/(Norm_Stats!$G$22-Norm_Stats!$F$22)))))*0.3)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0.2))/(IF((IF(OR(City_Inputs!$AF26="",Norm_Stats!$F$21="",Norm_Stats!$G$21="",Norm_Stats!$G$21=Norm_Stats!$F$21),"",MAX(0,MIN(100,100*(MIN(MAX(City_Inputs!$AF26,Norm_Stats!$F$21),Norm_Stats!$G$21)-Norm_Stats!$F$21)/(Norm_Stats!$G$21-Norm_Stats!$F$21)))))="",0,0.5)+IF((IF(OR(City_Inputs!$AI26="",Norm_Stats!$F$22="",Norm_Stats!$G$22="",Norm_Stats!$G$22=Norm_Stats!$F$22),"",MAX(0,MIN(100,100*(MIN(MAX(City_Inputs!$AI26,Norm_Stats!$F$22),Norm_Stats!$G$22)-Norm_Stats!$F$22)/(Norm_Stats!$G$22-Norm_Stats!$F$22)))))="",0,0.3)+IF((IF(OR(City_Inputs!$AJ26="",Norm_Stats!$F$23="",Norm_Stats!$G$23="",Norm_Stats!$G$23=Norm_Stats!$F$23),"",MAX(0,MIN(100,100*(MIN(MAX(City_Inputs!$AJ26,Norm_Stats!$F$23),Norm_Stats!$G$23)-Norm_Stats!$F$23)/(Norm_Stats!$G$23-Norm_Stats!$F$23)))))="",0,0.2)))</f>
        <v/>
      </c>
      <c r="AZ26" s="14">
        <f>IF((IF((IF(OR(City_Inputs!$AF26="",Norm_Stats!$F$21="",Norm_Stats!$G$21="",Norm_Stats!$G$21=Norm_Stats!$F$21),"",MAX(0,MIN(100,100*(MIN(MAX(City_Inputs!$AF26,Norm_Stats!$F$21),Norm_Stats!$G$21)-Norm_Stats!$F$21)/(Norm_Stats!$G$21-Norm_Stats!$F$21)))))="",0,0.5)+IF((IF(OR(City_Inputs!$AI26="",Norm_Stats!$F$22="",Norm_Stats!$G$22="",Norm_Stats!$G$22=Norm_Stats!$F$22),"",MAX(0,MIN(100,100*(MIN(MAX(City_Inputs!$AI26,Norm_Stats!$F$22),Norm_Stats!$G$22)-Norm_Stats!$F$22)/(Norm_Stats!$G$22-Norm_Stats!$F$22)))))="",0,0.3)+IF((IF(OR(City_Inputs!$AJ26="",Norm_Stats!$F$23="",Norm_Stats!$G$23="",Norm_Stats!$G$23=Norm_Stats!$F$23),"",MAX(0,MIN(100,100*(MIN(MAX(City_Inputs!$AJ26,Norm_Stats!$F$23),Norm_Stats!$G$23)-Norm_Stats!$F$23)/(Norm_Stats!$G$23-Norm_Stats!$F$23)))))="",0,0.2))=0,"",(IF((IF(OR(City_Inputs!$AF26="",Norm_Stats!$F$21="",Norm_Stats!$G$21="",Norm_Stats!$G$21=Norm_Stats!$F$21),"",MAX(0,MIN(100,100*(MIN(MAX(City_Inputs!$AF26,Norm_Stats!$F$21),Norm_Stats!$G$21)-Norm_Stats!$F$21)/(Norm_Stats!$G$21-Norm_Stats!$F$21)))))="",0,0.5)+IF((IF(OR(City_Inputs!$AI26="",Norm_Stats!$F$22="",Norm_Stats!$G$22="",Norm_Stats!$G$22=Norm_Stats!$F$22),"",MAX(0,MIN(100,100*(MIN(MAX(City_Inputs!$AI26,Norm_Stats!$F$22),Norm_Stats!$G$22)-Norm_Stats!$F$22)/(Norm_Stats!$G$22-Norm_Stats!$F$22)))))="",0,0.3)+IF((IF(OR(City_Inputs!$AJ26="",Norm_Stats!$F$23="",Norm_Stats!$G$23="",Norm_Stats!$G$23=Norm_Stats!$F$23),"",MAX(0,MIN(100,100*(MIN(MAX(City_Inputs!$AJ26,Norm_Stats!$F$23),Norm_Stats!$G$23)-Norm_Stats!$F$23)/(Norm_Stats!$G$23-Norm_Stats!$F$23)))))="",0,0.2)))</f>
        <v/>
      </c>
      <c r="BA26" s="11">
        <f>IF(OR(City_Inputs!$AG26="",Norm_Stats!$F$24="",Norm_Stats!$G$24="",Norm_Stats!$G$24=Norm_Stats!$F$24),"",MAX(0,MIN(100,100*(Norm_Stats!$G$24-MIN(MAX(City_Inputs!$AG26,Norm_Stats!$F$24),Norm_Stats!$G$24))/(Norm_Stats!$G$24-Norm_Stats!$F$24))))</f>
        <v/>
      </c>
      <c r="BB26" s="14">
        <f>IF(BA26="","",1)</f>
        <v/>
      </c>
      <c r="BC26" s="15">
        <f>IF((IF(AU26="",0,6)+IF(AW26="",0,5)+IF(AY26="",0,5)+IF(BA26="",0,4))=0,"",(IF(AU26="",0,AU26*6)+IF(AW26="",0,AW26*5)+IF(AY26="",0,AY26*5)+IF(BA26="",0,BA26*4))/(IF(AU26="",0,6)+IF(AW26="",0,5)+IF(AY26="",0,5)+IF(BA26="",0,4)))</f>
        <v/>
      </c>
      <c r="BD26" s="14">
        <f>IF((IF(AV26="",0,6)+IF(AX26="",0,5)+IF(AZ26="",0,5)+IF(BB26="",0,4))=0,"",(IF(AV26="",0,AV26*6)+IF(AX26="",0,AX26*5)+IF(AZ26="",0,AZ26*5)+IF(BB26="",0,BB26*4))/20)</f>
        <v/>
      </c>
      <c r="BE26" s="14">
        <f>IF(AND(R26="",AD26="",AL26="",AT26="",BD26=""),"",((R26*25)+(AD26*22)+(AL26*18)+(AT26*15)+(BD26*20))/100)</f>
        <v/>
      </c>
      <c r="BF26" s="11">
        <f>IF(BE26="","",IF(BE26&gt;=0.75,"A",IF(BE26&gt;=0.5,"B",IF(BE26&gt;=0.35,"C","Watchlist"))))</f>
        <v/>
      </c>
      <c r="BG26" s="11">
        <f>IF(OR(BE26="",BE26&lt;0.5,R26="",R26&lt;0.35,AD26="",AD26&lt;0.35,AL26="",AL26&lt;0.35,AT26="",AT26&lt;0.35,BD26="",BD26&lt;0.35),"Watchlist","Ranked")</f>
        <v/>
      </c>
      <c r="BH26" s="15">
        <f>IF(AND(Q26="",AC26="",AK26="",AS26="",BC26=""),"",(IF(Q26="",0,Q26*25)+IF(AC26="",0,AC26*22)+IF(AK26="",0,AK26*18)+IF(AS26="",0,AS26*15)+IF(BC26="",0,BC26*20))/(IF(Q26="",0,25)+IF(AC26="",0,22)+IF(AK26="",0,18)+IF(AS26="",0,15)+IF(BC26="",0,20)))</f>
        <v/>
      </c>
      <c r="BI26" s="11">
        <f>IF(BG26="Ranked",1+COUNTIFS($BG$2:$BG$101,"Ranked",$BH$2:$BH$101,"&gt;"&amp;BH26),"")</f>
        <v/>
      </c>
      <c r="BJ26" s="11">
        <f>City_Inputs!$AH26</f>
        <v/>
      </c>
    </row>
    <row r="27">
      <c r="A27" t="inlineStr">
        <is>
          <t>pk-lahore</t>
        </is>
      </c>
      <c r="B27" t="inlineStr">
        <is>
          <t>Lahore</t>
        </is>
      </c>
      <c r="C27" t="inlineStr">
        <is>
          <t>Pakistan</t>
        </is>
      </c>
      <c r="D27" t="inlineStr">
        <is>
          <t>South Asia</t>
        </is>
      </c>
      <c r="E27" t="inlineStr">
        <is>
          <t>locked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IF((IF(G27="",0,9)+IF(I27="",0,5)+IF(K27="",0,4)+IF(M27="",0,4)+IF(O27="",0,3))=0,"",(IF(G27="",0,G27*9)+IF(I27="",0,I27*5)+IF(K27="",0,K27*4)+IF(M27="",0,M27*4)+IF(O27="",0,O27*3))/(IF(G27="",0,9)+IF(I27="",0,5)+IF(K27="",0,4)+IF(M27="",0,4)+IF(O27="",0,3)))</f>
        <v/>
      </c>
      <c r="R27" s="14">
        <f>IF((IF(H27="",0,9)+IF(J27="",0,5)+IF(L27="",0,4)+IF(N27="",0,4)+IF(P27="",0,3))=0,"",(IF(H27="",0,H27*9)+IF(J27="",0,J27*5)+IF(L27="",0,L27*4)+IF(N27="",0,N27*4)+IF(P27="",0,P27*3))/25)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5">
        <f>IF((IF(S27="",0,5)+IF(U27="",0,5)+IF(W27="",0,4)+IF(Y27="",0,4)+IF(AA27="",0,4))=0,"",(IF(S27="",0,S27*5)+IF(U27="",0,U27*5)+IF(W27="",0,W27*4)+IF(Y27="",0,Y27*4)+IF(AA27="",0,AA27*4))/(IF(S27="",0,5)+IF(U27="",0,5)+IF(W27="",0,4)+IF(Y27="",0,4)+IF(AA27="",0,4)))</f>
        <v/>
      </c>
      <c r="AD27" s="14">
        <f>IF((IF(T27="",0,5)+IF(V27="",0,5)+IF(X27="",0,4)+IF(Z27="",0,4)+IF(AB27="",0,4))=0,"",(IF(T27="",0,T27*5)+IF(V27="",0,V27*5)+IF(X27="",0,X27*4)+IF(Z27="",0,Z27*4)+IF(AB27="",0,AB27*4))/22)</f>
        <v/>
      </c>
      <c r="AE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F27" s="14">
        <f>IF(AE27="","",1)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(IF((IF(OR(City_Inputs!$Z27="",Norm_Stats!$F$14="",Norm_Stats!$G$14="",Norm_Stats!$G$14=Norm_Stats!$F$14),"",MAX(0,MIN(100,100*(MIN(MAX(City_Inputs!$Z27,Norm_Stats!$F$14),Norm_Stats!$G$14)-Norm_Stats!$F$14)/(Norm_Stats!$G$14-Norm_Stats!$F$14)))))="",0,0.7)+IF((IF(OR(City_Inputs!$AK27="",Norm_Stats!$F$15="",Norm_Stats!$G$15="",Norm_Stats!$G$15=Norm_Stats!$F$15),"",MAX(0,MIN(100,100*(Norm_Stats!$G$15-MIN(MAX(City_Inputs!$AK27,Norm_Stats!$F$15),Norm_Stats!$G$15))/(Norm_Stats!$G$15-Norm_Stats!$F$15)))))="",0,0.3))=0,"",(IF((IF(OR(City_Inputs!$Z27="",Norm_Stats!$F$14="",Norm_Stats!$G$14="",Norm_Stats!$G$14=Norm_Stats!$F$14),"",MAX(0,MIN(100,100*(MIN(MAX(City_Inputs!$Z27,Norm_Stats!$F$14),Norm_Stats!$G$14)-Norm_Stats!$F$14)/(Norm_Stats!$G$14-Norm_Stats!$F$14)))))="",0,(IF(OR(City_Inputs!$Z27="",Norm_Stats!$F$14="",Norm_Stats!$G$14="",Norm_Stats!$G$14=Norm_Stats!$F$14),"",MAX(0,MIN(100,100*(MIN(MAX(City_Inputs!$Z27,Norm_Stats!$F$14),Norm_Stats!$G$14)-Norm_Stats!$F$14)/(Norm_Stats!$G$14-Norm_Stats!$F$14)))))*0.7)+IF((IF(OR(City_Inputs!$AK27="",Norm_Stats!$F$15="",Norm_Stats!$G$15="",Norm_Stats!$G$15=Norm_Stats!$F$15),"",MAX(0,MIN(100,100*(Norm_Stats!$G$15-MIN(MAX(City_Inputs!$AK27,Norm_Stats!$F$15),Norm_Stats!$G$15))/(Norm_Stats!$G$15-Norm_Stats!$F$15)))))="",0,(IF(OR(City_Inputs!$AK27="",Norm_Stats!$F$15="",Norm_Stats!$G$15="",Norm_Stats!$G$15=Norm_Stats!$F$15),"",MAX(0,MIN(100,100*(Norm_Stats!$G$15-MIN(MAX(City_Inputs!$AK27,Norm_Stats!$F$15),Norm_Stats!$G$15))/(Norm_Stats!$G$15-Norm_Stats!$F$15)))))*0.3))/(IF((IF(OR(City_Inputs!$Z27="",Norm_Stats!$F$14="",Norm_Stats!$G$14="",Norm_Stats!$G$14=Norm_Stats!$F$14),"",MAX(0,MIN(100,100*(MIN(MAX(City_Inputs!$Z27,Norm_Stats!$F$14),Norm_Stats!$G$14)-Norm_Stats!$F$14)/(Norm_Stats!$G$14-Norm_Stats!$F$14)))))="",0,0.7)+IF((IF(OR(City_Inputs!$AK27="",Norm_Stats!$F$15="",Norm_Stats!$G$15="",Norm_Stats!$G$15=Norm_Stats!$F$15),"",MAX(0,MIN(100,100*(Norm_Stats!$G$15-MIN(MAX(City_Inputs!$AK27,Norm_Stats!$F$15),Norm_Stats!$G$15))/(Norm_Stats!$G$15-Norm_Stats!$F$15)))))="",0,0.3)))</f>
        <v/>
      </c>
      <c r="AJ27" s="14">
        <f>IF((IF((IF(OR(City_Inputs!$Z27="",Norm_Stats!$F$14="",Norm_Stats!$G$14="",Norm_Stats!$G$14=Norm_Stats!$F$14),"",MAX(0,MIN(100,100*(MIN(MAX(City_Inputs!$Z27,Norm_Stats!$F$14),Norm_Stats!$G$14)-Norm_Stats!$F$14)/(Norm_Stats!$G$14-Norm_Stats!$F$14)))))="",0,0.7)+IF((IF(OR(City_Inputs!$AK27="",Norm_Stats!$F$15="",Norm_Stats!$G$15="",Norm_Stats!$G$15=Norm_Stats!$F$15),"",MAX(0,MIN(100,100*(Norm_Stats!$G$15-MIN(MAX(City_Inputs!$AK27,Norm_Stats!$F$15),Norm_Stats!$G$15))/(Norm_Stats!$G$15-Norm_Stats!$F$15)))))="",0,0.3))=0,"",(IF((IF(OR(City_Inputs!$Z27="",Norm_Stats!$F$14="",Norm_Stats!$G$14="",Norm_Stats!$G$14=Norm_Stats!$F$14),"",MAX(0,MIN(100,100*(MIN(MAX(City_Inputs!$Z27,Norm_Stats!$F$14),Norm_Stats!$G$14)-Norm_Stats!$F$14)/(Norm_Stats!$G$14-Norm_Stats!$F$14)))))="",0,0.7)+IF((IF(OR(City_Inputs!$AK27="",Norm_Stats!$F$15="",Norm_Stats!$G$15="",Norm_Stats!$G$15=Norm_Stats!$F$15),"",MAX(0,MIN(100,100*(Norm_Stats!$G$15-MIN(MAX(City_Inputs!$AK27,Norm_Stats!$F$15),Norm_Stats!$G$15))/(Norm_Stats!$G$15-Norm_Stats!$F$15)))))="",0,0.3)))</f>
        <v/>
      </c>
      <c r="AK27" s="15">
        <f>IF((IF(AE27="",0,8)+IF(AG27="",0,6)+IF(AI27="",0,4))=0,"",(IF(AE27="",0,AE27*8)+IF(AG27="",0,AG27*6)+IF(AI27="",0,AI27*4))/(IF(AE27="",0,8)+IF(AG27="",0,6)+IF(AI27="",0,4)))</f>
        <v/>
      </c>
      <c r="AL27" s="14">
        <f>IF((IF(AF27="",0,8)+IF(AH27="",0,6)+IF(AJ27="",0,4))=0,"",(IF(AF27="",0,AF27*8)+IF(AH27="",0,AH27*6)+IF(AJ27="",0,AJ27*4))/18)</f>
        <v/>
      </c>
      <c r="AM27" s="11">
        <f>IF(OR(City_Inputs!$AA27="",Norm_Stats!$F$16="",Norm_Stats!$G$16="",Norm_Stats!$G$16=Norm_Stats!$F$16),"",MAX(0,MIN(100,100*(MIN(MAX(City_Inputs!$AA27,Norm_Stats!$F$16),Norm_Stats!$G$16)-Norm_Stats!$F$16)/(Norm_Stats!$G$16-Norm_Stats!$F$16))))</f>
        <v/>
      </c>
      <c r="AN27" s="14">
        <f>IF(AM27="","",1)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5">
        <f>IF((IF(AM27="",0,5)+IF(AO27="",0,5)+IF(AQ27="",0,5))=0,"",(IF(AM27="",0,AM27*5)+IF(AO27="",0,AO27*5)+IF(AQ27="",0,AQ27*5))/(IF(AM27="",0,5)+IF(AO27="",0,5)+IF(AQ27="",0,5)))</f>
        <v/>
      </c>
      <c r="AT27" s="14">
        <f>IF((IF(AN27="",0,5)+IF(AP27="",0,5)+IF(AR27="",0,5))=0,"",(IF(AN27="",0,AN27*5)+IF(AP27="",0,AP27*5)+IF(AR27="",0,AR27*5))/15)</f>
        <v/>
      </c>
      <c r="AU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V27" s="14">
        <f>IF(AU27="","",1)</f>
        <v/>
      </c>
      <c r="AW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X27" s="14">
        <f>IF(AW27="","",1)</f>
        <v/>
      </c>
      <c r="AY27" s="11">
        <f>IF((IF((IF(OR(City_Inputs!$AF27="",Norm_Stats!$F$21="",Norm_Stats!$G$21="",Norm_Stats!$G$21=Norm_Stats!$F$21),"",MAX(0,MIN(100,100*(MIN(MAX(City_Inputs!$AF27,Norm_Stats!$F$21),Norm_Stats!$G$21)-Norm_Stats!$F$21)/(Norm_Stats!$G$21-Norm_Stats!$F$21)))))="",0,0.5)+IF((IF(OR(City_Inputs!$AI27="",Norm_Stats!$F$22="",Norm_Stats!$G$22="",Norm_Stats!$G$22=Norm_Stats!$F$22),"",MAX(0,MIN(100,100*(MIN(MAX(City_Inputs!$AI27,Norm_Stats!$F$22),Norm_Stats!$G$22)-Norm_Stats!$F$22)/(Norm_Stats!$G$22-Norm_Stats!$F$22)))))="",0,0.3)+IF((IF(OR(City_Inputs!$AJ27="",Norm_Stats!$F$23="",Norm_Stats!$G$23="",Norm_Stats!$G$23=Norm_Stats!$F$23),"",MAX(0,MIN(100,100*(MIN(MAX(City_Inputs!$AJ27,Norm_Stats!$F$23),Norm_Stats!$G$23)-Norm_Stats!$F$23)/(Norm_Stats!$G$23-Norm_Stats!$F$23)))))="",0,0.2))=0,"",(IF((IF(OR(City_Inputs!$AF27="",Norm_Stats!$F$21="",Norm_Stats!$G$21="",Norm_Stats!$G$21=Norm_Stats!$F$21),"",MAX(0,MIN(100,100*(MIN(MAX(City_Inputs!$AF27,Norm_Stats!$F$21),Norm_Stats!$G$21)-Norm_Stats!$F$21)/(Norm_Stats!$G$21-Norm_Stats!$F$21)))))="",0,(IF(OR(City_Inputs!$AF27="",Norm_Stats!$F$21="",Norm_Stats!$G$21="",Norm_Stats!$G$21=Norm_Stats!$F$21),"",MAX(0,MIN(100,100*(MIN(MAX(City_Inputs!$AF27,Norm_Stats!$F$21),Norm_Stats!$G$21)-Norm_Stats!$F$21)/(Norm_Stats!$G$21-Norm_Stats!$F$21)))))*0.5)+IF((IF(OR(City_Inputs!$AI27="",Norm_Stats!$F$22="",Norm_Stats!$G$22="",Norm_Stats!$G$22=Norm_Stats!$F$22),"",MAX(0,MIN(100,100*(MIN(MAX(City_Inputs!$AI27,Norm_Stats!$F$22),Norm_Stats!$G$22)-Norm_Stats!$F$22)/(Norm_Stats!$G$22-Norm_Stats!$F$22)))))="",0,(IF(OR(City_Inputs!$AI27="",Norm_Stats!$F$22="",Norm_Stats!$G$22="",Norm_Stats!$G$22=Norm_Stats!$F$22),"",MAX(0,MIN(100,100*(MIN(MAX(City_Inputs!$AI27,Norm_Stats!$F$22),Norm_Stats!$G$22)-Norm_Stats!$F$22)/(Norm_Stats!$G$22-Norm_Stats!$F$22)))))*0.3)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0.2))/(IF((IF(OR(City_Inputs!$AF27="",Norm_Stats!$F$21="",Norm_Stats!$G$21="",Norm_Stats!$G$21=Norm_Stats!$F$21),"",MAX(0,MIN(100,100*(MIN(MAX(City_Inputs!$AF27,Norm_Stats!$F$21),Norm_Stats!$G$21)-Norm_Stats!$F$21)/(Norm_Stats!$G$21-Norm_Stats!$F$21)))))="",0,0.5)+IF((IF(OR(City_Inputs!$AI27="",Norm_Stats!$F$22="",Norm_Stats!$G$22="",Norm_Stats!$G$22=Norm_Stats!$F$22),"",MAX(0,MIN(100,100*(MIN(MAX(City_Inputs!$AI27,Norm_Stats!$F$22),Norm_Stats!$G$22)-Norm_Stats!$F$22)/(Norm_Stats!$G$22-Norm_Stats!$F$22)))))="",0,0.3)+IF((IF(OR(City_Inputs!$AJ27="",Norm_Stats!$F$23="",Norm_Stats!$G$23="",Norm_Stats!$G$23=Norm_Stats!$F$23),"",MAX(0,MIN(100,100*(MIN(MAX(City_Inputs!$AJ27,Norm_Stats!$F$23),Norm_Stats!$G$23)-Norm_Stats!$F$23)/(Norm_Stats!$G$23-Norm_Stats!$F$23)))))="",0,0.2)))</f>
        <v/>
      </c>
      <c r="AZ27" s="14">
        <f>IF((IF((IF(OR(City_Inputs!$AF27="",Norm_Stats!$F$21="",Norm_Stats!$G$21="",Norm_Stats!$G$21=Norm_Stats!$F$21),"",MAX(0,MIN(100,100*(MIN(MAX(City_Inputs!$AF27,Norm_Stats!$F$21),Norm_Stats!$G$21)-Norm_Stats!$F$21)/(Norm_Stats!$G$21-Norm_Stats!$F$21)))))="",0,0.5)+IF((IF(OR(City_Inputs!$AI27="",Norm_Stats!$F$22="",Norm_Stats!$G$22="",Norm_Stats!$G$22=Norm_Stats!$F$22),"",MAX(0,MIN(100,100*(MIN(MAX(City_Inputs!$AI27,Norm_Stats!$F$22),Norm_Stats!$G$22)-Norm_Stats!$F$22)/(Norm_Stats!$G$22-Norm_Stats!$F$22)))))="",0,0.3)+IF((IF(OR(City_Inputs!$AJ27="",Norm_Stats!$F$23="",Norm_Stats!$G$23="",Norm_Stats!$G$23=Norm_Stats!$F$23),"",MAX(0,MIN(100,100*(MIN(MAX(City_Inputs!$AJ27,Norm_Stats!$F$23),Norm_Stats!$G$23)-Norm_Stats!$F$23)/(Norm_Stats!$G$23-Norm_Stats!$F$23)))))="",0,0.2))=0,"",(IF((IF(OR(City_Inputs!$AF27="",Norm_Stats!$F$21="",Norm_Stats!$G$21="",Norm_Stats!$G$21=Norm_Stats!$F$21),"",MAX(0,MIN(100,100*(MIN(MAX(City_Inputs!$AF27,Norm_Stats!$F$21),Norm_Stats!$G$21)-Norm_Stats!$F$21)/(Norm_Stats!$G$21-Norm_Stats!$F$21)))))="",0,0.5)+IF((IF(OR(City_Inputs!$AI27="",Norm_Stats!$F$22="",Norm_Stats!$G$22="",Norm_Stats!$G$22=Norm_Stats!$F$22),"",MAX(0,MIN(100,100*(MIN(MAX(City_Inputs!$AI27,Norm_Stats!$F$22),Norm_Stats!$G$22)-Norm_Stats!$F$22)/(Norm_Stats!$G$22-Norm_Stats!$F$22)))))="",0,0.3)+IF((IF(OR(City_Inputs!$AJ27="",Norm_Stats!$F$23="",Norm_Stats!$G$23="",Norm_Stats!$G$23=Norm_Stats!$F$23),"",MAX(0,MIN(100,100*(MIN(MAX(City_Inputs!$AJ27,Norm_Stats!$F$23),Norm_Stats!$G$23)-Norm_Stats!$F$23)/(Norm_Stats!$G$23-Norm_Stats!$F$23)))))="",0,0.2)))</f>
        <v/>
      </c>
      <c r="BA27" s="11">
        <f>IF(OR(City_Inputs!$AG27="",Norm_Stats!$F$24="",Norm_Stats!$G$24="",Norm_Stats!$G$24=Norm_Stats!$F$24),"",MAX(0,MIN(100,100*(Norm_Stats!$G$24-MIN(MAX(City_Inputs!$AG27,Norm_Stats!$F$24),Norm_Stats!$G$24))/(Norm_Stats!$G$24-Norm_Stats!$F$24))))</f>
        <v/>
      </c>
      <c r="BB27" s="14">
        <f>IF(BA27="","",1)</f>
        <v/>
      </c>
      <c r="BC27" s="15">
        <f>IF((IF(AU27="",0,6)+IF(AW27="",0,5)+IF(AY27="",0,5)+IF(BA27="",0,4))=0,"",(IF(AU27="",0,AU27*6)+IF(AW27="",0,AW27*5)+IF(AY27="",0,AY27*5)+IF(BA27="",0,BA27*4))/(IF(AU27="",0,6)+IF(AW27="",0,5)+IF(AY27="",0,5)+IF(BA27="",0,4)))</f>
        <v/>
      </c>
      <c r="BD27" s="14">
        <f>IF((IF(AV27="",0,6)+IF(AX27="",0,5)+IF(AZ27="",0,5)+IF(BB27="",0,4))=0,"",(IF(AV27="",0,AV27*6)+IF(AX27="",0,AX27*5)+IF(AZ27="",0,AZ27*5)+IF(BB27="",0,BB27*4))/20)</f>
        <v/>
      </c>
      <c r="BE27" s="14">
        <f>IF(AND(R27="",AD27="",AL27="",AT27="",BD27=""),"",((R27*25)+(AD27*22)+(AL27*18)+(AT27*15)+(BD27*20))/100)</f>
        <v/>
      </c>
      <c r="BF27" s="11">
        <f>IF(BE27="","",IF(BE27&gt;=0.75,"A",IF(BE27&gt;=0.5,"B",IF(BE27&gt;=0.35,"C","Watchlist"))))</f>
        <v/>
      </c>
      <c r="BG27" s="11">
        <f>IF(OR(BE27="",BE27&lt;0.5,R27="",R27&lt;0.35,AD27="",AD27&lt;0.35,AL27="",AL27&lt;0.35,AT27="",AT27&lt;0.35,BD27="",BD27&lt;0.35),"Watchlist","Ranked")</f>
        <v/>
      </c>
      <c r="BH27" s="15">
        <f>IF(AND(Q27="",AC27="",AK27="",AS27="",BC27=""),"",(IF(Q27="",0,Q27*25)+IF(AC27="",0,AC27*22)+IF(AK27="",0,AK27*18)+IF(AS27="",0,AS27*15)+IF(BC27="",0,BC27*20))/(IF(Q27="",0,25)+IF(AC27="",0,22)+IF(AK27="",0,18)+IF(AS27="",0,15)+IF(BC27="",0,20)))</f>
        <v/>
      </c>
      <c r="BI27" s="11">
        <f>IF(BG27="Ranked",1+COUNTIFS($BG$2:$BG$101,"Ranked",$BH$2:$BH$101,"&gt;"&amp;BH27),"")</f>
        <v/>
      </c>
      <c r="BJ27" s="11">
        <f>City_Inputs!$AH27</f>
        <v/>
      </c>
    </row>
    <row r="28">
      <c r="A28" t="inlineStr">
        <is>
          <t>bd-chattogram</t>
        </is>
      </c>
      <c r="B28" t="inlineStr">
        <is>
          <t>Chattogram</t>
        </is>
      </c>
      <c r="C28" t="inlineStr">
        <is>
          <t>Bangladesh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secondary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IF((IF(G28="",0,9)+IF(I28="",0,5)+IF(K28="",0,4)+IF(M28="",0,4)+IF(O28="",0,3))=0,"",(IF(G28="",0,G28*9)+IF(I28="",0,I28*5)+IF(K28="",0,K28*4)+IF(M28="",0,M28*4)+IF(O28="",0,O28*3))/(IF(G28="",0,9)+IF(I28="",0,5)+IF(K28="",0,4)+IF(M28="",0,4)+IF(O28="",0,3)))</f>
        <v/>
      </c>
      <c r="R28" s="14">
        <f>IF((IF(H28="",0,9)+IF(J28="",0,5)+IF(L28="",0,4)+IF(N28="",0,4)+IF(P28="",0,3))=0,"",(IF(H28="",0,H28*9)+IF(J28="",0,J28*5)+IF(L28="",0,L28*4)+IF(N28="",0,N28*4)+IF(P28="",0,P28*3))/25)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5">
        <f>IF((IF(S28="",0,5)+IF(U28="",0,5)+IF(W28="",0,4)+IF(Y28="",0,4)+IF(AA28="",0,4))=0,"",(IF(S28="",0,S28*5)+IF(U28="",0,U28*5)+IF(W28="",0,W28*4)+IF(Y28="",0,Y28*4)+IF(AA28="",0,AA28*4))/(IF(S28="",0,5)+IF(U28="",0,5)+IF(W28="",0,4)+IF(Y28="",0,4)+IF(AA28="",0,4)))</f>
        <v/>
      </c>
      <c r="AD28" s="14">
        <f>IF((IF(T28="",0,5)+IF(V28="",0,5)+IF(X28="",0,4)+IF(Z28="",0,4)+IF(AB28="",0,4))=0,"",(IF(T28="",0,T28*5)+IF(V28="",0,V28*5)+IF(X28="",0,X28*4)+IF(Z28="",0,Z28*4)+IF(AB28="",0,AB28*4))/22)</f>
        <v/>
      </c>
      <c r="AE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F28" s="14">
        <f>IF(AE28="","",1)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(IF((IF(OR(City_Inputs!$Z28="",Norm_Stats!$F$14="",Norm_Stats!$G$14="",Norm_Stats!$G$14=Norm_Stats!$F$14),"",MAX(0,MIN(100,100*(MIN(MAX(City_Inputs!$Z28,Norm_Stats!$F$14),Norm_Stats!$G$14)-Norm_Stats!$F$14)/(Norm_Stats!$G$14-Norm_Stats!$F$14)))))="",0,0.7)+IF((IF(OR(City_Inputs!$AK28="",Norm_Stats!$F$15="",Norm_Stats!$G$15="",Norm_Stats!$G$15=Norm_Stats!$F$15),"",MAX(0,MIN(100,100*(Norm_Stats!$G$15-MIN(MAX(City_Inputs!$AK28,Norm_Stats!$F$15),Norm_Stats!$G$15))/(Norm_Stats!$G$15-Norm_Stats!$F$15)))))="",0,0.3))=0,"",(IF((IF(OR(City_Inputs!$Z28="",Norm_Stats!$F$14="",Norm_Stats!$G$14="",Norm_Stats!$G$14=Norm_Stats!$F$14),"",MAX(0,MIN(100,100*(MIN(MAX(City_Inputs!$Z28,Norm_Stats!$F$14),Norm_Stats!$G$14)-Norm_Stats!$F$14)/(Norm_Stats!$G$14-Norm_Stats!$F$14)))))="",0,(IF(OR(City_Inputs!$Z28="",Norm_Stats!$F$14="",Norm_Stats!$G$14="",Norm_Stats!$G$14=Norm_Stats!$F$14),"",MAX(0,MIN(100,100*(MIN(MAX(City_Inputs!$Z28,Norm_Stats!$F$14),Norm_Stats!$G$14)-Norm_Stats!$F$14)/(Norm_Stats!$G$14-Norm_Stats!$F$14)))))*0.7)+IF((IF(OR(City_Inputs!$AK28="",Norm_Stats!$F$15="",Norm_Stats!$G$15="",Norm_Stats!$G$15=Norm_Stats!$F$15),"",MAX(0,MIN(100,100*(Norm_Stats!$G$15-MIN(MAX(City_Inputs!$AK28,Norm_Stats!$F$15),Norm_Stats!$G$15))/(Norm_Stats!$G$15-Norm_Stats!$F$15)))))="",0,(IF(OR(City_Inputs!$AK28="",Norm_Stats!$F$15="",Norm_Stats!$G$15="",Norm_Stats!$G$15=Norm_Stats!$F$15),"",MAX(0,MIN(100,100*(Norm_Stats!$G$15-MIN(MAX(City_Inputs!$AK28,Norm_Stats!$F$15),Norm_Stats!$G$15))/(Norm_Stats!$G$15-Norm_Stats!$F$15)))))*0.3))/(IF((IF(OR(City_Inputs!$Z28="",Norm_Stats!$F$14="",Norm_Stats!$G$14="",Norm_Stats!$G$14=Norm_Stats!$F$14),"",MAX(0,MIN(100,100*(MIN(MAX(City_Inputs!$Z28,Norm_Stats!$F$14),Norm_Stats!$G$14)-Norm_Stats!$F$14)/(Norm_Stats!$G$14-Norm_Stats!$F$14)))))="",0,0.7)+IF((IF(OR(City_Inputs!$AK28="",Norm_Stats!$F$15="",Norm_Stats!$G$15="",Norm_Stats!$G$15=Norm_Stats!$F$15),"",MAX(0,MIN(100,100*(Norm_Stats!$G$15-MIN(MAX(City_Inputs!$AK28,Norm_Stats!$F$15),Norm_Stats!$G$15))/(Norm_Stats!$G$15-Norm_Stats!$F$15)))))="",0,0.3)))</f>
        <v/>
      </c>
      <c r="AJ28" s="14">
        <f>IF((IF((IF(OR(City_Inputs!$Z28="",Norm_Stats!$F$14="",Norm_Stats!$G$14="",Norm_Stats!$G$14=Norm_Stats!$F$14),"",MAX(0,MIN(100,100*(MIN(MAX(City_Inputs!$Z28,Norm_Stats!$F$14),Norm_Stats!$G$14)-Norm_Stats!$F$14)/(Norm_Stats!$G$14-Norm_Stats!$F$14)))))="",0,0.7)+IF((IF(OR(City_Inputs!$AK28="",Norm_Stats!$F$15="",Norm_Stats!$G$15="",Norm_Stats!$G$15=Norm_Stats!$F$15),"",MAX(0,MIN(100,100*(Norm_Stats!$G$15-MIN(MAX(City_Inputs!$AK28,Norm_Stats!$F$15),Norm_Stats!$G$15))/(Norm_Stats!$G$15-Norm_Stats!$F$15)))))="",0,0.3))=0,"",(IF((IF(OR(City_Inputs!$Z28="",Norm_Stats!$F$14="",Norm_Stats!$G$14="",Norm_Stats!$G$14=Norm_Stats!$F$14),"",MAX(0,MIN(100,100*(MIN(MAX(City_Inputs!$Z28,Norm_Stats!$F$14),Norm_Stats!$G$14)-Norm_Stats!$F$14)/(Norm_Stats!$G$14-Norm_Stats!$F$14)))))="",0,0.7)+IF((IF(OR(City_Inputs!$AK28="",Norm_Stats!$F$15="",Norm_Stats!$G$15="",Norm_Stats!$G$15=Norm_Stats!$F$15),"",MAX(0,MIN(100,100*(Norm_Stats!$G$15-MIN(MAX(City_Inputs!$AK28,Norm_Stats!$F$15),Norm_Stats!$G$15))/(Norm_Stats!$G$15-Norm_Stats!$F$15)))))="",0,0.3)))</f>
        <v/>
      </c>
      <c r="AK28" s="15">
        <f>IF((IF(AE28="",0,8)+IF(AG28="",0,6)+IF(AI28="",0,4))=0,"",(IF(AE28="",0,AE28*8)+IF(AG28="",0,AG28*6)+IF(AI28="",0,AI28*4))/(IF(AE28="",0,8)+IF(AG28="",0,6)+IF(AI28="",0,4)))</f>
        <v/>
      </c>
      <c r="AL28" s="14">
        <f>IF((IF(AF28="",0,8)+IF(AH28="",0,6)+IF(AJ28="",0,4))=0,"",(IF(AF28="",0,AF28*8)+IF(AH28="",0,AH28*6)+IF(AJ28="",0,AJ28*4))/18)</f>
        <v/>
      </c>
      <c r="AM28" s="11">
        <f>IF(OR(City_Inputs!$AA28="",Norm_Stats!$F$16="",Norm_Stats!$G$16="",Norm_Stats!$G$16=Norm_Stats!$F$16),"",MAX(0,MIN(100,100*(MIN(MAX(City_Inputs!$AA28,Norm_Stats!$F$16),Norm_Stats!$G$16)-Norm_Stats!$F$16)/(Norm_Stats!$G$16-Norm_Stats!$F$16))))</f>
        <v/>
      </c>
      <c r="AN28" s="14">
        <f>IF(AM28="","",1)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5">
        <f>IF((IF(AM28="",0,5)+IF(AO28="",0,5)+IF(AQ28="",0,5))=0,"",(IF(AM28="",0,AM28*5)+IF(AO28="",0,AO28*5)+IF(AQ28="",0,AQ28*5))/(IF(AM28="",0,5)+IF(AO28="",0,5)+IF(AQ28="",0,5)))</f>
        <v/>
      </c>
      <c r="AT28" s="14">
        <f>IF((IF(AN28="",0,5)+IF(AP28="",0,5)+IF(AR28="",0,5))=0,"",(IF(AN28="",0,AN28*5)+IF(AP28="",0,AP28*5)+IF(AR28="",0,AR28*5))/15)</f>
        <v/>
      </c>
      <c r="AU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V28" s="14">
        <f>IF(AU28="","",1)</f>
        <v/>
      </c>
      <c r="AW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X28" s="14">
        <f>IF(AW28="","",1)</f>
        <v/>
      </c>
      <c r="AY28" s="11">
        <f>IF((IF((IF(OR(City_Inputs!$AF28="",Norm_Stats!$F$21="",Norm_Stats!$G$21="",Norm_Stats!$G$21=Norm_Stats!$F$21),"",MAX(0,MIN(100,100*(MIN(MAX(City_Inputs!$AF28,Norm_Stats!$F$21),Norm_Stats!$G$21)-Norm_Stats!$F$21)/(Norm_Stats!$G$21-Norm_Stats!$F$21)))))="",0,0.5)+IF((IF(OR(City_Inputs!$AI28="",Norm_Stats!$F$22="",Norm_Stats!$G$22="",Norm_Stats!$G$22=Norm_Stats!$F$22),"",MAX(0,MIN(100,100*(MIN(MAX(City_Inputs!$AI28,Norm_Stats!$F$22),Norm_Stats!$G$22)-Norm_Stats!$F$22)/(Norm_Stats!$G$22-Norm_Stats!$F$22)))))="",0,0.3)+IF((IF(OR(City_Inputs!$AJ28="",Norm_Stats!$F$23="",Norm_Stats!$G$23="",Norm_Stats!$G$23=Norm_Stats!$F$23),"",MAX(0,MIN(100,100*(MIN(MAX(City_Inputs!$AJ28,Norm_Stats!$F$23),Norm_Stats!$G$23)-Norm_Stats!$F$23)/(Norm_Stats!$G$23-Norm_Stats!$F$23)))))="",0,0.2))=0,"",(IF((IF(OR(City_Inputs!$AF28="",Norm_Stats!$F$21="",Norm_Stats!$G$21="",Norm_Stats!$G$21=Norm_Stats!$F$21),"",MAX(0,MIN(100,100*(MIN(MAX(City_Inputs!$AF28,Norm_Stats!$F$21),Norm_Stats!$G$21)-Norm_Stats!$F$21)/(Norm_Stats!$G$21-Norm_Stats!$F$21)))))="",0,(IF(OR(City_Inputs!$AF28="",Norm_Stats!$F$21="",Norm_Stats!$G$21="",Norm_Stats!$G$21=Norm_Stats!$F$21),"",MAX(0,MIN(100,100*(MIN(MAX(City_Inputs!$AF28,Norm_Stats!$F$21),Norm_Stats!$G$21)-Norm_Stats!$F$21)/(Norm_Stats!$G$21-Norm_Stats!$F$21)))))*0.5)+IF((IF(OR(City_Inputs!$AI28="",Norm_Stats!$F$22="",Norm_Stats!$G$22="",Norm_Stats!$G$22=Norm_Stats!$F$22),"",MAX(0,MIN(100,100*(MIN(MAX(City_Inputs!$AI28,Norm_Stats!$F$22),Norm_Stats!$G$22)-Norm_Stats!$F$22)/(Norm_Stats!$G$22-Norm_Stats!$F$22)))))="",0,(IF(OR(City_Inputs!$AI28="",Norm_Stats!$F$22="",Norm_Stats!$G$22="",Norm_Stats!$G$22=Norm_Stats!$F$22),"",MAX(0,MIN(100,100*(MIN(MAX(City_Inputs!$AI28,Norm_Stats!$F$22),Norm_Stats!$G$22)-Norm_Stats!$F$22)/(Norm_Stats!$G$22-Norm_Stats!$F$22)))))*0.3)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0.2))/(IF((IF(OR(City_Inputs!$AF28="",Norm_Stats!$F$21="",Norm_Stats!$G$21="",Norm_Stats!$G$21=Norm_Stats!$F$21),"",MAX(0,MIN(100,100*(MIN(MAX(City_Inputs!$AF28,Norm_Stats!$F$21),Norm_Stats!$G$21)-Norm_Stats!$F$21)/(Norm_Stats!$G$21-Norm_Stats!$F$21)))))="",0,0.5)+IF((IF(OR(City_Inputs!$AI28="",Norm_Stats!$F$22="",Norm_Stats!$G$22="",Norm_Stats!$G$22=Norm_Stats!$F$22),"",MAX(0,MIN(100,100*(MIN(MAX(City_Inputs!$AI28,Norm_Stats!$F$22),Norm_Stats!$G$22)-Norm_Stats!$F$22)/(Norm_Stats!$G$22-Norm_Stats!$F$22)))))="",0,0.3)+IF((IF(OR(City_Inputs!$AJ28="",Norm_Stats!$F$23="",Norm_Stats!$G$23="",Norm_Stats!$G$23=Norm_Stats!$F$23),"",MAX(0,MIN(100,100*(MIN(MAX(City_Inputs!$AJ28,Norm_Stats!$F$23),Norm_Stats!$G$23)-Norm_Stats!$F$23)/(Norm_Stats!$G$23-Norm_Stats!$F$23)))))="",0,0.2)))</f>
        <v/>
      </c>
      <c r="AZ28" s="14">
        <f>IF((IF((IF(OR(City_Inputs!$AF28="",Norm_Stats!$F$21="",Norm_Stats!$G$21="",Norm_Stats!$G$21=Norm_Stats!$F$21),"",MAX(0,MIN(100,100*(MIN(MAX(City_Inputs!$AF28,Norm_Stats!$F$21),Norm_Stats!$G$21)-Norm_Stats!$F$21)/(Norm_Stats!$G$21-Norm_Stats!$F$21)))))="",0,0.5)+IF((IF(OR(City_Inputs!$AI28="",Norm_Stats!$F$22="",Norm_Stats!$G$22="",Norm_Stats!$G$22=Norm_Stats!$F$22),"",MAX(0,MIN(100,100*(MIN(MAX(City_Inputs!$AI28,Norm_Stats!$F$22),Norm_Stats!$G$22)-Norm_Stats!$F$22)/(Norm_Stats!$G$22-Norm_Stats!$F$22)))))="",0,0.3)+IF((IF(OR(City_Inputs!$AJ28="",Norm_Stats!$F$23="",Norm_Stats!$G$23="",Norm_Stats!$G$23=Norm_Stats!$F$23),"",MAX(0,MIN(100,100*(MIN(MAX(City_Inputs!$AJ28,Norm_Stats!$F$23),Norm_Stats!$G$23)-Norm_Stats!$F$23)/(Norm_Stats!$G$23-Norm_Stats!$F$23)))))="",0,0.2))=0,"",(IF((IF(OR(City_Inputs!$AF28="",Norm_Stats!$F$21="",Norm_Stats!$G$21="",Norm_Stats!$G$21=Norm_Stats!$F$21),"",MAX(0,MIN(100,100*(MIN(MAX(City_Inputs!$AF28,Norm_Stats!$F$21),Norm_Stats!$G$21)-Norm_Stats!$F$21)/(Norm_Stats!$G$21-Norm_Stats!$F$21)))))="",0,0.5)+IF((IF(OR(City_Inputs!$AI28="",Norm_Stats!$F$22="",Norm_Stats!$G$22="",Norm_Stats!$G$22=Norm_Stats!$F$22),"",MAX(0,MIN(100,100*(MIN(MAX(City_Inputs!$AI28,Norm_Stats!$F$22),Norm_Stats!$G$22)-Norm_Stats!$F$22)/(Norm_Stats!$G$22-Norm_Stats!$F$22)))))="",0,0.3)+IF((IF(OR(City_Inputs!$AJ28="",Norm_Stats!$F$23="",Norm_Stats!$G$23="",Norm_Stats!$G$23=Norm_Stats!$F$23),"",MAX(0,MIN(100,100*(MIN(MAX(City_Inputs!$AJ28,Norm_Stats!$F$23),Norm_Stats!$G$23)-Norm_Stats!$F$23)/(Norm_Stats!$G$23-Norm_Stats!$F$23)))))="",0,0.2)))</f>
        <v/>
      </c>
      <c r="BA28" s="11">
        <f>IF(OR(City_Inputs!$AG28="",Norm_Stats!$F$24="",Norm_Stats!$G$24="",Norm_Stats!$G$24=Norm_Stats!$F$24),"",MAX(0,MIN(100,100*(Norm_Stats!$G$24-MIN(MAX(City_Inputs!$AG28,Norm_Stats!$F$24),Norm_Stats!$G$24))/(Norm_Stats!$G$24-Norm_Stats!$F$24))))</f>
        <v/>
      </c>
      <c r="BB28" s="14">
        <f>IF(BA28="","",1)</f>
        <v/>
      </c>
      <c r="BC28" s="15">
        <f>IF((IF(AU28="",0,6)+IF(AW28="",0,5)+IF(AY28="",0,5)+IF(BA28="",0,4))=0,"",(IF(AU28="",0,AU28*6)+IF(AW28="",0,AW28*5)+IF(AY28="",0,AY28*5)+IF(BA28="",0,BA28*4))/(IF(AU28="",0,6)+IF(AW28="",0,5)+IF(AY28="",0,5)+IF(BA28="",0,4)))</f>
        <v/>
      </c>
      <c r="BD28" s="14">
        <f>IF((IF(AV28="",0,6)+IF(AX28="",0,5)+IF(AZ28="",0,5)+IF(BB28="",0,4))=0,"",(IF(AV28="",0,AV28*6)+IF(AX28="",0,AX28*5)+IF(AZ28="",0,AZ28*5)+IF(BB28="",0,BB28*4))/20)</f>
        <v/>
      </c>
      <c r="BE28" s="14">
        <f>IF(AND(R28="",AD28="",AL28="",AT28="",BD28=""),"",((R28*25)+(AD28*22)+(AL28*18)+(AT28*15)+(BD28*20))/100)</f>
        <v/>
      </c>
      <c r="BF28" s="11">
        <f>IF(BE28="","",IF(BE28&gt;=0.75,"A",IF(BE28&gt;=0.5,"B",IF(BE28&gt;=0.35,"C","Watchlist"))))</f>
        <v/>
      </c>
      <c r="BG28" s="11">
        <f>IF(OR(BE28="",BE28&lt;0.5,R28="",R28&lt;0.35,AD28="",AD28&lt;0.35,AL28="",AL28&lt;0.35,AT28="",AT28&lt;0.35,BD28="",BD28&lt;0.35),"Watchlist","Ranked")</f>
        <v/>
      </c>
      <c r="BH28" s="15">
        <f>IF(AND(Q28="",AC28="",AK28="",AS28="",BC28=""),"",(IF(Q28="",0,Q28*25)+IF(AC28="",0,AC28*22)+IF(AK28="",0,AK28*18)+IF(AS28="",0,AS28*15)+IF(BC28="",0,BC28*20))/(IF(Q28="",0,25)+IF(AC28="",0,22)+IF(AK28="",0,18)+IF(AS28="",0,15)+IF(BC28="",0,20)))</f>
        <v/>
      </c>
      <c r="BI28" s="11">
        <f>IF(BG28="Ranked",1+COUNTIFS($BG$2:$BG$101,"Ranked",$BH$2:$BH$101,"&gt;"&amp;BH28),"")</f>
        <v/>
      </c>
      <c r="BJ28" s="11">
        <f>City_Inputs!$AH28</f>
        <v/>
      </c>
    </row>
    <row r="29">
      <c r="A29" t="inlineStr">
        <is>
          <t>np-kathmandu</t>
        </is>
      </c>
      <c r="B29" t="inlineStr">
        <is>
          <t>Kathmandu</t>
        </is>
      </c>
      <c r="C29" t="inlineStr">
        <is>
          <t>Nepal</t>
        </is>
      </c>
      <c r="D29" t="inlineStr">
        <is>
          <t>South Asia</t>
        </is>
      </c>
      <c r="E29" t="inlineStr">
        <is>
          <t>provisional</t>
        </is>
      </c>
      <c r="F29" t="inlineStr">
        <is>
          <t>secondary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IF((IF(G29="",0,9)+IF(I29="",0,5)+IF(K29="",0,4)+IF(M29="",0,4)+IF(O29="",0,3))=0,"",(IF(G29="",0,G29*9)+IF(I29="",0,I29*5)+IF(K29="",0,K29*4)+IF(M29="",0,M29*4)+IF(O29="",0,O29*3))/(IF(G29="",0,9)+IF(I29="",0,5)+IF(K29="",0,4)+IF(M29="",0,4)+IF(O29="",0,3)))</f>
        <v/>
      </c>
      <c r="R29" s="14">
        <f>IF((IF(H29="",0,9)+IF(J29="",0,5)+IF(L29="",0,4)+IF(N29="",0,4)+IF(P29="",0,3))=0,"",(IF(H29="",0,H29*9)+IF(J29="",0,J29*5)+IF(L29="",0,L29*4)+IF(N29="",0,N29*4)+IF(P29="",0,P29*3))/25)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5">
        <f>IF((IF(S29="",0,5)+IF(U29="",0,5)+IF(W29="",0,4)+IF(Y29="",0,4)+IF(AA29="",0,4))=0,"",(IF(S29="",0,S29*5)+IF(U29="",0,U29*5)+IF(W29="",0,W29*4)+IF(Y29="",0,Y29*4)+IF(AA29="",0,AA29*4))/(IF(S29="",0,5)+IF(U29="",0,5)+IF(W29="",0,4)+IF(Y29="",0,4)+IF(AA29="",0,4)))</f>
        <v/>
      </c>
      <c r="AD29" s="14">
        <f>IF((IF(T29="",0,5)+IF(V29="",0,5)+IF(X29="",0,4)+IF(Z29="",0,4)+IF(AB29="",0,4))=0,"",(IF(T29="",0,T29*5)+IF(V29="",0,V29*5)+IF(X29="",0,X29*4)+IF(Z29="",0,Z29*4)+IF(AB29="",0,AB29*4))/22)</f>
        <v/>
      </c>
      <c r="AE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F29" s="14">
        <f>IF(AE29="","",1)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(IF((IF(OR(City_Inputs!$Z29="",Norm_Stats!$F$14="",Norm_Stats!$G$14="",Norm_Stats!$G$14=Norm_Stats!$F$14),"",MAX(0,MIN(100,100*(MIN(MAX(City_Inputs!$Z29,Norm_Stats!$F$14),Norm_Stats!$G$14)-Norm_Stats!$F$14)/(Norm_Stats!$G$14-Norm_Stats!$F$14)))))="",0,0.7)+IF((IF(OR(City_Inputs!$AK29="",Norm_Stats!$F$15="",Norm_Stats!$G$15="",Norm_Stats!$G$15=Norm_Stats!$F$15),"",MAX(0,MIN(100,100*(Norm_Stats!$G$15-MIN(MAX(City_Inputs!$AK29,Norm_Stats!$F$15),Norm_Stats!$G$15))/(Norm_Stats!$G$15-Norm_Stats!$F$15)))))="",0,0.3))=0,"",(IF((IF(OR(City_Inputs!$Z29="",Norm_Stats!$F$14="",Norm_Stats!$G$14="",Norm_Stats!$G$14=Norm_Stats!$F$14),"",MAX(0,MIN(100,100*(MIN(MAX(City_Inputs!$Z29,Norm_Stats!$F$14),Norm_Stats!$G$14)-Norm_Stats!$F$14)/(Norm_Stats!$G$14-Norm_Stats!$F$14)))))="",0,(IF(OR(City_Inputs!$Z29="",Norm_Stats!$F$14="",Norm_Stats!$G$14="",Norm_Stats!$G$14=Norm_Stats!$F$14),"",MAX(0,MIN(100,100*(MIN(MAX(City_Inputs!$Z29,Norm_Stats!$F$14),Norm_Stats!$G$14)-Norm_Stats!$F$14)/(Norm_Stats!$G$14-Norm_Stats!$F$14)))))*0.7)+IF((IF(OR(City_Inputs!$AK29="",Norm_Stats!$F$15="",Norm_Stats!$G$15="",Norm_Stats!$G$15=Norm_Stats!$F$15),"",MAX(0,MIN(100,100*(Norm_Stats!$G$15-MIN(MAX(City_Inputs!$AK29,Norm_Stats!$F$15),Norm_Stats!$G$15))/(Norm_Stats!$G$15-Norm_Stats!$F$15)))))="",0,(IF(OR(City_Inputs!$AK29="",Norm_Stats!$F$15="",Norm_Stats!$G$15="",Norm_Stats!$G$15=Norm_Stats!$F$15),"",MAX(0,MIN(100,100*(Norm_Stats!$G$15-MIN(MAX(City_Inputs!$AK29,Norm_Stats!$F$15),Norm_Stats!$G$15))/(Norm_Stats!$G$15-Norm_Stats!$F$15)))))*0.3))/(IF((IF(OR(City_Inputs!$Z29="",Norm_Stats!$F$14="",Norm_Stats!$G$14="",Norm_Stats!$G$14=Norm_Stats!$F$14),"",MAX(0,MIN(100,100*(MIN(MAX(City_Inputs!$Z29,Norm_Stats!$F$14),Norm_Stats!$G$14)-Norm_Stats!$F$14)/(Norm_Stats!$G$14-Norm_Stats!$F$14)))))="",0,0.7)+IF((IF(OR(City_Inputs!$AK29="",Norm_Stats!$F$15="",Norm_Stats!$G$15="",Norm_Stats!$G$15=Norm_Stats!$F$15),"",MAX(0,MIN(100,100*(Norm_Stats!$G$15-MIN(MAX(City_Inputs!$AK29,Norm_Stats!$F$15),Norm_Stats!$G$15))/(Norm_Stats!$G$15-Norm_Stats!$F$15)))))="",0,0.3)))</f>
        <v/>
      </c>
      <c r="AJ29" s="14">
        <f>IF((IF((IF(OR(City_Inputs!$Z29="",Norm_Stats!$F$14="",Norm_Stats!$G$14="",Norm_Stats!$G$14=Norm_Stats!$F$14),"",MAX(0,MIN(100,100*(MIN(MAX(City_Inputs!$Z29,Norm_Stats!$F$14),Norm_Stats!$G$14)-Norm_Stats!$F$14)/(Norm_Stats!$G$14-Norm_Stats!$F$14)))))="",0,0.7)+IF((IF(OR(City_Inputs!$AK29="",Norm_Stats!$F$15="",Norm_Stats!$G$15="",Norm_Stats!$G$15=Norm_Stats!$F$15),"",MAX(0,MIN(100,100*(Norm_Stats!$G$15-MIN(MAX(City_Inputs!$AK29,Norm_Stats!$F$15),Norm_Stats!$G$15))/(Norm_Stats!$G$15-Norm_Stats!$F$15)))))="",0,0.3))=0,"",(IF((IF(OR(City_Inputs!$Z29="",Norm_Stats!$F$14="",Norm_Stats!$G$14="",Norm_Stats!$G$14=Norm_Stats!$F$14),"",MAX(0,MIN(100,100*(MIN(MAX(City_Inputs!$Z29,Norm_Stats!$F$14),Norm_Stats!$G$14)-Norm_Stats!$F$14)/(Norm_Stats!$G$14-Norm_Stats!$F$14)))))="",0,0.7)+IF((IF(OR(City_Inputs!$AK29="",Norm_Stats!$F$15="",Norm_Stats!$G$15="",Norm_Stats!$G$15=Norm_Stats!$F$15),"",MAX(0,MIN(100,100*(Norm_Stats!$G$15-MIN(MAX(City_Inputs!$AK29,Norm_Stats!$F$15),Norm_Stats!$G$15))/(Norm_Stats!$G$15-Norm_Stats!$F$15)))))="",0,0.3)))</f>
        <v/>
      </c>
      <c r="AK29" s="15">
        <f>IF((IF(AE29="",0,8)+IF(AG29="",0,6)+IF(AI29="",0,4))=0,"",(IF(AE29="",0,AE29*8)+IF(AG29="",0,AG29*6)+IF(AI29="",0,AI29*4))/(IF(AE29="",0,8)+IF(AG29="",0,6)+IF(AI29="",0,4)))</f>
        <v/>
      </c>
      <c r="AL29" s="14">
        <f>IF((IF(AF29="",0,8)+IF(AH29="",0,6)+IF(AJ29="",0,4))=0,"",(IF(AF29="",0,AF29*8)+IF(AH29="",0,AH29*6)+IF(AJ29="",0,AJ29*4))/18)</f>
        <v/>
      </c>
      <c r="AM29" s="11">
        <f>IF(OR(City_Inputs!$AA29="",Norm_Stats!$F$16="",Norm_Stats!$G$16="",Norm_Stats!$G$16=Norm_Stats!$F$16),"",MAX(0,MIN(100,100*(MIN(MAX(City_Inputs!$AA29,Norm_Stats!$F$16),Norm_Stats!$G$16)-Norm_Stats!$F$16)/(Norm_Stats!$G$16-Norm_Stats!$F$16))))</f>
        <v/>
      </c>
      <c r="AN29" s="14">
        <f>IF(AM29="","",1)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5">
        <f>IF((IF(AM29="",0,5)+IF(AO29="",0,5)+IF(AQ29="",0,5))=0,"",(IF(AM29="",0,AM29*5)+IF(AO29="",0,AO29*5)+IF(AQ29="",0,AQ29*5))/(IF(AM29="",0,5)+IF(AO29="",0,5)+IF(AQ29="",0,5)))</f>
        <v/>
      </c>
      <c r="AT29" s="14">
        <f>IF((IF(AN29="",0,5)+IF(AP29="",0,5)+IF(AR29="",0,5))=0,"",(IF(AN29="",0,AN29*5)+IF(AP29="",0,AP29*5)+IF(AR29="",0,AR29*5))/15)</f>
        <v/>
      </c>
      <c r="AU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V29" s="14">
        <f>IF(AU29="","",1)</f>
        <v/>
      </c>
      <c r="AW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X29" s="14">
        <f>IF(AW29="","",1)</f>
        <v/>
      </c>
      <c r="AY29" s="11">
        <f>IF((IF((IF(OR(City_Inputs!$AF29="",Norm_Stats!$F$21="",Norm_Stats!$G$21="",Norm_Stats!$G$21=Norm_Stats!$F$21),"",MAX(0,MIN(100,100*(MIN(MAX(City_Inputs!$AF29,Norm_Stats!$F$21),Norm_Stats!$G$21)-Norm_Stats!$F$21)/(Norm_Stats!$G$21-Norm_Stats!$F$21)))))="",0,0.5)+IF((IF(OR(City_Inputs!$AI29="",Norm_Stats!$F$22="",Norm_Stats!$G$22="",Norm_Stats!$G$22=Norm_Stats!$F$22),"",MAX(0,MIN(100,100*(MIN(MAX(City_Inputs!$AI29,Norm_Stats!$F$22),Norm_Stats!$G$22)-Norm_Stats!$F$22)/(Norm_Stats!$G$22-Norm_Stats!$F$22)))))="",0,0.3)+IF((IF(OR(City_Inputs!$AJ29="",Norm_Stats!$F$23="",Norm_Stats!$G$23="",Norm_Stats!$G$23=Norm_Stats!$F$23),"",MAX(0,MIN(100,100*(MIN(MAX(City_Inputs!$AJ29,Norm_Stats!$F$23),Norm_Stats!$G$23)-Norm_Stats!$F$23)/(Norm_Stats!$G$23-Norm_Stats!$F$23)))))="",0,0.2))=0,"",(IF((IF(OR(City_Inputs!$AF29="",Norm_Stats!$F$21="",Norm_Stats!$G$21="",Norm_Stats!$G$21=Norm_Stats!$F$21),"",MAX(0,MIN(100,100*(MIN(MAX(City_Inputs!$AF29,Norm_Stats!$F$21),Norm_Stats!$G$21)-Norm_Stats!$F$21)/(Norm_Stats!$G$21-Norm_Stats!$F$21)))))="",0,(IF(OR(City_Inputs!$AF29="",Norm_Stats!$F$21="",Norm_Stats!$G$21="",Norm_Stats!$G$21=Norm_Stats!$F$21),"",MAX(0,MIN(100,100*(MIN(MAX(City_Inputs!$AF29,Norm_Stats!$F$21),Norm_Stats!$G$21)-Norm_Stats!$F$21)/(Norm_Stats!$G$21-Norm_Stats!$F$21)))))*0.5)+IF((IF(OR(City_Inputs!$AI29="",Norm_Stats!$F$22="",Norm_Stats!$G$22="",Norm_Stats!$G$22=Norm_Stats!$F$22),"",MAX(0,MIN(100,100*(MIN(MAX(City_Inputs!$AI29,Norm_Stats!$F$22),Norm_Stats!$G$22)-Norm_Stats!$F$22)/(Norm_Stats!$G$22-Norm_Stats!$F$22)))))="",0,(IF(OR(City_Inputs!$AI29="",Norm_Stats!$F$22="",Norm_Stats!$G$22="",Norm_Stats!$G$22=Norm_Stats!$F$22),"",MAX(0,MIN(100,100*(MIN(MAX(City_Inputs!$AI29,Norm_Stats!$F$22),Norm_Stats!$G$22)-Norm_Stats!$F$22)/(Norm_Stats!$G$22-Norm_Stats!$F$22)))))*0.3)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0.2))/(IF((IF(OR(City_Inputs!$AF29="",Norm_Stats!$F$21="",Norm_Stats!$G$21="",Norm_Stats!$G$21=Norm_Stats!$F$21),"",MAX(0,MIN(100,100*(MIN(MAX(City_Inputs!$AF29,Norm_Stats!$F$21),Norm_Stats!$G$21)-Norm_Stats!$F$21)/(Norm_Stats!$G$21-Norm_Stats!$F$21)))))="",0,0.5)+IF((IF(OR(City_Inputs!$AI29="",Norm_Stats!$F$22="",Norm_Stats!$G$22="",Norm_Stats!$G$22=Norm_Stats!$F$22),"",MAX(0,MIN(100,100*(MIN(MAX(City_Inputs!$AI29,Norm_Stats!$F$22),Norm_Stats!$G$22)-Norm_Stats!$F$22)/(Norm_Stats!$G$22-Norm_Stats!$F$22)))))="",0,0.3)+IF((IF(OR(City_Inputs!$AJ29="",Norm_Stats!$F$23="",Norm_Stats!$G$23="",Norm_Stats!$G$23=Norm_Stats!$F$23),"",MAX(0,MIN(100,100*(MIN(MAX(City_Inputs!$AJ29,Norm_Stats!$F$23),Norm_Stats!$G$23)-Norm_Stats!$F$23)/(Norm_Stats!$G$23-Norm_Stats!$F$23)))))="",0,0.2)))</f>
        <v/>
      </c>
      <c r="AZ29" s="14">
        <f>IF((IF((IF(OR(City_Inputs!$AF29="",Norm_Stats!$F$21="",Norm_Stats!$G$21="",Norm_Stats!$G$21=Norm_Stats!$F$21),"",MAX(0,MIN(100,100*(MIN(MAX(City_Inputs!$AF29,Norm_Stats!$F$21),Norm_Stats!$G$21)-Norm_Stats!$F$21)/(Norm_Stats!$G$21-Norm_Stats!$F$21)))))="",0,0.5)+IF((IF(OR(City_Inputs!$AI29="",Norm_Stats!$F$22="",Norm_Stats!$G$22="",Norm_Stats!$G$22=Norm_Stats!$F$22),"",MAX(0,MIN(100,100*(MIN(MAX(City_Inputs!$AI29,Norm_Stats!$F$22),Norm_Stats!$G$22)-Norm_Stats!$F$22)/(Norm_Stats!$G$22-Norm_Stats!$F$22)))))="",0,0.3)+IF((IF(OR(City_Inputs!$AJ29="",Norm_Stats!$F$23="",Norm_Stats!$G$23="",Norm_Stats!$G$23=Norm_Stats!$F$23),"",MAX(0,MIN(100,100*(MIN(MAX(City_Inputs!$AJ29,Norm_Stats!$F$23),Norm_Stats!$G$23)-Norm_Stats!$F$23)/(Norm_Stats!$G$23-Norm_Stats!$F$23)))))="",0,0.2))=0,"",(IF((IF(OR(City_Inputs!$AF29="",Norm_Stats!$F$21="",Norm_Stats!$G$21="",Norm_Stats!$G$21=Norm_Stats!$F$21),"",MAX(0,MIN(100,100*(MIN(MAX(City_Inputs!$AF29,Norm_Stats!$F$21),Norm_Stats!$G$21)-Norm_Stats!$F$21)/(Norm_Stats!$G$21-Norm_Stats!$F$21)))))="",0,0.5)+IF((IF(OR(City_Inputs!$AI29="",Norm_Stats!$F$22="",Norm_Stats!$G$22="",Norm_Stats!$G$22=Norm_Stats!$F$22),"",MAX(0,MIN(100,100*(MIN(MAX(City_Inputs!$AI29,Norm_Stats!$F$22),Norm_Stats!$G$22)-Norm_Stats!$F$22)/(Norm_Stats!$G$22-Norm_Stats!$F$22)))))="",0,0.3)+IF((IF(OR(City_Inputs!$AJ29="",Norm_Stats!$F$23="",Norm_Stats!$G$23="",Norm_Stats!$G$23=Norm_Stats!$F$23),"",MAX(0,MIN(100,100*(MIN(MAX(City_Inputs!$AJ29,Norm_Stats!$F$23),Norm_Stats!$G$23)-Norm_Stats!$F$23)/(Norm_Stats!$G$23-Norm_Stats!$F$23)))))="",0,0.2)))</f>
        <v/>
      </c>
      <c r="BA29" s="11">
        <f>IF(OR(City_Inputs!$AG29="",Norm_Stats!$F$24="",Norm_Stats!$G$24="",Norm_Stats!$G$24=Norm_Stats!$F$24),"",MAX(0,MIN(100,100*(Norm_Stats!$G$24-MIN(MAX(City_Inputs!$AG29,Norm_Stats!$F$24),Norm_Stats!$G$24))/(Norm_Stats!$G$24-Norm_Stats!$F$24))))</f>
        <v/>
      </c>
      <c r="BB29" s="14">
        <f>IF(BA29="","",1)</f>
        <v/>
      </c>
      <c r="BC29" s="15">
        <f>IF((IF(AU29="",0,6)+IF(AW29="",0,5)+IF(AY29="",0,5)+IF(BA29="",0,4))=0,"",(IF(AU29="",0,AU29*6)+IF(AW29="",0,AW29*5)+IF(AY29="",0,AY29*5)+IF(BA29="",0,BA29*4))/(IF(AU29="",0,6)+IF(AW29="",0,5)+IF(AY29="",0,5)+IF(BA29="",0,4)))</f>
        <v/>
      </c>
      <c r="BD29" s="14">
        <f>IF((IF(AV29="",0,6)+IF(AX29="",0,5)+IF(AZ29="",0,5)+IF(BB29="",0,4))=0,"",(IF(AV29="",0,AV29*6)+IF(AX29="",0,AX29*5)+IF(AZ29="",0,AZ29*5)+IF(BB29="",0,BB29*4))/20)</f>
        <v/>
      </c>
      <c r="BE29" s="14">
        <f>IF(AND(R29="",AD29="",AL29="",AT29="",BD29=""),"",((R29*25)+(AD29*22)+(AL29*18)+(AT29*15)+(BD29*20))/100)</f>
        <v/>
      </c>
      <c r="BF29" s="11">
        <f>IF(BE29="","",IF(BE29&gt;=0.75,"A",IF(BE29&gt;=0.5,"B",IF(BE29&gt;=0.35,"C","Watchlist"))))</f>
        <v/>
      </c>
      <c r="BG29" s="11">
        <f>IF(OR(BE29="",BE29&lt;0.5,R29="",R29&lt;0.35,AD29="",AD29&lt;0.35,AL29="",AL29&lt;0.35,AT29="",AT29&lt;0.35,BD29="",BD29&lt;0.35),"Watchlist","Ranked")</f>
        <v/>
      </c>
      <c r="BH29" s="15">
        <f>IF(AND(Q29="",AC29="",AK29="",AS29="",BC29=""),"",(IF(Q29="",0,Q29*25)+IF(AC29="",0,AC29*22)+IF(AK29="",0,AK29*18)+IF(AS29="",0,AS29*15)+IF(BC29="",0,BC29*20))/(IF(Q29="",0,25)+IF(AC29="",0,22)+IF(AK29="",0,18)+IF(AS29="",0,15)+IF(BC29="",0,20)))</f>
        <v/>
      </c>
      <c r="BI29" s="11">
        <f>IF(BG29="Ranked",1+COUNTIFS($BG$2:$BG$101,"Ranked",$BH$2:$BH$101,"&gt;"&amp;BH29),"")</f>
        <v/>
      </c>
      <c r="BJ29" s="11">
        <f>City_Inputs!$AH29</f>
        <v/>
      </c>
    </row>
    <row r="30">
      <c r="A30" t="inlineStr">
        <is>
          <t>bt-thimphu</t>
        </is>
      </c>
      <c r="B30" t="inlineStr">
        <is>
          <t>Thimphu</t>
        </is>
      </c>
      <c r="C30" t="inlineStr">
        <is>
          <t>Bhutan</t>
        </is>
      </c>
      <c r="D30" t="inlineStr">
        <is>
          <t>South Asia</t>
        </is>
      </c>
      <c r="E30" t="inlineStr">
        <is>
          <t>locked</t>
        </is>
      </c>
      <c r="F30" t="inlineStr">
        <is>
          <t>secondary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IF((IF(G30="",0,9)+IF(I30="",0,5)+IF(K30="",0,4)+IF(M30="",0,4)+IF(O30="",0,3))=0,"",(IF(G30="",0,G30*9)+IF(I30="",0,I30*5)+IF(K30="",0,K30*4)+IF(M30="",0,M30*4)+IF(O30="",0,O30*3))/(IF(G30="",0,9)+IF(I30="",0,5)+IF(K30="",0,4)+IF(M30="",0,4)+IF(O30="",0,3)))</f>
        <v/>
      </c>
      <c r="R30" s="14">
        <f>IF((IF(H30="",0,9)+IF(J30="",0,5)+IF(L30="",0,4)+IF(N30="",0,4)+IF(P30="",0,3))=0,"",(IF(H30="",0,H30*9)+IF(J30="",0,J30*5)+IF(L30="",0,L30*4)+IF(N30="",0,N30*4)+IF(P30="",0,P30*3))/25)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5">
        <f>IF((IF(S30="",0,5)+IF(U30="",0,5)+IF(W30="",0,4)+IF(Y30="",0,4)+IF(AA30="",0,4))=0,"",(IF(S30="",0,S30*5)+IF(U30="",0,U30*5)+IF(W30="",0,W30*4)+IF(Y30="",0,Y30*4)+IF(AA30="",0,AA30*4))/(IF(S30="",0,5)+IF(U30="",0,5)+IF(W30="",0,4)+IF(Y30="",0,4)+IF(AA30="",0,4)))</f>
        <v/>
      </c>
      <c r="AD30" s="14">
        <f>IF((IF(T30="",0,5)+IF(V30="",0,5)+IF(X30="",0,4)+IF(Z30="",0,4)+IF(AB30="",0,4))=0,"",(IF(T30="",0,T30*5)+IF(V30="",0,V30*5)+IF(X30="",0,X30*4)+IF(Z30="",0,Z30*4)+IF(AB30="",0,AB30*4))/22)</f>
        <v/>
      </c>
      <c r="AE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F30" s="14">
        <f>IF(AE30="","",1)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(IF((IF(OR(City_Inputs!$Z30="",Norm_Stats!$F$14="",Norm_Stats!$G$14="",Norm_Stats!$G$14=Norm_Stats!$F$14),"",MAX(0,MIN(100,100*(MIN(MAX(City_Inputs!$Z30,Norm_Stats!$F$14),Norm_Stats!$G$14)-Norm_Stats!$F$14)/(Norm_Stats!$G$14-Norm_Stats!$F$14)))))="",0,0.7)+IF((IF(OR(City_Inputs!$AK30="",Norm_Stats!$F$15="",Norm_Stats!$G$15="",Norm_Stats!$G$15=Norm_Stats!$F$15),"",MAX(0,MIN(100,100*(Norm_Stats!$G$15-MIN(MAX(City_Inputs!$AK30,Norm_Stats!$F$15),Norm_Stats!$G$15))/(Norm_Stats!$G$15-Norm_Stats!$F$15)))))="",0,0.3))=0,"",(IF((IF(OR(City_Inputs!$Z30="",Norm_Stats!$F$14="",Norm_Stats!$G$14="",Norm_Stats!$G$14=Norm_Stats!$F$14),"",MAX(0,MIN(100,100*(MIN(MAX(City_Inputs!$Z30,Norm_Stats!$F$14),Norm_Stats!$G$14)-Norm_Stats!$F$14)/(Norm_Stats!$G$14-Norm_Stats!$F$14)))))="",0,(IF(OR(City_Inputs!$Z30="",Norm_Stats!$F$14="",Norm_Stats!$G$14="",Norm_Stats!$G$14=Norm_Stats!$F$14),"",MAX(0,MIN(100,100*(MIN(MAX(City_Inputs!$Z30,Norm_Stats!$F$14),Norm_Stats!$G$14)-Norm_Stats!$F$14)/(Norm_Stats!$G$14-Norm_Stats!$F$14)))))*0.7)+IF((IF(OR(City_Inputs!$AK30="",Norm_Stats!$F$15="",Norm_Stats!$G$15="",Norm_Stats!$G$15=Norm_Stats!$F$15),"",MAX(0,MIN(100,100*(Norm_Stats!$G$15-MIN(MAX(City_Inputs!$AK30,Norm_Stats!$F$15),Norm_Stats!$G$15))/(Norm_Stats!$G$15-Norm_Stats!$F$15)))))="",0,(IF(OR(City_Inputs!$AK30="",Norm_Stats!$F$15="",Norm_Stats!$G$15="",Norm_Stats!$G$15=Norm_Stats!$F$15),"",MAX(0,MIN(100,100*(Norm_Stats!$G$15-MIN(MAX(City_Inputs!$AK30,Norm_Stats!$F$15),Norm_Stats!$G$15))/(Norm_Stats!$G$15-Norm_Stats!$F$15)))))*0.3))/(IF((IF(OR(City_Inputs!$Z30="",Norm_Stats!$F$14="",Norm_Stats!$G$14="",Norm_Stats!$G$14=Norm_Stats!$F$14),"",MAX(0,MIN(100,100*(MIN(MAX(City_Inputs!$Z30,Norm_Stats!$F$14),Norm_Stats!$G$14)-Norm_Stats!$F$14)/(Norm_Stats!$G$14-Norm_Stats!$F$14)))))="",0,0.7)+IF((IF(OR(City_Inputs!$AK30="",Norm_Stats!$F$15="",Norm_Stats!$G$15="",Norm_Stats!$G$15=Norm_Stats!$F$15),"",MAX(0,MIN(100,100*(Norm_Stats!$G$15-MIN(MAX(City_Inputs!$AK30,Norm_Stats!$F$15),Norm_Stats!$G$15))/(Norm_Stats!$G$15-Norm_Stats!$F$15)))))="",0,0.3)))</f>
        <v/>
      </c>
      <c r="AJ30" s="14">
        <f>IF((IF((IF(OR(City_Inputs!$Z30="",Norm_Stats!$F$14="",Norm_Stats!$G$14="",Norm_Stats!$G$14=Norm_Stats!$F$14),"",MAX(0,MIN(100,100*(MIN(MAX(City_Inputs!$Z30,Norm_Stats!$F$14),Norm_Stats!$G$14)-Norm_Stats!$F$14)/(Norm_Stats!$G$14-Norm_Stats!$F$14)))))="",0,0.7)+IF((IF(OR(City_Inputs!$AK30="",Norm_Stats!$F$15="",Norm_Stats!$G$15="",Norm_Stats!$G$15=Norm_Stats!$F$15),"",MAX(0,MIN(100,100*(Norm_Stats!$G$15-MIN(MAX(City_Inputs!$AK30,Norm_Stats!$F$15),Norm_Stats!$G$15))/(Norm_Stats!$G$15-Norm_Stats!$F$15)))))="",0,0.3))=0,"",(IF((IF(OR(City_Inputs!$Z30="",Norm_Stats!$F$14="",Norm_Stats!$G$14="",Norm_Stats!$G$14=Norm_Stats!$F$14),"",MAX(0,MIN(100,100*(MIN(MAX(City_Inputs!$Z30,Norm_Stats!$F$14),Norm_Stats!$G$14)-Norm_Stats!$F$14)/(Norm_Stats!$G$14-Norm_Stats!$F$14)))))="",0,0.7)+IF((IF(OR(City_Inputs!$AK30="",Norm_Stats!$F$15="",Norm_Stats!$G$15="",Norm_Stats!$G$15=Norm_Stats!$F$15),"",MAX(0,MIN(100,100*(Norm_Stats!$G$15-MIN(MAX(City_Inputs!$AK30,Norm_Stats!$F$15),Norm_Stats!$G$15))/(Norm_Stats!$G$15-Norm_Stats!$F$15)))))="",0,0.3)))</f>
        <v/>
      </c>
      <c r="AK30" s="15">
        <f>IF((IF(AE30="",0,8)+IF(AG30="",0,6)+IF(AI30="",0,4))=0,"",(IF(AE30="",0,AE30*8)+IF(AG30="",0,AG30*6)+IF(AI30="",0,AI30*4))/(IF(AE30="",0,8)+IF(AG30="",0,6)+IF(AI30="",0,4)))</f>
        <v/>
      </c>
      <c r="AL30" s="14">
        <f>IF((IF(AF30="",0,8)+IF(AH30="",0,6)+IF(AJ30="",0,4))=0,"",(IF(AF30="",0,AF30*8)+IF(AH30="",0,AH30*6)+IF(AJ30="",0,AJ30*4))/18)</f>
        <v/>
      </c>
      <c r="AM30" s="11">
        <f>IF(OR(City_Inputs!$AA30="",Norm_Stats!$F$16="",Norm_Stats!$G$16="",Norm_Stats!$G$16=Norm_Stats!$F$16),"",MAX(0,MIN(100,100*(MIN(MAX(City_Inputs!$AA30,Norm_Stats!$F$16),Norm_Stats!$G$16)-Norm_Stats!$F$16)/(Norm_Stats!$G$16-Norm_Stats!$F$16))))</f>
        <v/>
      </c>
      <c r="AN30" s="14">
        <f>IF(AM30="","",1)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5">
        <f>IF((IF(AM30="",0,5)+IF(AO30="",0,5)+IF(AQ30="",0,5))=0,"",(IF(AM30="",0,AM30*5)+IF(AO30="",0,AO30*5)+IF(AQ30="",0,AQ30*5))/(IF(AM30="",0,5)+IF(AO30="",0,5)+IF(AQ30="",0,5)))</f>
        <v/>
      </c>
      <c r="AT30" s="14">
        <f>IF((IF(AN30="",0,5)+IF(AP30="",0,5)+IF(AR30="",0,5))=0,"",(IF(AN30="",0,AN30*5)+IF(AP30="",0,AP30*5)+IF(AR30="",0,AR30*5))/15)</f>
        <v/>
      </c>
      <c r="AU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V30" s="14">
        <f>IF(AU30="","",1)</f>
        <v/>
      </c>
      <c r="AW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X30" s="14">
        <f>IF(AW30="","",1)</f>
        <v/>
      </c>
      <c r="AY30" s="11">
        <f>IF((IF((IF(OR(City_Inputs!$AF30="",Norm_Stats!$F$21="",Norm_Stats!$G$21="",Norm_Stats!$G$21=Norm_Stats!$F$21),"",MAX(0,MIN(100,100*(MIN(MAX(City_Inputs!$AF30,Norm_Stats!$F$21),Norm_Stats!$G$21)-Norm_Stats!$F$21)/(Norm_Stats!$G$21-Norm_Stats!$F$21)))))="",0,0.5)+IF((IF(OR(City_Inputs!$AI30="",Norm_Stats!$F$22="",Norm_Stats!$G$22="",Norm_Stats!$G$22=Norm_Stats!$F$22),"",MAX(0,MIN(100,100*(MIN(MAX(City_Inputs!$AI30,Norm_Stats!$F$22),Norm_Stats!$G$22)-Norm_Stats!$F$22)/(Norm_Stats!$G$22-Norm_Stats!$F$22)))))="",0,0.3)+IF((IF(OR(City_Inputs!$AJ30="",Norm_Stats!$F$23="",Norm_Stats!$G$23="",Norm_Stats!$G$23=Norm_Stats!$F$23),"",MAX(0,MIN(100,100*(MIN(MAX(City_Inputs!$AJ30,Norm_Stats!$F$23),Norm_Stats!$G$23)-Norm_Stats!$F$23)/(Norm_Stats!$G$23-Norm_Stats!$F$23)))))="",0,0.2))=0,"",(IF((IF(OR(City_Inputs!$AF30="",Norm_Stats!$F$21="",Norm_Stats!$G$21="",Norm_Stats!$G$21=Norm_Stats!$F$21),"",MAX(0,MIN(100,100*(MIN(MAX(City_Inputs!$AF30,Norm_Stats!$F$21),Norm_Stats!$G$21)-Norm_Stats!$F$21)/(Norm_Stats!$G$21-Norm_Stats!$F$21)))))="",0,(IF(OR(City_Inputs!$AF30="",Norm_Stats!$F$21="",Norm_Stats!$G$21="",Norm_Stats!$G$21=Norm_Stats!$F$21),"",MAX(0,MIN(100,100*(MIN(MAX(City_Inputs!$AF30,Norm_Stats!$F$21),Norm_Stats!$G$21)-Norm_Stats!$F$21)/(Norm_Stats!$G$21-Norm_Stats!$F$21)))))*0.5)+IF((IF(OR(City_Inputs!$AI30="",Norm_Stats!$F$22="",Norm_Stats!$G$22="",Norm_Stats!$G$22=Norm_Stats!$F$22),"",MAX(0,MIN(100,100*(MIN(MAX(City_Inputs!$AI30,Norm_Stats!$F$22),Norm_Stats!$G$22)-Norm_Stats!$F$22)/(Norm_Stats!$G$22-Norm_Stats!$F$22)))))="",0,(IF(OR(City_Inputs!$AI30="",Norm_Stats!$F$22="",Norm_Stats!$G$22="",Norm_Stats!$G$22=Norm_Stats!$F$22),"",MAX(0,MIN(100,100*(MIN(MAX(City_Inputs!$AI30,Norm_Stats!$F$22),Norm_Stats!$G$22)-Norm_Stats!$F$22)/(Norm_Stats!$G$22-Norm_Stats!$F$22)))))*0.3)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0.2))/(IF((IF(OR(City_Inputs!$AF30="",Norm_Stats!$F$21="",Norm_Stats!$G$21="",Norm_Stats!$G$21=Norm_Stats!$F$21),"",MAX(0,MIN(100,100*(MIN(MAX(City_Inputs!$AF30,Norm_Stats!$F$21),Norm_Stats!$G$21)-Norm_Stats!$F$21)/(Norm_Stats!$G$21-Norm_Stats!$F$21)))))="",0,0.5)+IF((IF(OR(City_Inputs!$AI30="",Norm_Stats!$F$22="",Norm_Stats!$G$22="",Norm_Stats!$G$22=Norm_Stats!$F$22),"",MAX(0,MIN(100,100*(MIN(MAX(City_Inputs!$AI30,Norm_Stats!$F$22),Norm_Stats!$G$22)-Norm_Stats!$F$22)/(Norm_Stats!$G$22-Norm_Stats!$F$22)))))="",0,0.3)+IF((IF(OR(City_Inputs!$AJ30="",Norm_Stats!$F$23="",Norm_Stats!$G$23="",Norm_Stats!$G$23=Norm_Stats!$F$23),"",MAX(0,MIN(100,100*(MIN(MAX(City_Inputs!$AJ30,Norm_Stats!$F$23),Norm_Stats!$G$23)-Norm_Stats!$F$23)/(Norm_Stats!$G$23-Norm_Stats!$F$23)))))="",0,0.2)))</f>
        <v/>
      </c>
      <c r="AZ30" s="14">
        <f>IF((IF((IF(OR(City_Inputs!$AF30="",Norm_Stats!$F$21="",Norm_Stats!$G$21="",Norm_Stats!$G$21=Norm_Stats!$F$21),"",MAX(0,MIN(100,100*(MIN(MAX(City_Inputs!$AF30,Norm_Stats!$F$21),Norm_Stats!$G$21)-Norm_Stats!$F$21)/(Norm_Stats!$G$21-Norm_Stats!$F$21)))))="",0,0.5)+IF((IF(OR(City_Inputs!$AI30="",Norm_Stats!$F$22="",Norm_Stats!$G$22="",Norm_Stats!$G$22=Norm_Stats!$F$22),"",MAX(0,MIN(100,100*(MIN(MAX(City_Inputs!$AI30,Norm_Stats!$F$22),Norm_Stats!$G$22)-Norm_Stats!$F$22)/(Norm_Stats!$G$22-Norm_Stats!$F$22)))))="",0,0.3)+IF((IF(OR(City_Inputs!$AJ30="",Norm_Stats!$F$23="",Norm_Stats!$G$23="",Norm_Stats!$G$23=Norm_Stats!$F$23),"",MAX(0,MIN(100,100*(MIN(MAX(City_Inputs!$AJ30,Norm_Stats!$F$23),Norm_Stats!$G$23)-Norm_Stats!$F$23)/(Norm_Stats!$G$23-Norm_Stats!$F$23)))))="",0,0.2))=0,"",(IF((IF(OR(City_Inputs!$AF30="",Norm_Stats!$F$21="",Norm_Stats!$G$21="",Norm_Stats!$G$21=Norm_Stats!$F$21),"",MAX(0,MIN(100,100*(MIN(MAX(City_Inputs!$AF30,Norm_Stats!$F$21),Norm_Stats!$G$21)-Norm_Stats!$F$21)/(Norm_Stats!$G$21-Norm_Stats!$F$21)))))="",0,0.5)+IF((IF(OR(City_Inputs!$AI30="",Norm_Stats!$F$22="",Norm_Stats!$G$22="",Norm_Stats!$G$22=Norm_Stats!$F$22),"",MAX(0,MIN(100,100*(MIN(MAX(City_Inputs!$AI30,Norm_Stats!$F$22),Norm_Stats!$G$22)-Norm_Stats!$F$22)/(Norm_Stats!$G$22-Norm_Stats!$F$22)))))="",0,0.3)+IF((IF(OR(City_Inputs!$AJ30="",Norm_Stats!$F$23="",Norm_Stats!$G$23="",Norm_Stats!$G$23=Norm_Stats!$F$23),"",MAX(0,MIN(100,100*(MIN(MAX(City_Inputs!$AJ30,Norm_Stats!$F$23),Norm_Stats!$G$23)-Norm_Stats!$F$23)/(Norm_Stats!$G$23-Norm_Stats!$F$23)))))="",0,0.2)))</f>
        <v/>
      </c>
      <c r="BA30" s="11">
        <f>IF(OR(City_Inputs!$AG30="",Norm_Stats!$F$24="",Norm_Stats!$G$24="",Norm_Stats!$G$24=Norm_Stats!$F$24),"",MAX(0,MIN(100,100*(Norm_Stats!$G$24-MIN(MAX(City_Inputs!$AG30,Norm_Stats!$F$24),Norm_Stats!$G$24))/(Norm_Stats!$G$24-Norm_Stats!$F$24))))</f>
        <v/>
      </c>
      <c r="BB30" s="14">
        <f>IF(BA30="","",1)</f>
        <v/>
      </c>
      <c r="BC30" s="15">
        <f>IF((IF(AU30="",0,6)+IF(AW30="",0,5)+IF(AY30="",0,5)+IF(BA30="",0,4))=0,"",(IF(AU30="",0,AU30*6)+IF(AW30="",0,AW30*5)+IF(AY30="",0,AY30*5)+IF(BA30="",0,BA30*4))/(IF(AU30="",0,6)+IF(AW30="",0,5)+IF(AY30="",0,5)+IF(BA30="",0,4)))</f>
        <v/>
      </c>
      <c r="BD30" s="14">
        <f>IF((IF(AV30="",0,6)+IF(AX30="",0,5)+IF(AZ30="",0,5)+IF(BB30="",0,4))=0,"",(IF(AV30="",0,AV30*6)+IF(AX30="",0,AX30*5)+IF(AZ30="",0,AZ30*5)+IF(BB30="",0,BB30*4))/20)</f>
        <v/>
      </c>
      <c r="BE30" s="14">
        <f>IF(AND(R30="",AD30="",AL30="",AT30="",BD30=""),"",((R30*25)+(AD30*22)+(AL30*18)+(AT30*15)+(BD30*20))/100)</f>
        <v/>
      </c>
      <c r="BF30" s="11">
        <f>IF(BE30="","",IF(BE30&gt;=0.75,"A",IF(BE30&gt;=0.5,"B",IF(BE30&gt;=0.35,"C","Watchlist"))))</f>
        <v/>
      </c>
      <c r="BG30" s="11">
        <f>IF(OR(BE30="",BE30&lt;0.5,R30="",R30&lt;0.35,AD30="",AD30&lt;0.35,AL30="",AL30&lt;0.35,AT30="",AT30&lt;0.35,BD30="",BD30&lt;0.35),"Watchlist","Ranked")</f>
        <v/>
      </c>
      <c r="BH30" s="15">
        <f>IF(AND(Q30="",AC30="",AK30="",AS30="",BC30=""),"",(IF(Q30="",0,Q30*25)+IF(AC30="",0,AC30*22)+IF(AK30="",0,AK30*18)+IF(AS30="",0,AS30*15)+IF(BC30="",0,BC30*20))/(IF(Q30="",0,25)+IF(AC30="",0,22)+IF(AK30="",0,18)+IF(AS30="",0,15)+IF(BC30="",0,20)))</f>
        <v/>
      </c>
      <c r="BI30" s="11">
        <f>IF(BG30="Ranked",1+COUNTIFS($BG$2:$BG$101,"Ranked",$BH$2:$BH$101,"&gt;"&amp;BH30),"")</f>
        <v/>
      </c>
      <c r="BJ30" s="11">
        <f>City_Inputs!$AH30</f>
        <v/>
      </c>
    </row>
    <row r="31">
      <c r="A31" t="inlineStr">
        <is>
          <t>mv-male</t>
        </is>
      </c>
      <c r="B31" t="inlineStr">
        <is>
          <t>Male</t>
        </is>
      </c>
      <c r="C31" t="inlineStr">
        <is>
          <t>Maldives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secondary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IF((IF(G31="",0,9)+IF(I31="",0,5)+IF(K31="",0,4)+IF(M31="",0,4)+IF(O31="",0,3))=0,"",(IF(G31="",0,G31*9)+IF(I31="",0,I31*5)+IF(K31="",0,K31*4)+IF(M31="",0,M31*4)+IF(O31="",0,O31*3))/(IF(G31="",0,9)+IF(I31="",0,5)+IF(K31="",0,4)+IF(M31="",0,4)+IF(O31="",0,3)))</f>
        <v/>
      </c>
      <c r="R31" s="14">
        <f>IF((IF(H31="",0,9)+IF(J31="",0,5)+IF(L31="",0,4)+IF(N31="",0,4)+IF(P31="",0,3))=0,"",(IF(H31="",0,H31*9)+IF(J31="",0,J31*5)+IF(L31="",0,L31*4)+IF(N31="",0,N31*4)+IF(P31="",0,P31*3))/25)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5">
        <f>IF((IF(S31="",0,5)+IF(U31="",0,5)+IF(W31="",0,4)+IF(Y31="",0,4)+IF(AA31="",0,4))=0,"",(IF(S31="",0,S31*5)+IF(U31="",0,U31*5)+IF(W31="",0,W31*4)+IF(Y31="",0,Y31*4)+IF(AA31="",0,AA31*4))/(IF(S31="",0,5)+IF(U31="",0,5)+IF(W31="",0,4)+IF(Y31="",0,4)+IF(AA31="",0,4)))</f>
        <v/>
      </c>
      <c r="AD31" s="14">
        <f>IF((IF(T31="",0,5)+IF(V31="",0,5)+IF(X31="",0,4)+IF(Z31="",0,4)+IF(AB31="",0,4))=0,"",(IF(T31="",0,T31*5)+IF(V31="",0,V31*5)+IF(X31="",0,X31*4)+IF(Z31="",0,Z31*4)+IF(AB31="",0,AB31*4))/22)</f>
        <v/>
      </c>
      <c r="AE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F31" s="14">
        <f>IF(AE31="","",1)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(IF((IF(OR(City_Inputs!$Z31="",Norm_Stats!$F$14="",Norm_Stats!$G$14="",Norm_Stats!$G$14=Norm_Stats!$F$14),"",MAX(0,MIN(100,100*(MIN(MAX(City_Inputs!$Z31,Norm_Stats!$F$14),Norm_Stats!$G$14)-Norm_Stats!$F$14)/(Norm_Stats!$G$14-Norm_Stats!$F$14)))))="",0,0.7)+IF((IF(OR(City_Inputs!$AK31="",Norm_Stats!$F$15="",Norm_Stats!$G$15="",Norm_Stats!$G$15=Norm_Stats!$F$15),"",MAX(0,MIN(100,100*(Norm_Stats!$G$15-MIN(MAX(City_Inputs!$AK31,Norm_Stats!$F$15),Norm_Stats!$G$15))/(Norm_Stats!$G$15-Norm_Stats!$F$15)))))="",0,0.3))=0,"",(IF((IF(OR(City_Inputs!$Z31="",Norm_Stats!$F$14="",Norm_Stats!$G$14="",Norm_Stats!$G$14=Norm_Stats!$F$14),"",MAX(0,MIN(100,100*(MIN(MAX(City_Inputs!$Z31,Norm_Stats!$F$14),Norm_Stats!$G$14)-Norm_Stats!$F$14)/(Norm_Stats!$G$14-Norm_Stats!$F$14)))))="",0,(IF(OR(City_Inputs!$Z31="",Norm_Stats!$F$14="",Norm_Stats!$G$14="",Norm_Stats!$G$14=Norm_Stats!$F$14),"",MAX(0,MIN(100,100*(MIN(MAX(City_Inputs!$Z31,Norm_Stats!$F$14),Norm_Stats!$G$14)-Norm_Stats!$F$14)/(Norm_Stats!$G$14-Norm_Stats!$F$14)))))*0.7)+IF((IF(OR(City_Inputs!$AK31="",Norm_Stats!$F$15="",Norm_Stats!$G$15="",Norm_Stats!$G$15=Norm_Stats!$F$15),"",MAX(0,MIN(100,100*(Norm_Stats!$G$15-MIN(MAX(City_Inputs!$AK31,Norm_Stats!$F$15),Norm_Stats!$G$15))/(Norm_Stats!$G$15-Norm_Stats!$F$15)))))="",0,(IF(OR(City_Inputs!$AK31="",Norm_Stats!$F$15="",Norm_Stats!$G$15="",Norm_Stats!$G$15=Norm_Stats!$F$15),"",MAX(0,MIN(100,100*(Norm_Stats!$G$15-MIN(MAX(City_Inputs!$AK31,Norm_Stats!$F$15),Norm_Stats!$G$15))/(Norm_Stats!$G$15-Norm_Stats!$F$15)))))*0.3))/(IF((IF(OR(City_Inputs!$Z31="",Norm_Stats!$F$14="",Norm_Stats!$G$14="",Norm_Stats!$G$14=Norm_Stats!$F$14),"",MAX(0,MIN(100,100*(MIN(MAX(City_Inputs!$Z31,Norm_Stats!$F$14),Norm_Stats!$G$14)-Norm_Stats!$F$14)/(Norm_Stats!$G$14-Norm_Stats!$F$14)))))="",0,0.7)+IF((IF(OR(City_Inputs!$AK31="",Norm_Stats!$F$15="",Norm_Stats!$G$15="",Norm_Stats!$G$15=Norm_Stats!$F$15),"",MAX(0,MIN(100,100*(Norm_Stats!$G$15-MIN(MAX(City_Inputs!$AK31,Norm_Stats!$F$15),Norm_Stats!$G$15))/(Norm_Stats!$G$15-Norm_Stats!$F$15)))))="",0,0.3)))</f>
        <v/>
      </c>
      <c r="AJ31" s="14">
        <f>IF((IF((IF(OR(City_Inputs!$Z31="",Norm_Stats!$F$14="",Norm_Stats!$G$14="",Norm_Stats!$G$14=Norm_Stats!$F$14),"",MAX(0,MIN(100,100*(MIN(MAX(City_Inputs!$Z31,Norm_Stats!$F$14),Norm_Stats!$G$14)-Norm_Stats!$F$14)/(Norm_Stats!$G$14-Norm_Stats!$F$14)))))="",0,0.7)+IF((IF(OR(City_Inputs!$AK31="",Norm_Stats!$F$15="",Norm_Stats!$G$15="",Norm_Stats!$G$15=Norm_Stats!$F$15),"",MAX(0,MIN(100,100*(Norm_Stats!$G$15-MIN(MAX(City_Inputs!$AK31,Norm_Stats!$F$15),Norm_Stats!$G$15))/(Norm_Stats!$G$15-Norm_Stats!$F$15)))))="",0,0.3))=0,"",(IF((IF(OR(City_Inputs!$Z31="",Norm_Stats!$F$14="",Norm_Stats!$G$14="",Norm_Stats!$G$14=Norm_Stats!$F$14),"",MAX(0,MIN(100,100*(MIN(MAX(City_Inputs!$Z31,Norm_Stats!$F$14),Norm_Stats!$G$14)-Norm_Stats!$F$14)/(Norm_Stats!$G$14-Norm_Stats!$F$14)))))="",0,0.7)+IF((IF(OR(City_Inputs!$AK31="",Norm_Stats!$F$15="",Norm_Stats!$G$15="",Norm_Stats!$G$15=Norm_Stats!$F$15),"",MAX(0,MIN(100,100*(Norm_Stats!$G$15-MIN(MAX(City_Inputs!$AK31,Norm_Stats!$F$15),Norm_Stats!$G$15))/(Norm_Stats!$G$15-Norm_Stats!$F$15)))))="",0,0.3)))</f>
        <v/>
      </c>
      <c r="AK31" s="15">
        <f>IF((IF(AE31="",0,8)+IF(AG31="",0,6)+IF(AI31="",0,4))=0,"",(IF(AE31="",0,AE31*8)+IF(AG31="",0,AG31*6)+IF(AI31="",0,AI31*4))/(IF(AE31="",0,8)+IF(AG31="",0,6)+IF(AI31="",0,4)))</f>
        <v/>
      </c>
      <c r="AL31" s="14">
        <f>IF((IF(AF31="",0,8)+IF(AH31="",0,6)+IF(AJ31="",0,4))=0,"",(IF(AF31="",0,AF31*8)+IF(AH31="",0,AH31*6)+IF(AJ31="",0,AJ31*4))/18)</f>
        <v/>
      </c>
      <c r="AM31" s="11">
        <f>IF(OR(City_Inputs!$AA31="",Norm_Stats!$F$16="",Norm_Stats!$G$16="",Norm_Stats!$G$16=Norm_Stats!$F$16),"",MAX(0,MIN(100,100*(MIN(MAX(City_Inputs!$AA31,Norm_Stats!$F$16),Norm_Stats!$G$16)-Norm_Stats!$F$16)/(Norm_Stats!$G$16-Norm_Stats!$F$16))))</f>
        <v/>
      </c>
      <c r="AN31" s="14">
        <f>IF(AM31="","",1)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5">
        <f>IF((IF(AM31="",0,5)+IF(AO31="",0,5)+IF(AQ31="",0,5))=0,"",(IF(AM31="",0,AM31*5)+IF(AO31="",0,AO31*5)+IF(AQ31="",0,AQ31*5))/(IF(AM31="",0,5)+IF(AO31="",0,5)+IF(AQ31="",0,5)))</f>
        <v/>
      </c>
      <c r="AT31" s="14">
        <f>IF((IF(AN31="",0,5)+IF(AP31="",0,5)+IF(AR31="",0,5))=0,"",(IF(AN31="",0,AN31*5)+IF(AP31="",0,AP31*5)+IF(AR31="",0,AR31*5))/15)</f>
        <v/>
      </c>
      <c r="AU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V31" s="14">
        <f>IF(AU31="","",1)</f>
        <v/>
      </c>
      <c r="AW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X31" s="14">
        <f>IF(AW31="","",1)</f>
        <v/>
      </c>
      <c r="AY31" s="11">
        <f>IF((IF((IF(OR(City_Inputs!$AF31="",Norm_Stats!$F$21="",Norm_Stats!$G$21="",Norm_Stats!$G$21=Norm_Stats!$F$21),"",MAX(0,MIN(100,100*(MIN(MAX(City_Inputs!$AF31,Norm_Stats!$F$21),Norm_Stats!$G$21)-Norm_Stats!$F$21)/(Norm_Stats!$G$21-Norm_Stats!$F$21)))))="",0,0.5)+IF((IF(OR(City_Inputs!$AI31="",Norm_Stats!$F$22="",Norm_Stats!$G$22="",Norm_Stats!$G$22=Norm_Stats!$F$22),"",MAX(0,MIN(100,100*(MIN(MAX(City_Inputs!$AI31,Norm_Stats!$F$22),Norm_Stats!$G$22)-Norm_Stats!$F$22)/(Norm_Stats!$G$22-Norm_Stats!$F$22)))))="",0,0.3)+IF((IF(OR(City_Inputs!$AJ31="",Norm_Stats!$F$23="",Norm_Stats!$G$23="",Norm_Stats!$G$23=Norm_Stats!$F$23),"",MAX(0,MIN(100,100*(MIN(MAX(City_Inputs!$AJ31,Norm_Stats!$F$23),Norm_Stats!$G$23)-Norm_Stats!$F$23)/(Norm_Stats!$G$23-Norm_Stats!$F$23)))))="",0,0.2))=0,"",(IF((IF(OR(City_Inputs!$AF31="",Norm_Stats!$F$21="",Norm_Stats!$G$21="",Norm_Stats!$G$21=Norm_Stats!$F$21),"",MAX(0,MIN(100,100*(MIN(MAX(City_Inputs!$AF31,Norm_Stats!$F$21),Norm_Stats!$G$21)-Norm_Stats!$F$21)/(Norm_Stats!$G$21-Norm_Stats!$F$21)))))="",0,(IF(OR(City_Inputs!$AF31="",Norm_Stats!$F$21="",Norm_Stats!$G$21="",Norm_Stats!$G$21=Norm_Stats!$F$21),"",MAX(0,MIN(100,100*(MIN(MAX(City_Inputs!$AF31,Norm_Stats!$F$21),Norm_Stats!$G$21)-Norm_Stats!$F$21)/(Norm_Stats!$G$21-Norm_Stats!$F$21)))))*0.5)+IF((IF(OR(City_Inputs!$AI31="",Norm_Stats!$F$22="",Norm_Stats!$G$22="",Norm_Stats!$G$22=Norm_Stats!$F$22),"",MAX(0,MIN(100,100*(MIN(MAX(City_Inputs!$AI31,Norm_Stats!$F$22),Norm_Stats!$G$22)-Norm_Stats!$F$22)/(Norm_Stats!$G$22-Norm_Stats!$F$22)))))="",0,(IF(OR(City_Inputs!$AI31="",Norm_Stats!$F$22="",Norm_Stats!$G$22="",Norm_Stats!$G$22=Norm_Stats!$F$22),"",MAX(0,MIN(100,100*(MIN(MAX(City_Inputs!$AI31,Norm_Stats!$F$22),Norm_Stats!$G$22)-Norm_Stats!$F$22)/(Norm_Stats!$G$22-Norm_Stats!$F$22)))))*0.3)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0.2))/(IF((IF(OR(City_Inputs!$AF31="",Norm_Stats!$F$21="",Norm_Stats!$G$21="",Norm_Stats!$G$21=Norm_Stats!$F$21),"",MAX(0,MIN(100,100*(MIN(MAX(City_Inputs!$AF31,Norm_Stats!$F$21),Norm_Stats!$G$21)-Norm_Stats!$F$21)/(Norm_Stats!$G$21-Norm_Stats!$F$21)))))="",0,0.5)+IF((IF(OR(City_Inputs!$AI31="",Norm_Stats!$F$22="",Norm_Stats!$G$22="",Norm_Stats!$G$22=Norm_Stats!$F$22),"",MAX(0,MIN(100,100*(MIN(MAX(City_Inputs!$AI31,Norm_Stats!$F$22),Norm_Stats!$G$22)-Norm_Stats!$F$22)/(Norm_Stats!$G$22-Norm_Stats!$F$22)))))="",0,0.3)+IF((IF(OR(City_Inputs!$AJ31="",Norm_Stats!$F$23="",Norm_Stats!$G$23="",Norm_Stats!$G$23=Norm_Stats!$F$23),"",MAX(0,MIN(100,100*(MIN(MAX(City_Inputs!$AJ31,Norm_Stats!$F$23),Norm_Stats!$G$23)-Norm_Stats!$F$23)/(Norm_Stats!$G$23-Norm_Stats!$F$23)))))="",0,0.2)))</f>
        <v/>
      </c>
      <c r="AZ31" s="14">
        <f>IF((IF((IF(OR(City_Inputs!$AF31="",Norm_Stats!$F$21="",Norm_Stats!$G$21="",Norm_Stats!$G$21=Norm_Stats!$F$21),"",MAX(0,MIN(100,100*(MIN(MAX(City_Inputs!$AF31,Norm_Stats!$F$21),Norm_Stats!$G$21)-Norm_Stats!$F$21)/(Norm_Stats!$G$21-Norm_Stats!$F$21)))))="",0,0.5)+IF((IF(OR(City_Inputs!$AI31="",Norm_Stats!$F$22="",Norm_Stats!$G$22="",Norm_Stats!$G$22=Norm_Stats!$F$22),"",MAX(0,MIN(100,100*(MIN(MAX(City_Inputs!$AI31,Norm_Stats!$F$22),Norm_Stats!$G$22)-Norm_Stats!$F$22)/(Norm_Stats!$G$22-Norm_Stats!$F$22)))))="",0,0.3)+IF((IF(OR(City_Inputs!$AJ31="",Norm_Stats!$F$23="",Norm_Stats!$G$23="",Norm_Stats!$G$23=Norm_Stats!$F$23),"",MAX(0,MIN(100,100*(MIN(MAX(City_Inputs!$AJ31,Norm_Stats!$F$23),Norm_Stats!$G$23)-Norm_Stats!$F$23)/(Norm_Stats!$G$23-Norm_Stats!$F$23)))))="",0,0.2))=0,"",(IF((IF(OR(City_Inputs!$AF31="",Norm_Stats!$F$21="",Norm_Stats!$G$21="",Norm_Stats!$G$21=Norm_Stats!$F$21),"",MAX(0,MIN(100,100*(MIN(MAX(City_Inputs!$AF31,Norm_Stats!$F$21),Norm_Stats!$G$21)-Norm_Stats!$F$21)/(Norm_Stats!$G$21-Norm_Stats!$F$21)))))="",0,0.5)+IF((IF(OR(City_Inputs!$AI31="",Norm_Stats!$F$22="",Norm_Stats!$G$22="",Norm_Stats!$G$22=Norm_Stats!$F$22),"",MAX(0,MIN(100,100*(MIN(MAX(City_Inputs!$AI31,Norm_Stats!$F$22),Norm_Stats!$G$22)-Norm_Stats!$F$22)/(Norm_Stats!$G$22-Norm_Stats!$F$22)))))="",0,0.3)+IF((IF(OR(City_Inputs!$AJ31="",Norm_Stats!$F$23="",Norm_Stats!$G$23="",Norm_Stats!$G$23=Norm_Stats!$F$23),"",MAX(0,MIN(100,100*(MIN(MAX(City_Inputs!$AJ31,Norm_Stats!$F$23),Norm_Stats!$G$23)-Norm_Stats!$F$23)/(Norm_Stats!$G$23-Norm_Stats!$F$23)))))="",0,0.2)))</f>
        <v/>
      </c>
      <c r="BA31" s="11">
        <f>IF(OR(City_Inputs!$AG31="",Norm_Stats!$F$24="",Norm_Stats!$G$24="",Norm_Stats!$G$24=Norm_Stats!$F$24),"",MAX(0,MIN(100,100*(Norm_Stats!$G$24-MIN(MAX(City_Inputs!$AG31,Norm_Stats!$F$24),Norm_Stats!$G$24))/(Norm_Stats!$G$24-Norm_Stats!$F$24))))</f>
        <v/>
      </c>
      <c r="BB31" s="14">
        <f>IF(BA31="","",1)</f>
        <v/>
      </c>
      <c r="BC31" s="15">
        <f>IF((IF(AU31="",0,6)+IF(AW31="",0,5)+IF(AY31="",0,5)+IF(BA31="",0,4))=0,"",(IF(AU31="",0,AU31*6)+IF(AW31="",0,AW31*5)+IF(AY31="",0,AY31*5)+IF(BA31="",0,BA31*4))/(IF(AU31="",0,6)+IF(AW31="",0,5)+IF(AY31="",0,5)+IF(BA31="",0,4)))</f>
        <v/>
      </c>
      <c r="BD31" s="14">
        <f>IF((IF(AV31="",0,6)+IF(AX31="",0,5)+IF(AZ31="",0,5)+IF(BB31="",0,4))=0,"",(IF(AV31="",0,AV31*6)+IF(AX31="",0,AX31*5)+IF(AZ31="",0,AZ31*5)+IF(BB31="",0,BB31*4))/20)</f>
        <v/>
      </c>
      <c r="BE31" s="14">
        <f>IF(AND(R31="",AD31="",AL31="",AT31="",BD31=""),"",((R31*25)+(AD31*22)+(AL31*18)+(AT31*15)+(BD31*20))/100)</f>
        <v/>
      </c>
      <c r="BF31" s="11">
        <f>IF(BE31="","",IF(BE31&gt;=0.75,"A",IF(BE31&gt;=0.5,"B",IF(BE31&gt;=0.35,"C","Watchlist"))))</f>
        <v/>
      </c>
      <c r="BG31" s="11">
        <f>IF(OR(BE31="",BE31&lt;0.5,R31="",R31&lt;0.35,AD31="",AD31&lt;0.35,AL31="",AL31&lt;0.35,AT31="",AT31&lt;0.35,BD31="",BD31&lt;0.35),"Watchlist","Ranked")</f>
        <v/>
      </c>
      <c r="BH31" s="15">
        <f>IF(AND(Q31="",AC31="",AK31="",AS31="",BC31=""),"",(IF(Q31="",0,Q31*25)+IF(AC31="",0,AC31*22)+IF(AK31="",0,AK31*18)+IF(AS31="",0,AS31*15)+IF(BC31="",0,BC31*20))/(IF(Q31="",0,25)+IF(AC31="",0,22)+IF(AK31="",0,18)+IF(AS31="",0,15)+IF(BC31="",0,20)))</f>
        <v/>
      </c>
      <c r="BI31" s="11">
        <f>IF(BG31="Ranked",1+COUNTIFS($BG$2:$BG$101,"Ranked",$BH$2:$BH$101,"&gt;"&amp;BH31),"")</f>
        <v/>
      </c>
      <c r="BJ31" s="11">
        <f>City_Inputs!$AH31</f>
        <v/>
      </c>
    </row>
    <row r="32">
      <c r="A32" t="inlineStr">
        <is>
          <t>fr-paris</t>
        </is>
      </c>
      <c r="B32" t="inlineStr">
        <is>
          <t>Paris</t>
        </is>
      </c>
      <c r="C32" t="inlineStr">
        <is>
          <t>France</t>
        </is>
      </c>
      <c r="D32" t="inlineStr">
        <is>
          <t>Western and Northern Europe</t>
        </is>
      </c>
      <c r="E32" t="inlineStr">
        <is>
          <t>locked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IF((IF(G32="",0,9)+IF(I32="",0,5)+IF(K32="",0,4)+IF(M32="",0,4)+IF(O32="",0,3))=0,"",(IF(G32="",0,G32*9)+IF(I32="",0,I32*5)+IF(K32="",0,K32*4)+IF(M32="",0,M32*4)+IF(O32="",0,O32*3))/(IF(G32="",0,9)+IF(I32="",0,5)+IF(K32="",0,4)+IF(M32="",0,4)+IF(O32="",0,3)))</f>
        <v/>
      </c>
      <c r="R32" s="14">
        <f>IF((IF(H32="",0,9)+IF(J32="",0,5)+IF(L32="",0,4)+IF(N32="",0,4)+IF(P32="",0,3))=0,"",(IF(H32="",0,H32*9)+IF(J32="",0,J32*5)+IF(L32="",0,L32*4)+IF(N32="",0,N32*4)+IF(P32="",0,P32*3))/25)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5">
        <f>IF((IF(S32="",0,5)+IF(U32="",0,5)+IF(W32="",0,4)+IF(Y32="",0,4)+IF(AA32="",0,4))=0,"",(IF(S32="",0,S32*5)+IF(U32="",0,U32*5)+IF(W32="",0,W32*4)+IF(Y32="",0,Y32*4)+IF(AA32="",0,AA32*4))/(IF(S32="",0,5)+IF(U32="",0,5)+IF(W32="",0,4)+IF(Y32="",0,4)+IF(AA32="",0,4)))</f>
        <v/>
      </c>
      <c r="AD32" s="14">
        <f>IF((IF(T32="",0,5)+IF(V32="",0,5)+IF(X32="",0,4)+IF(Z32="",0,4)+IF(AB32="",0,4))=0,"",(IF(T32="",0,T32*5)+IF(V32="",0,V32*5)+IF(X32="",0,X32*4)+IF(Z32="",0,Z32*4)+IF(AB32="",0,AB32*4))/22)</f>
        <v/>
      </c>
      <c r="AE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F32" s="14">
        <f>IF(AE32="","",1)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(IF((IF(OR(City_Inputs!$Z32="",Norm_Stats!$F$14="",Norm_Stats!$G$14="",Norm_Stats!$G$14=Norm_Stats!$F$14),"",MAX(0,MIN(100,100*(MIN(MAX(City_Inputs!$Z32,Norm_Stats!$F$14),Norm_Stats!$G$14)-Norm_Stats!$F$14)/(Norm_Stats!$G$14-Norm_Stats!$F$14)))))="",0,0.7)+IF((IF(OR(City_Inputs!$AK32="",Norm_Stats!$F$15="",Norm_Stats!$G$15="",Norm_Stats!$G$15=Norm_Stats!$F$15),"",MAX(0,MIN(100,100*(Norm_Stats!$G$15-MIN(MAX(City_Inputs!$AK32,Norm_Stats!$F$15),Norm_Stats!$G$15))/(Norm_Stats!$G$15-Norm_Stats!$F$15)))))="",0,0.3))=0,"",(IF((IF(OR(City_Inputs!$Z32="",Norm_Stats!$F$14="",Norm_Stats!$G$14="",Norm_Stats!$G$14=Norm_Stats!$F$14),"",MAX(0,MIN(100,100*(MIN(MAX(City_Inputs!$Z32,Norm_Stats!$F$14),Norm_Stats!$G$14)-Norm_Stats!$F$14)/(Norm_Stats!$G$14-Norm_Stats!$F$14)))))="",0,(IF(OR(City_Inputs!$Z32="",Norm_Stats!$F$14="",Norm_Stats!$G$14="",Norm_Stats!$G$14=Norm_Stats!$F$14),"",MAX(0,MIN(100,100*(MIN(MAX(City_Inputs!$Z32,Norm_Stats!$F$14),Norm_Stats!$G$14)-Norm_Stats!$F$14)/(Norm_Stats!$G$14-Norm_Stats!$F$14)))))*0.7)+IF((IF(OR(City_Inputs!$AK32="",Norm_Stats!$F$15="",Norm_Stats!$G$15="",Norm_Stats!$G$15=Norm_Stats!$F$15),"",MAX(0,MIN(100,100*(Norm_Stats!$G$15-MIN(MAX(City_Inputs!$AK32,Norm_Stats!$F$15),Norm_Stats!$G$15))/(Norm_Stats!$G$15-Norm_Stats!$F$15)))))="",0,(IF(OR(City_Inputs!$AK32="",Norm_Stats!$F$15="",Norm_Stats!$G$15="",Norm_Stats!$G$15=Norm_Stats!$F$15),"",MAX(0,MIN(100,100*(Norm_Stats!$G$15-MIN(MAX(City_Inputs!$AK32,Norm_Stats!$F$15),Norm_Stats!$G$15))/(Norm_Stats!$G$15-Norm_Stats!$F$15)))))*0.3))/(IF((IF(OR(City_Inputs!$Z32="",Norm_Stats!$F$14="",Norm_Stats!$G$14="",Norm_Stats!$G$14=Norm_Stats!$F$14),"",MAX(0,MIN(100,100*(MIN(MAX(City_Inputs!$Z32,Norm_Stats!$F$14),Norm_Stats!$G$14)-Norm_Stats!$F$14)/(Norm_Stats!$G$14-Norm_Stats!$F$14)))))="",0,0.7)+IF((IF(OR(City_Inputs!$AK32="",Norm_Stats!$F$15="",Norm_Stats!$G$15="",Norm_Stats!$G$15=Norm_Stats!$F$15),"",MAX(0,MIN(100,100*(Norm_Stats!$G$15-MIN(MAX(City_Inputs!$AK32,Norm_Stats!$F$15),Norm_Stats!$G$15))/(Norm_Stats!$G$15-Norm_Stats!$F$15)))))="",0,0.3)))</f>
        <v/>
      </c>
      <c r="AJ32" s="14">
        <f>IF((IF((IF(OR(City_Inputs!$Z32="",Norm_Stats!$F$14="",Norm_Stats!$G$14="",Norm_Stats!$G$14=Norm_Stats!$F$14),"",MAX(0,MIN(100,100*(MIN(MAX(City_Inputs!$Z32,Norm_Stats!$F$14),Norm_Stats!$G$14)-Norm_Stats!$F$14)/(Norm_Stats!$G$14-Norm_Stats!$F$14)))))="",0,0.7)+IF((IF(OR(City_Inputs!$AK32="",Norm_Stats!$F$15="",Norm_Stats!$G$15="",Norm_Stats!$G$15=Norm_Stats!$F$15),"",MAX(0,MIN(100,100*(Norm_Stats!$G$15-MIN(MAX(City_Inputs!$AK32,Norm_Stats!$F$15),Norm_Stats!$G$15))/(Norm_Stats!$G$15-Norm_Stats!$F$15)))))="",0,0.3))=0,"",(IF((IF(OR(City_Inputs!$Z32="",Norm_Stats!$F$14="",Norm_Stats!$G$14="",Norm_Stats!$G$14=Norm_Stats!$F$14),"",MAX(0,MIN(100,100*(MIN(MAX(City_Inputs!$Z32,Norm_Stats!$F$14),Norm_Stats!$G$14)-Norm_Stats!$F$14)/(Norm_Stats!$G$14-Norm_Stats!$F$14)))))="",0,0.7)+IF((IF(OR(City_Inputs!$AK32="",Norm_Stats!$F$15="",Norm_Stats!$G$15="",Norm_Stats!$G$15=Norm_Stats!$F$15),"",MAX(0,MIN(100,100*(Norm_Stats!$G$15-MIN(MAX(City_Inputs!$AK32,Norm_Stats!$F$15),Norm_Stats!$G$15))/(Norm_Stats!$G$15-Norm_Stats!$F$15)))))="",0,0.3)))</f>
        <v/>
      </c>
      <c r="AK32" s="15">
        <f>IF((IF(AE32="",0,8)+IF(AG32="",0,6)+IF(AI32="",0,4))=0,"",(IF(AE32="",0,AE32*8)+IF(AG32="",0,AG32*6)+IF(AI32="",0,AI32*4))/(IF(AE32="",0,8)+IF(AG32="",0,6)+IF(AI32="",0,4)))</f>
        <v/>
      </c>
      <c r="AL32" s="14">
        <f>IF((IF(AF32="",0,8)+IF(AH32="",0,6)+IF(AJ32="",0,4))=0,"",(IF(AF32="",0,AF32*8)+IF(AH32="",0,AH32*6)+IF(AJ32="",0,AJ32*4))/18)</f>
        <v/>
      </c>
      <c r="AM32" s="11">
        <f>IF(OR(City_Inputs!$AA32="",Norm_Stats!$F$16="",Norm_Stats!$G$16="",Norm_Stats!$G$16=Norm_Stats!$F$16),"",MAX(0,MIN(100,100*(MIN(MAX(City_Inputs!$AA32,Norm_Stats!$F$16),Norm_Stats!$G$16)-Norm_Stats!$F$16)/(Norm_Stats!$G$16-Norm_Stats!$F$16))))</f>
        <v/>
      </c>
      <c r="AN32" s="14">
        <f>IF(AM32="","",1)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5">
        <f>IF((IF(AM32="",0,5)+IF(AO32="",0,5)+IF(AQ32="",0,5))=0,"",(IF(AM32="",0,AM32*5)+IF(AO32="",0,AO32*5)+IF(AQ32="",0,AQ32*5))/(IF(AM32="",0,5)+IF(AO32="",0,5)+IF(AQ32="",0,5)))</f>
        <v/>
      </c>
      <c r="AT32" s="14">
        <f>IF((IF(AN32="",0,5)+IF(AP32="",0,5)+IF(AR32="",0,5))=0,"",(IF(AN32="",0,AN32*5)+IF(AP32="",0,AP32*5)+IF(AR32="",0,AR32*5))/15)</f>
        <v/>
      </c>
      <c r="AU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V32" s="14">
        <f>IF(AU32="","",1)</f>
        <v/>
      </c>
      <c r="AW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X32" s="14">
        <f>IF(AW32="","",1)</f>
        <v/>
      </c>
      <c r="AY32" s="11">
        <f>IF((IF((IF(OR(City_Inputs!$AF32="",Norm_Stats!$F$21="",Norm_Stats!$G$21="",Norm_Stats!$G$21=Norm_Stats!$F$21),"",MAX(0,MIN(100,100*(MIN(MAX(City_Inputs!$AF32,Norm_Stats!$F$21),Norm_Stats!$G$21)-Norm_Stats!$F$21)/(Norm_Stats!$G$21-Norm_Stats!$F$21)))))="",0,0.5)+IF((IF(OR(City_Inputs!$AI32="",Norm_Stats!$F$22="",Norm_Stats!$G$22="",Norm_Stats!$G$22=Norm_Stats!$F$22),"",MAX(0,MIN(100,100*(MIN(MAX(City_Inputs!$AI32,Norm_Stats!$F$22),Norm_Stats!$G$22)-Norm_Stats!$F$22)/(Norm_Stats!$G$22-Norm_Stats!$F$22)))))="",0,0.3)+IF((IF(OR(City_Inputs!$AJ32="",Norm_Stats!$F$23="",Norm_Stats!$G$23="",Norm_Stats!$G$23=Norm_Stats!$F$23),"",MAX(0,MIN(100,100*(MIN(MAX(City_Inputs!$AJ32,Norm_Stats!$F$23),Norm_Stats!$G$23)-Norm_Stats!$F$23)/(Norm_Stats!$G$23-Norm_Stats!$F$23)))))="",0,0.2))=0,"",(IF((IF(OR(City_Inputs!$AF32="",Norm_Stats!$F$21="",Norm_Stats!$G$21="",Norm_Stats!$G$21=Norm_Stats!$F$21),"",MAX(0,MIN(100,100*(MIN(MAX(City_Inputs!$AF32,Norm_Stats!$F$21),Norm_Stats!$G$21)-Norm_Stats!$F$21)/(Norm_Stats!$G$21-Norm_Stats!$F$21)))))="",0,(IF(OR(City_Inputs!$AF32="",Norm_Stats!$F$21="",Norm_Stats!$G$21="",Norm_Stats!$G$21=Norm_Stats!$F$21),"",MAX(0,MIN(100,100*(MIN(MAX(City_Inputs!$AF32,Norm_Stats!$F$21),Norm_Stats!$G$21)-Norm_Stats!$F$21)/(Norm_Stats!$G$21-Norm_Stats!$F$21)))))*0.5)+IF((IF(OR(City_Inputs!$AI32="",Norm_Stats!$F$22="",Norm_Stats!$G$22="",Norm_Stats!$G$22=Norm_Stats!$F$22),"",MAX(0,MIN(100,100*(MIN(MAX(City_Inputs!$AI32,Norm_Stats!$F$22),Norm_Stats!$G$22)-Norm_Stats!$F$22)/(Norm_Stats!$G$22-Norm_Stats!$F$22)))))="",0,(IF(OR(City_Inputs!$AI32="",Norm_Stats!$F$22="",Norm_Stats!$G$22="",Norm_Stats!$G$22=Norm_Stats!$F$22),"",MAX(0,MIN(100,100*(MIN(MAX(City_Inputs!$AI32,Norm_Stats!$F$22),Norm_Stats!$G$22)-Norm_Stats!$F$22)/(Norm_Stats!$G$22-Norm_Stats!$F$22)))))*0.3)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0.2))/(IF((IF(OR(City_Inputs!$AF32="",Norm_Stats!$F$21="",Norm_Stats!$G$21="",Norm_Stats!$G$21=Norm_Stats!$F$21),"",MAX(0,MIN(100,100*(MIN(MAX(City_Inputs!$AF32,Norm_Stats!$F$21),Norm_Stats!$G$21)-Norm_Stats!$F$21)/(Norm_Stats!$G$21-Norm_Stats!$F$21)))))="",0,0.5)+IF((IF(OR(City_Inputs!$AI32="",Norm_Stats!$F$22="",Norm_Stats!$G$22="",Norm_Stats!$G$22=Norm_Stats!$F$22),"",MAX(0,MIN(100,100*(MIN(MAX(City_Inputs!$AI32,Norm_Stats!$F$22),Norm_Stats!$G$22)-Norm_Stats!$F$22)/(Norm_Stats!$G$22-Norm_Stats!$F$22)))))="",0,0.3)+IF((IF(OR(City_Inputs!$AJ32="",Norm_Stats!$F$23="",Norm_Stats!$G$23="",Norm_Stats!$G$23=Norm_Stats!$F$23),"",MAX(0,MIN(100,100*(MIN(MAX(City_Inputs!$AJ32,Norm_Stats!$F$23),Norm_Stats!$G$23)-Norm_Stats!$F$23)/(Norm_Stats!$G$23-Norm_Stats!$F$23)))))="",0,0.2)))</f>
        <v/>
      </c>
      <c r="AZ32" s="14">
        <f>IF((IF((IF(OR(City_Inputs!$AF32="",Norm_Stats!$F$21="",Norm_Stats!$G$21="",Norm_Stats!$G$21=Norm_Stats!$F$21),"",MAX(0,MIN(100,100*(MIN(MAX(City_Inputs!$AF32,Norm_Stats!$F$21),Norm_Stats!$G$21)-Norm_Stats!$F$21)/(Norm_Stats!$G$21-Norm_Stats!$F$21)))))="",0,0.5)+IF((IF(OR(City_Inputs!$AI32="",Norm_Stats!$F$22="",Norm_Stats!$G$22="",Norm_Stats!$G$22=Norm_Stats!$F$22),"",MAX(0,MIN(100,100*(MIN(MAX(City_Inputs!$AI32,Norm_Stats!$F$22),Norm_Stats!$G$22)-Norm_Stats!$F$22)/(Norm_Stats!$G$22-Norm_Stats!$F$22)))))="",0,0.3)+IF((IF(OR(City_Inputs!$AJ32="",Norm_Stats!$F$23="",Norm_Stats!$G$23="",Norm_Stats!$G$23=Norm_Stats!$F$23),"",MAX(0,MIN(100,100*(MIN(MAX(City_Inputs!$AJ32,Norm_Stats!$F$23),Norm_Stats!$G$23)-Norm_Stats!$F$23)/(Norm_Stats!$G$23-Norm_Stats!$F$23)))))="",0,0.2))=0,"",(IF((IF(OR(City_Inputs!$AF32="",Norm_Stats!$F$21="",Norm_Stats!$G$21="",Norm_Stats!$G$21=Norm_Stats!$F$21),"",MAX(0,MIN(100,100*(MIN(MAX(City_Inputs!$AF32,Norm_Stats!$F$21),Norm_Stats!$G$21)-Norm_Stats!$F$21)/(Norm_Stats!$G$21-Norm_Stats!$F$21)))))="",0,0.5)+IF((IF(OR(City_Inputs!$AI32="",Norm_Stats!$F$22="",Norm_Stats!$G$22="",Norm_Stats!$G$22=Norm_Stats!$F$22),"",MAX(0,MIN(100,100*(MIN(MAX(City_Inputs!$AI32,Norm_Stats!$F$22),Norm_Stats!$G$22)-Norm_Stats!$F$22)/(Norm_Stats!$G$22-Norm_Stats!$F$22)))))="",0,0.3)+IF((IF(OR(City_Inputs!$AJ32="",Norm_Stats!$F$23="",Norm_Stats!$G$23="",Norm_Stats!$G$23=Norm_Stats!$F$23),"",MAX(0,MIN(100,100*(MIN(MAX(City_Inputs!$AJ32,Norm_Stats!$F$23),Norm_Stats!$G$23)-Norm_Stats!$F$23)/(Norm_Stats!$G$23-Norm_Stats!$F$23)))))="",0,0.2)))</f>
        <v/>
      </c>
      <c r="BA32" s="11">
        <f>IF(OR(City_Inputs!$AG32="",Norm_Stats!$F$24="",Norm_Stats!$G$24="",Norm_Stats!$G$24=Norm_Stats!$F$24),"",MAX(0,MIN(100,100*(Norm_Stats!$G$24-MIN(MAX(City_Inputs!$AG32,Norm_Stats!$F$24),Norm_Stats!$G$24))/(Norm_Stats!$G$24-Norm_Stats!$F$24))))</f>
        <v/>
      </c>
      <c r="BB32" s="14">
        <f>IF(BA32="","",1)</f>
        <v/>
      </c>
      <c r="BC32" s="15">
        <f>IF((IF(AU32="",0,6)+IF(AW32="",0,5)+IF(AY32="",0,5)+IF(BA32="",0,4))=0,"",(IF(AU32="",0,AU32*6)+IF(AW32="",0,AW32*5)+IF(AY32="",0,AY32*5)+IF(BA32="",0,BA32*4))/(IF(AU32="",0,6)+IF(AW32="",0,5)+IF(AY32="",0,5)+IF(BA32="",0,4)))</f>
        <v/>
      </c>
      <c r="BD32" s="14">
        <f>IF((IF(AV32="",0,6)+IF(AX32="",0,5)+IF(AZ32="",0,5)+IF(BB32="",0,4))=0,"",(IF(AV32="",0,AV32*6)+IF(AX32="",0,AX32*5)+IF(AZ32="",0,AZ32*5)+IF(BB32="",0,BB32*4))/20)</f>
        <v/>
      </c>
      <c r="BE32" s="14">
        <f>IF(AND(R32="",AD32="",AL32="",AT32="",BD32=""),"",((R32*25)+(AD32*22)+(AL32*18)+(AT32*15)+(BD32*20))/100)</f>
        <v/>
      </c>
      <c r="BF32" s="11">
        <f>IF(BE32="","",IF(BE32&gt;=0.75,"A",IF(BE32&gt;=0.5,"B",IF(BE32&gt;=0.35,"C","Watchlist"))))</f>
        <v/>
      </c>
      <c r="BG32" s="11">
        <f>IF(OR(BE32="",BE32&lt;0.5,R32="",R32&lt;0.35,AD32="",AD32&lt;0.35,AL32="",AL32&lt;0.35,AT32="",AT32&lt;0.35,BD32="",BD32&lt;0.35),"Watchlist","Ranked")</f>
        <v/>
      </c>
      <c r="BH32" s="15">
        <f>IF(AND(Q32="",AC32="",AK32="",AS32="",BC32=""),"",(IF(Q32="",0,Q32*25)+IF(AC32="",0,AC32*22)+IF(AK32="",0,AK32*18)+IF(AS32="",0,AS32*15)+IF(BC32="",0,BC32*20))/(IF(Q32="",0,25)+IF(AC32="",0,22)+IF(AK32="",0,18)+IF(AS32="",0,15)+IF(BC32="",0,20)))</f>
        <v/>
      </c>
      <c r="BI32" s="11">
        <f>IF(BG32="Ranked",1+COUNTIFS($BG$2:$BG$101,"Ranked",$BH$2:$BH$101,"&gt;"&amp;BH32),"")</f>
        <v/>
      </c>
      <c r="BJ32" s="11">
        <f>City_Inputs!$AH32</f>
        <v/>
      </c>
    </row>
    <row r="33">
      <c r="A33" t="inlineStr">
        <is>
          <t>at-vienna</t>
        </is>
      </c>
      <c r="B33" t="inlineStr">
        <is>
          <t>Vienna</t>
        </is>
      </c>
      <c r="C33" t="inlineStr">
        <is>
          <t>Austria</t>
        </is>
      </c>
      <c r="D33" t="inlineStr">
        <is>
          <t>Western and Northern Europe</t>
        </is>
      </c>
      <c r="E33" t="inlineStr">
        <is>
          <t>locked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IF((IF(G33="",0,9)+IF(I33="",0,5)+IF(K33="",0,4)+IF(M33="",0,4)+IF(O33="",0,3))=0,"",(IF(G33="",0,G33*9)+IF(I33="",0,I33*5)+IF(K33="",0,K33*4)+IF(M33="",0,M33*4)+IF(O33="",0,O33*3))/(IF(G33="",0,9)+IF(I33="",0,5)+IF(K33="",0,4)+IF(M33="",0,4)+IF(O33="",0,3)))</f>
        <v/>
      </c>
      <c r="R33" s="14">
        <f>IF((IF(H33="",0,9)+IF(J33="",0,5)+IF(L33="",0,4)+IF(N33="",0,4)+IF(P33="",0,3))=0,"",(IF(H33="",0,H33*9)+IF(J33="",0,J33*5)+IF(L33="",0,L33*4)+IF(N33="",0,N33*4)+IF(P33="",0,P33*3))/25)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5">
        <f>IF((IF(S33="",0,5)+IF(U33="",0,5)+IF(W33="",0,4)+IF(Y33="",0,4)+IF(AA33="",0,4))=0,"",(IF(S33="",0,S33*5)+IF(U33="",0,U33*5)+IF(W33="",0,W33*4)+IF(Y33="",0,Y33*4)+IF(AA33="",0,AA33*4))/(IF(S33="",0,5)+IF(U33="",0,5)+IF(W33="",0,4)+IF(Y33="",0,4)+IF(AA33="",0,4)))</f>
        <v/>
      </c>
      <c r="AD33" s="14">
        <f>IF((IF(T33="",0,5)+IF(V33="",0,5)+IF(X33="",0,4)+IF(Z33="",0,4)+IF(AB33="",0,4))=0,"",(IF(T33="",0,T33*5)+IF(V33="",0,V33*5)+IF(X33="",0,X33*4)+IF(Z33="",0,Z33*4)+IF(AB33="",0,AB33*4))/22)</f>
        <v/>
      </c>
      <c r="AE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F33" s="14">
        <f>IF(AE33="","",1)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(IF((IF(OR(City_Inputs!$Z33="",Norm_Stats!$F$14="",Norm_Stats!$G$14="",Norm_Stats!$G$14=Norm_Stats!$F$14),"",MAX(0,MIN(100,100*(MIN(MAX(City_Inputs!$Z33,Norm_Stats!$F$14),Norm_Stats!$G$14)-Norm_Stats!$F$14)/(Norm_Stats!$G$14-Norm_Stats!$F$14)))))="",0,0.7)+IF((IF(OR(City_Inputs!$AK33="",Norm_Stats!$F$15="",Norm_Stats!$G$15="",Norm_Stats!$G$15=Norm_Stats!$F$15),"",MAX(0,MIN(100,100*(Norm_Stats!$G$15-MIN(MAX(City_Inputs!$AK33,Norm_Stats!$F$15),Norm_Stats!$G$15))/(Norm_Stats!$G$15-Norm_Stats!$F$15)))))="",0,0.3))=0,"",(IF((IF(OR(City_Inputs!$Z33="",Norm_Stats!$F$14="",Norm_Stats!$G$14="",Norm_Stats!$G$14=Norm_Stats!$F$14),"",MAX(0,MIN(100,100*(MIN(MAX(City_Inputs!$Z33,Norm_Stats!$F$14),Norm_Stats!$G$14)-Norm_Stats!$F$14)/(Norm_Stats!$G$14-Norm_Stats!$F$14)))))="",0,(IF(OR(City_Inputs!$Z33="",Norm_Stats!$F$14="",Norm_Stats!$G$14="",Norm_Stats!$G$14=Norm_Stats!$F$14),"",MAX(0,MIN(100,100*(MIN(MAX(City_Inputs!$Z33,Norm_Stats!$F$14),Norm_Stats!$G$14)-Norm_Stats!$F$14)/(Norm_Stats!$G$14-Norm_Stats!$F$14)))))*0.7)+IF((IF(OR(City_Inputs!$AK33="",Norm_Stats!$F$15="",Norm_Stats!$G$15="",Norm_Stats!$G$15=Norm_Stats!$F$15),"",MAX(0,MIN(100,100*(Norm_Stats!$G$15-MIN(MAX(City_Inputs!$AK33,Norm_Stats!$F$15),Norm_Stats!$G$15))/(Norm_Stats!$G$15-Norm_Stats!$F$15)))))="",0,(IF(OR(City_Inputs!$AK33="",Norm_Stats!$F$15="",Norm_Stats!$G$15="",Norm_Stats!$G$15=Norm_Stats!$F$15),"",MAX(0,MIN(100,100*(Norm_Stats!$G$15-MIN(MAX(City_Inputs!$AK33,Norm_Stats!$F$15),Norm_Stats!$G$15))/(Norm_Stats!$G$15-Norm_Stats!$F$15)))))*0.3))/(IF((IF(OR(City_Inputs!$Z33="",Norm_Stats!$F$14="",Norm_Stats!$G$14="",Norm_Stats!$G$14=Norm_Stats!$F$14),"",MAX(0,MIN(100,100*(MIN(MAX(City_Inputs!$Z33,Norm_Stats!$F$14),Norm_Stats!$G$14)-Norm_Stats!$F$14)/(Norm_Stats!$G$14-Norm_Stats!$F$14)))))="",0,0.7)+IF((IF(OR(City_Inputs!$AK33="",Norm_Stats!$F$15="",Norm_Stats!$G$15="",Norm_Stats!$G$15=Norm_Stats!$F$15),"",MAX(0,MIN(100,100*(Norm_Stats!$G$15-MIN(MAX(City_Inputs!$AK33,Norm_Stats!$F$15),Norm_Stats!$G$15))/(Norm_Stats!$G$15-Norm_Stats!$F$15)))))="",0,0.3)))</f>
        <v/>
      </c>
      <c r="AJ33" s="14">
        <f>IF((IF((IF(OR(City_Inputs!$Z33="",Norm_Stats!$F$14="",Norm_Stats!$G$14="",Norm_Stats!$G$14=Norm_Stats!$F$14),"",MAX(0,MIN(100,100*(MIN(MAX(City_Inputs!$Z33,Norm_Stats!$F$14),Norm_Stats!$G$14)-Norm_Stats!$F$14)/(Norm_Stats!$G$14-Norm_Stats!$F$14)))))="",0,0.7)+IF((IF(OR(City_Inputs!$AK33="",Norm_Stats!$F$15="",Norm_Stats!$G$15="",Norm_Stats!$G$15=Norm_Stats!$F$15),"",MAX(0,MIN(100,100*(Norm_Stats!$G$15-MIN(MAX(City_Inputs!$AK33,Norm_Stats!$F$15),Norm_Stats!$G$15))/(Norm_Stats!$G$15-Norm_Stats!$F$15)))))="",0,0.3))=0,"",(IF((IF(OR(City_Inputs!$Z33="",Norm_Stats!$F$14="",Norm_Stats!$G$14="",Norm_Stats!$G$14=Norm_Stats!$F$14),"",MAX(0,MIN(100,100*(MIN(MAX(City_Inputs!$Z33,Norm_Stats!$F$14),Norm_Stats!$G$14)-Norm_Stats!$F$14)/(Norm_Stats!$G$14-Norm_Stats!$F$14)))))="",0,0.7)+IF((IF(OR(City_Inputs!$AK33="",Norm_Stats!$F$15="",Norm_Stats!$G$15="",Norm_Stats!$G$15=Norm_Stats!$F$15),"",MAX(0,MIN(100,100*(Norm_Stats!$G$15-MIN(MAX(City_Inputs!$AK33,Norm_Stats!$F$15),Norm_Stats!$G$15))/(Norm_Stats!$G$15-Norm_Stats!$F$15)))))="",0,0.3)))</f>
        <v/>
      </c>
      <c r="AK33" s="15">
        <f>IF((IF(AE33="",0,8)+IF(AG33="",0,6)+IF(AI33="",0,4))=0,"",(IF(AE33="",0,AE33*8)+IF(AG33="",0,AG33*6)+IF(AI33="",0,AI33*4))/(IF(AE33="",0,8)+IF(AG33="",0,6)+IF(AI33="",0,4)))</f>
        <v/>
      </c>
      <c r="AL33" s="14">
        <f>IF((IF(AF33="",0,8)+IF(AH33="",0,6)+IF(AJ33="",0,4))=0,"",(IF(AF33="",0,AF33*8)+IF(AH33="",0,AH33*6)+IF(AJ33="",0,AJ33*4))/18)</f>
        <v/>
      </c>
      <c r="AM33" s="11">
        <f>IF(OR(City_Inputs!$AA33="",Norm_Stats!$F$16="",Norm_Stats!$G$16="",Norm_Stats!$G$16=Norm_Stats!$F$16),"",MAX(0,MIN(100,100*(MIN(MAX(City_Inputs!$AA33,Norm_Stats!$F$16),Norm_Stats!$G$16)-Norm_Stats!$F$16)/(Norm_Stats!$G$16-Norm_Stats!$F$16))))</f>
        <v/>
      </c>
      <c r="AN33" s="14">
        <f>IF(AM33="","",1)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5">
        <f>IF((IF(AM33="",0,5)+IF(AO33="",0,5)+IF(AQ33="",0,5))=0,"",(IF(AM33="",0,AM33*5)+IF(AO33="",0,AO33*5)+IF(AQ33="",0,AQ33*5))/(IF(AM33="",0,5)+IF(AO33="",0,5)+IF(AQ33="",0,5)))</f>
        <v/>
      </c>
      <c r="AT33" s="14">
        <f>IF((IF(AN33="",0,5)+IF(AP33="",0,5)+IF(AR33="",0,5))=0,"",(IF(AN33="",0,AN33*5)+IF(AP33="",0,AP33*5)+IF(AR33="",0,AR33*5))/15)</f>
        <v/>
      </c>
      <c r="AU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V33" s="14">
        <f>IF(AU33="","",1)</f>
        <v/>
      </c>
      <c r="AW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X33" s="14">
        <f>IF(AW33="","",1)</f>
        <v/>
      </c>
      <c r="AY33" s="11">
        <f>IF((IF((IF(OR(City_Inputs!$AF33="",Norm_Stats!$F$21="",Norm_Stats!$G$21="",Norm_Stats!$G$21=Norm_Stats!$F$21),"",MAX(0,MIN(100,100*(MIN(MAX(City_Inputs!$AF33,Norm_Stats!$F$21),Norm_Stats!$G$21)-Norm_Stats!$F$21)/(Norm_Stats!$G$21-Norm_Stats!$F$21)))))="",0,0.5)+IF((IF(OR(City_Inputs!$AI33="",Norm_Stats!$F$22="",Norm_Stats!$G$22="",Norm_Stats!$G$22=Norm_Stats!$F$22),"",MAX(0,MIN(100,100*(MIN(MAX(City_Inputs!$AI33,Norm_Stats!$F$22),Norm_Stats!$G$22)-Norm_Stats!$F$22)/(Norm_Stats!$G$22-Norm_Stats!$F$22)))))="",0,0.3)+IF((IF(OR(City_Inputs!$AJ33="",Norm_Stats!$F$23="",Norm_Stats!$G$23="",Norm_Stats!$G$23=Norm_Stats!$F$23),"",MAX(0,MIN(100,100*(MIN(MAX(City_Inputs!$AJ33,Norm_Stats!$F$23),Norm_Stats!$G$23)-Norm_Stats!$F$23)/(Norm_Stats!$G$23-Norm_Stats!$F$23)))))="",0,0.2))=0,"",(IF((IF(OR(City_Inputs!$AF33="",Norm_Stats!$F$21="",Norm_Stats!$G$21="",Norm_Stats!$G$21=Norm_Stats!$F$21),"",MAX(0,MIN(100,100*(MIN(MAX(City_Inputs!$AF33,Norm_Stats!$F$21),Norm_Stats!$G$21)-Norm_Stats!$F$21)/(Norm_Stats!$G$21-Norm_Stats!$F$21)))))="",0,(IF(OR(City_Inputs!$AF33="",Norm_Stats!$F$21="",Norm_Stats!$G$21="",Norm_Stats!$G$21=Norm_Stats!$F$21),"",MAX(0,MIN(100,100*(MIN(MAX(City_Inputs!$AF33,Norm_Stats!$F$21),Norm_Stats!$G$21)-Norm_Stats!$F$21)/(Norm_Stats!$G$21-Norm_Stats!$F$21)))))*0.5)+IF((IF(OR(City_Inputs!$AI33="",Norm_Stats!$F$22="",Norm_Stats!$G$22="",Norm_Stats!$G$22=Norm_Stats!$F$22),"",MAX(0,MIN(100,100*(MIN(MAX(City_Inputs!$AI33,Norm_Stats!$F$22),Norm_Stats!$G$22)-Norm_Stats!$F$22)/(Norm_Stats!$G$22-Norm_Stats!$F$22)))))="",0,(IF(OR(City_Inputs!$AI33="",Norm_Stats!$F$22="",Norm_Stats!$G$22="",Norm_Stats!$G$22=Norm_Stats!$F$22),"",MAX(0,MIN(100,100*(MIN(MAX(City_Inputs!$AI33,Norm_Stats!$F$22),Norm_Stats!$G$22)-Norm_Stats!$F$22)/(Norm_Stats!$G$22-Norm_Stats!$F$22)))))*0.3)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0.2))/(IF((IF(OR(City_Inputs!$AF33="",Norm_Stats!$F$21="",Norm_Stats!$G$21="",Norm_Stats!$G$21=Norm_Stats!$F$21),"",MAX(0,MIN(100,100*(MIN(MAX(City_Inputs!$AF33,Norm_Stats!$F$21),Norm_Stats!$G$21)-Norm_Stats!$F$21)/(Norm_Stats!$G$21-Norm_Stats!$F$21)))))="",0,0.5)+IF((IF(OR(City_Inputs!$AI33="",Norm_Stats!$F$22="",Norm_Stats!$G$22="",Norm_Stats!$G$22=Norm_Stats!$F$22),"",MAX(0,MIN(100,100*(MIN(MAX(City_Inputs!$AI33,Norm_Stats!$F$22),Norm_Stats!$G$22)-Norm_Stats!$F$22)/(Norm_Stats!$G$22-Norm_Stats!$F$22)))))="",0,0.3)+IF((IF(OR(City_Inputs!$AJ33="",Norm_Stats!$F$23="",Norm_Stats!$G$23="",Norm_Stats!$G$23=Norm_Stats!$F$23),"",MAX(0,MIN(100,100*(MIN(MAX(City_Inputs!$AJ33,Norm_Stats!$F$23),Norm_Stats!$G$23)-Norm_Stats!$F$23)/(Norm_Stats!$G$23-Norm_Stats!$F$23)))))="",0,0.2)))</f>
        <v/>
      </c>
      <c r="AZ33" s="14">
        <f>IF((IF((IF(OR(City_Inputs!$AF33="",Norm_Stats!$F$21="",Norm_Stats!$G$21="",Norm_Stats!$G$21=Norm_Stats!$F$21),"",MAX(0,MIN(100,100*(MIN(MAX(City_Inputs!$AF33,Norm_Stats!$F$21),Norm_Stats!$G$21)-Norm_Stats!$F$21)/(Norm_Stats!$G$21-Norm_Stats!$F$21)))))="",0,0.5)+IF((IF(OR(City_Inputs!$AI33="",Norm_Stats!$F$22="",Norm_Stats!$G$22="",Norm_Stats!$G$22=Norm_Stats!$F$22),"",MAX(0,MIN(100,100*(MIN(MAX(City_Inputs!$AI33,Norm_Stats!$F$22),Norm_Stats!$G$22)-Norm_Stats!$F$22)/(Norm_Stats!$G$22-Norm_Stats!$F$22)))))="",0,0.3)+IF((IF(OR(City_Inputs!$AJ33="",Norm_Stats!$F$23="",Norm_Stats!$G$23="",Norm_Stats!$G$23=Norm_Stats!$F$23),"",MAX(0,MIN(100,100*(MIN(MAX(City_Inputs!$AJ33,Norm_Stats!$F$23),Norm_Stats!$G$23)-Norm_Stats!$F$23)/(Norm_Stats!$G$23-Norm_Stats!$F$23)))))="",0,0.2))=0,"",(IF((IF(OR(City_Inputs!$AF33="",Norm_Stats!$F$21="",Norm_Stats!$G$21="",Norm_Stats!$G$21=Norm_Stats!$F$21),"",MAX(0,MIN(100,100*(MIN(MAX(City_Inputs!$AF33,Norm_Stats!$F$21),Norm_Stats!$G$21)-Norm_Stats!$F$21)/(Norm_Stats!$G$21-Norm_Stats!$F$21)))))="",0,0.5)+IF((IF(OR(City_Inputs!$AI33="",Norm_Stats!$F$22="",Norm_Stats!$G$22="",Norm_Stats!$G$22=Norm_Stats!$F$22),"",MAX(0,MIN(100,100*(MIN(MAX(City_Inputs!$AI33,Norm_Stats!$F$22),Norm_Stats!$G$22)-Norm_Stats!$F$22)/(Norm_Stats!$G$22-Norm_Stats!$F$22)))))="",0,0.3)+IF((IF(OR(City_Inputs!$AJ33="",Norm_Stats!$F$23="",Norm_Stats!$G$23="",Norm_Stats!$G$23=Norm_Stats!$F$23),"",MAX(0,MIN(100,100*(MIN(MAX(City_Inputs!$AJ33,Norm_Stats!$F$23),Norm_Stats!$G$23)-Norm_Stats!$F$23)/(Norm_Stats!$G$23-Norm_Stats!$F$23)))))="",0,0.2)))</f>
        <v/>
      </c>
      <c r="BA33" s="11">
        <f>IF(OR(City_Inputs!$AG33="",Norm_Stats!$F$24="",Norm_Stats!$G$24="",Norm_Stats!$G$24=Norm_Stats!$F$24),"",MAX(0,MIN(100,100*(Norm_Stats!$G$24-MIN(MAX(City_Inputs!$AG33,Norm_Stats!$F$24),Norm_Stats!$G$24))/(Norm_Stats!$G$24-Norm_Stats!$F$24))))</f>
        <v/>
      </c>
      <c r="BB33" s="14">
        <f>IF(BA33="","",1)</f>
        <v/>
      </c>
      <c r="BC33" s="15">
        <f>IF((IF(AU33="",0,6)+IF(AW33="",0,5)+IF(AY33="",0,5)+IF(BA33="",0,4))=0,"",(IF(AU33="",0,AU33*6)+IF(AW33="",0,AW33*5)+IF(AY33="",0,AY33*5)+IF(BA33="",0,BA33*4))/(IF(AU33="",0,6)+IF(AW33="",0,5)+IF(AY33="",0,5)+IF(BA33="",0,4)))</f>
        <v/>
      </c>
      <c r="BD33" s="14">
        <f>IF((IF(AV33="",0,6)+IF(AX33="",0,5)+IF(AZ33="",0,5)+IF(BB33="",0,4))=0,"",(IF(AV33="",0,AV33*6)+IF(AX33="",0,AX33*5)+IF(AZ33="",0,AZ33*5)+IF(BB33="",0,BB33*4))/20)</f>
        <v/>
      </c>
      <c r="BE33" s="14">
        <f>IF(AND(R33="",AD33="",AL33="",AT33="",BD33=""),"",((R33*25)+(AD33*22)+(AL33*18)+(AT33*15)+(BD33*20))/100)</f>
        <v/>
      </c>
      <c r="BF33" s="11">
        <f>IF(BE33="","",IF(BE33&gt;=0.75,"A",IF(BE33&gt;=0.5,"B",IF(BE33&gt;=0.35,"C","Watchlist"))))</f>
        <v/>
      </c>
      <c r="BG33" s="11">
        <f>IF(OR(BE33="",BE33&lt;0.5,R33="",R33&lt;0.35,AD33="",AD33&lt;0.35,AL33="",AL33&lt;0.35,AT33="",AT33&lt;0.35,BD33="",BD33&lt;0.35),"Watchlist","Ranked")</f>
        <v/>
      </c>
      <c r="BH33" s="15">
        <f>IF(AND(Q33="",AC33="",AK33="",AS33="",BC33=""),"",(IF(Q33="",0,Q33*25)+IF(AC33="",0,AC33*22)+IF(AK33="",0,AK33*18)+IF(AS33="",0,AS33*15)+IF(BC33="",0,BC33*20))/(IF(Q33="",0,25)+IF(AC33="",0,22)+IF(AK33="",0,18)+IF(AS33="",0,15)+IF(BC33="",0,20)))</f>
        <v/>
      </c>
      <c r="BI33" s="11">
        <f>IF(BG33="Ranked",1+COUNTIFS($BG$2:$BG$101,"Ranked",$BH$2:$BH$101,"&gt;"&amp;BH33),"")</f>
        <v/>
      </c>
      <c r="BJ33" s="11">
        <f>City_Inputs!$AH33</f>
        <v/>
      </c>
    </row>
    <row r="34">
      <c r="A34" t="inlineStr">
        <is>
          <t>ch-zurich</t>
        </is>
      </c>
      <c r="B34" t="inlineStr">
        <is>
          <t>Zurich</t>
        </is>
      </c>
      <c r="C34" t="inlineStr">
        <is>
          <t>Switzerland</t>
        </is>
      </c>
      <c r="D34" t="inlineStr">
        <is>
          <t>Western and Northern Europe</t>
        </is>
      </c>
      <c r="E34" t="inlineStr">
        <is>
          <t>locked</t>
        </is>
      </c>
      <c r="F34" t="inlineStr">
        <is>
          <t>primary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IF((IF(G34="",0,9)+IF(I34="",0,5)+IF(K34="",0,4)+IF(M34="",0,4)+IF(O34="",0,3))=0,"",(IF(G34="",0,G34*9)+IF(I34="",0,I34*5)+IF(K34="",0,K34*4)+IF(M34="",0,M34*4)+IF(O34="",0,O34*3))/(IF(G34="",0,9)+IF(I34="",0,5)+IF(K34="",0,4)+IF(M34="",0,4)+IF(O34="",0,3)))</f>
        <v/>
      </c>
      <c r="R34" s="14">
        <f>IF((IF(H34="",0,9)+IF(J34="",0,5)+IF(L34="",0,4)+IF(N34="",0,4)+IF(P34="",0,3))=0,"",(IF(H34="",0,H34*9)+IF(J34="",0,J34*5)+IF(L34="",0,L34*4)+IF(N34="",0,N34*4)+IF(P34="",0,P34*3))/25)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5">
        <f>IF((IF(S34="",0,5)+IF(U34="",0,5)+IF(W34="",0,4)+IF(Y34="",0,4)+IF(AA34="",0,4))=0,"",(IF(S34="",0,S34*5)+IF(U34="",0,U34*5)+IF(W34="",0,W34*4)+IF(Y34="",0,Y34*4)+IF(AA34="",0,AA34*4))/(IF(S34="",0,5)+IF(U34="",0,5)+IF(W34="",0,4)+IF(Y34="",0,4)+IF(AA34="",0,4)))</f>
        <v/>
      </c>
      <c r="AD34" s="14">
        <f>IF((IF(T34="",0,5)+IF(V34="",0,5)+IF(X34="",0,4)+IF(Z34="",0,4)+IF(AB34="",0,4))=0,"",(IF(T34="",0,T34*5)+IF(V34="",0,V34*5)+IF(X34="",0,X34*4)+IF(Z34="",0,Z34*4)+IF(AB34="",0,AB34*4))/22)</f>
        <v/>
      </c>
      <c r="AE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F34" s="14">
        <f>IF(AE34="","",1)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(IF((IF(OR(City_Inputs!$Z34="",Norm_Stats!$F$14="",Norm_Stats!$G$14="",Norm_Stats!$G$14=Norm_Stats!$F$14),"",MAX(0,MIN(100,100*(MIN(MAX(City_Inputs!$Z34,Norm_Stats!$F$14),Norm_Stats!$G$14)-Norm_Stats!$F$14)/(Norm_Stats!$G$14-Norm_Stats!$F$14)))))="",0,0.7)+IF((IF(OR(City_Inputs!$AK34="",Norm_Stats!$F$15="",Norm_Stats!$G$15="",Norm_Stats!$G$15=Norm_Stats!$F$15),"",MAX(0,MIN(100,100*(Norm_Stats!$G$15-MIN(MAX(City_Inputs!$AK34,Norm_Stats!$F$15),Norm_Stats!$G$15))/(Norm_Stats!$G$15-Norm_Stats!$F$15)))))="",0,0.3))=0,"",(IF((IF(OR(City_Inputs!$Z34="",Norm_Stats!$F$14="",Norm_Stats!$G$14="",Norm_Stats!$G$14=Norm_Stats!$F$14),"",MAX(0,MIN(100,100*(MIN(MAX(City_Inputs!$Z34,Norm_Stats!$F$14),Norm_Stats!$G$14)-Norm_Stats!$F$14)/(Norm_Stats!$G$14-Norm_Stats!$F$14)))))="",0,(IF(OR(City_Inputs!$Z34="",Norm_Stats!$F$14="",Norm_Stats!$G$14="",Norm_Stats!$G$14=Norm_Stats!$F$14),"",MAX(0,MIN(100,100*(MIN(MAX(City_Inputs!$Z34,Norm_Stats!$F$14),Norm_Stats!$G$14)-Norm_Stats!$F$14)/(Norm_Stats!$G$14-Norm_Stats!$F$14)))))*0.7)+IF((IF(OR(City_Inputs!$AK34="",Norm_Stats!$F$15="",Norm_Stats!$G$15="",Norm_Stats!$G$15=Norm_Stats!$F$15),"",MAX(0,MIN(100,100*(Norm_Stats!$G$15-MIN(MAX(City_Inputs!$AK34,Norm_Stats!$F$15),Norm_Stats!$G$15))/(Norm_Stats!$G$15-Norm_Stats!$F$15)))))="",0,(IF(OR(City_Inputs!$AK34="",Norm_Stats!$F$15="",Norm_Stats!$G$15="",Norm_Stats!$G$15=Norm_Stats!$F$15),"",MAX(0,MIN(100,100*(Norm_Stats!$G$15-MIN(MAX(City_Inputs!$AK34,Norm_Stats!$F$15),Norm_Stats!$G$15))/(Norm_Stats!$G$15-Norm_Stats!$F$15)))))*0.3))/(IF((IF(OR(City_Inputs!$Z34="",Norm_Stats!$F$14="",Norm_Stats!$G$14="",Norm_Stats!$G$14=Norm_Stats!$F$14),"",MAX(0,MIN(100,100*(MIN(MAX(City_Inputs!$Z34,Norm_Stats!$F$14),Norm_Stats!$G$14)-Norm_Stats!$F$14)/(Norm_Stats!$G$14-Norm_Stats!$F$14)))))="",0,0.7)+IF((IF(OR(City_Inputs!$AK34="",Norm_Stats!$F$15="",Norm_Stats!$G$15="",Norm_Stats!$G$15=Norm_Stats!$F$15),"",MAX(0,MIN(100,100*(Norm_Stats!$G$15-MIN(MAX(City_Inputs!$AK34,Norm_Stats!$F$15),Norm_Stats!$G$15))/(Norm_Stats!$G$15-Norm_Stats!$F$15)))))="",0,0.3)))</f>
        <v/>
      </c>
      <c r="AJ34" s="14">
        <f>IF((IF((IF(OR(City_Inputs!$Z34="",Norm_Stats!$F$14="",Norm_Stats!$G$14="",Norm_Stats!$G$14=Norm_Stats!$F$14),"",MAX(0,MIN(100,100*(MIN(MAX(City_Inputs!$Z34,Norm_Stats!$F$14),Norm_Stats!$G$14)-Norm_Stats!$F$14)/(Norm_Stats!$G$14-Norm_Stats!$F$14)))))="",0,0.7)+IF((IF(OR(City_Inputs!$AK34="",Norm_Stats!$F$15="",Norm_Stats!$G$15="",Norm_Stats!$G$15=Norm_Stats!$F$15),"",MAX(0,MIN(100,100*(Norm_Stats!$G$15-MIN(MAX(City_Inputs!$AK34,Norm_Stats!$F$15),Norm_Stats!$G$15))/(Norm_Stats!$G$15-Norm_Stats!$F$15)))))="",0,0.3))=0,"",(IF((IF(OR(City_Inputs!$Z34="",Norm_Stats!$F$14="",Norm_Stats!$G$14="",Norm_Stats!$G$14=Norm_Stats!$F$14),"",MAX(0,MIN(100,100*(MIN(MAX(City_Inputs!$Z34,Norm_Stats!$F$14),Norm_Stats!$G$14)-Norm_Stats!$F$14)/(Norm_Stats!$G$14-Norm_Stats!$F$14)))))="",0,0.7)+IF((IF(OR(City_Inputs!$AK34="",Norm_Stats!$F$15="",Norm_Stats!$G$15="",Norm_Stats!$G$15=Norm_Stats!$F$15),"",MAX(0,MIN(100,100*(Norm_Stats!$G$15-MIN(MAX(City_Inputs!$AK34,Norm_Stats!$F$15),Norm_Stats!$G$15))/(Norm_Stats!$G$15-Norm_Stats!$F$15)))))="",0,0.3)))</f>
        <v/>
      </c>
      <c r="AK34" s="15">
        <f>IF((IF(AE34="",0,8)+IF(AG34="",0,6)+IF(AI34="",0,4))=0,"",(IF(AE34="",0,AE34*8)+IF(AG34="",0,AG34*6)+IF(AI34="",0,AI34*4))/(IF(AE34="",0,8)+IF(AG34="",0,6)+IF(AI34="",0,4)))</f>
        <v/>
      </c>
      <c r="AL34" s="14">
        <f>IF((IF(AF34="",0,8)+IF(AH34="",0,6)+IF(AJ34="",0,4))=0,"",(IF(AF34="",0,AF34*8)+IF(AH34="",0,AH34*6)+IF(AJ34="",0,AJ34*4))/18)</f>
        <v/>
      </c>
      <c r="AM34" s="11">
        <f>IF(OR(City_Inputs!$AA34="",Norm_Stats!$F$16="",Norm_Stats!$G$16="",Norm_Stats!$G$16=Norm_Stats!$F$16),"",MAX(0,MIN(100,100*(MIN(MAX(City_Inputs!$AA34,Norm_Stats!$F$16),Norm_Stats!$G$16)-Norm_Stats!$F$16)/(Norm_Stats!$G$16-Norm_Stats!$F$16))))</f>
        <v/>
      </c>
      <c r="AN34" s="14">
        <f>IF(AM34="","",1)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5">
        <f>IF((IF(AM34="",0,5)+IF(AO34="",0,5)+IF(AQ34="",0,5))=0,"",(IF(AM34="",0,AM34*5)+IF(AO34="",0,AO34*5)+IF(AQ34="",0,AQ34*5))/(IF(AM34="",0,5)+IF(AO34="",0,5)+IF(AQ34="",0,5)))</f>
        <v/>
      </c>
      <c r="AT34" s="14">
        <f>IF((IF(AN34="",0,5)+IF(AP34="",0,5)+IF(AR34="",0,5))=0,"",(IF(AN34="",0,AN34*5)+IF(AP34="",0,AP34*5)+IF(AR34="",0,AR34*5))/15)</f>
        <v/>
      </c>
      <c r="AU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V34" s="14">
        <f>IF(AU34="","",1)</f>
        <v/>
      </c>
      <c r="AW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X34" s="14">
        <f>IF(AW34="","",1)</f>
        <v/>
      </c>
      <c r="AY34" s="11">
        <f>IF((IF((IF(OR(City_Inputs!$AF34="",Norm_Stats!$F$21="",Norm_Stats!$G$21="",Norm_Stats!$G$21=Norm_Stats!$F$21),"",MAX(0,MIN(100,100*(MIN(MAX(City_Inputs!$AF34,Norm_Stats!$F$21),Norm_Stats!$G$21)-Norm_Stats!$F$21)/(Norm_Stats!$G$21-Norm_Stats!$F$21)))))="",0,0.5)+IF((IF(OR(City_Inputs!$AI34="",Norm_Stats!$F$22="",Norm_Stats!$G$22="",Norm_Stats!$G$22=Norm_Stats!$F$22),"",MAX(0,MIN(100,100*(MIN(MAX(City_Inputs!$AI34,Norm_Stats!$F$22),Norm_Stats!$G$22)-Norm_Stats!$F$22)/(Norm_Stats!$G$22-Norm_Stats!$F$22)))))="",0,0.3)+IF((IF(OR(City_Inputs!$AJ34="",Norm_Stats!$F$23="",Norm_Stats!$G$23="",Norm_Stats!$G$23=Norm_Stats!$F$23),"",MAX(0,MIN(100,100*(MIN(MAX(City_Inputs!$AJ34,Norm_Stats!$F$23),Norm_Stats!$G$23)-Norm_Stats!$F$23)/(Norm_Stats!$G$23-Norm_Stats!$F$23)))))="",0,0.2))=0,"",(IF((IF(OR(City_Inputs!$AF34="",Norm_Stats!$F$21="",Norm_Stats!$G$21="",Norm_Stats!$G$21=Norm_Stats!$F$21),"",MAX(0,MIN(100,100*(MIN(MAX(City_Inputs!$AF34,Norm_Stats!$F$21),Norm_Stats!$G$21)-Norm_Stats!$F$21)/(Norm_Stats!$G$21-Norm_Stats!$F$21)))))="",0,(IF(OR(City_Inputs!$AF34="",Norm_Stats!$F$21="",Norm_Stats!$G$21="",Norm_Stats!$G$21=Norm_Stats!$F$21),"",MAX(0,MIN(100,100*(MIN(MAX(City_Inputs!$AF34,Norm_Stats!$F$21),Norm_Stats!$G$21)-Norm_Stats!$F$21)/(Norm_Stats!$G$21-Norm_Stats!$F$21)))))*0.5)+IF((IF(OR(City_Inputs!$AI34="",Norm_Stats!$F$22="",Norm_Stats!$G$22="",Norm_Stats!$G$22=Norm_Stats!$F$22),"",MAX(0,MIN(100,100*(MIN(MAX(City_Inputs!$AI34,Norm_Stats!$F$22),Norm_Stats!$G$22)-Norm_Stats!$F$22)/(Norm_Stats!$G$22-Norm_Stats!$F$22)))))="",0,(IF(OR(City_Inputs!$AI34="",Norm_Stats!$F$22="",Norm_Stats!$G$22="",Norm_Stats!$G$22=Norm_Stats!$F$22),"",MAX(0,MIN(100,100*(MIN(MAX(City_Inputs!$AI34,Norm_Stats!$F$22),Norm_Stats!$G$22)-Norm_Stats!$F$22)/(Norm_Stats!$G$22-Norm_Stats!$F$22)))))*0.3)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0.2))/(IF((IF(OR(City_Inputs!$AF34="",Norm_Stats!$F$21="",Norm_Stats!$G$21="",Norm_Stats!$G$21=Norm_Stats!$F$21),"",MAX(0,MIN(100,100*(MIN(MAX(City_Inputs!$AF34,Norm_Stats!$F$21),Norm_Stats!$G$21)-Norm_Stats!$F$21)/(Norm_Stats!$G$21-Norm_Stats!$F$21)))))="",0,0.5)+IF((IF(OR(City_Inputs!$AI34="",Norm_Stats!$F$22="",Norm_Stats!$G$22="",Norm_Stats!$G$22=Norm_Stats!$F$22),"",MAX(0,MIN(100,100*(MIN(MAX(City_Inputs!$AI34,Norm_Stats!$F$22),Norm_Stats!$G$22)-Norm_Stats!$F$22)/(Norm_Stats!$G$22-Norm_Stats!$F$22)))))="",0,0.3)+IF((IF(OR(City_Inputs!$AJ34="",Norm_Stats!$F$23="",Norm_Stats!$G$23="",Norm_Stats!$G$23=Norm_Stats!$F$23),"",MAX(0,MIN(100,100*(MIN(MAX(City_Inputs!$AJ34,Norm_Stats!$F$23),Norm_Stats!$G$23)-Norm_Stats!$F$23)/(Norm_Stats!$G$23-Norm_Stats!$F$23)))))="",0,0.2)))</f>
        <v/>
      </c>
      <c r="AZ34" s="14">
        <f>IF((IF((IF(OR(City_Inputs!$AF34="",Norm_Stats!$F$21="",Norm_Stats!$G$21="",Norm_Stats!$G$21=Norm_Stats!$F$21),"",MAX(0,MIN(100,100*(MIN(MAX(City_Inputs!$AF34,Norm_Stats!$F$21),Norm_Stats!$G$21)-Norm_Stats!$F$21)/(Norm_Stats!$G$21-Norm_Stats!$F$21)))))="",0,0.5)+IF((IF(OR(City_Inputs!$AI34="",Norm_Stats!$F$22="",Norm_Stats!$G$22="",Norm_Stats!$G$22=Norm_Stats!$F$22),"",MAX(0,MIN(100,100*(MIN(MAX(City_Inputs!$AI34,Norm_Stats!$F$22),Norm_Stats!$G$22)-Norm_Stats!$F$22)/(Norm_Stats!$G$22-Norm_Stats!$F$22)))))="",0,0.3)+IF((IF(OR(City_Inputs!$AJ34="",Norm_Stats!$F$23="",Norm_Stats!$G$23="",Norm_Stats!$G$23=Norm_Stats!$F$23),"",MAX(0,MIN(100,100*(MIN(MAX(City_Inputs!$AJ34,Norm_Stats!$F$23),Norm_Stats!$G$23)-Norm_Stats!$F$23)/(Norm_Stats!$G$23-Norm_Stats!$F$23)))))="",0,0.2))=0,"",(IF((IF(OR(City_Inputs!$AF34="",Norm_Stats!$F$21="",Norm_Stats!$G$21="",Norm_Stats!$G$21=Norm_Stats!$F$21),"",MAX(0,MIN(100,100*(MIN(MAX(City_Inputs!$AF34,Norm_Stats!$F$21),Norm_Stats!$G$21)-Norm_Stats!$F$21)/(Norm_Stats!$G$21-Norm_Stats!$F$21)))))="",0,0.5)+IF((IF(OR(City_Inputs!$AI34="",Norm_Stats!$F$22="",Norm_Stats!$G$22="",Norm_Stats!$G$22=Norm_Stats!$F$22),"",MAX(0,MIN(100,100*(MIN(MAX(City_Inputs!$AI34,Norm_Stats!$F$22),Norm_Stats!$G$22)-Norm_Stats!$F$22)/(Norm_Stats!$G$22-Norm_Stats!$F$22)))))="",0,0.3)+IF((IF(OR(City_Inputs!$AJ34="",Norm_Stats!$F$23="",Norm_Stats!$G$23="",Norm_Stats!$G$23=Norm_Stats!$F$23),"",MAX(0,MIN(100,100*(MIN(MAX(City_Inputs!$AJ34,Norm_Stats!$F$23),Norm_Stats!$G$23)-Norm_Stats!$F$23)/(Norm_Stats!$G$23-Norm_Stats!$F$23)))))="",0,0.2)))</f>
        <v/>
      </c>
      <c r="BA34" s="11">
        <f>IF(OR(City_Inputs!$AG34="",Norm_Stats!$F$24="",Norm_Stats!$G$24="",Norm_Stats!$G$24=Norm_Stats!$F$24),"",MAX(0,MIN(100,100*(Norm_Stats!$G$24-MIN(MAX(City_Inputs!$AG34,Norm_Stats!$F$24),Norm_Stats!$G$24))/(Norm_Stats!$G$24-Norm_Stats!$F$24))))</f>
        <v/>
      </c>
      <c r="BB34" s="14">
        <f>IF(BA34="","",1)</f>
        <v/>
      </c>
      <c r="BC34" s="15">
        <f>IF((IF(AU34="",0,6)+IF(AW34="",0,5)+IF(AY34="",0,5)+IF(BA34="",0,4))=0,"",(IF(AU34="",0,AU34*6)+IF(AW34="",0,AW34*5)+IF(AY34="",0,AY34*5)+IF(BA34="",0,BA34*4))/(IF(AU34="",0,6)+IF(AW34="",0,5)+IF(AY34="",0,5)+IF(BA34="",0,4)))</f>
        <v/>
      </c>
      <c r="BD34" s="14">
        <f>IF((IF(AV34="",0,6)+IF(AX34="",0,5)+IF(AZ34="",0,5)+IF(BB34="",0,4))=0,"",(IF(AV34="",0,AV34*6)+IF(AX34="",0,AX34*5)+IF(AZ34="",0,AZ34*5)+IF(BB34="",0,BB34*4))/20)</f>
        <v/>
      </c>
      <c r="BE34" s="14">
        <f>IF(AND(R34="",AD34="",AL34="",AT34="",BD34=""),"",((R34*25)+(AD34*22)+(AL34*18)+(AT34*15)+(BD34*20))/100)</f>
        <v/>
      </c>
      <c r="BF34" s="11">
        <f>IF(BE34="","",IF(BE34&gt;=0.75,"A",IF(BE34&gt;=0.5,"B",IF(BE34&gt;=0.35,"C","Watchlist"))))</f>
        <v/>
      </c>
      <c r="BG34" s="11">
        <f>IF(OR(BE34="",BE34&lt;0.5,R34="",R34&lt;0.35,AD34="",AD34&lt;0.35,AL34="",AL34&lt;0.35,AT34="",AT34&lt;0.35,BD34="",BD34&lt;0.35),"Watchlist","Ranked")</f>
        <v/>
      </c>
      <c r="BH34" s="15">
        <f>IF(AND(Q34="",AC34="",AK34="",AS34="",BC34=""),"",(IF(Q34="",0,Q34*25)+IF(AC34="",0,AC34*22)+IF(AK34="",0,AK34*18)+IF(AS34="",0,AS34*15)+IF(BC34="",0,BC34*20))/(IF(Q34="",0,25)+IF(AC34="",0,22)+IF(AK34="",0,18)+IF(AS34="",0,15)+IF(BC34="",0,20)))</f>
        <v/>
      </c>
      <c r="BI34" s="11">
        <f>IF(BG34="Ranked",1+COUNTIFS($BG$2:$BG$101,"Ranked",$BH$2:$BH$101,"&gt;"&amp;BH34),"")</f>
        <v/>
      </c>
      <c r="BJ34" s="11">
        <f>City_Inputs!$AH34</f>
        <v/>
      </c>
    </row>
    <row r="35">
      <c r="A35" t="inlineStr">
        <is>
          <t>nl-amsterdam</t>
        </is>
      </c>
      <c r="B35" t="inlineStr">
        <is>
          <t>Amsterdam</t>
        </is>
      </c>
      <c r="C35" t="inlineStr">
        <is>
          <t>Netherlands</t>
        </is>
      </c>
      <c r="D35" t="inlineStr">
        <is>
          <t>Western and Northern Europe</t>
        </is>
      </c>
      <c r="E35" t="inlineStr">
        <is>
          <t>provisional</t>
        </is>
      </c>
      <c r="F35" t="inlineStr">
        <is>
          <t>primary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IF((IF(G35="",0,9)+IF(I35="",0,5)+IF(K35="",0,4)+IF(M35="",0,4)+IF(O35="",0,3))=0,"",(IF(G35="",0,G35*9)+IF(I35="",0,I35*5)+IF(K35="",0,K35*4)+IF(M35="",0,M35*4)+IF(O35="",0,O35*3))/(IF(G35="",0,9)+IF(I35="",0,5)+IF(K35="",0,4)+IF(M35="",0,4)+IF(O35="",0,3)))</f>
        <v/>
      </c>
      <c r="R35" s="14">
        <f>IF((IF(H35="",0,9)+IF(J35="",0,5)+IF(L35="",0,4)+IF(N35="",0,4)+IF(P35="",0,3))=0,"",(IF(H35="",0,H35*9)+IF(J35="",0,J35*5)+IF(L35="",0,L35*4)+IF(N35="",0,N35*4)+IF(P35="",0,P35*3))/25)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5">
        <f>IF((IF(S35="",0,5)+IF(U35="",0,5)+IF(W35="",0,4)+IF(Y35="",0,4)+IF(AA35="",0,4))=0,"",(IF(S35="",0,S35*5)+IF(U35="",0,U35*5)+IF(W35="",0,W35*4)+IF(Y35="",0,Y35*4)+IF(AA35="",0,AA35*4))/(IF(S35="",0,5)+IF(U35="",0,5)+IF(W35="",0,4)+IF(Y35="",0,4)+IF(AA35="",0,4)))</f>
        <v/>
      </c>
      <c r="AD35" s="14">
        <f>IF((IF(T35="",0,5)+IF(V35="",0,5)+IF(X35="",0,4)+IF(Z35="",0,4)+IF(AB35="",0,4))=0,"",(IF(T35="",0,T35*5)+IF(V35="",0,V35*5)+IF(X35="",0,X35*4)+IF(Z35="",0,Z35*4)+IF(AB35="",0,AB35*4))/22)</f>
        <v/>
      </c>
      <c r="AE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F35" s="14">
        <f>IF(AE35="","",1)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(IF((IF(OR(City_Inputs!$Z35="",Norm_Stats!$F$14="",Norm_Stats!$G$14="",Norm_Stats!$G$14=Norm_Stats!$F$14),"",MAX(0,MIN(100,100*(MIN(MAX(City_Inputs!$Z35,Norm_Stats!$F$14),Norm_Stats!$G$14)-Norm_Stats!$F$14)/(Norm_Stats!$G$14-Norm_Stats!$F$14)))))="",0,0.7)+IF((IF(OR(City_Inputs!$AK35="",Norm_Stats!$F$15="",Norm_Stats!$G$15="",Norm_Stats!$G$15=Norm_Stats!$F$15),"",MAX(0,MIN(100,100*(Norm_Stats!$G$15-MIN(MAX(City_Inputs!$AK35,Norm_Stats!$F$15),Norm_Stats!$G$15))/(Norm_Stats!$G$15-Norm_Stats!$F$15)))))="",0,0.3))=0,"",(IF((IF(OR(City_Inputs!$Z35="",Norm_Stats!$F$14="",Norm_Stats!$G$14="",Norm_Stats!$G$14=Norm_Stats!$F$14),"",MAX(0,MIN(100,100*(MIN(MAX(City_Inputs!$Z35,Norm_Stats!$F$14),Norm_Stats!$G$14)-Norm_Stats!$F$14)/(Norm_Stats!$G$14-Norm_Stats!$F$14)))))="",0,(IF(OR(City_Inputs!$Z35="",Norm_Stats!$F$14="",Norm_Stats!$G$14="",Norm_Stats!$G$14=Norm_Stats!$F$14),"",MAX(0,MIN(100,100*(MIN(MAX(City_Inputs!$Z35,Norm_Stats!$F$14),Norm_Stats!$G$14)-Norm_Stats!$F$14)/(Norm_Stats!$G$14-Norm_Stats!$F$14)))))*0.7)+IF((IF(OR(City_Inputs!$AK35="",Norm_Stats!$F$15="",Norm_Stats!$G$15="",Norm_Stats!$G$15=Norm_Stats!$F$15),"",MAX(0,MIN(100,100*(Norm_Stats!$G$15-MIN(MAX(City_Inputs!$AK35,Norm_Stats!$F$15),Norm_Stats!$G$15))/(Norm_Stats!$G$15-Norm_Stats!$F$15)))))="",0,(IF(OR(City_Inputs!$AK35="",Norm_Stats!$F$15="",Norm_Stats!$G$15="",Norm_Stats!$G$15=Norm_Stats!$F$15),"",MAX(0,MIN(100,100*(Norm_Stats!$G$15-MIN(MAX(City_Inputs!$AK35,Norm_Stats!$F$15),Norm_Stats!$G$15))/(Norm_Stats!$G$15-Norm_Stats!$F$15)))))*0.3))/(IF((IF(OR(City_Inputs!$Z35="",Norm_Stats!$F$14="",Norm_Stats!$G$14="",Norm_Stats!$G$14=Norm_Stats!$F$14),"",MAX(0,MIN(100,100*(MIN(MAX(City_Inputs!$Z35,Norm_Stats!$F$14),Norm_Stats!$G$14)-Norm_Stats!$F$14)/(Norm_Stats!$G$14-Norm_Stats!$F$14)))))="",0,0.7)+IF((IF(OR(City_Inputs!$AK35="",Norm_Stats!$F$15="",Norm_Stats!$G$15="",Norm_Stats!$G$15=Norm_Stats!$F$15),"",MAX(0,MIN(100,100*(Norm_Stats!$G$15-MIN(MAX(City_Inputs!$AK35,Norm_Stats!$F$15),Norm_Stats!$G$15))/(Norm_Stats!$G$15-Norm_Stats!$F$15)))))="",0,0.3)))</f>
        <v/>
      </c>
      <c r="AJ35" s="14">
        <f>IF((IF((IF(OR(City_Inputs!$Z35="",Norm_Stats!$F$14="",Norm_Stats!$G$14="",Norm_Stats!$G$14=Norm_Stats!$F$14),"",MAX(0,MIN(100,100*(MIN(MAX(City_Inputs!$Z35,Norm_Stats!$F$14),Norm_Stats!$G$14)-Norm_Stats!$F$14)/(Norm_Stats!$G$14-Norm_Stats!$F$14)))))="",0,0.7)+IF((IF(OR(City_Inputs!$AK35="",Norm_Stats!$F$15="",Norm_Stats!$G$15="",Norm_Stats!$G$15=Norm_Stats!$F$15),"",MAX(0,MIN(100,100*(Norm_Stats!$G$15-MIN(MAX(City_Inputs!$AK35,Norm_Stats!$F$15),Norm_Stats!$G$15))/(Norm_Stats!$G$15-Norm_Stats!$F$15)))))="",0,0.3))=0,"",(IF((IF(OR(City_Inputs!$Z35="",Norm_Stats!$F$14="",Norm_Stats!$G$14="",Norm_Stats!$G$14=Norm_Stats!$F$14),"",MAX(0,MIN(100,100*(MIN(MAX(City_Inputs!$Z35,Norm_Stats!$F$14),Norm_Stats!$G$14)-Norm_Stats!$F$14)/(Norm_Stats!$G$14-Norm_Stats!$F$14)))))="",0,0.7)+IF((IF(OR(City_Inputs!$AK35="",Norm_Stats!$F$15="",Norm_Stats!$G$15="",Norm_Stats!$G$15=Norm_Stats!$F$15),"",MAX(0,MIN(100,100*(Norm_Stats!$G$15-MIN(MAX(City_Inputs!$AK35,Norm_Stats!$F$15),Norm_Stats!$G$15))/(Norm_Stats!$G$15-Norm_Stats!$F$15)))))="",0,0.3)))</f>
        <v/>
      </c>
      <c r="AK35" s="15">
        <f>IF((IF(AE35="",0,8)+IF(AG35="",0,6)+IF(AI35="",0,4))=0,"",(IF(AE35="",0,AE35*8)+IF(AG35="",0,AG35*6)+IF(AI35="",0,AI35*4))/(IF(AE35="",0,8)+IF(AG35="",0,6)+IF(AI35="",0,4)))</f>
        <v/>
      </c>
      <c r="AL35" s="14">
        <f>IF((IF(AF35="",0,8)+IF(AH35="",0,6)+IF(AJ35="",0,4))=0,"",(IF(AF35="",0,AF35*8)+IF(AH35="",0,AH35*6)+IF(AJ35="",0,AJ35*4))/18)</f>
        <v/>
      </c>
      <c r="AM35" s="11">
        <f>IF(OR(City_Inputs!$AA35="",Norm_Stats!$F$16="",Norm_Stats!$G$16="",Norm_Stats!$G$16=Norm_Stats!$F$16),"",MAX(0,MIN(100,100*(MIN(MAX(City_Inputs!$AA35,Norm_Stats!$F$16),Norm_Stats!$G$16)-Norm_Stats!$F$16)/(Norm_Stats!$G$16-Norm_Stats!$F$16))))</f>
        <v/>
      </c>
      <c r="AN35" s="14">
        <f>IF(AM35="","",1)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5">
        <f>IF((IF(AM35="",0,5)+IF(AO35="",0,5)+IF(AQ35="",0,5))=0,"",(IF(AM35="",0,AM35*5)+IF(AO35="",0,AO35*5)+IF(AQ35="",0,AQ35*5))/(IF(AM35="",0,5)+IF(AO35="",0,5)+IF(AQ35="",0,5)))</f>
        <v/>
      </c>
      <c r="AT35" s="14">
        <f>IF((IF(AN35="",0,5)+IF(AP35="",0,5)+IF(AR35="",0,5))=0,"",(IF(AN35="",0,AN35*5)+IF(AP35="",0,AP35*5)+IF(AR35="",0,AR35*5))/15)</f>
        <v/>
      </c>
      <c r="AU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V35" s="14">
        <f>IF(AU35="","",1)</f>
        <v/>
      </c>
      <c r="AW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X35" s="14">
        <f>IF(AW35="","",1)</f>
        <v/>
      </c>
      <c r="AY35" s="11">
        <f>IF((IF((IF(OR(City_Inputs!$AF35="",Norm_Stats!$F$21="",Norm_Stats!$G$21="",Norm_Stats!$G$21=Norm_Stats!$F$21),"",MAX(0,MIN(100,100*(MIN(MAX(City_Inputs!$AF35,Norm_Stats!$F$21),Norm_Stats!$G$21)-Norm_Stats!$F$21)/(Norm_Stats!$G$21-Norm_Stats!$F$21)))))="",0,0.5)+IF((IF(OR(City_Inputs!$AI35="",Norm_Stats!$F$22="",Norm_Stats!$G$22="",Norm_Stats!$G$22=Norm_Stats!$F$22),"",MAX(0,MIN(100,100*(MIN(MAX(City_Inputs!$AI35,Norm_Stats!$F$22),Norm_Stats!$G$22)-Norm_Stats!$F$22)/(Norm_Stats!$G$22-Norm_Stats!$F$22)))))="",0,0.3)+IF((IF(OR(City_Inputs!$AJ35="",Norm_Stats!$F$23="",Norm_Stats!$G$23="",Norm_Stats!$G$23=Norm_Stats!$F$23),"",MAX(0,MIN(100,100*(MIN(MAX(City_Inputs!$AJ35,Norm_Stats!$F$23),Norm_Stats!$G$23)-Norm_Stats!$F$23)/(Norm_Stats!$G$23-Norm_Stats!$F$23)))))="",0,0.2))=0,"",(IF((IF(OR(City_Inputs!$AF35="",Norm_Stats!$F$21="",Norm_Stats!$G$21="",Norm_Stats!$G$21=Norm_Stats!$F$21),"",MAX(0,MIN(100,100*(MIN(MAX(City_Inputs!$AF35,Norm_Stats!$F$21),Norm_Stats!$G$21)-Norm_Stats!$F$21)/(Norm_Stats!$G$21-Norm_Stats!$F$21)))))="",0,(IF(OR(City_Inputs!$AF35="",Norm_Stats!$F$21="",Norm_Stats!$G$21="",Norm_Stats!$G$21=Norm_Stats!$F$21),"",MAX(0,MIN(100,100*(MIN(MAX(City_Inputs!$AF35,Norm_Stats!$F$21),Norm_Stats!$G$21)-Norm_Stats!$F$21)/(Norm_Stats!$G$21-Norm_Stats!$F$21)))))*0.5)+IF((IF(OR(City_Inputs!$AI35="",Norm_Stats!$F$22="",Norm_Stats!$G$22="",Norm_Stats!$G$22=Norm_Stats!$F$22),"",MAX(0,MIN(100,100*(MIN(MAX(City_Inputs!$AI35,Norm_Stats!$F$22),Norm_Stats!$G$22)-Norm_Stats!$F$22)/(Norm_Stats!$G$22-Norm_Stats!$F$22)))))="",0,(IF(OR(City_Inputs!$AI35="",Norm_Stats!$F$22="",Norm_Stats!$G$22="",Norm_Stats!$G$22=Norm_Stats!$F$22),"",MAX(0,MIN(100,100*(MIN(MAX(City_Inputs!$AI35,Norm_Stats!$F$22),Norm_Stats!$G$22)-Norm_Stats!$F$22)/(Norm_Stats!$G$22-Norm_Stats!$F$22)))))*0.3)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0.2))/(IF((IF(OR(City_Inputs!$AF35="",Norm_Stats!$F$21="",Norm_Stats!$G$21="",Norm_Stats!$G$21=Norm_Stats!$F$21),"",MAX(0,MIN(100,100*(MIN(MAX(City_Inputs!$AF35,Norm_Stats!$F$21),Norm_Stats!$G$21)-Norm_Stats!$F$21)/(Norm_Stats!$G$21-Norm_Stats!$F$21)))))="",0,0.5)+IF((IF(OR(City_Inputs!$AI35="",Norm_Stats!$F$22="",Norm_Stats!$G$22="",Norm_Stats!$G$22=Norm_Stats!$F$22),"",MAX(0,MIN(100,100*(MIN(MAX(City_Inputs!$AI35,Norm_Stats!$F$22),Norm_Stats!$G$22)-Norm_Stats!$F$22)/(Norm_Stats!$G$22-Norm_Stats!$F$22)))))="",0,0.3)+IF((IF(OR(City_Inputs!$AJ35="",Norm_Stats!$F$23="",Norm_Stats!$G$23="",Norm_Stats!$G$23=Norm_Stats!$F$23),"",MAX(0,MIN(100,100*(MIN(MAX(City_Inputs!$AJ35,Norm_Stats!$F$23),Norm_Stats!$G$23)-Norm_Stats!$F$23)/(Norm_Stats!$G$23-Norm_Stats!$F$23)))))="",0,0.2)))</f>
        <v/>
      </c>
      <c r="AZ35" s="14">
        <f>IF((IF((IF(OR(City_Inputs!$AF35="",Norm_Stats!$F$21="",Norm_Stats!$G$21="",Norm_Stats!$G$21=Norm_Stats!$F$21),"",MAX(0,MIN(100,100*(MIN(MAX(City_Inputs!$AF35,Norm_Stats!$F$21),Norm_Stats!$G$21)-Norm_Stats!$F$21)/(Norm_Stats!$G$21-Norm_Stats!$F$21)))))="",0,0.5)+IF((IF(OR(City_Inputs!$AI35="",Norm_Stats!$F$22="",Norm_Stats!$G$22="",Norm_Stats!$G$22=Norm_Stats!$F$22),"",MAX(0,MIN(100,100*(MIN(MAX(City_Inputs!$AI35,Norm_Stats!$F$22),Norm_Stats!$G$22)-Norm_Stats!$F$22)/(Norm_Stats!$G$22-Norm_Stats!$F$22)))))="",0,0.3)+IF((IF(OR(City_Inputs!$AJ35="",Norm_Stats!$F$23="",Norm_Stats!$G$23="",Norm_Stats!$G$23=Norm_Stats!$F$23),"",MAX(0,MIN(100,100*(MIN(MAX(City_Inputs!$AJ35,Norm_Stats!$F$23),Norm_Stats!$G$23)-Norm_Stats!$F$23)/(Norm_Stats!$G$23-Norm_Stats!$F$23)))))="",0,0.2))=0,"",(IF((IF(OR(City_Inputs!$AF35="",Norm_Stats!$F$21="",Norm_Stats!$G$21="",Norm_Stats!$G$21=Norm_Stats!$F$21),"",MAX(0,MIN(100,100*(MIN(MAX(City_Inputs!$AF35,Norm_Stats!$F$21),Norm_Stats!$G$21)-Norm_Stats!$F$21)/(Norm_Stats!$G$21-Norm_Stats!$F$21)))))="",0,0.5)+IF((IF(OR(City_Inputs!$AI35="",Norm_Stats!$F$22="",Norm_Stats!$G$22="",Norm_Stats!$G$22=Norm_Stats!$F$22),"",MAX(0,MIN(100,100*(MIN(MAX(City_Inputs!$AI35,Norm_Stats!$F$22),Norm_Stats!$G$22)-Norm_Stats!$F$22)/(Norm_Stats!$G$22-Norm_Stats!$F$22)))))="",0,0.3)+IF((IF(OR(City_Inputs!$AJ35="",Norm_Stats!$F$23="",Norm_Stats!$G$23="",Norm_Stats!$G$23=Norm_Stats!$F$23),"",MAX(0,MIN(100,100*(MIN(MAX(City_Inputs!$AJ35,Norm_Stats!$F$23),Norm_Stats!$G$23)-Norm_Stats!$F$23)/(Norm_Stats!$G$23-Norm_Stats!$F$23)))))="",0,0.2)))</f>
        <v/>
      </c>
      <c r="BA35" s="11">
        <f>IF(OR(City_Inputs!$AG35="",Norm_Stats!$F$24="",Norm_Stats!$G$24="",Norm_Stats!$G$24=Norm_Stats!$F$24),"",MAX(0,MIN(100,100*(Norm_Stats!$G$24-MIN(MAX(City_Inputs!$AG35,Norm_Stats!$F$24),Norm_Stats!$G$24))/(Norm_Stats!$G$24-Norm_Stats!$F$24))))</f>
        <v/>
      </c>
      <c r="BB35" s="14">
        <f>IF(BA35="","",1)</f>
        <v/>
      </c>
      <c r="BC35" s="15">
        <f>IF((IF(AU35="",0,6)+IF(AW35="",0,5)+IF(AY35="",0,5)+IF(BA35="",0,4))=0,"",(IF(AU35="",0,AU35*6)+IF(AW35="",0,AW35*5)+IF(AY35="",0,AY35*5)+IF(BA35="",0,BA35*4))/(IF(AU35="",0,6)+IF(AW35="",0,5)+IF(AY35="",0,5)+IF(BA35="",0,4)))</f>
        <v/>
      </c>
      <c r="BD35" s="14">
        <f>IF((IF(AV35="",0,6)+IF(AX35="",0,5)+IF(AZ35="",0,5)+IF(BB35="",0,4))=0,"",(IF(AV35="",0,AV35*6)+IF(AX35="",0,AX35*5)+IF(AZ35="",0,AZ35*5)+IF(BB35="",0,BB35*4))/20)</f>
        <v/>
      </c>
      <c r="BE35" s="14">
        <f>IF(AND(R35="",AD35="",AL35="",AT35="",BD35=""),"",((R35*25)+(AD35*22)+(AL35*18)+(AT35*15)+(BD35*20))/100)</f>
        <v/>
      </c>
      <c r="BF35" s="11">
        <f>IF(BE35="","",IF(BE35&gt;=0.75,"A",IF(BE35&gt;=0.5,"B",IF(BE35&gt;=0.35,"C","Watchlist"))))</f>
        <v/>
      </c>
      <c r="BG35" s="11">
        <f>IF(OR(BE35="",BE35&lt;0.5,R35="",R35&lt;0.35,AD35="",AD35&lt;0.35,AL35="",AL35&lt;0.35,AT35="",AT35&lt;0.35,BD35="",BD35&lt;0.35),"Watchlist","Ranked")</f>
        <v/>
      </c>
      <c r="BH35" s="15">
        <f>IF(AND(Q35="",AC35="",AK35="",AS35="",BC35=""),"",(IF(Q35="",0,Q35*25)+IF(AC35="",0,AC35*22)+IF(AK35="",0,AK35*18)+IF(AS35="",0,AS35*15)+IF(BC35="",0,BC35*20))/(IF(Q35="",0,25)+IF(AC35="",0,22)+IF(AK35="",0,18)+IF(AS35="",0,15)+IF(BC35="",0,20)))</f>
        <v/>
      </c>
      <c r="BI35" s="11">
        <f>IF(BG35="Ranked",1+COUNTIFS($BG$2:$BG$101,"Ranked",$BH$2:$BH$101,"&gt;"&amp;BH35),"")</f>
        <v/>
      </c>
      <c r="BJ35" s="11">
        <f>City_Inputs!$AH35</f>
        <v/>
      </c>
    </row>
    <row r="36">
      <c r="A36" t="inlineStr">
        <is>
          <t>dk-copenhagen</t>
        </is>
      </c>
      <c r="B36" t="inlineStr">
        <is>
          <t>Copenhagen</t>
        </is>
      </c>
      <c r="C36" t="inlineStr">
        <is>
          <t>Denmark</t>
        </is>
      </c>
      <c r="D36" t="inlineStr">
        <is>
          <t>Western and Northern Europe</t>
        </is>
      </c>
      <c r="E36" t="inlineStr">
        <is>
          <t>provisional</t>
        </is>
      </c>
      <c r="F36" t="inlineStr">
        <is>
          <t>primary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IF((IF(G36="",0,9)+IF(I36="",0,5)+IF(K36="",0,4)+IF(M36="",0,4)+IF(O36="",0,3))=0,"",(IF(G36="",0,G36*9)+IF(I36="",0,I36*5)+IF(K36="",0,K36*4)+IF(M36="",0,M36*4)+IF(O36="",0,O36*3))/(IF(G36="",0,9)+IF(I36="",0,5)+IF(K36="",0,4)+IF(M36="",0,4)+IF(O36="",0,3)))</f>
        <v/>
      </c>
      <c r="R36" s="14">
        <f>IF((IF(H36="",0,9)+IF(J36="",0,5)+IF(L36="",0,4)+IF(N36="",0,4)+IF(P36="",0,3))=0,"",(IF(H36="",0,H36*9)+IF(J36="",0,J36*5)+IF(L36="",0,L36*4)+IF(N36="",0,N36*4)+IF(P36="",0,P36*3))/25)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5">
        <f>IF((IF(S36="",0,5)+IF(U36="",0,5)+IF(W36="",0,4)+IF(Y36="",0,4)+IF(AA36="",0,4))=0,"",(IF(S36="",0,S36*5)+IF(U36="",0,U36*5)+IF(W36="",0,W36*4)+IF(Y36="",0,Y36*4)+IF(AA36="",0,AA36*4))/(IF(S36="",0,5)+IF(U36="",0,5)+IF(W36="",0,4)+IF(Y36="",0,4)+IF(AA36="",0,4)))</f>
        <v/>
      </c>
      <c r="AD36" s="14">
        <f>IF((IF(T36="",0,5)+IF(V36="",0,5)+IF(X36="",0,4)+IF(Z36="",0,4)+IF(AB36="",0,4))=0,"",(IF(T36="",0,T36*5)+IF(V36="",0,V36*5)+IF(X36="",0,X36*4)+IF(Z36="",0,Z36*4)+IF(AB36="",0,AB36*4))/22)</f>
        <v/>
      </c>
      <c r="AE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F36" s="14">
        <f>IF(AE36="","",1)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(IF((IF(OR(City_Inputs!$Z36="",Norm_Stats!$F$14="",Norm_Stats!$G$14="",Norm_Stats!$G$14=Norm_Stats!$F$14),"",MAX(0,MIN(100,100*(MIN(MAX(City_Inputs!$Z36,Norm_Stats!$F$14),Norm_Stats!$G$14)-Norm_Stats!$F$14)/(Norm_Stats!$G$14-Norm_Stats!$F$14)))))="",0,0.7)+IF((IF(OR(City_Inputs!$AK36="",Norm_Stats!$F$15="",Norm_Stats!$G$15="",Norm_Stats!$G$15=Norm_Stats!$F$15),"",MAX(0,MIN(100,100*(Norm_Stats!$G$15-MIN(MAX(City_Inputs!$AK36,Norm_Stats!$F$15),Norm_Stats!$G$15))/(Norm_Stats!$G$15-Norm_Stats!$F$15)))))="",0,0.3))=0,"",(IF((IF(OR(City_Inputs!$Z36="",Norm_Stats!$F$14="",Norm_Stats!$G$14="",Norm_Stats!$G$14=Norm_Stats!$F$14),"",MAX(0,MIN(100,100*(MIN(MAX(City_Inputs!$Z36,Norm_Stats!$F$14),Norm_Stats!$G$14)-Norm_Stats!$F$14)/(Norm_Stats!$G$14-Norm_Stats!$F$14)))))="",0,(IF(OR(City_Inputs!$Z36="",Norm_Stats!$F$14="",Norm_Stats!$G$14="",Norm_Stats!$G$14=Norm_Stats!$F$14),"",MAX(0,MIN(100,100*(MIN(MAX(City_Inputs!$Z36,Norm_Stats!$F$14),Norm_Stats!$G$14)-Norm_Stats!$F$14)/(Norm_Stats!$G$14-Norm_Stats!$F$14)))))*0.7)+IF((IF(OR(City_Inputs!$AK36="",Norm_Stats!$F$15="",Norm_Stats!$G$15="",Norm_Stats!$G$15=Norm_Stats!$F$15),"",MAX(0,MIN(100,100*(Norm_Stats!$G$15-MIN(MAX(City_Inputs!$AK36,Norm_Stats!$F$15),Norm_Stats!$G$15))/(Norm_Stats!$G$15-Norm_Stats!$F$15)))))="",0,(IF(OR(City_Inputs!$AK36="",Norm_Stats!$F$15="",Norm_Stats!$G$15="",Norm_Stats!$G$15=Norm_Stats!$F$15),"",MAX(0,MIN(100,100*(Norm_Stats!$G$15-MIN(MAX(City_Inputs!$AK36,Norm_Stats!$F$15),Norm_Stats!$G$15))/(Norm_Stats!$G$15-Norm_Stats!$F$15)))))*0.3))/(IF((IF(OR(City_Inputs!$Z36="",Norm_Stats!$F$14="",Norm_Stats!$G$14="",Norm_Stats!$G$14=Norm_Stats!$F$14),"",MAX(0,MIN(100,100*(MIN(MAX(City_Inputs!$Z36,Norm_Stats!$F$14),Norm_Stats!$G$14)-Norm_Stats!$F$14)/(Norm_Stats!$G$14-Norm_Stats!$F$14)))))="",0,0.7)+IF((IF(OR(City_Inputs!$AK36="",Norm_Stats!$F$15="",Norm_Stats!$G$15="",Norm_Stats!$G$15=Norm_Stats!$F$15),"",MAX(0,MIN(100,100*(Norm_Stats!$G$15-MIN(MAX(City_Inputs!$AK36,Norm_Stats!$F$15),Norm_Stats!$G$15))/(Norm_Stats!$G$15-Norm_Stats!$F$15)))))="",0,0.3)))</f>
        <v/>
      </c>
      <c r="AJ36" s="14">
        <f>IF((IF((IF(OR(City_Inputs!$Z36="",Norm_Stats!$F$14="",Norm_Stats!$G$14="",Norm_Stats!$G$14=Norm_Stats!$F$14),"",MAX(0,MIN(100,100*(MIN(MAX(City_Inputs!$Z36,Norm_Stats!$F$14),Norm_Stats!$G$14)-Norm_Stats!$F$14)/(Norm_Stats!$G$14-Norm_Stats!$F$14)))))="",0,0.7)+IF((IF(OR(City_Inputs!$AK36="",Norm_Stats!$F$15="",Norm_Stats!$G$15="",Norm_Stats!$G$15=Norm_Stats!$F$15),"",MAX(0,MIN(100,100*(Norm_Stats!$G$15-MIN(MAX(City_Inputs!$AK36,Norm_Stats!$F$15),Norm_Stats!$G$15))/(Norm_Stats!$G$15-Norm_Stats!$F$15)))))="",0,0.3))=0,"",(IF((IF(OR(City_Inputs!$Z36="",Norm_Stats!$F$14="",Norm_Stats!$G$14="",Norm_Stats!$G$14=Norm_Stats!$F$14),"",MAX(0,MIN(100,100*(MIN(MAX(City_Inputs!$Z36,Norm_Stats!$F$14),Norm_Stats!$G$14)-Norm_Stats!$F$14)/(Norm_Stats!$G$14-Norm_Stats!$F$14)))))="",0,0.7)+IF((IF(OR(City_Inputs!$AK36="",Norm_Stats!$F$15="",Norm_Stats!$G$15="",Norm_Stats!$G$15=Norm_Stats!$F$15),"",MAX(0,MIN(100,100*(Norm_Stats!$G$15-MIN(MAX(City_Inputs!$AK36,Norm_Stats!$F$15),Norm_Stats!$G$15))/(Norm_Stats!$G$15-Norm_Stats!$F$15)))))="",0,0.3)))</f>
        <v/>
      </c>
      <c r="AK36" s="15">
        <f>IF((IF(AE36="",0,8)+IF(AG36="",0,6)+IF(AI36="",0,4))=0,"",(IF(AE36="",0,AE36*8)+IF(AG36="",0,AG36*6)+IF(AI36="",0,AI36*4))/(IF(AE36="",0,8)+IF(AG36="",0,6)+IF(AI36="",0,4)))</f>
        <v/>
      </c>
      <c r="AL36" s="14">
        <f>IF((IF(AF36="",0,8)+IF(AH36="",0,6)+IF(AJ36="",0,4))=0,"",(IF(AF36="",0,AF36*8)+IF(AH36="",0,AH36*6)+IF(AJ36="",0,AJ36*4))/18)</f>
        <v/>
      </c>
      <c r="AM36" s="11">
        <f>IF(OR(City_Inputs!$AA36="",Norm_Stats!$F$16="",Norm_Stats!$G$16="",Norm_Stats!$G$16=Norm_Stats!$F$16),"",MAX(0,MIN(100,100*(MIN(MAX(City_Inputs!$AA36,Norm_Stats!$F$16),Norm_Stats!$G$16)-Norm_Stats!$F$16)/(Norm_Stats!$G$16-Norm_Stats!$F$16))))</f>
        <v/>
      </c>
      <c r="AN36" s="14">
        <f>IF(AM36="","",1)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5">
        <f>IF((IF(AM36="",0,5)+IF(AO36="",0,5)+IF(AQ36="",0,5))=0,"",(IF(AM36="",0,AM36*5)+IF(AO36="",0,AO36*5)+IF(AQ36="",0,AQ36*5))/(IF(AM36="",0,5)+IF(AO36="",0,5)+IF(AQ36="",0,5)))</f>
        <v/>
      </c>
      <c r="AT36" s="14">
        <f>IF((IF(AN36="",0,5)+IF(AP36="",0,5)+IF(AR36="",0,5))=0,"",(IF(AN36="",0,AN36*5)+IF(AP36="",0,AP36*5)+IF(AR36="",0,AR36*5))/15)</f>
        <v/>
      </c>
      <c r="AU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V36" s="14">
        <f>IF(AU36="","",1)</f>
        <v/>
      </c>
      <c r="AW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X36" s="14">
        <f>IF(AW36="","",1)</f>
        <v/>
      </c>
      <c r="AY36" s="11">
        <f>IF((IF((IF(OR(City_Inputs!$AF36="",Norm_Stats!$F$21="",Norm_Stats!$G$21="",Norm_Stats!$G$21=Norm_Stats!$F$21),"",MAX(0,MIN(100,100*(MIN(MAX(City_Inputs!$AF36,Norm_Stats!$F$21),Norm_Stats!$G$21)-Norm_Stats!$F$21)/(Norm_Stats!$G$21-Norm_Stats!$F$21)))))="",0,0.5)+IF((IF(OR(City_Inputs!$AI36="",Norm_Stats!$F$22="",Norm_Stats!$G$22="",Norm_Stats!$G$22=Norm_Stats!$F$22),"",MAX(0,MIN(100,100*(MIN(MAX(City_Inputs!$AI36,Norm_Stats!$F$22),Norm_Stats!$G$22)-Norm_Stats!$F$22)/(Norm_Stats!$G$22-Norm_Stats!$F$22)))))="",0,0.3)+IF((IF(OR(City_Inputs!$AJ36="",Norm_Stats!$F$23="",Norm_Stats!$G$23="",Norm_Stats!$G$23=Norm_Stats!$F$23),"",MAX(0,MIN(100,100*(MIN(MAX(City_Inputs!$AJ36,Norm_Stats!$F$23),Norm_Stats!$G$23)-Norm_Stats!$F$23)/(Norm_Stats!$G$23-Norm_Stats!$F$23)))))="",0,0.2))=0,"",(IF((IF(OR(City_Inputs!$AF36="",Norm_Stats!$F$21="",Norm_Stats!$G$21="",Norm_Stats!$G$21=Norm_Stats!$F$21),"",MAX(0,MIN(100,100*(MIN(MAX(City_Inputs!$AF36,Norm_Stats!$F$21),Norm_Stats!$G$21)-Norm_Stats!$F$21)/(Norm_Stats!$G$21-Norm_Stats!$F$21)))))="",0,(IF(OR(City_Inputs!$AF36="",Norm_Stats!$F$21="",Norm_Stats!$G$21="",Norm_Stats!$G$21=Norm_Stats!$F$21),"",MAX(0,MIN(100,100*(MIN(MAX(City_Inputs!$AF36,Norm_Stats!$F$21),Norm_Stats!$G$21)-Norm_Stats!$F$21)/(Norm_Stats!$G$21-Norm_Stats!$F$21)))))*0.5)+IF((IF(OR(City_Inputs!$AI36="",Norm_Stats!$F$22="",Norm_Stats!$G$22="",Norm_Stats!$G$22=Norm_Stats!$F$22),"",MAX(0,MIN(100,100*(MIN(MAX(City_Inputs!$AI36,Norm_Stats!$F$22),Norm_Stats!$G$22)-Norm_Stats!$F$22)/(Norm_Stats!$G$22-Norm_Stats!$F$22)))))="",0,(IF(OR(City_Inputs!$AI36="",Norm_Stats!$F$22="",Norm_Stats!$G$22="",Norm_Stats!$G$22=Norm_Stats!$F$22),"",MAX(0,MIN(100,100*(MIN(MAX(City_Inputs!$AI36,Norm_Stats!$F$22),Norm_Stats!$G$22)-Norm_Stats!$F$22)/(Norm_Stats!$G$22-Norm_Stats!$F$22)))))*0.3)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0.2))/(IF((IF(OR(City_Inputs!$AF36="",Norm_Stats!$F$21="",Norm_Stats!$G$21="",Norm_Stats!$G$21=Norm_Stats!$F$21),"",MAX(0,MIN(100,100*(MIN(MAX(City_Inputs!$AF36,Norm_Stats!$F$21),Norm_Stats!$G$21)-Norm_Stats!$F$21)/(Norm_Stats!$G$21-Norm_Stats!$F$21)))))="",0,0.5)+IF((IF(OR(City_Inputs!$AI36="",Norm_Stats!$F$22="",Norm_Stats!$G$22="",Norm_Stats!$G$22=Norm_Stats!$F$22),"",MAX(0,MIN(100,100*(MIN(MAX(City_Inputs!$AI36,Norm_Stats!$F$22),Norm_Stats!$G$22)-Norm_Stats!$F$22)/(Norm_Stats!$G$22-Norm_Stats!$F$22)))))="",0,0.3)+IF((IF(OR(City_Inputs!$AJ36="",Norm_Stats!$F$23="",Norm_Stats!$G$23="",Norm_Stats!$G$23=Norm_Stats!$F$23),"",MAX(0,MIN(100,100*(MIN(MAX(City_Inputs!$AJ36,Norm_Stats!$F$23),Norm_Stats!$G$23)-Norm_Stats!$F$23)/(Norm_Stats!$G$23-Norm_Stats!$F$23)))))="",0,0.2)))</f>
        <v/>
      </c>
      <c r="AZ36" s="14">
        <f>IF((IF((IF(OR(City_Inputs!$AF36="",Norm_Stats!$F$21="",Norm_Stats!$G$21="",Norm_Stats!$G$21=Norm_Stats!$F$21),"",MAX(0,MIN(100,100*(MIN(MAX(City_Inputs!$AF36,Norm_Stats!$F$21),Norm_Stats!$G$21)-Norm_Stats!$F$21)/(Norm_Stats!$G$21-Norm_Stats!$F$21)))))="",0,0.5)+IF((IF(OR(City_Inputs!$AI36="",Norm_Stats!$F$22="",Norm_Stats!$G$22="",Norm_Stats!$G$22=Norm_Stats!$F$22),"",MAX(0,MIN(100,100*(MIN(MAX(City_Inputs!$AI36,Norm_Stats!$F$22),Norm_Stats!$G$22)-Norm_Stats!$F$22)/(Norm_Stats!$G$22-Norm_Stats!$F$22)))))="",0,0.3)+IF((IF(OR(City_Inputs!$AJ36="",Norm_Stats!$F$23="",Norm_Stats!$G$23="",Norm_Stats!$G$23=Norm_Stats!$F$23),"",MAX(0,MIN(100,100*(MIN(MAX(City_Inputs!$AJ36,Norm_Stats!$F$23),Norm_Stats!$G$23)-Norm_Stats!$F$23)/(Norm_Stats!$G$23-Norm_Stats!$F$23)))))="",0,0.2))=0,"",(IF((IF(OR(City_Inputs!$AF36="",Norm_Stats!$F$21="",Norm_Stats!$G$21="",Norm_Stats!$G$21=Norm_Stats!$F$21),"",MAX(0,MIN(100,100*(MIN(MAX(City_Inputs!$AF36,Norm_Stats!$F$21),Norm_Stats!$G$21)-Norm_Stats!$F$21)/(Norm_Stats!$G$21-Norm_Stats!$F$21)))))="",0,0.5)+IF((IF(OR(City_Inputs!$AI36="",Norm_Stats!$F$22="",Norm_Stats!$G$22="",Norm_Stats!$G$22=Norm_Stats!$F$22),"",MAX(0,MIN(100,100*(MIN(MAX(City_Inputs!$AI36,Norm_Stats!$F$22),Norm_Stats!$G$22)-Norm_Stats!$F$22)/(Norm_Stats!$G$22-Norm_Stats!$F$22)))))="",0,0.3)+IF((IF(OR(City_Inputs!$AJ36="",Norm_Stats!$F$23="",Norm_Stats!$G$23="",Norm_Stats!$G$23=Norm_Stats!$F$23),"",MAX(0,MIN(100,100*(MIN(MAX(City_Inputs!$AJ36,Norm_Stats!$F$23),Norm_Stats!$G$23)-Norm_Stats!$F$23)/(Norm_Stats!$G$23-Norm_Stats!$F$23)))))="",0,0.2)))</f>
        <v/>
      </c>
      <c r="BA36" s="11">
        <f>IF(OR(City_Inputs!$AG36="",Norm_Stats!$F$24="",Norm_Stats!$G$24="",Norm_Stats!$G$24=Norm_Stats!$F$24),"",MAX(0,MIN(100,100*(Norm_Stats!$G$24-MIN(MAX(City_Inputs!$AG36,Norm_Stats!$F$24),Norm_Stats!$G$24))/(Norm_Stats!$G$24-Norm_Stats!$F$24))))</f>
        <v/>
      </c>
      <c r="BB36" s="14">
        <f>IF(BA36="","",1)</f>
        <v/>
      </c>
      <c r="BC36" s="15">
        <f>IF((IF(AU36="",0,6)+IF(AW36="",0,5)+IF(AY36="",0,5)+IF(BA36="",0,4))=0,"",(IF(AU36="",0,AU36*6)+IF(AW36="",0,AW36*5)+IF(AY36="",0,AY36*5)+IF(BA36="",0,BA36*4))/(IF(AU36="",0,6)+IF(AW36="",0,5)+IF(AY36="",0,5)+IF(BA36="",0,4)))</f>
        <v/>
      </c>
      <c r="BD36" s="14">
        <f>IF((IF(AV36="",0,6)+IF(AX36="",0,5)+IF(AZ36="",0,5)+IF(BB36="",0,4))=0,"",(IF(AV36="",0,AV36*6)+IF(AX36="",0,AX36*5)+IF(AZ36="",0,AZ36*5)+IF(BB36="",0,BB36*4))/20)</f>
        <v/>
      </c>
      <c r="BE36" s="14">
        <f>IF(AND(R36="",AD36="",AL36="",AT36="",BD36=""),"",((R36*25)+(AD36*22)+(AL36*18)+(AT36*15)+(BD36*20))/100)</f>
        <v/>
      </c>
      <c r="BF36" s="11">
        <f>IF(BE36="","",IF(BE36&gt;=0.75,"A",IF(BE36&gt;=0.5,"B",IF(BE36&gt;=0.35,"C","Watchlist"))))</f>
        <v/>
      </c>
      <c r="BG36" s="11">
        <f>IF(OR(BE36="",BE36&lt;0.5,R36="",R36&lt;0.35,AD36="",AD36&lt;0.35,AL36="",AL36&lt;0.35,AT36="",AT36&lt;0.35,BD36="",BD36&lt;0.35),"Watchlist","Ranked")</f>
        <v/>
      </c>
      <c r="BH36" s="15">
        <f>IF(AND(Q36="",AC36="",AK36="",AS36="",BC36=""),"",(IF(Q36="",0,Q36*25)+IF(AC36="",0,AC36*22)+IF(AK36="",0,AK36*18)+IF(AS36="",0,AS36*15)+IF(BC36="",0,BC36*20))/(IF(Q36="",0,25)+IF(AC36="",0,22)+IF(AK36="",0,18)+IF(AS36="",0,15)+IF(BC36="",0,20)))</f>
        <v/>
      </c>
      <c r="BI36" s="11">
        <f>IF(BG36="Ranked",1+COUNTIFS($BG$2:$BG$101,"Ranked",$BH$2:$BH$101,"&gt;"&amp;BH36),"")</f>
        <v/>
      </c>
      <c r="BJ36" s="11">
        <f>City_Inputs!$AH36</f>
        <v/>
      </c>
    </row>
    <row r="37">
      <c r="A37" t="inlineStr">
        <is>
          <t>at-graz</t>
        </is>
      </c>
      <c r="B37" t="inlineStr">
        <is>
          <t>Graz</t>
        </is>
      </c>
      <c r="C37" t="inlineStr">
        <is>
          <t>Austria</t>
        </is>
      </c>
      <c r="D37" t="inlineStr">
        <is>
          <t>Western and Northern Europe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IF((IF(G37="",0,9)+IF(I37="",0,5)+IF(K37="",0,4)+IF(M37="",0,4)+IF(O37="",0,3))=0,"",(IF(G37="",0,G37*9)+IF(I37="",0,I37*5)+IF(K37="",0,K37*4)+IF(M37="",0,M37*4)+IF(O37="",0,O37*3))/(IF(G37="",0,9)+IF(I37="",0,5)+IF(K37="",0,4)+IF(M37="",0,4)+IF(O37="",0,3)))</f>
        <v/>
      </c>
      <c r="R37" s="14">
        <f>IF((IF(H37="",0,9)+IF(J37="",0,5)+IF(L37="",0,4)+IF(N37="",0,4)+IF(P37="",0,3))=0,"",(IF(H37="",0,H37*9)+IF(J37="",0,J37*5)+IF(L37="",0,L37*4)+IF(N37="",0,N37*4)+IF(P37="",0,P37*3))/25)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5">
        <f>IF((IF(S37="",0,5)+IF(U37="",0,5)+IF(W37="",0,4)+IF(Y37="",0,4)+IF(AA37="",0,4))=0,"",(IF(S37="",0,S37*5)+IF(U37="",0,U37*5)+IF(W37="",0,W37*4)+IF(Y37="",0,Y37*4)+IF(AA37="",0,AA37*4))/(IF(S37="",0,5)+IF(U37="",0,5)+IF(W37="",0,4)+IF(Y37="",0,4)+IF(AA37="",0,4)))</f>
        <v/>
      </c>
      <c r="AD37" s="14">
        <f>IF((IF(T37="",0,5)+IF(V37="",0,5)+IF(X37="",0,4)+IF(Z37="",0,4)+IF(AB37="",0,4))=0,"",(IF(T37="",0,T37*5)+IF(V37="",0,V37*5)+IF(X37="",0,X37*4)+IF(Z37="",0,Z37*4)+IF(AB37="",0,AB37*4))/22)</f>
        <v/>
      </c>
      <c r="AE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F37" s="14">
        <f>IF(AE37="","",1)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(IF((IF(OR(City_Inputs!$Z37="",Norm_Stats!$F$14="",Norm_Stats!$G$14="",Norm_Stats!$G$14=Norm_Stats!$F$14),"",MAX(0,MIN(100,100*(MIN(MAX(City_Inputs!$Z37,Norm_Stats!$F$14),Norm_Stats!$G$14)-Norm_Stats!$F$14)/(Norm_Stats!$G$14-Norm_Stats!$F$14)))))="",0,0.7)+IF((IF(OR(City_Inputs!$AK37="",Norm_Stats!$F$15="",Norm_Stats!$G$15="",Norm_Stats!$G$15=Norm_Stats!$F$15),"",MAX(0,MIN(100,100*(Norm_Stats!$G$15-MIN(MAX(City_Inputs!$AK37,Norm_Stats!$F$15),Norm_Stats!$G$15))/(Norm_Stats!$G$15-Norm_Stats!$F$15)))))="",0,0.3))=0,"",(IF((IF(OR(City_Inputs!$Z37="",Norm_Stats!$F$14="",Norm_Stats!$G$14="",Norm_Stats!$G$14=Norm_Stats!$F$14),"",MAX(0,MIN(100,100*(MIN(MAX(City_Inputs!$Z37,Norm_Stats!$F$14),Norm_Stats!$G$14)-Norm_Stats!$F$14)/(Norm_Stats!$G$14-Norm_Stats!$F$14)))))="",0,(IF(OR(City_Inputs!$Z37="",Norm_Stats!$F$14="",Norm_Stats!$G$14="",Norm_Stats!$G$14=Norm_Stats!$F$14),"",MAX(0,MIN(100,100*(MIN(MAX(City_Inputs!$Z37,Norm_Stats!$F$14),Norm_Stats!$G$14)-Norm_Stats!$F$14)/(Norm_Stats!$G$14-Norm_Stats!$F$14)))))*0.7)+IF((IF(OR(City_Inputs!$AK37="",Norm_Stats!$F$15="",Norm_Stats!$G$15="",Norm_Stats!$G$15=Norm_Stats!$F$15),"",MAX(0,MIN(100,100*(Norm_Stats!$G$15-MIN(MAX(City_Inputs!$AK37,Norm_Stats!$F$15),Norm_Stats!$G$15))/(Norm_Stats!$G$15-Norm_Stats!$F$15)))))="",0,(IF(OR(City_Inputs!$AK37="",Norm_Stats!$F$15="",Norm_Stats!$G$15="",Norm_Stats!$G$15=Norm_Stats!$F$15),"",MAX(0,MIN(100,100*(Norm_Stats!$G$15-MIN(MAX(City_Inputs!$AK37,Norm_Stats!$F$15),Norm_Stats!$G$15))/(Norm_Stats!$G$15-Norm_Stats!$F$15)))))*0.3))/(IF((IF(OR(City_Inputs!$Z37="",Norm_Stats!$F$14="",Norm_Stats!$G$14="",Norm_Stats!$G$14=Norm_Stats!$F$14),"",MAX(0,MIN(100,100*(MIN(MAX(City_Inputs!$Z37,Norm_Stats!$F$14),Norm_Stats!$G$14)-Norm_Stats!$F$14)/(Norm_Stats!$G$14-Norm_Stats!$F$14)))))="",0,0.7)+IF((IF(OR(City_Inputs!$AK37="",Norm_Stats!$F$15="",Norm_Stats!$G$15="",Norm_Stats!$G$15=Norm_Stats!$F$15),"",MAX(0,MIN(100,100*(Norm_Stats!$G$15-MIN(MAX(City_Inputs!$AK37,Norm_Stats!$F$15),Norm_Stats!$G$15))/(Norm_Stats!$G$15-Norm_Stats!$F$15)))))="",0,0.3)))</f>
        <v/>
      </c>
      <c r="AJ37" s="14">
        <f>IF((IF((IF(OR(City_Inputs!$Z37="",Norm_Stats!$F$14="",Norm_Stats!$G$14="",Norm_Stats!$G$14=Norm_Stats!$F$14),"",MAX(0,MIN(100,100*(MIN(MAX(City_Inputs!$Z37,Norm_Stats!$F$14),Norm_Stats!$G$14)-Norm_Stats!$F$14)/(Norm_Stats!$G$14-Norm_Stats!$F$14)))))="",0,0.7)+IF((IF(OR(City_Inputs!$AK37="",Norm_Stats!$F$15="",Norm_Stats!$G$15="",Norm_Stats!$G$15=Norm_Stats!$F$15),"",MAX(0,MIN(100,100*(Norm_Stats!$G$15-MIN(MAX(City_Inputs!$AK37,Norm_Stats!$F$15),Norm_Stats!$G$15))/(Norm_Stats!$G$15-Norm_Stats!$F$15)))))="",0,0.3))=0,"",(IF((IF(OR(City_Inputs!$Z37="",Norm_Stats!$F$14="",Norm_Stats!$G$14="",Norm_Stats!$G$14=Norm_Stats!$F$14),"",MAX(0,MIN(100,100*(MIN(MAX(City_Inputs!$Z37,Norm_Stats!$F$14),Norm_Stats!$G$14)-Norm_Stats!$F$14)/(Norm_Stats!$G$14-Norm_Stats!$F$14)))))="",0,0.7)+IF((IF(OR(City_Inputs!$AK37="",Norm_Stats!$F$15="",Norm_Stats!$G$15="",Norm_Stats!$G$15=Norm_Stats!$F$15),"",MAX(0,MIN(100,100*(Norm_Stats!$G$15-MIN(MAX(City_Inputs!$AK37,Norm_Stats!$F$15),Norm_Stats!$G$15))/(Norm_Stats!$G$15-Norm_Stats!$F$15)))))="",0,0.3)))</f>
        <v/>
      </c>
      <c r="AK37" s="15">
        <f>IF((IF(AE37="",0,8)+IF(AG37="",0,6)+IF(AI37="",0,4))=0,"",(IF(AE37="",0,AE37*8)+IF(AG37="",0,AG37*6)+IF(AI37="",0,AI37*4))/(IF(AE37="",0,8)+IF(AG37="",0,6)+IF(AI37="",0,4)))</f>
        <v/>
      </c>
      <c r="AL37" s="14">
        <f>IF((IF(AF37="",0,8)+IF(AH37="",0,6)+IF(AJ37="",0,4))=0,"",(IF(AF37="",0,AF37*8)+IF(AH37="",0,AH37*6)+IF(AJ37="",0,AJ37*4))/18)</f>
        <v/>
      </c>
      <c r="AM37" s="11">
        <f>IF(OR(City_Inputs!$AA37="",Norm_Stats!$F$16="",Norm_Stats!$G$16="",Norm_Stats!$G$16=Norm_Stats!$F$16),"",MAX(0,MIN(100,100*(MIN(MAX(City_Inputs!$AA37,Norm_Stats!$F$16),Norm_Stats!$G$16)-Norm_Stats!$F$16)/(Norm_Stats!$G$16-Norm_Stats!$F$16))))</f>
        <v/>
      </c>
      <c r="AN37" s="14">
        <f>IF(AM37="","",1)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5">
        <f>IF((IF(AM37="",0,5)+IF(AO37="",0,5)+IF(AQ37="",0,5))=0,"",(IF(AM37="",0,AM37*5)+IF(AO37="",0,AO37*5)+IF(AQ37="",0,AQ37*5))/(IF(AM37="",0,5)+IF(AO37="",0,5)+IF(AQ37="",0,5)))</f>
        <v/>
      </c>
      <c r="AT37" s="14">
        <f>IF((IF(AN37="",0,5)+IF(AP37="",0,5)+IF(AR37="",0,5))=0,"",(IF(AN37="",0,AN37*5)+IF(AP37="",0,AP37*5)+IF(AR37="",0,AR37*5))/15)</f>
        <v/>
      </c>
      <c r="AU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V37" s="14">
        <f>IF(AU37="","",1)</f>
        <v/>
      </c>
      <c r="AW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X37" s="14">
        <f>IF(AW37="","",1)</f>
        <v/>
      </c>
      <c r="AY37" s="11">
        <f>IF((IF((IF(OR(City_Inputs!$AF37="",Norm_Stats!$F$21="",Norm_Stats!$G$21="",Norm_Stats!$G$21=Norm_Stats!$F$21),"",MAX(0,MIN(100,100*(MIN(MAX(City_Inputs!$AF37,Norm_Stats!$F$21),Norm_Stats!$G$21)-Norm_Stats!$F$21)/(Norm_Stats!$G$21-Norm_Stats!$F$21)))))="",0,0.5)+IF((IF(OR(City_Inputs!$AI37="",Norm_Stats!$F$22="",Norm_Stats!$G$22="",Norm_Stats!$G$22=Norm_Stats!$F$22),"",MAX(0,MIN(100,100*(MIN(MAX(City_Inputs!$AI37,Norm_Stats!$F$22),Norm_Stats!$G$22)-Norm_Stats!$F$22)/(Norm_Stats!$G$22-Norm_Stats!$F$22)))))="",0,0.3)+IF((IF(OR(City_Inputs!$AJ37="",Norm_Stats!$F$23="",Norm_Stats!$G$23="",Norm_Stats!$G$23=Norm_Stats!$F$23),"",MAX(0,MIN(100,100*(MIN(MAX(City_Inputs!$AJ37,Norm_Stats!$F$23),Norm_Stats!$G$23)-Norm_Stats!$F$23)/(Norm_Stats!$G$23-Norm_Stats!$F$23)))))="",0,0.2))=0,"",(IF((IF(OR(City_Inputs!$AF37="",Norm_Stats!$F$21="",Norm_Stats!$G$21="",Norm_Stats!$G$21=Norm_Stats!$F$21),"",MAX(0,MIN(100,100*(MIN(MAX(City_Inputs!$AF37,Norm_Stats!$F$21),Norm_Stats!$G$21)-Norm_Stats!$F$21)/(Norm_Stats!$G$21-Norm_Stats!$F$21)))))="",0,(IF(OR(City_Inputs!$AF37="",Norm_Stats!$F$21="",Norm_Stats!$G$21="",Norm_Stats!$G$21=Norm_Stats!$F$21),"",MAX(0,MIN(100,100*(MIN(MAX(City_Inputs!$AF37,Norm_Stats!$F$21),Norm_Stats!$G$21)-Norm_Stats!$F$21)/(Norm_Stats!$G$21-Norm_Stats!$F$21)))))*0.5)+IF((IF(OR(City_Inputs!$AI37="",Norm_Stats!$F$22="",Norm_Stats!$G$22="",Norm_Stats!$G$22=Norm_Stats!$F$22),"",MAX(0,MIN(100,100*(MIN(MAX(City_Inputs!$AI37,Norm_Stats!$F$22),Norm_Stats!$G$22)-Norm_Stats!$F$22)/(Norm_Stats!$G$22-Norm_Stats!$F$22)))))="",0,(IF(OR(City_Inputs!$AI37="",Norm_Stats!$F$22="",Norm_Stats!$G$22="",Norm_Stats!$G$22=Norm_Stats!$F$22),"",MAX(0,MIN(100,100*(MIN(MAX(City_Inputs!$AI37,Norm_Stats!$F$22),Norm_Stats!$G$22)-Norm_Stats!$F$22)/(Norm_Stats!$G$22-Norm_Stats!$F$22)))))*0.3)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0.2))/(IF((IF(OR(City_Inputs!$AF37="",Norm_Stats!$F$21="",Norm_Stats!$G$21="",Norm_Stats!$G$21=Norm_Stats!$F$21),"",MAX(0,MIN(100,100*(MIN(MAX(City_Inputs!$AF37,Norm_Stats!$F$21),Norm_Stats!$G$21)-Norm_Stats!$F$21)/(Norm_Stats!$G$21-Norm_Stats!$F$21)))))="",0,0.5)+IF((IF(OR(City_Inputs!$AI37="",Norm_Stats!$F$22="",Norm_Stats!$G$22="",Norm_Stats!$G$22=Norm_Stats!$F$22),"",MAX(0,MIN(100,100*(MIN(MAX(City_Inputs!$AI37,Norm_Stats!$F$22),Norm_Stats!$G$22)-Norm_Stats!$F$22)/(Norm_Stats!$G$22-Norm_Stats!$F$22)))))="",0,0.3)+IF((IF(OR(City_Inputs!$AJ37="",Norm_Stats!$F$23="",Norm_Stats!$G$23="",Norm_Stats!$G$23=Norm_Stats!$F$23),"",MAX(0,MIN(100,100*(MIN(MAX(City_Inputs!$AJ37,Norm_Stats!$F$23),Norm_Stats!$G$23)-Norm_Stats!$F$23)/(Norm_Stats!$G$23-Norm_Stats!$F$23)))))="",0,0.2)))</f>
        <v/>
      </c>
      <c r="AZ37" s="14">
        <f>IF((IF((IF(OR(City_Inputs!$AF37="",Norm_Stats!$F$21="",Norm_Stats!$G$21="",Norm_Stats!$G$21=Norm_Stats!$F$21),"",MAX(0,MIN(100,100*(MIN(MAX(City_Inputs!$AF37,Norm_Stats!$F$21),Norm_Stats!$G$21)-Norm_Stats!$F$21)/(Norm_Stats!$G$21-Norm_Stats!$F$21)))))="",0,0.5)+IF((IF(OR(City_Inputs!$AI37="",Norm_Stats!$F$22="",Norm_Stats!$G$22="",Norm_Stats!$G$22=Norm_Stats!$F$22),"",MAX(0,MIN(100,100*(MIN(MAX(City_Inputs!$AI37,Norm_Stats!$F$22),Norm_Stats!$G$22)-Norm_Stats!$F$22)/(Norm_Stats!$G$22-Norm_Stats!$F$22)))))="",0,0.3)+IF((IF(OR(City_Inputs!$AJ37="",Norm_Stats!$F$23="",Norm_Stats!$G$23="",Norm_Stats!$G$23=Norm_Stats!$F$23),"",MAX(0,MIN(100,100*(MIN(MAX(City_Inputs!$AJ37,Norm_Stats!$F$23),Norm_Stats!$G$23)-Norm_Stats!$F$23)/(Norm_Stats!$G$23-Norm_Stats!$F$23)))))="",0,0.2))=0,"",(IF((IF(OR(City_Inputs!$AF37="",Norm_Stats!$F$21="",Norm_Stats!$G$21="",Norm_Stats!$G$21=Norm_Stats!$F$21),"",MAX(0,MIN(100,100*(MIN(MAX(City_Inputs!$AF37,Norm_Stats!$F$21),Norm_Stats!$G$21)-Norm_Stats!$F$21)/(Norm_Stats!$G$21-Norm_Stats!$F$21)))))="",0,0.5)+IF((IF(OR(City_Inputs!$AI37="",Norm_Stats!$F$22="",Norm_Stats!$G$22="",Norm_Stats!$G$22=Norm_Stats!$F$22),"",MAX(0,MIN(100,100*(MIN(MAX(City_Inputs!$AI37,Norm_Stats!$F$22),Norm_Stats!$G$22)-Norm_Stats!$F$22)/(Norm_Stats!$G$22-Norm_Stats!$F$22)))))="",0,0.3)+IF((IF(OR(City_Inputs!$AJ37="",Norm_Stats!$F$23="",Norm_Stats!$G$23="",Norm_Stats!$G$23=Norm_Stats!$F$23),"",MAX(0,MIN(100,100*(MIN(MAX(City_Inputs!$AJ37,Norm_Stats!$F$23),Norm_Stats!$G$23)-Norm_Stats!$F$23)/(Norm_Stats!$G$23-Norm_Stats!$F$23)))))="",0,0.2)))</f>
        <v/>
      </c>
      <c r="BA37" s="11">
        <f>IF(OR(City_Inputs!$AG37="",Norm_Stats!$F$24="",Norm_Stats!$G$24="",Norm_Stats!$G$24=Norm_Stats!$F$24),"",MAX(0,MIN(100,100*(Norm_Stats!$G$24-MIN(MAX(City_Inputs!$AG37,Norm_Stats!$F$24),Norm_Stats!$G$24))/(Norm_Stats!$G$24-Norm_Stats!$F$24))))</f>
        <v/>
      </c>
      <c r="BB37" s="14">
        <f>IF(BA37="","",1)</f>
        <v/>
      </c>
      <c r="BC37" s="15">
        <f>IF((IF(AU37="",0,6)+IF(AW37="",0,5)+IF(AY37="",0,5)+IF(BA37="",0,4))=0,"",(IF(AU37="",0,AU37*6)+IF(AW37="",0,AW37*5)+IF(AY37="",0,AY37*5)+IF(BA37="",0,BA37*4))/(IF(AU37="",0,6)+IF(AW37="",0,5)+IF(AY37="",0,5)+IF(BA37="",0,4)))</f>
        <v/>
      </c>
      <c r="BD37" s="14">
        <f>IF((IF(AV37="",0,6)+IF(AX37="",0,5)+IF(AZ37="",0,5)+IF(BB37="",0,4))=0,"",(IF(AV37="",0,AV37*6)+IF(AX37="",0,AX37*5)+IF(AZ37="",0,AZ37*5)+IF(BB37="",0,BB37*4))/20)</f>
        <v/>
      </c>
      <c r="BE37" s="14">
        <f>IF(AND(R37="",AD37="",AL37="",AT37="",BD37=""),"",((R37*25)+(AD37*22)+(AL37*18)+(AT37*15)+(BD37*20))/100)</f>
        <v/>
      </c>
      <c r="BF37" s="11">
        <f>IF(BE37="","",IF(BE37&gt;=0.75,"A",IF(BE37&gt;=0.5,"B",IF(BE37&gt;=0.35,"C","Watchlist"))))</f>
        <v/>
      </c>
      <c r="BG37" s="11">
        <f>IF(OR(BE37="",BE37&lt;0.5,R37="",R37&lt;0.35,AD37="",AD37&lt;0.35,AL37="",AL37&lt;0.35,AT37="",AT37&lt;0.35,BD37="",BD37&lt;0.35),"Watchlist","Ranked")</f>
        <v/>
      </c>
      <c r="BH37" s="15">
        <f>IF(AND(Q37="",AC37="",AK37="",AS37="",BC37=""),"",(IF(Q37="",0,Q37*25)+IF(AC37="",0,AC37*22)+IF(AK37="",0,AK37*18)+IF(AS37="",0,AS37*15)+IF(BC37="",0,BC37*20))/(IF(Q37="",0,25)+IF(AC37="",0,22)+IF(AK37="",0,18)+IF(AS37="",0,15)+IF(BC37="",0,20)))</f>
        <v/>
      </c>
      <c r="BI37" s="11">
        <f>IF(BG37="Ranked",1+COUNTIFS($BG$2:$BG$101,"Ranked",$BH$2:$BH$101,"&gt;"&amp;BH37),"")</f>
        <v/>
      </c>
      <c r="BJ37" s="11">
        <f>City_Inputs!$AH37</f>
        <v/>
      </c>
    </row>
    <row r="38">
      <c r="A38" t="inlineStr">
        <is>
          <t>pt-porto</t>
        </is>
      </c>
      <c r="B38" t="inlineStr">
        <is>
          <t>Porto</t>
        </is>
      </c>
      <c r="C38" t="inlineStr">
        <is>
          <t>Portugal</t>
        </is>
      </c>
      <c r="D38" t="inlineStr">
        <is>
          <t>Western and Northern Europe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IF((IF(G38="",0,9)+IF(I38="",0,5)+IF(K38="",0,4)+IF(M38="",0,4)+IF(O38="",0,3))=0,"",(IF(G38="",0,G38*9)+IF(I38="",0,I38*5)+IF(K38="",0,K38*4)+IF(M38="",0,M38*4)+IF(O38="",0,O38*3))/(IF(G38="",0,9)+IF(I38="",0,5)+IF(K38="",0,4)+IF(M38="",0,4)+IF(O38="",0,3)))</f>
        <v/>
      </c>
      <c r="R38" s="14">
        <f>IF((IF(H38="",0,9)+IF(J38="",0,5)+IF(L38="",0,4)+IF(N38="",0,4)+IF(P38="",0,3))=0,"",(IF(H38="",0,H38*9)+IF(J38="",0,J38*5)+IF(L38="",0,L38*4)+IF(N38="",0,N38*4)+IF(P38="",0,P38*3))/25)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5">
        <f>IF((IF(S38="",0,5)+IF(U38="",0,5)+IF(W38="",0,4)+IF(Y38="",0,4)+IF(AA38="",0,4))=0,"",(IF(S38="",0,S38*5)+IF(U38="",0,U38*5)+IF(W38="",0,W38*4)+IF(Y38="",0,Y38*4)+IF(AA38="",0,AA38*4))/(IF(S38="",0,5)+IF(U38="",0,5)+IF(W38="",0,4)+IF(Y38="",0,4)+IF(AA38="",0,4)))</f>
        <v/>
      </c>
      <c r="AD38" s="14">
        <f>IF((IF(T38="",0,5)+IF(V38="",0,5)+IF(X38="",0,4)+IF(Z38="",0,4)+IF(AB38="",0,4))=0,"",(IF(T38="",0,T38*5)+IF(V38="",0,V38*5)+IF(X38="",0,X38*4)+IF(Z38="",0,Z38*4)+IF(AB38="",0,AB38*4))/22)</f>
        <v/>
      </c>
      <c r="AE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F38" s="14">
        <f>IF(AE38="","",1)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(IF((IF(OR(City_Inputs!$Z38="",Norm_Stats!$F$14="",Norm_Stats!$G$14="",Norm_Stats!$G$14=Norm_Stats!$F$14),"",MAX(0,MIN(100,100*(MIN(MAX(City_Inputs!$Z38,Norm_Stats!$F$14),Norm_Stats!$G$14)-Norm_Stats!$F$14)/(Norm_Stats!$G$14-Norm_Stats!$F$14)))))="",0,0.7)+IF((IF(OR(City_Inputs!$AK38="",Norm_Stats!$F$15="",Norm_Stats!$G$15="",Norm_Stats!$G$15=Norm_Stats!$F$15),"",MAX(0,MIN(100,100*(Norm_Stats!$G$15-MIN(MAX(City_Inputs!$AK38,Norm_Stats!$F$15),Norm_Stats!$G$15))/(Norm_Stats!$G$15-Norm_Stats!$F$15)))))="",0,0.3))=0,"",(IF((IF(OR(City_Inputs!$Z38="",Norm_Stats!$F$14="",Norm_Stats!$G$14="",Norm_Stats!$G$14=Norm_Stats!$F$14),"",MAX(0,MIN(100,100*(MIN(MAX(City_Inputs!$Z38,Norm_Stats!$F$14),Norm_Stats!$G$14)-Norm_Stats!$F$14)/(Norm_Stats!$G$14-Norm_Stats!$F$14)))))="",0,(IF(OR(City_Inputs!$Z38="",Norm_Stats!$F$14="",Norm_Stats!$G$14="",Norm_Stats!$G$14=Norm_Stats!$F$14),"",MAX(0,MIN(100,100*(MIN(MAX(City_Inputs!$Z38,Norm_Stats!$F$14),Norm_Stats!$G$14)-Norm_Stats!$F$14)/(Norm_Stats!$G$14-Norm_Stats!$F$14)))))*0.7)+IF((IF(OR(City_Inputs!$AK38="",Norm_Stats!$F$15="",Norm_Stats!$G$15="",Norm_Stats!$G$15=Norm_Stats!$F$15),"",MAX(0,MIN(100,100*(Norm_Stats!$G$15-MIN(MAX(City_Inputs!$AK38,Norm_Stats!$F$15),Norm_Stats!$G$15))/(Norm_Stats!$G$15-Norm_Stats!$F$15)))))="",0,(IF(OR(City_Inputs!$AK38="",Norm_Stats!$F$15="",Norm_Stats!$G$15="",Norm_Stats!$G$15=Norm_Stats!$F$15),"",MAX(0,MIN(100,100*(Norm_Stats!$G$15-MIN(MAX(City_Inputs!$AK38,Norm_Stats!$F$15),Norm_Stats!$G$15))/(Norm_Stats!$G$15-Norm_Stats!$F$15)))))*0.3))/(IF((IF(OR(City_Inputs!$Z38="",Norm_Stats!$F$14="",Norm_Stats!$G$14="",Norm_Stats!$G$14=Norm_Stats!$F$14),"",MAX(0,MIN(100,100*(MIN(MAX(City_Inputs!$Z38,Norm_Stats!$F$14),Norm_Stats!$G$14)-Norm_Stats!$F$14)/(Norm_Stats!$G$14-Norm_Stats!$F$14)))))="",0,0.7)+IF((IF(OR(City_Inputs!$AK38="",Norm_Stats!$F$15="",Norm_Stats!$G$15="",Norm_Stats!$G$15=Norm_Stats!$F$15),"",MAX(0,MIN(100,100*(Norm_Stats!$G$15-MIN(MAX(City_Inputs!$AK38,Norm_Stats!$F$15),Norm_Stats!$G$15))/(Norm_Stats!$G$15-Norm_Stats!$F$15)))))="",0,0.3)))</f>
        <v/>
      </c>
      <c r="AJ38" s="14">
        <f>IF((IF((IF(OR(City_Inputs!$Z38="",Norm_Stats!$F$14="",Norm_Stats!$G$14="",Norm_Stats!$G$14=Norm_Stats!$F$14),"",MAX(0,MIN(100,100*(MIN(MAX(City_Inputs!$Z38,Norm_Stats!$F$14),Norm_Stats!$G$14)-Norm_Stats!$F$14)/(Norm_Stats!$G$14-Norm_Stats!$F$14)))))="",0,0.7)+IF((IF(OR(City_Inputs!$AK38="",Norm_Stats!$F$15="",Norm_Stats!$G$15="",Norm_Stats!$G$15=Norm_Stats!$F$15),"",MAX(0,MIN(100,100*(Norm_Stats!$G$15-MIN(MAX(City_Inputs!$AK38,Norm_Stats!$F$15),Norm_Stats!$G$15))/(Norm_Stats!$G$15-Norm_Stats!$F$15)))))="",0,0.3))=0,"",(IF((IF(OR(City_Inputs!$Z38="",Norm_Stats!$F$14="",Norm_Stats!$G$14="",Norm_Stats!$G$14=Norm_Stats!$F$14),"",MAX(0,MIN(100,100*(MIN(MAX(City_Inputs!$Z38,Norm_Stats!$F$14),Norm_Stats!$G$14)-Norm_Stats!$F$14)/(Norm_Stats!$G$14-Norm_Stats!$F$14)))))="",0,0.7)+IF((IF(OR(City_Inputs!$AK38="",Norm_Stats!$F$15="",Norm_Stats!$G$15="",Norm_Stats!$G$15=Norm_Stats!$F$15),"",MAX(0,MIN(100,100*(Norm_Stats!$G$15-MIN(MAX(City_Inputs!$AK38,Norm_Stats!$F$15),Norm_Stats!$G$15))/(Norm_Stats!$G$15-Norm_Stats!$F$15)))))="",0,0.3)))</f>
        <v/>
      </c>
      <c r="AK38" s="15">
        <f>IF((IF(AE38="",0,8)+IF(AG38="",0,6)+IF(AI38="",0,4))=0,"",(IF(AE38="",0,AE38*8)+IF(AG38="",0,AG38*6)+IF(AI38="",0,AI38*4))/(IF(AE38="",0,8)+IF(AG38="",0,6)+IF(AI38="",0,4)))</f>
        <v/>
      </c>
      <c r="AL38" s="14">
        <f>IF((IF(AF38="",0,8)+IF(AH38="",0,6)+IF(AJ38="",0,4))=0,"",(IF(AF38="",0,AF38*8)+IF(AH38="",0,AH38*6)+IF(AJ38="",0,AJ38*4))/18)</f>
        <v/>
      </c>
      <c r="AM38" s="11">
        <f>IF(OR(City_Inputs!$AA38="",Norm_Stats!$F$16="",Norm_Stats!$G$16="",Norm_Stats!$G$16=Norm_Stats!$F$16),"",MAX(0,MIN(100,100*(MIN(MAX(City_Inputs!$AA38,Norm_Stats!$F$16),Norm_Stats!$G$16)-Norm_Stats!$F$16)/(Norm_Stats!$G$16-Norm_Stats!$F$16))))</f>
        <v/>
      </c>
      <c r="AN38" s="14">
        <f>IF(AM38="","",1)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5">
        <f>IF((IF(AM38="",0,5)+IF(AO38="",0,5)+IF(AQ38="",0,5))=0,"",(IF(AM38="",0,AM38*5)+IF(AO38="",0,AO38*5)+IF(AQ38="",0,AQ38*5))/(IF(AM38="",0,5)+IF(AO38="",0,5)+IF(AQ38="",0,5)))</f>
        <v/>
      </c>
      <c r="AT38" s="14">
        <f>IF((IF(AN38="",0,5)+IF(AP38="",0,5)+IF(AR38="",0,5))=0,"",(IF(AN38="",0,AN38*5)+IF(AP38="",0,AP38*5)+IF(AR38="",0,AR38*5))/15)</f>
        <v/>
      </c>
      <c r="AU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V38" s="14">
        <f>IF(AU38="","",1)</f>
        <v/>
      </c>
      <c r="AW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X38" s="14">
        <f>IF(AW38="","",1)</f>
        <v/>
      </c>
      <c r="AY38" s="11">
        <f>IF((IF((IF(OR(City_Inputs!$AF38="",Norm_Stats!$F$21="",Norm_Stats!$G$21="",Norm_Stats!$G$21=Norm_Stats!$F$21),"",MAX(0,MIN(100,100*(MIN(MAX(City_Inputs!$AF38,Norm_Stats!$F$21),Norm_Stats!$G$21)-Norm_Stats!$F$21)/(Norm_Stats!$G$21-Norm_Stats!$F$21)))))="",0,0.5)+IF((IF(OR(City_Inputs!$AI38="",Norm_Stats!$F$22="",Norm_Stats!$G$22="",Norm_Stats!$G$22=Norm_Stats!$F$22),"",MAX(0,MIN(100,100*(MIN(MAX(City_Inputs!$AI38,Norm_Stats!$F$22),Norm_Stats!$G$22)-Norm_Stats!$F$22)/(Norm_Stats!$G$22-Norm_Stats!$F$22)))))="",0,0.3)+IF((IF(OR(City_Inputs!$AJ38="",Norm_Stats!$F$23="",Norm_Stats!$G$23="",Norm_Stats!$G$23=Norm_Stats!$F$23),"",MAX(0,MIN(100,100*(MIN(MAX(City_Inputs!$AJ38,Norm_Stats!$F$23),Norm_Stats!$G$23)-Norm_Stats!$F$23)/(Norm_Stats!$G$23-Norm_Stats!$F$23)))))="",0,0.2))=0,"",(IF((IF(OR(City_Inputs!$AF38="",Norm_Stats!$F$21="",Norm_Stats!$G$21="",Norm_Stats!$G$21=Norm_Stats!$F$21),"",MAX(0,MIN(100,100*(MIN(MAX(City_Inputs!$AF38,Norm_Stats!$F$21),Norm_Stats!$G$21)-Norm_Stats!$F$21)/(Norm_Stats!$G$21-Norm_Stats!$F$21)))))="",0,(IF(OR(City_Inputs!$AF38="",Norm_Stats!$F$21="",Norm_Stats!$G$21="",Norm_Stats!$G$21=Norm_Stats!$F$21),"",MAX(0,MIN(100,100*(MIN(MAX(City_Inputs!$AF38,Norm_Stats!$F$21),Norm_Stats!$G$21)-Norm_Stats!$F$21)/(Norm_Stats!$G$21-Norm_Stats!$F$21)))))*0.5)+IF((IF(OR(City_Inputs!$AI38="",Norm_Stats!$F$22="",Norm_Stats!$G$22="",Norm_Stats!$G$22=Norm_Stats!$F$22),"",MAX(0,MIN(100,100*(MIN(MAX(City_Inputs!$AI38,Norm_Stats!$F$22),Norm_Stats!$G$22)-Norm_Stats!$F$22)/(Norm_Stats!$G$22-Norm_Stats!$F$22)))))="",0,(IF(OR(City_Inputs!$AI38="",Norm_Stats!$F$22="",Norm_Stats!$G$22="",Norm_Stats!$G$22=Norm_Stats!$F$22),"",MAX(0,MIN(100,100*(MIN(MAX(City_Inputs!$AI38,Norm_Stats!$F$22),Norm_Stats!$G$22)-Norm_Stats!$F$22)/(Norm_Stats!$G$22-Norm_Stats!$F$22)))))*0.3)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0.2))/(IF((IF(OR(City_Inputs!$AF38="",Norm_Stats!$F$21="",Norm_Stats!$G$21="",Norm_Stats!$G$21=Norm_Stats!$F$21),"",MAX(0,MIN(100,100*(MIN(MAX(City_Inputs!$AF38,Norm_Stats!$F$21),Norm_Stats!$G$21)-Norm_Stats!$F$21)/(Norm_Stats!$G$21-Norm_Stats!$F$21)))))="",0,0.5)+IF((IF(OR(City_Inputs!$AI38="",Norm_Stats!$F$22="",Norm_Stats!$G$22="",Norm_Stats!$G$22=Norm_Stats!$F$22),"",MAX(0,MIN(100,100*(MIN(MAX(City_Inputs!$AI38,Norm_Stats!$F$22),Norm_Stats!$G$22)-Norm_Stats!$F$22)/(Norm_Stats!$G$22-Norm_Stats!$F$22)))))="",0,0.3)+IF((IF(OR(City_Inputs!$AJ38="",Norm_Stats!$F$23="",Norm_Stats!$G$23="",Norm_Stats!$G$23=Norm_Stats!$F$23),"",MAX(0,MIN(100,100*(MIN(MAX(City_Inputs!$AJ38,Norm_Stats!$F$23),Norm_Stats!$G$23)-Norm_Stats!$F$23)/(Norm_Stats!$G$23-Norm_Stats!$F$23)))))="",0,0.2)))</f>
        <v/>
      </c>
      <c r="AZ38" s="14">
        <f>IF((IF((IF(OR(City_Inputs!$AF38="",Norm_Stats!$F$21="",Norm_Stats!$G$21="",Norm_Stats!$G$21=Norm_Stats!$F$21),"",MAX(0,MIN(100,100*(MIN(MAX(City_Inputs!$AF38,Norm_Stats!$F$21),Norm_Stats!$G$21)-Norm_Stats!$F$21)/(Norm_Stats!$G$21-Norm_Stats!$F$21)))))="",0,0.5)+IF((IF(OR(City_Inputs!$AI38="",Norm_Stats!$F$22="",Norm_Stats!$G$22="",Norm_Stats!$G$22=Norm_Stats!$F$22),"",MAX(0,MIN(100,100*(MIN(MAX(City_Inputs!$AI38,Norm_Stats!$F$22),Norm_Stats!$G$22)-Norm_Stats!$F$22)/(Norm_Stats!$G$22-Norm_Stats!$F$22)))))="",0,0.3)+IF((IF(OR(City_Inputs!$AJ38="",Norm_Stats!$F$23="",Norm_Stats!$G$23="",Norm_Stats!$G$23=Norm_Stats!$F$23),"",MAX(0,MIN(100,100*(MIN(MAX(City_Inputs!$AJ38,Norm_Stats!$F$23),Norm_Stats!$G$23)-Norm_Stats!$F$23)/(Norm_Stats!$G$23-Norm_Stats!$F$23)))))="",0,0.2))=0,"",(IF((IF(OR(City_Inputs!$AF38="",Norm_Stats!$F$21="",Norm_Stats!$G$21="",Norm_Stats!$G$21=Norm_Stats!$F$21),"",MAX(0,MIN(100,100*(MIN(MAX(City_Inputs!$AF38,Norm_Stats!$F$21),Norm_Stats!$G$21)-Norm_Stats!$F$21)/(Norm_Stats!$G$21-Norm_Stats!$F$21)))))="",0,0.5)+IF((IF(OR(City_Inputs!$AI38="",Norm_Stats!$F$22="",Norm_Stats!$G$22="",Norm_Stats!$G$22=Norm_Stats!$F$22),"",MAX(0,MIN(100,100*(MIN(MAX(City_Inputs!$AI38,Norm_Stats!$F$22),Norm_Stats!$G$22)-Norm_Stats!$F$22)/(Norm_Stats!$G$22-Norm_Stats!$F$22)))))="",0,0.3)+IF((IF(OR(City_Inputs!$AJ38="",Norm_Stats!$F$23="",Norm_Stats!$G$23="",Norm_Stats!$G$23=Norm_Stats!$F$23),"",MAX(0,MIN(100,100*(MIN(MAX(City_Inputs!$AJ38,Norm_Stats!$F$23),Norm_Stats!$G$23)-Norm_Stats!$F$23)/(Norm_Stats!$G$23-Norm_Stats!$F$23)))))="",0,0.2)))</f>
        <v/>
      </c>
      <c r="BA38" s="11">
        <f>IF(OR(City_Inputs!$AG38="",Norm_Stats!$F$24="",Norm_Stats!$G$24="",Norm_Stats!$G$24=Norm_Stats!$F$24),"",MAX(0,MIN(100,100*(Norm_Stats!$G$24-MIN(MAX(City_Inputs!$AG38,Norm_Stats!$F$24),Norm_Stats!$G$24))/(Norm_Stats!$G$24-Norm_Stats!$F$24))))</f>
        <v/>
      </c>
      <c r="BB38" s="14">
        <f>IF(BA38="","",1)</f>
        <v/>
      </c>
      <c r="BC38" s="15">
        <f>IF((IF(AU38="",0,6)+IF(AW38="",0,5)+IF(AY38="",0,5)+IF(BA38="",0,4))=0,"",(IF(AU38="",0,AU38*6)+IF(AW38="",0,AW38*5)+IF(AY38="",0,AY38*5)+IF(BA38="",0,BA38*4))/(IF(AU38="",0,6)+IF(AW38="",0,5)+IF(AY38="",0,5)+IF(BA38="",0,4)))</f>
        <v/>
      </c>
      <c r="BD38" s="14">
        <f>IF((IF(AV38="",0,6)+IF(AX38="",0,5)+IF(AZ38="",0,5)+IF(BB38="",0,4))=0,"",(IF(AV38="",0,AV38*6)+IF(AX38="",0,AX38*5)+IF(AZ38="",0,AZ38*5)+IF(BB38="",0,BB38*4))/20)</f>
        <v/>
      </c>
      <c r="BE38" s="14">
        <f>IF(AND(R38="",AD38="",AL38="",AT38="",BD38=""),"",((R38*25)+(AD38*22)+(AL38*18)+(AT38*15)+(BD38*20))/100)</f>
        <v/>
      </c>
      <c r="BF38" s="11">
        <f>IF(BE38="","",IF(BE38&gt;=0.75,"A",IF(BE38&gt;=0.5,"B",IF(BE38&gt;=0.35,"C","Watchlist"))))</f>
        <v/>
      </c>
      <c r="BG38" s="11">
        <f>IF(OR(BE38="",BE38&lt;0.5,R38="",R38&lt;0.35,AD38="",AD38&lt;0.35,AL38="",AL38&lt;0.35,AT38="",AT38&lt;0.35,BD38="",BD38&lt;0.35),"Watchlist","Ranked")</f>
        <v/>
      </c>
      <c r="BH38" s="15">
        <f>IF(AND(Q38="",AC38="",AK38="",AS38="",BC38=""),"",(IF(Q38="",0,Q38*25)+IF(AC38="",0,AC38*22)+IF(AK38="",0,AK38*18)+IF(AS38="",0,AS38*15)+IF(BC38="",0,BC38*20))/(IF(Q38="",0,25)+IF(AC38="",0,22)+IF(AK38="",0,18)+IF(AS38="",0,15)+IF(BC38="",0,20)))</f>
        <v/>
      </c>
      <c r="BI38" s="11">
        <f>IF(BG38="Ranked",1+COUNTIFS($BG$2:$BG$101,"Ranked",$BH$2:$BH$101,"&gt;"&amp;BH38),"")</f>
        <v/>
      </c>
      <c r="BJ38" s="11">
        <f>City_Inputs!$AH38</f>
        <v/>
      </c>
    </row>
    <row r="39">
      <c r="A39" t="inlineStr">
        <is>
          <t>pt-braga</t>
        </is>
      </c>
      <c r="B39" t="inlineStr">
        <is>
          <t>Braga</t>
        </is>
      </c>
      <c r="C39" t="inlineStr">
        <is>
          <t>Portugal</t>
        </is>
      </c>
      <c r="D39" t="inlineStr">
        <is>
          <t>Western and Northern Europe</t>
        </is>
      </c>
      <c r="E39" t="inlineStr">
        <is>
          <t>locked</t>
        </is>
      </c>
      <c r="F39" t="inlineStr">
        <is>
          <t>secondary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IF((IF(G39="",0,9)+IF(I39="",0,5)+IF(K39="",0,4)+IF(M39="",0,4)+IF(O39="",0,3))=0,"",(IF(G39="",0,G39*9)+IF(I39="",0,I39*5)+IF(K39="",0,K39*4)+IF(M39="",0,M39*4)+IF(O39="",0,O39*3))/(IF(G39="",0,9)+IF(I39="",0,5)+IF(K39="",0,4)+IF(M39="",0,4)+IF(O39="",0,3)))</f>
        <v/>
      </c>
      <c r="R39" s="14">
        <f>IF((IF(H39="",0,9)+IF(J39="",0,5)+IF(L39="",0,4)+IF(N39="",0,4)+IF(P39="",0,3))=0,"",(IF(H39="",0,H39*9)+IF(J39="",0,J39*5)+IF(L39="",0,L39*4)+IF(N39="",0,N39*4)+IF(P39="",0,P39*3))/25)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5">
        <f>IF((IF(S39="",0,5)+IF(U39="",0,5)+IF(W39="",0,4)+IF(Y39="",0,4)+IF(AA39="",0,4))=0,"",(IF(S39="",0,S39*5)+IF(U39="",0,U39*5)+IF(W39="",0,W39*4)+IF(Y39="",0,Y39*4)+IF(AA39="",0,AA39*4))/(IF(S39="",0,5)+IF(U39="",0,5)+IF(W39="",0,4)+IF(Y39="",0,4)+IF(AA39="",0,4)))</f>
        <v/>
      </c>
      <c r="AD39" s="14">
        <f>IF((IF(T39="",0,5)+IF(V39="",0,5)+IF(X39="",0,4)+IF(Z39="",0,4)+IF(AB39="",0,4))=0,"",(IF(T39="",0,T39*5)+IF(V39="",0,V39*5)+IF(X39="",0,X39*4)+IF(Z39="",0,Z39*4)+IF(AB39="",0,AB39*4))/22)</f>
        <v/>
      </c>
      <c r="AE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F39" s="14">
        <f>IF(AE39="","",1)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(IF((IF(OR(City_Inputs!$Z39="",Norm_Stats!$F$14="",Norm_Stats!$G$14="",Norm_Stats!$G$14=Norm_Stats!$F$14),"",MAX(0,MIN(100,100*(MIN(MAX(City_Inputs!$Z39,Norm_Stats!$F$14),Norm_Stats!$G$14)-Norm_Stats!$F$14)/(Norm_Stats!$G$14-Norm_Stats!$F$14)))))="",0,0.7)+IF((IF(OR(City_Inputs!$AK39="",Norm_Stats!$F$15="",Norm_Stats!$G$15="",Norm_Stats!$G$15=Norm_Stats!$F$15),"",MAX(0,MIN(100,100*(Norm_Stats!$G$15-MIN(MAX(City_Inputs!$AK39,Norm_Stats!$F$15),Norm_Stats!$G$15))/(Norm_Stats!$G$15-Norm_Stats!$F$15)))))="",0,0.3))=0,"",(IF((IF(OR(City_Inputs!$Z39="",Norm_Stats!$F$14="",Norm_Stats!$G$14="",Norm_Stats!$G$14=Norm_Stats!$F$14),"",MAX(0,MIN(100,100*(MIN(MAX(City_Inputs!$Z39,Norm_Stats!$F$14),Norm_Stats!$G$14)-Norm_Stats!$F$14)/(Norm_Stats!$G$14-Norm_Stats!$F$14)))))="",0,(IF(OR(City_Inputs!$Z39="",Norm_Stats!$F$14="",Norm_Stats!$G$14="",Norm_Stats!$G$14=Norm_Stats!$F$14),"",MAX(0,MIN(100,100*(MIN(MAX(City_Inputs!$Z39,Norm_Stats!$F$14),Norm_Stats!$G$14)-Norm_Stats!$F$14)/(Norm_Stats!$G$14-Norm_Stats!$F$14)))))*0.7)+IF((IF(OR(City_Inputs!$AK39="",Norm_Stats!$F$15="",Norm_Stats!$G$15="",Norm_Stats!$G$15=Norm_Stats!$F$15),"",MAX(0,MIN(100,100*(Norm_Stats!$G$15-MIN(MAX(City_Inputs!$AK39,Norm_Stats!$F$15),Norm_Stats!$G$15))/(Norm_Stats!$G$15-Norm_Stats!$F$15)))))="",0,(IF(OR(City_Inputs!$AK39="",Norm_Stats!$F$15="",Norm_Stats!$G$15="",Norm_Stats!$G$15=Norm_Stats!$F$15),"",MAX(0,MIN(100,100*(Norm_Stats!$G$15-MIN(MAX(City_Inputs!$AK39,Norm_Stats!$F$15),Norm_Stats!$G$15))/(Norm_Stats!$G$15-Norm_Stats!$F$15)))))*0.3))/(IF((IF(OR(City_Inputs!$Z39="",Norm_Stats!$F$14="",Norm_Stats!$G$14="",Norm_Stats!$G$14=Norm_Stats!$F$14),"",MAX(0,MIN(100,100*(MIN(MAX(City_Inputs!$Z39,Norm_Stats!$F$14),Norm_Stats!$G$14)-Norm_Stats!$F$14)/(Norm_Stats!$G$14-Norm_Stats!$F$14)))))="",0,0.7)+IF((IF(OR(City_Inputs!$AK39="",Norm_Stats!$F$15="",Norm_Stats!$G$15="",Norm_Stats!$G$15=Norm_Stats!$F$15),"",MAX(0,MIN(100,100*(Norm_Stats!$G$15-MIN(MAX(City_Inputs!$AK39,Norm_Stats!$F$15),Norm_Stats!$G$15))/(Norm_Stats!$G$15-Norm_Stats!$F$15)))))="",0,0.3)))</f>
        <v/>
      </c>
      <c r="AJ39" s="14">
        <f>IF((IF((IF(OR(City_Inputs!$Z39="",Norm_Stats!$F$14="",Norm_Stats!$G$14="",Norm_Stats!$G$14=Norm_Stats!$F$14),"",MAX(0,MIN(100,100*(MIN(MAX(City_Inputs!$Z39,Norm_Stats!$F$14),Norm_Stats!$G$14)-Norm_Stats!$F$14)/(Norm_Stats!$G$14-Norm_Stats!$F$14)))))="",0,0.7)+IF((IF(OR(City_Inputs!$AK39="",Norm_Stats!$F$15="",Norm_Stats!$G$15="",Norm_Stats!$G$15=Norm_Stats!$F$15),"",MAX(0,MIN(100,100*(Norm_Stats!$G$15-MIN(MAX(City_Inputs!$AK39,Norm_Stats!$F$15),Norm_Stats!$G$15))/(Norm_Stats!$G$15-Norm_Stats!$F$15)))))="",0,0.3))=0,"",(IF((IF(OR(City_Inputs!$Z39="",Norm_Stats!$F$14="",Norm_Stats!$G$14="",Norm_Stats!$G$14=Norm_Stats!$F$14),"",MAX(0,MIN(100,100*(MIN(MAX(City_Inputs!$Z39,Norm_Stats!$F$14),Norm_Stats!$G$14)-Norm_Stats!$F$14)/(Norm_Stats!$G$14-Norm_Stats!$F$14)))))="",0,0.7)+IF((IF(OR(City_Inputs!$AK39="",Norm_Stats!$F$15="",Norm_Stats!$G$15="",Norm_Stats!$G$15=Norm_Stats!$F$15),"",MAX(0,MIN(100,100*(Norm_Stats!$G$15-MIN(MAX(City_Inputs!$AK39,Norm_Stats!$F$15),Norm_Stats!$G$15))/(Norm_Stats!$G$15-Norm_Stats!$F$15)))))="",0,0.3)))</f>
        <v/>
      </c>
      <c r="AK39" s="15">
        <f>IF((IF(AE39="",0,8)+IF(AG39="",0,6)+IF(AI39="",0,4))=0,"",(IF(AE39="",0,AE39*8)+IF(AG39="",0,AG39*6)+IF(AI39="",0,AI39*4))/(IF(AE39="",0,8)+IF(AG39="",0,6)+IF(AI39="",0,4)))</f>
        <v/>
      </c>
      <c r="AL39" s="14">
        <f>IF((IF(AF39="",0,8)+IF(AH39="",0,6)+IF(AJ39="",0,4))=0,"",(IF(AF39="",0,AF39*8)+IF(AH39="",0,AH39*6)+IF(AJ39="",0,AJ39*4))/18)</f>
        <v/>
      </c>
      <c r="AM39" s="11">
        <f>IF(OR(City_Inputs!$AA39="",Norm_Stats!$F$16="",Norm_Stats!$G$16="",Norm_Stats!$G$16=Norm_Stats!$F$16),"",MAX(0,MIN(100,100*(MIN(MAX(City_Inputs!$AA39,Norm_Stats!$F$16),Norm_Stats!$G$16)-Norm_Stats!$F$16)/(Norm_Stats!$G$16-Norm_Stats!$F$16))))</f>
        <v/>
      </c>
      <c r="AN39" s="14">
        <f>IF(AM39="","",1)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5">
        <f>IF((IF(AM39="",0,5)+IF(AO39="",0,5)+IF(AQ39="",0,5))=0,"",(IF(AM39="",0,AM39*5)+IF(AO39="",0,AO39*5)+IF(AQ39="",0,AQ39*5))/(IF(AM39="",0,5)+IF(AO39="",0,5)+IF(AQ39="",0,5)))</f>
        <v/>
      </c>
      <c r="AT39" s="14">
        <f>IF((IF(AN39="",0,5)+IF(AP39="",0,5)+IF(AR39="",0,5))=0,"",(IF(AN39="",0,AN39*5)+IF(AP39="",0,AP39*5)+IF(AR39="",0,AR39*5))/15)</f>
        <v/>
      </c>
      <c r="AU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V39" s="14">
        <f>IF(AU39="","",1)</f>
        <v/>
      </c>
      <c r="AW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X39" s="14">
        <f>IF(AW39="","",1)</f>
        <v/>
      </c>
      <c r="AY39" s="11">
        <f>IF((IF((IF(OR(City_Inputs!$AF39="",Norm_Stats!$F$21="",Norm_Stats!$G$21="",Norm_Stats!$G$21=Norm_Stats!$F$21),"",MAX(0,MIN(100,100*(MIN(MAX(City_Inputs!$AF39,Norm_Stats!$F$21),Norm_Stats!$G$21)-Norm_Stats!$F$21)/(Norm_Stats!$G$21-Norm_Stats!$F$21)))))="",0,0.5)+IF((IF(OR(City_Inputs!$AI39="",Norm_Stats!$F$22="",Norm_Stats!$G$22="",Norm_Stats!$G$22=Norm_Stats!$F$22),"",MAX(0,MIN(100,100*(MIN(MAX(City_Inputs!$AI39,Norm_Stats!$F$22),Norm_Stats!$G$22)-Norm_Stats!$F$22)/(Norm_Stats!$G$22-Norm_Stats!$F$22)))))="",0,0.3)+IF((IF(OR(City_Inputs!$AJ39="",Norm_Stats!$F$23="",Norm_Stats!$G$23="",Norm_Stats!$G$23=Norm_Stats!$F$23),"",MAX(0,MIN(100,100*(MIN(MAX(City_Inputs!$AJ39,Norm_Stats!$F$23),Norm_Stats!$G$23)-Norm_Stats!$F$23)/(Norm_Stats!$G$23-Norm_Stats!$F$23)))))="",0,0.2))=0,"",(IF((IF(OR(City_Inputs!$AF39="",Norm_Stats!$F$21="",Norm_Stats!$G$21="",Norm_Stats!$G$21=Norm_Stats!$F$21),"",MAX(0,MIN(100,100*(MIN(MAX(City_Inputs!$AF39,Norm_Stats!$F$21),Norm_Stats!$G$21)-Norm_Stats!$F$21)/(Norm_Stats!$G$21-Norm_Stats!$F$21)))))="",0,(IF(OR(City_Inputs!$AF39="",Norm_Stats!$F$21="",Norm_Stats!$G$21="",Norm_Stats!$G$21=Norm_Stats!$F$21),"",MAX(0,MIN(100,100*(MIN(MAX(City_Inputs!$AF39,Norm_Stats!$F$21),Norm_Stats!$G$21)-Norm_Stats!$F$21)/(Norm_Stats!$G$21-Norm_Stats!$F$21)))))*0.5)+IF((IF(OR(City_Inputs!$AI39="",Norm_Stats!$F$22="",Norm_Stats!$G$22="",Norm_Stats!$G$22=Norm_Stats!$F$22),"",MAX(0,MIN(100,100*(MIN(MAX(City_Inputs!$AI39,Norm_Stats!$F$22),Norm_Stats!$G$22)-Norm_Stats!$F$22)/(Norm_Stats!$G$22-Norm_Stats!$F$22)))))="",0,(IF(OR(City_Inputs!$AI39="",Norm_Stats!$F$22="",Norm_Stats!$G$22="",Norm_Stats!$G$22=Norm_Stats!$F$22),"",MAX(0,MIN(100,100*(MIN(MAX(City_Inputs!$AI39,Norm_Stats!$F$22),Norm_Stats!$G$22)-Norm_Stats!$F$22)/(Norm_Stats!$G$22-Norm_Stats!$F$22)))))*0.3)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0.2))/(IF((IF(OR(City_Inputs!$AF39="",Norm_Stats!$F$21="",Norm_Stats!$G$21="",Norm_Stats!$G$21=Norm_Stats!$F$21),"",MAX(0,MIN(100,100*(MIN(MAX(City_Inputs!$AF39,Norm_Stats!$F$21),Norm_Stats!$G$21)-Norm_Stats!$F$21)/(Norm_Stats!$G$21-Norm_Stats!$F$21)))))="",0,0.5)+IF((IF(OR(City_Inputs!$AI39="",Norm_Stats!$F$22="",Norm_Stats!$G$22="",Norm_Stats!$G$22=Norm_Stats!$F$22),"",MAX(0,MIN(100,100*(MIN(MAX(City_Inputs!$AI39,Norm_Stats!$F$22),Norm_Stats!$G$22)-Norm_Stats!$F$22)/(Norm_Stats!$G$22-Norm_Stats!$F$22)))))="",0,0.3)+IF((IF(OR(City_Inputs!$AJ39="",Norm_Stats!$F$23="",Norm_Stats!$G$23="",Norm_Stats!$G$23=Norm_Stats!$F$23),"",MAX(0,MIN(100,100*(MIN(MAX(City_Inputs!$AJ39,Norm_Stats!$F$23),Norm_Stats!$G$23)-Norm_Stats!$F$23)/(Norm_Stats!$G$23-Norm_Stats!$F$23)))))="",0,0.2)))</f>
        <v/>
      </c>
      <c r="AZ39" s="14">
        <f>IF((IF((IF(OR(City_Inputs!$AF39="",Norm_Stats!$F$21="",Norm_Stats!$G$21="",Norm_Stats!$G$21=Norm_Stats!$F$21),"",MAX(0,MIN(100,100*(MIN(MAX(City_Inputs!$AF39,Norm_Stats!$F$21),Norm_Stats!$G$21)-Norm_Stats!$F$21)/(Norm_Stats!$G$21-Norm_Stats!$F$21)))))="",0,0.5)+IF((IF(OR(City_Inputs!$AI39="",Norm_Stats!$F$22="",Norm_Stats!$G$22="",Norm_Stats!$G$22=Norm_Stats!$F$22),"",MAX(0,MIN(100,100*(MIN(MAX(City_Inputs!$AI39,Norm_Stats!$F$22),Norm_Stats!$G$22)-Norm_Stats!$F$22)/(Norm_Stats!$G$22-Norm_Stats!$F$22)))))="",0,0.3)+IF((IF(OR(City_Inputs!$AJ39="",Norm_Stats!$F$23="",Norm_Stats!$G$23="",Norm_Stats!$G$23=Norm_Stats!$F$23),"",MAX(0,MIN(100,100*(MIN(MAX(City_Inputs!$AJ39,Norm_Stats!$F$23),Norm_Stats!$G$23)-Norm_Stats!$F$23)/(Norm_Stats!$G$23-Norm_Stats!$F$23)))))="",0,0.2))=0,"",(IF((IF(OR(City_Inputs!$AF39="",Norm_Stats!$F$21="",Norm_Stats!$G$21="",Norm_Stats!$G$21=Norm_Stats!$F$21),"",MAX(0,MIN(100,100*(MIN(MAX(City_Inputs!$AF39,Norm_Stats!$F$21),Norm_Stats!$G$21)-Norm_Stats!$F$21)/(Norm_Stats!$G$21-Norm_Stats!$F$21)))))="",0,0.5)+IF((IF(OR(City_Inputs!$AI39="",Norm_Stats!$F$22="",Norm_Stats!$G$22="",Norm_Stats!$G$22=Norm_Stats!$F$22),"",MAX(0,MIN(100,100*(MIN(MAX(City_Inputs!$AI39,Norm_Stats!$F$22),Norm_Stats!$G$22)-Norm_Stats!$F$22)/(Norm_Stats!$G$22-Norm_Stats!$F$22)))))="",0,0.3)+IF((IF(OR(City_Inputs!$AJ39="",Norm_Stats!$F$23="",Norm_Stats!$G$23="",Norm_Stats!$G$23=Norm_Stats!$F$23),"",MAX(0,MIN(100,100*(MIN(MAX(City_Inputs!$AJ39,Norm_Stats!$F$23),Norm_Stats!$G$23)-Norm_Stats!$F$23)/(Norm_Stats!$G$23-Norm_Stats!$F$23)))))="",0,0.2)))</f>
        <v/>
      </c>
      <c r="BA39" s="11">
        <f>IF(OR(City_Inputs!$AG39="",Norm_Stats!$F$24="",Norm_Stats!$G$24="",Norm_Stats!$G$24=Norm_Stats!$F$24),"",MAX(0,MIN(100,100*(Norm_Stats!$G$24-MIN(MAX(City_Inputs!$AG39,Norm_Stats!$F$24),Norm_Stats!$G$24))/(Norm_Stats!$G$24-Norm_Stats!$F$24))))</f>
        <v/>
      </c>
      <c r="BB39" s="14">
        <f>IF(BA39="","",1)</f>
        <v/>
      </c>
      <c r="BC39" s="15">
        <f>IF((IF(AU39="",0,6)+IF(AW39="",0,5)+IF(AY39="",0,5)+IF(BA39="",0,4))=0,"",(IF(AU39="",0,AU39*6)+IF(AW39="",0,AW39*5)+IF(AY39="",0,AY39*5)+IF(BA39="",0,BA39*4))/(IF(AU39="",0,6)+IF(AW39="",0,5)+IF(AY39="",0,5)+IF(BA39="",0,4)))</f>
        <v/>
      </c>
      <c r="BD39" s="14">
        <f>IF((IF(AV39="",0,6)+IF(AX39="",0,5)+IF(AZ39="",0,5)+IF(BB39="",0,4))=0,"",(IF(AV39="",0,AV39*6)+IF(AX39="",0,AX39*5)+IF(AZ39="",0,AZ39*5)+IF(BB39="",0,BB39*4))/20)</f>
        <v/>
      </c>
      <c r="BE39" s="14">
        <f>IF(AND(R39="",AD39="",AL39="",AT39="",BD39=""),"",((R39*25)+(AD39*22)+(AL39*18)+(AT39*15)+(BD39*20))/100)</f>
        <v/>
      </c>
      <c r="BF39" s="11">
        <f>IF(BE39="","",IF(BE39&gt;=0.75,"A",IF(BE39&gt;=0.5,"B",IF(BE39&gt;=0.35,"C","Watchlist"))))</f>
        <v/>
      </c>
      <c r="BG39" s="11">
        <f>IF(OR(BE39="",BE39&lt;0.5,R39="",R39&lt;0.35,AD39="",AD39&lt;0.35,AL39="",AL39&lt;0.35,AT39="",AT39&lt;0.35,BD39="",BD39&lt;0.35),"Watchlist","Ranked")</f>
        <v/>
      </c>
      <c r="BH39" s="15">
        <f>IF(AND(Q39="",AC39="",AK39="",AS39="",BC39=""),"",(IF(Q39="",0,Q39*25)+IF(AC39="",0,AC39*22)+IF(AK39="",0,AK39*18)+IF(AS39="",0,AS39*15)+IF(BC39="",0,BC39*20))/(IF(Q39="",0,25)+IF(AC39="",0,22)+IF(AK39="",0,18)+IF(AS39="",0,15)+IF(BC39="",0,20)))</f>
        <v/>
      </c>
      <c r="BI39" s="11">
        <f>IF(BG39="Ranked",1+COUNTIFS($BG$2:$BG$101,"Ranked",$BH$2:$BH$101,"&gt;"&amp;BH39),"")</f>
        <v/>
      </c>
      <c r="BJ39" s="11">
        <f>City_Inputs!$AH39</f>
        <v/>
      </c>
    </row>
    <row r="40">
      <c r="A40" t="inlineStr">
        <is>
          <t>ee-tallinn</t>
        </is>
      </c>
      <c r="B40" t="inlineStr">
        <is>
          <t>Tallinn</t>
        </is>
      </c>
      <c r="C40" t="inlineStr">
        <is>
          <t>Estonia</t>
        </is>
      </c>
      <c r="D40" t="inlineStr">
        <is>
          <t>Western and Northern Europe</t>
        </is>
      </c>
      <c r="E40" t="inlineStr">
        <is>
          <t>locked</t>
        </is>
      </c>
      <c r="F40" t="inlineStr">
        <is>
          <t>secondary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IF((IF(G40="",0,9)+IF(I40="",0,5)+IF(K40="",0,4)+IF(M40="",0,4)+IF(O40="",0,3))=0,"",(IF(G40="",0,G40*9)+IF(I40="",0,I40*5)+IF(K40="",0,K40*4)+IF(M40="",0,M40*4)+IF(O40="",0,O40*3))/(IF(G40="",0,9)+IF(I40="",0,5)+IF(K40="",0,4)+IF(M40="",0,4)+IF(O40="",0,3)))</f>
        <v/>
      </c>
      <c r="R40" s="14">
        <f>IF((IF(H40="",0,9)+IF(J40="",0,5)+IF(L40="",0,4)+IF(N40="",0,4)+IF(P40="",0,3))=0,"",(IF(H40="",0,H40*9)+IF(J40="",0,J40*5)+IF(L40="",0,L40*4)+IF(N40="",0,N40*4)+IF(P40="",0,P40*3))/25)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5">
        <f>IF((IF(S40="",0,5)+IF(U40="",0,5)+IF(W40="",0,4)+IF(Y40="",0,4)+IF(AA40="",0,4))=0,"",(IF(S40="",0,S40*5)+IF(U40="",0,U40*5)+IF(W40="",0,W40*4)+IF(Y40="",0,Y40*4)+IF(AA40="",0,AA40*4))/(IF(S40="",0,5)+IF(U40="",0,5)+IF(W40="",0,4)+IF(Y40="",0,4)+IF(AA40="",0,4)))</f>
        <v/>
      </c>
      <c r="AD40" s="14">
        <f>IF((IF(T40="",0,5)+IF(V40="",0,5)+IF(X40="",0,4)+IF(Z40="",0,4)+IF(AB40="",0,4))=0,"",(IF(T40="",0,T40*5)+IF(V40="",0,V40*5)+IF(X40="",0,X40*4)+IF(Z40="",0,Z40*4)+IF(AB40="",0,AB40*4))/22)</f>
        <v/>
      </c>
      <c r="AE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F40" s="14">
        <f>IF(AE40="","",1)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(IF((IF(OR(City_Inputs!$Z40="",Norm_Stats!$F$14="",Norm_Stats!$G$14="",Norm_Stats!$G$14=Norm_Stats!$F$14),"",MAX(0,MIN(100,100*(MIN(MAX(City_Inputs!$Z40,Norm_Stats!$F$14),Norm_Stats!$G$14)-Norm_Stats!$F$14)/(Norm_Stats!$G$14-Norm_Stats!$F$14)))))="",0,0.7)+IF((IF(OR(City_Inputs!$AK40="",Norm_Stats!$F$15="",Norm_Stats!$G$15="",Norm_Stats!$G$15=Norm_Stats!$F$15),"",MAX(0,MIN(100,100*(Norm_Stats!$G$15-MIN(MAX(City_Inputs!$AK40,Norm_Stats!$F$15),Norm_Stats!$G$15))/(Norm_Stats!$G$15-Norm_Stats!$F$15)))))="",0,0.3))=0,"",(IF((IF(OR(City_Inputs!$Z40="",Norm_Stats!$F$14="",Norm_Stats!$G$14="",Norm_Stats!$G$14=Norm_Stats!$F$14),"",MAX(0,MIN(100,100*(MIN(MAX(City_Inputs!$Z40,Norm_Stats!$F$14),Norm_Stats!$G$14)-Norm_Stats!$F$14)/(Norm_Stats!$G$14-Norm_Stats!$F$14)))))="",0,(IF(OR(City_Inputs!$Z40="",Norm_Stats!$F$14="",Norm_Stats!$G$14="",Norm_Stats!$G$14=Norm_Stats!$F$14),"",MAX(0,MIN(100,100*(MIN(MAX(City_Inputs!$Z40,Norm_Stats!$F$14),Norm_Stats!$G$14)-Norm_Stats!$F$14)/(Norm_Stats!$G$14-Norm_Stats!$F$14)))))*0.7)+IF((IF(OR(City_Inputs!$AK40="",Norm_Stats!$F$15="",Norm_Stats!$G$15="",Norm_Stats!$G$15=Norm_Stats!$F$15),"",MAX(0,MIN(100,100*(Norm_Stats!$G$15-MIN(MAX(City_Inputs!$AK40,Norm_Stats!$F$15),Norm_Stats!$G$15))/(Norm_Stats!$G$15-Norm_Stats!$F$15)))))="",0,(IF(OR(City_Inputs!$AK40="",Norm_Stats!$F$15="",Norm_Stats!$G$15="",Norm_Stats!$G$15=Norm_Stats!$F$15),"",MAX(0,MIN(100,100*(Norm_Stats!$G$15-MIN(MAX(City_Inputs!$AK40,Norm_Stats!$F$15),Norm_Stats!$G$15))/(Norm_Stats!$G$15-Norm_Stats!$F$15)))))*0.3))/(IF((IF(OR(City_Inputs!$Z40="",Norm_Stats!$F$14="",Norm_Stats!$G$14="",Norm_Stats!$G$14=Norm_Stats!$F$14),"",MAX(0,MIN(100,100*(MIN(MAX(City_Inputs!$Z40,Norm_Stats!$F$14),Norm_Stats!$G$14)-Norm_Stats!$F$14)/(Norm_Stats!$G$14-Norm_Stats!$F$14)))))="",0,0.7)+IF((IF(OR(City_Inputs!$AK40="",Norm_Stats!$F$15="",Norm_Stats!$G$15="",Norm_Stats!$G$15=Norm_Stats!$F$15),"",MAX(0,MIN(100,100*(Norm_Stats!$G$15-MIN(MAX(City_Inputs!$AK40,Norm_Stats!$F$15),Norm_Stats!$G$15))/(Norm_Stats!$G$15-Norm_Stats!$F$15)))))="",0,0.3)))</f>
        <v/>
      </c>
      <c r="AJ40" s="14">
        <f>IF((IF((IF(OR(City_Inputs!$Z40="",Norm_Stats!$F$14="",Norm_Stats!$G$14="",Norm_Stats!$G$14=Norm_Stats!$F$14),"",MAX(0,MIN(100,100*(MIN(MAX(City_Inputs!$Z40,Norm_Stats!$F$14),Norm_Stats!$G$14)-Norm_Stats!$F$14)/(Norm_Stats!$G$14-Norm_Stats!$F$14)))))="",0,0.7)+IF((IF(OR(City_Inputs!$AK40="",Norm_Stats!$F$15="",Norm_Stats!$G$15="",Norm_Stats!$G$15=Norm_Stats!$F$15),"",MAX(0,MIN(100,100*(Norm_Stats!$G$15-MIN(MAX(City_Inputs!$AK40,Norm_Stats!$F$15),Norm_Stats!$G$15))/(Norm_Stats!$G$15-Norm_Stats!$F$15)))))="",0,0.3))=0,"",(IF((IF(OR(City_Inputs!$Z40="",Norm_Stats!$F$14="",Norm_Stats!$G$14="",Norm_Stats!$G$14=Norm_Stats!$F$14),"",MAX(0,MIN(100,100*(MIN(MAX(City_Inputs!$Z40,Norm_Stats!$F$14),Norm_Stats!$G$14)-Norm_Stats!$F$14)/(Norm_Stats!$G$14-Norm_Stats!$F$14)))))="",0,0.7)+IF((IF(OR(City_Inputs!$AK40="",Norm_Stats!$F$15="",Norm_Stats!$G$15="",Norm_Stats!$G$15=Norm_Stats!$F$15),"",MAX(0,MIN(100,100*(Norm_Stats!$G$15-MIN(MAX(City_Inputs!$AK40,Norm_Stats!$F$15),Norm_Stats!$G$15))/(Norm_Stats!$G$15-Norm_Stats!$F$15)))))="",0,0.3)))</f>
        <v/>
      </c>
      <c r="AK40" s="15">
        <f>IF((IF(AE40="",0,8)+IF(AG40="",0,6)+IF(AI40="",0,4))=0,"",(IF(AE40="",0,AE40*8)+IF(AG40="",0,AG40*6)+IF(AI40="",0,AI40*4))/(IF(AE40="",0,8)+IF(AG40="",0,6)+IF(AI40="",0,4)))</f>
        <v/>
      </c>
      <c r="AL40" s="14">
        <f>IF((IF(AF40="",0,8)+IF(AH40="",0,6)+IF(AJ40="",0,4))=0,"",(IF(AF40="",0,AF40*8)+IF(AH40="",0,AH40*6)+IF(AJ40="",0,AJ40*4))/18)</f>
        <v/>
      </c>
      <c r="AM40" s="11">
        <f>IF(OR(City_Inputs!$AA40="",Norm_Stats!$F$16="",Norm_Stats!$G$16="",Norm_Stats!$G$16=Norm_Stats!$F$16),"",MAX(0,MIN(100,100*(MIN(MAX(City_Inputs!$AA40,Norm_Stats!$F$16),Norm_Stats!$G$16)-Norm_Stats!$F$16)/(Norm_Stats!$G$16-Norm_Stats!$F$16))))</f>
        <v/>
      </c>
      <c r="AN40" s="14">
        <f>IF(AM40="","",1)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5">
        <f>IF((IF(AM40="",0,5)+IF(AO40="",0,5)+IF(AQ40="",0,5))=0,"",(IF(AM40="",0,AM40*5)+IF(AO40="",0,AO40*5)+IF(AQ40="",0,AQ40*5))/(IF(AM40="",0,5)+IF(AO40="",0,5)+IF(AQ40="",0,5)))</f>
        <v/>
      </c>
      <c r="AT40" s="14">
        <f>IF((IF(AN40="",0,5)+IF(AP40="",0,5)+IF(AR40="",0,5))=0,"",(IF(AN40="",0,AN40*5)+IF(AP40="",0,AP40*5)+IF(AR40="",0,AR40*5))/15)</f>
        <v/>
      </c>
      <c r="AU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V40" s="14">
        <f>IF(AU40="","",1)</f>
        <v/>
      </c>
      <c r="AW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X40" s="14">
        <f>IF(AW40="","",1)</f>
        <v/>
      </c>
      <c r="AY40" s="11">
        <f>IF((IF((IF(OR(City_Inputs!$AF40="",Norm_Stats!$F$21="",Norm_Stats!$G$21="",Norm_Stats!$G$21=Norm_Stats!$F$21),"",MAX(0,MIN(100,100*(MIN(MAX(City_Inputs!$AF40,Norm_Stats!$F$21),Norm_Stats!$G$21)-Norm_Stats!$F$21)/(Norm_Stats!$G$21-Norm_Stats!$F$21)))))="",0,0.5)+IF((IF(OR(City_Inputs!$AI40="",Norm_Stats!$F$22="",Norm_Stats!$G$22="",Norm_Stats!$G$22=Norm_Stats!$F$22),"",MAX(0,MIN(100,100*(MIN(MAX(City_Inputs!$AI40,Norm_Stats!$F$22),Norm_Stats!$G$22)-Norm_Stats!$F$22)/(Norm_Stats!$G$22-Norm_Stats!$F$22)))))="",0,0.3)+IF((IF(OR(City_Inputs!$AJ40="",Norm_Stats!$F$23="",Norm_Stats!$G$23="",Norm_Stats!$G$23=Norm_Stats!$F$23),"",MAX(0,MIN(100,100*(MIN(MAX(City_Inputs!$AJ40,Norm_Stats!$F$23),Norm_Stats!$G$23)-Norm_Stats!$F$23)/(Norm_Stats!$G$23-Norm_Stats!$F$23)))))="",0,0.2))=0,"",(IF((IF(OR(City_Inputs!$AF40="",Norm_Stats!$F$21="",Norm_Stats!$G$21="",Norm_Stats!$G$21=Norm_Stats!$F$21),"",MAX(0,MIN(100,100*(MIN(MAX(City_Inputs!$AF40,Norm_Stats!$F$21),Norm_Stats!$G$21)-Norm_Stats!$F$21)/(Norm_Stats!$G$21-Norm_Stats!$F$21)))))="",0,(IF(OR(City_Inputs!$AF40="",Norm_Stats!$F$21="",Norm_Stats!$G$21="",Norm_Stats!$G$21=Norm_Stats!$F$21),"",MAX(0,MIN(100,100*(MIN(MAX(City_Inputs!$AF40,Norm_Stats!$F$21),Norm_Stats!$G$21)-Norm_Stats!$F$21)/(Norm_Stats!$G$21-Norm_Stats!$F$21)))))*0.5)+IF((IF(OR(City_Inputs!$AI40="",Norm_Stats!$F$22="",Norm_Stats!$G$22="",Norm_Stats!$G$22=Norm_Stats!$F$22),"",MAX(0,MIN(100,100*(MIN(MAX(City_Inputs!$AI40,Norm_Stats!$F$22),Norm_Stats!$G$22)-Norm_Stats!$F$22)/(Norm_Stats!$G$22-Norm_Stats!$F$22)))))="",0,(IF(OR(City_Inputs!$AI40="",Norm_Stats!$F$22="",Norm_Stats!$G$22="",Norm_Stats!$G$22=Norm_Stats!$F$22),"",MAX(0,MIN(100,100*(MIN(MAX(City_Inputs!$AI40,Norm_Stats!$F$22),Norm_Stats!$G$22)-Norm_Stats!$F$22)/(Norm_Stats!$G$22-Norm_Stats!$F$22)))))*0.3)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0.2))/(IF((IF(OR(City_Inputs!$AF40="",Norm_Stats!$F$21="",Norm_Stats!$G$21="",Norm_Stats!$G$21=Norm_Stats!$F$21),"",MAX(0,MIN(100,100*(MIN(MAX(City_Inputs!$AF40,Norm_Stats!$F$21),Norm_Stats!$G$21)-Norm_Stats!$F$21)/(Norm_Stats!$G$21-Norm_Stats!$F$21)))))="",0,0.5)+IF((IF(OR(City_Inputs!$AI40="",Norm_Stats!$F$22="",Norm_Stats!$G$22="",Norm_Stats!$G$22=Norm_Stats!$F$22),"",MAX(0,MIN(100,100*(MIN(MAX(City_Inputs!$AI40,Norm_Stats!$F$22),Norm_Stats!$G$22)-Norm_Stats!$F$22)/(Norm_Stats!$G$22-Norm_Stats!$F$22)))))="",0,0.3)+IF((IF(OR(City_Inputs!$AJ40="",Norm_Stats!$F$23="",Norm_Stats!$G$23="",Norm_Stats!$G$23=Norm_Stats!$F$23),"",MAX(0,MIN(100,100*(MIN(MAX(City_Inputs!$AJ40,Norm_Stats!$F$23),Norm_Stats!$G$23)-Norm_Stats!$F$23)/(Norm_Stats!$G$23-Norm_Stats!$F$23)))))="",0,0.2)))</f>
        <v/>
      </c>
      <c r="AZ40" s="14">
        <f>IF((IF((IF(OR(City_Inputs!$AF40="",Norm_Stats!$F$21="",Norm_Stats!$G$21="",Norm_Stats!$G$21=Norm_Stats!$F$21),"",MAX(0,MIN(100,100*(MIN(MAX(City_Inputs!$AF40,Norm_Stats!$F$21),Norm_Stats!$G$21)-Norm_Stats!$F$21)/(Norm_Stats!$G$21-Norm_Stats!$F$21)))))="",0,0.5)+IF((IF(OR(City_Inputs!$AI40="",Norm_Stats!$F$22="",Norm_Stats!$G$22="",Norm_Stats!$G$22=Norm_Stats!$F$22),"",MAX(0,MIN(100,100*(MIN(MAX(City_Inputs!$AI40,Norm_Stats!$F$22),Norm_Stats!$G$22)-Norm_Stats!$F$22)/(Norm_Stats!$G$22-Norm_Stats!$F$22)))))="",0,0.3)+IF((IF(OR(City_Inputs!$AJ40="",Norm_Stats!$F$23="",Norm_Stats!$G$23="",Norm_Stats!$G$23=Norm_Stats!$F$23),"",MAX(0,MIN(100,100*(MIN(MAX(City_Inputs!$AJ40,Norm_Stats!$F$23),Norm_Stats!$G$23)-Norm_Stats!$F$23)/(Norm_Stats!$G$23-Norm_Stats!$F$23)))))="",0,0.2))=0,"",(IF((IF(OR(City_Inputs!$AF40="",Norm_Stats!$F$21="",Norm_Stats!$G$21="",Norm_Stats!$G$21=Norm_Stats!$F$21),"",MAX(0,MIN(100,100*(MIN(MAX(City_Inputs!$AF40,Norm_Stats!$F$21),Norm_Stats!$G$21)-Norm_Stats!$F$21)/(Norm_Stats!$G$21-Norm_Stats!$F$21)))))="",0,0.5)+IF((IF(OR(City_Inputs!$AI40="",Norm_Stats!$F$22="",Norm_Stats!$G$22="",Norm_Stats!$G$22=Norm_Stats!$F$22),"",MAX(0,MIN(100,100*(MIN(MAX(City_Inputs!$AI40,Norm_Stats!$F$22),Norm_Stats!$G$22)-Norm_Stats!$F$22)/(Norm_Stats!$G$22-Norm_Stats!$F$22)))))="",0,0.3)+IF((IF(OR(City_Inputs!$AJ40="",Norm_Stats!$F$23="",Norm_Stats!$G$23="",Norm_Stats!$G$23=Norm_Stats!$F$23),"",MAX(0,MIN(100,100*(MIN(MAX(City_Inputs!$AJ40,Norm_Stats!$F$23),Norm_Stats!$G$23)-Norm_Stats!$F$23)/(Norm_Stats!$G$23-Norm_Stats!$F$23)))))="",0,0.2)))</f>
        <v/>
      </c>
      <c r="BA40" s="11">
        <f>IF(OR(City_Inputs!$AG40="",Norm_Stats!$F$24="",Norm_Stats!$G$24="",Norm_Stats!$G$24=Norm_Stats!$F$24),"",MAX(0,MIN(100,100*(Norm_Stats!$G$24-MIN(MAX(City_Inputs!$AG40,Norm_Stats!$F$24),Norm_Stats!$G$24))/(Norm_Stats!$G$24-Norm_Stats!$F$24))))</f>
        <v/>
      </c>
      <c r="BB40" s="14">
        <f>IF(BA40="","",1)</f>
        <v/>
      </c>
      <c r="BC40" s="15">
        <f>IF((IF(AU40="",0,6)+IF(AW40="",0,5)+IF(AY40="",0,5)+IF(BA40="",0,4))=0,"",(IF(AU40="",0,AU40*6)+IF(AW40="",0,AW40*5)+IF(AY40="",0,AY40*5)+IF(BA40="",0,BA40*4))/(IF(AU40="",0,6)+IF(AW40="",0,5)+IF(AY40="",0,5)+IF(BA40="",0,4)))</f>
        <v/>
      </c>
      <c r="BD40" s="14">
        <f>IF((IF(AV40="",0,6)+IF(AX40="",0,5)+IF(AZ40="",0,5)+IF(BB40="",0,4))=0,"",(IF(AV40="",0,AV40*6)+IF(AX40="",0,AX40*5)+IF(AZ40="",0,AZ40*5)+IF(BB40="",0,BB40*4))/20)</f>
        <v/>
      </c>
      <c r="BE40" s="14">
        <f>IF(AND(R40="",AD40="",AL40="",AT40="",BD40=""),"",((R40*25)+(AD40*22)+(AL40*18)+(AT40*15)+(BD40*20))/100)</f>
        <v/>
      </c>
      <c r="BF40" s="11">
        <f>IF(BE40="","",IF(BE40&gt;=0.75,"A",IF(BE40&gt;=0.5,"B",IF(BE40&gt;=0.35,"C","Watchlist"))))</f>
        <v/>
      </c>
      <c r="BG40" s="11">
        <f>IF(OR(BE40="",BE40&lt;0.5,R40="",R40&lt;0.35,AD40="",AD40&lt;0.35,AL40="",AL40&lt;0.35,AT40="",AT40&lt;0.35,BD40="",BD40&lt;0.35),"Watchlist","Ranked")</f>
        <v/>
      </c>
      <c r="BH40" s="15">
        <f>IF(AND(Q40="",AC40="",AK40="",AS40="",BC40=""),"",(IF(Q40="",0,Q40*25)+IF(AC40="",0,AC40*22)+IF(AK40="",0,AK40*18)+IF(AS40="",0,AS40*15)+IF(BC40="",0,BC40*20))/(IF(Q40="",0,25)+IF(AC40="",0,22)+IF(AK40="",0,18)+IF(AS40="",0,15)+IF(BC40="",0,20)))</f>
        <v/>
      </c>
      <c r="BI40" s="11">
        <f>IF(BG40="Ranked",1+COUNTIFS($BG$2:$BG$101,"Ranked",$BH$2:$BH$101,"&gt;"&amp;BH40),"")</f>
        <v/>
      </c>
      <c r="BJ40" s="11">
        <f>City_Inputs!$AH40</f>
        <v/>
      </c>
    </row>
    <row r="41">
      <c r="A41" t="inlineStr">
        <is>
          <t>fi-helsinki</t>
        </is>
      </c>
      <c r="B41" t="inlineStr">
        <is>
          <t>Helsinki</t>
        </is>
      </c>
      <c r="C41" t="inlineStr">
        <is>
          <t>Finland</t>
        </is>
      </c>
      <c r="D41" t="inlineStr">
        <is>
          <t>Western and Northern Europe</t>
        </is>
      </c>
      <c r="E41" t="inlineStr">
        <is>
          <t>provisional</t>
        </is>
      </c>
      <c r="F41" t="inlineStr">
        <is>
          <t>secondary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IF((IF(G41="",0,9)+IF(I41="",0,5)+IF(K41="",0,4)+IF(M41="",0,4)+IF(O41="",0,3))=0,"",(IF(G41="",0,G41*9)+IF(I41="",0,I41*5)+IF(K41="",0,K41*4)+IF(M41="",0,M41*4)+IF(O41="",0,O41*3))/(IF(G41="",0,9)+IF(I41="",0,5)+IF(K41="",0,4)+IF(M41="",0,4)+IF(O41="",0,3)))</f>
        <v/>
      </c>
      <c r="R41" s="14">
        <f>IF((IF(H41="",0,9)+IF(J41="",0,5)+IF(L41="",0,4)+IF(N41="",0,4)+IF(P41="",0,3))=0,"",(IF(H41="",0,H41*9)+IF(J41="",0,J41*5)+IF(L41="",0,L41*4)+IF(N41="",0,N41*4)+IF(P41="",0,P41*3))/25)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5">
        <f>IF((IF(S41="",0,5)+IF(U41="",0,5)+IF(W41="",0,4)+IF(Y41="",0,4)+IF(AA41="",0,4))=0,"",(IF(S41="",0,S41*5)+IF(U41="",0,U41*5)+IF(W41="",0,W41*4)+IF(Y41="",0,Y41*4)+IF(AA41="",0,AA41*4))/(IF(S41="",0,5)+IF(U41="",0,5)+IF(W41="",0,4)+IF(Y41="",0,4)+IF(AA41="",0,4)))</f>
        <v/>
      </c>
      <c r="AD41" s="14">
        <f>IF((IF(T41="",0,5)+IF(V41="",0,5)+IF(X41="",0,4)+IF(Z41="",0,4)+IF(AB41="",0,4))=0,"",(IF(T41="",0,T41*5)+IF(V41="",0,V41*5)+IF(X41="",0,X41*4)+IF(Z41="",0,Z41*4)+IF(AB41="",0,AB41*4))/22)</f>
        <v/>
      </c>
      <c r="AE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F41" s="14">
        <f>IF(AE41="","",1)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(IF((IF(OR(City_Inputs!$Z41="",Norm_Stats!$F$14="",Norm_Stats!$G$14="",Norm_Stats!$G$14=Norm_Stats!$F$14),"",MAX(0,MIN(100,100*(MIN(MAX(City_Inputs!$Z41,Norm_Stats!$F$14),Norm_Stats!$G$14)-Norm_Stats!$F$14)/(Norm_Stats!$G$14-Norm_Stats!$F$14)))))="",0,0.7)+IF((IF(OR(City_Inputs!$AK41="",Norm_Stats!$F$15="",Norm_Stats!$G$15="",Norm_Stats!$G$15=Norm_Stats!$F$15),"",MAX(0,MIN(100,100*(Norm_Stats!$G$15-MIN(MAX(City_Inputs!$AK41,Norm_Stats!$F$15),Norm_Stats!$G$15))/(Norm_Stats!$G$15-Norm_Stats!$F$15)))))="",0,0.3))=0,"",(IF((IF(OR(City_Inputs!$Z41="",Norm_Stats!$F$14="",Norm_Stats!$G$14="",Norm_Stats!$G$14=Norm_Stats!$F$14),"",MAX(0,MIN(100,100*(MIN(MAX(City_Inputs!$Z41,Norm_Stats!$F$14),Norm_Stats!$G$14)-Norm_Stats!$F$14)/(Norm_Stats!$G$14-Norm_Stats!$F$14)))))="",0,(IF(OR(City_Inputs!$Z41="",Norm_Stats!$F$14="",Norm_Stats!$G$14="",Norm_Stats!$G$14=Norm_Stats!$F$14),"",MAX(0,MIN(100,100*(MIN(MAX(City_Inputs!$Z41,Norm_Stats!$F$14),Norm_Stats!$G$14)-Norm_Stats!$F$14)/(Norm_Stats!$G$14-Norm_Stats!$F$14)))))*0.7)+IF((IF(OR(City_Inputs!$AK41="",Norm_Stats!$F$15="",Norm_Stats!$G$15="",Norm_Stats!$G$15=Norm_Stats!$F$15),"",MAX(0,MIN(100,100*(Norm_Stats!$G$15-MIN(MAX(City_Inputs!$AK41,Norm_Stats!$F$15),Norm_Stats!$G$15))/(Norm_Stats!$G$15-Norm_Stats!$F$15)))))="",0,(IF(OR(City_Inputs!$AK41="",Norm_Stats!$F$15="",Norm_Stats!$G$15="",Norm_Stats!$G$15=Norm_Stats!$F$15),"",MAX(0,MIN(100,100*(Norm_Stats!$G$15-MIN(MAX(City_Inputs!$AK41,Norm_Stats!$F$15),Norm_Stats!$G$15))/(Norm_Stats!$G$15-Norm_Stats!$F$15)))))*0.3))/(IF((IF(OR(City_Inputs!$Z41="",Norm_Stats!$F$14="",Norm_Stats!$G$14="",Norm_Stats!$G$14=Norm_Stats!$F$14),"",MAX(0,MIN(100,100*(MIN(MAX(City_Inputs!$Z41,Norm_Stats!$F$14),Norm_Stats!$G$14)-Norm_Stats!$F$14)/(Norm_Stats!$G$14-Norm_Stats!$F$14)))))="",0,0.7)+IF((IF(OR(City_Inputs!$AK41="",Norm_Stats!$F$15="",Norm_Stats!$G$15="",Norm_Stats!$G$15=Norm_Stats!$F$15),"",MAX(0,MIN(100,100*(Norm_Stats!$G$15-MIN(MAX(City_Inputs!$AK41,Norm_Stats!$F$15),Norm_Stats!$G$15))/(Norm_Stats!$G$15-Norm_Stats!$F$15)))))="",0,0.3)))</f>
        <v/>
      </c>
      <c r="AJ41" s="14">
        <f>IF((IF((IF(OR(City_Inputs!$Z41="",Norm_Stats!$F$14="",Norm_Stats!$G$14="",Norm_Stats!$G$14=Norm_Stats!$F$14),"",MAX(0,MIN(100,100*(MIN(MAX(City_Inputs!$Z41,Norm_Stats!$F$14),Norm_Stats!$G$14)-Norm_Stats!$F$14)/(Norm_Stats!$G$14-Norm_Stats!$F$14)))))="",0,0.7)+IF((IF(OR(City_Inputs!$AK41="",Norm_Stats!$F$15="",Norm_Stats!$G$15="",Norm_Stats!$G$15=Norm_Stats!$F$15),"",MAX(0,MIN(100,100*(Norm_Stats!$G$15-MIN(MAX(City_Inputs!$AK41,Norm_Stats!$F$15),Norm_Stats!$G$15))/(Norm_Stats!$G$15-Norm_Stats!$F$15)))))="",0,0.3))=0,"",(IF((IF(OR(City_Inputs!$Z41="",Norm_Stats!$F$14="",Norm_Stats!$G$14="",Norm_Stats!$G$14=Norm_Stats!$F$14),"",MAX(0,MIN(100,100*(MIN(MAX(City_Inputs!$Z41,Norm_Stats!$F$14),Norm_Stats!$G$14)-Norm_Stats!$F$14)/(Norm_Stats!$G$14-Norm_Stats!$F$14)))))="",0,0.7)+IF((IF(OR(City_Inputs!$AK41="",Norm_Stats!$F$15="",Norm_Stats!$G$15="",Norm_Stats!$G$15=Norm_Stats!$F$15),"",MAX(0,MIN(100,100*(Norm_Stats!$G$15-MIN(MAX(City_Inputs!$AK41,Norm_Stats!$F$15),Norm_Stats!$G$15))/(Norm_Stats!$G$15-Norm_Stats!$F$15)))))="",0,0.3)))</f>
        <v/>
      </c>
      <c r="AK41" s="15">
        <f>IF((IF(AE41="",0,8)+IF(AG41="",0,6)+IF(AI41="",0,4))=0,"",(IF(AE41="",0,AE41*8)+IF(AG41="",0,AG41*6)+IF(AI41="",0,AI41*4))/(IF(AE41="",0,8)+IF(AG41="",0,6)+IF(AI41="",0,4)))</f>
        <v/>
      </c>
      <c r="AL41" s="14">
        <f>IF((IF(AF41="",0,8)+IF(AH41="",0,6)+IF(AJ41="",0,4))=0,"",(IF(AF41="",0,AF41*8)+IF(AH41="",0,AH41*6)+IF(AJ41="",0,AJ41*4))/18)</f>
        <v/>
      </c>
      <c r="AM41" s="11">
        <f>IF(OR(City_Inputs!$AA41="",Norm_Stats!$F$16="",Norm_Stats!$G$16="",Norm_Stats!$G$16=Norm_Stats!$F$16),"",MAX(0,MIN(100,100*(MIN(MAX(City_Inputs!$AA41,Norm_Stats!$F$16),Norm_Stats!$G$16)-Norm_Stats!$F$16)/(Norm_Stats!$G$16-Norm_Stats!$F$16))))</f>
        <v/>
      </c>
      <c r="AN41" s="14">
        <f>IF(AM41="","",1)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5">
        <f>IF((IF(AM41="",0,5)+IF(AO41="",0,5)+IF(AQ41="",0,5))=0,"",(IF(AM41="",0,AM41*5)+IF(AO41="",0,AO41*5)+IF(AQ41="",0,AQ41*5))/(IF(AM41="",0,5)+IF(AO41="",0,5)+IF(AQ41="",0,5)))</f>
        <v/>
      </c>
      <c r="AT41" s="14">
        <f>IF((IF(AN41="",0,5)+IF(AP41="",0,5)+IF(AR41="",0,5))=0,"",(IF(AN41="",0,AN41*5)+IF(AP41="",0,AP41*5)+IF(AR41="",0,AR41*5))/15)</f>
        <v/>
      </c>
      <c r="AU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V41" s="14">
        <f>IF(AU41="","",1)</f>
        <v/>
      </c>
      <c r="AW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X41" s="14">
        <f>IF(AW41="","",1)</f>
        <v/>
      </c>
      <c r="AY41" s="11">
        <f>IF((IF((IF(OR(City_Inputs!$AF41="",Norm_Stats!$F$21="",Norm_Stats!$G$21="",Norm_Stats!$G$21=Norm_Stats!$F$21),"",MAX(0,MIN(100,100*(MIN(MAX(City_Inputs!$AF41,Norm_Stats!$F$21),Norm_Stats!$G$21)-Norm_Stats!$F$21)/(Norm_Stats!$G$21-Norm_Stats!$F$21)))))="",0,0.5)+IF((IF(OR(City_Inputs!$AI41="",Norm_Stats!$F$22="",Norm_Stats!$G$22="",Norm_Stats!$G$22=Norm_Stats!$F$22),"",MAX(0,MIN(100,100*(MIN(MAX(City_Inputs!$AI41,Norm_Stats!$F$22),Norm_Stats!$G$22)-Norm_Stats!$F$22)/(Norm_Stats!$G$22-Norm_Stats!$F$22)))))="",0,0.3)+IF((IF(OR(City_Inputs!$AJ41="",Norm_Stats!$F$23="",Norm_Stats!$G$23="",Norm_Stats!$G$23=Norm_Stats!$F$23),"",MAX(0,MIN(100,100*(MIN(MAX(City_Inputs!$AJ41,Norm_Stats!$F$23),Norm_Stats!$G$23)-Norm_Stats!$F$23)/(Norm_Stats!$G$23-Norm_Stats!$F$23)))))="",0,0.2))=0,"",(IF((IF(OR(City_Inputs!$AF41="",Norm_Stats!$F$21="",Norm_Stats!$G$21="",Norm_Stats!$G$21=Norm_Stats!$F$21),"",MAX(0,MIN(100,100*(MIN(MAX(City_Inputs!$AF41,Norm_Stats!$F$21),Norm_Stats!$G$21)-Norm_Stats!$F$21)/(Norm_Stats!$G$21-Norm_Stats!$F$21)))))="",0,(IF(OR(City_Inputs!$AF41="",Norm_Stats!$F$21="",Norm_Stats!$G$21="",Norm_Stats!$G$21=Norm_Stats!$F$21),"",MAX(0,MIN(100,100*(MIN(MAX(City_Inputs!$AF41,Norm_Stats!$F$21),Norm_Stats!$G$21)-Norm_Stats!$F$21)/(Norm_Stats!$G$21-Norm_Stats!$F$21)))))*0.5)+IF((IF(OR(City_Inputs!$AI41="",Norm_Stats!$F$22="",Norm_Stats!$G$22="",Norm_Stats!$G$22=Norm_Stats!$F$22),"",MAX(0,MIN(100,100*(MIN(MAX(City_Inputs!$AI41,Norm_Stats!$F$22),Norm_Stats!$G$22)-Norm_Stats!$F$22)/(Norm_Stats!$G$22-Norm_Stats!$F$22)))))="",0,(IF(OR(City_Inputs!$AI41="",Norm_Stats!$F$22="",Norm_Stats!$G$22="",Norm_Stats!$G$22=Norm_Stats!$F$22),"",MAX(0,MIN(100,100*(MIN(MAX(City_Inputs!$AI41,Norm_Stats!$F$22),Norm_Stats!$G$22)-Norm_Stats!$F$22)/(Norm_Stats!$G$22-Norm_Stats!$F$22)))))*0.3)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0.2))/(IF((IF(OR(City_Inputs!$AF41="",Norm_Stats!$F$21="",Norm_Stats!$G$21="",Norm_Stats!$G$21=Norm_Stats!$F$21),"",MAX(0,MIN(100,100*(MIN(MAX(City_Inputs!$AF41,Norm_Stats!$F$21),Norm_Stats!$G$21)-Norm_Stats!$F$21)/(Norm_Stats!$G$21-Norm_Stats!$F$21)))))="",0,0.5)+IF((IF(OR(City_Inputs!$AI41="",Norm_Stats!$F$22="",Norm_Stats!$G$22="",Norm_Stats!$G$22=Norm_Stats!$F$22),"",MAX(0,MIN(100,100*(MIN(MAX(City_Inputs!$AI41,Norm_Stats!$F$22),Norm_Stats!$G$22)-Norm_Stats!$F$22)/(Norm_Stats!$G$22-Norm_Stats!$F$22)))))="",0,0.3)+IF((IF(OR(City_Inputs!$AJ41="",Norm_Stats!$F$23="",Norm_Stats!$G$23="",Norm_Stats!$G$23=Norm_Stats!$F$23),"",MAX(0,MIN(100,100*(MIN(MAX(City_Inputs!$AJ41,Norm_Stats!$F$23),Norm_Stats!$G$23)-Norm_Stats!$F$23)/(Norm_Stats!$G$23-Norm_Stats!$F$23)))))="",0,0.2)))</f>
        <v/>
      </c>
      <c r="AZ41" s="14">
        <f>IF((IF((IF(OR(City_Inputs!$AF41="",Norm_Stats!$F$21="",Norm_Stats!$G$21="",Norm_Stats!$G$21=Norm_Stats!$F$21),"",MAX(0,MIN(100,100*(MIN(MAX(City_Inputs!$AF41,Norm_Stats!$F$21),Norm_Stats!$G$21)-Norm_Stats!$F$21)/(Norm_Stats!$G$21-Norm_Stats!$F$21)))))="",0,0.5)+IF((IF(OR(City_Inputs!$AI41="",Norm_Stats!$F$22="",Norm_Stats!$G$22="",Norm_Stats!$G$22=Norm_Stats!$F$22),"",MAX(0,MIN(100,100*(MIN(MAX(City_Inputs!$AI41,Norm_Stats!$F$22),Norm_Stats!$G$22)-Norm_Stats!$F$22)/(Norm_Stats!$G$22-Norm_Stats!$F$22)))))="",0,0.3)+IF((IF(OR(City_Inputs!$AJ41="",Norm_Stats!$F$23="",Norm_Stats!$G$23="",Norm_Stats!$G$23=Norm_Stats!$F$23),"",MAX(0,MIN(100,100*(MIN(MAX(City_Inputs!$AJ41,Norm_Stats!$F$23),Norm_Stats!$G$23)-Norm_Stats!$F$23)/(Norm_Stats!$G$23-Norm_Stats!$F$23)))))="",0,0.2))=0,"",(IF((IF(OR(City_Inputs!$AF41="",Norm_Stats!$F$21="",Norm_Stats!$G$21="",Norm_Stats!$G$21=Norm_Stats!$F$21),"",MAX(0,MIN(100,100*(MIN(MAX(City_Inputs!$AF41,Norm_Stats!$F$21),Norm_Stats!$G$21)-Norm_Stats!$F$21)/(Norm_Stats!$G$21-Norm_Stats!$F$21)))))="",0,0.5)+IF((IF(OR(City_Inputs!$AI41="",Norm_Stats!$F$22="",Norm_Stats!$G$22="",Norm_Stats!$G$22=Norm_Stats!$F$22),"",MAX(0,MIN(100,100*(MIN(MAX(City_Inputs!$AI41,Norm_Stats!$F$22),Norm_Stats!$G$22)-Norm_Stats!$F$22)/(Norm_Stats!$G$22-Norm_Stats!$F$22)))))="",0,0.3)+IF((IF(OR(City_Inputs!$AJ41="",Norm_Stats!$F$23="",Norm_Stats!$G$23="",Norm_Stats!$G$23=Norm_Stats!$F$23),"",MAX(0,MIN(100,100*(MIN(MAX(City_Inputs!$AJ41,Norm_Stats!$F$23),Norm_Stats!$G$23)-Norm_Stats!$F$23)/(Norm_Stats!$G$23-Norm_Stats!$F$23)))))="",0,0.2)))</f>
        <v/>
      </c>
      <c r="BA41" s="11">
        <f>IF(OR(City_Inputs!$AG41="",Norm_Stats!$F$24="",Norm_Stats!$G$24="",Norm_Stats!$G$24=Norm_Stats!$F$24),"",MAX(0,MIN(100,100*(Norm_Stats!$G$24-MIN(MAX(City_Inputs!$AG41,Norm_Stats!$F$24),Norm_Stats!$G$24))/(Norm_Stats!$G$24-Norm_Stats!$F$24))))</f>
        <v/>
      </c>
      <c r="BB41" s="14">
        <f>IF(BA41="","",1)</f>
        <v/>
      </c>
      <c r="BC41" s="15">
        <f>IF((IF(AU41="",0,6)+IF(AW41="",0,5)+IF(AY41="",0,5)+IF(BA41="",0,4))=0,"",(IF(AU41="",0,AU41*6)+IF(AW41="",0,AW41*5)+IF(AY41="",0,AY41*5)+IF(BA41="",0,BA41*4))/(IF(AU41="",0,6)+IF(AW41="",0,5)+IF(AY41="",0,5)+IF(BA41="",0,4)))</f>
        <v/>
      </c>
      <c r="BD41" s="14">
        <f>IF((IF(AV41="",0,6)+IF(AX41="",0,5)+IF(AZ41="",0,5)+IF(BB41="",0,4))=0,"",(IF(AV41="",0,AV41*6)+IF(AX41="",0,AX41*5)+IF(AZ41="",0,AZ41*5)+IF(BB41="",0,BB41*4))/20)</f>
        <v/>
      </c>
      <c r="BE41" s="14">
        <f>IF(AND(R41="",AD41="",AL41="",AT41="",BD41=""),"",((R41*25)+(AD41*22)+(AL41*18)+(AT41*15)+(BD41*20))/100)</f>
        <v/>
      </c>
      <c r="BF41" s="11">
        <f>IF(BE41="","",IF(BE41&gt;=0.75,"A",IF(BE41&gt;=0.5,"B",IF(BE41&gt;=0.35,"C","Watchlist"))))</f>
        <v/>
      </c>
      <c r="BG41" s="11">
        <f>IF(OR(BE41="",BE41&lt;0.5,R41="",R41&lt;0.35,AD41="",AD41&lt;0.35,AL41="",AL41&lt;0.35,AT41="",AT41&lt;0.35,BD41="",BD41&lt;0.35),"Watchlist","Ranked")</f>
        <v/>
      </c>
      <c r="BH41" s="15">
        <f>IF(AND(Q41="",AC41="",AK41="",AS41="",BC41=""),"",(IF(Q41="",0,Q41*25)+IF(AC41="",0,AC41*22)+IF(AK41="",0,AK41*18)+IF(AS41="",0,AS41*15)+IF(BC41="",0,BC41*20))/(IF(Q41="",0,25)+IF(AC41="",0,22)+IF(AK41="",0,18)+IF(AS41="",0,15)+IF(BC41="",0,20)))</f>
        <v/>
      </c>
      <c r="BI41" s="11">
        <f>IF(BG41="Ranked",1+COUNTIFS($BG$2:$BG$101,"Ranked",$BH$2:$BH$101,"&gt;"&amp;BH41),"")</f>
        <v/>
      </c>
      <c r="BJ41" s="11">
        <f>City_Inputs!$AH41</f>
        <v/>
      </c>
    </row>
    <row r="42">
      <c r="A42" t="inlineStr">
        <is>
          <t>ru-moscow</t>
        </is>
      </c>
      <c r="B42" t="inlineStr">
        <is>
          <t>Moscow</t>
        </is>
      </c>
      <c r="C42" t="inlineStr">
        <is>
          <t>Russia</t>
        </is>
      </c>
      <c r="D42" t="inlineStr">
        <is>
          <t>Southern/Eastern Europe and Eurasia</t>
        </is>
      </c>
      <c r="E42" t="inlineStr">
        <is>
          <t>locked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IF((IF(G42="",0,9)+IF(I42="",0,5)+IF(K42="",0,4)+IF(M42="",0,4)+IF(O42="",0,3))=0,"",(IF(G42="",0,G42*9)+IF(I42="",0,I42*5)+IF(K42="",0,K42*4)+IF(M42="",0,M42*4)+IF(O42="",0,O42*3))/(IF(G42="",0,9)+IF(I42="",0,5)+IF(K42="",0,4)+IF(M42="",0,4)+IF(O42="",0,3)))</f>
        <v/>
      </c>
      <c r="R42" s="14">
        <f>IF((IF(H42="",0,9)+IF(J42="",0,5)+IF(L42="",0,4)+IF(N42="",0,4)+IF(P42="",0,3))=0,"",(IF(H42="",0,H42*9)+IF(J42="",0,J42*5)+IF(L42="",0,L42*4)+IF(N42="",0,N42*4)+IF(P42="",0,P42*3))/25)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5">
        <f>IF((IF(S42="",0,5)+IF(U42="",0,5)+IF(W42="",0,4)+IF(Y42="",0,4)+IF(AA42="",0,4))=0,"",(IF(S42="",0,S42*5)+IF(U42="",0,U42*5)+IF(W42="",0,W42*4)+IF(Y42="",0,Y42*4)+IF(AA42="",0,AA42*4))/(IF(S42="",0,5)+IF(U42="",0,5)+IF(W42="",0,4)+IF(Y42="",0,4)+IF(AA42="",0,4)))</f>
        <v/>
      </c>
      <c r="AD42" s="14">
        <f>IF((IF(T42="",0,5)+IF(V42="",0,5)+IF(X42="",0,4)+IF(Z42="",0,4)+IF(AB42="",0,4))=0,"",(IF(T42="",0,T42*5)+IF(V42="",0,V42*5)+IF(X42="",0,X42*4)+IF(Z42="",0,Z42*4)+IF(AB42="",0,AB42*4))/22)</f>
        <v/>
      </c>
      <c r="AE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F42" s="14">
        <f>IF(AE42="","",1)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(IF((IF(OR(City_Inputs!$Z42="",Norm_Stats!$F$14="",Norm_Stats!$G$14="",Norm_Stats!$G$14=Norm_Stats!$F$14),"",MAX(0,MIN(100,100*(MIN(MAX(City_Inputs!$Z42,Norm_Stats!$F$14),Norm_Stats!$G$14)-Norm_Stats!$F$14)/(Norm_Stats!$G$14-Norm_Stats!$F$14)))))="",0,0.7)+IF((IF(OR(City_Inputs!$AK42="",Norm_Stats!$F$15="",Norm_Stats!$G$15="",Norm_Stats!$G$15=Norm_Stats!$F$15),"",MAX(0,MIN(100,100*(Norm_Stats!$G$15-MIN(MAX(City_Inputs!$AK42,Norm_Stats!$F$15),Norm_Stats!$G$15))/(Norm_Stats!$G$15-Norm_Stats!$F$15)))))="",0,0.3))=0,"",(IF((IF(OR(City_Inputs!$Z42="",Norm_Stats!$F$14="",Norm_Stats!$G$14="",Norm_Stats!$G$14=Norm_Stats!$F$14),"",MAX(0,MIN(100,100*(MIN(MAX(City_Inputs!$Z42,Norm_Stats!$F$14),Norm_Stats!$G$14)-Norm_Stats!$F$14)/(Norm_Stats!$G$14-Norm_Stats!$F$14)))))="",0,(IF(OR(City_Inputs!$Z42="",Norm_Stats!$F$14="",Norm_Stats!$G$14="",Norm_Stats!$G$14=Norm_Stats!$F$14),"",MAX(0,MIN(100,100*(MIN(MAX(City_Inputs!$Z42,Norm_Stats!$F$14),Norm_Stats!$G$14)-Norm_Stats!$F$14)/(Norm_Stats!$G$14-Norm_Stats!$F$14)))))*0.7)+IF((IF(OR(City_Inputs!$AK42="",Norm_Stats!$F$15="",Norm_Stats!$G$15="",Norm_Stats!$G$15=Norm_Stats!$F$15),"",MAX(0,MIN(100,100*(Norm_Stats!$G$15-MIN(MAX(City_Inputs!$AK42,Norm_Stats!$F$15),Norm_Stats!$G$15))/(Norm_Stats!$G$15-Norm_Stats!$F$15)))))="",0,(IF(OR(City_Inputs!$AK42="",Norm_Stats!$F$15="",Norm_Stats!$G$15="",Norm_Stats!$G$15=Norm_Stats!$F$15),"",MAX(0,MIN(100,100*(Norm_Stats!$G$15-MIN(MAX(City_Inputs!$AK42,Norm_Stats!$F$15),Norm_Stats!$G$15))/(Norm_Stats!$G$15-Norm_Stats!$F$15)))))*0.3))/(IF((IF(OR(City_Inputs!$Z42="",Norm_Stats!$F$14="",Norm_Stats!$G$14="",Norm_Stats!$G$14=Norm_Stats!$F$14),"",MAX(0,MIN(100,100*(MIN(MAX(City_Inputs!$Z42,Norm_Stats!$F$14),Norm_Stats!$G$14)-Norm_Stats!$F$14)/(Norm_Stats!$G$14-Norm_Stats!$F$14)))))="",0,0.7)+IF((IF(OR(City_Inputs!$AK42="",Norm_Stats!$F$15="",Norm_Stats!$G$15="",Norm_Stats!$G$15=Norm_Stats!$F$15),"",MAX(0,MIN(100,100*(Norm_Stats!$G$15-MIN(MAX(City_Inputs!$AK42,Norm_Stats!$F$15),Norm_Stats!$G$15))/(Norm_Stats!$G$15-Norm_Stats!$F$15)))))="",0,0.3)))</f>
        <v/>
      </c>
      <c r="AJ42" s="14">
        <f>IF((IF((IF(OR(City_Inputs!$Z42="",Norm_Stats!$F$14="",Norm_Stats!$G$14="",Norm_Stats!$G$14=Norm_Stats!$F$14),"",MAX(0,MIN(100,100*(MIN(MAX(City_Inputs!$Z42,Norm_Stats!$F$14),Norm_Stats!$G$14)-Norm_Stats!$F$14)/(Norm_Stats!$G$14-Norm_Stats!$F$14)))))="",0,0.7)+IF((IF(OR(City_Inputs!$AK42="",Norm_Stats!$F$15="",Norm_Stats!$G$15="",Norm_Stats!$G$15=Norm_Stats!$F$15),"",MAX(0,MIN(100,100*(Norm_Stats!$G$15-MIN(MAX(City_Inputs!$AK42,Norm_Stats!$F$15),Norm_Stats!$G$15))/(Norm_Stats!$G$15-Norm_Stats!$F$15)))))="",0,0.3))=0,"",(IF((IF(OR(City_Inputs!$Z42="",Norm_Stats!$F$14="",Norm_Stats!$G$14="",Norm_Stats!$G$14=Norm_Stats!$F$14),"",MAX(0,MIN(100,100*(MIN(MAX(City_Inputs!$Z42,Norm_Stats!$F$14),Norm_Stats!$G$14)-Norm_Stats!$F$14)/(Norm_Stats!$G$14-Norm_Stats!$F$14)))))="",0,0.7)+IF((IF(OR(City_Inputs!$AK42="",Norm_Stats!$F$15="",Norm_Stats!$G$15="",Norm_Stats!$G$15=Norm_Stats!$F$15),"",MAX(0,MIN(100,100*(Norm_Stats!$G$15-MIN(MAX(City_Inputs!$AK42,Norm_Stats!$F$15),Norm_Stats!$G$15))/(Norm_Stats!$G$15-Norm_Stats!$F$15)))))="",0,0.3)))</f>
        <v/>
      </c>
      <c r="AK42" s="15">
        <f>IF((IF(AE42="",0,8)+IF(AG42="",0,6)+IF(AI42="",0,4))=0,"",(IF(AE42="",0,AE42*8)+IF(AG42="",0,AG42*6)+IF(AI42="",0,AI42*4))/(IF(AE42="",0,8)+IF(AG42="",0,6)+IF(AI42="",0,4)))</f>
        <v/>
      </c>
      <c r="AL42" s="14">
        <f>IF((IF(AF42="",0,8)+IF(AH42="",0,6)+IF(AJ42="",0,4))=0,"",(IF(AF42="",0,AF42*8)+IF(AH42="",0,AH42*6)+IF(AJ42="",0,AJ42*4))/18)</f>
        <v/>
      </c>
      <c r="AM42" s="11">
        <f>IF(OR(City_Inputs!$AA42="",Norm_Stats!$F$16="",Norm_Stats!$G$16="",Norm_Stats!$G$16=Norm_Stats!$F$16),"",MAX(0,MIN(100,100*(MIN(MAX(City_Inputs!$AA42,Norm_Stats!$F$16),Norm_Stats!$G$16)-Norm_Stats!$F$16)/(Norm_Stats!$G$16-Norm_Stats!$F$16))))</f>
        <v/>
      </c>
      <c r="AN42" s="14">
        <f>IF(AM42="","",1)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5">
        <f>IF((IF(AM42="",0,5)+IF(AO42="",0,5)+IF(AQ42="",0,5))=0,"",(IF(AM42="",0,AM42*5)+IF(AO42="",0,AO42*5)+IF(AQ42="",0,AQ42*5))/(IF(AM42="",0,5)+IF(AO42="",0,5)+IF(AQ42="",0,5)))</f>
        <v/>
      </c>
      <c r="AT42" s="14">
        <f>IF((IF(AN42="",0,5)+IF(AP42="",0,5)+IF(AR42="",0,5))=0,"",(IF(AN42="",0,AN42*5)+IF(AP42="",0,AP42*5)+IF(AR42="",0,AR42*5))/15)</f>
        <v/>
      </c>
      <c r="AU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V42" s="14">
        <f>IF(AU42="","",1)</f>
        <v/>
      </c>
      <c r="AW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X42" s="14">
        <f>IF(AW42="","",1)</f>
        <v/>
      </c>
      <c r="AY42" s="11">
        <f>IF((IF((IF(OR(City_Inputs!$AF42="",Norm_Stats!$F$21="",Norm_Stats!$G$21="",Norm_Stats!$G$21=Norm_Stats!$F$21),"",MAX(0,MIN(100,100*(MIN(MAX(City_Inputs!$AF42,Norm_Stats!$F$21),Norm_Stats!$G$21)-Norm_Stats!$F$21)/(Norm_Stats!$G$21-Norm_Stats!$F$21)))))="",0,0.5)+IF((IF(OR(City_Inputs!$AI42="",Norm_Stats!$F$22="",Norm_Stats!$G$22="",Norm_Stats!$G$22=Norm_Stats!$F$22),"",MAX(0,MIN(100,100*(MIN(MAX(City_Inputs!$AI42,Norm_Stats!$F$22),Norm_Stats!$G$22)-Norm_Stats!$F$22)/(Norm_Stats!$G$22-Norm_Stats!$F$22)))))="",0,0.3)+IF((IF(OR(City_Inputs!$AJ42="",Norm_Stats!$F$23="",Norm_Stats!$G$23="",Norm_Stats!$G$23=Norm_Stats!$F$23),"",MAX(0,MIN(100,100*(MIN(MAX(City_Inputs!$AJ42,Norm_Stats!$F$23),Norm_Stats!$G$23)-Norm_Stats!$F$23)/(Norm_Stats!$G$23-Norm_Stats!$F$23)))))="",0,0.2))=0,"",(IF((IF(OR(City_Inputs!$AF42="",Norm_Stats!$F$21="",Norm_Stats!$G$21="",Norm_Stats!$G$21=Norm_Stats!$F$21),"",MAX(0,MIN(100,100*(MIN(MAX(City_Inputs!$AF42,Norm_Stats!$F$21),Norm_Stats!$G$21)-Norm_Stats!$F$21)/(Norm_Stats!$G$21-Norm_Stats!$F$21)))))="",0,(IF(OR(City_Inputs!$AF42="",Norm_Stats!$F$21="",Norm_Stats!$G$21="",Norm_Stats!$G$21=Norm_Stats!$F$21),"",MAX(0,MIN(100,100*(MIN(MAX(City_Inputs!$AF42,Norm_Stats!$F$21),Norm_Stats!$G$21)-Norm_Stats!$F$21)/(Norm_Stats!$G$21-Norm_Stats!$F$21)))))*0.5)+IF((IF(OR(City_Inputs!$AI42="",Norm_Stats!$F$22="",Norm_Stats!$G$22="",Norm_Stats!$G$22=Norm_Stats!$F$22),"",MAX(0,MIN(100,100*(MIN(MAX(City_Inputs!$AI42,Norm_Stats!$F$22),Norm_Stats!$G$22)-Norm_Stats!$F$22)/(Norm_Stats!$G$22-Norm_Stats!$F$22)))))="",0,(IF(OR(City_Inputs!$AI42="",Norm_Stats!$F$22="",Norm_Stats!$G$22="",Norm_Stats!$G$22=Norm_Stats!$F$22),"",MAX(0,MIN(100,100*(MIN(MAX(City_Inputs!$AI42,Norm_Stats!$F$22),Norm_Stats!$G$22)-Norm_Stats!$F$22)/(Norm_Stats!$G$22-Norm_Stats!$F$22)))))*0.3)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0.2))/(IF((IF(OR(City_Inputs!$AF42="",Norm_Stats!$F$21="",Norm_Stats!$G$21="",Norm_Stats!$G$21=Norm_Stats!$F$21),"",MAX(0,MIN(100,100*(MIN(MAX(City_Inputs!$AF42,Norm_Stats!$F$21),Norm_Stats!$G$21)-Norm_Stats!$F$21)/(Norm_Stats!$G$21-Norm_Stats!$F$21)))))="",0,0.5)+IF((IF(OR(City_Inputs!$AI42="",Norm_Stats!$F$22="",Norm_Stats!$G$22="",Norm_Stats!$G$22=Norm_Stats!$F$22),"",MAX(0,MIN(100,100*(MIN(MAX(City_Inputs!$AI42,Norm_Stats!$F$22),Norm_Stats!$G$22)-Norm_Stats!$F$22)/(Norm_Stats!$G$22-Norm_Stats!$F$22)))))="",0,0.3)+IF((IF(OR(City_Inputs!$AJ42="",Norm_Stats!$F$23="",Norm_Stats!$G$23="",Norm_Stats!$G$23=Norm_Stats!$F$23),"",MAX(0,MIN(100,100*(MIN(MAX(City_Inputs!$AJ42,Norm_Stats!$F$23),Norm_Stats!$G$23)-Norm_Stats!$F$23)/(Norm_Stats!$G$23-Norm_Stats!$F$23)))))="",0,0.2)))</f>
        <v/>
      </c>
      <c r="AZ42" s="14">
        <f>IF((IF((IF(OR(City_Inputs!$AF42="",Norm_Stats!$F$21="",Norm_Stats!$G$21="",Norm_Stats!$G$21=Norm_Stats!$F$21),"",MAX(0,MIN(100,100*(MIN(MAX(City_Inputs!$AF42,Norm_Stats!$F$21),Norm_Stats!$G$21)-Norm_Stats!$F$21)/(Norm_Stats!$G$21-Norm_Stats!$F$21)))))="",0,0.5)+IF((IF(OR(City_Inputs!$AI42="",Norm_Stats!$F$22="",Norm_Stats!$G$22="",Norm_Stats!$G$22=Norm_Stats!$F$22),"",MAX(0,MIN(100,100*(MIN(MAX(City_Inputs!$AI42,Norm_Stats!$F$22),Norm_Stats!$G$22)-Norm_Stats!$F$22)/(Norm_Stats!$G$22-Norm_Stats!$F$22)))))="",0,0.3)+IF((IF(OR(City_Inputs!$AJ42="",Norm_Stats!$F$23="",Norm_Stats!$G$23="",Norm_Stats!$G$23=Norm_Stats!$F$23),"",MAX(0,MIN(100,100*(MIN(MAX(City_Inputs!$AJ42,Norm_Stats!$F$23),Norm_Stats!$G$23)-Norm_Stats!$F$23)/(Norm_Stats!$G$23-Norm_Stats!$F$23)))))="",0,0.2))=0,"",(IF((IF(OR(City_Inputs!$AF42="",Norm_Stats!$F$21="",Norm_Stats!$G$21="",Norm_Stats!$G$21=Norm_Stats!$F$21),"",MAX(0,MIN(100,100*(MIN(MAX(City_Inputs!$AF42,Norm_Stats!$F$21),Norm_Stats!$G$21)-Norm_Stats!$F$21)/(Norm_Stats!$G$21-Norm_Stats!$F$21)))))="",0,0.5)+IF((IF(OR(City_Inputs!$AI42="",Norm_Stats!$F$22="",Norm_Stats!$G$22="",Norm_Stats!$G$22=Norm_Stats!$F$22),"",MAX(0,MIN(100,100*(MIN(MAX(City_Inputs!$AI42,Norm_Stats!$F$22),Norm_Stats!$G$22)-Norm_Stats!$F$22)/(Norm_Stats!$G$22-Norm_Stats!$F$22)))))="",0,0.3)+IF((IF(OR(City_Inputs!$AJ42="",Norm_Stats!$F$23="",Norm_Stats!$G$23="",Norm_Stats!$G$23=Norm_Stats!$F$23),"",MAX(0,MIN(100,100*(MIN(MAX(City_Inputs!$AJ42,Norm_Stats!$F$23),Norm_Stats!$G$23)-Norm_Stats!$F$23)/(Norm_Stats!$G$23-Norm_Stats!$F$23)))))="",0,0.2)))</f>
        <v/>
      </c>
      <c r="BA42" s="11">
        <f>IF(OR(City_Inputs!$AG42="",Norm_Stats!$F$24="",Norm_Stats!$G$24="",Norm_Stats!$G$24=Norm_Stats!$F$24),"",MAX(0,MIN(100,100*(Norm_Stats!$G$24-MIN(MAX(City_Inputs!$AG42,Norm_Stats!$F$24),Norm_Stats!$G$24))/(Norm_Stats!$G$24-Norm_Stats!$F$24))))</f>
        <v/>
      </c>
      <c r="BB42" s="14">
        <f>IF(BA42="","",1)</f>
        <v/>
      </c>
      <c r="BC42" s="15">
        <f>IF((IF(AU42="",0,6)+IF(AW42="",0,5)+IF(AY42="",0,5)+IF(BA42="",0,4))=0,"",(IF(AU42="",0,AU42*6)+IF(AW42="",0,AW42*5)+IF(AY42="",0,AY42*5)+IF(BA42="",0,BA42*4))/(IF(AU42="",0,6)+IF(AW42="",0,5)+IF(AY42="",0,5)+IF(BA42="",0,4)))</f>
        <v/>
      </c>
      <c r="BD42" s="14">
        <f>IF((IF(AV42="",0,6)+IF(AX42="",0,5)+IF(AZ42="",0,5)+IF(BB42="",0,4))=0,"",(IF(AV42="",0,AV42*6)+IF(AX42="",0,AX42*5)+IF(AZ42="",0,AZ42*5)+IF(BB42="",0,BB42*4))/20)</f>
        <v/>
      </c>
      <c r="BE42" s="14">
        <f>IF(AND(R42="",AD42="",AL42="",AT42="",BD42=""),"",((R42*25)+(AD42*22)+(AL42*18)+(AT42*15)+(BD42*20))/100)</f>
        <v/>
      </c>
      <c r="BF42" s="11">
        <f>IF(BE42="","",IF(BE42&gt;=0.75,"A",IF(BE42&gt;=0.5,"B",IF(BE42&gt;=0.35,"C","Watchlist"))))</f>
        <v/>
      </c>
      <c r="BG42" s="11">
        <f>IF(OR(BE42="",BE42&lt;0.5,R42="",R42&lt;0.35,AD42="",AD42&lt;0.35,AL42="",AL42&lt;0.35,AT42="",AT42&lt;0.35,BD42="",BD42&lt;0.35),"Watchlist","Ranked")</f>
        <v/>
      </c>
      <c r="BH42" s="15">
        <f>IF(AND(Q42="",AC42="",AK42="",AS42="",BC42=""),"",(IF(Q42="",0,Q42*25)+IF(AC42="",0,AC42*22)+IF(AK42="",0,AK42*18)+IF(AS42="",0,AS42*15)+IF(BC42="",0,BC42*20))/(IF(Q42="",0,25)+IF(AC42="",0,22)+IF(AK42="",0,18)+IF(AS42="",0,15)+IF(BC42="",0,20)))</f>
        <v/>
      </c>
      <c r="BI42" s="11">
        <f>IF(BG42="Ranked",1+COUNTIFS($BG$2:$BG$101,"Ranked",$BH$2:$BH$101,"&gt;"&amp;BH42),"")</f>
        <v/>
      </c>
      <c r="BJ42" s="11">
        <f>City_Inputs!$AH42</f>
        <v/>
      </c>
    </row>
    <row r="43">
      <c r="A43" t="inlineStr">
        <is>
          <t>hu-budapest</t>
        </is>
      </c>
      <c r="B43" t="inlineStr">
        <is>
          <t>Budapest</t>
        </is>
      </c>
      <c r="C43" t="inlineStr">
        <is>
          <t>Hungary</t>
        </is>
      </c>
      <c r="D43" t="inlineStr">
        <is>
          <t>Southern/Eastern Europe and Eurasia</t>
        </is>
      </c>
      <c r="E43" t="inlineStr">
        <is>
          <t>locked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IF((IF(G43="",0,9)+IF(I43="",0,5)+IF(K43="",0,4)+IF(M43="",0,4)+IF(O43="",0,3))=0,"",(IF(G43="",0,G43*9)+IF(I43="",0,I43*5)+IF(K43="",0,K43*4)+IF(M43="",0,M43*4)+IF(O43="",0,O43*3))/(IF(G43="",0,9)+IF(I43="",0,5)+IF(K43="",0,4)+IF(M43="",0,4)+IF(O43="",0,3)))</f>
        <v/>
      </c>
      <c r="R43" s="14">
        <f>IF((IF(H43="",0,9)+IF(J43="",0,5)+IF(L43="",0,4)+IF(N43="",0,4)+IF(P43="",0,3))=0,"",(IF(H43="",0,H43*9)+IF(J43="",0,J43*5)+IF(L43="",0,L43*4)+IF(N43="",0,N43*4)+IF(P43="",0,P43*3))/25)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5">
        <f>IF((IF(S43="",0,5)+IF(U43="",0,5)+IF(W43="",0,4)+IF(Y43="",0,4)+IF(AA43="",0,4))=0,"",(IF(S43="",0,S43*5)+IF(U43="",0,U43*5)+IF(W43="",0,W43*4)+IF(Y43="",0,Y43*4)+IF(AA43="",0,AA43*4))/(IF(S43="",0,5)+IF(U43="",0,5)+IF(W43="",0,4)+IF(Y43="",0,4)+IF(AA43="",0,4)))</f>
        <v/>
      </c>
      <c r="AD43" s="14">
        <f>IF((IF(T43="",0,5)+IF(V43="",0,5)+IF(X43="",0,4)+IF(Z43="",0,4)+IF(AB43="",0,4))=0,"",(IF(T43="",0,T43*5)+IF(V43="",0,V43*5)+IF(X43="",0,X43*4)+IF(Z43="",0,Z43*4)+IF(AB43="",0,AB43*4))/22)</f>
        <v/>
      </c>
      <c r="AE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F43" s="14">
        <f>IF(AE43="","",1)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(IF((IF(OR(City_Inputs!$Z43="",Norm_Stats!$F$14="",Norm_Stats!$G$14="",Norm_Stats!$G$14=Norm_Stats!$F$14),"",MAX(0,MIN(100,100*(MIN(MAX(City_Inputs!$Z43,Norm_Stats!$F$14),Norm_Stats!$G$14)-Norm_Stats!$F$14)/(Norm_Stats!$G$14-Norm_Stats!$F$14)))))="",0,0.7)+IF((IF(OR(City_Inputs!$AK43="",Norm_Stats!$F$15="",Norm_Stats!$G$15="",Norm_Stats!$G$15=Norm_Stats!$F$15),"",MAX(0,MIN(100,100*(Norm_Stats!$G$15-MIN(MAX(City_Inputs!$AK43,Norm_Stats!$F$15),Norm_Stats!$G$15))/(Norm_Stats!$G$15-Norm_Stats!$F$15)))))="",0,0.3))=0,"",(IF((IF(OR(City_Inputs!$Z43="",Norm_Stats!$F$14="",Norm_Stats!$G$14="",Norm_Stats!$G$14=Norm_Stats!$F$14),"",MAX(0,MIN(100,100*(MIN(MAX(City_Inputs!$Z43,Norm_Stats!$F$14),Norm_Stats!$G$14)-Norm_Stats!$F$14)/(Norm_Stats!$G$14-Norm_Stats!$F$14)))))="",0,(IF(OR(City_Inputs!$Z43="",Norm_Stats!$F$14="",Norm_Stats!$G$14="",Norm_Stats!$G$14=Norm_Stats!$F$14),"",MAX(0,MIN(100,100*(MIN(MAX(City_Inputs!$Z43,Norm_Stats!$F$14),Norm_Stats!$G$14)-Norm_Stats!$F$14)/(Norm_Stats!$G$14-Norm_Stats!$F$14)))))*0.7)+IF((IF(OR(City_Inputs!$AK43="",Norm_Stats!$F$15="",Norm_Stats!$G$15="",Norm_Stats!$G$15=Norm_Stats!$F$15),"",MAX(0,MIN(100,100*(Norm_Stats!$G$15-MIN(MAX(City_Inputs!$AK43,Norm_Stats!$F$15),Norm_Stats!$G$15))/(Norm_Stats!$G$15-Norm_Stats!$F$15)))))="",0,(IF(OR(City_Inputs!$AK43="",Norm_Stats!$F$15="",Norm_Stats!$G$15="",Norm_Stats!$G$15=Norm_Stats!$F$15),"",MAX(0,MIN(100,100*(Norm_Stats!$G$15-MIN(MAX(City_Inputs!$AK43,Norm_Stats!$F$15),Norm_Stats!$G$15))/(Norm_Stats!$G$15-Norm_Stats!$F$15)))))*0.3))/(IF((IF(OR(City_Inputs!$Z43="",Norm_Stats!$F$14="",Norm_Stats!$G$14="",Norm_Stats!$G$14=Norm_Stats!$F$14),"",MAX(0,MIN(100,100*(MIN(MAX(City_Inputs!$Z43,Norm_Stats!$F$14),Norm_Stats!$G$14)-Norm_Stats!$F$14)/(Norm_Stats!$G$14-Norm_Stats!$F$14)))))="",0,0.7)+IF((IF(OR(City_Inputs!$AK43="",Norm_Stats!$F$15="",Norm_Stats!$G$15="",Norm_Stats!$G$15=Norm_Stats!$F$15),"",MAX(0,MIN(100,100*(Norm_Stats!$G$15-MIN(MAX(City_Inputs!$AK43,Norm_Stats!$F$15),Norm_Stats!$G$15))/(Norm_Stats!$G$15-Norm_Stats!$F$15)))))="",0,0.3)))</f>
        <v/>
      </c>
      <c r="AJ43" s="14">
        <f>IF((IF((IF(OR(City_Inputs!$Z43="",Norm_Stats!$F$14="",Norm_Stats!$G$14="",Norm_Stats!$G$14=Norm_Stats!$F$14),"",MAX(0,MIN(100,100*(MIN(MAX(City_Inputs!$Z43,Norm_Stats!$F$14),Norm_Stats!$G$14)-Norm_Stats!$F$14)/(Norm_Stats!$G$14-Norm_Stats!$F$14)))))="",0,0.7)+IF((IF(OR(City_Inputs!$AK43="",Norm_Stats!$F$15="",Norm_Stats!$G$15="",Norm_Stats!$G$15=Norm_Stats!$F$15),"",MAX(0,MIN(100,100*(Norm_Stats!$G$15-MIN(MAX(City_Inputs!$AK43,Norm_Stats!$F$15),Norm_Stats!$G$15))/(Norm_Stats!$G$15-Norm_Stats!$F$15)))))="",0,0.3))=0,"",(IF((IF(OR(City_Inputs!$Z43="",Norm_Stats!$F$14="",Norm_Stats!$G$14="",Norm_Stats!$G$14=Norm_Stats!$F$14),"",MAX(0,MIN(100,100*(MIN(MAX(City_Inputs!$Z43,Norm_Stats!$F$14),Norm_Stats!$G$14)-Norm_Stats!$F$14)/(Norm_Stats!$G$14-Norm_Stats!$F$14)))))="",0,0.7)+IF((IF(OR(City_Inputs!$AK43="",Norm_Stats!$F$15="",Norm_Stats!$G$15="",Norm_Stats!$G$15=Norm_Stats!$F$15),"",MAX(0,MIN(100,100*(Norm_Stats!$G$15-MIN(MAX(City_Inputs!$AK43,Norm_Stats!$F$15),Norm_Stats!$G$15))/(Norm_Stats!$G$15-Norm_Stats!$F$15)))))="",0,0.3)))</f>
        <v/>
      </c>
      <c r="AK43" s="15">
        <f>IF((IF(AE43="",0,8)+IF(AG43="",0,6)+IF(AI43="",0,4))=0,"",(IF(AE43="",0,AE43*8)+IF(AG43="",0,AG43*6)+IF(AI43="",0,AI43*4))/(IF(AE43="",0,8)+IF(AG43="",0,6)+IF(AI43="",0,4)))</f>
        <v/>
      </c>
      <c r="AL43" s="14">
        <f>IF((IF(AF43="",0,8)+IF(AH43="",0,6)+IF(AJ43="",0,4))=0,"",(IF(AF43="",0,AF43*8)+IF(AH43="",0,AH43*6)+IF(AJ43="",0,AJ43*4))/18)</f>
        <v/>
      </c>
      <c r="AM43" s="11">
        <f>IF(OR(City_Inputs!$AA43="",Norm_Stats!$F$16="",Norm_Stats!$G$16="",Norm_Stats!$G$16=Norm_Stats!$F$16),"",MAX(0,MIN(100,100*(MIN(MAX(City_Inputs!$AA43,Norm_Stats!$F$16),Norm_Stats!$G$16)-Norm_Stats!$F$16)/(Norm_Stats!$G$16-Norm_Stats!$F$16))))</f>
        <v/>
      </c>
      <c r="AN43" s="14">
        <f>IF(AM43="","",1)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5">
        <f>IF((IF(AM43="",0,5)+IF(AO43="",0,5)+IF(AQ43="",0,5))=0,"",(IF(AM43="",0,AM43*5)+IF(AO43="",0,AO43*5)+IF(AQ43="",0,AQ43*5))/(IF(AM43="",0,5)+IF(AO43="",0,5)+IF(AQ43="",0,5)))</f>
        <v/>
      </c>
      <c r="AT43" s="14">
        <f>IF((IF(AN43="",0,5)+IF(AP43="",0,5)+IF(AR43="",0,5))=0,"",(IF(AN43="",0,AN43*5)+IF(AP43="",0,AP43*5)+IF(AR43="",0,AR43*5))/15)</f>
        <v/>
      </c>
      <c r="AU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V43" s="14">
        <f>IF(AU43="","",1)</f>
        <v/>
      </c>
      <c r="AW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X43" s="14">
        <f>IF(AW43="","",1)</f>
        <v/>
      </c>
      <c r="AY43" s="11">
        <f>IF((IF((IF(OR(City_Inputs!$AF43="",Norm_Stats!$F$21="",Norm_Stats!$G$21="",Norm_Stats!$G$21=Norm_Stats!$F$21),"",MAX(0,MIN(100,100*(MIN(MAX(City_Inputs!$AF43,Norm_Stats!$F$21),Norm_Stats!$G$21)-Norm_Stats!$F$21)/(Norm_Stats!$G$21-Norm_Stats!$F$21)))))="",0,0.5)+IF((IF(OR(City_Inputs!$AI43="",Norm_Stats!$F$22="",Norm_Stats!$G$22="",Norm_Stats!$G$22=Norm_Stats!$F$22),"",MAX(0,MIN(100,100*(MIN(MAX(City_Inputs!$AI43,Norm_Stats!$F$22),Norm_Stats!$G$22)-Norm_Stats!$F$22)/(Norm_Stats!$G$22-Norm_Stats!$F$22)))))="",0,0.3)+IF((IF(OR(City_Inputs!$AJ43="",Norm_Stats!$F$23="",Norm_Stats!$G$23="",Norm_Stats!$G$23=Norm_Stats!$F$23),"",MAX(0,MIN(100,100*(MIN(MAX(City_Inputs!$AJ43,Norm_Stats!$F$23),Norm_Stats!$G$23)-Norm_Stats!$F$23)/(Norm_Stats!$G$23-Norm_Stats!$F$23)))))="",0,0.2))=0,"",(IF((IF(OR(City_Inputs!$AF43="",Norm_Stats!$F$21="",Norm_Stats!$G$21="",Norm_Stats!$G$21=Norm_Stats!$F$21),"",MAX(0,MIN(100,100*(MIN(MAX(City_Inputs!$AF43,Norm_Stats!$F$21),Norm_Stats!$G$21)-Norm_Stats!$F$21)/(Norm_Stats!$G$21-Norm_Stats!$F$21)))))="",0,(IF(OR(City_Inputs!$AF43="",Norm_Stats!$F$21="",Norm_Stats!$G$21="",Norm_Stats!$G$21=Norm_Stats!$F$21),"",MAX(0,MIN(100,100*(MIN(MAX(City_Inputs!$AF43,Norm_Stats!$F$21),Norm_Stats!$G$21)-Norm_Stats!$F$21)/(Norm_Stats!$G$21-Norm_Stats!$F$21)))))*0.5)+IF((IF(OR(City_Inputs!$AI43="",Norm_Stats!$F$22="",Norm_Stats!$G$22="",Norm_Stats!$G$22=Norm_Stats!$F$22),"",MAX(0,MIN(100,100*(MIN(MAX(City_Inputs!$AI43,Norm_Stats!$F$22),Norm_Stats!$G$22)-Norm_Stats!$F$22)/(Norm_Stats!$G$22-Norm_Stats!$F$22)))))="",0,(IF(OR(City_Inputs!$AI43="",Norm_Stats!$F$22="",Norm_Stats!$G$22="",Norm_Stats!$G$22=Norm_Stats!$F$22),"",MAX(0,MIN(100,100*(MIN(MAX(City_Inputs!$AI43,Norm_Stats!$F$22),Norm_Stats!$G$22)-Norm_Stats!$F$22)/(Norm_Stats!$G$22-Norm_Stats!$F$22)))))*0.3)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0.2))/(IF((IF(OR(City_Inputs!$AF43="",Norm_Stats!$F$21="",Norm_Stats!$G$21="",Norm_Stats!$G$21=Norm_Stats!$F$21),"",MAX(0,MIN(100,100*(MIN(MAX(City_Inputs!$AF43,Norm_Stats!$F$21),Norm_Stats!$G$21)-Norm_Stats!$F$21)/(Norm_Stats!$G$21-Norm_Stats!$F$21)))))="",0,0.5)+IF((IF(OR(City_Inputs!$AI43="",Norm_Stats!$F$22="",Norm_Stats!$G$22="",Norm_Stats!$G$22=Norm_Stats!$F$22),"",MAX(0,MIN(100,100*(MIN(MAX(City_Inputs!$AI43,Norm_Stats!$F$22),Norm_Stats!$G$22)-Norm_Stats!$F$22)/(Norm_Stats!$G$22-Norm_Stats!$F$22)))))="",0,0.3)+IF((IF(OR(City_Inputs!$AJ43="",Norm_Stats!$F$23="",Norm_Stats!$G$23="",Norm_Stats!$G$23=Norm_Stats!$F$23),"",MAX(0,MIN(100,100*(MIN(MAX(City_Inputs!$AJ43,Norm_Stats!$F$23),Norm_Stats!$G$23)-Norm_Stats!$F$23)/(Norm_Stats!$G$23-Norm_Stats!$F$23)))))="",0,0.2)))</f>
        <v/>
      </c>
      <c r="AZ43" s="14">
        <f>IF((IF((IF(OR(City_Inputs!$AF43="",Norm_Stats!$F$21="",Norm_Stats!$G$21="",Norm_Stats!$G$21=Norm_Stats!$F$21),"",MAX(0,MIN(100,100*(MIN(MAX(City_Inputs!$AF43,Norm_Stats!$F$21),Norm_Stats!$G$21)-Norm_Stats!$F$21)/(Norm_Stats!$G$21-Norm_Stats!$F$21)))))="",0,0.5)+IF((IF(OR(City_Inputs!$AI43="",Norm_Stats!$F$22="",Norm_Stats!$G$22="",Norm_Stats!$G$22=Norm_Stats!$F$22),"",MAX(0,MIN(100,100*(MIN(MAX(City_Inputs!$AI43,Norm_Stats!$F$22),Norm_Stats!$G$22)-Norm_Stats!$F$22)/(Norm_Stats!$G$22-Norm_Stats!$F$22)))))="",0,0.3)+IF((IF(OR(City_Inputs!$AJ43="",Norm_Stats!$F$23="",Norm_Stats!$G$23="",Norm_Stats!$G$23=Norm_Stats!$F$23),"",MAX(0,MIN(100,100*(MIN(MAX(City_Inputs!$AJ43,Norm_Stats!$F$23),Norm_Stats!$G$23)-Norm_Stats!$F$23)/(Norm_Stats!$G$23-Norm_Stats!$F$23)))))="",0,0.2))=0,"",(IF((IF(OR(City_Inputs!$AF43="",Norm_Stats!$F$21="",Norm_Stats!$G$21="",Norm_Stats!$G$21=Norm_Stats!$F$21),"",MAX(0,MIN(100,100*(MIN(MAX(City_Inputs!$AF43,Norm_Stats!$F$21),Norm_Stats!$G$21)-Norm_Stats!$F$21)/(Norm_Stats!$G$21-Norm_Stats!$F$21)))))="",0,0.5)+IF((IF(OR(City_Inputs!$AI43="",Norm_Stats!$F$22="",Norm_Stats!$G$22="",Norm_Stats!$G$22=Norm_Stats!$F$22),"",MAX(0,MIN(100,100*(MIN(MAX(City_Inputs!$AI43,Norm_Stats!$F$22),Norm_Stats!$G$22)-Norm_Stats!$F$22)/(Norm_Stats!$G$22-Norm_Stats!$F$22)))))="",0,0.3)+IF((IF(OR(City_Inputs!$AJ43="",Norm_Stats!$F$23="",Norm_Stats!$G$23="",Norm_Stats!$G$23=Norm_Stats!$F$23),"",MAX(0,MIN(100,100*(MIN(MAX(City_Inputs!$AJ43,Norm_Stats!$F$23),Norm_Stats!$G$23)-Norm_Stats!$F$23)/(Norm_Stats!$G$23-Norm_Stats!$F$23)))))="",0,0.2)))</f>
        <v/>
      </c>
      <c r="BA43" s="11">
        <f>IF(OR(City_Inputs!$AG43="",Norm_Stats!$F$24="",Norm_Stats!$G$24="",Norm_Stats!$G$24=Norm_Stats!$F$24),"",MAX(0,MIN(100,100*(Norm_Stats!$G$24-MIN(MAX(City_Inputs!$AG43,Norm_Stats!$F$24),Norm_Stats!$G$24))/(Norm_Stats!$G$24-Norm_Stats!$F$24))))</f>
        <v/>
      </c>
      <c r="BB43" s="14">
        <f>IF(BA43="","",1)</f>
        <v/>
      </c>
      <c r="BC43" s="15">
        <f>IF((IF(AU43="",0,6)+IF(AW43="",0,5)+IF(AY43="",0,5)+IF(BA43="",0,4))=0,"",(IF(AU43="",0,AU43*6)+IF(AW43="",0,AW43*5)+IF(AY43="",0,AY43*5)+IF(BA43="",0,BA43*4))/(IF(AU43="",0,6)+IF(AW43="",0,5)+IF(AY43="",0,5)+IF(BA43="",0,4)))</f>
        <v/>
      </c>
      <c r="BD43" s="14">
        <f>IF((IF(AV43="",0,6)+IF(AX43="",0,5)+IF(AZ43="",0,5)+IF(BB43="",0,4))=0,"",(IF(AV43="",0,AV43*6)+IF(AX43="",0,AX43*5)+IF(AZ43="",0,AZ43*5)+IF(BB43="",0,BB43*4))/20)</f>
        <v/>
      </c>
      <c r="BE43" s="14">
        <f>IF(AND(R43="",AD43="",AL43="",AT43="",BD43=""),"",((R43*25)+(AD43*22)+(AL43*18)+(AT43*15)+(BD43*20))/100)</f>
        <v/>
      </c>
      <c r="BF43" s="11">
        <f>IF(BE43="","",IF(BE43&gt;=0.75,"A",IF(BE43&gt;=0.5,"B",IF(BE43&gt;=0.35,"C","Watchlist"))))</f>
        <v/>
      </c>
      <c r="BG43" s="11">
        <f>IF(OR(BE43="",BE43&lt;0.5,R43="",R43&lt;0.35,AD43="",AD43&lt;0.35,AL43="",AL43&lt;0.35,AT43="",AT43&lt;0.35,BD43="",BD43&lt;0.35),"Watchlist","Ranked")</f>
        <v/>
      </c>
      <c r="BH43" s="15">
        <f>IF(AND(Q43="",AC43="",AK43="",AS43="",BC43=""),"",(IF(Q43="",0,Q43*25)+IF(AC43="",0,AC43*22)+IF(AK43="",0,AK43*18)+IF(AS43="",0,AS43*15)+IF(BC43="",0,BC43*20))/(IF(Q43="",0,25)+IF(AC43="",0,22)+IF(AK43="",0,18)+IF(AS43="",0,15)+IF(BC43="",0,20)))</f>
        <v/>
      </c>
      <c r="BI43" s="11">
        <f>IF(BG43="Ranked",1+COUNTIFS($BG$2:$BG$101,"Ranked",$BH$2:$BH$101,"&gt;"&amp;BH43),"")</f>
        <v/>
      </c>
      <c r="BJ43" s="11">
        <f>City_Inputs!$AH43</f>
        <v/>
      </c>
    </row>
    <row r="44">
      <c r="A44" t="inlineStr">
        <is>
          <t>pl-krakow</t>
        </is>
      </c>
      <c r="B44" t="inlineStr">
        <is>
          <t>Krakow</t>
        </is>
      </c>
      <c r="C44" t="inlineStr">
        <is>
          <t>Poland</t>
        </is>
      </c>
      <c r="D44" t="inlineStr">
        <is>
          <t>Southern/Eastern Europe and Eurasia</t>
        </is>
      </c>
      <c r="E44" t="inlineStr">
        <is>
          <t>locked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IF((IF(G44="",0,9)+IF(I44="",0,5)+IF(K44="",0,4)+IF(M44="",0,4)+IF(O44="",0,3))=0,"",(IF(G44="",0,G44*9)+IF(I44="",0,I44*5)+IF(K44="",0,K44*4)+IF(M44="",0,M44*4)+IF(O44="",0,O44*3))/(IF(G44="",0,9)+IF(I44="",0,5)+IF(K44="",0,4)+IF(M44="",0,4)+IF(O44="",0,3)))</f>
        <v/>
      </c>
      <c r="R44" s="14">
        <f>IF((IF(H44="",0,9)+IF(J44="",0,5)+IF(L44="",0,4)+IF(N44="",0,4)+IF(P44="",0,3))=0,"",(IF(H44="",0,H44*9)+IF(J44="",0,J44*5)+IF(L44="",0,L44*4)+IF(N44="",0,N44*4)+IF(P44="",0,P44*3))/25)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5">
        <f>IF((IF(S44="",0,5)+IF(U44="",0,5)+IF(W44="",0,4)+IF(Y44="",0,4)+IF(AA44="",0,4))=0,"",(IF(S44="",0,S44*5)+IF(U44="",0,U44*5)+IF(W44="",0,W44*4)+IF(Y44="",0,Y44*4)+IF(AA44="",0,AA44*4))/(IF(S44="",0,5)+IF(U44="",0,5)+IF(W44="",0,4)+IF(Y44="",0,4)+IF(AA44="",0,4)))</f>
        <v/>
      </c>
      <c r="AD44" s="14">
        <f>IF((IF(T44="",0,5)+IF(V44="",0,5)+IF(X44="",0,4)+IF(Z44="",0,4)+IF(AB44="",0,4))=0,"",(IF(T44="",0,T44*5)+IF(V44="",0,V44*5)+IF(X44="",0,X44*4)+IF(Z44="",0,Z44*4)+IF(AB44="",0,AB44*4))/22)</f>
        <v/>
      </c>
      <c r="AE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F44" s="14">
        <f>IF(AE44="","",1)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(IF((IF(OR(City_Inputs!$Z44="",Norm_Stats!$F$14="",Norm_Stats!$G$14="",Norm_Stats!$G$14=Norm_Stats!$F$14),"",MAX(0,MIN(100,100*(MIN(MAX(City_Inputs!$Z44,Norm_Stats!$F$14),Norm_Stats!$G$14)-Norm_Stats!$F$14)/(Norm_Stats!$G$14-Norm_Stats!$F$14)))))="",0,0.7)+IF((IF(OR(City_Inputs!$AK44="",Norm_Stats!$F$15="",Norm_Stats!$G$15="",Norm_Stats!$G$15=Norm_Stats!$F$15),"",MAX(0,MIN(100,100*(Norm_Stats!$G$15-MIN(MAX(City_Inputs!$AK44,Norm_Stats!$F$15),Norm_Stats!$G$15))/(Norm_Stats!$G$15-Norm_Stats!$F$15)))))="",0,0.3))=0,"",(IF((IF(OR(City_Inputs!$Z44="",Norm_Stats!$F$14="",Norm_Stats!$G$14="",Norm_Stats!$G$14=Norm_Stats!$F$14),"",MAX(0,MIN(100,100*(MIN(MAX(City_Inputs!$Z44,Norm_Stats!$F$14),Norm_Stats!$G$14)-Norm_Stats!$F$14)/(Norm_Stats!$G$14-Norm_Stats!$F$14)))))="",0,(IF(OR(City_Inputs!$Z44="",Norm_Stats!$F$14="",Norm_Stats!$G$14="",Norm_Stats!$G$14=Norm_Stats!$F$14),"",MAX(0,MIN(100,100*(MIN(MAX(City_Inputs!$Z44,Norm_Stats!$F$14),Norm_Stats!$G$14)-Norm_Stats!$F$14)/(Norm_Stats!$G$14-Norm_Stats!$F$14)))))*0.7)+IF((IF(OR(City_Inputs!$AK44="",Norm_Stats!$F$15="",Norm_Stats!$G$15="",Norm_Stats!$G$15=Norm_Stats!$F$15),"",MAX(0,MIN(100,100*(Norm_Stats!$G$15-MIN(MAX(City_Inputs!$AK44,Norm_Stats!$F$15),Norm_Stats!$G$15))/(Norm_Stats!$G$15-Norm_Stats!$F$15)))))="",0,(IF(OR(City_Inputs!$AK44="",Norm_Stats!$F$15="",Norm_Stats!$G$15="",Norm_Stats!$G$15=Norm_Stats!$F$15),"",MAX(0,MIN(100,100*(Norm_Stats!$G$15-MIN(MAX(City_Inputs!$AK44,Norm_Stats!$F$15),Norm_Stats!$G$15))/(Norm_Stats!$G$15-Norm_Stats!$F$15)))))*0.3))/(IF((IF(OR(City_Inputs!$Z44="",Norm_Stats!$F$14="",Norm_Stats!$G$14="",Norm_Stats!$G$14=Norm_Stats!$F$14),"",MAX(0,MIN(100,100*(MIN(MAX(City_Inputs!$Z44,Norm_Stats!$F$14),Norm_Stats!$G$14)-Norm_Stats!$F$14)/(Norm_Stats!$G$14-Norm_Stats!$F$14)))))="",0,0.7)+IF((IF(OR(City_Inputs!$AK44="",Norm_Stats!$F$15="",Norm_Stats!$G$15="",Norm_Stats!$G$15=Norm_Stats!$F$15),"",MAX(0,MIN(100,100*(Norm_Stats!$G$15-MIN(MAX(City_Inputs!$AK44,Norm_Stats!$F$15),Norm_Stats!$G$15))/(Norm_Stats!$G$15-Norm_Stats!$F$15)))))="",0,0.3)))</f>
        <v/>
      </c>
      <c r="AJ44" s="14">
        <f>IF((IF((IF(OR(City_Inputs!$Z44="",Norm_Stats!$F$14="",Norm_Stats!$G$14="",Norm_Stats!$G$14=Norm_Stats!$F$14),"",MAX(0,MIN(100,100*(MIN(MAX(City_Inputs!$Z44,Norm_Stats!$F$14),Norm_Stats!$G$14)-Norm_Stats!$F$14)/(Norm_Stats!$G$14-Norm_Stats!$F$14)))))="",0,0.7)+IF((IF(OR(City_Inputs!$AK44="",Norm_Stats!$F$15="",Norm_Stats!$G$15="",Norm_Stats!$G$15=Norm_Stats!$F$15),"",MAX(0,MIN(100,100*(Norm_Stats!$G$15-MIN(MAX(City_Inputs!$AK44,Norm_Stats!$F$15),Norm_Stats!$G$15))/(Norm_Stats!$G$15-Norm_Stats!$F$15)))))="",0,0.3))=0,"",(IF((IF(OR(City_Inputs!$Z44="",Norm_Stats!$F$14="",Norm_Stats!$G$14="",Norm_Stats!$G$14=Norm_Stats!$F$14),"",MAX(0,MIN(100,100*(MIN(MAX(City_Inputs!$Z44,Norm_Stats!$F$14),Norm_Stats!$G$14)-Norm_Stats!$F$14)/(Norm_Stats!$G$14-Norm_Stats!$F$14)))))="",0,0.7)+IF((IF(OR(City_Inputs!$AK44="",Norm_Stats!$F$15="",Norm_Stats!$G$15="",Norm_Stats!$G$15=Norm_Stats!$F$15),"",MAX(0,MIN(100,100*(Norm_Stats!$G$15-MIN(MAX(City_Inputs!$AK44,Norm_Stats!$F$15),Norm_Stats!$G$15))/(Norm_Stats!$G$15-Norm_Stats!$F$15)))))="",0,0.3)))</f>
        <v/>
      </c>
      <c r="AK44" s="15">
        <f>IF((IF(AE44="",0,8)+IF(AG44="",0,6)+IF(AI44="",0,4))=0,"",(IF(AE44="",0,AE44*8)+IF(AG44="",0,AG44*6)+IF(AI44="",0,AI44*4))/(IF(AE44="",0,8)+IF(AG44="",0,6)+IF(AI44="",0,4)))</f>
        <v/>
      </c>
      <c r="AL44" s="14">
        <f>IF((IF(AF44="",0,8)+IF(AH44="",0,6)+IF(AJ44="",0,4))=0,"",(IF(AF44="",0,AF44*8)+IF(AH44="",0,AH44*6)+IF(AJ44="",0,AJ44*4))/18)</f>
        <v/>
      </c>
      <c r="AM44" s="11">
        <f>IF(OR(City_Inputs!$AA44="",Norm_Stats!$F$16="",Norm_Stats!$G$16="",Norm_Stats!$G$16=Norm_Stats!$F$16),"",MAX(0,MIN(100,100*(MIN(MAX(City_Inputs!$AA44,Norm_Stats!$F$16),Norm_Stats!$G$16)-Norm_Stats!$F$16)/(Norm_Stats!$G$16-Norm_Stats!$F$16))))</f>
        <v/>
      </c>
      <c r="AN44" s="14">
        <f>IF(AM44="","",1)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5">
        <f>IF((IF(AM44="",0,5)+IF(AO44="",0,5)+IF(AQ44="",0,5))=0,"",(IF(AM44="",0,AM44*5)+IF(AO44="",0,AO44*5)+IF(AQ44="",0,AQ44*5))/(IF(AM44="",0,5)+IF(AO44="",0,5)+IF(AQ44="",0,5)))</f>
        <v/>
      </c>
      <c r="AT44" s="14">
        <f>IF((IF(AN44="",0,5)+IF(AP44="",0,5)+IF(AR44="",0,5))=0,"",(IF(AN44="",0,AN44*5)+IF(AP44="",0,AP44*5)+IF(AR44="",0,AR44*5))/15)</f>
        <v/>
      </c>
      <c r="AU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V44" s="14">
        <f>IF(AU44="","",1)</f>
        <v/>
      </c>
      <c r="AW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X44" s="14">
        <f>IF(AW44="","",1)</f>
        <v/>
      </c>
      <c r="AY44" s="11">
        <f>IF((IF((IF(OR(City_Inputs!$AF44="",Norm_Stats!$F$21="",Norm_Stats!$G$21="",Norm_Stats!$G$21=Norm_Stats!$F$21),"",MAX(0,MIN(100,100*(MIN(MAX(City_Inputs!$AF44,Norm_Stats!$F$21),Norm_Stats!$G$21)-Norm_Stats!$F$21)/(Norm_Stats!$G$21-Norm_Stats!$F$21)))))="",0,0.5)+IF((IF(OR(City_Inputs!$AI44="",Norm_Stats!$F$22="",Norm_Stats!$G$22="",Norm_Stats!$G$22=Norm_Stats!$F$22),"",MAX(0,MIN(100,100*(MIN(MAX(City_Inputs!$AI44,Norm_Stats!$F$22),Norm_Stats!$G$22)-Norm_Stats!$F$22)/(Norm_Stats!$G$22-Norm_Stats!$F$22)))))="",0,0.3)+IF((IF(OR(City_Inputs!$AJ44="",Norm_Stats!$F$23="",Norm_Stats!$G$23="",Norm_Stats!$G$23=Norm_Stats!$F$23),"",MAX(0,MIN(100,100*(MIN(MAX(City_Inputs!$AJ44,Norm_Stats!$F$23),Norm_Stats!$G$23)-Norm_Stats!$F$23)/(Norm_Stats!$G$23-Norm_Stats!$F$23)))))="",0,0.2))=0,"",(IF((IF(OR(City_Inputs!$AF44="",Norm_Stats!$F$21="",Norm_Stats!$G$21="",Norm_Stats!$G$21=Norm_Stats!$F$21),"",MAX(0,MIN(100,100*(MIN(MAX(City_Inputs!$AF44,Norm_Stats!$F$21),Norm_Stats!$G$21)-Norm_Stats!$F$21)/(Norm_Stats!$G$21-Norm_Stats!$F$21)))))="",0,(IF(OR(City_Inputs!$AF44="",Norm_Stats!$F$21="",Norm_Stats!$G$21="",Norm_Stats!$G$21=Norm_Stats!$F$21),"",MAX(0,MIN(100,100*(MIN(MAX(City_Inputs!$AF44,Norm_Stats!$F$21),Norm_Stats!$G$21)-Norm_Stats!$F$21)/(Norm_Stats!$G$21-Norm_Stats!$F$21)))))*0.5)+IF((IF(OR(City_Inputs!$AI44="",Norm_Stats!$F$22="",Norm_Stats!$G$22="",Norm_Stats!$G$22=Norm_Stats!$F$22),"",MAX(0,MIN(100,100*(MIN(MAX(City_Inputs!$AI44,Norm_Stats!$F$22),Norm_Stats!$G$22)-Norm_Stats!$F$22)/(Norm_Stats!$G$22-Norm_Stats!$F$22)))))="",0,(IF(OR(City_Inputs!$AI44="",Norm_Stats!$F$22="",Norm_Stats!$G$22="",Norm_Stats!$G$22=Norm_Stats!$F$22),"",MAX(0,MIN(100,100*(MIN(MAX(City_Inputs!$AI44,Norm_Stats!$F$22),Norm_Stats!$G$22)-Norm_Stats!$F$22)/(Norm_Stats!$G$22-Norm_Stats!$F$22)))))*0.3)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0.2))/(IF((IF(OR(City_Inputs!$AF44="",Norm_Stats!$F$21="",Norm_Stats!$G$21="",Norm_Stats!$G$21=Norm_Stats!$F$21),"",MAX(0,MIN(100,100*(MIN(MAX(City_Inputs!$AF44,Norm_Stats!$F$21),Norm_Stats!$G$21)-Norm_Stats!$F$21)/(Norm_Stats!$G$21-Norm_Stats!$F$21)))))="",0,0.5)+IF((IF(OR(City_Inputs!$AI44="",Norm_Stats!$F$22="",Norm_Stats!$G$22="",Norm_Stats!$G$22=Norm_Stats!$F$22),"",MAX(0,MIN(100,100*(MIN(MAX(City_Inputs!$AI44,Norm_Stats!$F$22),Norm_Stats!$G$22)-Norm_Stats!$F$22)/(Norm_Stats!$G$22-Norm_Stats!$F$22)))))="",0,0.3)+IF((IF(OR(City_Inputs!$AJ44="",Norm_Stats!$F$23="",Norm_Stats!$G$23="",Norm_Stats!$G$23=Norm_Stats!$F$23),"",MAX(0,MIN(100,100*(MIN(MAX(City_Inputs!$AJ44,Norm_Stats!$F$23),Norm_Stats!$G$23)-Norm_Stats!$F$23)/(Norm_Stats!$G$23-Norm_Stats!$F$23)))))="",0,0.2)))</f>
        <v/>
      </c>
      <c r="AZ44" s="14">
        <f>IF((IF((IF(OR(City_Inputs!$AF44="",Norm_Stats!$F$21="",Norm_Stats!$G$21="",Norm_Stats!$G$21=Norm_Stats!$F$21),"",MAX(0,MIN(100,100*(MIN(MAX(City_Inputs!$AF44,Norm_Stats!$F$21),Norm_Stats!$G$21)-Norm_Stats!$F$21)/(Norm_Stats!$G$21-Norm_Stats!$F$21)))))="",0,0.5)+IF((IF(OR(City_Inputs!$AI44="",Norm_Stats!$F$22="",Norm_Stats!$G$22="",Norm_Stats!$G$22=Norm_Stats!$F$22),"",MAX(0,MIN(100,100*(MIN(MAX(City_Inputs!$AI44,Norm_Stats!$F$22),Norm_Stats!$G$22)-Norm_Stats!$F$22)/(Norm_Stats!$G$22-Norm_Stats!$F$22)))))="",0,0.3)+IF((IF(OR(City_Inputs!$AJ44="",Norm_Stats!$F$23="",Norm_Stats!$G$23="",Norm_Stats!$G$23=Norm_Stats!$F$23),"",MAX(0,MIN(100,100*(MIN(MAX(City_Inputs!$AJ44,Norm_Stats!$F$23),Norm_Stats!$G$23)-Norm_Stats!$F$23)/(Norm_Stats!$G$23-Norm_Stats!$F$23)))))="",0,0.2))=0,"",(IF((IF(OR(City_Inputs!$AF44="",Norm_Stats!$F$21="",Norm_Stats!$G$21="",Norm_Stats!$G$21=Norm_Stats!$F$21),"",MAX(0,MIN(100,100*(MIN(MAX(City_Inputs!$AF44,Norm_Stats!$F$21),Norm_Stats!$G$21)-Norm_Stats!$F$21)/(Norm_Stats!$G$21-Norm_Stats!$F$21)))))="",0,0.5)+IF((IF(OR(City_Inputs!$AI44="",Norm_Stats!$F$22="",Norm_Stats!$G$22="",Norm_Stats!$G$22=Norm_Stats!$F$22),"",MAX(0,MIN(100,100*(MIN(MAX(City_Inputs!$AI44,Norm_Stats!$F$22),Norm_Stats!$G$22)-Norm_Stats!$F$22)/(Norm_Stats!$G$22-Norm_Stats!$F$22)))))="",0,0.3)+IF((IF(OR(City_Inputs!$AJ44="",Norm_Stats!$F$23="",Norm_Stats!$G$23="",Norm_Stats!$G$23=Norm_Stats!$F$23),"",MAX(0,MIN(100,100*(MIN(MAX(City_Inputs!$AJ44,Norm_Stats!$F$23),Norm_Stats!$G$23)-Norm_Stats!$F$23)/(Norm_Stats!$G$23-Norm_Stats!$F$23)))))="",0,0.2)))</f>
        <v/>
      </c>
      <c r="BA44" s="11">
        <f>IF(OR(City_Inputs!$AG44="",Norm_Stats!$F$24="",Norm_Stats!$G$24="",Norm_Stats!$G$24=Norm_Stats!$F$24),"",MAX(0,MIN(100,100*(Norm_Stats!$G$24-MIN(MAX(City_Inputs!$AG44,Norm_Stats!$F$24),Norm_Stats!$G$24))/(Norm_Stats!$G$24-Norm_Stats!$F$24))))</f>
        <v/>
      </c>
      <c r="BB44" s="14">
        <f>IF(BA44="","",1)</f>
        <v/>
      </c>
      <c r="BC44" s="15">
        <f>IF((IF(AU44="",0,6)+IF(AW44="",0,5)+IF(AY44="",0,5)+IF(BA44="",0,4))=0,"",(IF(AU44="",0,AU44*6)+IF(AW44="",0,AW44*5)+IF(AY44="",0,AY44*5)+IF(BA44="",0,BA44*4))/(IF(AU44="",0,6)+IF(AW44="",0,5)+IF(AY44="",0,5)+IF(BA44="",0,4)))</f>
        <v/>
      </c>
      <c r="BD44" s="14">
        <f>IF((IF(AV44="",0,6)+IF(AX44="",0,5)+IF(AZ44="",0,5)+IF(BB44="",0,4))=0,"",(IF(AV44="",0,AV44*6)+IF(AX44="",0,AX44*5)+IF(AZ44="",0,AZ44*5)+IF(BB44="",0,BB44*4))/20)</f>
        <v/>
      </c>
      <c r="BE44" s="14">
        <f>IF(AND(R44="",AD44="",AL44="",AT44="",BD44=""),"",((R44*25)+(AD44*22)+(AL44*18)+(AT44*15)+(BD44*20))/100)</f>
        <v/>
      </c>
      <c r="BF44" s="11">
        <f>IF(BE44="","",IF(BE44&gt;=0.75,"A",IF(BE44&gt;=0.5,"B",IF(BE44&gt;=0.35,"C","Watchlist"))))</f>
        <v/>
      </c>
      <c r="BG44" s="11">
        <f>IF(OR(BE44="",BE44&lt;0.5,R44="",R44&lt;0.35,AD44="",AD44&lt;0.35,AL44="",AL44&lt;0.35,AT44="",AT44&lt;0.35,BD44="",BD44&lt;0.35),"Watchlist","Ranked")</f>
        <v/>
      </c>
      <c r="BH44" s="15">
        <f>IF(AND(Q44="",AC44="",AK44="",AS44="",BC44=""),"",(IF(Q44="",0,Q44*25)+IF(AC44="",0,AC44*22)+IF(AK44="",0,AK44*18)+IF(AS44="",0,AS44*15)+IF(BC44="",0,BC44*20))/(IF(Q44="",0,25)+IF(AC44="",0,22)+IF(AK44="",0,18)+IF(AS44="",0,15)+IF(BC44="",0,20)))</f>
        <v/>
      </c>
      <c r="BI44" s="11">
        <f>IF(BG44="Ranked",1+COUNTIFS($BG$2:$BG$101,"Ranked",$BH$2:$BH$101,"&gt;"&amp;BH44),"")</f>
        <v/>
      </c>
      <c r="BJ44" s="11">
        <f>City_Inputs!$AH44</f>
        <v/>
      </c>
    </row>
    <row r="45">
      <c r="A45" t="inlineStr">
        <is>
          <t>ro-bucharest</t>
        </is>
      </c>
      <c r="B45" t="inlineStr">
        <is>
          <t>Bucharest</t>
        </is>
      </c>
      <c r="C45" t="inlineStr">
        <is>
          <t>Romania</t>
        </is>
      </c>
      <c r="D45" t="inlineStr">
        <is>
          <t>Southern/Eastern Europe and Eurasia</t>
        </is>
      </c>
      <c r="E45" t="inlineStr">
        <is>
          <t>locked</t>
        </is>
      </c>
      <c r="F45" t="inlineStr">
        <is>
          <t>primary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IF((IF(G45="",0,9)+IF(I45="",0,5)+IF(K45="",0,4)+IF(M45="",0,4)+IF(O45="",0,3))=0,"",(IF(G45="",0,G45*9)+IF(I45="",0,I45*5)+IF(K45="",0,K45*4)+IF(M45="",0,M45*4)+IF(O45="",0,O45*3))/(IF(G45="",0,9)+IF(I45="",0,5)+IF(K45="",0,4)+IF(M45="",0,4)+IF(O45="",0,3)))</f>
        <v/>
      </c>
      <c r="R45" s="14">
        <f>IF((IF(H45="",0,9)+IF(J45="",0,5)+IF(L45="",0,4)+IF(N45="",0,4)+IF(P45="",0,3))=0,"",(IF(H45="",0,H45*9)+IF(J45="",0,J45*5)+IF(L45="",0,L45*4)+IF(N45="",0,N45*4)+IF(P45="",0,P45*3))/25)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5">
        <f>IF((IF(S45="",0,5)+IF(U45="",0,5)+IF(W45="",0,4)+IF(Y45="",0,4)+IF(AA45="",0,4))=0,"",(IF(S45="",0,S45*5)+IF(U45="",0,U45*5)+IF(W45="",0,W45*4)+IF(Y45="",0,Y45*4)+IF(AA45="",0,AA45*4))/(IF(S45="",0,5)+IF(U45="",0,5)+IF(W45="",0,4)+IF(Y45="",0,4)+IF(AA45="",0,4)))</f>
        <v/>
      </c>
      <c r="AD45" s="14">
        <f>IF((IF(T45="",0,5)+IF(V45="",0,5)+IF(X45="",0,4)+IF(Z45="",0,4)+IF(AB45="",0,4))=0,"",(IF(T45="",0,T45*5)+IF(V45="",0,V45*5)+IF(X45="",0,X45*4)+IF(Z45="",0,Z45*4)+IF(AB45="",0,AB45*4))/22)</f>
        <v/>
      </c>
      <c r="AE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F45" s="14">
        <f>IF(AE45="","",1)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(IF((IF(OR(City_Inputs!$Z45="",Norm_Stats!$F$14="",Norm_Stats!$G$14="",Norm_Stats!$G$14=Norm_Stats!$F$14),"",MAX(0,MIN(100,100*(MIN(MAX(City_Inputs!$Z45,Norm_Stats!$F$14),Norm_Stats!$G$14)-Norm_Stats!$F$14)/(Norm_Stats!$G$14-Norm_Stats!$F$14)))))="",0,0.7)+IF((IF(OR(City_Inputs!$AK45="",Norm_Stats!$F$15="",Norm_Stats!$G$15="",Norm_Stats!$G$15=Norm_Stats!$F$15),"",MAX(0,MIN(100,100*(Norm_Stats!$G$15-MIN(MAX(City_Inputs!$AK45,Norm_Stats!$F$15),Norm_Stats!$G$15))/(Norm_Stats!$G$15-Norm_Stats!$F$15)))))="",0,0.3))=0,"",(IF((IF(OR(City_Inputs!$Z45="",Norm_Stats!$F$14="",Norm_Stats!$G$14="",Norm_Stats!$G$14=Norm_Stats!$F$14),"",MAX(0,MIN(100,100*(MIN(MAX(City_Inputs!$Z45,Norm_Stats!$F$14),Norm_Stats!$G$14)-Norm_Stats!$F$14)/(Norm_Stats!$G$14-Norm_Stats!$F$14)))))="",0,(IF(OR(City_Inputs!$Z45="",Norm_Stats!$F$14="",Norm_Stats!$G$14="",Norm_Stats!$G$14=Norm_Stats!$F$14),"",MAX(0,MIN(100,100*(MIN(MAX(City_Inputs!$Z45,Norm_Stats!$F$14),Norm_Stats!$G$14)-Norm_Stats!$F$14)/(Norm_Stats!$G$14-Norm_Stats!$F$14)))))*0.7)+IF((IF(OR(City_Inputs!$AK45="",Norm_Stats!$F$15="",Norm_Stats!$G$15="",Norm_Stats!$G$15=Norm_Stats!$F$15),"",MAX(0,MIN(100,100*(Norm_Stats!$G$15-MIN(MAX(City_Inputs!$AK45,Norm_Stats!$F$15),Norm_Stats!$G$15))/(Norm_Stats!$G$15-Norm_Stats!$F$15)))))="",0,(IF(OR(City_Inputs!$AK45="",Norm_Stats!$F$15="",Norm_Stats!$G$15="",Norm_Stats!$G$15=Norm_Stats!$F$15),"",MAX(0,MIN(100,100*(Norm_Stats!$G$15-MIN(MAX(City_Inputs!$AK45,Norm_Stats!$F$15),Norm_Stats!$G$15))/(Norm_Stats!$G$15-Norm_Stats!$F$15)))))*0.3))/(IF((IF(OR(City_Inputs!$Z45="",Norm_Stats!$F$14="",Norm_Stats!$G$14="",Norm_Stats!$G$14=Norm_Stats!$F$14),"",MAX(0,MIN(100,100*(MIN(MAX(City_Inputs!$Z45,Norm_Stats!$F$14),Norm_Stats!$G$14)-Norm_Stats!$F$14)/(Norm_Stats!$G$14-Norm_Stats!$F$14)))))="",0,0.7)+IF((IF(OR(City_Inputs!$AK45="",Norm_Stats!$F$15="",Norm_Stats!$G$15="",Norm_Stats!$G$15=Norm_Stats!$F$15),"",MAX(0,MIN(100,100*(Norm_Stats!$G$15-MIN(MAX(City_Inputs!$AK45,Norm_Stats!$F$15),Norm_Stats!$G$15))/(Norm_Stats!$G$15-Norm_Stats!$F$15)))))="",0,0.3)))</f>
        <v/>
      </c>
      <c r="AJ45" s="14">
        <f>IF((IF((IF(OR(City_Inputs!$Z45="",Norm_Stats!$F$14="",Norm_Stats!$G$14="",Norm_Stats!$G$14=Norm_Stats!$F$14),"",MAX(0,MIN(100,100*(MIN(MAX(City_Inputs!$Z45,Norm_Stats!$F$14),Norm_Stats!$G$14)-Norm_Stats!$F$14)/(Norm_Stats!$G$14-Norm_Stats!$F$14)))))="",0,0.7)+IF((IF(OR(City_Inputs!$AK45="",Norm_Stats!$F$15="",Norm_Stats!$G$15="",Norm_Stats!$G$15=Norm_Stats!$F$15),"",MAX(0,MIN(100,100*(Norm_Stats!$G$15-MIN(MAX(City_Inputs!$AK45,Norm_Stats!$F$15),Norm_Stats!$G$15))/(Norm_Stats!$G$15-Norm_Stats!$F$15)))))="",0,0.3))=0,"",(IF((IF(OR(City_Inputs!$Z45="",Norm_Stats!$F$14="",Norm_Stats!$G$14="",Norm_Stats!$G$14=Norm_Stats!$F$14),"",MAX(0,MIN(100,100*(MIN(MAX(City_Inputs!$Z45,Norm_Stats!$F$14),Norm_Stats!$G$14)-Norm_Stats!$F$14)/(Norm_Stats!$G$14-Norm_Stats!$F$14)))))="",0,0.7)+IF((IF(OR(City_Inputs!$AK45="",Norm_Stats!$F$15="",Norm_Stats!$G$15="",Norm_Stats!$G$15=Norm_Stats!$F$15),"",MAX(0,MIN(100,100*(Norm_Stats!$G$15-MIN(MAX(City_Inputs!$AK45,Norm_Stats!$F$15),Norm_Stats!$G$15))/(Norm_Stats!$G$15-Norm_Stats!$F$15)))))="",0,0.3)))</f>
        <v/>
      </c>
      <c r="AK45" s="15">
        <f>IF((IF(AE45="",0,8)+IF(AG45="",0,6)+IF(AI45="",0,4))=0,"",(IF(AE45="",0,AE45*8)+IF(AG45="",0,AG45*6)+IF(AI45="",0,AI45*4))/(IF(AE45="",0,8)+IF(AG45="",0,6)+IF(AI45="",0,4)))</f>
        <v/>
      </c>
      <c r="AL45" s="14">
        <f>IF((IF(AF45="",0,8)+IF(AH45="",0,6)+IF(AJ45="",0,4))=0,"",(IF(AF45="",0,AF45*8)+IF(AH45="",0,AH45*6)+IF(AJ45="",0,AJ45*4))/18)</f>
        <v/>
      </c>
      <c r="AM45" s="11">
        <f>IF(OR(City_Inputs!$AA45="",Norm_Stats!$F$16="",Norm_Stats!$G$16="",Norm_Stats!$G$16=Norm_Stats!$F$16),"",MAX(0,MIN(100,100*(MIN(MAX(City_Inputs!$AA45,Norm_Stats!$F$16),Norm_Stats!$G$16)-Norm_Stats!$F$16)/(Norm_Stats!$G$16-Norm_Stats!$F$16))))</f>
        <v/>
      </c>
      <c r="AN45" s="14">
        <f>IF(AM45="","",1)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5">
        <f>IF((IF(AM45="",0,5)+IF(AO45="",0,5)+IF(AQ45="",0,5))=0,"",(IF(AM45="",0,AM45*5)+IF(AO45="",0,AO45*5)+IF(AQ45="",0,AQ45*5))/(IF(AM45="",0,5)+IF(AO45="",0,5)+IF(AQ45="",0,5)))</f>
        <v/>
      </c>
      <c r="AT45" s="14">
        <f>IF((IF(AN45="",0,5)+IF(AP45="",0,5)+IF(AR45="",0,5))=0,"",(IF(AN45="",0,AN45*5)+IF(AP45="",0,AP45*5)+IF(AR45="",0,AR45*5))/15)</f>
        <v/>
      </c>
      <c r="AU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V45" s="14">
        <f>IF(AU45="","",1)</f>
        <v/>
      </c>
      <c r="AW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X45" s="14">
        <f>IF(AW45="","",1)</f>
        <v/>
      </c>
      <c r="AY45" s="11">
        <f>IF((IF((IF(OR(City_Inputs!$AF45="",Norm_Stats!$F$21="",Norm_Stats!$G$21="",Norm_Stats!$G$21=Norm_Stats!$F$21),"",MAX(0,MIN(100,100*(MIN(MAX(City_Inputs!$AF45,Norm_Stats!$F$21),Norm_Stats!$G$21)-Norm_Stats!$F$21)/(Norm_Stats!$G$21-Norm_Stats!$F$21)))))="",0,0.5)+IF((IF(OR(City_Inputs!$AI45="",Norm_Stats!$F$22="",Norm_Stats!$G$22="",Norm_Stats!$G$22=Norm_Stats!$F$22),"",MAX(0,MIN(100,100*(MIN(MAX(City_Inputs!$AI45,Norm_Stats!$F$22),Norm_Stats!$G$22)-Norm_Stats!$F$22)/(Norm_Stats!$G$22-Norm_Stats!$F$22)))))="",0,0.3)+IF((IF(OR(City_Inputs!$AJ45="",Norm_Stats!$F$23="",Norm_Stats!$G$23="",Norm_Stats!$G$23=Norm_Stats!$F$23),"",MAX(0,MIN(100,100*(MIN(MAX(City_Inputs!$AJ45,Norm_Stats!$F$23),Norm_Stats!$G$23)-Norm_Stats!$F$23)/(Norm_Stats!$G$23-Norm_Stats!$F$23)))))="",0,0.2))=0,"",(IF((IF(OR(City_Inputs!$AF45="",Norm_Stats!$F$21="",Norm_Stats!$G$21="",Norm_Stats!$G$21=Norm_Stats!$F$21),"",MAX(0,MIN(100,100*(MIN(MAX(City_Inputs!$AF45,Norm_Stats!$F$21),Norm_Stats!$G$21)-Norm_Stats!$F$21)/(Norm_Stats!$G$21-Norm_Stats!$F$21)))))="",0,(IF(OR(City_Inputs!$AF45="",Norm_Stats!$F$21="",Norm_Stats!$G$21="",Norm_Stats!$G$21=Norm_Stats!$F$21),"",MAX(0,MIN(100,100*(MIN(MAX(City_Inputs!$AF45,Norm_Stats!$F$21),Norm_Stats!$G$21)-Norm_Stats!$F$21)/(Norm_Stats!$G$21-Norm_Stats!$F$21)))))*0.5)+IF((IF(OR(City_Inputs!$AI45="",Norm_Stats!$F$22="",Norm_Stats!$G$22="",Norm_Stats!$G$22=Norm_Stats!$F$22),"",MAX(0,MIN(100,100*(MIN(MAX(City_Inputs!$AI45,Norm_Stats!$F$22),Norm_Stats!$G$22)-Norm_Stats!$F$22)/(Norm_Stats!$G$22-Norm_Stats!$F$22)))))="",0,(IF(OR(City_Inputs!$AI45="",Norm_Stats!$F$22="",Norm_Stats!$G$22="",Norm_Stats!$G$22=Norm_Stats!$F$22),"",MAX(0,MIN(100,100*(MIN(MAX(City_Inputs!$AI45,Norm_Stats!$F$22),Norm_Stats!$G$22)-Norm_Stats!$F$22)/(Norm_Stats!$G$22-Norm_Stats!$F$22)))))*0.3)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0.2))/(IF((IF(OR(City_Inputs!$AF45="",Norm_Stats!$F$21="",Norm_Stats!$G$21="",Norm_Stats!$G$21=Norm_Stats!$F$21),"",MAX(0,MIN(100,100*(MIN(MAX(City_Inputs!$AF45,Norm_Stats!$F$21),Norm_Stats!$G$21)-Norm_Stats!$F$21)/(Norm_Stats!$G$21-Norm_Stats!$F$21)))))="",0,0.5)+IF((IF(OR(City_Inputs!$AI45="",Norm_Stats!$F$22="",Norm_Stats!$G$22="",Norm_Stats!$G$22=Norm_Stats!$F$22),"",MAX(0,MIN(100,100*(MIN(MAX(City_Inputs!$AI45,Norm_Stats!$F$22),Norm_Stats!$G$22)-Norm_Stats!$F$22)/(Norm_Stats!$G$22-Norm_Stats!$F$22)))))="",0,0.3)+IF((IF(OR(City_Inputs!$AJ45="",Norm_Stats!$F$23="",Norm_Stats!$G$23="",Norm_Stats!$G$23=Norm_Stats!$F$23),"",MAX(0,MIN(100,100*(MIN(MAX(City_Inputs!$AJ45,Norm_Stats!$F$23),Norm_Stats!$G$23)-Norm_Stats!$F$23)/(Norm_Stats!$G$23-Norm_Stats!$F$23)))))="",0,0.2)))</f>
        <v/>
      </c>
      <c r="AZ45" s="14">
        <f>IF((IF((IF(OR(City_Inputs!$AF45="",Norm_Stats!$F$21="",Norm_Stats!$G$21="",Norm_Stats!$G$21=Norm_Stats!$F$21),"",MAX(0,MIN(100,100*(MIN(MAX(City_Inputs!$AF45,Norm_Stats!$F$21),Norm_Stats!$G$21)-Norm_Stats!$F$21)/(Norm_Stats!$G$21-Norm_Stats!$F$21)))))="",0,0.5)+IF((IF(OR(City_Inputs!$AI45="",Norm_Stats!$F$22="",Norm_Stats!$G$22="",Norm_Stats!$G$22=Norm_Stats!$F$22),"",MAX(0,MIN(100,100*(MIN(MAX(City_Inputs!$AI45,Norm_Stats!$F$22),Norm_Stats!$G$22)-Norm_Stats!$F$22)/(Norm_Stats!$G$22-Norm_Stats!$F$22)))))="",0,0.3)+IF((IF(OR(City_Inputs!$AJ45="",Norm_Stats!$F$23="",Norm_Stats!$G$23="",Norm_Stats!$G$23=Norm_Stats!$F$23),"",MAX(0,MIN(100,100*(MIN(MAX(City_Inputs!$AJ45,Norm_Stats!$F$23),Norm_Stats!$G$23)-Norm_Stats!$F$23)/(Norm_Stats!$G$23-Norm_Stats!$F$23)))))="",0,0.2))=0,"",(IF((IF(OR(City_Inputs!$AF45="",Norm_Stats!$F$21="",Norm_Stats!$G$21="",Norm_Stats!$G$21=Norm_Stats!$F$21),"",MAX(0,MIN(100,100*(MIN(MAX(City_Inputs!$AF45,Norm_Stats!$F$21),Norm_Stats!$G$21)-Norm_Stats!$F$21)/(Norm_Stats!$G$21-Norm_Stats!$F$21)))))="",0,0.5)+IF((IF(OR(City_Inputs!$AI45="",Norm_Stats!$F$22="",Norm_Stats!$G$22="",Norm_Stats!$G$22=Norm_Stats!$F$22),"",MAX(0,MIN(100,100*(MIN(MAX(City_Inputs!$AI45,Norm_Stats!$F$22),Norm_Stats!$G$22)-Norm_Stats!$F$22)/(Norm_Stats!$G$22-Norm_Stats!$F$22)))))="",0,0.3)+IF((IF(OR(City_Inputs!$AJ45="",Norm_Stats!$F$23="",Norm_Stats!$G$23="",Norm_Stats!$G$23=Norm_Stats!$F$23),"",MAX(0,MIN(100,100*(MIN(MAX(City_Inputs!$AJ45,Norm_Stats!$F$23),Norm_Stats!$G$23)-Norm_Stats!$F$23)/(Norm_Stats!$G$23-Norm_Stats!$F$23)))))="",0,0.2)))</f>
        <v/>
      </c>
      <c r="BA45" s="11">
        <f>IF(OR(City_Inputs!$AG45="",Norm_Stats!$F$24="",Norm_Stats!$G$24="",Norm_Stats!$G$24=Norm_Stats!$F$24),"",MAX(0,MIN(100,100*(Norm_Stats!$G$24-MIN(MAX(City_Inputs!$AG45,Norm_Stats!$F$24),Norm_Stats!$G$24))/(Norm_Stats!$G$24-Norm_Stats!$F$24))))</f>
        <v/>
      </c>
      <c r="BB45" s="14">
        <f>IF(BA45="","",1)</f>
        <v/>
      </c>
      <c r="BC45" s="15">
        <f>IF((IF(AU45="",0,6)+IF(AW45="",0,5)+IF(AY45="",0,5)+IF(BA45="",0,4))=0,"",(IF(AU45="",0,AU45*6)+IF(AW45="",0,AW45*5)+IF(AY45="",0,AY45*5)+IF(BA45="",0,BA45*4))/(IF(AU45="",0,6)+IF(AW45="",0,5)+IF(AY45="",0,5)+IF(BA45="",0,4)))</f>
        <v/>
      </c>
      <c r="BD45" s="14">
        <f>IF((IF(AV45="",0,6)+IF(AX45="",0,5)+IF(AZ45="",0,5)+IF(BB45="",0,4))=0,"",(IF(AV45="",0,AV45*6)+IF(AX45="",0,AX45*5)+IF(AZ45="",0,AZ45*5)+IF(BB45="",0,BB45*4))/20)</f>
        <v/>
      </c>
      <c r="BE45" s="14">
        <f>IF(AND(R45="",AD45="",AL45="",AT45="",BD45=""),"",((R45*25)+(AD45*22)+(AL45*18)+(AT45*15)+(BD45*20))/100)</f>
        <v/>
      </c>
      <c r="BF45" s="11">
        <f>IF(BE45="","",IF(BE45&gt;=0.75,"A",IF(BE45&gt;=0.5,"B",IF(BE45&gt;=0.35,"C","Watchlist"))))</f>
        <v/>
      </c>
      <c r="BG45" s="11">
        <f>IF(OR(BE45="",BE45&lt;0.5,R45="",R45&lt;0.35,AD45="",AD45&lt;0.35,AL45="",AL45&lt;0.35,AT45="",AT45&lt;0.35,BD45="",BD45&lt;0.35),"Watchlist","Ranked")</f>
        <v/>
      </c>
      <c r="BH45" s="15">
        <f>IF(AND(Q45="",AC45="",AK45="",AS45="",BC45=""),"",(IF(Q45="",0,Q45*25)+IF(AC45="",0,AC45*22)+IF(AK45="",0,AK45*18)+IF(AS45="",0,AS45*15)+IF(BC45="",0,BC45*20))/(IF(Q45="",0,25)+IF(AC45="",0,22)+IF(AK45="",0,18)+IF(AS45="",0,15)+IF(BC45="",0,20)))</f>
        <v/>
      </c>
      <c r="BI45" s="11">
        <f>IF(BG45="Ranked",1+COUNTIFS($BG$2:$BG$101,"Ranked",$BH$2:$BH$101,"&gt;"&amp;BH45),"")</f>
        <v/>
      </c>
      <c r="BJ45" s="11">
        <f>City_Inputs!$AH45</f>
        <v/>
      </c>
    </row>
    <row r="46">
      <c r="A46" t="inlineStr">
        <is>
          <t>rs-belgrade</t>
        </is>
      </c>
      <c r="B46" t="inlineStr">
        <is>
          <t>Belgrade</t>
        </is>
      </c>
      <c r="C46" t="inlineStr">
        <is>
          <t>Serbia</t>
        </is>
      </c>
      <c r="D46" t="inlineStr">
        <is>
          <t>Southern/Eastern Europe and Eurasia</t>
        </is>
      </c>
      <c r="E46" t="inlineStr">
        <is>
          <t>locked</t>
        </is>
      </c>
      <c r="F46" t="inlineStr">
        <is>
          <t>primary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IF((IF(G46="",0,9)+IF(I46="",0,5)+IF(K46="",0,4)+IF(M46="",0,4)+IF(O46="",0,3))=0,"",(IF(G46="",0,G46*9)+IF(I46="",0,I46*5)+IF(K46="",0,K46*4)+IF(M46="",0,M46*4)+IF(O46="",0,O46*3))/(IF(G46="",0,9)+IF(I46="",0,5)+IF(K46="",0,4)+IF(M46="",0,4)+IF(O46="",0,3)))</f>
        <v/>
      </c>
      <c r="R46" s="14">
        <f>IF((IF(H46="",0,9)+IF(J46="",0,5)+IF(L46="",0,4)+IF(N46="",0,4)+IF(P46="",0,3))=0,"",(IF(H46="",0,H46*9)+IF(J46="",0,J46*5)+IF(L46="",0,L46*4)+IF(N46="",0,N46*4)+IF(P46="",0,P46*3))/25)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5">
        <f>IF((IF(S46="",0,5)+IF(U46="",0,5)+IF(W46="",0,4)+IF(Y46="",0,4)+IF(AA46="",0,4))=0,"",(IF(S46="",0,S46*5)+IF(U46="",0,U46*5)+IF(W46="",0,W46*4)+IF(Y46="",0,Y46*4)+IF(AA46="",0,AA46*4))/(IF(S46="",0,5)+IF(U46="",0,5)+IF(W46="",0,4)+IF(Y46="",0,4)+IF(AA46="",0,4)))</f>
        <v/>
      </c>
      <c r="AD46" s="14">
        <f>IF((IF(T46="",0,5)+IF(V46="",0,5)+IF(X46="",0,4)+IF(Z46="",0,4)+IF(AB46="",0,4))=0,"",(IF(T46="",0,T46*5)+IF(V46="",0,V46*5)+IF(X46="",0,X46*4)+IF(Z46="",0,Z46*4)+IF(AB46="",0,AB46*4))/22)</f>
        <v/>
      </c>
      <c r="AE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F46" s="14">
        <f>IF(AE46="","",1)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(IF((IF(OR(City_Inputs!$Z46="",Norm_Stats!$F$14="",Norm_Stats!$G$14="",Norm_Stats!$G$14=Norm_Stats!$F$14),"",MAX(0,MIN(100,100*(MIN(MAX(City_Inputs!$Z46,Norm_Stats!$F$14),Norm_Stats!$G$14)-Norm_Stats!$F$14)/(Norm_Stats!$G$14-Norm_Stats!$F$14)))))="",0,0.7)+IF((IF(OR(City_Inputs!$AK46="",Norm_Stats!$F$15="",Norm_Stats!$G$15="",Norm_Stats!$G$15=Norm_Stats!$F$15),"",MAX(0,MIN(100,100*(Norm_Stats!$G$15-MIN(MAX(City_Inputs!$AK46,Norm_Stats!$F$15),Norm_Stats!$G$15))/(Norm_Stats!$G$15-Norm_Stats!$F$15)))))="",0,0.3))=0,"",(IF((IF(OR(City_Inputs!$Z46="",Norm_Stats!$F$14="",Norm_Stats!$G$14="",Norm_Stats!$G$14=Norm_Stats!$F$14),"",MAX(0,MIN(100,100*(MIN(MAX(City_Inputs!$Z46,Norm_Stats!$F$14),Norm_Stats!$G$14)-Norm_Stats!$F$14)/(Norm_Stats!$G$14-Norm_Stats!$F$14)))))="",0,(IF(OR(City_Inputs!$Z46="",Norm_Stats!$F$14="",Norm_Stats!$G$14="",Norm_Stats!$G$14=Norm_Stats!$F$14),"",MAX(0,MIN(100,100*(MIN(MAX(City_Inputs!$Z46,Norm_Stats!$F$14),Norm_Stats!$G$14)-Norm_Stats!$F$14)/(Norm_Stats!$G$14-Norm_Stats!$F$14)))))*0.7)+IF((IF(OR(City_Inputs!$AK46="",Norm_Stats!$F$15="",Norm_Stats!$G$15="",Norm_Stats!$G$15=Norm_Stats!$F$15),"",MAX(0,MIN(100,100*(Norm_Stats!$G$15-MIN(MAX(City_Inputs!$AK46,Norm_Stats!$F$15),Norm_Stats!$G$15))/(Norm_Stats!$G$15-Norm_Stats!$F$15)))))="",0,(IF(OR(City_Inputs!$AK46="",Norm_Stats!$F$15="",Norm_Stats!$G$15="",Norm_Stats!$G$15=Norm_Stats!$F$15),"",MAX(0,MIN(100,100*(Norm_Stats!$G$15-MIN(MAX(City_Inputs!$AK46,Norm_Stats!$F$15),Norm_Stats!$G$15))/(Norm_Stats!$G$15-Norm_Stats!$F$15)))))*0.3))/(IF((IF(OR(City_Inputs!$Z46="",Norm_Stats!$F$14="",Norm_Stats!$G$14="",Norm_Stats!$G$14=Norm_Stats!$F$14),"",MAX(0,MIN(100,100*(MIN(MAX(City_Inputs!$Z46,Norm_Stats!$F$14),Norm_Stats!$G$14)-Norm_Stats!$F$14)/(Norm_Stats!$G$14-Norm_Stats!$F$14)))))="",0,0.7)+IF((IF(OR(City_Inputs!$AK46="",Norm_Stats!$F$15="",Norm_Stats!$G$15="",Norm_Stats!$G$15=Norm_Stats!$F$15),"",MAX(0,MIN(100,100*(Norm_Stats!$G$15-MIN(MAX(City_Inputs!$AK46,Norm_Stats!$F$15),Norm_Stats!$G$15))/(Norm_Stats!$G$15-Norm_Stats!$F$15)))))="",0,0.3)))</f>
        <v/>
      </c>
      <c r="AJ46" s="14">
        <f>IF((IF((IF(OR(City_Inputs!$Z46="",Norm_Stats!$F$14="",Norm_Stats!$G$14="",Norm_Stats!$G$14=Norm_Stats!$F$14),"",MAX(0,MIN(100,100*(MIN(MAX(City_Inputs!$Z46,Norm_Stats!$F$14),Norm_Stats!$G$14)-Norm_Stats!$F$14)/(Norm_Stats!$G$14-Norm_Stats!$F$14)))))="",0,0.7)+IF((IF(OR(City_Inputs!$AK46="",Norm_Stats!$F$15="",Norm_Stats!$G$15="",Norm_Stats!$G$15=Norm_Stats!$F$15),"",MAX(0,MIN(100,100*(Norm_Stats!$G$15-MIN(MAX(City_Inputs!$AK46,Norm_Stats!$F$15),Norm_Stats!$G$15))/(Norm_Stats!$G$15-Norm_Stats!$F$15)))))="",0,0.3))=0,"",(IF((IF(OR(City_Inputs!$Z46="",Norm_Stats!$F$14="",Norm_Stats!$G$14="",Norm_Stats!$G$14=Norm_Stats!$F$14),"",MAX(0,MIN(100,100*(MIN(MAX(City_Inputs!$Z46,Norm_Stats!$F$14),Norm_Stats!$G$14)-Norm_Stats!$F$14)/(Norm_Stats!$G$14-Norm_Stats!$F$14)))))="",0,0.7)+IF((IF(OR(City_Inputs!$AK46="",Norm_Stats!$F$15="",Norm_Stats!$G$15="",Norm_Stats!$G$15=Norm_Stats!$F$15),"",MAX(0,MIN(100,100*(Norm_Stats!$G$15-MIN(MAX(City_Inputs!$AK46,Norm_Stats!$F$15),Norm_Stats!$G$15))/(Norm_Stats!$G$15-Norm_Stats!$F$15)))))="",0,0.3)))</f>
        <v/>
      </c>
      <c r="AK46" s="15">
        <f>IF((IF(AE46="",0,8)+IF(AG46="",0,6)+IF(AI46="",0,4))=0,"",(IF(AE46="",0,AE46*8)+IF(AG46="",0,AG46*6)+IF(AI46="",0,AI46*4))/(IF(AE46="",0,8)+IF(AG46="",0,6)+IF(AI46="",0,4)))</f>
        <v/>
      </c>
      <c r="AL46" s="14">
        <f>IF((IF(AF46="",0,8)+IF(AH46="",0,6)+IF(AJ46="",0,4))=0,"",(IF(AF46="",0,AF46*8)+IF(AH46="",0,AH46*6)+IF(AJ46="",0,AJ46*4))/18)</f>
        <v/>
      </c>
      <c r="AM46" s="11">
        <f>IF(OR(City_Inputs!$AA46="",Norm_Stats!$F$16="",Norm_Stats!$G$16="",Norm_Stats!$G$16=Norm_Stats!$F$16),"",MAX(0,MIN(100,100*(MIN(MAX(City_Inputs!$AA46,Norm_Stats!$F$16),Norm_Stats!$G$16)-Norm_Stats!$F$16)/(Norm_Stats!$G$16-Norm_Stats!$F$16))))</f>
        <v/>
      </c>
      <c r="AN46" s="14">
        <f>IF(AM46="","",1)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5">
        <f>IF((IF(AM46="",0,5)+IF(AO46="",0,5)+IF(AQ46="",0,5))=0,"",(IF(AM46="",0,AM46*5)+IF(AO46="",0,AO46*5)+IF(AQ46="",0,AQ46*5))/(IF(AM46="",0,5)+IF(AO46="",0,5)+IF(AQ46="",0,5)))</f>
        <v/>
      </c>
      <c r="AT46" s="14">
        <f>IF((IF(AN46="",0,5)+IF(AP46="",0,5)+IF(AR46="",0,5))=0,"",(IF(AN46="",0,AN46*5)+IF(AP46="",0,AP46*5)+IF(AR46="",0,AR46*5))/15)</f>
        <v/>
      </c>
      <c r="AU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V46" s="14">
        <f>IF(AU46="","",1)</f>
        <v/>
      </c>
      <c r="AW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X46" s="14">
        <f>IF(AW46="","",1)</f>
        <v/>
      </c>
      <c r="AY46" s="11">
        <f>IF((IF((IF(OR(City_Inputs!$AF46="",Norm_Stats!$F$21="",Norm_Stats!$G$21="",Norm_Stats!$G$21=Norm_Stats!$F$21),"",MAX(0,MIN(100,100*(MIN(MAX(City_Inputs!$AF46,Norm_Stats!$F$21),Norm_Stats!$G$21)-Norm_Stats!$F$21)/(Norm_Stats!$G$21-Norm_Stats!$F$21)))))="",0,0.5)+IF((IF(OR(City_Inputs!$AI46="",Norm_Stats!$F$22="",Norm_Stats!$G$22="",Norm_Stats!$G$22=Norm_Stats!$F$22),"",MAX(0,MIN(100,100*(MIN(MAX(City_Inputs!$AI46,Norm_Stats!$F$22),Norm_Stats!$G$22)-Norm_Stats!$F$22)/(Norm_Stats!$G$22-Norm_Stats!$F$22)))))="",0,0.3)+IF((IF(OR(City_Inputs!$AJ46="",Norm_Stats!$F$23="",Norm_Stats!$G$23="",Norm_Stats!$G$23=Norm_Stats!$F$23),"",MAX(0,MIN(100,100*(MIN(MAX(City_Inputs!$AJ46,Norm_Stats!$F$23),Norm_Stats!$G$23)-Norm_Stats!$F$23)/(Norm_Stats!$G$23-Norm_Stats!$F$23)))))="",0,0.2))=0,"",(IF((IF(OR(City_Inputs!$AF46="",Norm_Stats!$F$21="",Norm_Stats!$G$21="",Norm_Stats!$G$21=Norm_Stats!$F$21),"",MAX(0,MIN(100,100*(MIN(MAX(City_Inputs!$AF46,Norm_Stats!$F$21),Norm_Stats!$G$21)-Norm_Stats!$F$21)/(Norm_Stats!$G$21-Norm_Stats!$F$21)))))="",0,(IF(OR(City_Inputs!$AF46="",Norm_Stats!$F$21="",Norm_Stats!$G$21="",Norm_Stats!$G$21=Norm_Stats!$F$21),"",MAX(0,MIN(100,100*(MIN(MAX(City_Inputs!$AF46,Norm_Stats!$F$21),Norm_Stats!$G$21)-Norm_Stats!$F$21)/(Norm_Stats!$G$21-Norm_Stats!$F$21)))))*0.5)+IF((IF(OR(City_Inputs!$AI46="",Norm_Stats!$F$22="",Norm_Stats!$G$22="",Norm_Stats!$G$22=Norm_Stats!$F$22),"",MAX(0,MIN(100,100*(MIN(MAX(City_Inputs!$AI46,Norm_Stats!$F$22),Norm_Stats!$G$22)-Norm_Stats!$F$22)/(Norm_Stats!$G$22-Norm_Stats!$F$22)))))="",0,(IF(OR(City_Inputs!$AI46="",Norm_Stats!$F$22="",Norm_Stats!$G$22="",Norm_Stats!$G$22=Norm_Stats!$F$22),"",MAX(0,MIN(100,100*(MIN(MAX(City_Inputs!$AI46,Norm_Stats!$F$22),Norm_Stats!$G$22)-Norm_Stats!$F$22)/(Norm_Stats!$G$22-Norm_Stats!$F$22)))))*0.3)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0.2))/(IF((IF(OR(City_Inputs!$AF46="",Norm_Stats!$F$21="",Norm_Stats!$G$21="",Norm_Stats!$G$21=Norm_Stats!$F$21),"",MAX(0,MIN(100,100*(MIN(MAX(City_Inputs!$AF46,Norm_Stats!$F$21),Norm_Stats!$G$21)-Norm_Stats!$F$21)/(Norm_Stats!$G$21-Norm_Stats!$F$21)))))="",0,0.5)+IF((IF(OR(City_Inputs!$AI46="",Norm_Stats!$F$22="",Norm_Stats!$G$22="",Norm_Stats!$G$22=Norm_Stats!$F$22),"",MAX(0,MIN(100,100*(MIN(MAX(City_Inputs!$AI46,Norm_Stats!$F$22),Norm_Stats!$G$22)-Norm_Stats!$F$22)/(Norm_Stats!$G$22-Norm_Stats!$F$22)))))="",0,0.3)+IF((IF(OR(City_Inputs!$AJ46="",Norm_Stats!$F$23="",Norm_Stats!$G$23="",Norm_Stats!$G$23=Norm_Stats!$F$23),"",MAX(0,MIN(100,100*(MIN(MAX(City_Inputs!$AJ46,Norm_Stats!$F$23),Norm_Stats!$G$23)-Norm_Stats!$F$23)/(Norm_Stats!$G$23-Norm_Stats!$F$23)))))="",0,0.2)))</f>
        <v/>
      </c>
      <c r="AZ46" s="14">
        <f>IF((IF((IF(OR(City_Inputs!$AF46="",Norm_Stats!$F$21="",Norm_Stats!$G$21="",Norm_Stats!$G$21=Norm_Stats!$F$21),"",MAX(0,MIN(100,100*(MIN(MAX(City_Inputs!$AF46,Norm_Stats!$F$21),Norm_Stats!$G$21)-Norm_Stats!$F$21)/(Norm_Stats!$G$21-Norm_Stats!$F$21)))))="",0,0.5)+IF((IF(OR(City_Inputs!$AI46="",Norm_Stats!$F$22="",Norm_Stats!$G$22="",Norm_Stats!$G$22=Norm_Stats!$F$22),"",MAX(0,MIN(100,100*(MIN(MAX(City_Inputs!$AI46,Norm_Stats!$F$22),Norm_Stats!$G$22)-Norm_Stats!$F$22)/(Norm_Stats!$G$22-Norm_Stats!$F$22)))))="",0,0.3)+IF((IF(OR(City_Inputs!$AJ46="",Norm_Stats!$F$23="",Norm_Stats!$G$23="",Norm_Stats!$G$23=Norm_Stats!$F$23),"",MAX(0,MIN(100,100*(MIN(MAX(City_Inputs!$AJ46,Norm_Stats!$F$23),Norm_Stats!$G$23)-Norm_Stats!$F$23)/(Norm_Stats!$G$23-Norm_Stats!$F$23)))))="",0,0.2))=0,"",(IF((IF(OR(City_Inputs!$AF46="",Norm_Stats!$F$21="",Norm_Stats!$G$21="",Norm_Stats!$G$21=Norm_Stats!$F$21),"",MAX(0,MIN(100,100*(MIN(MAX(City_Inputs!$AF46,Norm_Stats!$F$21),Norm_Stats!$G$21)-Norm_Stats!$F$21)/(Norm_Stats!$G$21-Norm_Stats!$F$21)))))="",0,0.5)+IF((IF(OR(City_Inputs!$AI46="",Norm_Stats!$F$22="",Norm_Stats!$G$22="",Norm_Stats!$G$22=Norm_Stats!$F$22),"",MAX(0,MIN(100,100*(MIN(MAX(City_Inputs!$AI46,Norm_Stats!$F$22),Norm_Stats!$G$22)-Norm_Stats!$F$22)/(Norm_Stats!$G$22-Norm_Stats!$F$22)))))="",0,0.3)+IF((IF(OR(City_Inputs!$AJ46="",Norm_Stats!$F$23="",Norm_Stats!$G$23="",Norm_Stats!$G$23=Norm_Stats!$F$23),"",MAX(0,MIN(100,100*(MIN(MAX(City_Inputs!$AJ46,Norm_Stats!$F$23),Norm_Stats!$G$23)-Norm_Stats!$F$23)/(Norm_Stats!$G$23-Norm_Stats!$F$23)))))="",0,0.2)))</f>
        <v/>
      </c>
      <c r="BA46" s="11">
        <f>IF(OR(City_Inputs!$AG46="",Norm_Stats!$F$24="",Norm_Stats!$G$24="",Norm_Stats!$G$24=Norm_Stats!$F$24),"",MAX(0,MIN(100,100*(Norm_Stats!$G$24-MIN(MAX(City_Inputs!$AG46,Norm_Stats!$F$24),Norm_Stats!$G$24))/(Norm_Stats!$G$24-Norm_Stats!$F$24))))</f>
        <v/>
      </c>
      <c r="BB46" s="14">
        <f>IF(BA46="","",1)</f>
        <v/>
      </c>
      <c r="BC46" s="15">
        <f>IF((IF(AU46="",0,6)+IF(AW46="",0,5)+IF(AY46="",0,5)+IF(BA46="",0,4))=0,"",(IF(AU46="",0,AU46*6)+IF(AW46="",0,AW46*5)+IF(AY46="",0,AY46*5)+IF(BA46="",0,BA46*4))/(IF(AU46="",0,6)+IF(AW46="",0,5)+IF(AY46="",0,5)+IF(BA46="",0,4)))</f>
        <v/>
      </c>
      <c r="BD46" s="14">
        <f>IF((IF(AV46="",0,6)+IF(AX46="",0,5)+IF(AZ46="",0,5)+IF(BB46="",0,4))=0,"",(IF(AV46="",0,AV46*6)+IF(AX46="",0,AX46*5)+IF(AZ46="",0,AZ46*5)+IF(BB46="",0,BB46*4))/20)</f>
        <v/>
      </c>
      <c r="BE46" s="14">
        <f>IF(AND(R46="",AD46="",AL46="",AT46="",BD46=""),"",((R46*25)+(AD46*22)+(AL46*18)+(AT46*15)+(BD46*20))/100)</f>
        <v/>
      </c>
      <c r="BF46" s="11">
        <f>IF(BE46="","",IF(BE46&gt;=0.75,"A",IF(BE46&gt;=0.5,"B",IF(BE46&gt;=0.35,"C","Watchlist"))))</f>
        <v/>
      </c>
      <c r="BG46" s="11">
        <f>IF(OR(BE46="",BE46&lt;0.5,R46="",R46&lt;0.35,AD46="",AD46&lt;0.35,AL46="",AL46&lt;0.35,AT46="",AT46&lt;0.35,BD46="",BD46&lt;0.35),"Watchlist","Ranked")</f>
        <v/>
      </c>
      <c r="BH46" s="15">
        <f>IF(AND(Q46="",AC46="",AK46="",AS46="",BC46=""),"",(IF(Q46="",0,Q46*25)+IF(AC46="",0,AC46*22)+IF(AK46="",0,AK46*18)+IF(AS46="",0,AS46*15)+IF(BC46="",0,BC46*20))/(IF(Q46="",0,25)+IF(AC46="",0,22)+IF(AK46="",0,18)+IF(AS46="",0,15)+IF(BC46="",0,20)))</f>
        <v/>
      </c>
      <c r="BI46" s="11">
        <f>IF(BG46="Ranked",1+COUNTIFS($BG$2:$BG$101,"Ranked",$BH$2:$BH$101,"&gt;"&amp;BH46),"")</f>
        <v/>
      </c>
      <c r="BJ46" s="11">
        <f>City_Inputs!$AH46</f>
        <v/>
      </c>
    </row>
    <row r="47">
      <c r="A47" t="inlineStr">
        <is>
          <t>ru-nizhny-novgorod</t>
        </is>
      </c>
      <c r="B47" t="inlineStr">
        <is>
          <t>Nizhny Novgorod</t>
        </is>
      </c>
      <c r="C47" t="inlineStr">
        <is>
          <t>Russia</t>
        </is>
      </c>
      <c r="D47" t="inlineStr">
        <is>
          <t>Southern/Eastern Europe and Eurasia</t>
        </is>
      </c>
      <c r="E47" t="inlineStr">
        <is>
          <t>provisional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IF((IF(G47="",0,9)+IF(I47="",0,5)+IF(K47="",0,4)+IF(M47="",0,4)+IF(O47="",0,3))=0,"",(IF(G47="",0,G47*9)+IF(I47="",0,I47*5)+IF(K47="",0,K47*4)+IF(M47="",0,M47*4)+IF(O47="",0,O47*3))/(IF(G47="",0,9)+IF(I47="",0,5)+IF(K47="",0,4)+IF(M47="",0,4)+IF(O47="",0,3)))</f>
        <v/>
      </c>
      <c r="R47" s="14">
        <f>IF((IF(H47="",0,9)+IF(J47="",0,5)+IF(L47="",0,4)+IF(N47="",0,4)+IF(P47="",0,3))=0,"",(IF(H47="",0,H47*9)+IF(J47="",0,J47*5)+IF(L47="",0,L47*4)+IF(N47="",0,N47*4)+IF(P47="",0,P47*3))/25)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5">
        <f>IF((IF(S47="",0,5)+IF(U47="",0,5)+IF(W47="",0,4)+IF(Y47="",0,4)+IF(AA47="",0,4))=0,"",(IF(S47="",0,S47*5)+IF(U47="",0,U47*5)+IF(W47="",0,W47*4)+IF(Y47="",0,Y47*4)+IF(AA47="",0,AA47*4))/(IF(S47="",0,5)+IF(U47="",0,5)+IF(W47="",0,4)+IF(Y47="",0,4)+IF(AA47="",0,4)))</f>
        <v/>
      </c>
      <c r="AD47" s="14">
        <f>IF((IF(T47="",0,5)+IF(V47="",0,5)+IF(X47="",0,4)+IF(Z47="",0,4)+IF(AB47="",0,4))=0,"",(IF(T47="",0,T47*5)+IF(V47="",0,V47*5)+IF(X47="",0,X47*4)+IF(Z47="",0,Z47*4)+IF(AB47="",0,AB47*4))/22)</f>
        <v/>
      </c>
      <c r="AE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F47" s="14">
        <f>IF(AE47="","",1)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(IF((IF(OR(City_Inputs!$Z47="",Norm_Stats!$F$14="",Norm_Stats!$G$14="",Norm_Stats!$G$14=Norm_Stats!$F$14),"",MAX(0,MIN(100,100*(MIN(MAX(City_Inputs!$Z47,Norm_Stats!$F$14),Norm_Stats!$G$14)-Norm_Stats!$F$14)/(Norm_Stats!$G$14-Norm_Stats!$F$14)))))="",0,0.7)+IF((IF(OR(City_Inputs!$AK47="",Norm_Stats!$F$15="",Norm_Stats!$G$15="",Norm_Stats!$G$15=Norm_Stats!$F$15),"",MAX(0,MIN(100,100*(Norm_Stats!$G$15-MIN(MAX(City_Inputs!$AK47,Norm_Stats!$F$15),Norm_Stats!$G$15))/(Norm_Stats!$G$15-Norm_Stats!$F$15)))))="",0,0.3))=0,"",(IF((IF(OR(City_Inputs!$Z47="",Norm_Stats!$F$14="",Norm_Stats!$G$14="",Norm_Stats!$G$14=Norm_Stats!$F$14),"",MAX(0,MIN(100,100*(MIN(MAX(City_Inputs!$Z47,Norm_Stats!$F$14),Norm_Stats!$G$14)-Norm_Stats!$F$14)/(Norm_Stats!$G$14-Norm_Stats!$F$14)))))="",0,(IF(OR(City_Inputs!$Z47="",Norm_Stats!$F$14="",Norm_Stats!$G$14="",Norm_Stats!$G$14=Norm_Stats!$F$14),"",MAX(0,MIN(100,100*(MIN(MAX(City_Inputs!$Z47,Norm_Stats!$F$14),Norm_Stats!$G$14)-Norm_Stats!$F$14)/(Norm_Stats!$G$14-Norm_Stats!$F$14)))))*0.7)+IF((IF(OR(City_Inputs!$AK47="",Norm_Stats!$F$15="",Norm_Stats!$G$15="",Norm_Stats!$G$15=Norm_Stats!$F$15),"",MAX(0,MIN(100,100*(Norm_Stats!$G$15-MIN(MAX(City_Inputs!$AK47,Norm_Stats!$F$15),Norm_Stats!$G$15))/(Norm_Stats!$G$15-Norm_Stats!$F$15)))))="",0,(IF(OR(City_Inputs!$AK47="",Norm_Stats!$F$15="",Norm_Stats!$G$15="",Norm_Stats!$G$15=Norm_Stats!$F$15),"",MAX(0,MIN(100,100*(Norm_Stats!$G$15-MIN(MAX(City_Inputs!$AK47,Norm_Stats!$F$15),Norm_Stats!$G$15))/(Norm_Stats!$G$15-Norm_Stats!$F$15)))))*0.3))/(IF((IF(OR(City_Inputs!$Z47="",Norm_Stats!$F$14="",Norm_Stats!$G$14="",Norm_Stats!$G$14=Norm_Stats!$F$14),"",MAX(0,MIN(100,100*(MIN(MAX(City_Inputs!$Z47,Norm_Stats!$F$14),Norm_Stats!$G$14)-Norm_Stats!$F$14)/(Norm_Stats!$G$14-Norm_Stats!$F$14)))))="",0,0.7)+IF((IF(OR(City_Inputs!$AK47="",Norm_Stats!$F$15="",Norm_Stats!$G$15="",Norm_Stats!$G$15=Norm_Stats!$F$15),"",MAX(0,MIN(100,100*(Norm_Stats!$G$15-MIN(MAX(City_Inputs!$AK47,Norm_Stats!$F$15),Norm_Stats!$G$15))/(Norm_Stats!$G$15-Norm_Stats!$F$15)))))="",0,0.3)))</f>
        <v/>
      </c>
      <c r="AJ47" s="14">
        <f>IF((IF((IF(OR(City_Inputs!$Z47="",Norm_Stats!$F$14="",Norm_Stats!$G$14="",Norm_Stats!$G$14=Norm_Stats!$F$14),"",MAX(0,MIN(100,100*(MIN(MAX(City_Inputs!$Z47,Norm_Stats!$F$14),Norm_Stats!$G$14)-Norm_Stats!$F$14)/(Norm_Stats!$G$14-Norm_Stats!$F$14)))))="",0,0.7)+IF((IF(OR(City_Inputs!$AK47="",Norm_Stats!$F$15="",Norm_Stats!$G$15="",Norm_Stats!$G$15=Norm_Stats!$F$15),"",MAX(0,MIN(100,100*(Norm_Stats!$G$15-MIN(MAX(City_Inputs!$AK47,Norm_Stats!$F$15),Norm_Stats!$G$15))/(Norm_Stats!$G$15-Norm_Stats!$F$15)))))="",0,0.3))=0,"",(IF((IF(OR(City_Inputs!$Z47="",Norm_Stats!$F$14="",Norm_Stats!$G$14="",Norm_Stats!$G$14=Norm_Stats!$F$14),"",MAX(0,MIN(100,100*(MIN(MAX(City_Inputs!$Z47,Norm_Stats!$F$14),Norm_Stats!$G$14)-Norm_Stats!$F$14)/(Norm_Stats!$G$14-Norm_Stats!$F$14)))))="",0,0.7)+IF((IF(OR(City_Inputs!$AK47="",Norm_Stats!$F$15="",Norm_Stats!$G$15="",Norm_Stats!$G$15=Norm_Stats!$F$15),"",MAX(0,MIN(100,100*(Norm_Stats!$G$15-MIN(MAX(City_Inputs!$AK47,Norm_Stats!$F$15),Norm_Stats!$G$15))/(Norm_Stats!$G$15-Norm_Stats!$F$15)))))="",0,0.3)))</f>
        <v/>
      </c>
      <c r="AK47" s="15">
        <f>IF((IF(AE47="",0,8)+IF(AG47="",0,6)+IF(AI47="",0,4))=0,"",(IF(AE47="",0,AE47*8)+IF(AG47="",0,AG47*6)+IF(AI47="",0,AI47*4))/(IF(AE47="",0,8)+IF(AG47="",0,6)+IF(AI47="",0,4)))</f>
        <v/>
      </c>
      <c r="AL47" s="14">
        <f>IF((IF(AF47="",0,8)+IF(AH47="",0,6)+IF(AJ47="",0,4))=0,"",(IF(AF47="",0,AF47*8)+IF(AH47="",0,AH47*6)+IF(AJ47="",0,AJ47*4))/18)</f>
        <v/>
      </c>
      <c r="AM47" s="11">
        <f>IF(OR(City_Inputs!$AA47="",Norm_Stats!$F$16="",Norm_Stats!$G$16="",Norm_Stats!$G$16=Norm_Stats!$F$16),"",MAX(0,MIN(100,100*(MIN(MAX(City_Inputs!$AA47,Norm_Stats!$F$16),Norm_Stats!$G$16)-Norm_Stats!$F$16)/(Norm_Stats!$G$16-Norm_Stats!$F$16))))</f>
        <v/>
      </c>
      <c r="AN47" s="14">
        <f>IF(AM47="","",1)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5">
        <f>IF((IF(AM47="",0,5)+IF(AO47="",0,5)+IF(AQ47="",0,5))=0,"",(IF(AM47="",0,AM47*5)+IF(AO47="",0,AO47*5)+IF(AQ47="",0,AQ47*5))/(IF(AM47="",0,5)+IF(AO47="",0,5)+IF(AQ47="",0,5)))</f>
        <v/>
      </c>
      <c r="AT47" s="14">
        <f>IF((IF(AN47="",0,5)+IF(AP47="",0,5)+IF(AR47="",0,5))=0,"",(IF(AN47="",0,AN47*5)+IF(AP47="",0,AP47*5)+IF(AR47="",0,AR47*5))/15)</f>
        <v/>
      </c>
      <c r="AU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V47" s="14">
        <f>IF(AU47="","",1)</f>
        <v/>
      </c>
      <c r="AW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X47" s="14">
        <f>IF(AW47="","",1)</f>
        <v/>
      </c>
      <c r="AY47" s="11">
        <f>IF((IF((IF(OR(City_Inputs!$AF47="",Norm_Stats!$F$21="",Norm_Stats!$G$21="",Norm_Stats!$G$21=Norm_Stats!$F$21),"",MAX(0,MIN(100,100*(MIN(MAX(City_Inputs!$AF47,Norm_Stats!$F$21),Norm_Stats!$G$21)-Norm_Stats!$F$21)/(Norm_Stats!$G$21-Norm_Stats!$F$21)))))="",0,0.5)+IF((IF(OR(City_Inputs!$AI47="",Norm_Stats!$F$22="",Norm_Stats!$G$22="",Norm_Stats!$G$22=Norm_Stats!$F$22),"",MAX(0,MIN(100,100*(MIN(MAX(City_Inputs!$AI47,Norm_Stats!$F$22),Norm_Stats!$G$22)-Norm_Stats!$F$22)/(Norm_Stats!$G$22-Norm_Stats!$F$22)))))="",0,0.3)+IF((IF(OR(City_Inputs!$AJ47="",Norm_Stats!$F$23="",Norm_Stats!$G$23="",Norm_Stats!$G$23=Norm_Stats!$F$23),"",MAX(0,MIN(100,100*(MIN(MAX(City_Inputs!$AJ47,Norm_Stats!$F$23),Norm_Stats!$G$23)-Norm_Stats!$F$23)/(Norm_Stats!$G$23-Norm_Stats!$F$23)))))="",0,0.2))=0,"",(IF((IF(OR(City_Inputs!$AF47="",Norm_Stats!$F$21="",Norm_Stats!$G$21="",Norm_Stats!$G$21=Norm_Stats!$F$21),"",MAX(0,MIN(100,100*(MIN(MAX(City_Inputs!$AF47,Norm_Stats!$F$21),Norm_Stats!$G$21)-Norm_Stats!$F$21)/(Norm_Stats!$G$21-Norm_Stats!$F$21)))))="",0,(IF(OR(City_Inputs!$AF47="",Norm_Stats!$F$21="",Norm_Stats!$G$21="",Norm_Stats!$G$21=Norm_Stats!$F$21),"",MAX(0,MIN(100,100*(MIN(MAX(City_Inputs!$AF47,Norm_Stats!$F$21),Norm_Stats!$G$21)-Norm_Stats!$F$21)/(Norm_Stats!$G$21-Norm_Stats!$F$21)))))*0.5)+IF((IF(OR(City_Inputs!$AI47="",Norm_Stats!$F$22="",Norm_Stats!$G$22="",Norm_Stats!$G$22=Norm_Stats!$F$22),"",MAX(0,MIN(100,100*(MIN(MAX(City_Inputs!$AI47,Norm_Stats!$F$22),Norm_Stats!$G$22)-Norm_Stats!$F$22)/(Norm_Stats!$G$22-Norm_Stats!$F$22)))))="",0,(IF(OR(City_Inputs!$AI47="",Norm_Stats!$F$22="",Norm_Stats!$G$22="",Norm_Stats!$G$22=Norm_Stats!$F$22),"",MAX(0,MIN(100,100*(MIN(MAX(City_Inputs!$AI47,Norm_Stats!$F$22),Norm_Stats!$G$22)-Norm_Stats!$F$22)/(Norm_Stats!$G$22-Norm_Stats!$F$22)))))*0.3)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0.2))/(IF((IF(OR(City_Inputs!$AF47="",Norm_Stats!$F$21="",Norm_Stats!$G$21="",Norm_Stats!$G$21=Norm_Stats!$F$21),"",MAX(0,MIN(100,100*(MIN(MAX(City_Inputs!$AF47,Norm_Stats!$F$21),Norm_Stats!$G$21)-Norm_Stats!$F$21)/(Norm_Stats!$G$21-Norm_Stats!$F$21)))))="",0,0.5)+IF((IF(OR(City_Inputs!$AI47="",Norm_Stats!$F$22="",Norm_Stats!$G$22="",Norm_Stats!$G$22=Norm_Stats!$F$22),"",MAX(0,MIN(100,100*(MIN(MAX(City_Inputs!$AI47,Norm_Stats!$F$22),Norm_Stats!$G$22)-Norm_Stats!$F$22)/(Norm_Stats!$G$22-Norm_Stats!$F$22)))))="",0,0.3)+IF((IF(OR(City_Inputs!$AJ47="",Norm_Stats!$F$23="",Norm_Stats!$G$23="",Norm_Stats!$G$23=Norm_Stats!$F$23),"",MAX(0,MIN(100,100*(MIN(MAX(City_Inputs!$AJ47,Norm_Stats!$F$23),Norm_Stats!$G$23)-Norm_Stats!$F$23)/(Norm_Stats!$G$23-Norm_Stats!$F$23)))))="",0,0.2)))</f>
        <v/>
      </c>
      <c r="AZ47" s="14">
        <f>IF((IF((IF(OR(City_Inputs!$AF47="",Norm_Stats!$F$21="",Norm_Stats!$G$21="",Norm_Stats!$G$21=Norm_Stats!$F$21),"",MAX(0,MIN(100,100*(MIN(MAX(City_Inputs!$AF47,Norm_Stats!$F$21),Norm_Stats!$G$21)-Norm_Stats!$F$21)/(Norm_Stats!$G$21-Norm_Stats!$F$21)))))="",0,0.5)+IF((IF(OR(City_Inputs!$AI47="",Norm_Stats!$F$22="",Norm_Stats!$G$22="",Norm_Stats!$G$22=Norm_Stats!$F$22),"",MAX(0,MIN(100,100*(MIN(MAX(City_Inputs!$AI47,Norm_Stats!$F$22),Norm_Stats!$G$22)-Norm_Stats!$F$22)/(Norm_Stats!$G$22-Norm_Stats!$F$22)))))="",0,0.3)+IF((IF(OR(City_Inputs!$AJ47="",Norm_Stats!$F$23="",Norm_Stats!$G$23="",Norm_Stats!$G$23=Norm_Stats!$F$23),"",MAX(0,MIN(100,100*(MIN(MAX(City_Inputs!$AJ47,Norm_Stats!$F$23),Norm_Stats!$G$23)-Norm_Stats!$F$23)/(Norm_Stats!$G$23-Norm_Stats!$F$23)))))="",0,0.2))=0,"",(IF((IF(OR(City_Inputs!$AF47="",Norm_Stats!$F$21="",Norm_Stats!$G$21="",Norm_Stats!$G$21=Norm_Stats!$F$21),"",MAX(0,MIN(100,100*(MIN(MAX(City_Inputs!$AF47,Norm_Stats!$F$21),Norm_Stats!$G$21)-Norm_Stats!$F$21)/(Norm_Stats!$G$21-Norm_Stats!$F$21)))))="",0,0.5)+IF((IF(OR(City_Inputs!$AI47="",Norm_Stats!$F$22="",Norm_Stats!$G$22="",Norm_Stats!$G$22=Norm_Stats!$F$22),"",MAX(0,MIN(100,100*(MIN(MAX(City_Inputs!$AI47,Norm_Stats!$F$22),Norm_Stats!$G$22)-Norm_Stats!$F$22)/(Norm_Stats!$G$22-Norm_Stats!$F$22)))))="",0,0.3)+IF((IF(OR(City_Inputs!$AJ47="",Norm_Stats!$F$23="",Norm_Stats!$G$23="",Norm_Stats!$G$23=Norm_Stats!$F$23),"",MAX(0,MIN(100,100*(MIN(MAX(City_Inputs!$AJ47,Norm_Stats!$F$23),Norm_Stats!$G$23)-Norm_Stats!$F$23)/(Norm_Stats!$G$23-Norm_Stats!$F$23)))))="",0,0.2)))</f>
        <v/>
      </c>
      <c r="BA47" s="11">
        <f>IF(OR(City_Inputs!$AG47="",Norm_Stats!$F$24="",Norm_Stats!$G$24="",Norm_Stats!$G$24=Norm_Stats!$F$24),"",MAX(0,MIN(100,100*(Norm_Stats!$G$24-MIN(MAX(City_Inputs!$AG47,Norm_Stats!$F$24),Norm_Stats!$G$24))/(Norm_Stats!$G$24-Norm_Stats!$F$24))))</f>
        <v/>
      </c>
      <c r="BB47" s="14">
        <f>IF(BA47="","",1)</f>
        <v/>
      </c>
      <c r="BC47" s="15">
        <f>IF((IF(AU47="",0,6)+IF(AW47="",0,5)+IF(AY47="",0,5)+IF(BA47="",0,4))=0,"",(IF(AU47="",0,AU47*6)+IF(AW47="",0,AW47*5)+IF(AY47="",0,AY47*5)+IF(BA47="",0,BA47*4))/(IF(AU47="",0,6)+IF(AW47="",0,5)+IF(AY47="",0,5)+IF(BA47="",0,4)))</f>
        <v/>
      </c>
      <c r="BD47" s="14">
        <f>IF((IF(AV47="",0,6)+IF(AX47="",0,5)+IF(AZ47="",0,5)+IF(BB47="",0,4))=0,"",(IF(AV47="",0,AV47*6)+IF(AX47="",0,AX47*5)+IF(AZ47="",0,AZ47*5)+IF(BB47="",0,BB47*4))/20)</f>
        <v/>
      </c>
      <c r="BE47" s="14">
        <f>IF(AND(R47="",AD47="",AL47="",AT47="",BD47=""),"",((R47*25)+(AD47*22)+(AL47*18)+(AT47*15)+(BD47*20))/100)</f>
        <v/>
      </c>
      <c r="BF47" s="11">
        <f>IF(BE47="","",IF(BE47&gt;=0.75,"A",IF(BE47&gt;=0.5,"B",IF(BE47&gt;=0.35,"C","Watchlist"))))</f>
        <v/>
      </c>
      <c r="BG47" s="11">
        <f>IF(OR(BE47="",BE47&lt;0.5,R47="",R47&lt;0.35,AD47="",AD47&lt;0.35,AL47="",AL47&lt;0.35,AT47="",AT47&lt;0.35,BD47="",BD47&lt;0.35),"Watchlist","Ranked")</f>
        <v/>
      </c>
      <c r="BH47" s="15">
        <f>IF(AND(Q47="",AC47="",AK47="",AS47="",BC47=""),"",(IF(Q47="",0,Q47*25)+IF(AC47="",0,AC47*22)+IF(AK47="",0,AK47*18)+IF(AS47="",0,AS47*15)+IF(BC47="",0,BC47*20))/(IF(Q47="",0,25)+IF(AC47="",0,22)+IF(AK47="",0,18)+IF(AS47="",0,15)+IF(BC47="",0,20)))</f>
        <v/>
      </c>
      <c r="BI47" s="11">
        <f>IF(BG47="Ranked",1+COUNTIFS($BG$2:$BG$101,"Ranked",$BH$2:$BH$101,"&gt;"&amp;BH47),"")</f>
        <v/>
      </c>
      <c r="BJ47" s="11">
        <f>City_Inputs!$AH47</f>
        <v/>
      </c>
    </row>
    <row r="48">
      <c r="A48" t="inlineStr">
        <is>
          <t>pl-katowice</t>
        </is>
      </c>
      <c r="B48" t="inlineStr">
        <is>
          <t>Katowice</t>
        </is>
      </c>
      <c r="C48" t="inlineStr">
        <is>
          <t>Poland</t>
        </is>
      </c>
      <c r="D48" t="inlineStr">
        <is>
          <t>Southern/Eastern Europe and Eurasia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IF((IF(G48="",0,9)+IF(I48="",0,5)+IF(K48="",0,4)+IF(M48="",0,4)+IF(O48="",0,3))=0,"",(IF(G48="",0,G48*9)+IF(I48="",0,I48*5)+IF(K48="",0,K48*4)+IF(M48="",0,M48*4)+IF(O48="",0,O48*3))/(IF(G48="",0,9)+IF(I48="",0,5)+IF(K48="",0,4)+IF(M48="",0,4)+IF(O48="",0,3)))</f>
        <v/>
      </c>
      <c r="R48" s="14">
        <f>IF((IF(H48="",0,9)+IF(J48="",0,5)+IF(L48="",0,4)+IF(N48="",0,4)+IF(P48="",0,3))=0,"",(IF(H48="",0,H48*9)+IF(J48="",0,J48*5)+IF(L48="",0,L48*4)+IF(N48="",0,N48*4)+IF(P48="",0,P48*3))/25)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5">
        <f>IF((IF(S48="",0,5)+IF(U48="",0,5)+IF(W48="",0,4)+IF(Y48="",0,4)+IF(AA48="",0,4))=0,"",(IF(S48="",0,S48*5)+IF(U48="",0,U48*5)+IF(W48="",0,W48*4)+IF(Y48="",0,Y48*4)+IF(AA48="",0,AA48*4))/(IF(S48="",0,5)+IF(U48="",0,5)+IF(W48="",0,4)+IF(Y48="",0,4)+IF(AA48="",0,4)))</f>
        <v/>
      </c>
      <c r="AD48" s="14">
        <f>IF((IF(T48="",0,5)+IF(V48="",0,5)+IF(X48="",0,4)+IF(Z48="",0,4)+IF(AB48="",0,4))=0,"",(IF(T48="",0,T48*5)+IF(V48="",0,V48*5)+IF(X48="",0,X48*4)+IF(Z48="",0,Z48*4)+IF(AB48="",0,AB48*4))/22)</f>
        <v/>
      </c>
      <c r="AE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F48" s="14">
        <f>IF(AE48="","",1)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(IF((IF(OR(City_Inputs!$Z48="",Norm_Stats!$F$14="",Norm_Stats!$G$14="",Norm_Stats!$G$14=Norm_Stats!$F$14),"",MAX(0,MIN(100,100*(MIN(MAX(City_Inputs!$Z48,Norm_Stats!$F$14),Norm_Stats!$G$14)-Norm_Stats!$F$14)/(Norm_Stats!$G$14-Norm_Stats!$F$14)))))="",0,0.7)+IF((IF(OR(City_Inputs!$AK48="",Norm_Stats!$F$15="",Norm_Stats!$G$15="",Norm_Stats!$G$15=Norm_Stats!$F$15),"",MAX(0,MIN(100,100*(Norm_Stats!$G$15-MIN(MAX(City_Inputs!$AK48,Norm_Stats!$F$15),Norm_Stats!$G$15))/(Norm_Stats!$G$15-Norm_Stats!$F$15)))))="",0,0.3))=0,"",(IF((IF(OR(City_Inputs!$Z48="",Norm_Stats!$F$14="",Norm_Stats!$G$14="",Norm_Stats!$G$14=Norm_Stats!$F$14),"",MAX(0,MIN(100,100*(MIN(MAX(City_Inputs!$Z48,Norm_Stats!$F$14),Norm_Stats!$G$14)-Norm_Stats!$F$14)/(Norm_Stats!$G$14-Norm_Stats!$F$14)))))="",0,(IF(OR(City_Inputs!$Z48="",Norm_Stats!$F$14="",Norm_Stats!$G$14="",Norm_Stats!$G$14=Norm_Stats!$F$14),"",MAX(0,MIN(100,100*(MIN(MAX(City_Inputs!$Z48,Norm_Stats!$F$14),Norm_Stats!$G$14)-Norm_Stats!$F$14)/(Norm_Stats!$G$14-Norm_Stats!$F$14)))))*0.7)+IF((IF(OR(City_Inputs!$AK48="",Norm_Stats!$F$15="",Norm_Stats!$G$15="",Norm_Stats!$G$15=Norm_Stats!$F$15),"",MAX(0,MIN(100,100*(Norm_Stats!$G$15-MIN(MAX(City_Inputs!$AK48,Norm_Stats!$F$15),Norm_Stats!$G$15))/(Norm_Stats!$G$15-Norm_Stats!$F$15)))))="",0,(IF(OR(City_Inputs!$AK48="",Norm_Stats!$F$15="",Norm_Stats!$G$15="",Norm_Stats!$G$15=Norm_Stats!$F$15),"",MAX(0,MIN(100,100*(Norm_Stats!$G$15-MIN(MAX(City_Inputs!$AK48,Norm_Stats!$F$15),Norm_Stats!$G$15))/(Norm_Stats!$G$15-Norm_Stats!$F$15)))))*0.3))/(IF((IF(OR(City_Inputs!$Z48="",Norm_Stats!$F$14="",Norm_Stats!$G$14="",Norm_Stats!$G$14=Norm_Stats!$F$14),"",MAX(0,MIN(100,100*(MIN(MAX(City_Inputs!$Z48,Norm_Stats!$F$14),Norm_Stats!$G$14)-Norm_Stats!$F$14)/(Norm_Stats!$G$14-Norm_Stats!$F$14)))))="",0,0.7)+IF((IF(OR(City_Inputs!$AK48="",Norm_Stats!$F$15="",Norm_Stats!$G$15="",Norm_Stats!$G$15=Norm_Stats!$F$15),"",MAX(0,MIN(100,100*(Norm_Stats!$G$15-MIN(MAX(City_Inputs!$AK48,Norm_Stats!$F$15),Norm_Stats!$G$15))/(Norm_Stats!$G$15-Norm_Stats!$F$15)))))="",0,0.3)))</f>
        <v/>
      </c>
      <c r="AJ48" s="14">
        <f>IF((IF((IF(OR(City_Inputs!$Z48="",Norm_Stats!$F$14="",Norm_Stats!$G$14="",Norm_Stats!$G$14=Norm_Stats!$F$14),"",MAX(0,MIN(100,100*(MIN(MAX(City_Inputs!$Z48,Norm_Stats!$F$14),Norm_Stats!$G$14)-Norm_Stats!$F$14)/(Norm_Stats!$G$14-Norm_Stats!$F$14)))))="",0,0.7)+IF((IF(OR(City_Inputs!$AK48="",Norm_Stats!$F$15="",Norm_Stats!$G$15="",Norm_Stats!$G$15=Norm_Stats!$F$15),"",MAX(0,MIN(100,100*(Norm_Stats!$G$15-MIN(MAX(City_Inputs!$AK48,Norm_Stats!$F$15),Norm_Stats!$G$15))/(Norm_Stats!$G$15-Norm_Stats!$F$15)))))="",0,0.3))=0,"",(IF((IF(OR(City_Inputs!$Z48="",Norm_Stats!$F$14="",Norm_Stats!$G$14="",Norm_Stats!$G$14=Norm_Stats!$F$14),"",MAX(0,MIN(100,100*(MIN(MAX(City_Inputs!$Z48,Norm_Stats!$F$14),Norm_Stats!$G$14)-Norm_Stats!$F$14)/(Norm_Stats!$G$14-Norm_Stats!$F$14)))))="",0,0.7)+IF((IF(OR(City_Inputs!$AK48="",Norm_Stats!$F$15="",Norm_Stats!$G$15="",Norm_Stats!$G$15=Norm_Stats!$F$15),"",MAX(0,MIN(100,100*(Norm_Stats!$G$15-MIN(MAX(City_Inputs!$AK48,Norm_Stats!$F$15),Norm_Stats!$G$15))/(Norm_Stats!$G$15-Norm_Stats!$F$15)))))="",0,0.3)))</f>
        <v/>
      </c>
      <c r="AK48" s="15">
        <f>IF((IF(AE48="",0,8)+IF(AG48="",0,6)+IF(AI48="",0,4))=0,"",(IF(AE48="",0,AE48*8)+IF(AG48="",0,AG48*6)+IF(AI48="",0,AI48*4))/(IF(AE48="",0,8)+IF(AG48="",0,6)+IF(AI48="",0,4)))</f>
        <v/>
      </c>
      <c r="AL48" s="14">
        <f>IF((IF(AF48="",0,8)+IF(AH48="",0,6)+IF(AJ48="",0,4))=0,"",(IF(AF48="",0,AF48*8)+IF(AH48="",0,AH48*6)+IF(AJ48="",0,AJ48*4))/18)</f>
        <v/>
      </c>
      <c r="AM48" s="11">
        <f>IF(OR(City_Inputs!$AA48="",Norm_Stats!$F$16="",Norm_Stats!$G$16="",Norm_Stats!$G$16=Norm_Stats!$F$16),"",MAX(0,MIN(100,100*(MIN(MAX(City_Inputs!$AA48,Norm_Stats!$F$16),Norm_Stats!$G$16)-Norm_Stats!$F$16)/(Norm_Stats!$G$16-Norm_Stats!$F$16))))</f>
        <v/>
      </c>
      <c r="AN48" s="14">
        <f>IF(AM48="","",1)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5">
        <f>IF((IF(AM48="",0,5)+IF(AO48="",0,5)+IF(AQ48="",0,5))=0,"",(IF(AM48="",0,AM48*5)+IF(AO48="",0,AO48*5)+IF(AQ48="",0,AQ48*5))/(IF(AM48="",0,5)+IF(AO48="",0,5)+IF(AQ48="",0,5)))</f>
        <v/>
      </c>
      <c r="AT48" s="14">
        <f>IF((IF(AN48="",0,5)+IF(AP48="",0,5)+IF(AR48="",0,5))=0,"",(IF(AN48="",0,AN48*5)+IF(AP48="",0,AP48*5)+IF(AR48="",0,AR48*5))/15)</f>
        <v/>
      </c>
      <c r="AU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V48" s="14">
        <f>IF(AU48="","",1)</f>
        <v/>
      </c>
      <c r="AW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X48" s="14">
        <f>IF(AW48="","",1)</f>
        <v/>
      </c>
      <c r="AY48" s="11">
        <f>IF((IF((IF(OR(City_Inputs!$AF48="",Norm_Stats!$F$21="",Norm_Stats!$G$21="",Norm_Stats!$G$21=Norm_Stats!$F$21),"",MAX(0,MIN(100,100*(MIN(MAX(City_Inputs!$AF48,Norm_Stats!$F$21),Norm_Stats!$G$21)-Norm_Stats!$F$21)/(Norm_Stats!$G$21-Norm_Stats!$F$21)))))="",0,0.5)+IF((IF(OR(City_Inputs!$AI48="",Norm_Stats!$F$22="",Norm_Stats!$G$22="",Norm_Stats!$G$22=Norm_Stats!$F$22),"",MAX(0,MIN(100,100*(MIN(MAX(City_Inputs!$AI48,Norm_Stats!$F$22),Norm_Stats!$G$22)-Norm_Stats!$F$22)/(Norm_Stats!$G$22-Norm_Stats!$F$22)))))="",0,0.3)+IF((IF(OR(City_Inputs!$AJ48="",Norm_Stats!$F$23="",Norm_Stats!$G$23="",Norm_Stats!$G$23=Norm_Stats!$F$23),"",MAX(0,MIN(100,100*(MIN(MAX(City_Inputs!$AJ48,Norm_Stats!$F$23),Norm_Stats!$G$23)-Norm_Stats!$F$23)/(Norm_Stats!$G$23-Norm_Stats!$F$23)))))="",0,0.2))=0,"",(IF((IF(OR(City_Inputs!$AF48="",Norm_Stats!$F$21="",Norm_Stats!$G$21="",Norm_Stats!$G$21=Norm_Stats!$F$21),"",MAX(0,MIN(100,100*(MIN(MAX(City_Inputs!$AF48,Norm_Stats!$F$21),Norm_Stats!$G$21)-Norm_Stats!$F$21)/(Norm_Stats!$G$21-Norm_Stats!$F$21)))))="",0,(IF(OR(City_Inputs!$AF48="",Norm_Stats!$F$21="",Norm_Stats!$G$21="",Norm_Stats!$G$21=Norm_Stats!$F$21),"",MAX(0,MIN(100,100*(MIN(MAX(City_Inputs!$AF48,Norm_Stats!$F$21),Norm_Stats!$G$21)-Norm_Stats!$F$21)/(Norm_Stats!$G$21-Norm_Stats!$F$21)))))*0.5)+IF((IF(OR(City_Inputs!$AI48="",Norm_Stats!$F$22="",Norm_Stats!$G$22="",Norm_Stats!$G$22=Norm_Stats!$F$22),"",MAX(0,MIN(100,100*(MIN(MAX(City_Inputs!$AI48,Norm_Stats!$F$22),Norm_Stats!$G$22)-Norm_Stats!$F$22)/(Norm_Stats!$G$22-Norm_Stats!$F$22)))))="",0,(IF(OR(City_Inputs!$AI48="",Norm_Stats!$F$22="",Norm_Stats!$G$22="",Norm_Stats!$G$22=Norm_Stats!$F$22),"",MAX(0,MIN(100,100*(MIN(MAX(City_Inputs!$AI48,Norm_Stats!$F$22),Norm_Stats!$G$22)-Norm_Stats!$F$22)/(Norm_Stats!$G$22-Norm_Stats!$F$22)))))*0.3)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0.2))/(IF((IF(OR(City_Inputs!$AF48="",Norm_Stats!$F$21="",Norm_Stats!$G$21="",Norm_Stats!$G$21=Norm_Stats!$F$21),"",MAX(0,MIN(100,100*(MIN(MAX(City_Inputs!$AF48,Norm_Stats!$F$21),Norm_Stats!$G$21)-Norm_Stats!$F$21)/(Norm_Stats!$G$21-Norm_Stats!$F$21)))))="",0,0.5)+IF((IF(OR(City_Inputs!$AI48="",Norm_Stats!$F$22="",Norm_Stats!$G$22="",Norm_Stats!$G$22=Norm_Stats!$F$22),"",MAX(0,MIN(100,100*(MIN(MAX(City_Inputs!$AI48,Norm_Stats!$F$22),Norm_Stats!$G$22)-Norm_Stats!$F$22)/(Norm_Stats!$G$22-Norm_Stats!$F$22)))))="",0,0.3)+IF((IF(OR(City_Inputs!$AJ48="",Norm_Stats!$F$23="",Norm_Stats!$G$23="",Norm_Stats!$G$23=Norm_Stats!$F$23),"",MAX(0,MIN(100,100*(MIN(MAX(City_Inputs!$AJ48,Norm_Stats!$F$23),Norm_Stats!$G$23)-Norm_Stats!$F$23)/(Norm_Stats!$G$23-Norm_Stats!$F$23)))))="",0,0.2)))</f>
        <v/>
      </c>
      <c r="AZ48" s="14">
        <f>IF((IF((IF(OR(City_Inputs!$AF48="",Norm_Stats!$F$21="",Norm_Stats!$G$21="",Norm_Stats!$G$21=Norm_Stats!$F$21),"",MAX(0,MIN(100,100*(MIN(MAX(City_Inputs!$AF48,Norm_Stats!$F$21),Norm_Stats!$G$21)-Norm_Stats!$F$21)/(Norm_Stats!$G$21-Norm_Stats!$F$21)))))="",0,0.5)+IF((IF(OR(City_Inputs!$AI48="",Norm_Stats!$F$22="",Norm_Stats!$G$22="",Norm_Stats!$G$22=Norm_Stats!$F$22),"",MAX(0,MIN(100,100*(MIN(MAX(City_Inputs!$AI48,Norm_Stats!$F$22),Norm_Stats!$G$22)-Norm_Stats!$F$22)/(Norm_Stats!$G$22-Norm_Stats!$F$22)))))="",0,0.3)+IF((IF(OR(City_Inputs!$AJ48="",Norm_Stats!$F$23="",Norm_Stats!$G$23="",Norm_Stats!$G$23=Norm_Stats!$F$23),"",MAX(0,MIN(100,100*(MIN(MAX(City_Inputs!$AJ48,Norm_Stats!$F$23),Norm_Stats!$G$23)-Norm_Stats!$F$23)/(Norm_Stats!$G$23-Norm_Stats!$F$23)))))="",0,0.2))=0,"",(IF((IF(OR(City_Inputs!$AF48="",Norm_Stats!$F$21="",Norm_Stats!$G$21="",Norm_Stats!$G$21=Norm_Stats!$F$21),"",MAX(0,MIN(100,100*(MIN(MAX(City_Inputs!$AF48,Norm_Stats!$F$21),Norm_Stats!$G$21)-Norm_Stats!$F$21)/(Norm_Stats!$G$21-Norm_Stats!$F$21)))))="",0,0.5)+IF((IF(OR(City_Inputs!$AI48="",Norm_Stats!$F$22="",Norm_Stats!$G$22="",Norm_Stats!$G$22=Norm_Stats!$F$22),"",MAX(0,MIN(100,100*(MIN(MAX(City_Inputs!$AI48,Norm_Stats!$F$22),Norm_Stats!$G$22)-Norm_Stats!$F$22)/(Norm_Stats!$G$22-Norm_Stats!$F$22)))))="",0,0.3)+IF((IF(OR(City_Inputs!$AJ48="",Norm_Stats!$F$23="",Norm_Stats!$G$23="",Norm_Stats!$G$23=Norm_Stats!$F$23),"",MAX(0,MIN(100,100*(MIN(MAX(City_Inputs!$AJ48,Norm_Stats!$F$23),Norm_Stats!$G$23)-Norm_Stats!$F$23)/(Norm_Stats!$G$23-Norm_Stats!$F$23)))))="",0,0.2)))</f>
        <v/>
      </c>
      <c r="BA48" s="11">
        <f>IF(OR(City_Inputs!$AG48="",Norm_Stats!$F$24="",Norm_Stats!$G$24="",Norm_Stats!$G$24=Norm_Stats!$F$24),"",MAX(0,MIN(100,100*(Norm_Stats!$G$24-MIN(MAX(City_Inputs!$AG48,Norm_Stats!$F$24),Norm_Stats!$G$24))/(Norm_Stats!$G$24-Norm_Stats!$F$24))))</f>
        <v/>
      </c>
      <c r="BB48" s="14">
        <f>IF(BA48="","",1)</f>
        <v/>
      </c>
      <c r="BC48" s="15">
        <f>IF((IF(AU48="",0,6)+IF(AW48="",0,5)+IF(AY48="",0,5)+IF(BA48="",0,4))=0,"",(IF(AU48="",0,AU48*6)+IF(AW48="",0,AW48*5)+IF(AY48="",0,AY48*5)+IF(BA48="",0,BA48*4))/(IF(AU48="",0,6)+IF(AW48="",0,5)+IF(AY48="",0,5)+IF(BA48="",0,4)))</f>
        <v/>
      </c>
      <c r="BD48" s="14">
        <f>IF((IF(AV48="",0,6)+IF(AX48="",0,5)+IF(AZ48="",0,5)+IF(BB48="",0,4))=0,"",(IF(AV48="",0,AV48*6)+IF(AX48="",0,AX48*5)+IF(AZ48="",0,AZ48*5)+IF(BB48="",0,BB48*4))/20)</f>
        <v/>
      </c>
      <c r="BE48" s="14">
        <f>IF(AND(R48="",AD48="",AL48="",AT48="",BD48=""),"",((R48*25)+(AD48*22)+(AL48*18)+(AT48*15)+(BD48*20))/100)</f>
        <v/>
      </c>
      <c r="BF48" s="11">
        <f>IF(BE48="","",IF(BE48&gt;=0.75,"A",IF(BE48&gt;=0.5,"B",IF(BE48&gt;=0.35,"C","Watchlist"))))</f>
        <v/>
      </c>
      <c r="BG48" s="11">
        <f>IF(OR(BE48="",BE48&lt;0.5,R48="",R48&lt;0.35,AD48="",AD48&lt;0.35,AL48="",AL48&lt;0.35,AT48="",AT48&lt;0.35,BD48="",BD48&lt;0.35),"Watchlist","Ranked")</f>
        <v/>
      </c>
      <c r="BH48" s="15">
        <f>IF(AND(Q48="",AC48="",AK48="",AS48="",BC48=""),"",(IF(Q48="",0,Q48*25)+IF(AC48="",0,AC48*22)+IF(AK48="",0,AK48*18)+IF(AS48="",0,AS48*15)+IF(BC48="",0,BC48*20))/(IF(Q48="",0,25)+IF(AC48="",0,22)+IF(AK48="",0,18)+IF(AS48="",0,15)+IF(BC48="",0,20)))</f>
        <v/>
      </c>
      <c r="BI48" s="11">
        <f>IF(BG48="Ranked",1+COUNTIFS($BG$2:$BG$101,"Ranked",$BH$2:$BH$101,"&gt;"&amp;BH48),"")</f>
        <v/>
      </c>
      <c r="BJ48" s="11">
        <f>City_Inputs!$AH48</f>
        <v/>
      </c>
    </row>
    <row r="49">
      <c r="A49" t="inlineStr">
        <is>
          <t>pl-gdansk</t>
        </is>
      </c>
      <c r="B49" t="inlineStr">
        <is>
          <t>Gdansk</t>
        </is>
      </c>
      <c r="C49" t="inlineStr">
        <is>
          <t>Poland</t>
        </is>
      </c>
      <c r="D49" t="inlineStr">
        <is>
          <t>Southern/Eastern Europe and Eurasia</t>
        </is>
      </c>
      <c r="E49" t="inlineStr">
        <is>
          <t>locked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IF((IF(G49="",0,9)+IF(I49="",0,5)+IF(K49="",0,4)+IF(M49="",0,4)+IF(O49="",0,3))=0,"",(IF(G49="",0,G49*9)+IF(I49="",0,I49*5)+IF(K49="",0,K49*4)+IF(M49="",0,M49*4)+IF(O49="",0,O49*3))/(IF(G49="",0,9)+IF(I49="",0,5)+IF(K49="",0,4)+IF(M49="",0,4)+IF(O49="",0,3)))</f>
        <v/>
      </c>
      <c r="R49" s="14">
        <f>IF((IF(H49="",0,9)+IF(J49="",0,5)+IF(L49="",0,4)+IF(N49="",0,4)+IF(P49="",0,3))=0,"",(IF(H49="",0,H49*9)+IF(J49="",0,J49*5)+IF(L49="",0,L49*4)+IF(N49="",0,N49*4)+IF(P49="",0,P49*3))/25)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5">
        <f>IF((IF(S49="",0,5)+IF(U49="",0,5)+IF(W49="",0,4)+IF(Y49="",0,4)+IF(AA49="",0,4))=0,"",(IF(S49="",0,S49*5)+IF(U49="",0,U49*5)+IF(W49="",0,W49*4)+IF(Y49="",0,Y49*4)+IF(AA49="",0,AA49*4))/(IF(S49="",0,5)+IF(U49="",0,5)+IF(W49="",0,4)+IF(Y49="",0,4)+IF(AA49="",0,4)))</f>
        <v/>
      </c>
      <c r="AD49" s="14">
        <f>IF((IF(T49="",0,5)+IF(V49="",0,5)+IF(X49="",0,4)+IF(Z49="",0,4)+IF(AB49="",0,4))=0,"",(IF(T49="",0,T49*5)+IF(V49="",0,V49*5)+IF(X49="",0,X49*4)+IF(Z49="",0,Z49*4)+IF(AB49="",0,AB49*4))/22)</f>
        <v/>
      </c>
      <c r="AE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F49" s="14">
        <f>IF(AE49="","",1)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(IF((IF(OR(City_Inputs!$Z49="",Norm_Stats!$F$14="",Norm_Stats!$G$14="",Norm_Stats!$G$14=Norm_Stats!$F$14),"",MAX(0,MIN(100,100*(MIN(MAX(City_Inputs!$Z49,Norm_Stats!$F$14),Norm_Stats!$G$14)-Norm_Stats!$F$14)/(Norm_Stats!$G$14-Norm_Stats!$F$14)))))="",0,0.7)+IF((IF(OR(City_Inputs!$AK49="",Norm_Stats!$F$15="",Norm_Stats!$G$15="",Norm_Stats!$G$15=Norm_Stats!$F$15),"",MAX(0,MIN(100,100*(Norm_Stats!$G$15-MIN(MAX(City_Inputs!$AK49,Norm_Stats!$F$15),Norm_Stats!$G$15))/(Norm_Stats!$G$15-Norm_Stats!$F$15)))))="",0,0.3))=0,"",(IF((IF(OR(City_Inputs!$Z49="",Norm_Stats!$F$14="",Norm_Stats!$G$14="",Norm_Stats!$G$14=Norm_Stats!$F$14),"",MAX(0,MIN(100,100*(MIN(MAX(City_Inputs!$Z49,Norm_Stats!$F$14),Norm_Stats!$G$14)-Norm_Stats!$F$14)/(Norm_Stats!$G$14-Norm_Stats!$F$14)))))="",0,(IF(OR(City_Inputs!$Z49="",Norm_Stats!$F$14="",Norm_Stats!$G$14="",Norm_Stats!$G$14=Norm_Stats!$F$14),"",MAX(0,MIN(100,100*(MIN(MAX(City_Inputs!$Z49,Norm_Stats!$F$14),Norm_Stats!$G$14)-Norm_Stats!$F$14)/(Norm_Stats!$G$14-Norm_Stats!$F$14)))))*0.7)+IF((IF(OR(City_Inputs!$AK49="",Norm_Stats!$F$15="",Norm_Stats!$G$15="",Norm_Stats!$G$15=Norm_Stats!$F$15),"",MAX(0,MIN(100,100*(Norm_Stats!$G$15-MIN(MAX(City_Inputs!$AK49,Norm_Stats!$F$15),Norm_Stats!$G$15))/(Norm_Stats!$G$15-Norm_Stats!$F$15)))))="",0,(IF(OR(City_Inputs!$AK49="",Norm_Stats!$F$15="",Norm_Stats!$G$15="",Norm_Stats!$G$15=Norm_Stats!$F$15),"",MAX(0,MIN(100,100*(Norm_Stats!$G$15-MIN(MAX(City_Inputs!$AK49,Norm_Stats!$F$15),Norm_Stats!$G$15))/(Norm_Stats!$G$15-Norm_Stats!$F$15)))))*0.3))/(IF((IF(OR(City_Inputs!$Z49="",Norm_Stats!$F$14="",Norm_Stats!$G$14="",Norm_Stats!$G$14=Norm_Stats!$F$14),"",MAX(0,MIN(100,100*(MIN(MAX(City_Inputs!$Z49,Norm_Stats!$F$14),Norm_Stats!$G$14)-Norm_Stats!$F$14)/(Norm_Stats!$G$14-Norm_Stats!$F$14)))))="",0,0.7)+IF((IF(OR(City_Inputs!$AK49="",Norm_Stats!$F$15="",Norm_Stats!$G$15="",Norm_Stats!$G$15=Norm_Stats!$F$15),"",MAX(0,MIN(100,100*(Norm_Stats!$G$15-MIN(MAX(City_Inputs!$AK49,Norm_Stats!$F$15),Norm_Stats!$G$15))/(Norm_Stats!$G$15-Norm_Stats!$F$15)))))="",0,0.3)))</f>
        <v/>
      </c>
      <c r="AJ49" s="14">
        <f>IF((IF((IF(OR(City_Inputs!$Z49="",Norm_Stats!$F$14="",Norm_Stats!$G$14="",Norm_Stats!$G$14=Norm_Stats!$F$14),"",MAX(0,MIN(100,100*(MIN(MAX(City_Inputs!$Z49,Norm_Stats!$F$14),Norm_Stats!$G$14)-Norm_Stats!$F$14)/(Norm_Stats!$G$14-Norm_Stats!$F$14)))))="",0,0.7)+IF((IF(OR(City_Inputs!$AK49="",Norm_Stats!$F$15="",Norm_Stats!$G$15="",Norm_Stats!$G$15=Norm_Stats!$F$15),"",MAX(0,MIN(100,100*(Norm_Stats!$G$15-MIN(MAX(City_Inputs!$AK49,Norm_Stats!$F$15),Norm_Stats!$G$15))/(Norm_Stats!$G$15-Norm_Stats!$F$15)))))="",0,0.3))=0,"",(IF((IF(OR(City_Inputs!$Z49="",Norm_Stats!$F$14="",Norm_Stats!$G$14="",Norm_Stats!$G$14=Norm_Stats!$F$14),"",MAX(0,MIN(100,100*(MIN(MAX(City_Inputs!$Z49,Norm_Stats!$F$14),Norm_Stats!$G$14)-Norm_Stats!$F$14)/(Norm_Stats!$G$14-Norm_Stats!$F$14)))))="",0,0.7)+IF((IF(OR(City_Inputs!$AK49="",Norm_Stats!$F$15="",Norm_Stats!$G$15="",Norm_Stats!$G$15=Norm_Stats!$F$15),"",MAX(0,MIN(100,100*(Norm_Stats!$G$15-MIN(MAX(City_Inputs!$AK49,Norm_Stats!$F$15),Norm_Stats!$G$15))/(Norm_Stats!$G$15-Norm_Stats!$F$15)))))="",0,0.3)))</f>
        <v/>
      </c>
      <c r="AK49" s="15">
        <f>IF((IF(AE49="",0,8)+IF(AG49="",0,6)+IF(AI49="",0,4))=0,"",(IF(AE49="",0,AE49*8)+IF(AG49="",0,AG49*6)+IF(AI49="",0,AI49*4))/(IF(AE49="",0,8)+IF(AG49="",0,6)+IF(AI49="",0,4)))</f>
        <v/>
      </c>
      <c r="AL49" s="14">
        <f>IF((IF(AF49="",0,8)+IF(AH49="",0,6)+IF(AJ49="",0,4))=0,"",(IF(AF49="",0,AF49*8)+IF(AH49="",0,AH49*6)+IF(AJ49="",0,AJ49*4))/18)</f>
        <v/>
      </c>
      <c r="AM49" s="11">
        <f>IF(OR(City_Inputs!$AA49="",Norm_Stats!$F$16="",Norm_Stats!$G$16="",Norm_Stats!$G$16=Norm_Stats!$F$16),"",MAX(0,MIN(100,100*(MIN(MAX(City_Inputs!$AA49,Norm_Stats!$F$16),Norm_Stats!$G$16)-Norm_Stats!$F$16)/(Norm_Stats!$G$16-Norm_Stats!$F$16))))</f>
        <v/>
      </c>
      <c r="AN49" s="14">
        <f>IF(AM49="","",1)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5">
        <f>IF((IF(AM49="",0,5)+IF(AO49="",0,5)+IF(AQ49="",0,5))=0,"",(IF(AM49="",0,AM49*5)+IF(AO49="",0,AO49*5)+IF(AQ49="",0,AQ49*5))/(IF(AM49="",0,5)+IF(AO49="",0,5)+IF(AQ49="",0,5)))</f>
        <v/>
      </c>
      <c r="AT49" s="14">
        <f>IF((IF(AN49="",0,5)+IF(AP49="",0,5)+IF(AR49="",0,5))=0,"",(IF(AN49="",0,AN49*5)+IF(AP49="",0,AP49*5)+IF(AR49="",0,AR49*5))/15)</f>
        <v/>
      </c>
      <c r="AU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V49" s="14">
        <f>IF(AU49="","",1)</f>
        <v/>
      </c>
      <c r="AW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X49" s="14">
        <f>IF(AW49="","",1)</f>
        <v/>
      </c>
      <c r="AY49" s="11">
        <f>IF((IF((IF(OR(City_Inputs!$AF49="",Norm_Stats!$F$21="",Norm_Stats!$G$21="",Norm_Stats!$G$21=Norm_Stats!$F$21),"",MAX(0,MIN(100,100*(MIN(MAX(City_Inputs!$AF49,Norm_Stats!$F$21),Norm_Stats!$G$21)-Norm_Stats!$F$21)/(Norm_Stats!$G$21-Norm_Stats!$F$21)))))="",0,0.5)+IF((IF(OR(City_Inputs!$AI49="",Norm_Stats!$F$22="",Norm_Stats!$G$22="",Norm_Stats!$G$22=Norm_Stats!$F$22),"",MAX(0,MIN(100,100*(MIN(MAX(City_Inputs!$AI49,Norm_Stats!$F$22),Norm_Stats!$G$22)-Norm_Stats!$F$22)/(Norm_Stats!$G$22-Norm_Stats!$F$22)))))="",0,0.3)+IF((IF(OR(City_Inputs!$AJ49="",Norm_Stats!$F$23="",Norm_Stats!$G$23="",Norm_Stats!$G$23=Norm_Stats!$F$23),"",MAX(0,MIN(100,100*(MIN(MAX(City_Inputs!$AJ49,Norm_Stats!$F$23),Norm_Stats!$G$23)-Norm_Stats!$F$23)/(Norm_Stats!$G$23-Norm_Stats!$F$23)))))="",0,0.2))=0,"",(IF((IF(OR(City_Inputs!$AF49="",Norm_Stats!$F$21="",Norm_Stats!$G$21="",Norm_Stats!$G$21=Norm_Stats!$F$21),"",MAX(0,MIN(100,100*(MIN(MAX(City_Inputs!$AF49,Norm_Stats!$F$21),Norm_Stats!$G$21)-Norm_Stats!$F$21)/(Norm_Stats!$G$21-Norm_Stats!$F$21)))))="",0,(IF(OR(City_Inputs!$AF49="",Norm_Stats!$F$21="",Norm_Stats!$G$21="",Norm_Stats!$G$21=Norm_Stats!$F$21),"",MAX(0,MIN(100,100*(MIN(MAX(City_Inputs!$AF49,Norm_Stats!$F$21),Norm_Stats!$G$21)-Norm_Stats!$F$21)/(Norm_Stats!$G$21-Norm_Stats!$F$21)))))*0.5)+IF((IF(OR(City_Inputs!$AI49="",Norm_Stats!$F$22="",Norm_Stats!$G$22="",Norm_Stats!$G$22=Norm_Stats!$F$22),"",MAX(0,MIN(100,100*(MIN(MAX(City_Inputs!$AI49,Norm_Stats!$F$22),Norm_Stats!$G$22)-Norm_Stats!$F$22)/(Norm_Stats!$G$22-Norm_Stats!$F$22)))))="",0,(IF(OR(City_Inputs!$AI49="",Norm_Stats!$F$22="",Norm_Stats!$G$22="",Norm_Stats!$G$22=Norm_Stats!$F$22),"",MAX(0,MIN(100,100*(MIN(MAX(City_Inputs!$AI49,Norm_Stats!$F$22),Norm_Stats!$G$22)-Norm_Stats!$F$22)/(Norm_Stats!$G$22-Norm_Stats!$F$22)))))*0.3)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0.2))/(IF((IF(OR(City_Inputs!$AF49="",Norm_Stats!$F$21="",Norm_Stats!$G$21="",Norm_Stats!$G$21=Norm_Stats!$F$21),"",MAX(0,MIN(100,100*(MIN(MAX(City_Inputs!$AF49,Norm_Stats!$F$21),Norm_Stats!$G$21)-Norm_Stats!$F$21)/(Norm_Stats!$G$21-Norm_Stats!$F$21)))))="",0,0.5)+IF((IF(OR(City_Inputs!$AI49="",Norm_Stats!$F$22="",Norm_Stats!$G$22="",Norm_Stats!$G$22=Norm_Stats!$F$22),"",MAX(0,MIN(100,100*(MIN(MAX(City_Inputs!$AI49,Norm_Stats!$F$22),Norm_Stats!$G$22)-Norm_Stats!$F$22)/(Norm_Stats!$G$22-Norm_Stats!$F$22)))))="",0,0.3)+IF((IF(OR(City_Inputs!$AJ49="",Norm_Stats!$F$23="",Norm_Stats!$G$23="",Norm_Stats!$G$23=Norm_Stats!$F$23),"",MAX(0,MIN(100,100*(MIN(MAX(City_Inputs!$AJ49,Norm_Stats!$F$23),Norm_Stats!$G$23)-Norm_Stats!$F$23)/(Norm_Stats!$G$23-Norm_Stats!$F$23)))))="",0,0.2)))</f>
        <v/>
      </c>
      <c r="AZ49" s="14">
        <f>IF((IF((IF(OR(City_Inputs!$AF49="",Norm_Stats!$F$21="",Norm_Stats!$G$21="",Norm_Stats!$G$21=Norm_Stats!$F$21),"",MAX(0,MIN(100,100*(MIN(MAX(City_Inputs!$AF49,Norm_Stats!$F$21),Norm_Stats!$G$21)-Norm_Stats!$F$21)/(Norm_Stats!$G$21-Norm_Stats!$F$21)))))="",0,0.5)+IF((IF(OR(City_Inputs!$AI49="",Norm_Stats!$F$22="",Norm_Stats!$G$22="",Norm_Stats!$G$22=Norm_Stats!$F$22),"",MAX(0,MIN(100,100*(MIN(MAX(City_Inputs!$AI49,Norm_Stats!$F$22),Norm_Stats!$G$22)-Norm_Stats!$F$22)/(Norm_Stats!$G$22-Norm_Stats!$F$22)))))="",0,0.3)+IF((IF(OR(City_Inputs!$AJ49="",Norm_Stats!$F$23="",Norm_Stats!$G$23="",Norm_Stats!$G$23=Norm_Stats!$F$23),"",MAX(0,MIN(100,100*(MIN(MAX(City_Inputs!$AJ49,Norm_Stats!$F$23),Norm_Stats!$G$23)-Norm_Stats!$F$23)/(Norm_Stats!$G$23-Norm_Stats!$F$23)))))="",0,0.2))=0,"",(IF((IF(OR(City_Inputs!$AF49="",Norm_Stats!$F$21="",Norm_Stats!$G$21="",Norm_Stats!$G$21=Norm_Stats!$F$21),"",MAX(0,MIN(100,100*(MIN(MAX(City_Inputs!$AF49,Norm_Stats!$F$21),Norm_Stats!$G$21)-Norm_Stats!$F$21)/(Norm_Stats!$G$21-Norm_Stats!$F$21)))))="",0,0.5)+IF((IF(OR(City_Inputs!$AI49="",Norm_Stats!$F$22="",Norm_Stats!$G$22="",Norm_Stats!$G$22=Norm_Stats!$F$22),"",MAX(0,MIN(100,100*(MIN(MAX(City_Inputs!$AI49,Norm_Stats!$F$22),Norm_Stats!$G$22)-Norm_Stats!$F$22)/(Norm_Stats!$G$22-Norm_Stats!$F$22)))))="",0,0.3)+IF((IF(OR(City_Inputs!$AJ49="",Norm_Stats!$F$23="",Norm_Stats!$G$23="",Norm_Stats!$G$23=Norm_Stats!$F$23),"",MAX(0,MIN(100,100*(MIN(MAX(City_Inputs!$AJ49,Norm_Stats!$F$23),Norm_Stats!$G$23)-Norm_Stats!$F$23)/(Norm_Stats!$G$23-Norm_Stats!$F$23)))))="",0,0.2)))</f>
        <v/>
      </c>
      <c r="BA49" s="11">
        <f>IF(OR(City_Inputs!$AG49="",Norm_Stats!$F$24="",Norm_Stats!$G$24="",Norm_Stats!$G$24=Norm_Stats!$F$24),"",MAX(0,MIN(100,100*(Norm_Stats!$G$24-MIN(MAX(City_Inputs!$AG49,Norm_Stats!$F$24),Norm_Stats!$G$24))/(Norm_Stats!$G$24-Norm_Stats!$F$24))))</f>
        <v/>
      </c>
      <c r="BB49" s="14">
        <f>IF(BA49="","",1)</f>
        <v/>
      </c>
      <c r="BC49" s="15">
        <f>IF((IF(AU49="",0,6)+IF(AW49="",0,5)+IF(AY49="",0,5)+IF(BA49="",0,4))=0,"",(IF(AU49="",0,AU49*6)+IF(AW49="",0,AW49*5)+IF(AY49="",0,AY49*5)+IF(BA49="",0,BA49*4))/(IF(AU49="",0,6)+IF(AW49="",0,5)+IF(AY49="",0,5)+IF(BA49="",0,4)))</f>
        <v/>
      </c>
      <c r="BD49" s="14">
        <f>IF((IF(AV49="",0,6)+IF(AX49="",0,5)+IF(AZ49="",0,5)+IF(BB49="",0,4))=0,"",(IF(AV49="",0,AV49*6)+IF(AX49="",0,AX49*5)+IF(AZ49="",0,AZ49*5)+IF(BB49="",0,BB49*4))/20)</f>
        <v/>
      </c>
      <c r="BE49" s="14">
        <f>IF(AND(R49="",AD49="",AL49="",AT49="",BD49=""),"",((R49*25)+(AD49*22)+(AL49*18)+(AT49*15)+(BD49*20))/100)</f>
        <v/>
      </c>
      <c r="BF49" s="11">
        <f>IF(BE49="","",IF(BE49&gt;=0.75,"A",IF(BE49&gt;=0.5,"B",IF(BE49&gt;=0.35,"C","Watchlist"))))</f>
        <v/>
      </c>
      <c r="BG49" s="11">
        <f>IF(OR(BE49="",BE49&lt;0.5,R49="",R49&lt;0.35,AD49="",AD49&lt;0.35,AL49="",AL49&lt;0.35,AT49="",AT49&lt;0.35,BD49="",BD49&lt;0.35),"Watchlist","Ranked")</f>
        <v/>
      </c>
      <c r="BH49" s="15">
        <f>IF(AND(Q49="",AC49="",AK49="",AS49="",BC49=""),"",(IF(Q49="",0,Q49*25)+IF(AC49="",0,AC49*22)+IF(AK49="",0,AK49*18)+IF(AS49="",0,AS49*15)+IF(BC49="",0,BC49*20))/(IF(Q49="",0,25)+IF(AC49="",0,22)+IF(AK49="",0,18)+IF(AS49="",0,15)+IF(BC49="",0,20)))</f>
        <v/>
      </c>
      <c r="BI49" s="11">
        <f>IF(BG49="Ranked",1+COUNTIFS($BG$2:$BG$101,"Ranked",$BH$2:$BH$101,"&gt;"&amp;BH49),"")</f>
        <v/>
      </c>
      <c r="BJ49" s="11">
        <f>City_Inputs!$AH49</f>
        <v/>
      </c>
    </row>
    <row r="50">
      <c r="A50" t="inlineStr">
        <is>
          <t>pl-torun</t>
        </is>
      </c>
      <c r="B50" t="inlineStr">
        <is>
          <t>Torun</t>
        </is>
      </c>
      <c r="C50" t="inlineStr">
        <is>
          <t>Poland</t>
        </is>
      </c>
      <c r="D50" t="inlineStr">
        <is>
          <t>Southern/Eastern Europe and Eurasia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IF((IF(G50="",0,9)+IF(I50="",0,5)+IF(K50="",0,4)+IF(M50="",0,4)+IF(O50="",0,3))=0,"",(IF(G50="",0,G50*9)+IF(I50="",0,I50*5)+IF(K50="",0,K50*4)+IF(M50="",0,M50*4)+IF(O50="",0,O50*3))/(IF(G50="",0,9)+IF(I50="",0,5)+IF(K50="",0,4)+IF(M50="",0,4)+IF(O50="",0,3)))</f>
        <v/>
      </c>
      <c r="R50" s="14">
        <f>IF((IF(H50="",0,9)+IF(J50="",0,5)+IF(L50="",0,4)+IF(N50="",0,4)+IF(P50="",0,3))=0,"",(IF(H50="",0,H50*9)+IF(J50="",0,J50*5)+IF(L50="",0,L50*4)+IF(N50="",0,N50*4)+IF(P50="",0,P50*3))/25)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5">
        <f>IF((IF(S50="",0,5)+IF(U50="",0,5)+IF(W50="",0,4)+IF(Y50="",0,4)+IF(AA50="",0,4))=0,"",(IF(S50="",0,S50*5)+IF(U50="",0,U50*5)+IF(W50="",0,W50*4)+IF(Y50="",0,Y50*4)+IF(AA50="",0,AA50*4))/(IF(S50="",0,5)+IF(U50="",0,5)+IF(W50="",0,4)+IF(Y50="",0,4)+IF(AA50="",0,4)))</f>
        <v/>
      </c>
      <c r="AD50" s="14">
        <f>IF((IF(T50="",0,5)+IF(V50="",0,5)+IF(X50="",0,4)+IF(Z50="",0,4)+IF(AB50="",0,4))=0,"",(IF(T50="",0,T50*5)+IF(V50="",0,V50*5)+IF(X50="",0,X50*4)+IF(Z50="",0,Z50*4)+IF(AB50="",0,AB50*4))/22)</f>
        <v/>
      </c>
      <c r="AE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F50" s="14">
        <f>IF(AE50="","",1)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(IF((IF(OR(City_Inputs!$Z50="",Norm_Stats!$F$14="",Norm_Stats!$G$14="",Norm_Stats!$G$14=Norm_Stats!$F$14),"",MAX(0,MIN(100,100*(MIN(MAX(City_Inputs!$Z50,Norm_Stats!$F$14),Norm_Stats!$G$14)-Norm_Stats!$F$14)/(Norm_Stats!$G$14-Norm_Stats!$F$14)))))="",0,0.7)+IF((IF(OR(City_Inputs!$AK50="",Norm_Stats!$F$15="",Norm_Stats!$G$15="",Norm_Stats!$G$15=Norm_Stats!$F$15),"",MAX(0,MIN(100,100*(Norm_Stats!$G$15-MIN(MAX(City_Inputs!$AK50,Norm_Stats!$F$15),Norm_Stats!$G$15))/(Norm_Stats!$G$15-Norm_Stats!$F$15)))))="",0,0.3))=0,"",(IF((IF(OR(City_Inputs!$Z50="",Norm_Stats!$F$14="",Norm_Stats!$G$14="",Norm_Stats!$G$14=Norm_Stats!$F$14),"",MAX(0,MIN(100,100*(MIN(MAX(City_Inputs!$Z50,Norm_Stats!$F$14),Norm_Stats!$G$14)-Norm_Stats!$F$14)/(Norm_Stats!$G$14-Norm_Stats!$F$14)))))="",0,(IF(OR(City_Inputs!$Z50="",Norm_Stats!$F$14="",Norm_Stats!$G$14="",Norm_Stats!$G$14=Norm_Stats!$F$14),"",MAX(0,MIN(100,100*(MIN(MAX(City_Inputs!$Z50,Norm_Stats!$F$14),Norm_Stats!$G$14)-Norm_Stats!$F$14)/(Norm_Stats!$G$14-Norm_Stats!$F$14)))))*0.7)+IF((IF(OR(City_Inputs!$AK50="",Norm_Stats!$F$15="",Norm_Stats!$G$15="",Norm_Stats!$G$15=Norm_Stats!$F$15),"",MAX(0,MIN(100,100*(Norm_Stats!$G$15-MIN(MAX(City_Inputs!$AK50,Norm_Stats!$F$15),Norm_Stats!$G$15))/(Norm_Stats!$G$15-Norm_Stats!$F$15)))))="",0,(IF(OR(City_Inputs!$AK50="",Norm_Stats!$F$15="",Norm_Stats!$G$15="",Norm_Stats!$G$15=Norm_Stats!$F$15),"",MAX(0,MIN(100,100*(Norm_Stats!$G$15-MIN(MAX(City_Inputs!$AK50,Norm_Stats!$F$15),Norm_Stats!$G$15))/(Norm_Stats!$G$15-Norm_Stats!$F$15)))))*0.3))/(IF((IF(OR(City_Inputs!$Z50="",Norm_Stats!$F$14="",Norm_Stats!$G$14="",Norm_Stats!$G$14=Norm_Stats!$F$14),"",MAX(0,MIN(100,100*(MIN(MAX(City_Inputs!$Z50,Norm_Stats!$F$14),Norm_Stats!$G$14)-Norm_Stats!$F$14)/(Norm_Stats!$G$14-Norm_Stats!$F$14)))))="",0,0.7)+IF((IF(OR(City_Inputs!$AK50="",Norm_Stats!$F$15="",Norm_Stats!$G$15="",Norm_Stats!$G$15=Norm_Stats!$F$15),"",MAX(0,MIN(100,100*(Norm_Stats!$G$15-MIN(MAX(City_Inputs!$AK50,Norm_Stats!$F$15),Norm_Stats!$G$15))/(Norm_Stats!$G$15-Norm_Stats!$F$15)))))="",0,0.3)))</f>
        <v/>
      </c>
      <c r="AJ50" s="14">
        <f>IF((IF((IF(OR(City_Inputs!$Z50="",Norm_Stats!$F$14="",Norm_Stats!$G$14="",Norm_Stats!$G$14=Norm_Stats!$F$14),"",MAX(0,MIN(100,100*(MIN(MAX(City_Inputs!$Z50,Norm_Stats!$F$14),Norm_Stats!$G$14)-Norm_Stats!$F$14)/(Norm_Stats!$G$14-Norm_Stats!$F$14)))))="",0,0.7)+IF((IF(OR(City_Inputs!$AK50="",Norm_Stats!$F$15="",Norm_Stats!$G$15="",Norm_Stats!$G$15=Norm_Stats!$F$15),"",MAX(0,MIN(100,100*(Norm_Stats!$G$15-MIN(MAX(City_Inputs!$AK50,Norm_Stats!$F$15),Norm_Stats!$G$15))/(Norm_Stats!$G$15-Norm_Stats!$F$15)))))="",0,0.3))=0,"",(IF((IF(OR(City_Inputs!$Z50="",Norm_Stats!$F$14="",Norm_Stats!$G$14="",Norm_Stats!$G$14=Norm_Stats!$F$14),"",MAX(0,MIN(100,100*(MIN(MAX(City_Inputs!$Z50,Norm_Stats!$F$14),Norm_Stats!$G$14)-Norm_Stats!$F$14)/(Norm_Stats!$G$14-Norm_Stats!$F$14)))))="",0,0.7)+IF((IF(OR(City_Inputs!$AK50="",Norm_Stats!$F$15="",Norm_Stats!$G$15="",Norm_Stats!$G$15=Norm_Stats!$F$15),"",MAX(0,MIN(100,100*(Norm_Stats!$G$15-MIN(MAX(City_Inputs!$AK50,Norm_Stats!$F$15),Norm_Stats!$G$15))/(Norm_Stats!$G$15-Norm_Stats!$F$15)))))="",0,0.3)))</f>
        <v/>
      </c>
      <c r="AK50" s="15">
        <f>IF((IF(AE50="",0,8)+IF(AG50="",0,6)+IF(AI50="",0,4))=0,"",(IF(AE50="",0,AE50*8)+IF(AG50="",0,AG50*6)+IF(AI50="",0,AI50*4))/(IF(AE50="",0,8)+IF(AG50="",0,6)+IF(AI50="",0,4)))</f>
        <v/>
      </c>
      <c r="AL50" s="14">
        <f>IF((IF(AF50="",0,8)+IF(AH50="",0,6)+IF(AJ50="",0,4))=0,"",(IF(AF50="",0,AF50*8)+IF(AH50="",0,AH50*6)+IF(AJ50="",0,AJ50*4))/18)</f>
        <v/>
      </c>
      <c r="AM50" s="11">
        <f>IF(OR(City_Inputs!$AA50="",Norm_Stats!$F$16="",Norm_Stats!$G$16="",Norm_Stats!$G$16=Norm_Stats!$F$16),"",MAX(0,MIN(100,100*(MIN(MAX(City_Inputs!$AA50,Norm_Stats!$F$16),Norm_Stats!$G$16)-Norm_Stats!$F$16)/(Norm_Stats!$G$16-Norm_Stats!$F$16))))</f>
        <v/>
      </c>
      <c r="AN50" s="14">
        <f>IF(AM50="","",1)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5">
        <f>IF((IF(AM50="",0,5)+IF(AO50="",0,5)+IF(AQ50="",0,5))=0,"",(IF(AM50="",0,AM50*5)+IF(AO50="",0,AO50*5)+IF(AQ50="",0,AQ50*5))/(IF(AM50="",0,5)+IF(AO50="",0,5)+IF(AQ50="",0,5)))</f>
        <v/>
      </c>
      <c r="AT50" s="14">
        <f>IF((IF(AN50="",0,5)+IF(AP50="",0,5)+IF(AR50="",0,5))=0,"",(IF(AN50="",0,AN50*5)+IF(AP50="",0,AP50*5)+IF(AR50="",0,AR50*5))/15)</f>
        <v/>
      </c>
      <c r="AU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V50" s="14">
        <f>IF(AU50="","",1)</f>
        <v/>
      </c>
      <c r="AW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X50" s="14">
        <f>IF(AW50="","",1)</f>
        <v/>
      </c>
      <c r="AY50" s="11">
        <f>IF((IF((IF(OR(City_Inputs!$AF50="",Norm_Stats!$F$21="",Norm_Stats!$G$21="",Norm_Stats!$G$21=Norm_Stats!$F$21),"",MAX(0,MIN(100,100*(MIN(MAX(City_Inputs!$AF50,Norm_Stats!$F$21),Norm_Stats!$G$21)-Norm_Stats!$F$21)/(Norm_Stats!$G$21-Norm_Stats!$F$21)))))="",0,0.5)+IF((IF(OR(City_Inputs!$AI50="",Norm_Stats!$F$22="",Norm_Stats!$G$22="",Norm_Stats!$G$22=Norm_Stats!$F$22),"",MAX(0,MIN(100,100*(MIN(MAX(City_Inputs!$AI50,Norm_Stats!$F$22),Norm_Stats!$G$22)-Norm_Stats!$F$22)/(Norm_Stats!$G$22-Norm_Stats!$F$22)))))="",0,0.3)+IF((IF(OR(City_Inputs!$AJ50="",Norm_Stats!$F$23="",Norm_Stats!$G$23="",Norm_Stats!$G$23=Norm_Stats!$F$23),"",MAX(0,MIN(100,100*(MIN(MAX(City_Inputs!$AJ50,Norm_Stats!$F$23),Norm_Stats!$G$23)-Norm_Stats!$F$23)/(Norm_Stats!$G$23-Norm_Stats!$F$23)))))="",0,0.2))=0,"",(IF((IF(OR(City_Inputs!$AF50="",Norm_Stats!$F$21="",Norm_Stats!$G$21="",Norm_Stats!$G$21=Norm_Stats!$F$21),"",MAX(0,MIN(100,100*(MIN(MAX(City_Inputs!$AF50,Norm_Stats!$F$21),Norm_Stats!$G$21)-Norm_Stats!$F$21)/(Norm_Stats!$G$21-Norm_Stats!$F$21)))))="",0,(IF(OR(City_Inputs!$AF50="",Norm_Stats!$F$21="",Norm_Stats!$G$21="",Norm_Stats!$G$21=Norm_Stats!$F$21),"",MAX(0,MIN(100,100*(MIN(MAX(City_Inputs!$AF50,Norm_Stats!$F$21),Norm_Stats!$G$21)-Norm_Stats!$F$21)/(Norm_Stats!$G$21-Norm_Stats!$F$21)))))*0.5)+IF((IF(OR(City_Inputs!$AI50="",Norm_Stats!$F$22="",Norm_Stats!$G$22="",Norm_Stats!$G$22=Norm_Stats!$F$22),"",MAX(0,MIN(100,100*(MIN(MAX(City_Inputs!$AI50,Norm_Stats!$F$22),Norm_Stats!$G$22)-Norm_Stats!$F$22)/(Norm_Stats!$G$22-Norm_Stats!$F$22)))))="",0,(IF(OR(City_Inputs!$AI50="",Norm_Stats!$F$22="",Norm_Stats!$G$22="",Norm_Stats!$G$22=Norm_Stats!$F$22),"",MAX(0,MIN(100,100*(MIN(MAX(City_Inputs!$AI50,Norm_Stats!$F$22),Norm_Stats!$G$22)-Norm_Stats!$F$22)/(Norm_Stats!$G$22-Norm_Stats!$F$22)))))*0.3)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0.2))/(IF((IF(OR(City_Inputs!$AF50="",Norm_Stats!$F$21="",Norm_Stats!$G$21="",Norm_Stats!$G$21=Norm_Stats!$F$21),"",MAX(0,MIN(100,100*(MIN(MAX(City_Inputs!$AF50,Norm_Stats!$F$21),Norm_Stats!$G$21)-Norm_Stats!$F$21)/(Norm_Stats!$G$21-Norm_Stats!$F$21)))))="",0,0.5)+IF((IF(OR(City_Inputs!$AI50="",Norm_Stats!$F$22="",Norm_Stats!$G$22="",Norm_Stats!$G$22=Norm_Stats!$F$22),"",MAX(0,MIN(100,100*(MIN(MAX(City_Inputs!$AI50,Norm_Stats!$F$22),Norm_Stats!$G$22)-Norm_Stats!$F$22)/(Norm_Stats!$G$22-Norm_Stats!$F$22)))))="",0,0.3)+IF((IF(OR(City_Inputs!$AJ50="",Norm_Stats!$F$23="",Norm_Stats!$G$23="",Norm_Stats!$G$23=Norm_Stats!$F$23),"",MAX(0,MIN(100,100*(MIN(MAX(City_Inputs!$AJ50,Norm_Stats!$F$23),Norm_Stats!$G$23)-Norm_Stats!$F$23)/(Norm_Stats!$G$23-Norm_Stats!$F$23)))))="",0,0.2)))</f>
        <v/>
      </c>
      <c r="AZ50" s="14">
        <f>IF((IF((IF(OR(City_Inputs!$AF50="",Norm_Stats!$F$21="",Norm_Stats!$G$21="",Norm_Stats!$G$21=Norm_Stats!$F$21),"",MAX(0,MIN(100,100*(MIN(MAX(City_Inputs!$AF50,Norm_Stats!$F$21),Norm_Stats!$G$21)-Norm_Stats!$F$21)/(Norm_Stats!$G$21-Norm_Stats!$F$21)))))="",0,0.5)+IF((IF(OR(City_Inputs!$AI50="",Norm_Stats!$F$22="",Norm_Stats!$G$22="",Norm_Stats!$G$22=Norm_Stats!$F$22),"",MAX(0,MIN(100,100*(MIN(MAX(City_Inputs!$AI50,Norm_Stats!$F$22),Norm_Stats!$G$22)-Norm_Stats!$F$22)/(Norm_Stats!$G$22-Norm_Stats!$F$22)))))="",0,0.3)+IF((IF(OR(City_Inputs!$AJ50="",Norm_Stats!$F$23="",Norm_Stats!$G$23="",Norm_Stats!$G$23=Norm_Stats!$F$23),"",MAX(0,MIN(100,100*(MIN(MAX(City_Inputs!$AJ50,Norm_Stats!$F$23),Norm_Stats!$G$23)-Norm_Stats!$F$23)/(Norm_Stats!$G$23-Norm_Stats!$F$23)))))="",0,0.2))=0,"",(IF((IF(OR(City_Inputs!$AF50="",Norm_Stats!$F$21="",Norm_Stats!$G$21="",Norm_Stats!$G$21=Norm_Stats!$F$21),"",MAX(0,MIN(100,100*(MIN(MAX(City_Inputs!$AF50,Norm_Stats!$F$21),Norm_Stats!$G$21)-Norm_Stats!$F$21)/(Norm_Stats!$G$21-Norm_Stats!$F$21)))))="",0,0.5)+IF((IF(OR(City_Inputs!$AI50="",Norm_Stats!$F$22="",Norm_Stats!$G$22="",Norm_Stats!$G$22=Norm_Stats!$F$22),"",MAX(0,MIN(100,100*(MIN(MAX(City_Inputs!$AI50,Norm_Stats!$F$22),Norm_Stats!$G$22)-Norm_Stats!$F$22)/(Norm_Stats!$G$22-Norm_Stats!$F$22)))))="",0,0.3)+IF((IF(OR(City_Inputs!$AJ50="",Norm_Stats!$F$23="",Norm_Stats!$G$23="",Norm_Stats!$G$23=Norm_Stats!$F$23),"",MAX(0,MIN(100,100*(MIN(MAX(City_Inputs!$AJ50,Norm_Stats!$F$23),Norm_Stats!$G$23)-Norm_Stats!$F$23)/(Norm_Stats!$G$23-Norm_Stats!$F$23)))))="",0,0.2)))</f>
        <v/>
      </c>
      <c r="BA50" s="11">
        <f>IF(OR(City_Inputs!$AG50="",Norm_Stats!$F$24="",Norm_Stats!$G$24="",Norm_Stats!$G$24=Norm_Stats!$F$24),"",MAX(0,MIN(100,100*(Norm_Stats!$G$24-MIN(MAX(City_Inputs!$AG50,Norm_Stats!$F$24),Norm_Stats!$G$24))/(Norm_Stats!$G$24-Norm_Stats!$F$24))))</f>
        <v/>
      </c>
      <c r="BB50" s="14">
        <f>IF(BA50="","",1)</f>
        <v/>
      </c>
      <c r="BC50" s="15">
        <f>IF((IF(AU50="",0,6)+IF(AW50="",0,5)+IF(AY50="",0,5)+IF(BA50="",0,4))=0,"",(IF(AU50="",0,AU50*6)+IF(AW50="",0,AW50*5)+IF(AY50="",0,AY50*5)+IF(BA50="",0,BA50*4))/(IF(AU50="",0,6)+IF(AW50="",0,5)+IF(AY50="",0,5)+IF(BA50="",0,4)))</f>
        <v/>
      </c>
      <c r="BD50" s="14">
        <f>IF((IF(AV50="",0,6)+IF(AX50="",0,5)+IF(AZ50="",0,5)+IF(BB50="",0,4))=0,"",(IF(AV50="",0,AV50*6)+IF(AX50="",0,AX50*5)+IF(AZ50="",0,AZ50*5)+IF(BB50="",0,BB50*4))/20)</f>
        <v/>
      </c>
      <c r="BE50" s="14">
        <f>IF(AND(R50="",AD50="",AL50="",AT50="",BD50=""),"",((R50*25)+(AD50*22)+(AL50*18)+(AT50*15)+(BD50*20))/100)</f>
        <v/>
      </c>
      <c r="BF50" s="11">
        <f>IF(BE50="","",IF(BE50&gt;=0.75,"A",IF(BE50&gt;=0.5,"B",IF(BE50&gt;=0.35,"C","Watchlist"))))</f>
        <v/>
      </c>
      <c r="BG50" s="11">
        <f>IF(OR(BE50="",BE50&lt;0.5,R50="",R50&lt;0.35,AD50="",AD50&lt;0.35,AL50="",AL50&lt;0.35,AT50="",AT50&lt;0.35,BD50="",BD50&lt;0.35),"Watchlist","Ranked")</f>
        <v/>
      </c>
      <c r="BH50" s="15">
        <f>IF(AND(Q50="",AC50="",AK50="",AS50="",BC50=""),"",(IF(Q50="",0,Q50*25)+IF(AC50="",0,AC50*22)+IF(AK50="",0,AK50*18)+IF(AS50="",0,AS50*15)+IF(BC50="",0,BC50*20))/(IF(Q50="",0,25)+IF(AC50="",0,22)+IF(AK50="",0,18)+IF(AS50="",0,15)+IF(BC50="",0,20)))</f>
        <v/>
      </c>
      <c r="BI50" s="11">
        <f>IF(BG50="Ranked",1+COUNTIFS($BG$2:$BG$101,"Ranked",$BH$2:$BH$101,"&gt;"&amp;BH50),"")</f>
        <v/>
      </c>
      <c r="BJ50" s="11">
        <f>City_Inputs!$AH50</f>
        <v/>
      </c>
    </row>
    <row r="51">
      <c r="A51" t="inlineStr">
        <is>
          <t>sk-bratislava</t>
        </is>
      </c>
      <c r="B51" t="inlineStr">
        <is>
          <t>Bratislava</t>
        </is>
      </c>
      <c r="C51" t="inlineStr">
        <is>
          <t>Slovakia</t>
        </is>
      </c>
      <c r="D51" t="inlineStr">
        <is>
          <t>Southern/Eastern Europe and Eurasia</t>
        </is>
      </c>
      <c r="E51" t="inlineStr">
        <is>
          <t>provisional</t>
        </is>
      </c>
      <c r="F51" t="inlineStr">
        <is>
          <t>secondary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IF((IF(G51="",0,9)+IF(I51="",0,5)+IF(K51="",0,4)+IF(M51="",0,4)+IF(O51="",0,3))=0,"",(IF(G51="",0,G51*9)+IF(I51="",0,I51*5)+IF(K51="",0,K51*4)+IF(M51="",0,M51*4)+IF(O51="",0,O51*3))/(IF(G51="",0,9)+IF(I51="",0,5)+IF(K51="",0,4)+IF(M51="",0,4)+IF(O51="",0,3)))</f>
        <v/>
      </c>
      <c r="R51" s="14">
        <f>IF((IF(H51="",0,9)+IF(J51="",0,5)+IF(L51="",0,4)+IF(N51="",0,4)+IF(P51="",0,3))=0,"",(IF(H51="",0,H51*9)+IF(J51="",0,J51*5)+IF(L51="",0,L51*4)+IF(N51="",0,N51*4)+IF(P51="",0,P51*3))/25)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5">
        <f>IF((IF(S51="",0,5)+IF(U51="",0,5)+IF(W51="",0,4)+IF(Y51="",0,4)+IF(AA51="",0,4))=0,"",(IF(S51="",0,S51*5)+IF(U51="",0,U51*5)+IF(W51="",0,W51*4)+IF(Y51="",0,Y51*4)+IF(AA51="",0,AA51*4))/(IF(S51="",0,5)+IF(U51="",0,5)+IF(W51="",0,4)+IF(Y51="",0,4)+IF(AA51="",0,4)))</f>
        <v/>
      </c>
      <c r="AD51" s="14">
        <f>IF((IF(T51="",0,5)+IF(V51="",0,5)+IF(X51="",0,4)+IF(Z51="",0,4)+IF(AB51="",0,4))=0,"",(IF(T51="",0,T51*5)+IF(V51="",0,V51*5)+IF(X51="",0,X51*4)+IF(Z51="",0,Z51*4)+IF(AB51="",0,AB51*4))/22)</f>
        <v/>
      </c>
      <c r="AE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F51" s="14">
        <f>IF(AE51="","",1)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(IF((IF(OR(City_Inputs!$Z51="",Norm_Stats!$F$14="",Norm_Stats!$G$14="",Norm_Stats!$G$14=Norm_Stats!$F$14),"",MAX(0,MIN(100,100*(MIN(MAX(City_Inputs!$Z51,Norm_Stats!$F$14),Norm_Stats!$G$14)-Norm_Stats!$F$14)/(Norm_Stats!$G$14-Norm_Stats!$F$14)))))="",0,0.7)+IF((IF(OR(City_Inputs!$AK51="",Norm_Stats!$F$15="",Norm_Stats!$G$15="",Norm_Stats!$G$15=Norm_Stats!$F$15),"",MAX(0,MIN(100,100*(Norm_Stats!$G$15-MIN(MAX(City_Inputs!$AK51,Norm_Stats!$F$15),Norm_Stats!$G$15))/(Norm_Stats!$G$15-Norm_Stats!$F$15)))))="",0,0.3))=0,"",(IF((IF(OR(City_Inputs!$Z51="",Norm_Stats!$F$14="",Norm_Stats!$G$14="",Norm_Stats!$G$14=Norm_Stats!$F$14),"",MAX(0,MIN(100,100*(MIN(MAX(City_Inputs!$Z51,Norm_Stats!$F$14),Norm_Stats!$G$14)-Norm_Stats!$F$14)/(Norm_Stats!$G$14-Norm_Stats!$F$14)))))="",0,(IF(OR(City_Inputs!$Z51="",Norm_Stats!$F$14="",Norm_Stats!$G$14="",Norm_Stats!$G$14=Norm_Stats!$F$14),"",MAX(0,MIN(100,100*(MIN(MAX(City_Inputs!$Z51,Norm_Stats!$F$14),Norm_Stats!$G$14)-Norm_Stats!$F$14)/(Norm_Stats!$G$14-Norm_Stats!$F$14)))))*0.7)+IF((IF(OR(City_Inputs!$AK51="",Norm_Stats!$F$15="",Norm_Stats!$G$15="",Norm_Stats!$G$15=Norm_Stats!$F$15),"",MAX(0,MIN(100,100*(Norm_Stats!$G$15-MIN(MAX(City_Inputs!$AK51,Norm_Stats!$F$15),Norm_Stats!$G$15))/(Norm_Stats!$G$15-Norm_Stats!$F$15)))))="",0,(IF(OR(City_Inputs!$AK51="",Norm_Stats!$F$15="",Norm_Stats!$G$15="",Norm_Stats!$G$15=Norm_Stats!$F$15),"",MAX(0,MIN(100,100*(Norm_Stats!$G$15-MIN(MAX(City_Inputs!$AK51,Norm_Stats!$F$15),Norm_Stats!$G$15))/(Norm_Stats!$G$15-Norm_Stats!$F$15)))))*0.3))/(IF((IF(OR(City_Inputs!$Z51="",Norm_Stats!$F$14="",Norm_Stats!$G$14="",Norm_Stats!$G$14=Norm_Stats!$F$14),"",MAX(0,MIN(100,100*(MIN(MAX(City_Inputs!$Z51,Norm_Stats!$F$14),Norm_Stats!$G$14)-Norm_Stats!$F$14)/(Norm_Stats!$G$14-Norm_Stats!$F$14)))))="",0,0.7)+IF((IF(OR(City_Inputs!$AK51="",Norm_Stats!$F$15="",Norm_Stats!$G$15="",Norm_Stats!$G$15=Norm_Stats!$F$15),"",MAX(0,MIN(100,100*(Norm_Stats!$G$15-MIN(MAX(City_Inputs!$AK51,Norm_Stats!$F$15),Norm_Stats!$G$15))/(Norm_Stats!$G$15-Norm_Stats!$F$15)))))="",0,0.3)))</f>
        <v/>
      </c>
      <c r="AJ51" s="14">
        <f>IF((IF((IF(OR(City_Inputs!$Z51="",Norm_Stats!$F$14="",Norm_Stats!$G$14="",Norm_Stats!$G$14=Norm_Stats!$F$14),"",MAX(0,MIN(100,100*(MIN(MAX(City_Inputs!$Z51,Norm_Stats!$F$14),Norm_Stats!$G$14)-Norm_Stats!$F$14)/(Norm_Stats!$G$14-Norm_Stats!$F$14)))))="",0,0.7)+IF((IF(OR(City_Inputs!$AK51="",Norm_Stats!$F$15="",Norm_Stats!$G$15="",Norm_Stats!$G$15=Norm_Stats!$F$15),"",MAX(0,MIN(100,100*(Norm_Stats!$G$15-MIN(MAX(City_Inputs!$AK51,Norm_Stats!$F$15),Norm_Stats!$G$15))/(Norm_Stats!$G$15-Norm_Stats!$F$15)))))="",0,0.3))=0,"",(IF((IF(OR(City_Inputs!$Z51="",Norm_Stats!$F$14="",Norm_Stats!$G$14="",Norm_Stats!$G$14=Norm_Stats!$F$14),"",MAX(0,MIN(100,100*(MIN(MAX(City_Inputs!$Z51,Norm_Stats!$F$14),Norm_Stats!$G$14)-Norm_Stats!$F$14)/(Norm_Stats!$G$14-Norm_Stats!$F$14)))))="",0,0.7)+IF((IF(OR(City_Inputs!$AK51="",Norm_Stats!$F$15="",Norm_Stats!$G$15="",Norm_Stats!$G$15=Norm_Stats!$F$15),"",MAX(0,MIN(100,100*(Norm_Stats!$G$15-MIN(MAX(City_Inputs!$AK51,Norm_Stats!$F$15),Norm_Stats!$G$15))/(Norm_Stats!$G$15-Norm_Stats!$F$15)))))="",0,0.3)))</f>
        <v/>
      </c>
      <c r="AK51" s="15">
        <f>IF((IF(AE51="",0,8)+IF(AG51="",0,6)+IF(AI51="",0,4))=0,"",(IF(AE51="",0,AE51*8)+IF(AG51="",0,AG51*6)+IF(AI51="",0,AI51*4))/(IF(AE51="",0,8)+IF(AG51="",0,6)+IF(AI51="",0,4)))</f>
        <v/>
      </c>
      <c r="AL51" s="14">
        <f>IF((IF(AF51="",0,8)+IF(AH51="",0,6)+IF(AJ51="",0,4))=0,"",(IF(AF51="",0,AF51*8)+IF(AH51="",0,AH51*6)+IF(AJ51="",0,AJ51*4))/18)</f>
        <v/>
      </c>
      <c r="AM51" s="11">
        <f>IF(OR(City_Inputs!$AA51="",Norm_Stats!$F$16="",Norm_Stats!$G$16="",Norm_Stats!$G$16=Norm_Stats!$F$16),"",MAX(0,MIN(100,100*(MIN(MAX(City_Inputs!$AA51,Norm_Stats!$F$16),Norm_Stats!$G$16)-Norm_Stats!$F$16)/(Norm_Stats!$G$16-Norm_Stats!$F$16))))</f>
        <v/>
      </c>
      <c r="AN51" s="14">
        <f>IF(AM51="","",1)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5">
        <f>IF((IF(AM51="",0,5)+IF(AO51="",0,5)+IF(AQ51="",0,5))=0,"",(IF(AM51="",0,AM51*5)+IF(AO51="",0,AO51*5)+IF(AQ51="",0,AQ51*5))/(IF(AM51="",0,5)+IF(AO51="",0,5)+IF(AQ51="",0,5)))</f>
        <v/>
      </c>
      <c r="AT51" s="14">
        <f>IF((IF(AN51="",0,5)+IF(AP51="",0,5)+IF(AR51="",0,5))=0,"",(IF(AN51="",0,AN51*5)+IF(AP51="",0,AP51*5)+IF(AR51="",0,AR51*5))/15)</f>
        <v/>
      </c>
      <c r="AU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V51" s="14">
        <f>IF(AU51="","",1)</f>
        <v/>
      </c>
      <c r="AW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X51" s="14">
        <f>IF(AW51="","",1)</f>
        <v/>
      </c>
      <c r="AY51" s="11">
        <f>IF((IF((IF(OR(City_Inputs!$AF51="",Norm_Stats!$F$21="",Norm_Stats!$G$21="",Norm_Stats!$G$21=Norm_Stats!$F$21),"",MAX(0,MIN(100,100*(MIN(MAX(City_Inputs!$AF51,Norm_Stats!$F$21),Norm_Stats!$G$21)-Norm_Stats!$F$21)/(Norm_Stats!$G$21-Norm_Stats!$F$21)))))="",0,0.5)+IF((IF(OR(City_Inputs!$AI51="",Norm_Stats!$F$22="",Norm_Stats!$G$22="",Norm_Stats!$G$22=Norm_Stats!$F$22),"",MAX(0,MIN(100,100*(MIN(MAX(City_Inputs!$AI51,Norm_Stats!$F$22),Norm_Stats!$G$22)-Norm_Stats!$F$22)/(Norm_Stats!$G$22-Norm_Stats!$F$22)))))="",0,0.3)+IF((IF(OR(City_Inputs!$AJ51="",Norm_Stats!$F$23="",Norm_Stats!$G$23="",Norm_Stats!$G$23=Norm_Stats!$F$23),"",MAX(0,MIN(100,100*(MIN(MAX(City_Inputs!$AJ51,Norm_Stats!$F$23),Norm_Stats!$G$23)-Norm_Stats!$F$23)/(Norm_Stats!$G$23-Norm_Stats!$F$23)))))="",0,0.2))=0,"",(IF((IF(OR(City_Inputs!$AF51="",Norm_Stats!$F$21="",Norm_Stats!$G$21="",Norm_Stats!$G$21=Norm_Stats!$F$21),"",MAX(0,MIN(100,100*(MIN(MAX(City_Inputs!$AF51,Norm_Stats!$F$21),Norm_Stats!$G$21)-Norm_Stats!$F$21)/(Norm_Stats!$G$21-Norm_Stats!$F$21)))))="",0,(IF(OR(City_Inputs!$AF51="",Norm_Stats!$F$21="",Norm_Stats!$G$21="",Norm_Stats!$G$21=Norm_Stats!$F$21),"",MAX(0,MIN(100,100*(MIN(MAX(City_Inputs!$AF51,Norm_Stats!$F$21),Norm_Stats!$G$21)-Norm_Stats!$F$21)/(Norm_Stats!$G$21-Norm_Stats!$F$21)))))*0.5)+IF((IF(OR(City_Inputs!$AI51="",Norm_Stats!$F$22="",Norm_Stats!$G$22="",Norm_Stats!$G$22=Norm_Stats!$F$22),"",MAX(0,MIN(100,100*(MIN(MAX(City_Inputs!$AI51,Norm_Stats!$F$22),Norm_Stats!$G$22)-Norm_Stats!$F$22)/(Norm_Stats!$G$22-Norm_Stats!$F$22)))))="",0,(IF(OR(City_Inputs!$AI51="",Norm_Stats!$F$22="",Norm_Stats!$G$22="",Norm_Stats!$G$22=Norm_Stats!$F$22),"",MAX(0,MIN(100,100*(MIN(MAX(City_Inputs!$AI51,Norm_Stats!$F$22),Norm_Stats!$G$22)-Norm_Stats!$F$22)/(Norm_Stats!$G$22-Norm_Stats!$F$22)))))*0.3)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0.2))/(IF((IF(OR(City_Inputs!$AF51="",Norm_Stats!$F$21="",Norm_Stats!$G$21="",Norm_Stats!$G$21=Norm_Stats!$F$21),"",MAX(0,MIN(100,100*(MIN(MAX(City_Inputs!$AF51,Norm_Stats!$F$21),Norm_Stats!$G$21)-Norm_Stats!$F$21)/(Norm_Stats!$G$21-Norm_Stats!$F$21)))))="",0,0.5)+IF((IF(OR(City_Inputs!$AI51="",Norm_Stats!$F$22="",Norm_Stats!$G$22="",Norm_Stats!$G$22=Norm_Stats!$F$22),"",MAX(0,MIN(100,100*(MIN(MAX(City_Inputs!$AI51,Norm_Stats!$F$22),Norm_Stats!$G$22)-Norm_Stats!$F$22)/(Norm_Stats!$G$22-Norm_Stats!$F$22)))))="",0,0.3)+IF((IF(OR(City_Inputs!$AJ51="",Norm_Stats!$F$23="",Norm_Stats!$G$23="",Norm_Stats!$G$23=Norm_Stats!$F$23),"",MAX(0,MIN(100,100*(MIN(MAX(City_Inputs!$AJ51,Norm_Stats!$F$23),Norm_Stats!$G$23)-Norm_Stats!$F$23)/(Norm_Stats!$G$23-Norm_Stats!$F$23)))))="",0,0.2)))</f>
        <v/>
      </c>
      <c r="AZ51" s="14">
        <f>IF((IF((IF(OR(City_Inputs!$AF51="",Norm_Stats!$F$21="",Norm_Stats!$G$21="",Norm_Stats!$G$21=Norm_Stats!$F$21),"",MAX(0,MIN(100,100*(MIN(MAX(City_Inputs!$AF51,Norm_Stats!$F$21),Norm_Stats!$G$21)-Norm_Stats!$F$21)/(Norm_Stats!$G$21-Norm_Stats!$F$21)))))="",0,0.5)+IF((IF(OR(City_Inputs!$AI51="",Norm_Stats!$F$22="",Norm_Stats!$G$22="",Norm_Stats!$G$22=Norm_Stats!$F$22),"",MAX(0,MIN(100,100*(MIN(MAX(City_Inputs!$AI51,Norm_Stats!$F$22),Norm_Stats!$G$22)-Norm_Stats!$F$22)/(Norm_Stats!$G$22-Norm_Stats!$F$22)))))="",0,0.3)+IF((IF(OR(City_Inputs!$AJ51="",Norm_Stats!$F$23="",Norm_Stats!$G$23="",Norm_Stats!$G$23=Norm_Stats!$F$23),"",MAX(0,MIN(100,100*(MIN(MAX(City_Inputs!$AJ51,Norm_Stats!$F$23),Norm_Stats!$G$23)-Norm_Stats!$F$23)/(Norm_Stats!$G$23-Norm_Stats!$F$23)))))="",0,0.2))=0,"",(IF((IF(OR(City_Inputs!$AF51="",Norm_Stats!$F$21="",Norm_Stats!$G$21="",Norm_Stats!$G$21=Norm_Stats!$F$21),"",MAX(0,MIN(100,100*(MIN(MAX(City_Inputs!$AF51,Norm_Stats!$F$21),Norm_Stats!$G$21)-Norm_Stats!$F$21)/(Norm_Stats!$G$21-Norm_Stats!$F$21)))))="",0,0.5)+IF((IF(OR(City_Inputs!$AI51="",Norm_Stats!$F$22="",Norm_Stats!$G$22="",Norm_Stats!$G$22=Norm_Stats!$F$22),"",MAX(0,MIN(100,100*(MIN(MAX(City_Inputs!$AI51,Norm_Stats!$F$22),Norm_Stats!$G$22)-Norm_Stats!$F$22)/(Norm_Stats!$G$22-Norm_Stats!$F$22)))))="",0,0.3)+IF((IF(OR(City_Inputs!$AJ51="",Norm_Stats!$F$23="",Norm_Stats!$G$23="",Norm_Stats!$G$23=Norm_Stats!$F$23),"",MAX(0,MIN(100,100*(MIN(MAX(City_Inputs!$AJ51,Norm_Stats!$F$23),Norm_Stats!$G$23)-Norm_Stats!$F$23)/(Norm_Stats!$G$23-Norm_Stats!$F$23)))))="",0,0.2)))</f>
        <v/>
      </c>
      <c r="BA51" s="11">
        <f>IF(OR(City_Inputs!$AG51="",Norm_Stats!$F$24="",Norm_Stats!$G$24="",Norm_Stats!$G$24=Norm_Stats!$F$24),"",MAX(0,MIN(100,100*(Norm_Stats!$G$24-MIN(MAX(City_Inputs!$AG51,Norm_Stats!$F$24),Norm_Stats!$G$24))/(Norm_Stats!$G$24-Norm_Stats!$F$24))))</f>
        <v/>
      </c>
      <c r="BB51" s="14">
        <f>IF(BA51="","",1)</f>
        <v/>
      </c>
      <c r="BC51" s="15">
        <f>IF((IF(AU51="",0,6)+IF(AW51="",0,5)+IF(AY51="",0,5)+IF(BA51="",0,4))=0,"",(IF(AU51="",0,AU51*6)+IF(AW51="",0,AW51*5)+IF(AY51="",0,AY51*5)+IF(BA51="",0,BA51*4))/(IF(AU51="",0,6)+IF(AW51="",0,5)+IF(AY51="",0,5)+IF(BA51="",0,4)))</f>
        <v/>
      </c>
      <c r="BD51" s="14">
        <f>IF((IF(AV51="",0,6)+IF(AX51="",0,5)+IF(AZ51="",0,5)+IF(BB51="",0,4))=0,"",(IF(AV51="",0,AV51*6)+IF(AX51="",0,AX51*5)+IF(AZ51="",0,AZ51*5)+IF(BB51="",0,BB51*4))/20)</f>
        <v/>
      </c>
      <c r="BE51" s="14">
        <f>IF(AND(R51="",AD51="",AL51="",AT51="",BD51=""),"",((R51*25)+(AD51*22)+(AL51*18)+(AT51*15)+(BD51*20))/100)</f>
        <v/>
      </c>
      <c r="BF51" s="11">
        <f>IF(BE51="","",IF(BE51&gt;=0.75,"A",IF(BE51&gt;=0.5,"B",IF(BE51&gt;=0.35,"C","Watchlist"))))</f>
        <v/>
      </c>
      <c r="BG51" s="11">
        <f>IF(OR(BE51="",BE51&lt;0.5,R51="",R51&lt;0.35,AD51="",AD51&lt;0.35,AL51="",AL51&lt;0.35,AT51="",AT51&lt;0.35,BD51="",BD51&lt;0.35),"Watchlist","Ranked")</f>
        <v/>
      </c>
      <c r="BH51" s="15">
        <f>IF(AND(Q51="",AC51="",AK51="",AS51="",BC51=""),"",(IF(Q51="",0,Q51*25)+IF(AC51="",0,AC51*22)+IF(AK51="",0,AK51*18)+IF(AS51="",0,AS51*15)+IF(BC51="",0,BC51*20))/(IF(Q51="",0,25)+IF(AC51="",0,22)+IF(AK51="",0,18)+IF(AS51="",0,15)+IF(BC51="",0,20)))</f>
        <v/>
      </c>
      <c r="BI51" s="11">
        <f>IF(BG51="Ranked",1+COUNTIFS($BG$2:$BG$101,"Ranked",$BH$2:$BH$101,"&gt;"&amp;BH51),"")</f>
        <v/>
      </c>
      <c r="BJ51" s="11">
        <f>City_Inputs!$AH51</f>
        <v/>
      </c>
    </row>
    <row r="52">
      <c r="A52" t="inlineStr">
        <is>
          <t>us-chicago</t>
        </is>
      </c>
      <c r="B52" t="inlineStr">
        <is>
          <t>Chicago</t>
        </is>
      </c>
      <c r="C52" t="inlineStr">
        <is>
          <t>United States</t>
        </is>
      </c>
      <c r="D52" t="inlineStr">
        <is>
          <t>North America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IF((IF(G52="",0,9)+IF(I52="",0,5)+IF(K52="",0,4)+IF(M52="",0,4)+IF(O52="",0,3))=0,"",(IF(G52="",0,G52*9)+IF(I52="",0,I52*5)+IF(K52="",0,K52*4)+IF(M52="",0,M52*4)+IF(O52="",0,O52*3))/(IF(G52="",0,9)+IF(I52="",0,5)+IF(K52="",0,4)+IF(M52="",0,4)+IF(O52="",0,3)))</f>
        <v/>
      </c>
      <c r="R52" s="14">
        <f>IF((IF(H52="",0,9)+IF(J52="",0,5)+IF(L52="",0,4)+IF(N52="",0,4)+IF(P52="",0,3))=0,"",(IF(H52="",0,H52*9)+IF(J52="",0,J52*5)+IF(L52="",0,L52*4)+IF(N52="",0,N52*4)+IF(P52="",0,P52*3))/25)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5">
        <f>IF((IF(S52="",0,5)+IF(U52="",0,5)+IF(W52="",0,4)+IF(Y52="",0,4)+IF(AA52="",0,4))=0,"",(IF(S52="",0,S52*5)+IF(U52="",0,U52*5)+IF(W52="",0,W52*4)+IF(Y52="",0,Y52*4)+IF(AA52="",0,AA52*4))/(IF(S52="",0,5)+IF(U52="",0,5)+IF(W52="",0,4)+IF(Y52="",0,4)+IF(AA52="",0,4)))</f>
        <v/>
      </c>
      <c r="AD52" s="14">
        <f>IF((IF(T52="",0,5)+IF(V52="",0,5)+IF(X52="",0,4)+IF(Z52="",0,4)+IF(AB52="",0,4))=0,"",(IF(T52="",0,T52*5)+IF(V52="",0,V52*5)+IF(X52="",0,X52*4)+IF(Z52="",0,Z52*4)+IF(AB52="",0,AB52*4))/22)</f>
        <v/>
      </c>
      <c r="AE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F52" s="14">
        <f>IF(AE52="","",1)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(IF((IF(OR(City_Inputs!$Z52="",Norm_Stats!$F$14="",Norm_Stats!$G$14="",Norm_Stats!$G$14=Norm_Stats!$F$14),"",MAX(0,MIN(100,100*(MIN(MAX(City_Inputs!$Z52,Norm_Stats!$F$14),Norm_Stats!$G$14)-Norm_Stats!$F$14)/(Norm_Stats!$G$14-Norm_Stats!$F$14)))))="",0,0.7)+IF((IF(OR(City_Inputs!$AK52="",Norm_Stats!$F$15="",Norm_Stats!$G$15="",Norm_Stats!$G$15=Norm_Stats!$F$15),"",MAX(0,MIN(100,100*(Norm_Stats!$G$15-MIN(MAX(City_Inputs!$AK52,Norm_Stats!$F$15),Norm_Stats!$G$15))/(Norm_Stats!$G$15-Norm_Stats!$F$15)))))="",0,0.3))=0,"",(IF((IF(OR(City_Inputs!$Z52="",Norm_Stats!$F$14="",Norm_Stats!$G$14="",Norm_Stats!$G$14=Norm_Stats!$F$14),"",MAX(0,MIN(100,100*(MIN(MAX(City_Inputs!$Z52,Norm_Stats!$F$14),Norm_Stats!$G$14)-Norm_Stats!$F$14)/(Norm_Stats!$G$14-Norm_Stats!$F$14)))))="",0,(IF(OR(City_Inputs!$Z52="",Norm_Stats!$F$14="",Norm_Stats!$G$14="",Norm_Stats!$G$14=Norm_Stats!$F$14),"",MAX(0,MIN(100,100*(MIN(MAX(City_Inputs!$Z52,Norm_Stats!$F$14),Norm_Stats!$G$14)-Norm_Stats!$F$14)/(Norm_Stats!$G$14-Norm_Stats!$F$14)))))*0.7)+IF((IF(OR(City_Inputs!$AK52="",Norm_Stats!$F$15="",Norm_Stats!$G$15="",Norm_Stats!$G$15=Norm_Stats!$F$15),"",MAX(0,MIN(100,100*(Norm_Stats!$G$15-MIN(MAX(City_Inputs!$AK52,Norm_Stats!$F$15),Norm_Stats!$G$15))/(Norm_Stats!$G$15-Norm_Stats!$F$15)))))="",0,(IF(OR(City_Inputs!$AK52="",Norm_Stats!$F$15="",Norm_Stats!$G$15="",Norm_Stats!$G$15=Norm_Stats!$F$15),"",MAX(0,MIN(100,100*(Norm_Stats!$G$15-MIN(MAX(City_Inputs!$AK52,Norm_Stats!$F$15),Norm_Stats!$G$15))/(Norm_Stats!$G$15-Norm_Stats!$F$15)))))*0.3))/(IF((IF(OR(City_Inputs!$Z52="",Norm_Stats!$F$14="",Norm_Stats!$G$14="",Norm_Stats!$G$14=Norm_Stats!$F$14),"",MAX(0,MIN(100,100*(MIN(MAX(City_Inputs!$Z52,Norm_Stats!$F$14),Norm_Stats!$G$14)-Norm_Stats!$F$14)/(Norm_Stats!$G$14-Norm_Stats!$F$14)))))="",0,0.7)+IF((IF(OR(City_Inputs!$AK52="",Norm_Stats!$F$15="",Norm_Stats!$G$15="",Norm_Stats!$G$15=Norm_Stats!$F$15),"",MAX(0,MIN(100,100*(Norm_Stats!$G$15-MIN(MAX(City_Inputs!$AK52,Norm_Stats!$F$15),Norm_Stats!$G$15))/(Norm_Stats!$G$15-Norm_Stats!$F$15)))))="",0,0.3)))</f>
        <v/>
      </c>
      <c r="AJ52" s="14">
        <f>IF((IF((IF(OR(City_Inputs!$Z52="",Norm_Stats!$F$14="",Norm_Stats!$G$14="",Norm_Stats!$G$14=Norm_Stats!$F$14),"",MAX(0,MIN(100,100*(MIN(MAX(City_Inputs!$Z52,Norm_Stats!$F$14),Norm_Stats!$G$14)-Norm_Stats!$F$14)/(Norm_Stats!$G$14-Norm_Stats!$F$14)))))="",0,0.7)+IF((IF(OR(City_Inputs!$AK52="",Norm_Stats!$F$15="",Norm_Stats!$G$15="",Norm_Stats!$G$15=Norm_Stats!$F$15),"",MAX(0,MIN(100,100*(Norm_Stats!$G$15-MIN(MAX(City_Inputs!$AK52,Norm_Stats!$F$15),Norm_Stats!$G$15))/(Norm_Stats!$G$15-Norm_Stats!$F$15)))))="",0,0.3))=0,"",(IF((IF(OR(City_Inputs!$Z52="",Norm_Stats!$F$14="",Norm_Stats!$G$14="",Norm_Stats!$G$14=Norm_Stats!$F$14),"",MAX(0,MIN(100,100*(MIN(MAX(City_Inputs!$Z52,Norm_Stats!$F$14),Norm_Stats!$G$14)-Norm_Stats!$F$14)/(Norm_Stats!$G$14-Norm_Stats!$F$14)))))="",0,0.7)+IF((IF(OR(City_Inputs!$AK52="",Norm_Stats!$F$15="",Norm_Stats!$G$15="",Norm_Stats!$G$15=Norm_Stats!$F$15),"",MAX(0,MIN(100,100*(Norm_Stats!$G$15-MIN(MAX(City_Inputs!$AK52,Norm_Stats!$F$15),Norm_Stats!$G$15))/(Norm_Stats!$G$15-Norm_Stats!$F$15)))))="",0,0.3)))</f>
        <v/>
      </c>
      <c r="AK52" s="15">
        <f>IF((IF(AE52="",0,8)+IF(AG52="",0,6)+IF(AI52="",0,4))=0,"",(IF(AE52="",0,AE52*8)+IF(AG52="",0,AG52*6)+IF(AI52="",0,AI52*4))/(IF(AE52="",0,8)+IF(AG52="",0,6)+IF(AI52="",0,4)))</f>
        <v/>
      </c>
      <c r="AL52" s="14">
        <f>IF((IF(AF52="",0,8)+IF(AH52="",0,6)+IF(AJ52="",0,4))=0,"",(IF(AF52="",0,AF52*8)+IF(AH52="",0,AH52*6)+IF(AJ52="",0,AJ52*4))/18)</f>
        <v/>
      </c>
      <c r="AM52" s="11">
        <f>IF(OR(City_Inputs!$AA52="",Norm_Stats!$F$16="",Norm_Stats!$G$16="",Norm_Stats!$G$16=Norm_Stats!$F$16),"",MAX(0,MIN(100,100*(MIN(MAX(City_Inputs!$AA52,Norm_Stats!$F$16),Norm_Stats!$G$16)-Norm_Stats!$F$16)/(Norm_Stats!$G$16-Norm_Stats!$F$16))))</f>
        <v/>
      </c>
      <c r="AN52" s="14">
        <f>IF(AM52="","",1)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5">
        <f>IF((IF(AM52="",0,5)+IF(AO52="",0,5)+IF(AQ52="",0,5))=0,"",(IF(AM52="",0,AM52*5)+IF(AO52="",0,AO52*5)+IF(AQ52="",0,AQ52*5))/(IF(AM52="",0,5)+IF(AO52="",0,5)+IF(AQ52="",0,5)))</f>
        <v/>
      </c>
      <c r="AT52" s="14">
        <f>IF((IF(AN52="",0,5)+IF(AP52="",0,5)+IF(AR52="",0,5))=0,"",(IF(AN52="",0,AN52*5)+IF(AP52="",0,AP52*5)+IF(AR52="",0,AR52*5))/15)</f>
        <v/>
      </c>
      <c r="AU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V52" s="14">
        <f>IF(AU52="","",1)</f>
        <v/>
      </c>
      <c r="AW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X52" s="14">
        <f>IF(AW52="","",1)</f>
        <v/>
      </c>
      <c r="AY52" s="11">
        <f>IF((IF((IF(OR(City_Inputs!$AF52="",Norm_Stats!$F$21="",Norm_Stats!$G$21="",Norm_Stats!$G$21=Norm_Stats!$F$21),"",MAX(0,MIN(100,100*(MIN(MAX(City_Inputs!$AF52,Norm_Stats!$F$21),Norm_Stats!$G$21)-Norm_Stats!$F$21)/(Norm_Stats!$G$21-Norm_Stats!$F$21)))))="",0,0.5)+IF((IF(OR(City_Inputs!$AI52="",Norm_Stats!$F$22="",Norm_Stats!$G$22="",Norm_Stats!$G$22=Norm_Stats!$F$22),"",MAX(0,MIN(100,100*(MIN(MAX(City_Inputs!$AI52,Norm_Stats!$F$22),Norm_Stats!$G$22)-Norm_Stats!$F$22)/(Norm_Stats!$G$22-Norm_Stats!$F$22)))))="",0,0.3)+IF((IF(OR(City_Inputs!$AJ52="",Norm_Stats!$F$23="",Norm_Stats!$G$23="",Norm_Stats!$G$23=Norm_Stats!$F$23),"",MAX(0,MIN(100,100*(MIN(MAX(City_Inputs!$AJ52,Norm_Stats!$F$23),Norm_Stats!$G$23)-Norm_Stats!$F$23)/(Norm_Stats!$G$23-Norm_Stats!$F$23)))))="",0,0.2))=0,"",(IF((IF(OR(City_Inputs!$AF52="",Norm_Stats!$F$21="",Norm_Stats!$G$21="",Norm_Stats!$G$21=Norm_Stats!$F$21),"",MAX(0,MIN(100,100*(MIN(MAX(City_Inputs!$AF52,Norm_Stats!$F$21),Norm_Stats!$G$21)-Norm_Stats!$F$21)/(Norm_Stats!$G$21-Norm_Stats!$F$21)))))="",0,(IF(OR(City_Inputs!$AF52="",Norm_Stats!$F$21="",Norm_Stats!$G$21="",Norm_Stats!$G$21=Norm_Stats!$F$21),"",MAX(0,MIN(100,100*(MIN(MAX(City_Inputs!$AF52,Norm_Stats!$F$21),Norm_Stats!$G$21)-Norm_Stats!$F$21)/(Norm_Stats!$G$21-Norm_Stats!$F$21)))))*0.5)+IF((IF(OR(City_Inputs!$AI52="",Norm_Stats!$F$22="",Norm_Stats!$G$22="",Norm_Stats!$G$22=Norm_Stats!$F$22),"",MAX(0,MIN(100,100*(MIN(MAX(City_Inputs!$AI52,Norm_Stats!$F$22),Norm_Stats!$G$22)-Norm_Stats!$F$22)/(Norm_Stats!$G$22-Norm_Stats!$F$22)))))="",0,(IF(OR(City_Inputs!$AI52="",Norm_Stats!$F$22="",Norm_Stats!$G$22="",Norm_Stats!$G$22=Norm_Stats!$F$22),"",MAX(0,MIN(100,100*(MIN(MAX(City_Inputs!$AI52,Norm_Stats!$F$22),Norm_Stats!$G$22)-Norm_Stats!$F$22)/(Norm_Stats!$G$22-Norm_Stats!$F$22)))))*0.3)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0.2))/(IF((IF(OR(City_Inputs!$AF52="",Norm_Stats!$F$21="",Norm_Stats!$G$21="",Norm_Stats!$G$21=Norm_Stats!$F$21),"",MAX(0,MIN(100,100*(MIN(MAX(City_Inputs!$AF52,Norm_Stats!$F$21),Norm_Stats!$G$21)-Norm_Stats!$F$21)/(Norm_Stats!$G$21-Norm_Stats!$F$21)))))="",0,0.5)+IF((IF(OR(City_Inputs!$AI52="",Norm_Stats!$F$22="",Norm_Stats!$G$22="",Norm_Stats!$G$22=Norm_Stats!$F$22),"",MAX(0,MIN(100,100*(MIN(MAX(City_Inputs!$AI52,Norm_Stats!$F$22),Norm_Stats!$G$22)-Norm_Stats!$F$22)/(Norm_Stats!$G$22-Norm_Stats!$F$22)))))="",0,0.3)+IF((IF(OR(City_Inputs!$AJ52="",Norm_Stats!$F$23="",Norm_Stats!$G$23="",Norm_Stats!$G$23=Norm_Stats!$F$23),"",MAX(0,MIN(100,100*(MIN(MAX(City_Inputs!$AJ52,Norm_Stats!$F$23),Norm_Stats!$G$23)-Norm_Stats!$F$23)/(Norm_Stats!$G$23-Norm_Stats!$F$23)))))="",0,0.2)))</f>
        <v/>
      </c>
      <c r="AZ52" s="14">
        <f>IF((IF((IF(OR(City_Inputs!$AF52="",Norm_Stats!$F$21="",Norm_Stats!$G$21="",Norm_Stats!$G$21=Norm_Stats!$F$21),"",MAX(0,MIN(100,100*(MIN(MAX(City_Inputs!$AF52,Norm_Stats!$F$21),Norm_Stats!$G$21)-Norm_Stats!$F$21)/(Norm_Stats!$G$21-Norm_Stats!$F$21)))))="",0,0.5)+IF((IF(OR(City_Inputs!$AI52="",Norm_Stats!$F$22="",Norm_Stats!$G$22="",Norm_Stats!$G$22=Norm_Stats!$F$22),"",MAX(0,MIN(100,100*(MIN(MAX(City_Inputs!$AI52,Norm_Stats!$F$22),Norm_Stats!$G$22)-Norm_Stats!$F$22)/(Norm_Stats!$G$22-Norm_Stats!$F$22)))))="",0,0.3)+IF((IF(OR(City_Inputs!$AJ52="",Norm_Stats!$F$23="",Norm_Stats!$G$23="",Norm_Stats!$G$23=Norm_Stats!$F$23),"",MAX(0,MIN(100,100*(MIN(MAX(City_Inputs!$AJ52,Norm_Stats!$F$23),Norm_Stats!$G$23)-Norm_Stats!$F$23)/(Norm_Stats!$G$23-Norm_Stats!$F$23)))))="",0,0.2))=0,"",(IF((IF(OR(City_Inputs!$AF52="",Norm_Stats!$F$21="",Norm_Stats!$G$21="",Norm_Stats!$G$21=Norm_Stats!$F$21),"",MAX(0,MIN(100,100*(MIN(MAX(City_Inputs!$AF52,Norm_Stats!$F$21),Norm_Stats!$G$21)-Norm_Stats!$F$21)/(Norm_Stats!$G$21-Norm_Stats!$F$21)))))="",0,0.5)+IF((IF(OR(City_Inputs!$AI52="",Norm_Stats!$F$22="",Norm_Stats!$G$22="",Norm_Stats!$G$22=Norm_Stats!$F$22),"",MAX(0,MIN(100,100*(MIN(MAX(City_Inputs!$AI52,Norm_Stats!$F$22),Norm_Stats!$G$22)-Norm_Stats!$F$22)/(Norm_Stats!$G$22-Norm_Stats!$F$22)))))="",0,0.3)+IF((IF(OR(City_Inputs!$AJ52="",Norm_Stats!$F$23="",Norm_Stats!$G$23="",Norm_Stats!$G$23=Norm_Stats!$F$23),"",MAX(0,MIN(100,100*(MIN(MAX(City_Inputs!$AJ52,Norm_Stats!$F$23),Norm_Stats!$G$23)-Norm_Stats!$F$23)/(Norm_Stats!$G$23-Norm_Stats!$F$23)))))="",0,0.2)))</f>
        <v/>
      </c>
      <c r="BA52" s="11">
        <f>IF(OR(City_Inputs!$AG52="",Norm_Stats!$F$24="",Norm_Stats!$G$24="",Norm_Stats!$G$24=Norm_Stats!$F$24),"",MAX(0,MIN(100,100*(Norm_Stats!$G$24-MIN(MAX(City_Inputs!$AG52,Norm_Stats!$F$24),Norm_Stats!$G$24))/(Norm_Stats!$G$24-Norm_Stats!$F$24))))</f>
        <v/>
      </c>
      <c r="BB52" s="14">
        <f>IF(BA52="","",1)</f>
        <v/>
      </c>
      <c r="BC52" s="15">
        <f>IF((IF(AU52="",0,6)+IF(AW52="",0,5)+IF(AY52="",0,5)+IF(BA52="",0,4))=0,"",(IF(AU52="",0,AU52*6)+IF(AW52="",0,AW52*5)+IF(AY52="",0,AY52*5)+IF(BA52="",0,BA52*4))/(IF(AU52="",0,6)+IF(AW52="",0,5)+IF(AY52="",0,5)+IF(BA52="",0,4)))</f>
        <v/>
      </c>
      <c r="BD52" s="14">
        <f>IF((IF(AV52="",0,6)+IF(AX52="",0,5)+IF(AZ52="",0,5)+IF(BB52="",0,4))=0,"",(IF(AV52="",0,AV52*6)+IF(AX52="",0,AX52*5)+IF(AZ52="",0,AZ52*5)+IF(BB52="",0,BB52*4))/20)</f>
        <v/>
      </c>
      <c r="BE52" s="14">
        <f>IF(AND(R52="",AD52="",AL52="",AT52="",BD52=""),"",((R52*25)+(AD52*22)+(AL52*18)+(AT52*15)+(BD52*20))/100)</f>
        <v/>
      </c>
      <c r="BF52" s="11">
        <f>IF(BE52="","",IF(BE52&gt;=0.75,"A",IF(BE52&gt;=0.5,"B",IF(BE52&gt;=0.35,"C","Watchlist"))))</f>
        <v/>
      </c>
      <c r="BG52" s="11">
        <f>IF(OR(BE52="",BE52&lt;0.5,R52="",R52&lt;0.35,AD52="",AD52&lt;0.35,AL52="",AL52&lt;0.35,AT52="",AT52&lt;0.35,BD52="",BD52&lt;0.35),"Watchlist","Ranked")</f>
        <v/>
      </c>
      <c r="BH52" s="15">
        <f>IF(AND(Q52="",AC52="",AK52="",AS52="",BC52=""),"",(IF(Q52="",0,Q52*25)+IF(AC52="",0,AC52*22)+IF(AK52="",0,AK52*18)+IF(AS52="",0,AS52*15)+IF(BC52="",0,BC52*20))/(IF(Q52="",0,25)+IF(AC52="",0,22)+IF(AK52="",0,18)+IF(AS52="",0,15)+IF(BC52="",0,20)))</f>
        <v/>
      </c>
      <c r="BI52" s="11">
        <f>IF(BG52="Ranked",1+COUNTIFS($BG$2:$BG$101,"Ranked",$BH$2:$BH$101,"&gt;"&amp;BH52),"")</f>
        <v/>
      </c>
      <c r="BJ52" s="11">
        <f>City_Inputs!$AH52</f>
        <v/>
      </c>
    </row>
    <row r="53">
      <c r="A53" t="inlineStr">
        <is>
          <t>mx-mexico-city</t>
        </is>
      </c>
      <c r="B53" t="inlineStr">
        <is>
          <t>Mexico City</t>
        </is>
      </c>
      <c r="C53" t="inlineStr">
        <is>
          <t>Mexico</t>
        </is>
      </c>
      <c r="D53" t="inlineStr">
        <is>
          <t>North America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IF((IF(G53="",0,9)+IF(I53="",0,5)+IF(K53="",0,4)+IF(M53="",0,4)+IF(O53="",0,3))=0,"",(IF(G53="",0,G53*9)+IF(I53="",0,I53*5)+IF(K53="",0,K53*4)+IF(M53="",0,M53*4)+IF(O53="",0,O53*3))/(IF(G53="",0,9)+IF(I53="",0,5)+IF(K53="",0,4)+IF(M53="",0,4)+IF(O53="",0,3)))</f>
        <v/>
      </c>
      <c r="R53" s="14">
        <f>IF((IF(H53="",0,9)+IF(J53="",0,5)+IF(L53="",0,4)+IF(N53="",0,4)+IF(P53="",0,3))=0,"",(IF(H53="",0,H53*9)+IF(J53="",0,J53*5)+IF(L53="",0,L53*4)+IF(N53="",0,N53*4)+IF(P53="",0,P53*3))/25)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5">
        <f>IF((IF(S53="",0,5)+IF(U53="",0,5)+IF(W53="",0,4)+IF(Y53="",0,4)+IF(AA53="",0,4))=0,"",(IF(S53="",0,S53*5)+IF(U53="",0,U53*5)+IF(W53="",0,W53*4)+IF(Y53="",0,Y53*4)+IF(AA53="",0,AA53*4))/(IF(S53="",0,5)+IF(U53="",0,5)+IF(W53="",0,4)+IF(Y53="",0,4)+IF(AA53="",0,4)))</f>
        <v/>
      </c>
      <c r="AD53" s="14">
        <f>IF((IF(T53="",0,5)+IF(V53="",0,5)+IF(X53="",0,4)+IF(Z53="",0,4)+IF(AB53="",0,4))=0,"",(IF(T53="",0,T53*5)+IF(V53="",0,V53*5)+IF(X53="",0,X53*4)+IF(Z53="",0,Z53*4)+IF(AB53="",0,AB53*4))/22)</f>
        <v/>
      </c>
      <c r="AE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F53" s="14">
        <f>IF(AE53="","",1)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(IF((IF(OR(City_Inputs!$Z53="",Norm_Stats!$F$14="",Norm_Stats!$G$14="",Norm_Stats!$G$14=Norm_Stats!$F$14),"",MAX(0,MIN(100,100*(MIN(MAX(City_Inputs!$Z53,Norm_Stats!$F$14),Norm_Stats!$G$14)-Norm_Stats!$F$14)/(Norm_Stats!$G$14-Norm_Stats!$F$14)))))="",0,0.7)+IF((IF(OR(City_Inputs!$AK53="",Norm_Stats!$F$15="",Norm_Stats!$G$15="",Norm_Stats!$G$15=Norm_Stats!$F$15),"",MAX(0,MIN(100,100*(Norm_Stats!$G$15-MIN(MAX(City_Inputs!$AK53,Norm_Stats!$F$15),Norm_Stats!$G$15))/(Norm_Stats!$G$15-Norm_Stats!$F$15)))))="",0,0.3))=0,"",(IF((IF(OR(City_Inputs!$Z53="",Norm_Stats!$F$14="",Norm_Stats!$G$14="",Norm_Stats!$G$14=Norm_Stats!$F$14),"",MAX(0,MIN(100,100*(MIN(MAX(City_Inputs!$Z53,Norm_Stats!$F$14),Norm_Stats!$G$14)-Norm_Stats!$F$14)/(Norm_Stats!$G$14-Norm_Stats!$F$14)))))="",0,(IF(OR(City_Inputs!$Z53="",Norm_Stats!$F$14="",Norm_Stats!$G$14="",Norm_Stats!$G$14=Norm_Stats!$F$14),"",MAX(0,MIN(100,100*(MIN(MAX(City_Inputs!$Z53,Norm_Stats!$F$14),Norm_Stats!$G$14)-Norm_Stats!$F$14)/(Norm_Stats!$G$14-Norm_Stats!$F$14)))))*0.7)+IF((IF(OR(City_Inputs!$AK53="",Norm_Stats!$F$15="",Norm_Stats!$G$15="",Norm_Stats!$G$15=Norm_Stats!$F$15),"",MAX(0,MIN(100,100*(Norm_Stats!$G$15-MIN(MAX(City_Inputs!$AK53,Norm_Stats!$F$15),Norm_Stats!$G$15))/(Norm_Stats!$G$15-Norm_Stats!$F$15)))))="",0,(IF(OR(City_Inputs!$AK53="",Norm_Stats!$F$15="",Norm_Stats!$G$15="",Norm_Stats!$G$15=Norm_Stats!$F$15),"",MAX(0,MIN(100,100*(Norm_Stats!$G$15-MIN(MAX(City_Inputs!$AK53,Norm_Stats!$F$15),Norm_Stats!$G$15))/(Norm_Stats!$G$15-Norm_Stats!$F$15)))))*0.3))/(IF((IF(OR(City_Inputs!$Z53="",Norm_Stats!$F$14="",Norm_Stats!$G$14="",Norm_Stats!$G$14=Norm_Stats!$F$14),"",MAX(0,MIN(100,100*(MIN(MAX(City_Inputs!$Z53,Norm_Stats!$F$14),Norm_Stats!$G$14)-Norm_Stats!$F$14)/(Norm_Stats!$G$14-Norm_Stats!$F$14)))))="",0,0.7)+IF((IF(OR(City_Inputs!$AK53="",Norm_Stats!$F$15="",Norm_Stats!$G$15="",Norm_Stats!$G$15=Norm_Stats!$F$15),"",MAX(0,MIN(100,100*(Norm_Stats!$G$15-MIN(MAX(City_Inputs!$AK53,Norm_Stats!$F$15),Norm_Stats!$G$15))/(Norm_Stats!$G$15-Norm_Stats!$F$15)))))="",0,0.3)))</f>
        <v/>
      </c>
      <c r="AJ53" s="14">
        <f>IF((IF((IF(OR(City_Inputs!$Z53="",Norm_Stats!$F$14="",Norm_Stats!$G$14="",Norm_Stats!$G$14=Norm_Stats!$F$14),"",MAX(0,MIN(100,100*(MIN(MAX(City_Inputs!$Z53,Norm_Stats!$F$14),Norm_Stats!$G$14)-Norm_Stats!$F$14)/(Norm_Stats!$G$14-Norm_Stats!$F$14)))))="",0,0.7)+IF((IF(OR(City_Inputs!$AK53="",Norm_Stats!$F$15="",Norm_Stats!$G$15="",Norm_Stats!$G$15=Norm_Stats!$F$15),"",MAX(0,MIN(100,100*(Norm_Stats!$G$15-MIN(MAX(City_Inputs!$AK53,Norm_Stats!$F$15),Norm_Stats!$G$15))/(Norm_Stats!$G$15-Norm_Stats!$F$15)))))="",0,0.3))=0,"",(IF((IF(OR(City_Inputs!$Z53="",Norm_Stats!$F$14="",Norm_Stats!$G$14="",Norm_Stats!$G$14=Norm_Stats!$F$14),"",MAX(0,MIN(100,100*(MIN(MAX(City_Inputs!$Z53,Norm_Stats!$F$14),Norm_Stats!$G$14)-Norm_Stats!$F$14)/(Norm_Stats!$G$14-Norm_Stats!$F$14)))))="",0,0.7)+IF((IF(OR(City_Inputs!$AK53="",Norm_Stats!$F$15="",Norm_Stats!$G$15="",Norm_Stats!$G$15=Norm_Stats!$F$15),"",MAX(0,MIN(100,100*(Norm_Stats!$G$15-MIN(MAX(City_Inputs!$AK53,Norm_Stats!$F$15),Norm_Stats!$G$15))/(Norm_Stats!$G$15-Norm_Stats!$F$15)))))="",0,0.3)))</f>
        <v/>
      </c>
      <c r="AK53" s="15">
        <f>IF((IF(AE53="",0,8)+IF(AG53="",0,6)+IF(AI53="",0,4))=0,"",(IF(AE53="",0,AE53*8)+IF(AG53="",0,AG53*6)+IF(AI53="",0,AI53*4))/(IF(AE53="",0,8)+IF(AG53="",0,6)+IF(AI53="",0,4)))</f>
        <v/>
      </c>
      <c r="AL53" s="14">
        <f>IF((IF(AF53="",0,8)+IF(AH53="",0,6)+IF(AJ53="",0,4))=0,"",(IF(AF53="",0,AF53*8)+IF(AH53="",0,AH53*6)+IF(AJ53="",0,AJ53*4))/18)</f>
        <v/>
      </c>
      <c r="AM53" s="11">
        <f>IF(OR(City_Inputs!$AA53="",Norm_Stats!$F$16="",Norm_Stats!$G$16="",Norm_Stats!$G$16=Norm_Stats!$F$16),"",MAX(0,MIN(100,100*(MIN(MAX(City_Inputs!$AA53,Norm_Stats!$F$16),Norm_Stats!$G$16)-Norm_Stats!$F$16)/(Norm_Stats!$G$16-Norm_Stats!$F$16))))</f>
        <v/>
      </c>
      <c r="AN53" s="14">
        <f>IF(AM53="","",1)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5">
        <f>IF((IF(AM53="",0,5)+IF(AO53="",0,5)+IF(AQ53="",0,5))=0,"",(IF(AM53="",0,AM53*5)+IF(AO53="",0,AO53*5)+IF(AQ53="",0,AQ53*5))/(IF(AM53="",0,5)+IF(AO53="",0,5)+IF(AQ53="",0,5)))</f>
        <v/>
      </c>
      <c r="AT53" s="14">
        <f>IF((IF(AN53="",0,5)+IF(AP53="",0,5)+IF(AR53="",0,5))=0,"",(IF(AN53="",0,AN53*5)+IF(AP53="",0,AP53*5)+IF(AR53="",0,AR53*5))/15)</f>
        <v/>
      </c>
      <c r="AU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V53" s="14">
        <f>IF(AU53="","",1)</f>
        <v/>
      </c>
      <c r="AW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X53" s="14">
        <f>IF(AW53="","",1)</f>
        <v/>
      </c>
      <c r="AY53" s="11">
        <f>IF((IF((IF(OR(City_Inputs!$AF53="",Norm_Stats!$F$21="",Norm_Stats!$G$21="",Norm_Stats!$G$21=Norm_Stats!$F$21),"",MAX(0,MIN(100,100*(MIN(MAX(City_Inputs!$AF53,Norm_Stats!$F$21),Norm_Stats!$G$21)-Norm_Stats!$F$21)/(Norm_Stats!$G$21-Norm_Stats!$F$21)))))="",0,0.5)+IF((IF(OR(City_Inputs!$AI53="",Norm_Stats!$F$22="",Norm_Stats!$G$22="",Norm_Stats!$G$22=Norm_Stats!$F$22),"",MAX(0,MIN(100,100*(MIN(MAX(City_Inputs!$AI53,Norm_Stats!$F$22),Norm_Stats!$G$22)-Norm_Stats!$F$22)/(Norm_Stats!$G$22-Norm_Stats!$F$22)))))="",0,0.3)+IF((IF(OR(City_Inputs!$AJ53="",Norm_Stats!$F$23="",Norm_Stats!$G$23="",Norm_Stats!$G$23=Norm_Stats!$F$23),"",MAX(0,MIN(100,100*(MIN(MAX(City_Inputs!$AJ53,Norm_Stats!$F$23),Norm_Stats!$G$23)-Norm_Stats!$F$23)/(Norm_Stats!$G$23-Norm_Stats!$F$23)))))="",0,0.2))=0,"",(IF((IF(OR(City_Inputs!$AF53="",Norm_Stats!$F$21="",Norm_Stats!$G$21="",Norm_Stats!$G$21=Norm_Stats!$F$21),"",MAX(0,MIN(100,100*(MIN(MAX(City_Inputs!$AF53,Norm_Stats!$F$21),Norm_Stats!$G$21)-Norm_Stats!$F$21)/(Norm_Stats!$G$21-Norm_Stats!$F$21)))))="",0,(IF(OR(City_Inputs!$AF53="",Norm_Stats!$F$21="",Norm_Stats!$G$21="",Norm_Stats!$G$21=Norm_Stats!$F$21),"",MAX(0,MIN(100,100*(MIN(MAX(City_Inputs!$AF53,Norm_Stats!$F$21),Norm_Stats!$G$21)-Norm_Stats!$F$21)/(Norm_Stats!$G$21-Norm_Stats!$F$21)))))*0.5)+IF((IF(OR(City_Inputs!$AI53="",Norm_Stats!$F$22="",Norm_Stats!$G$22="",Norm_Stats!$G$22=Norm_Stats!$F$22),"",MAX(0,MIN(100,100*(MIN(MAX(City_Inputs!$AI53,Norm_Stats!$F$22),Norm_Stats!$G$22)-Norm_Stats!$F$22)/(Norm_Stats!$G$22-Norm_Stats!$F$22)))))="",0,(IF(OR(City_Inputs!$AI53="",Norm_Stats!$F$22="",Norm_Stats!$G$22="",Norm_Stats!$G$22=Norm_Stats!$F$22),"",MAX(0,MIN(100,100*(MIN(MAX(City_Inputs!$AI53,Norm_Stats!$F$22),Norm_Stats!$G$22)-Norm_Stats!$F$22)/(Norm_Stats!$G$22-Norm_Stats!$F$22)))))*0.3)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0.2))/(IF((IF(OR(City_Inputs!$AF53="",Norm_Stats!$F$21="",Norm_Stats!$G$21="",Norm_Stats!$G$21=Norm_Stats!$F$21),"",MAX(0,MIN(100,100*(MIN(MAX(City_Inputs!$AF53,Norm_Stats!$F$21),Norm_Stats!$G$21)-Norm_Stats!$F$21)/(Norm_Stats!$G$21-Norm_Stats!$F$21)))))="",0,0.5)+IF((IF(OR(City_Inputs!$AI53="",Norm_Stats!$F$22="",Norm_Stats!$G$22="",Norm_Stats!$G$22=Norm_Stats!$F$22),"",MAX(0,MIN(100,100*(MIN(MAX(City_Inputs!$AI53,Norm_Stats!$F$22),Norm_Stats!$G$22)-Norm_Stats!$F$22)/(Norm_Stats!$G$22-Norm_Stats!$F$22)))))="",0,0.3)+IF((IF(OR(City_Inputs!$AJ53="",Norm_Stats!$F$23="",Norm_Stats!$G$23="",Norm_Stats!$G$23=Norm_Stats!$F$23),"",MAX(0,MIN(100,100*(MIN(MAX(City_Inputs!$AJ53,Norm_Stats!$F$23),Norm_Stats!$G$23)-Norm_Stats!$F$23)/(Norm_Stats!$G$23-Norm_Stats!$F$23)))))="",0,0.2)))</f>
        <v/>
      </c>
      <c r="AZ53" s="14">
        <f>IF((IF((IF(OR(City_Inputs!$AF53="",Norm_Stats!$F$21="",Norm_Stats!$G$21="",Norm_Stats!$G$21=Norm_Stats!$F$21),"",MAX(0,MIN(100,100*(MIN(MAX(City_Inputs!$AF53,Norm_Stats!$F$21),Norm_Stats!$G$21)-Norm_Stats!$F$21)/(Norm_Stats!$G$21-Norm_Stats!$F$21)))))="",0,0.5)+IF((IF(OR(City_Inputs!$AI53="",Norm_Stats!$F$22="",Norm_Stats!$G$22="",Norm_Stats!$G$22=Norm_Stats!$F$22),"",MAX(0,MIN(100,100*(MIN(MAX(City_Inputs!$AI53,Norm_Stats!$F$22),Norm_Stats!$G$22)-Norm_Stats!$F$22)/(Norm_Stats!$G$22-Norm_Stats!$F$22)))))="",0,0.3)+IF((IF(OR(City_Inputs!$AJ53="",Norm_Stats!$F$23="",Norm_Stats!$G$23="",Norm_Stats!$G$23=Norm_Stats!$F$23),"",MAX(0,MIN(100,100*(MIN(MAX(City_Inputs!$AJ53,Norm_Stats!$F$23),Norm_Stats!$G$23)-Norm_Stats!$F$23)/(Norm_Stats!$G$23-Norm_Stats!$F$23)))))="",0,0.2))=0,"",(IF((IF(OR(City_Inputs!$AF53="",Norm_Stats!$F$21="",Norm_Stats!$G$21="",Norm_Stats!$G$21=Norm_Stats!$F$21),"",MAX(0,MIN(100,100*(MIN(MAX(City_Inputs!$AF53,Norm_Stats!$F$21),Norm_Stats!$G$21)-Norm_Stats!$F$21)/(Norm_Stats!$G$21-Norm_Stats!$F$21)))))="",0,0.5)+IF((IF(OR(City_Inputs!$AI53="",Norm_Stats!$F$22="",Norm_Stats!$G$22="",Norm_Stats!$G$22=Norm_Stats!$F$22),"",MAX(0,MIN(100,100*(MIN(MAX(City_Inputs!$AI53,Norm_Stats!$F$22),Norm_Stats!$G$22)-Norm_Stats!$F$22)/(Norm_Stats!$G$22-Norm_Stats!$F$22)))))="",0,0.3)+IF((IF(OR(City_Inputs!$AJ53="",Norm_Stats!$F$23="",Norm_Stats!$G$23="",Norm_Stats!$G$23=Norm_Stats!$F$23),"",MAX(0,MIN(100,100*(MIN(MAX(City_Inputs!$AJ53,Norm_Stats!$F$23),Norm_Stats!$G$23)-Norm_Stats!$F$23)/(Norm_Stats!$G$23-Norm_Stats!$F$23)))))="",0,0.2)))</f>
        <v/>
      </c>
      <c r="BA53" s="11">
        <f>IF(OR(City_Inputs!$AG53="",Norm_Stats!$F$24="",Norm_Stats!$G$24="",Norm_Stats!$G$24=Norm_Stats!$F$24),"",MAX(0,MIN(100,100*(Norm_Stats!$G$24-MIN(MAX(City_Inputs!$AG53,Norm_Stats!$F$24),Norm_Stats!$G$24))/(Norm_Stats!$G$24-Norm_Stats!$F$24))))</f>
        <v/>
      </c>
      <c r="BB53" s="14">
        <f>IF(BA53="","",1)</f>
        <v/>
      </c>
      <c r="BC53" s="15">
        <f>IF((IF(AU53="",0,6)+IF(AW53="",0,5)+IF(AY53="",0,5)+IF(BA53="",0,4))=0,"",(IF(AU53="",0,AU53*6)+IF(AW53="",0,AW53*5)+IF(AY53="",0,AY53*5)+IF(BA53="",0,BA53*4))/(IF(AU53="",0,6)+IF(AW53="",0,5)+IF(AY53="",0,5)+IF(BA53="",0,4)))</f>
        <v/>
      </c>
      <c r="BD53" s="14">
        <f>IF((IF(AV53="",0,6)+IF(AX53="",0,5)+IF(AZ53="",0,5)+IF(BB53="",0,4))=0,"",(IF(AV53="",0,AV53*6)+IF(AX53="",0,AX53*5)+IF(AZ53="",0,AZ53*5)+IF(BB53="",0,BB53*4))/20)</f>
        <v/>
      </c>
      <c r="BE53" s="14">
        <f>IF(AND(R53="",AD53="",AL53="",AT53="",BD53=""),"",((R53*25)+(AD53*22)+(AL53*18)+(AT53*15)+(BD53*20))/100)</f>
        <v/>
      </c>
      <c r="BF53" s="11">
        <f>IF(BE53="","",IF(BE53&gt;=0.75,"A",IF(BE53&gt;=0.5,"B",IF(BE53&gt;=0.35,"C","Watchlist"))))</f>
        <v/>
      </c>
      <c r="BG53" s="11">
        <f>IF(OR(BE53="",BE53&lt;0.5,R53="",R53&lt;0.35,AD53="",AD53&lt;0.35,AL53="",AL53&lt;0.35,AT53="",AT53&lt;0.35,BD53="",BD53&lt;0.35),"Watchlist","Ranked")</f>
        <v/>
      </c>
      <c r="BH53" s="15">
        <f>IF(AND(Q53="",AC53="",AK53="",AS53="",BC53=""),"",(IF(Q53="",0,Q53*25)+IF(AC53="",0,AC53*22)+IF(AK53="",0,AK53*18)+IF(AS53="",0,AS53*15)+IF(BC53="",0,BC53*20))/(IF(Q53="",0,25)+IF(AC53="",0,22)+IF(AK53="",0,18)+IF(AS53="",0,15)+IF(BC53="",0,20)))</f>
        <v/>
      </c>
      <c r="BI53" s="11">
        <f>IF(BG53="Ranked",1+COUNTIFS($BG$2:$BG$101,"Ranked",$BH$2:$BH$101,"&gt;"&amp;BH53),"")</f>
        <v/>
      </c>
      <c r="BJ53" s="11">
        <f>City_Inputs!$AH53</f>
        <v/>
      </c>
    </row>
    <row r="54">
      <c r="A54" t="inlineStr">
        <is>
          <t>ca-toronto</t>
        </is>
      </c>
      <c r="B54" t="inlineStr">
        <is>
          <t>Toronto</t>
        </is>
      </c>
      <c r="C54" t="inlineStr">
        <is>
          <t>Canada</t>
        </is>
      </c>
      <c r="D54" t="inlineStr">
        <is>
          <t>North America</t>
        </is>
      </c>
      <c r="E54" t="inlineStr">
        <is>
          <t>provisional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IF((IF(G54="",0,9)+IF(I54="",0,5)+IF(K54="",0,4)+IF(M54="",0,4)+IF(O54="",0,3))=0,"",(IF(G54="",0,G54*9)+IF(I54="",0,I54*5)+IF(K54="",0,K54*4)+IF(M54="",0,M54*4)+IF(O54="",0,O54*3))/(IF(G54="",0,9)+IF(I54="",0,5)+IF(K54="",0,4)+IF(M54="",0,4)+IF(O54="",0,3)))</f>
        <v/>
      </c>
      <c r="R54" s="14">
        <f>IF((IF(H54="",0,9)+IF(J54="",0,5)+IF(L54="",0,4)+IF(N54="",0,4)+IF(P54="",0,3))=0,"",(IF(H54="",0,H54*9)+IF(J54="",0,J54*5)+IF(L54="",0,L54*4)+IF(N54="",0,N54*4)+IF(P54="",0,P54*3))/25)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5">
        <f>IF((IF(S54="",0,5)+IF(U54="",0,5)+IF(W54="",0,4)+IF(Y54="",0,4)+IF(AA54="",0,4))=0,"",(IF(S54="",0,S54*5)+IF(U54="",0,U54*5)+IF(W54="",0,W54*4)+IF(Y54="",0,Y54*4)+IF(AA54="",0,AA54*4))/(IF(S54="",0,5)+IF(U54="",0,5)+IF(W54="",0,4)+IF(Y54="",0,4)+IF(AA54="",0,4)))</f>
        <v/>
      </c>
      <c r="AD54" s="14">
        <f>IF((IF(T54="",0,5)+IF(V54="",0,5)+IF(X54="",0,4)+IF(Z54="",0,4)+IF(AB54="",0,4))=0,"",(IF(T54="",0,T54*5)+IF(V54="",0,V54*5)+IF(X54="",0,X54*4)+IF(Z54="",0,Z54*4)+IF(AB54="",0,AB54*4))/22)</f>
        <v/>
      </c>
      <c r="AE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F54" s="14">
        <f>IF(AE54="","",1)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(IF((IF(OR(City_Inputs!$Z54="",Norm_Stats!$F$14="",Norm_Stats!$G$14="",Norm_Stats!$G$14=Norm_Stats!$F$14),"",MAX(0,MIN(100,100*(MIN(MAX(City_Inputs!$Z54,Norm_Stats!$F$14),Norm_Stats!$G$14)-Norm_Stats!$F$14)/(Norm_Stats!$G$14-Norm_Stats!$F$14)))))="",0,0.7)+IF((IF(OR(City_Inputs!$AK54="",Norm_Stats!$F$15="",Norm_Stats!$G$15="",Norm_Stats!$G$15=Norm_Stats!$F$15),"",MAX(0,MIN(100,100*(Norm_Stats!$G$15-MIN(MAX(City_Inputs!$AK54,Norm_Stats!$F$15),Norm_Stats!$G$15))/(Norm_Stats!$G$15-Norm_Stats!$F$15)))))="",0,0.3))=0,"",(IF((IF(OR(City_Inputs!$Z54="",Norm_Stats!$F$14="",Norm_Stats!$G$14="",Norm_Stats!$G$14=Norm_Stats!$F$14),"",MAX(0,MIN(100,100*(MIN(MAX(City_Inputs!$Z54,Norm_Stats!$F$14),Norm_Stats!$G$14)-Norm_Stats!$F$14)/(Norm_Stats!$G$14-Norm_Stats!$F$14)))))="",0,(IF(OR(City_Inputs!$Z54="",Norm_Stats!$F$14="",Norm_Stats!$G$14="",Norm_Stats!$G$14=Norm_Stats!$F$14),"",MAX(0,MIN(100,100*(MIN(MAX(City_Inputs!$Z54,Norm_Stats!$F$14),Norm_Stats!$G$14)-Norm_Stats!$F$14)/(Norm_Stats!$G$14-Norm_Stats!$F$14)))))*0.7)+IF((IF(OR(City_Inputs!$AK54="",Norm_Stats!$F$15="",Norm_Stats!$G$15="",Norm_Stats!$G$15=Norm_Stats!$F$15),"",MAX(0,MIN(100,100*(Norm_Stats!$G$15-MIN(MAX(City_Inputs!$AK54,Norm_Stats!$F$15),Norm_Stats!$G$15))/(Norm_Stats!$G$15-Norm_Stats!$F$15)))))="",0,(IF(OR(City_Inputs!$AK54="",Norm_Stats!$F$15="",Norm_Stats!$G$15="",Norm_Stats!$G$15=Norm_Stats!$F$15),"",MAX(0,MIN(100,100*(Norm_Stats!$G$15-MIN(MAX(City_Inputs!$AK54,Norm_Stats!$F$15),Norm_Stats!$G$15))/(Norm_Stats!$G$15-Norm_Stats!$F$15)))))*0.3))/(IF((IF(OR(City_Inputs!$Z54="",Norm_Stats!$F$14="",Norm_Stats!$G$14="",Norm_Stats!$G$14=Norm_Stats!$F$14),"",MAX(0,MIN(100,100*(MIN(MAX(City_Inputs!$Z54,Norm_Stats!$F$14),Norm_Stats!$G$14)-Norm_Stats!$F$14)/(Norm_Stats!$G$14-Norm_Stats!$F$14)))))="",0,0.7)+IF((IF(OR(City_Inputs!$AK54="",Norm_Stats!$F$15="",Norm_Stats!$G$15="",Norm_Stats!$G$15=Norm_Stats!$F$15),"",MAX(0,MIN(100,100*(Norm_Stats!$G$15-MIN(MAX(City_Inputs!$AK54,Norm_Stats!$F$15),Norm_Stats!$G$15))/(Norm_Stats!$G$15-Norm_Stats!$F$15)))))="",0,0.3)))</f>
        <v/>
      </c>
      <c r="AJ54" s="14">
        <f>IF((IF((IF(OR(City_Inputs!$Z54="",Norm_Stats!$F$14="",Norm_Stats!$G$14="",Norm_Stats!$G$14=Norm_Stats!$F$14),"",MAX(0,MIN(100,100*(MIN(MAX(City_Inputs!$Z54,Norm_Stats!$F$14),Norm_Stats!$G$14)-Norm_Stats!$F$14)/(Norm_Stats!$G$14-Norm_Stats!$F$14)))))="",0,0.7)+IF((IF(OR(City_Inputs!$AK54="",Norm_Stats!$F$15="",Norm_Stats!$G$15="",Norm_Stats!$G$15=Norm_Stats!$F$15),"",MAX(0,MIN(100,100*(Norm_Stats!$G$15-MIN(MAX(City_Inputs!$AK54,Norm_Stats!$F$15),Norm_Stats!$G$15))/(Norm_Stats!$G$15-Norm_Stats!$F$15)))))="",0,0.3))=0,"",(IF((IF(OR(City_Inputs!$Z54="",Norm_Stats!$F$14="",Norm_Stats!$G$14="",Norm_Stats!$G$14=Norm_Stats!$F$14),"",MAX(0,MIN(100,100*(MIN(MAX(City_Inputs!$Z54,Norm_Stats!$F$14),Norm_Stats!$G$14)-Norm_Stats!$F$14)/(Norm_Stats!$G$14-Norm_Stats!$F$14)))))="",0,0.7)+IF((IF(OR(City_Inputs!$AK54="",Norm_Stats!$F$15="",Norm_Stats!$G$15="",Norm_Stats!$G$15=Norm_Stats!$F$15),"",MAX(0,MIN(100,100*(Norm_Stats!$G$15-MIN(MAX(City_Inputs!$AK54,Norm_Stats!$F$15),Norm_Stats!$G$15))/(Norm_Stats!$G$15-Norm_Stats!$F$15)))))="",0,0.3)))</f>
        <v/>
      </c>
      <c r="AK54" s="15">
        <f>IF((IF(AE54="",0,8)+IF(AG54="",0,6)+IF(AI54="",0,4))=0,"",(IF(AE54="",0,AE54*8)+IF(AG54="",0,AG54*6)+IF(AI54="",0,AI54*4))/(IF(AE54="",0,8)+IF(AG54="",0,6)+IF(AI54="",0,4)))</f>
        <v/>
      </c>
      <c r="AL54" s="14">
        <f>IF((IF(AF54="",0,8)+IF(AH54="",0,6)+IF(AJ54="",0,4))=0,"",(IF(AF54="",0,AF54*8)+IF(AH54="",0,AH54*6)+IF(AJ54="",0,AJ54*4))/18)</f>
        <v/>
      </c>
      <c r="AM54" s="11">
        <f>IF(OR(City_Inputs!$AA54="",Norm_Stats!$F$16="",Norm_Stats!$G$16="",Norm_Stats!$G$16=Norm_Stats!$F$16),"",MAX(0,MIN(100,100*(MIN(MAX(City_Inputs!$AA54,Norm_Stats!$F$16),Norm_Stats!$G$16)-Norm_Stats!$F$16)/(Norm_Stats!$G$16-Norm_Stats!$F$16))))</f>
        <v/>
      </c>
      <c r="AN54" s="14">
        <f>IF(AM54="","",1)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5">
        <f>IF((IF(AM54="",0,5)+IF(AO54="",0,5)+IF(AQ54="",0,5))=0,"",(IF(AM54="",0,AM54*5)+IF(AO54="",0,AO54*5)+IF(AQ54="",0,AQ54*5))/(IF(AM54="",0,5)+IF(AO54="",0,5)+IF(AQ54="",0,5)))</f>
        <v/>
      </c>
      <c r="AT54" s="14">
        <f>IF((IF(AN54="",0,5)+IF(AP54="",0,5)+IF(AR54="",0,5))=0,"",(IF(AN54="",0,AN54*5)+IF(AP54="",0,AP54*5)+IF(AR54="",0,AR54*5))/15)</f>
        <v/>
      </c>
      <c r="AU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V54" s="14">
        <f>IF(AU54="","",1)</f>
        <v/>
      </c>
      <c r="AW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X54" s="14">
        <f>IF(AW54="","",1)</f>
        <v/>
      </c>
      <c r="AY54" s="11">
        <f>IF((IF((IF(OR(City_Inputs!$AF54="",Norm_Stats!$F$21="",Norm_Stats!$G$21="",Norm_Stats!$G$21=Norm_Stats!$F$21),"",MAX(0,MIN(100,100*(MIN(MAX(City_Inputs!$AF54,Norm_Stats!$F$21),Norm_Stats!$G$21)-Norm_Stats!$F$21)/(Norm_Stats!$G$21-Norm_Stats!$F$21)))))="",0,0.5)+IF((IF(OR(City_Inputs!$AI54="",Norm_Stats!$F$22="",Norm_Stats!$G$22="",Norm_Stats!$G$22=Norm_Stats!$F$22),"",MAX(0,MIN(100,100*(MIN(MAX(City_Inputs!$AI54,Norm_Stats!$F$22),Norm_Stats!$G$22)-Norm_Stats!$F$22)/(Norm_Stats!$G$22-Norm_Stats!$F$22)))))="",0,0.3)+IF((IF(OR(City_Inputs!$AJ54="",Norm_Stats!$F$23="",Norm_Stats!$G$23="",Norm_Stats!$G$23=Norm_Stats!$F$23),"",MAX(0,MIN(100,100*(MIN(MAX(City_Inputs!$AJ54,Norm_Stats!$F$23),Norm_Stats!$G$23)-Norm_Stats!$F$23)/(Norm_Stats!$G$23-Norm_Stats!$F$23)))))="",0,0.2))=0,"",(IF((IF(OR(City_Inputs!$AF54="",Norm_Stats!$F$21="",Norm_Stats!$G$21="",Norm_Stats!$G$21=Norm_Stats!$F$21),"",MAX(0,MIN(100,100*(MIN(MAX(City_Inputs!$AF54,Norm_Stats!$F$21),Norm_Stats!$G$21)-Norm_Stats!$F$21)/(Norm_Stats!$G$21-Norm_Stats!$F$21)))))="",0,(IF(OR(City_Inputs!$AF54="",Norm_Stats!$F$21="",Norm_Stats!$G$21="",Norm_Stats!$G$21=Norm_Stats!$F$21),"",MAX(0,MIN(100,100*(MIN(MAX(City_Inputs!$AF54,Norm_Stats!$F$21),Norm_Stats!$G$21)-Norm_Stats!$F$21)/(Norm_Stats!$G$21-Norm_Stats!$F$21)))))*0.5)+IF((IF(OR(City_Inputs!$AI54="",Norm_Stats!$F$22="",Norm_Stats!$G$22="",Norm_Stats!$G$22=Norm_Stats!$F$22),"",MAX(0,MIN(100,100*(MIN(MAX(City_Inputs!$AI54,Norm_Stats!$F$22),Norm_Stats!$G$22)-Norm_Stats!$F$22)/(Norm_Stats!$G$22-Norm_Stats!$F$22)))))="",0,(IF(OR(City_Inputs!$AI54="",Norm_Stats!$F$22="",Norm_Stats!$G$22="",Norm_Stats!$G$22=Norm_Stats!$F$22),"",MAX(0,MIN(100,100*(MIN(MAX(City_Inputs!$AI54,Norm_Stats!$F$22),Norm_Stats!$G$22)-Norm_Stats!$F$22)/(Norm_Stats!$G$22-Norm_Stats!$F$22)))))*0.3)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0.2))/(IF((IF(OR(City_Inputs!$AF54="",Norm_Stats!$F$21="",Norm_Stats!$G$21="",Norm_Stats!$G$21=Norm_Stats!$F$21),"",MAX(0,MIN(100,100*(MIN(MAX(City_Inputs!$AF54,Norm_Stats!$F$21),Norm_Stats!$G$21)-Norm_Stats!$F$21)/(Norm_Stats!$G$21-Norm_Stats!$F$21)))))="",0,0.5)+IF((IF(OR(City_Inputs!$AI54="",Norm_Stats!$F$22="",Norm_Stats!$G$22="",Norm_Stats!$G$22=Norm_Stats!$F$22),"",MAX(0,MIN(100,100*(MIN(MAX(City_Inputs!$AI54,Norm_Stats!$F$22),Norm_Stats!$G$22)-Norm_Stats!$F$22)/(Norm_Stats!$G$22-Norm_Stats!$F$22)))))="",0,0.3)+IF((IF(OR(City_Inputs!$AJ54="",Norm_Stats!$F$23="",Norm_Stats!$G$23="",Norm_Stats!$G$23=Norm_Stats!$F$23),"",MAX(0,MIN(100,100*(MIN(MAX(City_Inputs!$AJ54,Norm_Stats!$F$23),Norm_Stats!$G$23)-Norm_Stats!$F$23)/(Norm_Stats!$G$23-Norm_Stats!$F$23)))))="",0,0.2)))</f>
        <v/>
      </c>
      <c r="AZ54" s="14">
        <f>IF((IF((IF(OR(City_Inputs!$AF54="",Norm_Stats!$F$21="",Norm_Stats!$G$21="",Norm_Stats!$G$21=Norm_Stats!$F$21),"",MAX(0,MIN(100,100*(MIN(MAX(City_Inputs!$AF54,Norm_Stats!$F$21),Norm_Stats!$G$21)-Norm_Stats!$F$21)/(Norm_Stats!$G$21-Norm_Stats!$F$21)))))="",0,0.5)+IF((IF(OR(City_Inputs!$AI54="",Norm_Stats!$F$22="",Norm_Stats!$G$22="",Norm_Stats!$G$22=Norm_Stats!$F$22),"",MAX(0,MIN(100,100*(MIN(MAX(City_Inputs!$AI54,Norm_Stats!$F$22),Norm_Stats!$G$22)-Norm_Stats!$F$22)/(Norm_Stats!$G$22-Norm_Stats!$F$22)))))="",0,0.3)+IF((IF(OR(City_Inputs!$AJ54="",Norm_Stats!$F$23="",Norm_Stats!$G$23="",Norm_Stats!$G$23=Norm_Stats!$F$23),"",MAX(0,MIN(100,100*(MIN(MAX(City_Inputs!$AJ54,Norm_Stats!$F$23),Norm_Stats!$G$23)-Norm_Stats!$F$23)/(Norm_Stats!$G$23-Norm_Stats!$F$23)))))="",0,0.2))=0,"",(IF((IF(OR(City_Inputs!$AF54="",Norm_Stats!$F$21="",Norm_Stats!$G$21="",Norm_Stats!$G$21=Norm_Stats!$F$21),"",MAX(0,MIN(100,100*(MIN(MAX(City_Inputs!$AF54,Norm_Stats!$F$21),Norm_Stats!$G$21)-Norm_Stats!$F$21)/(Norm_Stats!$G$21-Norm_Stats!$F$21)))))="",0,0.5)+IF((IF(OR(City_Inputs!$AI54="",Norm_Stats!$F$22="",Norm_Stats!$G$22="",Norm_Stats!$G$22=Norm_Stats!$F$22),"",MAX(0,MIN(100,100*(MIN(MAX(City_Inputs!$AI54,Norm_Stats!$F$22),Norm_Stats!$G$22)-Norm_Stats!$F$22)/(Norm_Stats!$G$22-Norm_Stats!$F$22)))))="",0,0.3)+IF((IF(OR(City_Inputs!$AJ54="",Norm_Stats!$F$23="",Norm_Stats!$G$23="",Norm_Stats!$G$23=Norm_Stats!$F$23),"",MAX(0,MIN(100,100*(MIN(MAX(City_Inputs!$AJ54,Norm_Stats!$F$23),Norm_Stats!$G$23)-Norm_Stats!$F$23)/(Norm_Stats!$G$23-Norm_Stats!$F$23)))))="",0,0.2)))</f>
        <v/>
      </c>
      <c r="BA54" s="11">
        <f>IF(OR(City_Inputs!$AG54="",Norm_Stats!$F$24="",Norm_Stats!$G$24="",Norm_Stats!$G$24=Norm_Stats!$F$24),"",MAX(0,MIN(100,100*(Norm_Stats!$G$24-MIN(MAX(City_Inputs!$AG54,Norm_Stats!$F$24),Norm_Stats!$G$24))/(Norm_Stats!$G$24-Norm_Stats!$F$24))))</f>
        <v/>
      </c>
      <c r="BB54" s="14">
        <f>IF(BA54="","",1)</f>
        <v/>
      </c>
      <c r="BC54" s="15">
        <f>IF((IF(AU54="",0,6)+IF(AW54="",0,5)+IF(AY54="",0,5)+IF(BA54="",0,4))=0,"",(IF(AU54="",0,AU54*6)+IF(AW54="",0,AW54*5)+IF(AY54="",0,AY54*5)+IF(BA54="",0,BA54*4))/(IF(AU54="",0,6)+IF(AW54="",0,5)+IF(AY54="",0,5)+IF(BA54="",0,4)))</f>
        <v/>
      </c>
      <c r="BD54" s="14">
        <f>IF((IF(AV54="",0,6)+IF(AX54="",0,5)+IF(AZ54="",0,5)+IF(BB54="",0,4))=0,"",(IF(AV54="",0,AV54*6)+IF(AX54="",0,AX54*5)+IF(AZ54="",0,AZ54*5)+IF(BB54="",0,BB54*4))/20)</f>
        <v/>
      </c>
      <c r="BE54" s="14">
        <f>IF(AND(R54="",AD54="",AL54="",AT54="",BD54=""),"",((R54*25)+(AD54*22)+(AL54*18)+(AT54*15)+(BD54*20))/100)</f>
        <v/>
      </c>
      <c r="BF54" s="11">
        <f>IF(BE54="","",IF(BE54&gt;=0.75,"A",IF(BE54&gt;=0.5,"B",IF(BE54&gt;=0.35,"C","Watchlist"))))</f>
        <v/>
      </c>
      <c r="BG54" s="11">
        <f>IF(OR(BE54="",BE54&lt;0.5,R54="",R54&lt;0.35,AD54="",AD54&lt;0.35,AL54="",AL54&lt;0.35,AT54="",AT54&lt;0.35,BD54="",BD54&lt;0.35),"Watchlist","Ranked")</f>
        <v/>
      </c>
      <c r="BH54" s="15">
        <f>IF(AND(Q54="",AC54="",AK54="",AS54="",BC54=""),"",(IF(Q54="",0,Q54*25)+IF(AC54="",0,AC54*22)+IF(AK54="",0,AK54*18)+IF(AS54="",0,AS54*15)+IF(BC54="",0,BC54*20))/(IF(Q54="",0,25)+IF(AC54="",0,22)+IF(AK54="",0,18)+IF(AS54="",0,15)+IF(BC54="",0,20)))</f>
        <v/>
      </c>
      <c r="BI54" s="11">
        <f>IF(BG54="Ranked",1+COUNTIFS($BG$2:$BG$101,"Ranked",$BH$2:$BH$101,"&gt;"&amp;BH54),"")</f>
        <v/>
      </c>
      <c r="BJ54" s="11">
        <f>City_Inputs!$AH54</f>
        <v/>
      </c>
    </row>
    <row r="55">
      <c r="A55" t="inlineStr">
        <is>
          <t>pa-panama-city</t>
        </is>
      </c>
      <c r="B55" t="inlineStr">
        <is>
          <t>Panama City</t>
        </is>
      </c>
      <c r="C55" t="inlineStr">
        <is>
          <t>Panama</t>
        </is>
      </c>
      <c r="D55" t="inlineStr">
        <is>
          <t>North America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IF((IF(G55="",0,9)+IF(I55="",0,5)+IF(K55="",0,4)+IF(M55="",0,4)+IF(O55="",0,3))=0,"",(IF(G55="",0,G55*9)+IF(I55="",0,I55*5)+IF(K55="",0,K55*4)+IF(M55="",0,M55*4)+IF(O55="",0,O55*3))/(IF(G55="",0,9)+IF(I55="",0,5)+IF(K55="",0,4)+IF(M55="",0,4)+IF(O55="",0,3)))</f>
        <v/>
      </c>
      <c r="R55" s="14">
        <f>IF((IF(H55="",0,9)+IF(J55="",0,5)+IF(L55="",0,4)+IF(N55="",0,4)+IF(P55="",0,3))=0,"",(IF(H55="",0,H55*9)+IF(J55="",0,J55*5)+IF(L55="",0,L55*4)+IF(N55="",0,N55*4)+IF(P55="",0,P55*3))/25)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5">
        <f>IF((IF(S55="",0,5)+IF(U55="",0,5)+IF(W55="",0,4)+IF(Y55="",0,4)+IF(AA55="",0,4))=0,"",(IF(S55="",0,S55*5)+IF(U55="",0,U55*5)+IF(W55="",0,W55*4)+IF(Y55="",0,Y55*4)+IF(AA55="",0,AA55*4))/(IF(S55="",0,5)+IF(U55="",0,5)+IF(W55="",0,4)+IF(Y55="",0,4)+IF(AA55="",0,4)))</f>
        <v/>
      </c>
      <c r="AD55" s="14">
        <f>IF((IF(T55="",0,5)+IF(V55="",0,5)+IF(X55="",0,4)+IF(Z55="",0,4)+IF(AB55="",0,4))=0,"",(IF(T55="",0,T55*5)+IF(V55="",0,V55*5)+IF(X55="",0,X55*4)+IF(Z55="",0,Z55*4)+IF(AB55="",0,AB55*4))/22)</f>
        <v/>
      </c>
      <c r="AE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F55" s="14">
        <f>IF(AE55="","",1)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(IF((IF(OR(City_Inputs!$Z55="",Norm_Stats!$F$14="",Norm_Stats!$G$14="",Norm_Stats!$G$14=Norm_Stats!$F$14),"",MAX(0,MIN(100,100*(MIN(MAX(City_Inputs!$Z55,Norm_Stats!$F$14),Norm_Stats!$G$14)-Norm_Stats!$F$14)/(Norm_Stats!$G$14-Norm_Stats!$F$14)))))="",0,0.7)+IF((IF(OR(City_Inputs!$AK55="",Norm_Stats!$F$15="",Norm_Stats!$G$15="",Norm_Stats!$G$15=Norm_Stats!$F$15),"",MAX(0,MIN(100,100*(Norm_Stats!$G$15-MIN(MAX(City_Inputs!$AK55,Norm_Stats!$F$15),Norm_Stats!$G$15))/(Norm_Stats!$G$15-Norm_Stats!$F$15)))))="",0,0.3))=0,"",(IF((IF(OR(City_Inputs!$Z55="",Norm_Stats!$F$14="",Norm_Stats!$G$14="",Norm_Stats!$G$14=Norm_Stats!$F$14),"",MAX(0,MIN(100,100*(MIN(MAX(City_Inputs!$Z55,Norm_Stats!$F$14),Norm_Stats!$G$14)-Norm_Stats!$F$14)/(Norm_Stats!$G$14-Norm_Stats!$F$14)))))="",0,(IF(OR(City_Inputs!$Z55="",Norm_Stats!$F$14="",Norm_Stats!$G$14="",Norm_Stats!$G$14=Norm_Stats!$F$14),"",MAX(0,MIN(100,100*(MIN(MAX(City_Inputs!$Z55,Norm_Stats!$F$14),Norm_Stats!$G$14)-Norm_Stats!$F$14)/(Norm_Stats!$G$14-Norm_Stats!$F$14)))))*0.7)+IF((IF(OR(City_Inputs!$AK55="",Norm_Stats!$F$15="",Norm_Stats!$G$15="",Norm_Stats!$G$15=Norm_Stats!$F$15),"",MAX(0,MIN(100,100*(Norm_Stats!$G$15-MIN(MAX(City_Inputs!$AK55,Norm_Stats!$F$15),Norm_Stats!$G$15))/(Norm_Stats!$G$15-Norm_Stats!$F$15)))))="",0,(IF(OR(City_Inputs!$AK55="",Norm_Stats!$F$15="",Norm_Stats!$G$15="",Norm_Stats!$G$15=Norm_Stats!$F$15),"",MAX(0,MIN(100,100*(Norm_Stats!$G$15-MIN(MAX(City_Inputs!$AK55,Norm_Stats!$F$15),Norm_Stats!$G$15))/(Norm_Stats!$G$15-Norm_Stats!$F$15)))))*0.3))/(IF((IF(OR(City_Inputs!$Z55="",Norm_Stats!$F$14="",Norm_Stats!$G$14="",Norm_Stats!$G$14=Norm_Stats!$F$14),"",MAX(0,MIN(100,100*(MIN(MAX(City_Inputs!$Z55,Norm_Stats!$F$14),Norm_Stats!$G$14)-Norm_Stats!$F$14)/(Norm_Stats!$G$14-Norm_Stats!$F$14)))))="",0,0.7)+IF((IF(OR(City_Inputs!$AK55="",Norm_Stats!$F$15="",Norm_Stats!$G$15="",Norm_Stats!$G$15=Norm_Stats!$F$15),"",MAX(0,MIN(100,100*(Norm_Stats!$G$15-MIN(MAX(City_Inputs!$AK55,Norm_Stats!$F$15),Norm_Stats!$G$15))/(Norm_Stats!$G$15-Norm_Stats!$F$15)))))="",0,0.3)))</f>
        <v/>
      </c>
      <c r="AJ55" s="14">
        <f>IF((IF((IF(OR(City_Inputs!$Z55="",Norm_Stats!$F$14="",Norm_Stats!$G$14="",Norm_Stats!$G$14=Norm_Stats!$F$14),"",MAX(0,MIN(100,100*(MIN(MAX(City_Inputs!$Z55,Norm_Stats!$F$14),Norm_Stats!$G$14)-Norm_Stats!$F$14)/(Norm_Stats!$G$14-Norm_Stats!$F$14)))))="",0,0.7)+IF((IF(OR(City_Inputs!$AK55="",Norm_Stats!$F$15="",Norm_Stats!$G$15="",Norm_Stats!$G$15=Norm_Stats!$F$15),"",MAX(0,MIN(100,100*(Norm_Stats!$G$15-MIN(MAX(City_Inputs!$AK55,Norm_Stats!$F$15),Norm_Stats!$G$15))/(Norm_Stats!$G$15-Norm_Stats!$F$15)))))="",0,0.3))=0,"",(IF((IF(OR(City_Inputs!$Z55="",Norm_Stats!$F$14="",Norm_Stats!$G$14="",Norm_Stats!$G$14=Norm_Stats!$F$14),"",MAX(0,MIN(100,100*(MIN(MAX(City_Inputs!$Z55,Norm_Stats!$F$14),Norm_Stats!$G$14)-Norm_Stats!$F$14)/(Norm_Stats!$G$14-Norm_Stats!$F$14)))))="",0,0.7)+IF((IF(OR(City_Inputs!$AK55="",Norm_Stats!$F$15="",Norm_Stats!$G$15="",Norm_Stats!$G$15=Norm_Stats!$F$15),"",MAX(0,MIN(100,100*(Norm_Stats!$G$15-MIN(MAX(City_Inputs!$AK55,Norm_Stats!$F$15),Norm_Stats!$G$15))/(Norm_Stats!$G$15-Norm_Stats!$F$15)))))="",0,0.3)))</f>
        <v/>
      </c>
      <c r="AK55" s="15">
        <f>IF((IF(AE55="",0,8)+IF(AG55="",0,6)+IF(AI55="",0,4))=0,"",(IF(AE55="",0,AE55*8)+IF(AG55="",0,AG55*6)+IF(AI55="",0,AI55*4))/(IF(AE55="",0,8)+IF(AG55="",0,6)+IF(AI55="",0,4)))</f>
        <v/>
      </c>
      <c r="AL55" s="14">
        <f>IF((IF(AF55="",0,8)+IF(AH55="",0,6)+IF(AJ55="",0,4))=0,"",(IF(AF55="",0,AF55*8)+IF(AH55="",0,AH55*6)+IF(AJ55="",0,AJ55*4))/18)</f>
        <v/>
      </c>
      <c r="AM55" s="11">
        <f>IF(OR(City_Inputs!$AA55="",Norm_Stats!$F$16="",Norm_Stats!$G$16="",Norm_Stats!$G$16=Norm_Stats!$F$16),"",MAX(0,MIN(100,100*(MIN(MAX(City_Inputs!$AA55,Norm_Stats!$F$16),Norm_Stats!$G$16)-Norm_Stats!$F$16)/(Norm_Stats!$G$16-Norm_Stats!$F$16))))</f>
        <v/>
      </c>
      <c r="AN55" s="14">
        <f>IF(AM55="","",1)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5">
        <f>IF((IF(AM55="",0,5)+IF(AO55="",0,5)+IF(AQ55="",0,5))=0,"",(IF(AM55="",0,AM55*5)+IF(AO55="",0,AO55*5)+IF(AQ55="",0,AQ55*5))/(IF(AM55="",0,5)+IF(AO55="",0,5)+IF(AQ55="",0,5)))</f>
        <v/>
      </c>
      <c r="AT55" s="14">
        <f>IF((IF(AN55="",0,5)+IF(AP55="",0,5)+IF(AR55="",0,5))=0,"",(IF(AN55="",0,AN55*5)+IF(AP55="",0,AP55*5)+IF(AR55="",0,AR55*5))/15)</f>
        <v/>
      </c>
      <c r="AU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V55" s="14">
        <f>IF(AU55="","",1)</f>
        <v/>
      </c>
      <c r="AW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X55" s="14">
        <f>IF(AW55="","",1)</f>
        <v/>
      </c>
      <c r="AY55" s="11">
        <f>IF((IF((IF(OR(City_Inputs!$AF55="",Norm_Stats!$F$21="",Norm_Stats!$G$21="",Norm_Stats!$G$21=Norm_Stats!$F$21),"",MAX(0,MIN(100,100*(MIN(MAX(City_Inputs!$AF55,Norm_Stats!$F$21),Norm_Stats!$G$21)-Norm_Stats!$F$21)/(Norm_Stats!$G$21-Norm_Stats!$F$21)))))="",0,0.5)+IF((IF(OR(City_Inputs!$AI55="",Norm_Stats!$F$22="",Norm_Stats!$G$22="",Norm_Stats!$G$22=Norm_Stats!$F$22),"",MAX(0,MIN(100,100*(MIN(MAX(City_Inputs!$AI55,Norm_Stats!$F$22),Norm_Stats!$G$22)-Norm_Stats!$F$22)/(Norm_Stats!$G$22-Norm_Stats!$F$22)))))="",0,0.3)+IF((IF(OR(City_Inputs!$AJ55="",Norm_Stats!$F$23="",Norm_Stats!$G$23="",Norm_Stats!$G$23=Norm_Stats!$F$23),"",MAX(0,MIN(100,100*(MIN(MAX(City_Inputs!$AJ55,Norm_Stats!$F$23),Norm_Stats!$G$23)-Norm_Stats!$F$23)/(Norm_Stats!$G$23-Norm_Stats!$F$23)))))="",0,0.2))=0,"",(IF((IF(OR(City_Inputs!$AF55="",Norm_Stats!$F$21="",Norm_Stats!$G$21="",Norm_Stats!$G$21=Norm_Stats!$F$21),"",MAX(0,MIN(100,100*(MIN(MAX(City_Inputs!$AF55,Norm_Stats!$F$21),Norm_Stats!$G$21)-Norm_Stats!$F$21)/(Norm_Stats!$G$21-Norm_Stats!$F$21)))))="",0,(IF(OR(City_Inputs!$AF55="",Norm_Stats!$F$21="",Norm_Stats!$G$21="",Norm_Stats!$G$21=Norm_Stats!$F$21),"",MAX(0,MIN(100,100*(MIN(MAX(City_Inputs!$AF55,Norm_Stats!$F$21),Norm_Stats!$G$21)-Norm_Stats!$F$21)/(Norm_Stats!$G$21-Norm_Stats!$F$21)))))*0.5)+IF((IF(OR(City_Inputs!$AI55="",Norm_Stats!$F$22="",Norm_Stats!$G$22="",Norm_Stats!$G$22=Norm_Stats!$F$22),"",MAX(0,MIN(100,100*(MIN(MAX(City_Inputs!$AI55,Norm_Stats!$F$22),Norm_Stats!$G$22)-Norm_Stats!$F$22)/(Norm_Stats!$G$22-Norm_Stats!$F$22)))))="",0,(IF(OR(City_Inputs!$AI55="",Norm_Stats!$F$22="",Norm_Stats!$G$22="",Norm_Stats!$G$22=Norm_Stats!$F$22),"",MAX(0,MIN(100,100*(MIN(MAX(City_Inputs!$AI55,Norm_Stats!$F$22),Norm_Stats!$G$22)-Norm_Stats!$F$22)/(Norm_Stats!$G$22-Norm_Stats!$F$22)))))*0.3)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0.2))/(IF((IF(OR(City_Inputs!$AF55="",Norm_Stats!$F$21="",Norm_Stats!$G$21="",Norm_Stats!$G$21=Norm_Stats!$F$21),"",MAX(0,MIN(100,100*(MIN(MAX(City_Inputs!$AF55,Norm_Stats!$F$21),Norm_Stats!$G$21)-Norm_Stats!$F$21)/(Norm_Stats!$G$21-Norm_Stats!$F$21)))))="",0,0.5)+IF((IF(OR(City_Inputs!$AI55="",Norm_Stats!$F$22="",Norm_Stats!$G$22="",Norm_Stats!$G$22=Norm_Stats!$F$22),"",MAX(0,MIN(100,100*(MIN(MAX(City_Inputs!$AI55,Norm_Stats!$F$22),Norm_Stats!$G$22)-Norm_Stats!$F$22)/(Norm_Stats!$G$22-Norm_Stats!$F$22)))))="",0,0.3)+IF((IF(OR(City_Inputs!$AJ55="",Norm_Stats!$F$23="",Norm_Stats!$G$23="",Norm_Stats!$G$23=Norm_Stats!$F$23),"",MAX(0,MIN(100,100*(MIN(MAX(City_Inputs!$AJ55,Norm_Stats!$F$23),Norm_Stats!$G$23)-Norm_Stats!$F$23)/(Norm_Stats!$G$23-Norm_Stats!$F$23)))))="",0,0.2)))</f>
        <v/>
      </c>
      <c r="AZ55" s="14">
        <f>IF((IF((IF(OR(City_Inputs!$AF55="",Norm_Stats!$F$21="",Norm_Stats!$G$21="",Norm_Stats!$G$21=Norm_Stats!$F$21),"",MAX(0,MIN(100,100*(MIN(MAX(City_Inputs!$AF55,Norm_Stats!$F$21),Norm_Stats!$G$21)-Norm_Stats!$F$21)/(Norm_Stats!$G$21-Norm_Stats!$F$21)))))="",0,0.5)+IF((IF(OR(City_Inputs!$AI55="",Norm_Stats!$F$22="",Norm_Stats!$G$22="",Norm_Stats!$G$22=Norm_Stats!$F$22),"",MAX(0,MIN(100,100*(MIN(MAX(City_Inputs!$AI55,Norm_Stats!$F$22),Norm_Stats!$G$22)-Norm_Stats!$F$22)/(Norm_Stats!$G$22-Norm_Stats!$F$22)))))="",0,0.3)+IF((IF(OR(City_Inputs!$AJ55="",Norm_Stats!$F$23="",Norm_Stats!$G$23="",Norm_Stats!$G$23=Norm_Stats!$F$23),"",MAX(0,MIN(100,100*(MIN(MAX(City_Inputs!$AJ55,Norm_Stats!$F$23),Norm_Stats!$G$23)-Norm_Stats!$F$23)/(Norm_Stats!$G$23-Norm_Stats!$F$23)))))="",0,0.2))=0,"",(IF((IF(OR(City_Inputs!$AF55="",Norm_Stats!$F$21="",Norm_Stats!$G$21="",Norm_Stats!$G$21=Norm_Stats!$F$21),"",MAX(0,MIN(100,100*(MIN(MAX(City_Inputs!$AF55,Norm_Stats!$F$21),Norm_Stats!$G$21)-Norm_Stats!$F$21)/(Norm_Stats!$G$21-Norm_Stats!$F$21)))))="",0,0.5)+IF((IF(OR(City_Inputs!$AI55="",Norm_Stats!$F$22="",Norm_Stats!$G$22="",Norm_Stats!$G$22=Norm_Stats!$F$22),"",MAX(0,MIN(100,100*(MIN(MAX(City_Inputs!$AI55,Norm_Stats!$F$22),Norm_Stats!$G$22)-Norm_Stats!$F$22)/(Norm_Stats!$G$22-Norm_Stats!$F$22)))))="",0,0.3)+IF((IF(OR(City_Inputs!$AJ55="",Norm_Stats!$F$23="",Norm_Stats!$G$23="",Norm_Stats!$G$23=Norm_Stats!$F$23),"",MAX(0,MIN(100,100*(MIN(MAX(City_Inputs!$AJ55,Norm_Stats!$F$23),Norm_Stats!$G$23)-Norm_Stats!$F$23)/(Norm_Stats!$G$23-Norm_Stats!$F$23)))))="",0,0.2)))</f>
        <v/>
      </c>
      <c r="BA55" s="11">
        <f>IF(OR(City_Inputs!$AG55="",Norm_Stats!$F$24="",Norm_Stats!$G$24="",Norm_Stats!$G$24=Norm_Stats!$F$24),"",MAX(0,MIN(100,100*(Norm_Stats!$G$24-MIN(MAX(City_Inputs!$AG55,Norm_Stats!$F$24),Norm_Stats!$G$24))/(Norm_Stats!$G$24-Norm_Stats!$F$24))))</f>
        <v/>
      </c>
      <c r="BB55" s="14">
        <f>IF(BA55="","",1)</f>
        <v/>
      </c>
      <c r="BC55" s="15">
        <f>IF((IF(AU55="",0,6)+IF(AW55="",0,5)+IF(AY55="",0,5)+IF(BA55="",0,4))=0,"",(IF(AU55="",0,AU55*6)+IF(AW55="",0,AW55*5)+IF(AY55="",0,AY55*5)+IF(BA55="",0,BA55*4))/(IF(AU55="",0,6)+IF(AW55="",0,5)+IF(AY55="",0,5)+IF(BA55="",0,4)))</f>
        <v/>
      </c>
      <c r="BD55" s="14">
        <f>IF((IF(AV55="",0,6)+IF(AX55="",0,5)+IF(AZ55="",0,5)+IF(BB55="",0,4))=0,"",(IF(AV55="",0,AV55*6)+IF(AX55="",0,AX55*5)+IF(AZ55="",0,AZ55*5)+IF(BB55="",0,BB55*4))/20)</f>
        <v/>
      </c>
      <c r="BE55" s="14">
        <f>IF(AND(R55="",AD55="",AL55="",AT55="",BD55=""),"",((R55*25)+(AD55*22)+(AL55*18)+(AT55*15)+(BD55*20))/100)</f>
        <v/>
      </c>
      <c r="BF55" s="11">
        <f>IF(BE55="","",IF(BE55&gt;=0.75,"A",IF(BE55&gt;=0.5,"B",IF(BE55&gt;=0.35,"C","Watchlist"))))</f>
        <v/>
      </c>
      <c r="BG55" s="11">
        <f>IF(OR(BE55="",BE55&lt;0.5,R55="",R55&lt;0.35,AD55="",AD55&lt;0.35,AL55="",AL55&lt;0.35,AT55="",AT55&lt;0.35,BD55="",BD55&lt;0.35),"Watchlist","Ranked")</f>
        <v/>
      </c>
      <c r="BH55" s="15">
        <f>IF(AND(Q55="",AC55="",AK55="",AS55="",BC55=""),"",(IF(Q55="",0,Q55*25)+IF(AC55="",0,AC55*22)+IF(AK55="",0,AK55*18)+IF(AS55="",0,AS55*15)+IF(BC55="",0,BC55*20))/(IF(Q55="",0,25)+IF(AC55="",0,22)+IF(AK55="",0,18)+IF(AS55="",0,15)+IF(BC55="",0,20)))</f>
        <v/>
      </c>
      <c r="BI55" s="11">
        <f>IF(BG55="Ranked",1+COUNTIFS($BG$2:$BG$101,"Ranked",$BH$2:$BH$101,"&gt;"&amp;BH55),"")</f>
        <v/>
      </c>
      <c r="BJ55" s="11">
        <f>City_Inputs!$AH55</f>
        <v/>
      </c>
    </row>
    <row r="56">
      <c r="A56" t="inlineStr">
        <is>
          <t>cr-san-jose</t>
        </is>
      </c>
      <c r="B56" t="inlineStr">
        <is>
          <t>San Jose</t>
        </is>
      </c>
      <c r="C56" t="inlineStr">
        <is>
          <t>Costa Rica</t>
        </is>
      </c>
      <c r="D56" t="inlineStr">
        <is>
          <t>North America</t>
        </is>
      </c>
      <c r="E56" t="inlineStr">
        <is>
          <t>locked</t>
        </is>
      </c>
      <c r="F56" t="inlineStr">
        <is>
          <t>primary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IF((IF(G56="",0,9)+IF(I56="",0,5)+IF(K56="",0,4)+IF(M56="",0,4)+IF(O56="",0,3))=0,"",(IF(G56="",0,G56*9)+IF(I56="",0,I56*5)+IF(K56="",0,K56*4)+IF(M56="",0,M56*4)+IF(O56="",0,O56*3))/(IF(G56="",0,9)+IF(I56="",0,5)+IF(K56="",0,4)+IF(M56="",0,4)+IF(O56="",0,3)))</f>
        <v/>
      </c>
      <c r="R56" s="14">
        <f>IF((IF(H56="",0,9)+IF(J56="",0,5)+IF(L56="",0,4)+IF(N56="",0,4)+IF(P56="",0,3))=0,"",(IF(H56="",0,H56*9)+IF(J56="",0,J56*5)+IF(L56="",0,L56*4)+IF(N56="",0,N56*4)+IF(P56="",0,P56*3))/25)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5">
        <f>IF((IF(S56="",0,5)+IF(U56="",0,5)+IF(W56="",0,4)+IF(Y56="",0,4)+IF(AA56="",0,4))=0,"",(IF(S56="",0,S56*5)+IF(U56="",0,U56*5)+IF(W56="",0,W56*4)+IF(Y56="",0,Y56*4)+IF(AA56="",0,AA56*4))/(IF(S56="",0,5)+IF(U56="",0,5)+IF(W56="",0,4)+IF(Y56="",0,4)+IF(AA56="",0,4)))</f>
        <v/>
      </c>
      <c r="AD56" s="14">
        <f>IF((IF(T56="",0,5)+IF(V56="",0,5)+IF(X56="",0,4)+IF(Z56="",0,4)+IF(AB56="",0,4))=0,"",(IF(T56="",0,T56*5)+IF(V56="",0,V56*5)+IF(X56="",0,X56*4)+IF(Z56="",0,Z56*4)+IF(AB56="",0,AB56*4))/22)</f>
        <v/>
      </c>
      <c r="AE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F56" s="14">
        <f>IF(AE56="","",1)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(IF((IF(OR(City_Inputs!$Z56="",Norm_Stats!$F$14="",Norm_Stats!$G$14="",Norm_Stats!$G$14=Norm_Stats!$F$14),"",MAX(0,MIN(100,100*(MIN(MAX(City_Inputs!$Z56,Norm_Stats!$F$14),Norm_Stats!$G$14)-Norm_Stats!$F$14)/(Norm_Stats!$G$14-Norm_Stats!$F$14)))))="",0,0.7)+IF((IF(OR(City_Inputs!$AK56="",Norm_Stats!$F$15="",Norm_Stats!$G$15="",Norm_Stats!$G$15=Norm_Stats!$F$15),"",MAX(0,MIN(100,100*(Norm_Stats!$G$15-MIN(MAX(City_Inputs!$AK56,Norm_Stats!$F$15),Norm_Stats!$G$15))/(Norm_Stats!$G$15-Norm_Stats!$F$15)))))="",0,0.3))=0,"",(IF((IF(OR(City_Inputs!$Z56="",Norm_Stats!$F$14="",Norm_Stats!$G$14="",Norm_Stats!$G$14=Norm_Stats!$F$14),"",MAX(0,MIN(100,100*(MIN(MAX(City_Inputs!$Z56,Norm_Stats!$F$14),Norm_Stats!$G$14)-Norm_Stats!$F$14)/(Norm_Stats!$G$14-Norm_Stats!$F$14)))))="",0,(IF(OR(City_Inputs!$Z56="",Norm_Stats!$F$14="",Norm_Stats!$G$14="",Norm_Stats!$G$14=Norm_Stats!$F$14),"",MAX(0,MIN(100,100*(MIN(MAX(City_Inputs!$Z56,Norm_Stats!$F$14),Norm_Stats!$G$14)-Norm_Stats!$F$14)/(Norm_Stats!$G$14-Norm_Stats!$F$14)))))*0.7)+IF((IF(OR(City_Inputs!$AK56="",Norm_Stats!$F$15="",Norm_Stats!$G$15="",Norm_Stats!$G$15=Norm_Stats!$F$15),"",MAX(0,MIN(100,100*(Norm_Stats!$G$15-MIN(MAX(City_Inputs!$AK56,Norm_Stats!$F$15),Norm_Stats!$G$15))/(Norm_Stats!$G$15-Norm_Stats!$F$15)))))="",0,(IF(OR(City_Inputs!$AK56="",Norm_Stats!$F$15="",Norm_Stats!$G$15="",Norm_Stats!$G$15=Norm_Stats!$F$15),"",MAX(0,MIN(100,100*(Norm_Stats!$G$15-MIN(MAX(City_Inputs!$AK56,Norm_Stats!$F$15),Norm_Stats!$G$15))/(Norm_Stats!$G$15-Norm_Stats!$F$15)))))*0.3))/(IF((IF(OR(City_Inputs!$Z56="",Norm_Stats!$F$14="",Norm_Stats!$G$14="",Norm_Stats!$G$14=Norm_Stats!$F$14),"",MAX(0,MIN(100,100*(MIN(MAX(City_Inputs!$Z56,Norm_Stats!$F$14),Norm_Stats!$G$14)-Norm_Stats!$F$14)/(Norm_Stats!$G$14-Norm_Stats!$F$14)))))="",0,0.7)+IF((IF(OR(City_Inputs!$AK56="",Norm_Stats!$F$15="",Norm_Stats!$G$15="",Norm_Stats!$G$15=Norm_Stats!$F$15),"",MAX(0,MIN(100,100*(Norm_Stats!$G$15-MIN(MAX(City_Inputs!$AK56,Norm_Stats!$F$15),Norm_Stats!$G$15))/(Norm_Stats!$G$15-Norm_Stats!$F$15)))))="",0,0.3)))</f>
        <v/>
      </c>
      <c r="AJ56" s="14">
        <f>IF((IF((IF(OR(City_Inputs!$Z56="",Norm_Stats!$F$14="",Norm_Stats!$G$14="",Norm_Stats!$G$14=Norm_Stats!$F$14),"",MAX(0,MIN(100,100*(MIN(MAX(City_Inputs!$Z56,Norm_Stats!$F$14),Norm_Stats!$G$14)-Norm_Stats!$F$14)/(Norm_Stats!$G$14-Norm_Stats!$F$14)))))="",0,0.7)+IF((IF(OR(City_Inputs!$AK56="",Norm_Stats!$F$15="",Norm_Stats!$G$15="",Norm_Stats!$G$15=Norm_Stats!$F$15),"",MAX(0,MIN(100,100*(Norm_Stats!$G$15-MIN(MAX(City_Inputs!$AK56,Norm_Stats!$F$15),Norm_Stats!$G$15))/(Norm_Stats!$G$15-Norm_Stats!$F$15)))))="",0,0.3))=0,"",(IF((IF(OR(City_Inputs!$Z56="",Norm_Stats!$F$14="",Norm_Stats!$G$14="",Norm_Stats!$G$14=Norm_Stats!$F$14),"",MAX(0,MIN(100,100*(MIN(MAX(City_Inputs!$Z56,Norm_Stats!$F$14),Norm_Stats!$G$14)-Norm_Stats!$F$14)/(Norm_Stats!$G$14-Norm_Stats!$F$14)))))="",0,0.7)+IF((IF(OR(City_Inputs!$AK56="",Norm_Stats!$F$15="",Norm_Stats!$G$15="",Norm_Stats!$G$15=Norm_Stats!$F$15),"",MAX(0,MIN(100,100*(Norm_Stats!$G$15-MIN(MAX(City_Inputs!$AK56,Norm_Stats!$F$15),Norm_Stats!$G$15))/(Norm_Stats!$G$15-Norm_Stats!$F$15)))))="",0,0.3)))</f>
        <v/>
      </c>
      <c r="AK56" s="15">
        <f>IF((IF(AE56="",0,8)+IF(AG56="",0,6)+IF(AI56="",0,4))=0,"",(IF(AE56="",0,AE56*8)+IF(AG56="",0,AG56*6)+IF(AI56="",0,AI56*4))/(IF(AE56="",0,8)+IF(AG56="",0,6)+IF(AI56="",0,4)))</f>
        <v/>
      </c>
      <c r="AL56" s="14">
        <f>IF((IF(AF56="",0,8)+IF(AH56="",0,6)+IF(AJ56="",0,4))=0,"",(IF(AF56="",0,AF56*8)+IF(AH56="",0,AH56*6)+IF(AJ56="",0,AJ56*4))/18)</f>
        <v/>
      </c>
      <c r="AM56" s="11">
        <f>IF(OR(City_Inputs!$AA56="",Norm_Stats!$F$16="",Norm_Stats!$G$16="",Norm_Stats!$G$16=Norm_Stats!$F$16),"",MAX(0,MIN(100,100*(MIN(MAX(City_Inputs!$AA56,Norm_Stats!$F$16),Norm_Stats!$G$16)-Norm_Stats!$F$16)/(Norm_Stats!$G$16-Norm_Stats!$F$16))))</f>
        <v/>
      </c>
      <c r="AN56" s="14">
        <f>IF(AM56="","",1)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5">
        <f>IF((IF(AM56="",0,5)+IF(AO56="",0,5)+IF(AQ56="",0,5))=0,"",(IF(AM56="",0,AM56*5)+IF(AO56="",0,AO56*5)+IF(AQ56="",0,AQ56*5))/(IF(AM56="",0,5)+IF(AO56="",0,5)+IF(AQ56="",0,5)))</f>
        <v/>
      </c>
      <c r="AT56" s="14">
        <f>IF((IF(AN56="",0,5)+IF(AP56="",0,5)+IF(AR56="",0,5))=0,"",(IF(AN56="",0,AN56*5)+IF(AP56="",0,AP56*5)+IF(AR56="",0,AR56*5))/15)</f>
        <v/>
      </c>
      <c r="AU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V56" s="14">
        <f>IF(AU56="","",1)</f>
        <v/>
      </c>
      <c r="AW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X56" s="14">
        <f>IF(AW56="","",1)</f>
        <v/>
      </c>
      <c r="AY56" s="11">
        <f>IF((IF((IF(OR(City_Inputs!$AF56="",Norm_Stats!$F$21="",Norm_Stats!$G$21="",Norm_Stats!$G$21=Norm_Stats!$F$21),"",MAX(0,MIN(100,100*(MIN(MAX(City_Inputs!$AF56,Norm_Stats!$F$21),Norm_Stats!$G$21)-Norm_Stats!$F$21)/(Norm_Stats!$G$21-Norm_Stats!$F$21)))))="",0,0.5)+IF((IF(OR(City_Inputs!$AI56="",Norm_Stats!$F$22="",Norm_Stats!$G$22="",Norm_Stats!$G$22=Norm_Stats!$F$22),"",MAX(0,MIN(100,100*(MIN(MAX(City_Inputs!$AI56,Norm_Stats!$F$22),Norm_Stats!$G$22)-Norm_Stats!$F$22)/(Norm_Stats!$G$22-Norm_Stats!$F$22)))))="",0,0.3)+IF((IF(OR(City_Inputs!$AJ56="",Norm_Stats!$F$23="",Norm_Stats!$G$23="",Norm_Stats!$G$23=Norm_Stats!$F$23),"",MAX(0,MIN(100,100*(MIN(MAX(City_Inputs!$AJ56,Norm_Stats!$F$23),Norm_Stats!$G$23)-Norm_Stats!$F$23)/(Norm_Stats!$G$23-Norm_Stats!$F$23)))))="",0,0.2))=0,"",(IF((IF(OR(City_Inputs!$AF56="",Norm_Stats!$F$21="",Norm_Stats!$G$21="",Norm_Stats!$G$21=Norm_Stats!$F$21),"",MAX(0,MIN(100,100*(MIN(MAX(City_Inputs!$AF56,Norm_Stats!$F$21),Norm_Stats!$G$21)-Norm_Stats!$F$21)/(Norm_Stats!$G$21-Norm_Stats!$F$21)))))="",0,(IF(OR(City_Inputs!$AF56="",Norm_Stats!$F$21="",Norm_Stats!$G$21="",Norm_Stats!$G$21=Norm_Stats!$F$21),"",MAX(0,MIN(100,100*(MIN(MAX(City_Inputs!$AF56,Norm_Stats!$F$21),Norm_Stats!$G$21)-Norm_Stats!$F$21)/(Norm_Stats!$G$21-Norm_Stats!$F$21)))))*0.5)+IF((IF(OR(City_Inputs!$AI56="",Norm_Stats!$F$22="",Norm_Stats!$G$22="",Norm_Stats!$G$22=Norm_Stats!$F$22),"",MAX(0,MIN(100,100*(MIN(MAX(City_Inputs!$AI56,Norm_Stats!$F$22),Norm_Stats!$G$22)-Norm_Stats!$F$22)/(Norm_Stats!$G$22-Norm_Stats!$F$22)))))="",0,(IF(OR(City_Inputs!$AI56="",Norm_Stats!$F$22="",Norm_Stats!$G$22="",Norm_Stats!$G$22=Norm_Stats!$F$22),"",MAX(0,MIN(100,100*(MIN(MAX(City_Inputs!$AI56,Norm_Stats!$F$22),Norm_Stats!$G$22)-Norm_Stats!$F$22)/(Norm_Stats!$G$22-Norm_Stats!$F$22)))))*0.3)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0.2))/(IF((IF(OR(City_Inputs!$AF56="",Norm_Stats!$F$21="",Norm_Stats!$G$21="",Norm_Stats!$G$21=Norm_Stats!$F$21),"",MAX(0,MIN(100,100*(MIN(MAX(City_Inputs!$AF56,Norm_Stats!$F$21),Norm_Stats!$G$21)-Norm_Stats!$F$21)/(Norm_Stats!$G$21-Norm_Stats!$F$21)))))="",0,0.5)+IF((IF(OR(City_Inputs!$AI56="",Norm_Stats!$F$22="",Norm_Stats!$G$22="",Norm_Stats!$G$22=Norm_Stats!$F$22),"",MAX(0,MIN(100,100*(MIN(MAX(City_Inputs!$AI56,Norm_Stats!$F$22),Norm_Stats!$G$22)-Norm_Stats!$F$22)/(Norm_Stats!$G$22-Norm_Stats!$F$22)))))="",0,0.3)+IF((IF(OR(City_Inputs!$AJ56="",Norm_Stats!$F$23="",Norm_Stats!$G$23="",Norm_Stats!$G$23=Norm_Stats!$F$23),"",MAX(0,MIN(100,100*(MIN(MAX(City_Inputs!$AJ56,Norm_Stats!$F$23),Norm_Stats!$G$23)-Norm_Stats!$F$23)/(Norm_Stats!$G$23-Norm_Stats!$F$23)))))="",0,0.2)))</f>
        <v/>
      </c>
      <c r="AZ56" s="14">
        <f>IF((IF((IF(OR(City_Inputs!$AF56="",Norm_Stats!$F$21="",Norm_Stats!$G$21="",Norm_Stats!$G$21=Norm_Stats!$F$21),"",MAX(0,MIN(100,100*(MIN(MAX(City_Inputs!$AF56,Norm_Stats!$F$21),Norm_Stats!$G$21)-Norm_Stats!$F$21)/(Norm_Stats!$G$21-Norm_Stats!$F$21)))))="",0,0.5)+IF((IF(OR(City_Inputs!$AI56="",Norm_Stats!$F$22="",Norm_Stats!$G$22="",Norm_Stats!$G$22=Norm_Stats!$F$22),"",MAX(0,MIN(100,100*(MIN(MAX(City_Inputs!$AI56,Norm_Stats!$F$22),Norm_Stats!$G$22)-Norm_Stats!$F$22)/(Norm_Stats!$G$22-Norm_Stats!$F$22)))))="",0,0.3)+IF((IF(OR(City_Inputs!$AJ56="",Norm_Stats!$F$23="",Norm_Stats!$G$23="",Norm_Stats!$G$23=Norm_Stats!$F$23),"",MAX(0,MIN(100,100*(MIN(MAX(City_Inputs!$AJ56,Norm_Stats!$F$23),Norm_Stats!$G$23)-Norm_Stats!$F$23)/(Norm_Stats!$G$23-Norm_Stats!$F$23)))))="",0,0.2))=0,"",(IF((IF(OR(City_Inputs!$AF56="",Norm_Stats!$F$21="",Norm_Stats!$G$21="",Norm_Stats!$G$21=Norm_Stats!$F$21),"",MAX(0,MIN(100,100*(MIN(MAX(City_Inputs!$AF56,Norm_Stats!$F$21),Norm_Stats!$G$21)-Norm_Stats!$F$21)/(Norm_Stats!$G$21-Norm_Stats!$F$21)))))="",0,0.5)+IF((IF(OR(City_Inputs!$AI56="",Norm_Stats!$F$22="",Norm_Stats!$G$22="",Norm_Stats!$G$22=Norm_Stats!$F$22),"",MAX(0,MIN(100,100*(MIN(MAX(City_Inputs!$AI56,Norm_Stats!$F$22),Norm_Stats!$G$22)-Norm_Stats!$F$22)/(Norm_Stats!$G$22-Norm_Stats!$F$22)))))="",0,0.3)+IF((IF(OR(City_Inputs!$AJ56="",Norm_Stats!$F$23="",Norm_Stats!$G$23="",Norm_Stats!$G$23=Norm_Stats!$F$23),"",MAX(0,MIN(100,100*(MIN(MAX(City_Inputs!$AJ56,Norm_Stats!$F$23),Norm_Stats!$G$23)-Norm_Stats!$F$23)/(Norm_Stats!$G$23-Norm_Stats!$F$23)))))="",0,0.2)))</f>
        <v/>
      </c>
      <c r="BA56" s="11">
        <f>IF(OR(City_Inputs!$AG56="",Norm_Stats!$F$24="",Norm_Stats!$G$24="",Norm_Stats!$G$24=Norm_Stats!$F$24),"",MAX(0,MIN(100,100*(Norm_Stats!$G$24-MIN(MAX(City_Inputs!$AG56,Norm_Stats!$F$24),Norm_Stats!$G$24))/(Norm_Stats!$G$24-Norm_Stats!$F$24))))</f>
        <v/>
      </c>
      <c r="BB56" s="14">
        <f>IF(BA56="","",1)</f>
        <v/>
      </c>
      <c r="BC56" s="15">
        <f>IF((IF(AU56="",0,6)+IF(AW56="",0,5)+IF(AY56="",0,5)+IF(BA56="",0,4))=0,"",(IF(AU56="",0,AU56*6)+IF(AW56="",0,AW56*5)+IF(AY56="",0,AY56*5)+IF(BA56="",0,BA56*4))/(IF(AU56="",0,6)+IF(AW56="",0,5)+IF(AY56="",0,5)+IF(BA56="",0,4)))</f>
        <v/>
      </c>
      <c r="BD56" s="14">
        <f>IF((IF(AV56="",0,6)+IF(AX56="",0,5)+IF(AZ56="",0,5)+IF(BB56="",0,4))=0,"",(IF(AV56="",0,AV56*6)+IF(AX56="",0,AX56*5)+IF(AZ56="",0,AZ56*5)+IF(BB56="",0,BB56*4))/20)</f>
        <v/>
      </c>
      <c r="BE56" s="14">
        <f>IF(AND(R56="",AD56="",AL56="",AT56="",BD56=""),"",((R56*25)+(AD56*22)+(AL56*18)+(AT56*15)+(BD56*20))/100)</f>
        <v/>
      </c>
      <c r="BF56" s="11">
        <f>IF(BE56="","",IF(BE56&gt;=0.75,"A",IF(BE56&gt;=0.5,"B",IF(BE56&gt;=0.35,"C","Watchlist"))))</f>
        <v/>
      </c>
      <c r="BG56" s="11">
        <f>IF(OR(BE56="",BE56&lt;0.5,R56="",R56&lt;0.35,AD56="",AD56&lt;0.35,AL56="",AL56&lt;0.35,AT56="",AT56&lt;0.35,BD56="",BD56&lt;0.35),"Watchlist","Ranked")</f>
        <v/>
      </c>
      <c r="BH56" s="15">
        <f>IF(AND(Q56="",AC56="",AK56="",AS56="",BC56=""),"",(IF(Q56="",0,Q56*25)+IF(AC56="",0,AC56*22)+IF(AK56="",0,AK56*18)+IF(AS56="",0,AS56*15)+IF(BC56="",0,BC56*20))/(IF(Q56="",0,25)+IF(AC56="",0,22)+IF(AK56="",0,18)+IF(AS56="",0,15)+IF(BC56="",0,20)))</f>
        <v/>
      </c>
      <c r="BI56" s="11">
        <f>IF(BG56="Ranked",1+COUNTIFS($BG$2:$BG$101,"Ranked",$BH$2:$BH$101,"&gt;"&amp;BH56),"")</f>
        <v/>
      </c>
      <c r="BJ56" s="11">
        <f>City_Inputs!$AH56</f>
        <v/>
      </c>
    </row>
    <row r="57">
      <c r="A57" t="inlineStr">
        <is>
          <t>us-pittsburgh</t>
        </is>
      </c>
      <c r="B57" t="inlineStr">
        <is>
          <t>Pittsburgh</t>
        </is>
      </c>
      <c r="C57" t="inlineStr">
        <is>
          <t>United States</t>
        </is>
      </c>
      <c r="D57" t="inlineStr">
        <is>
          <t>North America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IF((IF(G57="",0,9)+IF(I57="",0,5)+IF(K57="",0,4)+IF(M57="",0,4)+IF(O57="",0,3))=0,"",(IF(G57="",0,G57*9)+IF(I57="",0,I57*5)+IF(K57="",0,K57*4)+IF(M57="",0,M57*4)+IF(O57="",0,O57*3))/(IF(G57="",0,9)+IF(I57="",0,5)+IF(K57="",0,4)+IF(M57="",0,4)+IF(O57="",0,3)))</f>
        <v/>
      </c>
      <c r="R57" s="14">
        <f>IF((IF(H57="",0,9)+IF(J57="",0,5)+IF(L57="",0,4)+IF(N57="",0,4)+IF(P57="",0,3))=0,"",(IF(H57="",0,H57*9)+IF(J57="",0,J57*5)+IF(L57="",0,L57*4)+IF(N57="",0,N57*4)+IF(P57="",0,P57*3))/25)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5">
        <f>IF((IF(S57="",0,5)+IF(U57="",0,5)+IF(W57="",0,4)+IF(Y57="",0,4)+IF(AA57="",0,4))=0,"",(IF(S57="",0,S57*5)+IF(U57="",0,U57*5)+IF(W57="",0,W57*4)+IF(Y57="",0,Y57*4)+IF(AA57="",0,AA57*4))/(IF(S57="",0,5)+IF(U57="",0,5)+IF(W57="",0,4)+IF(Y57="",0,4)+IF(AA57="",0,4)))</f>
        <v/>
      </c>
      <c r="AD57" s="14">
        <f>IF((IF(T57="",0,5)+IF(V57="",0,5)+IF(X57="",0,4)+IF(Z57="",0,4)+IF(AB57="",0,4))=0,"",(IF(T57="",0,T57*5)+IF(V57="",0,V57*5)+IF(X57="",0,X57*4)+IF(Z57="",0,Z57*4)+IF(AB57="",0,AB57*4))/22)</f>
        <v/>
      </c>
      <c r="AE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F57" s="14">
        <f>IF(AE57="","",1)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(IF((IF(OR(City_Inputs!$Z57="",Norm_Stats!$F$14="",Norm_Stats!$G$14="",Norm_Stats!$G$14=Norm_Stats!$F$14),"",MAX(0,MIN(100,100*(MIN(MAX(City_Inputs!$Z57,Norm_Stats!$F$14),Norm_Stats!$G$14)-Norm_Stats!$F$14)/(Norm_Stats!$G$14-Norm_Stats!$F$14)))))="",0,0.7)+IF((IF(OR(City_Inputs!$AK57="",Norm_Stats!$F$15="",Norm_Stats!$G$15="",Norm_Stats!$G$15=Norm_Stats!$F$15),"",MAX(0,MIN(100,100*(Norm_Stats!$G$15-MIN(MAX(City_Inputs!$AK57,Norm_Stats!$F$15),Norm_Stats!$G$15))/(Norm_Stats!$G$15-Norm_Stats!$F$15)))))="",0,0.3))=0,"",(IF((IF(OR(City_Inputs!$Z57="",Norm_Stats!$F$14="",Norm_Stats!$G$14="",Norm_Stats!$G$14=Norm_Stats!$F$14),"",MAX(0,MIN(100,100*(MIN(MAX(City_Inputs!$Z57,Norm_Stats!$F$14),Norm_Stats!$G$14)-Norm_Stats!$F$14)/(Norm_Stats!$G$14-Norm_Stats!$F$14)))))="",0,(IF(OR(City_Inputs!$Z57="",Norm_Stats!$F$14="",Norm_Stats!$G$14="",Norm_Stats!$G$14=Norm_Stats!$F$14),"",MAX(0,MIN(100,100*(MIN(MAX(City_Inputs!$Z57,Norm_Stats!$F$14),Norm_Stats!$G$14)-Norm_Stats!$F$14)/(Norm_Stats!$G$14-Norm_Stats!$F$14)))))*0.7)+IF((IF(OR(City_Inputs!$AK57="",Norm_Stats!$F$15="",Norm_Stats!$G$15="",Norm_Stats!$G$15=Norm_Stats!$F$15),"",MAX(0,MIN(100,100*(Norm_Stats!$G$15-MIN(MAX(City_Inputs!$AK57,Norm_Stats!$F$15),Norm_Stats!$G$15))/(Norm_Stats!$G$15-Norm_Stats!$F$15)))))="",0,(IF(OR(City_Inputs!$AK57="",Norm_Stats!$F$15="",Norm_Stats!$G$15="",Norm_Stats!$G$15=Norm_Stats!$F$15),"",MAX(0,MIN(100,100*(Norm_Stats!$G$15-MIN(MAX(City_Inputs!$AK57,Norm_Stats!$F$15),Norm_Stats!$G$15))/(Norm_Stats!$G$15-Norm_Stats!$F$15)))))*0.3))/(IF((IF(OR(City_Inputs!$Z57="",Norm_Stats!$F$14="",Norm_Stats!$G$14="",Norm_Stats!$G$14=Norm_Stats!$F$14),"",MAX(0,MIN(100,100*(MIN(MAX(City_Inputs!$Z57,Norm_Stats!$F$14),Norm_Stats!$G$14)-Norm_Stats!$F$14)/(Norm_Stats!$G$14-Norm_Stats!$F$14)))))="",0,0.7)+IF((IF(OR(City_Inputs!$AK57="",Norm_Stats!$F$15="",Norm_Stats!$G$15="",Norm_Stats!$G$15=Norm_Stats!$F$15),"",MAX(0,MIN(100,100*(Norm_Stats!$G$15-MIN(MAX(City_Inputs!$AK57,Norm_Stats!$F$15),Norm_Stats!$G$15))/(Norm_Stats!$G$15-Norm_Stats!$F$15)))))="",0,0.3)))</f>
        <v/>
      </c>
      <c r="AJ57" s="14">
        <f>IF((IF((IF(OR(City_Inputs!$Z57="",Norm_Stats!$F$14="",Norm_Stats!$G$14="",Norm_Stats!$G$14=Norm_Stats!$F$14),"",MAX(0,MIN(100,100*(MIN(MAX(City_Inputs!$Z57,Norm_Stats!$F$14),Norm_Stats!$G$14)-Norm_Stats!$F$14)/(Norm_Stats!$G$14-Norm_Stats!$F$14)))))="",0,0.7)+IF((IF(OR(City_Inputs!$AK57="",Norm_Stats!$F$15="",Norm_Stats!$G$15="",Norm_Stats!$G$15=Norm_Stats!$F$15),"",MAX(0,MIN(100,100*(Norm_Stats!$G$15-MIN(MAX(City_Inputs!$AK57,Norm_Stats!$F$15),Norm_Stats!$G$15))/(Norm_Stats!$G$15-Norm_Stats!$F$15)))))="",0,0.3))=0,"",(IF((IF(OR(City_Inputs!$Z57="",Norm_Stats!$F$14="",Norm_Stats!$G$14="",Norm_Stats!$G$14=Norm_Stats!$F$14),"",MAX(0,MIN(100,100*(MIN(MAX(City_Inputs!$Z57,Norm_Stats!$F$14),Norm_Stats!$G$14)-Norm_Stats!$F$14)/(Norm_Stats!$G$14-Norm_Stats!$F$14)))))="",0,0.7)+IF((IF(OR(City_Inputs!$AK57="",Norm_Stats!$F$15="",Norm_Stats!$G$15="",Norm_Stats!$G$15=Norm_Stats!$F$15),"",MAX(0,MIN(100,100*(Norm_Stats!$G$15-MIN(MAX(City_Inputs!$AK57,Norm_Stats!$F$15),Norm_Stats!$G$15))/(Norm_Stats!$G$15-Norm_Stats!$F$15)))))="",0,0.3)))</f>
        <v/>
      </c>
      <c r="AK57" s="15">
        <f>IF((IF(AE57="",0,8)+IF(AG57="",0,6)+IF(AI57="",0,4))=0,"",(IF(AE57="",0,AE57*8)+IF(AG57="",0,AG57*6)+IF(AI57="",0,AI57*4))/(IF(AE57="",0,8)+IF(AG57="",0,6)+IF(AI57="",0,4)))</f>
        <v/>
      </c>
      <c r="AL57" s="14">
        <f>IF((IF(AF57="",0,8)+IF(AH57="",0,6)+IF(AJ57="",0,4))=0,"",(IF(AF57="",0,AF57*8)+IF(AH57="",0,AH57*6)+IF(AJ57="",0,AJ57*4))/18)</f>
        <v/>
      </c>
      <c r="AM57" s="11">
        <f>IF(OR(City_Inputs!$AA57="",Norm_Stats!$F$16="",Norm_Stats!$G$16="",Norm_Stats!$G$16=Norm_Stats!$F$16),"",MAX(0,MIN(100,100*(MIN(MAX(City_Inputs!$AA57,Norm_Stats!$F$16),Norm_Stats!$G$16)-Norm_Stats!$F$16)/(Norm_Stats!$G$16-Norm_Stats!$F$16))))</f>
        <v/>
      </c>
      <c r="AN57" s="14">
        <f>IF(AM57="","",1)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5">
        <f>IF((IF(AM57="",0,5)+IF(AO57="",0,5)+IF(AQ57="",0,5))=0,"",(IF(AM57="",0,AM57*5)+IF(AO57="",0,AO57*5)+IF(AQ57="",0,AQ57*5))/(IF(AM57="",0,5)+IF(AO57="",0,5)+IF(AQ57="",0,5)))</f>
        <v/>
      </c>
      <c r="AT57" s="14">
        <f>IF((IF(AN57="",0,5)+IF(AP57="",0,5)+IF(AR57="",0,5))=0,"",(IF(AN57="",0,AN57*5)+IF(AP57="",0,AP57*5)+IF(AR57="",0,AR57*5))/15)</f>
        <v/>
      </c>
      <c r="AU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V57" s="14">
        <f>IF(AU57="","",1)</f>
        <v/>
      </c>
      <c r="AW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X57" s="14">
        <f>IF(AW57="","",1)</f>
        <v/>
      </c>
      <c r="AY57" s="11">
        <f>IF((IF((IF(OR(City_Inputs!$AF57="",Norm_Stats!$F$21="",Norm_Stats!$G$21="",Norm_Stats!$G$21=Norm_Stats!$F$21),"",MAX(0,MIN(100,100*(MIN(MAX(City_Inputs!$AF57,Norm_Stats!$F$21),Norm_Stats!$G$21)-Norm_Stats!$F$21)/(Norm_Stats!$G$21-Norm_Stats!$F$21)))))="",0,0.5)+IF((IF(OR(City_Inputs!$AI57="",Norm_Stats!$F$22="",Norm_Stats!$G$22="",Norm_Stats!$G$22=Norm_Stats!$F$22),"",MAX(0,MIN(100,100*(MIN(MAX(City_Inputs!$AI57,Norm_Stats!$F$22),Norm_Stats!$G$22)-Norm_Stats!$F$22)/(Norm_Stats!$G$22-Norm_Stats!$F$22)))))="",0,0.3)+IF((IF(OR(City_Inputs!$AJ57="",Norm_Stats!$F$23="",Norm_Stats!$G$23="",Norm_Stats!$G$23=Norm_Stats!$F$23),"",MAX(0,MIN(100,100*(MIN(MAX(City_Inputs!$AJ57,Norm_Stats!$F$23),Norm_Stats!$G$23)-Norm_Stats!$F$23)/(Norm_Stats!$G$23-Norm_Stats!$F$23)))))="",0,0.2))=0,"",(IF((IF(OR(City_Inputs!$AF57="",Norm_Stats!$F$21="",Norm_Stats!$G$21="",Norm_Stats!$G$21=Norm_Stats!$F$21),"",MAX(0,MIN(100,100*(MIN(MAX(City_Inputs!$AF57,Norm_Stats!$F$21),Norm_Stats!$G$21)-Norm_Stats!$F$21)/(Norm_Stats!$G$21-Norm_Stats!$F$21)))))="",0,(IF(OR(City_Inputs!$AF57="",Norm_Stats!$F$21="",Norm_Stats!$G$21="",Norm_Stats!$G$21=Norm_Stats!$F$21),"",MAX(0,MIN(100,100*(MIN(MAX(City_Inputs!$AF57,Norm_Stats!$F$21),Norm_Stats!$G$21)-Norm_Stats!$F$21)/(Norm_Stats!$G$21-Norm_Stats!$F$21)))))*0.5)+IF((IF(OR(City_Inputs!$AI57="",Norm_Stats!$F$22="",Norm_Stats!$G$22="",Norm_Stats!$G$22=Norm_Stats!$F$22),"",MAX(0,MIN(100,100*(MIN(MAX(City_Inputs!$AI57,Norm_Stats!$F$22),Norm_Stats!$G$22)-Norm_Stats!$F$22)/(Norm_Stats!$G$22-Norm_Stats!$F$22)))))="",0,(IF(OR(City_Inputs!$AI57="",Norm_Stats!$F$22="",Norm_Stats!$G$22="",Norm_Stats!$G$22=Norm_Stats!$F$22),"",MAX(0,MIN(100,100*(MIN(MAX(City_Inputs!$AI57,Norm_Stats!$F$22),Norm_Stats!$G$22)-Norm_Stats!$F$22)/(Norm_Stats!$G$22-Norm_Stats!$F$22)))))*0.3)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0.2))/(IF((IF(OR(City_Inputs!$AF57="",Norm_Stats!$F$21="",Norm_Stats!$G$21="",Norm_Stats!$G$21=Norm_Stats!$F$21),"",MAX(0,MIN(100,100*(MIN(MAX(City_Inputs!$AF57,Norm_Stats!$F$21),Norm_Stats!$G$21)-Norm_Stats!$F$21)/(Norm_Stats!$G$21-Norm_Stats!$F$21)))))="",0,0.5)+IF((IF(OR(City_Inputs!$AI57="",Norm_Stats!$F$22="",Norm_Stats!$G$22="",Norm_Stats!$G$22=Norm_Stats!$F$22),"",MAX(0,MIN(100,100*(MIN(MAX(City_Inputs!$AI57,Norm_Stats!$F$22),Norm_Stats!$G$22)-Norm_Stats!$F$22)/(Norm_Stats!$G$22-Norm_Stats!$F$22)))))="",0,0.3)+IF((IF(OR(City_Inputs!$AJ57="",Norm_Stats!$F$23="",Norm_Stats!$G$23="",Norm_Stats!$G$23=Norm_Stats!$F$23),"",MAX(0,MIN(100,100*(MIN(MAX(City_Inputs!$AJ57,Norm_Stats!$F$23),Norm_Stats!$G$23)-Norm_Stats!$F$23)/(Norm_Stats!$G$23-Norm_Stats!$F$23)))))="",0,0.2)))</f>
        <v/>
      </c>
      <c r="AZ57" s="14">
        <f>IF((IF((IF(OR(City_Inputs!$AF57="",Norm_Stats!$F$21="",Norm_Stats!$G$21="",Norm_Stats!$G$21=Norm_Stats!$F$21),"",MAX(0,MIN(100,100*(MIN(MAX(City_Inputs!$AF57,Norm_Stats!$F$21),Norm_Stats!$G$21)-Norm_Stats!$F$21)/(Norm_Stats!$G$21-Norm_Stats!$F$21)))))="",0,0.5)+IF((IF(OR(City_Inputs!$AI57="",Norm_Stats!$F$22="",Norm_Stats!$G$22="",Norm_Stats!$G$22=Norm_Stats!$F$22),"",MAX(0,MIN(100,100*(MIN(MAX(City_Inputs!$AI57,Norm_Stats!$F$22),Norm_Stats!$G$22)-Norm_Stats!$F$22)/(Norm_Stats!$G$22-Norm_Stats!$F$22)))))="",0,0.3)+IF((IF(OR(City_Inputs!$AJ57="",Norm_Stats!$F$23="",Norm_Stats!$G$23="",Norm_Stats!$G$23=Norm_Stats!$F$23),"",MAX(0,MIN(100,100*(MIN(MAX(City_Inputs!$AJ57,Norm_Stats!$F$23),Norm_Stats!$G$23)-Norm_Stats!$F$23)/(Norm_Stats!$G$23-Norm_Stats!$F$23)))))="",0,0.2))=0,"",(IF((IF(OR(City_Inputs!$AF57="",Norm_Stats!$F$21="",Norm_Stats!$G$21="",Norm_Stats!$G$21=Norm_Stats!$F$21),"",MAX(0,MIN(100,100*(MIN(MAX(City_Inputs!$AF57,Norm_Stats!$F$21),Norm_Stats!$G$21)-Norm_Stats!$F$21)/(Norm_Stats!$G$21-Norm_Stats!$F$21)))))="",0,0.5)+IF((IF(OR(City_Inputs!$AI57="",Norm_Stats!$F$22="",Norm_Stats!$G$22="",Norm_Stats!$G$22=Norm_Stats!$F$22),"",MAX(0,MIN(100,100*(MIN(MAX(City_Inputs!$AI57,Norm_Stats!$F$22),Norm_Stats!$G$22)-Norm_Stats!$F$22)/(Norm_Stats!$G$22-Norm_Stats!$F$22)))))="",0,0.3)+IF((IF(OR(City_Inputs!$AJ57="",Norm_Stats!$F$23="",Norm_Stats!$G$23="",Norm_Stats!$G$23=Norm_Stats!$F$23),"",MAX(0,MIN(100,100*(MIN(MAX(City_Inputs!$AJ57,Norm_Stats!$F$23),Norm_Stats!$G$23)-Norm_Stats!$F$23)/(Norm_Stats!$G$23-Norm_Stats!$F$23)))))="",0,0.2)))</f>
        <v/>
      </c>
      <c r="BA57" s="11">
        <f>IF(OR(City_Inputs!$AG57="",Norm_Stats!$F$24="",Norm_Stats!$G$24="",Norm_Stats!$G$24=Norm_Stats!$F$24),"",MAX(0,MIN(100,100*(Norm_Stats!$G$24-MIN(MAX(City_Inputs!$AG57,Norm_Stats!$F$24),Norm_Stats!$G$24))/(Norm_Stats!$G$24-Norm_Stats!$F$24))))</f>
        <v/>
      </c>
      <c r="BB57" s="14">
        <f>IF(BA57="","",1)</f>
        <v/>
      </c>
      <c r="BC57" s="15">
        <f>IF((IF(AU57="",0,6)+IF(AW57="",0,5)+IF(AY57="",0,5)+IF(BA57="",0,4))=0,"",(IF(AU57="",0,AU57*6)+IF(AW57="",0,AW57*5)+IF(AY57="",0,AY57*5)+IF(BA57="",0,BA57*4))/(IF(AU57="",0,6)+IF(AW57="",0,5)+IF(AY57="",0,5)+IF(BA57="",0,4)))</f>
        <v/>
      </c>
      <c r="BD57" s="14">
        <f>IF((IF(AV57="",0,6)+IF(AX57="",0,5)+IF(AZ57="",0,5)+IF(BB57="",0,4))=0,"",(IF(AV57="",0,AV57*6)+IF(AX57="",0,AX57*5)+IF(AZ57="",0,AZ57*5)+IF(BB57="",0,BB57*4))/20)</f>
        <v/>
      </c>
      <c r="BE57" s="14">
        <f>IF(AND(R57="",AD57="",AL57="",AT57="",BD57=""),"",((R57*25)+(AD57*22)+(AL57*18)+(AT57*15)+(BD57*20))/100)</f>
        <v/>
      </c>
      <c r="BF57" s="11">
        <f>IF(BE57="","",IF(BE57&gt;=0.75,"A",IF(BE57&gt;=0.5,"B",IF(BE57&gt;=0.35,"C","Watchlist"))))</f>
        <v/>
      </c>
      <c r="BG57" s="11">
        <f>IF(OR(BE57="",BE57&lt;0.5,R57="",R57&lt;0.35,AD57="",AD57&lt;0.35,AL57="",AL57&lt;0.35,AT57="",AT57&lt;0.35,BD57="",BD57&lt;0.35),"Watchlist","Ranked")</f>
        <v/>
      </c>
      <c r="BH57" s="15">
        <f>IF(AND(Q57="",AC57="",AK57="",AS57="",BC57=""),"",(IF(Q57="",0,Q57*25)+IF(AC57="",0,AC57*22)+IF(AK57="",0,AK57*18)+IF(AS57="",0,AS57*15)+IF(BC57="",0,BC57*20))/(IF(Q57="",0,25)+IF(AC57="",0,22)+IF(AK57="",0,18)+IF(AS57="",0,15)+IF(BC57="",0,20)))</f>
        <v/>
      </c>
      <c r="BI57" s="11">
        <f>IF(BG57="Ranked",1+COUNTIFS($BG$2:$BG$101,"Ranked",$BH$2:$BH$101,"&gt;"&amp;BH57),"")</f>
        <v/>
      </c>
      <c r="BJ57" s="11">
        <f>City_Inputs!$AH57</f>
        <v/>
      </c>
    </row>
    <row r="58">
      <c r="A58" t="inlineStr">
        <is>
          <t>ca-montreal</t>
        </is>
      </c>
      <c r="B58" t="inlineStr">
        <is>
          <t>Montreal</t>
        </is>
      </c>
      <c r="C58" t="inlineStr">
        <is>
          <t>Canada</t>
        </is>
      </c>
      <c r="D58" t="inlineStr">
        <is>
          <t>North America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IF((IF(G58="",0,9)+IF(I58="",0,5)+IF(K58="",0,4)+IF(M58="",0,4)+IF(O58="",0,3))=0,"",(IF(G58="",0,G58*9)+IF(I58="",0,I58*5)+IF(K58="",0,K58*4)+IF(M58="",0,M58*4)+IF(O58="",0,O58*3))/(IF(G58="",0,9)+IF(I58="",0,5)+IF(K58="",0,4)+IF(M58="",0,4)+IF(O58="",0,3)))</f>
        <v/>
      </c>
      <c r="R58" s="14">
        <f>IF((IF(H58="",0,9)+IF(J58="",0,5)+IF(L58="",0,4)+IF(N58="",0,4)+IF(P58="",0,3))=0,"",(IF(H58="",0,H58*9)+IF(J58="",0,J58*5)+IF(L58="",0,L58*4)+IF(N58="",0,N58*4)+IF(P58="",0,P58*3))/25)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5">
        <f>IF((IF(S58="",0,5)+IF(U58="",0,5)+IF(W58="",0,4)+IF(Y58="",0,4)+IF(AA58="",0,4))=0,"",(IF(S58="",0,S58*5)+IF(U58="",0,U58*5)+IF(W58="",0,W58*4)+IF(Y58="",0,Y58*4)+IF(AA58="",0,AA58*4))/(IF(S58="",0,5)+IF(U58="",0,5)+IF(W58="",0,4)+IF(Y58="",0,4)+IF(AA58="",0,4)))</f>
        <v/>
      </c>
      <c r="AD58" s="14">
        <f>IF((IF(T58="",0,5)+IF(V58="",0,5)+IF(X58="",0,4)+IF(Z58="",0,4)+IF(AB58="",0,4))=0,"",(IF(T58="",0,T58*5)+IF(V58="",0,V58*5)+IF(X58="",0,X58*4)+IF(Z58="",0,Z58*4)+IF(AB58="",0,AB58*4))/22)</f>
        <v/>
      </c>
      <c r="AE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F58" s="14">
        <f>IF(AE58="","",1)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(IF((IF(OR(City_Inputs!$Z58="",Norm_Stats!$F$14="",Norm_Stats!$G$14="",Norm_Stats!$G$14=Norm_Stats!$F$14),"",MAX(0,MIN(100,100*(MIN(MAX(City_Inputs!$Z58,Norm_Stats!$F$14),Norm_Stats!$G$14)-Norm_Stats!$F$14)/(Norm_Stats!$G$14-Norm_Stats!$F$14)))))="",0,0.7)+IF((IF(OR(City_Inputs!$AK58="",Norm_Stats!$F$15="",Norm_Stats!$G$15="",Norm_Stats!$G$15=Norm_Stats!$F$15),"",MAX(0,MIN(100,100*(Norm_Stats!$G$15-MIN(MAX(City_Inputs!$AK58,Norm_Stats!$F$15),Norm_Stats!$G$15))/(Norm_Stats!$G$15-Norm_Stats!$F$15)))))="",0,0.3))=0,"",(IF((IF(OR(City_Inputs!$Z58="",Norm_Stats!$F$14="",Norm_Stats!$G$14="",Norm_Stats!$G$14=Norm_Stats!$F$14),"",MAX(0,MIN(100,100*(MIN(MAX(City_Inputs!$Z58,Norm_Stats!$F$14),Norm_Stats!$G$14)-Norm_Stats!$F$14)/(Norm_Stats!$G$14-Norm_Stats!$F$14)))))="",0,(IF(OR(City_Inputs!$Z58="",Norm_Stats!$F$14="",Norm_Stats!$G$14="",Norm_Stats!$G$14=Norm_Stats!$F$14),"",MAX(0,MIN(100,100*(MIN(MAX(City_Inputs!$Z58,Norm_Stats!$F$14),Norm_Stats!$G$14)-Norm_Stats!$F$14)/(Norm_Stats!$G$14-Norm_Stats!$F$14)))))*0.7)+IF((IF(OR(City_Inputs!$AK58="",Norm_Stats!$F$15="",Norm_Stats!$G$15="",Norm_Stats!$G$15=Norm_Stats!$F$15),"",MAX(0,MIN(100,100*(Norm_Stats!$G$15-MIN(MAX(City_Inputs!$AK58,Norm_Stats!$F$15),Norm_Stats!$G$15))/(Norm_Stats!$G$15-Norm_Stats!$F$15)))))="",0,(IF(OR(City_Inputs!$AK58="",Norm_Stats!$F$15="",Norm_Stats!$G$15="",Norm_Stats!$G$15=Norm_Stats!$F$15),"",MAX(0,MIN(100,100*(Norm_Stats!$G$15-MIN(MAX(City_Inputs!$AK58,Norm_Stats!$F$15),Norm_Stats!$G$15))/(Norm_Stats!$G$15-Norm_Stats!$F$15)))))*0.3))/(IF((IF(OR(City_Inputs!$Z58="",Norm_Stats!$F$14="",Norm_Stats!$G$14="",Norm_Stats!$G$14=Norm_Stats!$F$14),"",MAX(0,MIN(100,100*(MIN(MAX(City_Inputs!$Z58,Norm_Stats!$F$14),Norm_Stats!$G$14)-Norm_Stats!$F$14)/(Norm_Stats!$G$14-Norm_Stats!$F$14)))))="",0,0.7)+IF((IF(OR(City_Inputs!$AK58="",Norm_Stats!$F$15="",Norm_Stats!$G$15="",Norm_Stats!$G$15=Norm_Stats!$F$15),"",MAX(0,MIN(100,100*(Norm_Stats!$G$15-MIN(MAX(City_Inputs!$AK58,Norm_Stats!$F$15),Norm_Stats!$G$15))/(Norm_Stats!$G$15-Norm_Stats!$F$15)))))="",0,0.3)))</f>
        <v/>
      </c>
      <c r="AJ58" s="14">
        <f>IF((IF((IF(OR(City_Inputs!$Z58="",Norm_Stats!$F$14="",Norm_Stats!$G$14="",Norm_Stats!$G$14=Norm_Stats!$F$14),"",MAX(0,MIN(100,100*(MIN(MAX(City_Inputs!$Z58,Norm_Stats!$F$14),Norm_Stats!$G$14)-Norm_Stats!$F$14)/(Norm_Stats!$G$14-Norm_Stats!$F$14)))))="",0,0.7)+IF((IF(OR(City_Inputs!$AK58="",Norm_Stats!$F$15="",Norm_Stats!$G$15="",Norm_Stats!$G$15=Norm_Stats!$F$15),"",MAX(0,MIN(100,100*(Norm_Stats!$G$15-MIN(MAX(City_Inputs!$AK58,Norm_Stats!$F$15),Norm_Stats!$G$15))/(Norm_Stats!$G$15-Norm_Stats!$F$15)))))="",0,0.3))=0,"",(IF((IF(OR(City_Inputs!$Z58="",Norm_Stats!$F$14="",Norm_Stats!$G$14="",Norm_Stats!$G$14=Norm_Stats!$F$14),"",MAX(0,MIN(100,100*(MIN(MAX(City_Inputs!$Z58,Norm_Stats!$F$14),Norm_Stats!$G$14)-Norm_Stats!$F$14)/(Norm_Stats!$G$14-Norm_Stats!$F$14)))))="",0,0.7)+IF((IF(OR(City_Inputs!$AK58="",Norm_Stats!$F$15="",Norm_Stats!$G$15="",Norm_Stats!$G$15=Norm_Stats!$F$15),"",MAX(0,MIN(100,100*(Norm_Stats!$G$15-MIN(MAX(City_Inputs!$AK58,Norm_Stats!$F$15),Norm_Stats!$G$15))/(Norm_Stats!$G$15-Norm_Stats!$F$15)))))="",0,0.3)))</f>
        <v/>
      </c>
      <c r="AK58" s="15">
        <f>IF((IF(AE58="",0,8)+IF(AG58="",0,6)+IF(AI58="",0,4))=0,"",(IF(AE58="",0,AE58*8)+IF(AG58="",0,AG58*6)+IF(AI58="",0,AI58*4))/(IF(AE58="",0,8)+IF(AG58="",0,6)+IF(AI58="",0,4)))</f>
        <v/>
      </c>
      <c r="AL58" s="14">
        <f>IF((IF(AF58="",0,8)+IF(AH58="",0,6)+IF(AJ58="",0,4))=0,"",(IF(AF58="",0,AF58*8)+IF(AH58="",0,AH58*6)+IF(AJ58="",0,AJ58*4))/18)</f>
        <v/>
      </c>
      <c r="AM58" s="11">
        <f>IF(OR(City_Inputs!$AA58="",Norm_Stats!$F$16="",Norm_Stats!$G$16="",Norm_Stats!$G$16=Norm_Stats!$F$16),"",MAX(0,MIN(100,100*(MIN(MAX(City_Inputs!$AA58,Norm_Stats!$F$16),Norm_Stats!$G$16)-Norm_Stats!$F$16)/(Norm_Stats!$G$16-Norm_Stats!$F$16))))</f>
        <v/>
      </c>
      <c r="AN58" s="14">
        <f>IF(AM58="","",1)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5">
        <f>IF((IF(AM58="",0,5)+IF(AO58="",0,5)+IF(AQ58="",0,5))=0,"",(IF(AM58="",0,AM58*5)+IF(AO58="",0,AO58*5)+IF(AQ58="",0,AQ58*5))/(IF(AM58="",0,5)+IF(AO58="",0,5)+IF(AQ58="",0,5)))</f>
        <v/>
      </c>
      <c r="AT58" s="14">
        <f>IF((IF(AN58="",0,5)+IF(AP58="",0,5)+IF(AR58="",0,5))=0,"",(IF(AN58="",0,AN58*5)+IF(AP58="",0,AP58*5)+IF(AR58="",0,AR58*5))/15)</f>
        <v/>
      </c>
      <c r="AU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V58" s="14">
        <f>IF(AU58="","",1)</f>
        <v/>
      </c>
      <c r="AW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X58" s="14">
        <f>IF(AW58="","",1)</f>
        <v/>
      </c>
      <c r="AY58" s="11">
        <f>IF((IF((IF(OR(City_Inputs!$AF58="",Norm_Stats!$F$21="",Norm_Stats!$G$21="",Norm_Stats!$G$21=Norm_Stats!$F$21),"",MAX(0,MIN(100,100*(MIN(MAX(City_Inputs!$AF58,Norm_Stats!$F$21),Norm_Stats!$G$21)-Norm_Stats!$F$21)/(Norm_Stats!$G$21-Norm_Stats!$F$21)))))="",0,0.5)+IF((IF(OR(City_Inputs!$AI58="",Norm_Stats!$F$22="",Norm_Stats!$G$22="",Norm_Stats!$G$22=Norm_Stats!$F$22),"",MAX(0,MIN(100,100*(MIN(MAX(City_Inputs!$AI58,Norm_Stats!$F$22),Norm_Stats!$G$22)-Norm_Stats!$F$22)/(Norm_Stats!$G$22-Norm_Stats!$F$22)))))="",0,0.3)+IF((IF(OR(City_Inputs!$AJ58="",Norm_Stats!$F$23="",Norm_Stats!$G$23="",Norm_Stats!$G$23=Norm_Stats!$F$23),"",MAX(0,MIN(100,100*(MIN(MAX(City_Inputs!$AJ58,Norm_Stats!$F$23),Norm_Stats!$G$23)-Norm_Stats!$F$23)/(Norm_Stats!$G$23-Norm_Stats!$F$23)))))="",0,0.2))=0,"",(IF((IF(OR(City_Inputs!$AF58="",Norm_Stats!$F$21="",Norm_Stats!$G$21="",Norm_Stats!$G$21=Norm_Stats!$F$21),"",MAX(0,MIN(100,100*(MIN(MAX(City_Inputs!$AF58,Norm_Stats!$F$21),Norm_Stats!$G$21)-Norm_Stats!$F$21)/(Norm_Stats!$G$21-Norm_Stats!$F$21)))))="",0,(IF(OR(City_Inputs!$AF58="",Norm_Stats!$F$21="",Norm_Stats!$G$21="",Norm_Stats!$G$21=Norm_Stats!$F$21),"",MAX(0,MIN(100,100*(MIN(MAX(City_Inputs!$AF58,Norm_Stats!$F$21),Norm_Stats!$G$21)-Norm_Stats!$F$21)/(Norm_Stats!$G$21-Norm_Stats!$F$21)))))*0.5)+IF((IF(OR(City_Inputs!$AI58="",Norm_Stats!$F$22="",Norm_Stats!$G$22="",Norm_Stats!$G$22=Norm_Stats!$F$22),"",MAX(0,MIN(100,100*(MIN(MAX(City_Inputs!$AI58,Norm_Stats!$F$22),Norm_Stats!$G$22)-Norm_Stats!$F$22)/(Norm_Stats!$G$22-Norm_Stats!$F$22)))))="",0,(IF(OR(City_Inputs!$AI58="",Norm_Stats!$F$22="",Norm_Stats!$G$22="",Norm_Stats!$G$22=Norm_Stats!$F$22),"",MAX(0,MIN(100,100*(MIN(MAX(City_Inputs!$AI58,Norm_Stats!$F$22),Norm_Stats!$G$22)-Norm_Stats!$F$22)/(Norm_Stats!$G$22-Norm_Stats!$F$22)))))*0.3)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0.2))/(IF((IF(OR(City_Inputs!$AF58="",Norm_Stats!$F$21="",Norm_Stats!$G$21="",Norm_Stats!$G$21=Norm_Stats!$F$21),"",MAX(0,MIN(100,100*(MIN(MAX(City_Inputs!$AF58,Norm_Stats!$F$21),Norm_Stats!$G$21)-Norm_Stats!$F$21)/(Norm_Stats!$G$21-Norm_Stats!$F$21)))))="",0,0.5)+IF((IF(OR(City_Inputs!$AI58="",Norm_Stats!$F$22="",Norm_Stats!$G$22="",Norm_Stats!$G$22=Norm_Stats!$F$22),"",MAX(0,MIN(100,100*(MIN(MAX(City_Inputs!$AI58,Norm_Stats!$F$22),Norm_Stats!$G$22)-Norm_Stats!$F$22)/(Norm_Stats!$G$22-Norm_Stats!$F$22)))))="",0,0.3)+IF((IF(OR(City_Inputs!$AJ58="",Norm_Stats!$F$23="",Norm_Stats!$G$23="",Norm_Stats!$G$23=Norm_Stats!$F$23),"",MAX(0,MIN(100,100*(MIN(MAX(City_Inputs!$AJ58,Norm_Stats!$F$23),Norm_Stats!$G$23)-Norm_Stats!$F$23)/(Norm_Stats!$G$23-Norm_Stats!$F$23)))))="",0,0.2)))</f>
        <v/>
      </c>
      <c r="AZ58" s="14">
        <f>IF((IF((IF(OR(City_Inputs!$AF58="",Norm_Stats!$F$21="",Norm_Stats!$G$21="",Norm_Stats!$G$21=Norm_Stats!$F$21),"",MAX(0,MIN(100,100*(MIN(MAX(City_Inputs!$AF58,Norm_Stats!$F$21),Norm_Stats!$G$21)-Norm_Stats!$F$21)/(Norm_Stats!$G$21-Norm_Stats!$F$21)))))="",0,0.5)+IF((IF(OR(City_Inputs!$AI58="",Norm_Stats!$F$22="",Norm_Stats!$G$22="",Norm_Stats!$G$22=Norm_Stats!$F$22),"",MAX(0,MIN(100,100*(MIN(MAX(City_Inputs!$AI58,Norm_Stats!$F$22),Norm_Stats!$G$22)-Norm_Stats!$F$22)/(Norm_Stats!$G$22-Norm_Stats!$F$22)))))="",0,0.3)+IF((IF(OR(City_Inputs!$AJ58="",Norm_Stats!$F$23="",Norm_Stats!$G$23="",Norm_Stats!$G$23=Norm_Stats!$F$23),"",MAX(0,MIN(100,100*(MIN(MAX(City_Inputs!$AJ58,Norm_Stats!$F$23),Norm_Stats!$G$23)-Norm_Stats!$F$23)/(Norm_Stats!$G$23-Norm_Stats!$F$23)))))="",0,0.2))=0,"",(IF((IF(OR(City_Inputs!$AF58="",Norm_Stats!$F$21="",Norm_Stats!$G$21="",Norm_Stats!$G$21=Norm_Stats!$F$21),"",MAX(0,MIN(100,100*(MIN(MAX(City_Inputs!$AF58,Norm_Stats!$F$21),Norm_Stats!$G$21)-Norm_Stats!$F$21)/(Norm_Stats!$G$21-Norm_Stats!$F$21)))))="",0,0.5)+IF((IF(OR(City_Inputs!$AI58="",Norm_Stats!$F$22="",Norm_Stats!$G$22="",Norm_Stats!$G$22=Norm_Stats!$F$22),"",MAX(0,MIN(100,100*(MIN(MAX(City_Inputs!$AI58,Norm_Stats!$F$22),Norm_Stats!$G$22)-Norm_Stats!$F$22)/(Norm_Stats!$G$22-Norm_Stats!$F$22)))))="",0,0.3)+IF((IF(OR(City_Inputs!$AJ58="",Norm_Stats!$F$23="",Norm_Stats!$G$23="",Norm_Stats!$G$23=Norm_Stats!$F$23),"",MAX(0,MIN(100,100*(MIN(MAX(City_Inputs!$AJ58,Norm_Stats!$F$23),Norm_Stats!$G$23)-Norm_Stats!$F$23)/(Norm_Stats!$G$23-Norm_Stats!$F$23)))))="",0,0.2)))</f>
        <v/>
      </c>
      <c r="BA58" s="11">
        <f>IF(OR(City_Inputs!$AG58="",Norm_Stats!$F$24="",Norm_Stats!$G$24="",Norm_Stats!$G$24=Norm_Stats!$F$24),"",MAX(0,MIN(100,100*(Norm_Stats!$G$24-MIN(MAX(City_Inputs!$AG58,Norm_Stats!$F$24),Norm_Stats!$G$24))/(Norm_Stats!$G$24-Norm_Stats!$F$24))))</f>
        <v/>
      </c>
      <c r="BB58" s="14">
        <f>IF(BA58="","",1)</f>
        <v/>
      </c>
      <c r="BC58" s="15">
        <f>IF((IF(AU58="",0,6)+IF(AW58="",0,5)+IF(AY58="",0,5)+IF(BA58="",0,4))=0,"",(IF(AU58="",0,AU58*6)+IF(AW58="",0,AW58*5)+IF(AY58="",0,AY58*5)+IF(BA58="",0,BA58*4))/(IF(AU58="",0,6)+IF(AW58="",0,5)+IF(AY58="",0,5)+IF(BA58="",0,4)))</f>
        <v/>
      </c>
      <c r="BD58" s="14">
        <f>IF((IF(AV58="",0,6)+IF(AX58="",0,5)+IF(AZ58="",0,5)+IF(BB58="",0,4))=0,"",(IF(AV58="",0,AV58*6)+IF(AX58="",0,AX58*5)+IF(AZ58="",0,AZ58*5)+IF(BB58="",0,BB58*4))/20)</f>
        <v/>
      </c>
      <c r="BE58" s="14">
        <f>IF(AND(R58="",AD58="",AL58="",AT58="",BD58=""),"",((R58*25)+(AD58*22)+(AL58*18)+(AT58*15)+(BD58*20))/100)</f>
        <v/>
      </c>
      <c r="BF58" s="11">
        <f>IF(BE58="","",IF(BE58&gt;=0.75,"A",IF(BE58&gt;=0.5,"B",IF(BE58&gt;=0.35,"C","Watchlist"))))</f>
        <v/>
      </c>
      <c r="BG58" s="11">
        <f>IF(OR(BE58="",BE58&lt;0.5,R58="",R58&lt;0.35,AD58="",AD58&lt;0.35,AL58="",AL58&lt;0.35,AT58="",AT58&lt;0.35,BD58="",BD58&lt;0.35),"Watchlist","Ranked")</f>
        <v/>
      </c>
      <c r="BH58" s="15">
        <f>IF(AND(Q58="",AC58="",AK58="",AS58="",BC58=""),"",(IF(Q58="",0,Q58*25)+IF(AC58="",0,AC58*22)+IF(AK58="",0,AK58*18)+IF(AS58="",0,AS58*15)+IF(BC58="",0,BC58*20))/(IF(Q58="",0,25)+IF(AC58="",0,22)+IF(AK58="",0,18)+IF(AS58="",0,15)+IF(BC58="",0,20)))</f>
        <v/>
      </c>
      <c r="BI58" s="11">
        <f>IF(BG58="Ranked",1+COUNTIFS($BG$2:$BG$101,"Ranked",$BH$2:$BH$101,"&gt;"&amp;BH58),"")</f>
        <v/>
      </c>
      <c r="BJ58" s="11">
        <f>City_Inputs!$AH58</f>
        <v/>
      </c>
    </row>
    <row r="59">
      <c r="A59" t="inlineStr">
        <is>
          <t>mx-guadalajara</t>
        </is>
      </c>
      <c r="B59" t="inlineStr">
        <is>
          <t>Guadalajara</t>
        </is>
      </c>
      <c r="C59" t="inlineStr">
        <is>
          <t>Mexico</t>
        </is>
      </c>
      <c r="D59" t="inlineStr">
        <is>
          <t>North America</t>
        </is>
      </c>
      <c r="E59" t="inlineStr">
        <is>
          <t>locked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IF((IF(G59="",0,9)+IF(I59="",0,5)+IF(K59="",0,4)+IF(M59="",0,4)+IF(O59="",0,3))=0,"",(IF(G59="",0,G59*9)+IF(I59="",0,I59*5)+IF(K59="",0,K59*4)+IF(M59="",0,M59*4)+IF(O59="",0,O59*3))/(IF(G59="",0,9)+IF(I59="",0,5)+IF(K59="",0,4)+IF(M59="",0,4)+IF(O59="",0,3)))</f>
        <v/>
      </c>
      <c r="R59" s="14">
        <f>IF((IF(H59="",0,9)+IF(J59="",0,5)+IF(L59="",0,4)+IF(N59="",0,4)+IF(P59="",0,3))=0,"",(IF(H59="",0,H59*9)+IF(J59="",0,J59*5)+IF(L59="",0,L59*4)+IF(N59="",0,N59*4)+IF(P59="",0,P59*3))/25)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5">
        <f>IF((IF(S59="",0,5)+IF(U59="",0,5)+IF(W59="",0,4)+IF(Y59="",0,4)+IF(AA59="",0,4))=0,"",(IF(S59="",0,S59*5)+IF(U59="",0,U59*5)+IF(W59="",0,W59*4)+IF(Y59="",0,Y59*4)+IF(AA59="",0,AA59*4))/(IF(S59="",0,5)+IF(U59="",0,5)+IF(W59="",0,4)+IF(Y59="",0,4)+IF(AA59="",0,4)))</f>
        <v/>
      </c>
      <c r="AD59" s="14">
        <f>IF((IF(T59="",0,5)+IF(V59="",0,5)+IF(X59="",0,4)+IF(Z59="",0,4)+IF(AB59="",0,4))=0,"",(IF(T59="",0,T59*5)+IF(V59="",0,V59*5)+IF(X59="",0,X59*4)+IF(Z59="",0,Z59*4)+IF(AB59="",0,AB59*4))/22)</f>
        <v/>
      </c>
      <c r="AE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F59" s="14">
        <f>IF(AE59="","",1)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(IF((IF(OR(City_Inputs!$Z59="",Norm_Stats!$F$14="",Norm_Stats!$G$14="",Norm_Stats!$G$14=Norm_Stats!$F$14),"",MAX(0,MIN(100,100*(MIN(MAX(City_Inputs!$Z59,Norm_Stats!$F$14),Norm_Stats!$G$14)-Norm_Stats!$F$14)/(Norm_Stats!$G$14-Norm_Stats!$F$14)))))="",0,0.7)+IF((IF(OR(City_Inputs!$AK59="",Norm_Stats!$F$15="",Norm_Stats!$G$15="",Norm_Stats!$G$15=Norm_Stats!$F$15),"",MAX(0,MIN(100,100*(Norm_Stats!$G$15-MIN(MAX(City_Inputs!$AK59,Norm_Stats!$F$15),Norm_Stats!$G$15))/(Norm_Stats!$G$15-Norm_Stats!$F$15)))))="",0,0.3))=0,"",(IF((IF(OR(City_Inputs!$Z59="",Norm_Stats!$F$14="",Norm_Stats!$G$14="",Norm_Stats!$G$14=Norm_Stats!$F$14),"",MAX(0,MIN(100,100*(MIN(MAX(City_Inputs!$Z59,Norm_Stats!$F$14),Norm_Stats!$G$14)-Norm_Stats!$F$14)/(Norm_Stats!$G$14-Norm_Stats!$F$14)))))="",0,(IF(OR(City_Inputs!$Z59="",Norm_Stats!$F$14="",Norm_Stats!$G$14="",Norm_Stats!$G$14=Norm_Stats!$F$14),"",MAX(0,MIN(100,100*(MIN(MAX(City_Inputs!$Z59,Norm_Stats!$F$14),Norm_Stats!$G$14)-Norm_Stats!$F$14)/(Norm_Stats!$G$14-Norm_Stats!$F$14)))))*0.7)+IF((IF(OR(City_Inputs!$AK59="",Norm_Stats!$F$15="",Norm_Stats!$G$15="",Norm_Stats!$G$15=Norm_Stats!$F$15),"",MAX(0,MIN(100,100*(Norm_Stats!$G$15-MIN(MAX(City_Inputs!$AK59,Norm_Stats!$F$15),Norm_Stats!$G$15))/(Norm_Stats!$G$15-Norm_Stats!$F$15)))))="",0,(IF(OR(City_Inputs!$AK59="",Norm_Stats!$F$15="",Norm_Stats!$G$15="",Norm_Stats!$G$15=Norm_Stats!$F$15),"",MAX(0,MIN(100,100*(Norm_Stats!$G$15-MIN(MAX(City_Inputs!$AK59,Norm_Stats!$F$15),Norm_Stats!$G$15))/(Norm_Stats!$G$15-Norm_Stats!$F$15)))))*0.3))/(IF((IF(OR(City_Inputs!$Z59="",Norm_Stats!$F$14="",Norm_Stats!$G$14="",Norm_Stats!$G$14=Norm_Stats!$F$14),"",MAX(0,MIN(100,100*(MIN(MAX(City_Inputs!$Z59,Norm_Stats!$F$14),Norm_Stats!$G$14)-Norm_Stats!$F$14)/(Norm_Stats!$G$14-Norm_Stats!$F$14)))))="",0,0.7)+IF((IF(OR(City_Inputs!$AK59="",Norm_Stats!$F$15="",Norm_Stats!$G$15="",Norm_Stats!$G$15=Norm_Stats!$F$15),"",MAX(0,MIN(100,100*(Norm_Stats!$G$15-MIN(MAX(City_Inputs!$AK59,Norm_Stats!$F$15),Norm_Stats!$G$15))/(Norm_Stats!$G$15-Norm_Stats!$F$15)))))="",0,0.3)))</f>
        <v/>
      </c>
      <c r="AJ59" s="14">
        <f>IF((IF((IF(OR(City_Inputs!$Z59="",Norm_Stats!$F$14="",Norm_Stats!$G$14="",Norm_Stats!$G$14=Norm_Stats!$F$14),"",MAX(0,MIN(100,100*(MIN(MAX(City_Inputs!$Z59,Norm_Stats!$F$14),Norm_Stats!$G$14)-Norm_Stats!$F$14)/(Norm_Stats!$G$14-Norm_Stats!$F$14)))))="",0,0.7)+IF((IF(OR(City_Inputs!$AK59="",Norm_Stats!$F$15="",Norm_Stats!$G$15="",Norm_Stats!$G$15=Norm_Stats!$F$15),"",MAX(0,MIN(100,100*(Norm_Stats!$G$15-MIN(MAX(City_Inputs!$AK59,Norm_Stats!$F$15),Norm_Stats!$G$15))/(Norm_Stats!$G$15-Norm_Stats!$F$15)))))="",0,0.3))=0,"",(IF((IF(OR(City_Inputs!$Z59="",Norm_Stats!$F$14="",Norm_Stats!$G$14="",Norm_Stats!$G$14=Norm_Stats!$F$14),"",MAX(0,MIN(100,100*(MIN(MAX(City_Inputs!$Z59,Norm_Stats!$F$14),Norm_Stats!$G$14)-Norm_Stats!$F$14)/(Norm_Stats!$G$14-Norm_Stats!$F$14)))))="",0,0.7)+IF((IF(OR(City_Inputs!$AK59="",Norm_Stats!$F$15="",Norm_Stats!$G$15="",Norm_Stats!$G$15=Norm_Stats!$F$15),"",MAX(0,MIN(100,100*(Norm_Stats!$G$15-MIN(MAX(City_Inputs!$AK59,Norm_Stats!$F$15),Norm_Stats!$G$15))/(Norm_Stats!$G$15-Norm_Stats!$F$15)))))="",0,0.3)))</f>
        <v/>
      </c>
      <c r="AK59" s="15">
        <f>IF((IF(AE59="",0,8)+IF(AG59="",0,6)+IF(AI59="",0,4))=0,"",(IF(AE59="",0,AE59*8)+IF(AG59="",0,AG59*6)+IF(AI59="",0,AI59*4))/(IF(AE59="",0,8)+IF(AG59="",0,6)+IF(AI59="",0,4)))</f>
        <v/>
      </c>
      <c r="AL59" s="14">
        <f>IF((IF(AF59="",0,8)+IF(AH59="",0,6)+IF(AJ59="",0,4))=0,"",(IF(AF59="",0,AF59*8)+IF(AH59="",0,AH59*6)+IF(AJ59="",0,AJ59*4))/18)</f>
        <v/>
      </c>
      <c r="AM59" s="11">
        <f>IF(OR(City_Inputs!$AA59="",Norm_Stats!$F$16="",Norm_Stats!$G$16="",Norm_Stats!$G$16=Norm_Stats!$F$16),"",MAX(0,MIN(100,100*(MIN(MAX(City_Inputs!$AA59,Norm_Stats!$F$16),Norm_Stats!$G$16)-Norm_Stats!$F$16)/(Norm_Stats!$G$16-Norm_Stats!$F$16))))</f>
        <v/>
      </c>
      <c r="AN59" s="14">
        <f>IF(AM59="","",1)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5">
        <f>IF((IF(AM59="",0,5)+IF(AO59="",0,5)+IF(AQ59="",0,5))=0,"",(IF(AM59="",0,AM59*5)+IF(AO59="",0,AO59*5)+IF(AQ59="",0,AQ59*5))/(IF(AM59="",0,5)+IF(AO59="",0,5)+IF(AQ59="",0,5)))</f>
        <v/>
      </c>
      <c r="AT59" s="14">
        <f>IF((IF(AN59="",0,5)+IF(AP59="",0,5)+IF(AR59="",0,5))=0,"",(IF(AN59="",0,AN59*5)+IF(AP59="",0,AP59*5)+IF(AR59="",0,AR59*5))/15)</f>
        <v/>
      </c>
      <c r="AU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V59" s="14">
        <f>IF(AU59="","",1)</f>
        <v/>
      </c>
      <c r="AW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X59" s="14">
        <f>IF(AW59="","",1)</f>
        <v/>
      </c>
      <c r="AY59" s="11">
        <f>IF((IF((IF(OR(City_Inputs!$AF59="",Norm_Stats!$F$21="",Norm_Stats!$G$21="",Norm_Stats!$G$21=Norm_Stats!$F$21),"",MAX(0,MIN(100,100*(MIN(MAX(City_Inputs!$AF59,Norm_Stats!$F$21),Norm_Stats!$G$21)-Norm_Stats!$F$21)/(Norm_Stats!$G$21-Norm_Stats!$F$21)))))="",0,0.5)+IF((IF(OR(City_Inputs!$AI59="",Norm_Stats!$F$22="",Norm_Stats!$G$22="",Norm_Stats!$G$22=Norm_Stats!$F$22),"",MAX(0,MIN(100,100*(MIN(MAX(City_Inputs!$AI59,Norm_Stats!$F$22),Norm_Stats!$G$22)-Norm_Stats!$F$22)/(Norm_Stats!$G$22-Norm_Stats!$F$22)))))="",0,0.3)+IF((IF(OR(City_Inputs!$AJ59="",Norm_Stats!$F$23="",Norm_Stats!$G$23="",Norm_Stats!$G$23=Norm_Stats!$F$23),"",MAX(0,MIN(100,100*(MIN(MAX(City_Inputs!$AJ59,Norm_Stats!$F$23),Norm_Stats!$G$23)-Norm_Stats!$F$23)/(Norm_Stats!$G$23-Norm_Stats!$F$23)))))="",0,0.2))=0,"",(IF((IF(OR(City_Inputs!$AF59="",Norm_Stats!$F$21="",Norm_Stats!$G$21="",Norm_Stats!$G$21=Norm_Stats!$F$21),"",MAX(0,MIN(100,100*(MIN(MAX(City_Inputs!$AF59,Norm_Stats!$F$21),Norm_Stats!$G$21)-Norm_Stats!$F$21)/(Norm_Stats!$G$21-Norm_Stats!$F$21)))))="",0,(IF(OR(City_Inputs!$AF59="",Norm_Stats!$F$21="",Norm_Stats!$G$21="",Norm_Stats!$G$21=Norm_Stats!$F$21),"",MAX(0,MIN(100,100*(MIN(MAX(City_Inputs!$AF59,Norm_Stats!$F$21),Norm_Stats!$G$21)-Norm_Stats!$F$21)/(Norm_Stats!$G$21-Norm_Stats!$F$21)))))*0.5)+IF((IF(OR(City_Inputs!$AI59="",Norm_Stats!$F$22="",Norm_Stats!$G$22="",Norm_Stats!$G$22=Norm_Stats!$F$22),"",MAX(0,MIN(100,100*(MIN(MAX(City_Inputs!$AI59,Norm_Stats!$F$22),Norm_Stats!$G$22)-Norm_Stats!$F$22)/(Norm_Stats!$G$22-Norm_Stats!$F$22)))))="",0,(IF(OR(City_Inputs!$AI59="",Norm_Stats!$F$22="",Norm_Stats!$G$22="",Norm_Stats!$G$22=Norm_Stats!$F$22),"",MAX(0,MIN(100,100*(MIN(MAX(City_Inputs!$AI59,Norm_Stats!$F$22),Norm_Stats!$G$22)-Norm_Stats!$F$22)/(Norm_Stats!$G$22-Norm_Stats!$F$22)))))*0.3)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0.2))/(IF((IF(OR(City_Inputs!$AF59="",Norm_Stats!$F$21="",Norm_Stats!$G$21="",Norm_Stats!$G$21=Norm_Stats!$F$21),"",MAX(0,MIN(100,100*(MIN(MAX(City_Inputs!$AF59,Norm_Stats!$F$21),Norm_Stats!$G$21)-Norm_Stats!$F$21)/(Norm_Stats!$G$21-Norm_Stats!$F$21)))))="",0,0.5)+IF((IF(OR(City_Inputs!$AI59="",Norm_Stats!$F$22="",Norm_Stats!$G$22="",Norm_Stats!$G$22=Norm_Stats!$F$22),"",MAX(0,MIN(100,100*(MIN(MAX(City_Inputs!$AI59,Norm_Stats!$F$22),Norm_Stats!$G$22)-Norm_Stats!$F$22)/(Norm_Stats!$G$22-Norm_Stats!$F$22)))))="",0,0.3)+IF((IF(OR(City_Inputs!$AJ59="",Norm_Stats!$F$23="",Norm_Stats!$G$23="",Norm_Stats!$G$23=Norm_Stats!$F$23),"",MAX(0,MIN(100,100*(MIN(MAX(City_Inputs!$AJ59,Norm_Stats!$F$23),Norm_Stats!$G$23)-Norm_Stats!$F$23)/(Norm_Stats!$G$23-Norm_Stats!$F$23)))))="",0,0.2)))</f>
        <v/>
      </c>
      <c r="AZ59" s="14">
        <f>IF((IF((IF(OR(City_Inputs!$AF59="",Norm_Stats!$F$21="",Norm_Stats!$G$21="",Norm_Stats!$G$21=Norm_Stats!$F$21),"",MAX(0,MIN(100,100*(MIN(MAX(City_Inputs!$AF59,Norm_Stats!$F$21),Norm_Stats!$G$21)-Norm_Stats!$F$21)/(Norm_Stats!$G$21-Norm_Stats!$F$21)))))="",0,0.5)+IF((IF(OR(City_Inputs!$AI59="",Norm_Stats!$F$22="",Norm_Stats!$G$22="",Norm_Stats!$G$22=Norm_Stats!$F$22),"",MAX(0,MIN(100,100*(MIN(MAX(City_Inputs!$AI59,Norm_Stats!$F$22),Norm_Stats!$G$22)-Norm_Stats!$F$22)/(Norm_Stats!$G$22-Norm_Stats!$F$22)))))="",0,0.3)+IF((IF(OR(City_Inputs!$AJ59="",Norm_Stats!$F$23="",Norm_Stats!$G$23="",Norm_Stats!$G$23=Norm_Stats!$F$23),"",MAX(0,MIN(100,100*(MIN(MAX(City_Inputs!$AJ59,Norm_Stats!$F$23),Norm_Stats!$G$23)-Norm_Stats!$F$23)/(Norm_Stats!$G$23-Norm_Stats!$F$23)))))="",0,0.2))=0,"",(IF((IF(OR(City_Inputs!$AF59="",Norm_Stats!$F$21="",Norm_Stats!$G$21="",Norm_Stats!$G$21=Norm_Stats!$F$21),"",MAX(0,MIN(100,100*(MIN(MAX(City_Inputs!$AF59,Norm_Stats!$F$21),Norm_Stats!$G$21)-Norm_Stats!$F$21)/(Norm_Stats!$G$21-Norm_Stats!$F$21)))))="",0,0.5)+IF((IF(OR(City_Inputs!$AI59="",Norm_Stats!$F$22="",Norm_Stats!$G$22="",Norm_Stats!$G$22=Norm_Stats!$F$22),"",MAX(0,MIN(100,100*(MIN(MAX(City_Inputs!$AI59,Norm_Stats!$F$22),Norm_Stats!$G$22)-Norm_Stats!$F$22)/(Norm_Stats!$G$22-Norm_Stats!$F$22)))))="",0,0.3)+IF((IF(OR(City_Inputs!$AJ59="",Norm_Stats!$F$23="",Norm_Stats!$G$23="",Norm_Stats!$G$23=Norm_Stats!$F$23),"",MAX(0,MIN(100,100*(MIN(MAX(City_Inputs!$AJ59,Norm_Stats!$F$23),Norm_Stats!$G$23)-Norm_Stats!$F$23)/(Norm_Stats!$G$23-Norm_Stats!$F$23)))))="",0,0.2)))</f>
        <v/>
      </c>
      <c r="BA59" s="11">
        <f>IF(OR(City_Inputs!$AG59="",Norm_Stats!$F$24="",Norm_Stats!$G$24="",Norm_Stats!$G$24=Norm_Stats!$F$24),"",MAX(0,MIN(100,100*(Norm_Stats!$G$24-MIN(MAX(City_Inputs!$AG59,Norm_Stats!$F$24),Norm_Stats!$G$24))/(Norm_Stats!$G$24-Norm_Stats!$F$24))))</f>
        <v/>
      </c>
      <c r="BB59" s="14">
        <f>IF(BA59="","",1)</f>
        <v/>
      </c>
      <c r="BC59" s="15">
        <f>IF((IF(AU59="",0,6)+IF(AW59="",0,5)+IF(AY59="",0,5)+IF(BA59="",0,4))=0,"",(IF(AU59="",0,AU59*6)+IF(AW59="",0,AW59*5)+IF(AY59="",0,AY59*5)+IF(BA59="",0,BA59*4))/(IF(AU59="",0,6)+IF(AW59="",0,5)+IF(AY59="",0,5)+IF(BA59="",0,4)))</f>
        <v/>
      </c>
      <c r="BD59" s="14">
        <f>IF((IF(AV59="",0,6)+IF(AX59="",0,5)+IF(AZ59="",0,5)+IF(BB59="",0,4))=0,"",(IF(AV59="",0,AV59*6)+IF(AX59="",0,AX59*5)+IF(AZ59="",0,AZ59*5)+IF(BB59="",0,BB59*4))/20)</f>
        <v/>
      </c>
      <c r="BE59" s="14">
        <f>IF(AND(R59="",AD59="",AL59="",AT59="",BD59=""),"",((R59*25)+(AD59*22)+(AL59*18)+(AT59*15)+(BD59*20))/100)</f>
        <v/>
      </c>
      <c r="BF59" s="11">
        <f>IF(BE59="","",IF(BE59&gt;=0.75,"A",IF(BE59&gt;=0.5,"B",IF(BE59&gt;=0.35,"C","Watchlist"))))</f>
        <v/>
      </c>
      <c r="BG59" s="11">
        <f>IF(OR(BE59="",BE59&lt;0.5,R59="",R59&lt;0.35,AD59="",AD59&lt;0.35,AL59="",AL59&lt;0.35,AT59="",AT59&lt;0.35,BD59="",BD59&lt;0.35),"Watchlist","Ranked")</f>
        <v/>
      </c>
      <c r="BH59" s="15">
        <f>IF(AND(Q59="",AC59="",AK59="",AS59="",BC59=""),"",(IF(Q59="",0,Q59*25)+IF(AC59="",0,AC59*22)+IF(AK59="",0,AK59*18)+IF(AS59="",0,AS59*15)+IF(BC59="",0,BC59*20))/(IF(Q59="",0,25)+IF(AC59="",0,22)+IF(AK59="",0,18)+IF(AS59="",0,15)+IF(BC59="",0,20)))</f>
        <v/>
      </c>
      <c r="BI59" s="11">
        <f>IF(BG59="Ranked",1+COUNTIFS($BG$2:$BG$101,"Ranked",$BH$2:$BH$101,"&gt;"&amp;BH59),"")</f>
        <v/>
      </c>
      <c r="BJ59" s="11">
        <f>City_Inputs!$AH59</f>
        <v/>
      </c>
    </row>
    <row r="60">
      <c r="A60" t="inlineStr">
        <is>
          <t>pr-san-juan</t>
        </is>
      </c>
      <c r="B60" t="inlineStr">
        <is>
          <t>San Juan</t>
        </is>
      </c>
      <c r="C60" t="inlineStr">
        <is>
          <t>Puerto Rico</t>
        </is>
      </c>
      <c r="D60" t="inlineStr">
        <is>
          <t>North America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IF((IF(G60="",0,9)+IF(I60="",0,5)+IF(K60="",0,4)+IF(M60="",0,4)+IF(O60="",0,3))=0,"",(IF(G60="",0,G60*9)+IF(I60="",0,I60*5)+IF(K60="",0,K60*4)+IF(M60="",0,M60*4)+IF(O60="",0,O60*3))/(IF(G60="",0,9)+IF(I60="",0,5)+IF(K60="",0,4)+IF(M60="",0,4)+IF(O60="",0,3)))</f>
        <v/>
      </c>
      <c r="R60" s="14">
        <f>IF((IF(H60="",0,9)+IF(J60="",0,5)+IF(L60="",0,4)+IF(N60="",0,4)+IF(P60="",0,3))=0,"",(IF(H60="",0,H60*9)+IF(J60="",0,J60*5)+IF(L60="",0,L60*4)+IF(N60="",0,N60*4)+IF(P60="",0,P60*3))/25)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5">
        <f>IF((IF(S60="",0,5)+IF(U60="",0,5)+IF(W60="",0,4)+IF(Y60="",0,4)+IF(AA60="",0,4))=0,"",(IF(S60="",0,S60*5)+IF(U60="",0,U60*5)+IF(W60="",0,W60*4)+IF(Y60="",0,Y60*4)+IF(AA60="",0,AA60*4))/(IF(S60="",0,5)+IF(U60="",0,5)+IF(W60="",0,4)+IF(Y60="",0,4)+IF(AA60="",0,4)))</f>
        <v/>
      </c>
      <c r="AD60" s="14">
        <f>IF((IF(T60="",0,5)+IF(V60="",0,5)+IF(X60="",0,4)+IF(Z60="",0,4)+IF(AB60="",0,4))=0,"",(IF(T60="",0,T60*5)+IF(V60="",0,V60*5)+IF(X60="",0,X60*4)+IF(Z60="",0,Z60*4)+IF(AB60="",0,AB60*4))/22)</f>
        <v/>
      </c>
      <c r="AE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F60" s="14">
        <f>IF(AE60="","",1)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(IF((IF(OR(City_Inputs!$Z60="",Norm_Stats!$F$14="",Norm_Stats!$G$14="",Norm_Stats!$G$14=Norm_Stats!$F$14),"",MAX(0,MIN(100,100*(MIN(MAX(City_Inputs!$Z60,Norm_Stats!$F$14),Norm_Stats!$G$14)-Norm_Stats!$F$14)/(Norm_Stats!$G$14-Norm_Stats!$F$14)))))="",0,0.7)+IF((IF(OR(City_Inputs!$AK60="",Norm_Stats!$F$15="",Norm_Stats!$G$15="",Norm_Stats!$G$15=Norm_Stats!$F$15),"",MAX(0,MIN(100,100*(Norm_Stats!$G$15-MIN(MAX(City_Inputs!$AK60,Norm_Stats!$F$15),Norm_Stats!$G$15))/(Norm_Stats!$G$15-Norm_Stats!$F$15)))))="",0,0.3))=0,"",(IF((IF(OR(City_Inputs!$Z60="",Norm_Stats!$F$14="",Norm_Stats!$G$14="",Norm_Stats!$G$14=Norm_Stats!$F$14),"",MAX(0,MIN(100,100*(MIN(MAX(City_Inputs!$Z60,Norm_Stats!$F$14),Norm_Stats!$G$14)-Norm_Stats!$F$14)/(Norm_Stats!$G$14-Norm_Stats!$F$14)))))="",0,(IF(OR(City_Inputs!$Z60="",Norm_Stats!$F$14="",Norm_Stats!$G$14="",Norm_Stats!$G$14=Norm_Stats!$F$14),"",MAX(0,MIN(100,100*(MIN(MAX(City_Inputs!$Z60,Norm_Stats!$F$14),Norm_Stats!$G$14)-Norm_Stats!$F$14)/(Norm_Stats!$G$14-Norm_Stats!$F$14)))))*0.7)+IF((IF(OR(City_Inputs!$AK60="",Norm_Stats!$F$15="",Norm_Stats!$G$15="",Norm_Stats!$G$15=Norm_Stats!$F$15),"",MAX(0,MIN(100,100*(Norm_Stats!$G$15-MIN(MAX(City_Inputs!$AK60,Norm_Stats!$F$15),Norm_Stats!$G$15))/(Norm_Stats!$G$15-Norm_Stats!$F$15)))))="",0,(IF(OR(City_Inputs!$AK60="",Norm_Stats!$F$15="",Norm_Stats!$G$15="",Norm_Stats!$G$15=Norm_Stats!$F$15),"",MAX(0,MIN(100,100*(Norm_Stats!$G$15-MIN(MAX(City_Inputs!$AK60,Norm_Stats!$F$15),Norm_Stats!$G$15))/(Norm_Stats!$G$15-Norm_Stats!$F$15)))))*0.3))/(IF((IF(OR(City_Inputs!$Z60="",Norm_Stats!$F$14="",Norm_Stats!$G$14="",Norm_Stats!$G$14=Norm_Stats!$F$14),"",MAX(0,MIN(100,100*(MIN(MAX(City_Inputs!$Z60,Norm_Stats!$F$14),Norm_Stats!$G$14)-Norm_Stats!$F$14)/(Norm_Stats!$G$14-Norm_Stats!$F$14)))))="",0,0.7)+IF((IF(OR(City_Inputs!$AK60="",Norm_Stats!$F$15="",Norm_Stats!$G$15="",Norm_Stats!$G$15=Norm_Stats!$F$15),"",MAX(0,MIN(100,100*(Norm_Stats!$G$15-MIN(MAX(City_Inputs!$AK60,Norm_Stats!$F$15),Norm_Stats!$G$15))/(Norm_Stats!$G$15-Norm_Stats!$F$15)))))="",0,0.3)))</f>
        <v/>
      </c>
      <c r="AJ60" s="14">
        <f>IF((IF((IF(OR(City_Inputs!$Z60="",Norm_Stats!$F$14="",Norm_Stats!$G$14="",Norm_Stats!$G$14=Norm_Stats!$F$14),"",MAX(0,MIN(100,100*(MIN(MAX(City_Inputs!$Z60,Norm_Stats!$F$14),Norm_Stats!$G$14)-Norm_Stats!$F$14)/(Norm_Stats!$G$14-Norm_Stats!$F$14)))))="",0,0.7)+IF((IF(OR(City_Inputs!$AK60="",Norm_Stats!$F$15="",Norm_Stats!$G$15="",Norm_Stats!$G$15=Norm_Stats!$F$15),"",MAX(0,MIN(100,100*(Norm_Stats!$G$15-MIN(MAX(City_Inputs!$AK60,Norm_Stats!$F$15),Norm_Stats!$G$15))/(Norm_Stats!$G$15-Norm_Stats!$F$15)))))="",0,0.3))=0,"",(IF((IF(OR(City_Inputs!$Z60="",Norm_Stats!$F$14="",Norm_Stats!$G$14="",Norm_Stats!$G$14=Norm_Stats!$F$14),"",MAX(0,MIN(100,100*(MIN(MAX(City_Inputs!$Z60,Norm_Stats!$F$14),Norm_Stats!$G$14)-Norm_Stats!$F$14)/(Norm_Stats!$G$14-Norm_Stats!$F$14)))))="",0,0.7)+IF((IF(OR(City_Inputs!$AK60="",Norm_Stats!$F$15="",Norm_Stats!$G$15="",Norm_Stats!$G$15=Norm_Stats!$F$15),"",MAX(0,MIN(100,100*(Norm_Stats!$G$15-MIN(MAX(City_Inputs!$AK60,Norm_Stats!$F$15),Norm_Stats!$G$15))/(Norm_Stats!$G$15-Norm_Stats!$F$15)))))="",0,0.3)))</f>
        <v/>
      </c>
      <c r="AK60" s="15">
        <f>IF((IF(AE60="",0,8)+IF(AG60="",0,6)+IF(AI60="",0,4))=0,"",(IF(AE60="",0,AE60*8)+IF(AG60="",0,AG60*6)+IF(AI60="",0,AI60*4))/(IF(AE60="",0,8)+IF(AG60="",0,6)+IF(AI60="",0,4)))</f>
        <v/>
      </c>
      <c r="AL60" s="14">
        <f>IF((IF(AF60="",0,8)+IF(AH60="",0,6)+IF(AJ60="",0,4))=0,"",(IF(AF60="",0,AF60*8)+IF(AH60="",0,AH60*6)+IF(AJ60="",0,AJ60*4))/18)</f>
        <v/>
      </c>
      <c r="AM60" s="11">
        <f>IF(OR(City_Inputs!$AA60="",Norm_Stats!$F$16="",Norm_Stats!$G$16="",Norm_Stats!$G$16=Norm_Stats!$F$16),"",MAX(0,MIN(100,100*(MIN(MAX(City_Inputs!$AA60,Norm_Stats!$F$16),Norm_Stats!$G$16)-Norm_Stats!$F$16)/(Norm_Stats!$G$16-Norm_Stats!$F$16))))</f>
        <v/>
      </c>
      <c r="AN60" s="14">
        <f>IF(AM60="","",1)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5">
        <f>IF((IF(AM60="",0,5)+IF(AO60="",0,5)+IF(AQ60="",0,5))=0,"",(IF(AM60="",0,AM60*5)+IF(AO60="",0,AO60*5)+IF(AQ60="",0,AQ60*5))/(IF(AM60="",0,5)+IF(AO60="",0,5)+IF(AQ60="",0,5)))</f>
        <v/>
      </c>
      <c r="AT60" s="14">
        <f>IF((IF(AN60="",0,5)+IF(AP60="",0,5)+IF(AR60="",0,5))=0,"",(IF(AN60="",0,AN60*5)+IF(AP60="",0,AP60*5)+IF(AR60="",0,AR60*5))/15)</f>
        <v/>
      </c>
      <c r="AU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V60" s="14">
        <f>IF(AU60="","",1)</f>
        <v/>
      </c>
      <c r="AW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X60" s="14">
        <f>IF(AW60="","",1)</f>
        <v/>
      </c>
      <c r="AY60" s="11">
        <f>IF((IF((IF(OR(City_Inputs!$AF60="",Norm_Stats!$F$21="",Norm_Stats!$G$21="",Norm_Stats!$G$21=Norm_Stats!$F$21),"",MAX(0,MIN(100,100*(MIN(MAX(City_Inputs!$AF60,Norm_Stats!$F$21),Norm_Stats!$G$21)-Norm_Stats!$F$21)/(Norm_Stats!$G$21-Norm_Stats!$F$21)))))="",0,0.5)+IF((IF(OR(City_Inputs!$AI60="",Norm_Stats!$F$22="",Norm_Stats!$G$22="",Norm_Stats!$G$22=Norm_Stats!$F$22),"",MAX(0,MIN(100,100*(MIN(MAX(City_Inputs!$AI60,Norm_Stats!$F$22),Norm_Stats!$G$22)-Norm_Stats!$F$22)/(Norm_Stats!$G$22-Norm_Stats!$F$22)))))="",0,0.3)+IF((IF(OR(City_Inputs!$AJ60="",Norm_Stats!$F$23="",Norm_Stats!$G$23="",Norm_Stats!$G$23=Norm_Stats!$F$23),"",MAX(0,MIN(100,100*(MIN(MAX(City_Inputs!$AJ60,Norm_Stats!$F$23),Norm_Stats!$G$23)-Norm_Stats!$F$23)/(Norm_Stats!$G$23-Norm_Stats!$F$23)))))="",0,0.2))=0,"",(IF((IF(OR(City_Inputs!$AF60="",Norm_Stats!$F$21="",Norm_Stats!$G$21="",Norm_Stats!$G$21=Norm_Stats!$F$21),"",MAX(0,MIN(100,100*(MIN(MAX(City_Inputs!$AF60,Norm_Stats!$F$21),Norm_Stats!$G$21)-Norm_Stats!$F$21)/(Norm_Stats!$G$21-Norm_Stats!$F$21)))))="",0,(IF(OR(City_Inputs!$AF60="",Norm_Stats!$F$21="",Norm_Stats!$G$21="",Norm_Stats!$G$21=Norm_Stats!$F$21),"",MAX(0,MIN(100,100*(MIN(MAX(City_Inputs!$AF60,Norm_Stats!$F$21),Norm_Stats!$G$21)-Norm_Stats!$F$21)/(Norm_Stats!$G$21-Norm_Stats!$F$21)))))*0.5)+IF((IF(OR(City_Inputs!$AI60="",Norm_Stats!$F$22="",Norm_Stats!$G$22="",Norm_Stats!$G$22=Norm_Stats!$F$22),"",MAX(0,MIN(100,100*(MIN(MAX(City_Inputs!$AI60,Norm_Stats!$F$22),Norm_Stats!$G$22)-Norm_Stats!$F$22)/(Norm_Stats!$G$22-Norm_Stats!$F$22)))))="",0,(IF(OR(City_Inputs!$AI60="",Norm_Stats!$F$22="",Norm_Stats!$G$22="",Norm_Stats!$G$22=Norm_Stats!$F$22),"",MAX(0,MIN(100,100*(MIN(MAX(City_Inputs!$AI60,Norm_Stats!$F$22),Norm_Stats!$G$22)-Norm_Stats!$F$22)/(Norm_Stats!$G$22-Norm_Stats!$F$22)))))*0.3)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0.2))/(IF((IF(OR(City_Inputs!$AF60="",Norm_Stats!$F$21="",Norm_Stats!$G$21="",Norm_Stats!$G$21=Norm_Stats!$F$21),"",MAX(0,MIN(100,100*(MIN(MAX(City_Inputs!$AF60,Norm_Stats!$F$21),Norm_Stats!$G$21)-Norm_Stats!$F$21)/(Norm_Stats!$G$21-Norm_Stats!$F$21)))))="",0,0.5)+IF((IF(OR(City_Inputs!$AI60="",Norm_Stats!$F$22="",Norm_Stats!$G$22="",Norm_Stats!$G$22=Norm_Stats!$F$22),"",MAX(0,MIN(100,100*(MIN(MAX(City_Inputs!$AI60,Norm_Stats!$F$22),Norm_Stats!$G$22)-Norm_Stats!$F$22)/(Norm_Stats!$G$22-Norm_Stats!$F$22)))))="",0,0.3)+IF((IF(OR(City_Inputs!$AJ60="",Norm_Stats!$F$23="",Norm_Stats!$G$23="",Norm_Stats!$G$23=Norm_Stats!$F$23),"",MAX(0,MIN(100,100*(MIN(MAX(City_Inputs!$AJ60,Norm_Stats!$F$23),Norm_Stats!$G$23)-Norm_Stats!$F$23)/(Norm_Stats!$G$23-Norm_Stats!$F$23)))))="",0,0.2)))</f>
        <v/>
      </c>
      <c r="AZ60" s="14">
        <f>IF((IF((IF(OR(City_Inputs!$AF60="",Norm_Stats!$F$21="",Norm_Stats!$G$21="",Norm_Stats!$G$21=Norm_Stats!$F$21),"",MAX(0,MIN(100,100*(MIN(MAX(City_Inputs!$AF60,Norm_Stats!$F$21),Norm_Stats!$G$21)-Norm_Stats!$F$21)/(Norm_Stats!$G$21-Norm_Stats!$F$21)))))="",0,0.5)+IF((IF(OR(City_Inputs!$AI60="",Norm_Stats!$F$22="",Norm_Stats!$G$22="",Norm_Stats!$G$22=Norm_Stats!$F$22),"",MAX(0,MIN(100,100*(MIN(MAX(City_Inputs!$AI60,Norm_Stats!$F$22),Norm_Stats!$G$22)-Norm_Stats!$F$22)/(Norm_Stats!$G$22-Norm_Stats!$F$22)))))="",0,0.3)+IF((IF(OR(City_Inputs!$AJ60="",Norm_Stats!$F$23="",Norm_Stats!$G$23="",Norm_Stats!$G$23=Norm_Stats!$F$23),"",MAX(0,MIN(100,100*(MIN(MAX(City_Inputs!$AJ60,Norm_Stats!$F$23),Norm_Stats!$G$23)-Norm_Stats!$F$23)/(Norm_Stats!$G$23-Norm_Stats!$F$23)))))="",0,0.2))=0,"",(IF((IF(OR(City_Inputs!$AF60="",Norm_Stats!$F$21="",Norm_Stats!$G$21="",Norm_Stats!$G$21=Norm_Stats!$F$21),"",MAX(0,MIN(100,100*(MIN(MAX(City_Inputs!$AF60,Norm_Stats!$F$21),Norm_Stats!$G$21)-Norm_Stats!$F$21)/(Norm_Stats!$G$21-Norm_Stats!$F$21)))))="",0,0.5)+IF((IF(OR(City_Inputs!$AI60="",Norm_Stats!$F$22="",Norm_Stats!$G$22="",Norm_Stats!$G$22=Norm_Stats!$F$22),"",MAX(0,MIN(100,100*(MIN(MAX(City_Inputs!$AI60,Norm_Stats!$F$22),Norm_Stats!$G$22)-Norm_Stats!$F$22)/(Norm_Stats!$G$22-Norm_Stats!$F$22)))))="",0,0.3)+IF((IF(OR(City_Inputs!$AJ60="",Norm_Stats!$F$23="",Norm_Stats!$G$23="",Norm_Stats!$G$23=Norm_Stats!$F$23),"",MAX(0,MIN(100,100*(MIN(MAX(City_Inputs!$AJ60,Norm_Stats!$F$23),Norm_Stats!$G$23)-Norm_Stats!$F$23)/(Norm_Stats!$G$23-Norm_Stats!$F$23)))))="",0,0.2)))</f>
        <v/>
      </c>
      <c r="BA60" s="11">
        <f>IF(OR(City_Inputs!$AG60="",Norm_Stats!$F$24="",Norm_Stats!$G$24="",Norm_Stats!$G$24=Norm_Stats!$F$24),"",MAX(0,MIN(100,100*(Norm_Stats!$G$24-MIN(MAX(City_Inputs!$AG60,Norm_Stats!$F$24),Norm_Stats!$G$24))/(Norm_Stats!$G$24-Norm_Stats!$F$24))))</f>
        <v/>
      </c>
      <c r="BB60" s="14">
        <f>IF(BA60="","",1)</f>
        <v/>
      </c>
      <c r="BC60" s="15">
        <f>IF((IF(AU60="",0,6)+IF(AW60="",0,5)+IF(AY60="",0,5)+IF(BA60="",0,4))=0,"",(IF(AU60="",0,AU60*6)+IF(AW60="",0,AW60*5)+IF(AY60="",0,AY60*5)+IF(BA60="",0,BA60*4))/(IF(AU60="",0,6)+IF(AW60="",0,5)+IF(AY60="",0,5)+IF(BA60="",0,4)))</f>
        <v/>
      </c>
      <c r="BD60" s="14">
        <f>IF((IF(AV60="",0,6)+IF(AX60="",0,5)+IF(AZ60="",0,5)+IF(BB60="",0,4))=0,"",(IF(AV60="",0,AV60*6)+IF(AX60="",0,AX60*5)+IF(AZ60="",0,AZ60*5)+IF(BB60="",0,BB60*4))/20)</f>
        <v/>
      </c>
      <c r="BE60" s="14">
        <f>IF(AND(R60="",AD60="",AL60="",AT60="",BD60=""),"",((R60*25)+(AD60*22)+(AL60*18)+(AT60*15)+(BD60*20))/100)</f>
        <v/>
      </c>
      <c r="BF60" s="11">
        <f>IF(BE60="","",IF(BE60&gt;=0.75,"A",IF(BE60&gt;=0.5,"B",IF(BE60&gt;=0.35,"C","Watchlist"))))</f>
        <v/>
      </c>
      <c r="BG60" s="11">
        <f>IF(OR(BE60="",BE60&lt;0.5,R60="",R60&lt;0.35,AD60="",AD60&lt;0.35,AL60="",AL60&lt;0.35,AT60="",AT60&lt;0.35,BD60="",BD60&lt;0.35),"Watchlist","Ranked")</f>
        <v/>
      </c>
      <c r="BH60" s="15">
        <f>IF(AND(Q60="",AC60="",AK60="",AS60="",BC60=""),"",(IF(Q60="",0,Q60*25)+IF(AC60="",0,AC60*22)+IF(AK60="",0,AK60*18)+IF(AS60="",0,AS60*15)+IF(BC60="",0,BC60*20))/(IF(Q60="",0,25)+IF(AC60="",0,22)+IF(AK60="",0,18)+IF(AS60="",0,15)+IF(BC60="",0,20)))</f>
        <v/>
      </c>
      <c r="BI60" s="11">
        <f>IF(BG60="Ranked",1+COUNTIFS($BG$2:$BG$101,"Ranked",$BH$2:$BH$101,"&gt;"&amp;BH60),"")</f>
        <v/>
      </c>
      <c r="BJ60" s="11">
        <f>City_Inputs!$AH60</f>
        <v/>
      </c>
    </row>
    <row r="61">
      <c r="A61" t="inlineStr">
        <is>
          <t>mx-merida</t>
        </is>
      </c>
      <c r="B61" t="inlineStr">
        <is>
          <t>Merida</t>
        </is>
      </c>
      <c r="C61" t="inlineStr">
        <is>
          <t>Mexico</t>
        </is>
      </c>
      <c r="D61" t="inlineStr">
        <is>
          <t>North America</t>
        </is>
      </c>
      <c r="E61" t="inlineStr">
        <is>
          <t>provisional</t>
        </is>
      </c>
      <c r="F61" t="inlineStr">
        <is>
          <t>secondary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IF((IF(G61="",0,9)+IF(I61="",0,5)+IF(K61="",0,4)+IF(M61="",0,4)+IF(O61="",0,3))=0,"",(IF(G61="",0,G61*9)+IF(I61="",0,I61*5)+IF(K61="",0,K61*4)+IF(M61="",0,M61*4)+IF(O61="",0,O61*3))/(IF(G61="",0,9)+IF(I61="",0,5)+IF(K61="",0,4)+IF(M61="",0,4)+IF(O61="",0,3)))</f>
        <v/>
      </c>
      <c r="R61" s="14">
        <f>IF((IF(H61="",0,9)+IF(J61="",0,5)+IF(L61="",0,4)+IF(N61="",0,4)+IF(P61="",0,3))=0,"",(IF(H61="",0,H61*9)+IF(J61="",0,J61*5)+IF(L61="",0,L61*4)+IF(N61="",0,N61*4)+IF(P61="",0,P61*3))/25)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5">
        <f>IF((IF(S61="",0,5)+IF(U61="",0,5)+IF(W61="",0,4)+IF(Y61="",0,4)+IF(AA61="",0,4))=0,"",(IF(S61="",0,S61*5)+IF(U61="",0,U61*5)+IF(W61="",0,W61*4)+IF(Y61="",0,Y61*4)+IF(AA61="",0,AA61*4))/(IF(S61="",0,5)+IF(U61="",0,5)+IF(W61="",0,4)+IF(Y61="",0,4)+IF(AA61="",0,4)))</f>
        <v/>
      </c>
      <c r="AD61" s="14">
        <f>IF((IF(T61="",0,5)+IF(V61="",0,5)+IF(X61="",0,4)+IF(Z61="",0,4)+IF(AB61="",0,4))=0,"",(IF(T61="",0,T61*5)+IF(V61="",0,V61*5)+IF(X61="",0,X61*4)+IF(Z61="",0,Z61*4)+IF(AB61="",0,AB61*4))/22)</f>
        <v/>
      </c>
      <c r="AE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F61" s="14">
        <f>IF(AE61="","",1)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(IF((IF(OR(City_Inputs!$Z61="",Norm_Stats!$F$14="",Norm_Stats!$G$14="",Norm_Stats!$G$14=Norm_Stats!$F$14),"",MAX(0,MIN(100,100*(MIN(MAX(City_Inputs!$Z61,Norm_Stats!$F$14),Norm_Stats!$G$14)-Norm_Stats!$F$14)/(Norm_Stats!$G$14-Norm_Stats!$F$14)))))="",0,0.7)+IF((IF(OR(City_Inputs!$AK61="",Norm_Stats!$F$15="",Norm_Stats!$G$15="",Norm_Stats!$G$15=Norm_Stats!$F$15),"",MAX(0,MIN(100,100*(Norm_Stats!$G$15-MIN(MAX(City_Inputs!$AK61,Norm_Stats!$F$15),Norm_Stats!$G$15))/(Norm_Stats!$G$15-Norm_Stats!$F$15)))))="",0,0.3))=0,"",(IF((IF(OR(City_Inputs!$Z61="",Norm_Stats!$F$14="",Norm_Stats!$G$14="",Norm_Stats!$G$14=Norm_Stats!$F$14),"",MAX(0,MIN(100,100*(MIN(MAX(City_Inputs!$Z61,Norm_Stats!$F$14),Norm_Stats!$G$14)-Norm_Stats!$F$14)/(Norm_Stats!$G$14-Norm_Stats!$F$14)))))="",0,(IF(OR(City_Inputs!$Z61="",Norm_Stats!$F$14="",Norm_Stats!$G$14="",Norm_Stats!$G$14=Norm_Stats!$F$14),"",MAX(0,MIN(100,100*(MIN(MAX(City_Inputs!$Z61,Norm_Stats!$F$14),Norm_Stats!$G$14)-Norm_Stats!$F$14)/(Norm_Stats!$G$14-Norm_Stats!$F$14)))))*0.7)+IF((IF(OR(City_Inputs!$AK61="",Norm_Stats!$F$15="",Norm_Stats!$G$15="",Norm_Stats!$G$15=Norm_Stats!$F$15),"",MAX(0,MIN(100,100*(Norm_Stats!$G$15-MIN(MAX(City_Inputs!$AK61,Norm_Stats!$F$15),Norm_Stats!$G$15))/(Norm_Stats!$G$15-Norm_Stats!$F$15)))))="",0,(IF(OR(City_Inputs!$AK61="",Norm_Stats!$F$15="",Norm_Stats!$G$15="",Norm_Stats!$G$15=Norm_Stats!$F$15),"",MAX(0,MIN(100,100*(Norm_Stats!$G$15-MIN(MAX(City_Inputs!$AK61,Norm_Stats!$F$15),Norm_Stats!$G$15))/(Norm_Stats!$G$15-Norm_Stats!$F$15)))))*0.3))/(IF((IF(OR(City_Inputs!$Z61="",Norm_Stats!$F$14="",Norm_Stats!$G$14="",Norm_Stats!$G$14=Norm_Stats!$F$14),"",MAX(0,MIN(100,100*(MIN(MAX(City_Inputs!$Z61,Norm_Stats!$F$14),Norm_Stats!$G$14)-Norm_Stats!$F$14)/(Norm_Stats!$G$14-Norm_Stats!$F$14)))))="",0,0.7)+IF((IF(OR(City_Inputs!$AK61="",Norm_Stats!$F$15="",Norm_Stats!$G$15="",Norm_Stats!$G$15=Norm_Stats!$F$15),"",MAX(0,MIN(100,100*(Norm_Stats!$G$15-MIN(MAX(City_Inputs!$AK61,Norm_Stats!$F$15),Norm_Stats!$G$15))/(Norm_Stats!$G$15-Norm_Stats!$F$15)))))="",0,0.3)))</f>
        <v/>
      </c>
      <c r="AJ61" s="14">
        <f>IF((IF((IF(OR(City_Inputs!$Z61="",Norm_Stats!$F$14="",Norm_Stats!$G$14="",Norm_Stats!$G$14=Norm_Stats!$F$14),"",MAX(0,MIN(100,100*(MIN(MAX(City_Inputs!$Z61,Norm_Stats!$F$14),Norm_Stats!$G$14)-Norm_Stats!$F$14)/(Norm_Stats!$G$14-Norm_Stats!$F$14)))))="",0,0.7)+IF((IF(OR(City_Inputs!$AK61="",Norm_Stats!$F$15="",Norm_Stats!$G$15="",Norm_Stats!$G$15=Norm_Stats!$F$15),"",MAX(0,MIN(100,100*(Norm_Stats!$G$15-MIN(MAX(City_Inputs!$AK61,Norm_Stats!$F$15),Norm_Stats!$G$15))/(Norm_Stats!$G$15-Norm_Stats!$F$15)))))="",0,0.3))=0,"",(IF((IF(OR(City_Inputs!$Z61="",Norm_Stats!$F$14="",Norm_Stats!$G$14="",Norm_Stats!$G$14=Norm_Stats!$F$14),"",MAX(0,MIN(100,100*(MIN(MAX(City_Inputs!$Z61,Norm_Stats!$F$14),Norm_Stats!$G$14)-Norm_Stats!$F$14)/(Norm_Stats!$G$14-Norm_Stats!$F$14)))))="",0,0.7)+IF((IF(OR(City_Inputs!$AK61="",Norm_Stats!$F$15="",Norm_Stats!$G$15="",Norm_Stats!$G$15=Norm_Stats!$F$15),"",MAX(0,MIN(100,100*(Norm_Stats!$G$15-MIN(MAX(City_Inputs!$AK61,Norm_Stats!$F$15),Norm_Stats!$G$15))/(Norm_Stats!$G$15-Norm_Stats!$F$15)))))="",0,0.3)))</f>
        <v/>
      </c>
      <c r="AK61" s="15">
        <f>IF((IF(AE61="",0,8)+IF(AG61="",0,6)+IF(AI61="",0,4))=0,"",(IF(AE61="",0,AE61*8)+IF(AG61="",0,AG61*6)+IF(AI61="",0,AI61*4))/(IF(AE61="",0,8)+IF(AG61="",0,6)+IF(AI61="",0,4)))</f>
        <v/>
      </c>
      <c r="AL61" s="14">
        <f>IF((IF(AF61="",0,8)+IF(AH61="",0,6)+IF(AJ61="",0,4))=0,"",(IF(AF61="",0,AF61*8)+IF(AH61="",0,AH61*6)+IF(AJ61="",0,AJ61*4))/18)</f>
        <v/>
      </c>
      <c r="AM61" s="11">
        <f>IF(OR(City_Inputs!$AA61="",Norm_Stats!$F$16="",Norm_Stats!$G$16="",Norm_Stats!$G$16=Norm_Stats!$F$16),"",MAX(0,MIN(100,100*(MIN(MAX(City_Inputs!$AA61,Norm_Stats!$F$16),Norm_Stats!$G$16)-Norm_Stats!$F$16)/(Norm_Stats!$G$16-Norm_Stats!$F$16))))</f>
        <v/>
      </c>
      <c r="AN61" s="14">
        <f>IF(AM61="","",1)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5">
        <f>IF((IF(AM61="",0,5)+IF(AO61="",0,5)+IF(AQ61="",0,5))=0,"",(IF(AM61="",0,AM61*5)+IF(AO61="",0,AO61*5)+IF(AQ61="",0,AQ61*5))/(IF(AM61="",0,5)+IF(AO61="",0,5)+IF(AQ61="",0,5)))</f>
        <v/>
      </c>
      <c r="AT61" s="14">
        <f>IF((IF(AN61="",0,5)+IF(AP61="",0,5)+IF(AR61="",0,5))=0,"",(IF(AN61="",0,AN61*5)+IF(AP61="",0,AP61*5)+IF(AR61="",0,AR61*5))/15)</f>
        <v/>
      </c>
      <c r="AU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V61" s="14">
        <f>IF(AU61="","",1)</f>
        <v/>
      </c>
      <c r="AW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X61" s="14">
        <f>IF(AW61="","",1)</f>
        <v/>
      </c>
      <c r="AY61" s="11">
        <f>IF((IF((IF(OR(City_Inputs!$AF61="",Norm_Stats!$F$21="",Norm_Stats!$G$21="",Norm_Stats!$G$21=Norm_Stats!$F$21),"",MAX(0,MIN(100,100*(MIN(MAX(City_Inputs!$AF61,Norm_Stats!$F$21),Norm_Stats!$G$21)-Norm_Stats!$F$21)/(Norm_Stats!$G$21-Norm_Stats!$F$21)))))="",0,0.5)+IF((IF(OR(City_Inputs!$AI61="",Norm_Stats!$F$22="",Norm_Stats!$G$22="",Norm_Stats!$G$22=Norm_Stats!$F$22),"",MAX(0,MIN(100,100*(MIN(MAX(City_Inputs!$AI61,Norm_Stats!$F$22),Norm_Stats!$G$22)-Norm_Stats!$F$22)/(Norm_Stats!$G$22-Norm_Stats!$F$22)))))="",0,0.3)+IF((IF(OR(City_Inputs!$AJ61="",Norm_Stats!$F$23="",Norm_Stats!$G$23="",Norm_Stats!$G$23=Norm_Stats!$F$23),"",MAX(0,MIN(100,100*(MIN(MAX(City_Inputs!$AJ61,Norm_Stats!$F$23),Norm_Stats!$G$23)-Norm_Stats!$F$23)/(Norm_Stats!$G$23-Norm_Stats!$F$23)))))="",0,0.2))=0,"",(IF((IF(OR(City_Inputs!$AF61="",Norm_Stats!$F$21="",Norm_Stats!$G$21="",Norm_Stats!$G$21=Norm_Stats!$F$21),"",MAX(0,MIN(100,100*(MIN(MAX(City_Inputs!$AF61,Norm_Stats!$F$21),Norm_Stats!$G$21)-Norm_Stats!$F$21)/(Norm_Stats!$G$21-Norm_Stats!$F$21)))))="",0,(IF(OR(City_Inputs!$AF61="",Norm_Stats!$F$21="",Norm_Stats!$G$21="",Norm_Stats!$G$21=Norm_Stats!$F$21),"",MAX(0,MIN(100,100*(MIN(MAX(City_Inputs!$AF61,Norm_Stats!$F$21),Norm_Stats!$G$21)-Norm_Stats!$F$21)/(Norm_Stats!$G$21-Norm_Stats!$F$21)))))*0.5)+IF((IF(OR(City_Inputs!$AI61="",Norm_Stats!$F$22="",Norm_Stats!$G$22="",Norm_Stats!$G$22=Norm_Stats!$F$22),"",MAX(0,MIN(100,100*(MIN(MAX(City_Inputs!$AI61,Norm_Stats!$F$22),Norm_Stats!$G$22)-Norm_Stats!$F$22)/(Norm_Stats!$G$22-Norm_Stats!$F$22)))))="",0,(IF(OR(City_Inputs!$AI61="",Norm_Stats!$F$22="",Norm_Stats!$G$22="",Norm_Stats!$G$22=Norm_Stats!$F$22),"",MAX(0,MIN(100,100*(MIN(MAX(City_Inputs!$AI61,Norm_Stats!$F$22),Norm_Stats!$G$22)-Norm_Stats!$F$22)/(Norm_Stats!$G$22-Norm_Stats!$F$22)))))*0.3)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0.2))/(IF((IF(OR(City_Inputs!$AF61="",Norm_Stats!$F$21="",Norm_Stats!$G$21="",Norm_Stats!$G$21=Norm_Stats!$F$21),"",MAX(0,MIN(100,100*(MIN(MAX(City_Inputs!$AF61,Norm_Stats!$F$21),Norm_Stats!$G$21)-Norm_Stats!$F$21)/(Norm_Stats!$G$21-Norm_Stats!$F$21)))))="",0,0.5)+IF((IF(OR(City_Inputs!$AI61="",Norm_Stats!$F$22="",Norm_Stats!$G$22="",Norm_Stats!$G$22=Norm_Stats!$F$22),"",MAX(0,MIN(100,100*(MIN(MAX(City_Inputs!$AI61,Norm_Stats!$F$22),Norm_Stats!$G$22)-Norm_Stats!$F$22)/(Norm_Stats!$G$22-Norm_Stats!$F$22)))))="",0,0.3)+IF((IF(OR(City_Inputs!$AJ61="",Norm_Stats!$F$23="",Norm_Stats!$G$23="",Norm_Stats!$G$23=Norm_Stats!$F$23),"",MAX(0,MIN(100,100*(MIN(MAX(City_Inputs!$AJ61,Norm_Stats!$F$23),Norm_Stats!$G$23)-Norm_Stats!$F$23)/(Norm_Stats!$G$23-Norm_Stats!$F$23)))))="",0,0.2)))</f>
        <v/>
      </c>
      <c r="AZ61" s="14">
        <f>IF((IF((IF(OR(City_Inputs!$AF61="",Norm_Stats!$F$21="",Norm_Stats!$G$21="",Norm_Stats!$G$21=Norm_Stats!$F$21),"",MAX(0,MIN(100,100*(MIN(MAX(City_Inputs!$AF61,Norm_Stats!$F$21),Norm_Stats!$G$21)-Norm_Stats!$F$21)/(Norm_Stats!$G$21-Norm_Stats!$F$21)))))="",0,0.5)+IF((IF(OR(City_Inputs!$AI61="",Norm_Stats!$F$22="",Norm_Stats!$G$22="",Norm_Stats!$G$22=Norm_Stats!$F$22),"",MAX(0,MIN(100,100*(MIN(MAX(City_Inputs!$AI61,Norm_Stats!$F$22),Norm_Stats!$G$22)-Norm_Stats!$F$22)/(Norm_Stats!$G$22-Norm_Stats!$F$22)))))="",0,0.3)+IF((IF(OR(City_Inputs!$AJ61="",Norm_Stats!$F$23="",Norm_Stats!$G$23="",Norm_Stats!$G$23=Norm_Stats!$F$23),"",MAX(0,MIN(100,100*(MIN(MAX(City_Inputs!$AJ61,Norm_Stats!$F$23),Norm_Stats!$G$23)-Norm_Stats!$F$23)/(Norm_Stats!$G$23-Norm_Stats!$F$23)))))="",0,0.2))=0,"",(IF((IF(OR(City_Inputs!$AF61="",Norm_Stats!$F$21="",Norm_Stats!$G$21="",Norm_Stats!$G$21=Norm_Stats!$F$21),"",MAX(0,MIN(100,100*(MIN(MAX(City_Inputs!$AF61,Norm_Stats!$F$21),Norm_Stats!$G$21)-Norm_Stats!$F$21)/(Norm_Stats!$G$21-Norm_Stats!$F$21)))))="",0,0.5)+IF((IF(OR(City_Inputs!$AI61="",Norm_Stats!$F$22="",Norm_Stats!$G$22="",Norm_Stats!$G$22=Norm_Stats!$F$22),"",MAX(0,MIN(100,100*(MIN(MAX(City_Inputs!$AI61,Norm_Stats!$F$22),Norm_Stats!$G$22)-Norm_Stats!$F$22)/(Norm_Stats!$G$22-Norm_Stats!$F$22)))))="",0,0.3)+IF((IF(OR(City_Inputs!$AJ61="",Norm_Stats!$F$23="",Norm_Stats!$G$23="",Norm_Stats!$G$23=Norm_Stats!$F$23),"",MAX(0,MIN(100,100*(MIN(MAX(City_Inputs!$AJ61,Norm_Stats!$F$23),Norm_Stats!$G$23)-Norm_Stats!$F$23)/(Norm_Stats!$G$23-Norm_Stats!$F$23)))))="",0,0.2)))</f>
        <v/>
      </c>
      <c r="BA61" s="11">
        <f>IF(OR(City_Inputs!$AG61="",Norm_Stats!$F$24="",Norm_Stats!$G$24="",Norm_Stats!$G$24=Norm_Stats!$F$24),"",MAX(0,MIN(100,100*(Norm_Stats!$G$24-MIN(MAX(City_Inputs!$AG61,Norm_Stats!$F$24),Norm_Stats!$G$24))/(Norm_Stats!$G$24-Norm_Stats!$F$24))))</f>
        <v/>
      </c>
      <c r="BB61" s="14">
        <f>IF(BA61="","",1)</f>
        <v/>
      </c>
      <c r="BC61" s="15">
        <f>IF((IF(AU61="",0,6)+IF(AW61="",0,5)+IF(AY61="",0,5)+IF(BA61="",0,4))=0,"",(IF(AU61="",0,AU61*6)+IF(AW61="",0,AW61*5)+IF(AY61="",0,AY61*5)+IF(BA61="",0,BA61*4))/(IF(AU61="",0,6)+IF(AW61="",0,5)+IF(AY61="",0,5)+IF(BA61="",0,4)))</f>
        <v/>
      </c>
      <c r="BD61" s="14">
        <f>IF((IF(AV61="",0,6)+IF(AX61="",0,5)+IF(AZ61="",0,5)+IF(BB61="",0,4))=0,"",(IF(AV61="",0,AV61*6)+IF(AX61="",0,AX61*5)+IF(AZ61="",0,AZ61*5)+IF(BB61="",0,BB61*4))/20)</f>
        <v/>
      </c>
      <c r="BE61" s="14">
        <f>IF(AND(R61="",AD61="",AL61="",AT61="",BD61=""),"",((R61*25)+(AD61*22)+(AL61*18)+(AT61*15)+(BD61*20))/100)</f>
        <v/>
      </c>
      <c r="BF61" s="11">
        <f>IF(BE61="","",IF(BE61&gt;=0.75,"A",IF(BE61&gt;=0.5,"B",IF(BE61&gt;=0.35,"C","Watchlist"))))</f>
        <v/>
      </c>
      <c r="BG61" s="11">
        <f>IF(OR(BE61="",BE61&lt;0.5,R61="",R61&lt;0.35,AD61="",AD61&lt;0.35,AL61="",AL61&lt;0.35,AT61="",AT61&lt;0.35,BD61="",BD61&lt;0.35),"Watchlist","Ranked")</f>
        <v/>
      </c>
      <c r="BH61" s="15">
        <f>IF(AND(Q61="",AC61="",AK61="",AS61="",BC61=""),"",(IF(Q61="",0,Q61*25)+IF(AC61="",0,AC61*22)+IF(AK61="",0,AK61*18)+IF(AS61="",0,AS61*15)+IF(BC61="",0,BC61*20))/(IF(Q61="",0,25)+IF(AC61="",0,22)+IF(AK61="",0,18)+IF(AS61="",0,15)+IF(BC61="",0,20)))</f>
        <v/>
      </c>
      <c r="BI61" s="11">
        <f>IF(BG61="Ranked",1+COUNTIFS($BG$2:$BG$101,"Ranked",$BH$2:$BH$101,"&gt;"&amp;BH61),"")</f>
        <v/>
      </c>
      <c r="BJ61" s="11">
        <f>City_Inputs!$AH61</f>
        <v/>
      </c>
    </row>
    <row r="62">
      <c r="A62" t="inlineStr">
        <is>
          <t>br-sao-paulo</t>
        </is>
      </c>
      <c r="B62" t="inlineStr">
        <is>
          <t>Sao Paulo</t>
        </is>
      </c>
      <c r="C62" t="inlineStr">
        <is>
          <t>Brazil</t>
        </is>
      </c>
      <c r="D62" t="inlineStr">
        <is>
          <t>Latin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IF((IF(G62="",0,9)+IF(I62="",0,5)+IF(K62="",0,4)+IF(M62="",0,4)+IF(O62="",0,3))=0,"",(IF(G62="",0,G62*9)+IF(I62="",0,I62*5)+IF(K62="",0,K62*4)+IF(M62="",0,M62*4)+IF(O62="",0,O62*3))/(IF(G62="",0,9)+IF(I62="",0,5)+IF(K62="",0,4)+IF(M62="",0,4)+IF(O62="",0,3)))</f>
        <v/>
      </c>
      <c r="R62" s="14">
        <f>IF((IF(H62="",0,9)+IF(J62="",0,5)+IF(L62="",0,4)+IF(N62="",0,4)+IF(P62="",0,3))=0,"",(IF(H62="",0,H62*9)+IF(J62="",0,J62*5)+IF(L62="",0,L62*4)+IF(N62="",0,N62*4)+IF(P62="",0,P62*3))/25)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5">
        <f>IF((IF(S62="",0,5)+IF(U62="",0,5)+IF(W62="",0,4)+IF(Y62="",0,4)+IF(AA62="",0,4))=0,"",(IF(S62="",0,S62*5)+IF(U62="",0,U62*5)+IF(W62="",0,W62*4)+IF(Y62="",0,Y62*4)+IF(AA62="",0,AA62*4))/(IF(S62="",0,5)+IF(U62="",0,5)+IF(W62="",0,4)+IF(Y62="",0,4)+IF(AA62="",0,4)))</f>
        <v/>
      </c>
      <c r="AD62" s="14">
        <f>IF((IF(T62="",0,5)+IF(V62="",0,5)+IF(X62="",0,4)+IF(Z62="",0,4)+IF(AB62="",0,4))=0,"",(IF(T62="",0,T62*5)+IF(V62="",0,V62*5)+IF(X62="",0,X62*4)+IF(Z62="",0,Z62*4)+IF(AB62="",0,AB62*4))/22)</f>
        <v/>
      </c>
      <c r="AE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F62" s="14">
        <f>IF(AE62="","",1)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(IF((IF(OR(City_Inputs!$Z62="",Norm_Stats!$F$14="",Norm_Stats!$G$14="",Norm_Stats!$G$14=Norm_Stats!$F$14),"",MAX(0,MIN(100,100*(MIN(MAX(City_Inputs!$Z62,Norm_Stats!$F$14),Norm_Stats!$G$14)-Norm_Stats!$F$14)/(Norm_Stats!$G$14-Norm_Stats!$F$14)))))="",0,0.7)+IF((IF(OR(City_Inputs!$AK62="",Norm_Stats!$F$15="",Norm_Stats!$G$15="",Norm_Stats!$G$15=Norm_Stats!$F$15),"",MAX(0,MIN(100,100*(Norm_Stats!$G$15-MIN(MAX(City_Inputs!$AK62,Norm_Stats!$F$15),Norm_Stats!$G$15))/(Norm_Stats!$G$15-Norm_Stats!$F$15)))))="",0,0.3))=0,"",(IF((IF(OR(City_Inputs!$Z62="",Norm_Stats!$F$14="",Norm_Stats!$G$14="",Norm_Stats!$G$14=Norm_Stats!$F$14),"",MAX(0,MIN(100,100*(MIN(MAX(City_Inputs!$Z62,Norm_Stats!$F$14),Norm_Stats!$G$14)-Norm_Stats!$F$14)/(Norm_Stats!$G$14-Norm_Stats!$F$14)))))="",0,(IF(OR(City_Inputs!$Z62="",Norm_Stats!$F$14="",Norm_Stats!$G$14="",Norm_Stats!$G$14=Norm_Stats!$F$14),"",MAX(0,MIN(100,100*(MIN(MAX(City_Inputs!$Z62,Norm_Stats!$F$14),Norm_Stats!$G$14)-Norm_Stats!$F$14)/(Norm_Stats!$G$14-Norm_Stats!$F$14)))))*0.7)+IF((IF(OR(City_Inputs!$AK62="",Norm_Stats!$F$15="",Norm_Stats!$G$15="",Norm_Stats!$G$15=Norm_Stats!$F$15),"",MAX(0,MIN(100,100*(Norm_Stats!$G$15-MIN(MAX(City_Inputs!$AK62,Norm_Stats!$F$15),Norm_Stats!$G$15))/(Norm_Stats!$G$15-Norm_Stats!$F$15)))))="",0,(IF(OR(City_Inputs!$AK62="",Norm_Stats!$F$15="",Norm_Stats!$G$15="",Norm_Stats!$G$15=Norm_Stats!$F$15),"",MAX(0,MIN(100,100*(Norm_Stats!$G$15-MIN(MAX(City_Inputs!$AK62,Norm_Stats!$F$15),Norm_Stats!$G$15))/(Norm_Stats!$G$15-Norm_Stats!$F$15)))))*0.3))/(IF((IF(OR(City_Inputs!$Z62="",Norm_Stats!$F$14="",Norm_Stats!$G$14="",Norm_Stats!$G$14=Norm_Stats!$F$14),"",MAX(0,MIN(100,100*(MIN(MAX(City_Inputs!$Z62,Norm_Stats!$F$14),Norm_Stats!$G$14)-Norm_Stats!$F$14)/(Norm_Stats!$G$14-Norm_Stats!$F$14)))))="",0,0.7)+IF((IF(OR(City_Inputs!$AK62="",Norm_Stats!$F$15="",Norm_Stats!$G$15="",Norm_Stats!$G$15=Norm_Stats!$F$15),"",MAX(0,MIN(100,100*(Norm_Stats!$G$15-MIN(MAX(City_Inputs!$AK62,Norm_Stats!$F$15),Norm_Stats!$G$15))/(Norm_Stats!$G$15-Norm_Stats!$F$15)))))="",0,0.3)))</f>
        <v/>
      </c>
      <c r="AJ62" s="14">
        <f>IF((IF((IF(OR(City_Inputs!$Z62="",Norm_Stats!$F$14="",Norm_Stats!$G$14="",Norm_Stats!$G$14=Norm_Stats!$F$14),"",MAX(0,MIN(100,100*(MIN(MAX(City_Inputs!$Z62,Norm_Stats!$F$14),Norm_Stats!$G$14)-Norm_Stats!$F$14)/(Norm_Stats!$G$14-Norm_Stats!$F$14)))))="",0,0.7)+IF((IF(OR(City_Inputs!$AK62="",Norm_Stats!$F$15="",Norm_Stats!$G$15="",Norm_Stats!$G$15=Norm_Stats!$F$15),"",MAX(0,MIN(100,100*(Norm_Stats!$G$15-MIN(MAX(City_Inputs!$AK62,Norm_Stats!$F$15),Norm_Stats!$G$15))/(Norm_Stats!$G$15-Norm_Stats!$F$15)))))="",0,0.3))=0,"",(IF((IF(OR(City_Inputs!$Z62="",Norm_Stats!$F$14="",Norm_Stats!$G$14="",Norm_Stats!$G$14=Norm_Stats!$F$14),"",MAX(0,MIN(100,100*(MIN(MAX(City_Inputs!$Z62,Norm_Stats!$F$14),Norm_Stats!$G$14)-Norm_Stats!$F$14)/(Norm_Stats!$G$14-Norm_Stats!$F$14)))))="",0,0.7)+IF((IF(OR(City_Inputs!$AK62="",Norm_Stats!$F$15="",Norm_Stats!$G$15="",Norm_Stats!$G$15=Norm_Stats!$F$15),"",MAX(0,MIN(100,100*(Norm_Stats!$G$15-MIN(MAX(City_Inputs!$AK62,Norm_Stats!$F$15),Norm_Stats!$G$15))/(Norm_Stats!$G$15-Norm_Stats!$F$15)))))="",0,0.3)))</f>
        <v/>
      </c>
      <c r="AK62" s="15">
        <f>IF((IF(AE62="",0,8)+IF(AG62="",0,6)+IF(AI62="",0,4))=0,"",(IF(AE62="",0,AE62*8)+IF(AG62="",0,AG62*6)+IF(AI62="",0,AI62*4))/(IF(AE62="",0,8)+IF(AG62="",0,6)+IF(AI62="",0,4)))</f>
        <v/>
      </c>
      <c r="AL62" s="14">
        <f>IF((IF(AF62="",0,8)+IF(AH62="",0,6)+IF(AJ62="",0,4))=0,"",(IF(AF62="",0,AF62*8)+IF(AH62="",0,AH62*6)+IF(AJ62="",0,AJ62*4))/18)</f>
        <v/>
      </c>
      <c r="AM62" s="11">
        <f>IF(OR(City_Inputs!$AA62="",Norm_Stats!$F$16="",Norm_Stats!$G$16="",Norm_Stats!$G$16=Norm_Stats!$F$16),"",MAX(0,MIN(100,100*(MIN(MAX(City_Inputs!$AA62,Norm_Stats!$F$16),Norm_Stats!$G$16)-Norm_Stats!$F$16)/(Norm_Stats!$G$16-Norm_Stats!$F$16))))</f>
        <v/>
      </c>
      <c r="AN62" s="14">
        <f>IF(AM62="","",1)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5">
        <f>IF((IF(AM62="",0,5)+IF(AO62="",0,5)+IF(AQ62="",0,5))=0,"",(IF(AM62="",0,AM62*5)+IF(AO62="",0,AO62*5)+IF(AQ62="",0,AQ62*5))/(IF(AM62="",0,5)+IF(AO62="",0,5)+IF(AQ62="",0,5)))</f>
        <v/>
      </c>
      <c r="AT62" s="14">
        <f>IF((IF(AN62="",0,5)+IF(AP62="",0,5)+IF(AR62="",0,5))=0,"",(IF(AN62="",0,AN62*5)+IF(AP62="",0,AP62*5)+IF(AR62="",0,AR62*5))/15)</f>
        <v/>
      </c>
      <c r="AU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V62" s="14">
        <f>IF(AU62="","",1)</f>
        <v/>
      </c>
      <c r="AW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X62" s="14">
        <f>IF(AW62="","",1)</f>
        <v/>
      </c>
      <c r="AY62" s="11">
        <f>IF((IF((IF(OR(City_Inputs!$AF62="",Norm_Stats!$F$21="",Norm_Stats!$G$21="",Norm_Stats!$G$21=Norm_Stats!$F$21),"",MAX(0,MIN(100,100*(MIN(MAX(City_Inputs!$AF62,Norm_Stats!$F$21),Norm_Stats!$G$21)-Norm_Stats!$F$21)/(Norm_Stats!$G$21-Norm_Stats!$F$21)))))="",0,0.5)+IF((IF(OR(City_Inputs!$AI62="",Norm_Stats!$F$22="",Norm_Stats!$G$22="",Norm_Stats!$G$22=Norm_Stats!$F$22),"",MAX(0,MIN(100,100*(MIN(MAX(City_Inputs!$AI62,Norm_Stats!$F$22),Norm_Stats!$G$22)-Norm_Stats!$F$22)/(Norm_Stats!$G$22-Norm_Stats!$F$22)))))="",0,0.3)+IF((IF(OR(City_Inputs!$AJ62="",Norm_Stats!$F$23="",Norm_Stats!$G$23="",Norm_Stats!$G$23=Norm_Stats!$F$23),"",MAX(0,MIN(100,100*(MIN(MAX(City_Inputs!$AJ62,Norm_Stats!$F$23),Norm_Stats!$G$23)-Norm_Stats!$F$23)/(Norm_Stats!$G$23-Norm_Stats!$F$23)))))="",0,0.2))=0,"",(IF((IF(OR(City_Inputs!$AF62="",Norm_Stats!$F$21="",Norm_Stats!$G$21="",Norm_Stats!$G$21=Norm_Stats!$F$21),"",MAX(0,MIN(100,100*(MIN(MAX(City_Inputs!$AF62,Norm_Stats!$F$21),Norm_Stats!$G$21)-Norm_Stats!$F$21)/(Norm_Stats!$G$21-Norm_Stats!$F$21)))))="",0,(IF(OR(City_Inputs!$AF62="",Norm_Stats!$F$21="",Norm_Stats!$G$21="",Norm_Stats!$G$21=Norm_Stats!$F$21),"",MAX(0,MIN(100,100*(MIN(MAX(City_Inputs!$AF62,Norm_Stats!$F$21),Norm_Stats!$G$21)-Norm_Stats!$F$21)/(Norm_Stats!$G$21-Norm_Stats!$F$21)))))*0.5)+IF((IF(OR(City_Inputs!$AI62="",Norm_Stats!$F$22="",Norm_Stats!$G$22="",Norm_Stats!$G$22=Norm_Stats!$F$22),"",MAX(0,MIN(100,100*(MIN(MAX(City_Inputs!$AI62,Norm_Stats!$F$22),Norm_Stats!$G$22)-Norm_Stats!$F$22)/(Norm_Stats!$G$22-Norm_Stats!$F$22)))))="",0,(IF(OR(City_Inputs!$AI62="",Norm_Stats!$F$22="",Norm_Stats!$G$22="",Norm_Stats!$G$22=Norm_Stats!$F$22),"",MAX(0,MIN(100,100*(MIN(MAX(City_Inputs!$AI62,Norm_Stats!$F$22),Norm_Stats!$G$22)-Norm_Stats!$F$22)/(Norm_Stats!$G$22-Norm_Stats!$F$22)))))*0.3)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0.2))/(IF((IF(OR(City_Inputs!$AF62="",Norm_Stats!$F$21="",Norm_Stats!$G$21="",Norm_Stats!$G$21=Norm_Stats!$F$21),"",MAX(0,MIN(100,100*(MIN(MAX(City_Inputs!$AF62,Norm_Stats!$F$21),Norm_Stats!$G$21)-Norm_Stats!$F$21)/(Norm_Stats!$G$21-Norm_Stats!$F$21)))))="",0,0.5)+IF((IF(OR(City_Inputs!$AI62="",Norm_Stats!$F$22="",Norm_Stats!$G$22="",Norm_Stats!$G$22=Norm_Stats!$F$22),"",MAX(0,MIN(100,100*(MIN(MAX(City_Inputs!$AI62,Norm_Stats!$F$22),Norm_Stats!$G$22)-Norm_Stats!$F$22)/(Norm_Stats!$G$22-Norm_Stats!$F$22)))))="",0,0.3)+IF((IF(OR(City_Inputs!$AJ62="",Norm_Stats!$F$23="",Norm_Stats!$G$23="",Norm_Stats!$G$23=Norm_Stats!$F$23),"",MAX(0,MIN(100,100*(MIN(MAX(City_Inputs!$AJ62,Norm_Stats!$F$23),Norm_Stats!$G$23)-Norm_Stats!$F$23)/(Norm_Stats!$G$23-Norm_Stats!$F$23)))))="",0,0.2)))</f>
        <v/>
      </c>
      <c r="AZ62" s="14">
        <f>IF((IF((IF(OR(City_Inputs!$AF62="",Norm_Stats!$F$21="",Norm_Stats!$G$21="",Norm_Stats!$G$21=Norm_Stats!$F$21),"",MAX(0,MIN(100,100*(MIN(MAX(City_Inputs!$AF62,Norm_Stats!$F$21),Norm_Stats!$G$21)-Norm_Stats!$F$21)/(Norm_Stats!$G$21-Norm_Stats!$F$21)))))="",0,0.5)+IF((IF(OR(City_Inputs!$AI62="",Norm_Stats!$F$22="",Norm_Stats!$G$22="",Norm_Stats!$G$22=Norm_Stats!$F$22),"",MAX(0,MIN(100,100*(MIN(MAX(City_Inputs!$AI62,Norm_Stats!$F$22),Norm_Stats!$G$22)-Norm_Stats!$F$22)/(Norm_Stats!$G$22-Norm_Stats!$F$22)))))="",0,0.3)+IF((IF(OR(City_Inputs!$AJ62="",Norm_Stats!$F$23="",Norm_Stats!$G$23="",Norm_Stats!$G$23=Norm_Stats!$F$23),"",MAX(0,MIN(100,100*(MIN(MAX(City_Inputs!$AJ62,Norm_Stats!$F$23),Norm_Stats!$G$23)-Norm_Stats!$F$23)/(Norm_Stats!$G$23-Norm_Stats!$F$23)))))="",0,0.2))=0,"",(IF((IF(OR(City_Inputs!$AF62="",Norm_Stats!$F$21="",Norm_Stats!$G$21="",Norm_Stats!$G$21=Norm_Stats!$F$21),"",MAX(0,MIN(100,100*(MIN(MAX(City_Inputs!$AF62,Norm_Stats!$F$21),Norm_Stats!$G$21)-Norm_Stats!$F$21)/(Norm_Stats!$G$21-Norm_Stats!$F$21)))))="",0,0.5)+IF((IF(OR(City_Inputs!$AI62="",Norm_Stats!$F$22="",Norm_Stats!$G$22="",Norm_Stats!$G$22=Norm_Stats!$F$22),"",MAX(0,MIN(100,100*(MIN(MAX(City_Inputs!$AI62,Norm_Stats!$F$22),Norm_Stats!$G$22)-Norm_Stats!$F$22)/(Norm_Stats!$G$22-Norm_Stats!$F$22)))))="",0,0.3)+IF((IF(OR(City_Inputs!$AJ62="",Norm_Stats!$F$23="",Norm_Stats!$G$23="",Norm_Stats!$G$23=Norm_Stats!$F$23),"",MAX(0,MIN(100,100*(MIN(MAX(City_Inputs!$AJ62,Norm_Stats!$F$23),Norm_Stats!$G$23)-Norm_Stats!$F$23)/(Norm_Stats!$G$23-Norm_Stats!$F$23)))))="",0,0.2)))</f>
        <v/>
      </c>
      <c r="BA62" s="11">
        <f>IF(OR(City_Inputs!$AG62="",Norm_Stats!$F$24="",Norm_Stats!$G$24="",Norm_Stats!$G$24=Norm_Stats!$F$24),"",MAX(0,MIN(100,100*(Norm_Stats!$G$24-MIN(MAX(City_Inputs!$AG62,Norm_Stats!$F$24),Norm_Stats!$G$24))/(Norm_Stats!$G$24-Norm_Stats!$F$24))))</f>
        <v/>
      </c>
      <c r="BB62" s="14">
        <f>IF(BA62="","",1)</f>
        <v/>
      </c>
      <c r="BC62" s="15">
        <f>IF((IF(AU62="",0,6)+IF(AW62="",0,5)+IF(AY62="",0,5)+IF(BA62="",0,4))=0,"",(IF(AU62="",0,AU62*6)+IF(AW62="",0,AW62*5)+IF(AY62="",0,AY62*5)+IF(BA62="",0,BA62*4))/(IF(AU62="",0,6)+IF(AW62="",0,5)+IF(AY62="",0,5)+IF(BA62="",0,4)))</f>
        <v/>
      </c>
      <c r="BD62" s="14">
        <f>IF((IF(AV62="",0,6)+IF(AX62="",0,5)+IF(AZ62="",0,5)+IF(BB62="",0,4))=0,"",(IF(AV62="",0,AV62*6)+IF(AX62="",0,AX62*5)+IF(AZ62="",0,AZ62*5)+IF(BB62="",0,BB62*4))/20)</f>
        <v/>
      </c>
      <c r="BE62" s="14">
        <f>IF(AND(R62="",AD62="",AL62="",AT62="",BD62=""),"",((R62*25)+(AD62*22)+(AL62*18)+(AT62*15)+(BD62*20))/100)</f>
        <v/>
      </c>
      <c r="BF62" s="11">
        <f>IF(BE62="","",IF(BE62&gt;=0.75,"A",IF(BE62&gt;=0.5,"B",IF(BE62&gt;=0.35,"C","Watchlist"))))</f>
        <v/>
      </c>
      <c r="BG62" s="11">
        <f>IF(OR(BE62="",BE62&lt;0.5,R62="",R62&lt;0.35,AD62="",AD62&lt;0.35,AL62="",AL62&lt;0.35,AT62="",AT62&lt;0.35,BD62="",BD62&lt;0.35),"Watchlist","Ranked")</f>
        <v/>
      </c>
      <c r="BH62" s="15">
        <f>IF(AND(Q62="",AC62="",AK62="",AS62="",BC62=""),"",(IF(Q62="",0,Q62*25)+IF(AC62="",0,AC62*22)+IF(AK62="",0,AK62*18)+IF(AS62="",0,AS62*15)+IF(BC62="",0,BC62*20))/(IF(Q62="",0,25)+IF(AC62="",0,22)+IF(AK62="",0,18)+IF(AS62="",0,15)+IF(BC62="",0,20)))</f>
        <v/>
      </c>
      <c r="BI62" s="11">
        <f>IF(BG62="Ranked",1+COUNTIFS($BG$2:$BG$101,"Ranked",$BH$2:$BH$101,"&gt;"&amp;BH62),"")</f>
        <v/>
      </c>
      <c r="BJ62" s="11">
        <f>City_Inputs!$AH62</f>
        <v/>
      </c>
    </row>
    <row r="63">
      <c r="A63" t="inlineStr">
        <is>
          <t>ar-buenos-aires</t>
        </is>
      </c>
      <c r="B63" t="inlineStr">
        <is>
          <t>Buenos Aires</t>
        </is>
      </c>
      <c r="C63" t="inlineStr">
        <is>
          <t>Argentina</t>
        </is>
      </c>
      <c r="D63" t="inlineStr">
        <is>
          <t>Latin America</t>
        </is>
      </c>
      <c r="E63" t="inlineStr">
        <is>
          <t>locked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IF((IF(G63="",0,9)+IF(I63="",0,5)+IF(K63="",0,4)+IF(M63="",0,4)+IF(O63="",0,3))=0,"",(IF(G63="",0,G63*9)+IF(I63="",0,I63*5)+IF(K63="",0,K63*4)+IF(M63="",0,M63*4)+IF(O63="",0,O63*3))/(IF(G63="",0,9)+IF(I63="",0,5)+IF(K63="",0,4)+IF(M63="",0,4)+IF(O63="",0,3)))</f>
        <v/>
      </c>
      <c r="R63" s="14">
        <f>IF((IF(H63="",0,9)+IF(J63="",0,5)+IF(L63="",0,4)+IF(N63="",0,4)+IF(P63="",0,3))=0,"",(IF(H63="",0,H63*9)+IF(J63="",0,J63*5)+IF(L63="",0,L63*4)+IF(N63="",0,N63*4)+IF(P63="",0,P63*3))/25)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5">
        <f>IF((IF(S63="",0,5)+IF(U63="",0,5)+IF(W63="",0,4)+IF(Y63="",0,4)+IF(AA63="",0,4))=0,"",(IF(S63="",0,S63*5)+IF(U63="",0,U63*5)+IF(W63="",0,W63*4)+IF(Y63="",0,Y63*4)+IF(AA63="",0,AA63*4))/(IF(S63="",0,5)+IF(U63="",0,5)+IF(W63="",0,4)+IF(Y63="",0,4)+IF(AA63="",0,4)))</f>
        <v/>
      </c>
      <c r="AD63" s="14">
        <f>IF((IF(T63="",0,5)+IF(V63="",0,5)+IF(X63="",0,4)+IF(Z63="",0,4)+IF(AB63="",0,4))=0,"",(IF(T63="",0,T63*5)+IF(V63="",0,V63*5)+IF(X63="",0,X63*4)+IF(Z63="",0,Z63*4)+IF(AB63="",0,AB63*4))/22)</f>
        <v/>
      </c>
      <c r="AE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F63" s="14">
        <f>IF(AE63="","",1)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(IF((IF(OR(City_Inputs!$Z63="",Norm_Stats!$F$14="",Norm_Stats!$G$14="",Norm_Stats!$G$14=Norm_Stats!$F$14),"",MAX(0,MIN(100,100*(MIN(MAX(City_Inputs!$Z63,Norm_Stats!$F$14),Norm_Stats!$G$14)-Norm_Stats!$F$14)/(Norm_Stats!$G$14-Norm_Stats!$F$14)))))="",0,0.7)+IF((IF(OR(City_Inputs!$AK63="",Norm_Stats!$F$15="",Norm_Stats!$G$15="",Norm_Stats!$G$15=Norm_Stats!$F$15),"",MAX(0,MIN(100,100*(Norm_Stats!$G$15-MIN(MAX(City_Inputs!$AK63,Norm_Stats!$F$15),Norm_Stats!$G$15))/(Norm_Stats!$G$15-Norm_Stats!$F$15)))))="",0,0.3))=0,"",(IF((IF(OR(City_Inputs!$Z63="",Norm_Stats!$F$14="",Norm_Stats!$G$14="",Norm_Stats!$G$14=Norm_Stats!$F$14),"",MAX(0,MIN(100,100*(MIN(MAX(City_Inputs!$Z63,Norm_Stats!$F$14),Norm_Stats!$G$14)-Norm_Stats!$F$14)/(Norm_Stats!$G$14-Norm_Stats!$F$14)))))="",0,(IF(OR(City_Inputs!$Z63="",Norm_Stats!$F$14="",Norm_Stats!$G$14="",Norm_Stats!$G$14=Norm_Stats!$F$14),"",MAX(0,MIN(100,100*(MIN(MAX(City_Inputs!$Z63,Norm_Stats!$F$14),Norm_Stats!$G$14)-Norm_Stats!$F$14)/(Norm_Stats!$G$14-Norm_Stats!$F$14)))))*0.7)+IF((IF(OR(City_Inputs!$AK63="",Norm_Stats!$F$15="",Norm_Stats!$G$15="",Norm_Stats!$G$15=Norm_Stats!$F$15),"",MAX(0,MIN(100,100*(Norm_Stats!$G$15-MIN(MAX(City_Inputs!$AK63,Norm_Stats!$F$15),Norm_Stats!$G$15))/(Norm_Stats!$G$15-Norm_Stats!$F$15)))))="",0,(IF(OR(City_Inputs!$AK63="",Norm_Stats!$F$15="",Norm_Stats!$G$15="",Norm_Stats!$G$15=Norm_Stats!$F$15),"",MAX(0,MIN(100,100*(Norm_Stats!$G$15-MIN(MAX(City_Inputs!$AK63,Norm_Stats!$F$15),Norm_Stats!$G$15))/(Norm_Stats!$G$15-Norm_Stats!$F$15)))))*0.3))/(IF((IF(OR(City_Inputs!$Z63="",Norm_Stats!$F$14="",Norm_Stats!$G$14="",Norm_Stats!$G$14=Norm_Stats!$F$14),"",MAX(0,MIN(100,100*(MIN(MAX(City_Inputs!$Z63,Norm_Stats!$F$14),Norm_Stats!$G$14)-Norm_Stats!$F$14)/(Norm_Stats!$G$14-Norm_Stats!$F$14)))))="",0,0.7)+IF((IF(OR(City_Inputs!$AK63="",Norm_Stats!$F$15="",Norm_Stats!$G$15="",Norm_Stats!$G$15=Norm_Stats!$F$15),"",MAX(0,MIN(100,100*(Norm_Stats!$G$15-MIN(MAX(City_Inputs!$AK63,Norm_Stats!$F$15),Norm_Stats!$G$15))/(Norm_Stats!$G$15-Norm_Stats!$F$15)))))="",0,0.3)))</f>
        <v/>
      </c>
      <c r="AJ63" s="14">
        <f>IF((IF((IF(OR(City_Inputs!$Z63="",Norm_Stats!$F$14="",Norm_Stats!$G$14="",Norm_Stats!$G$14=Norm_Stats!$F$14),"",MAX(0,MIN(100,100*(MIN(MAX(City_Inputs!$Z63,Norm_Stats!$F$14),Norm_Stats!$G$14)-Norm_Stats!$F$14)/(Norm_Stats!$G$14-Norm_Stats!$F$14)))))="",0,0.7)+IF((IF(OR(City_Inputs!$AK63="",Norm_Stats!$F$15="",Norm_Stats!$G$15="",Norm_Stats!$G$15=Norm_Stats!$F$15),"",MAX(0,MIN(100,100*(Norm_Stats!$G$15-MIN(MAX(City_Inputs!$AK63,Norm_Stats!$F$15),Norm_Stats!$G$15))/(Norm_Stats!$G$15-Norm_Stats!$F$15)))))="",0,0.3))=0,"",(IF((IF(OR(City_Inputs!$Z63="",Norm_Stats!$F$14="",Norm_Stats!$G$14="",Norm_Stats!$G$14=Norm_Stats!$F$14),"",MAX(0,MIN(100,100*(MIN(MAX(City_Inputs!$Z63,Norm_Stats!$F$14),Norm_Stats!$G$14)-Norm_Stats!$F$14)/(Norm_Stats!$G$14-Norm_Stats!$F$14)))))="",0,0.7)+IF((IF(OR(City_Inputs!$AK63="",Norm_Stats!$F$15="",Norm_Stats!$G$15="",Norm_Stats!$G$15=Norm_Stats!$F$15),"",MAX(0,MIN(100,100*(Norm_Stats!$G$15-MIN(MAX(City_Inputs!$AK63,Norm_Stats!$F$15),Norm_Stats!$G$15))/(Norm_Stats!$G$15-Norm_Stats!$F$15)))))="",0,0.3)))</f>
        <v/>
      </c>
      <c r="AK63" s="15">
        <f>IF((IF(AE63="",0,8)+IF(AG63="",0,6)+IF(AI63="",0,4))=0,"",(IF(AE63="",0,AE63*8)+IF(AG63="",0,AG63*6)+IF(AI63="",0,AI63*4))/(IF(AE63="",0,8)+IF(AG63="",0,6)+IF(AI63="",0,4)))</f>
        <v/>
      </c>
      <c r="AL63" s="14">
        <f>IF((IF(AF63="",0,8)+IF(AH63="",0,6)+IF(AJ63="",0,4))=0,"",(IF(AF63="",0,AF63*8)+IF(AH63="",0,AH63*6)+IF(AJ63="",0,AJ63*4))/18)</f>
        <v/>
      </c>
      <c r="AM63" s="11">
        <f>IF(OR(City_Inputs!$AA63="",Norm_Stats!$F$16="",Norm_Stats!$G$16="",Norm_Stats!$G$16=Norm_Stats!$F$16),"",MAX(0,MIN(100,100*(MIN(MAX(City_Inputs!$AA63,Norm_Stats!$F$16),Norm_Stats!$G$16)-Norm_Stats!$F$16)/(Norm_Stats!$G$16-Norm_Stats!$F$16))))</f>
        <v/>
      </c>
      <c r="AN63" s="14">
        <f>IF(AM63="","",1)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5">
        <f>IF((IF(AM63="",0,5)+IF(AO63="",0,5)+IF(AQ63="",0,5))=0,"",(IF(AM63="",0,AM63*5)+IF(AO63="",0,AO63*5)+IF(AQ63="",0,AQ63*5))/(IF(AM63="",0,5)+IF(AO63="",0,5)+IF(AQ63="",0,5)))</f>
        <v/>
      </c>
      <c r="AT63" s="14">
        <f>IF((IF(AN63="",0,5)+IF(AP63="",0,5)+IF(AR63="",0,5))=0,"",(IF(AN63="",0,AN63*5)+IF(AP63="",0,AP63*5)+IF(AR63="",0,AR63*5))/15)</f>
        <v/>
      </c>
      <c r="AU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V63" s="14">
        <f>IF(AU63="","",1)</f>
        <v/>
      </c>
      <c r="AW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X63" s="14">
        <f>IF(AW63="","",1)</f>
        <v/>
      </c>
      <c r="AY63" s="11">
        <f>IF((IF((IF(OR(City_Inputs!$AF63="",Norm_Stats!$F$21="",Norm_Stats!$G$21="",Norm_Stats!$G$21=Norm_Stats!$F$21),"",MAX(0,MIN(100,100*(MIN(MAX(City_Inputs!$AF63,Norm_Stats!$F$21),Norm_Stats!$G$21)-Norm_Stats!$F$21)/(Norm_Stats!$G$21-Norm_Stats!$F$21)))))="",0,0.5)+IF((IF(OR(City_Inputs!$AI63="",Norm_Stats!$F$22="",Norm_Stats!$G$22="",Norm_Stats!$G$22=Norm_Stats!$F$22),"",MAX(0,MIN(100,100*(MIN(MAX(City_Inputs!$AI63,Norm_Stats!$F$22),Norm_Stats!$G$22)-Norm_Stats!$F$22)/(Norm_Stats!$G$22-Norm_Stats!$F$22)))))="",0,0.3)+IF((IF(OR(City_Inputs!$AJ63="",Norm_Stats!$F$23="",Norm_Stats!$G$23="",Norm_Stats!$G$23=Norm_Stats!$F$23),"",MAX(0,MIN(100,100*(MIN(MAX(City_Inputs!$AJ63,Norm_Stats!$F$23),Norm_Stats!$G$23)-Norm_Stats!$F$23)/(Norm_Stats!$G$23-Norm_Stats!$F$23)))))="",0,0.2))=0,"",(IF((IF(OR(City_Inputs!$AF63="",Norm_Stats!$F$21="",Norm_Stats!$G$21="",Norm_Stats!$G$21=Norm_Stats!$F$21),"",MAX(0,MIN(100,100*(MIN(MAX(City_Inputs!$AF63,Norm_Stats!$F$21),Norm_Stats!$G$21)-Norm_Stats!$F$21)/(Norm_Stats!$G$21-Norm_Stats!$F$21)))))="",0,(IF(OR(City_Inputs!$AF63="",Norm_Stats!$F$21="",Norm_Stats!$G$21="",Norm_Stats!$G$21=Norm_Stats!$F$21),"",MAX(0,MIN(100,100*(MIN(MAX(City_Inputs!$AF63,Norm_Stats!$F$21),Norm_Stats!$G$21)-Norm_Stats!$F$21)/(Norm_Stats!$G$21-Norm_Stats!$F$21)))))*0.5)+IF((IF(OR(City_Inputs!$AI63="",Norm_Stats!$F$22="",Norm_Stats!$G$22="",Norm_Stats!$G$22=Norm_Stats!$F$22),"",MAX(0,MIN(100,100*(MIN(MAX(City_Inputs!$AI63,Norm_Stats!$F$22),Norm_Stats!$G$22)-Norm_Stats!$F$22)/(Norm_Stats!$G$22-Norm_Stats!$F$22)))))="",0,(IF(OR(City_Inputs!$AI63="",Norm_Stats!$F$22="",Norm_Stats!$G$22="",Norm_Stats!$G$22=Norm_Stats!$F$22),"",MAX(0,MIN(100,100*(MIN(MAX(City_Inputs!$AI63,Norm_Stats!$F$22),Norm_Stats!$G$22)-Norm_Stats!$F$22)/(Norm_Stats!$G$22-Norm_Stats!$F$22)))))*0.3)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0.2))/(IF((IF(OR(City_Inputs!$AF63="",Norm_Stats!$F$21="",Norm_Stats!$G$21="",Norm_Stats!$G$21=Norm_Stats!$F$21),"",MAX(0,MIN(100,100*(MIN(MAX(City_Inputs!$AF63,Norm_Stats!$F$21),Norm_Stats!$G$21)-Norm_Stats!$F$21)/(Norm_Stats!$G$21-Norm_Stats!$F$21)))))="",0,0.5)+IF((IF(OR(City_Inputs!$AI63="",Norm_Stats!$F$22="",Norm_Stats!$G$22="",Norm_Stats!$G$22=Norm_Stats!$F$22),"",MAX(0,MIN(100,100*(MIN(MAX(City_Inputs!$AI63,Norm_Stats!$F$22),Norm_Stats!$G$22)-Norm_Stats!$F$22)/(Norm_Stats!$G$22-Norm_Stats!$F$22)))))="",0,0.3)+IF((IF(OR(City_Inputs!$AJ63="",Norm_Stats!$F$23="",Norm_Stats!$G$23="",Norm_Stats!$G$23=Norm_Stats!$F$23),"",MAX(0,MIN(100,100*(MIN(MAX(City_Inputs!$AJ63,Norm_Stats!$F$23),Norm_Stats!$G$23)-Norm_Stats!$F$23)/(Norm_Stats!$G$23-Norm_Stats!$F$23)))))="",0,0.2)))</f>
        <v/>
      </c>
      <c r="AZ63" s="14">
        <f>IF((IF((IF(OR(City_Inputs!$AF63="",Norm_Stats!$F$21="",Norm_Stats!$G$21="",Norm_Stats!$G$21=Norm_Stats!$F$21),"",MAX(0,MIN(100,100*(MIN(MAX(City_Inputs!$AF63,Norm_Stats!$F$21),Norm_Stats!$G$21)-Norm_Stats!$F$21)/(Norm_Stats!$G$21-Norm_Stats!$F$21)))))="",0,0.5)+IF((IF(OR(City_Inputs!$AI63="",Norm_Stats!$F$22="",Norm_Stats!$G$22="",Norm_Stats!$G$22=Norm_Stats!$F$22),"",MAX(0,MIN(100,100*(MIN(MAX(City_Inputs!$AI63,Norm_Stats!$F$22),Norm_Stats!$G$22)-Norm_Stats!$F$22)/(Norm_Stats!$G$22-Norm_Stats!$F$22)))))="",0,0.3)+IF((IF(OR(City_Inputs!$AJ63="",Norm_Stats!$F$23="",Norm_Stats!$G$23="",Norm_Stats!$G$23=Norm_Stats!$F$23),"",MAX(0,MIN(100,100*(MIN(MAX(City_Inputs!$AJ63,Norm_Stats!$F$23),Norm_Stats!$G$23)-Norm_Stats!$F$23)/(Norm_Stats!$G$23-Norm_Stats!$F$23)))))="",0,0.2))=0,"",(IF((IF(OR(City_Inputs!$AF63="",Norm_Stats!$F$21="",Norm_Stats!$G$21="",Norm_Stats!$G$21=Norm_Stats!$F$21),"",MAX(0,MIN(100,100*(MIN(MAX(City_Inputs!$AF63,Norm_Stats!$F$21),Norm_Stats!$G$21)-Norm_Stats!$F$21)/(Norm_Stats!$G$21-Norm_Stats!$F$21)))))="",0,0.5)+IF((IF(OR(City_Inputs!$AI63="",Norm_Stats!$F$22="",Norm_Stats!$G$22="",Norm_Stats!$G$22=Norm_Stats!$F$22),"",MAX(0,MIN(100,100*(MIN(MAX(City_Inputs!$AI63,Norm_Stats!$F$22),Norm_Stats!$G$22)-Norm_Stats!$F$22)/(Norm_Stats!$G$22-Norm_Stats!$F$22)))))="",0,0.3)+IF((IF(OR(City_Inputs!$AJ63="",Norm_Stats!$F$23="",Norm_Stats!$G$23="",Norm_Stats!$G$23=Norm_Stats!$F$23),"",MAX(0,MIN(100,100*(MIN(MAX(City_Inputs!$AJ63,Norm_Stats!$F$23),Norm_Stats!$G$23)-Norm_Stats!$F$23)/(Norm_Stats!$G$23-Norm_Stats!$F$23)))))="",0,0.2)))</f>
        <v/>
      </c>
      <c r="BA63" s="11">
        <f>IF(OR(City_Inputs!$AG63="",Norm_Stats!$F$24="",Norm_Stats!$G$24="",Norm_Stats!$G$24=Norm_Stats!$F$24),"",MAX(0,MIN(100,100*(Norm_Stats!$G$24-MIN(MAX(City_Inputs!$AG63,Norm_Stats!$F$24),Norm_Stats!$G$24))/(Norm_Stats!$G$24-Norm_Stats!$F$24))))</f>
        <v/>
      </c>
      <c r="BB63" s="14">
        <f>IF(BA63="","",1)</f>
        <v/>
      </c>
      <c r="BC63" s="15">
        <f>IF((IF(AU63="",0,6)+IF(AW63="",0,5)+IF(AY63="",0,5)+IF(BA63="",0,4))=0,"",(IF(AU63="",0,AU63*6)+IF(AW63="",0,AW63*5)+IF(AY63="",0,AY63*5)+IF(BA63="",0,BA63*4))/(IF(AU63="",0,6)+IF(AW63="",0,5)+IF(AY63="",0,5)+IF(BA63="",0,4)))</f>
        <v/>
      </c>
      <c r="BD63" s="14">
        <f>IF((IF(AV63="",0,6)+IF(AX63="",0,5)+IF(AZ63="",0,5)+IF(BB63="",0,4))=0,"",(IF(AV63="",0,AV63*6)+IF(AX63="",0,AX63*5)+IF(AZ63="",0,AZ63*5)+IF(BB63="",0,BB63*4))/20)</f>
        <v/>
      </c>
      <c r="BE63" s="14">
        <f>IF(AND(R63="",AD63="",AL63="",AT63="",BD63=""),"",((R63*25)+(AD63*22)+(AL63*18)+(AT63*15)+(BD63*20))/100)</f>
        <v/>
      </c>
      <c r="BF63" s="11">
        <f>IF(BE63="","",IF(BE63&gt;=0.75,"A",IF(BE63&gt;=0.5,"B",IF(BE63&gt;=0.35,"C","Watchlist"))))</f>
        <v/>
      </c>
      <c r="BG63" s="11">
        <f>IF(OR(BE63="",BE63&lt;0.5,R63="",R63&lt;0.35,AD63="",AD63&lt;0.35,AL63="",AL63&lt;0.35,AT63="",AT63&lt;0.35,BD63="",BD63&lt;0.35),"Watchlist","Ranked")</f>
        <v/>
      </c>
      <c r="BH63" s="15">
        <f>IF(AND(Q63="",AC63="",AK63="",AS63="",BC63=""),"",(IF(Q63="",0,Q63*25)+IF(AC63="",0,AC63*22)+IF(AK63="",0,AK63*18)+IF(AS63="",0,AS63*15)+IF(BC63="",0,BC63*20))/(IF(Q63="",0,25)+IF(AC63="",0,22)+IF(AK63="",0,18)+IF(AS63="",0,15)+IF(BC63="",0,20)))</f>
        <v/>
      </c>
      <c r="BI63" s="11">
        <f>IF(BG63="Ranked",1+COUNTIFS($BG$2:$BG$101,"Ranked",$BH$2:$BH$101,"&gt;"&amp;BH63),"")</f>
        <v/>
      </c>
      <c r="BJ63" s="11">
        <f>City_Inputs!$AH63</f>
        <v/>
      </c>
    </row>
    <row r="64">
      <c r="A64" t="inlineStr">
        <is>
          <t>cl-santiago</t>
        </is>
      </c>
      <c r="B64" t="inlineStr">
        <is>
          <t>Santiago</t>
        </is>
      </c>
      <c r="C64" t="inlineStr">
        <is>
          <t>Chile</t>
        </is>
      </c>
      <c r="D64" t="inlineStr">
        <is>
          <t>Latin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IF((IF(G64="",0,9)+IF(I64="",0,5)+IF(K64="",0,4)+IF(M64="",0,4)+IF(O64="",0,3))=0,"",(IF(G64="",0,G64*9)+IF(I64="",0,I64*5)+IF(K64="",0,K64*4)+IF(M64="",0,M64*4)+IF(O64="",0,O64*3))/(IF(G64="",0,9)+IF(I64="",0,5)+IF(K64="",0,4)+IF(M64="",0,4)+IF(O64="",0,3)))</f>
        <v/>
      </c>
      <c r="R64" s="14">
        <f>IF((IF(H64="",0,9)+IF(J64="",0,5)+IF(L64="",0,4)+IF(N64="",0,4)+IF(P64="",0,3))=0,"",(IF(H64="",0,H64*9)+IF(J64="",0,J64*5)+IF(L64="",0,L64*4)+IF(N64="",0,N64*4)+IF(P64="",0,P64*3))/25)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5">
        <f>IF((IF(S64="",0,5)+IF(U64="",0,5)+IF(W64="",0,4)+IF(Y64="",0,4)+IF(AA64="",0,4))=0,"",(IF(S64="",0,S64*5)+IF(U64="",0,U64*5)+IF(W64="",0,W64*4)+IF(Y64="",0,Y64*4)+IF(AA64="",0,AA64*4))/(IF(S64="",0,5)+IF(U64="",0,5)+IF(W64="",0,4)+IF(Y64="",0,4)+IF(AA64="",0,4)))</f>
        <v/>
      </c>
      <c r="AD64" s="14">
        <f>IF((IF(T64="",0,5)+IF(V64="",0,5)+IF(X64="",0,4)+IF(Z64="",0,4)+IF(AB64="",0,4))=0,"",(IF(T64="",0,T64*5)+IF(V64="",0,V64*5)+IF(X64="",0,X64*4)+IF(Z64="",0,Z64*4)+IF(AB64="",0,AB64*4))/22)</f>
        <v/>
      </c>
      <c r="AE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F64" s="14">
        <f>IF(AE64="","",1)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(IF((IF(OR(City_Inputs!$Z64="",Norm_Stats!$F$14="",Norm_Stats!$G$14="",Norm_Stats!$G$14=Norm_Stats!$F$14),"",MAX(0,MIN(100,100*(MIN(MAX(City_Inputs!$Z64,Norm_Stats!$F$14),Norm_Stats!$G$14)-Norm_Stats!$F$14)/(Norm_Stats!$G$14-Norm_Stats!$F$14)))))="",0,0.7)+IF((IF(OR(City_Inputs!$AK64="",Norm_Stats!$F$15="",Norm_Stats!$G$15="",Norm_Stats!$G$15=Norm_Stats!$F$15),"",MAX(0,MIN(100,100*(Norm_Stats!$G$15-MIN(MAX(City_Inputs!$AK64,Norm_Stats!$F$15),Norm_Stats!$G$15))/(Norm_Stats!$G$15-Norm_Stats!$F$15)))))="",0,0.3))=0,"",(IF((IF(OR(City_Inputs!$Z64="",Norm_Stats!$F$14="",Norm_Stats!$G$14="",Norm_Stats!$G$14=Norm_Stats!$F$14),"",MAX(0,MIN(100,100*(MIN(MAX(City_Inputs!$Z64,Norm_Stats!$F$14),Norm_Stats!$G$14)-Norm_Stats!$F$14)/(Norm_Stats!$G$14-Norm_Stats!$F$14)))))="",0,(IF(OR(City_Inputs!$Z64="",Norm_Stats!$F$14="",Norm_Stats!$G$14="",Norm_Stats!$G$14=Norm_Stats!$F$14),"",MAX(0,MIN(100,100*(MIN(MAX(City_Inputs!$Z64,Norm_Stats!$F$14),Norm_Stats!$G$14)-Norm_Stats!$F$14)/(Norm_Stats!$G$14-Norm_Stats!$F$14)))))*0.7)+IF((IF(OR(City_Inputs!$AK64="",Norm_Stats!$F$15="",Norm_Stats!$G$15="",Norm_Stats!$G$15=Norm_Stats!$F$15),"",MAX(0,MIN(100,100*(Norm_Stats!$G$15-MIN(MAX(City_Inputs!$AK64,Norm_Stats!$F$15),Norm_Stats!$G$15))/(Norm_Stats!$G$15-Norm_Stats!$F$15)))))="",0,(IF(OR(City_Inputs!$AK64="",Norm_Stats!$F$15="",Norm_Stats!$G$15="",Norm_Stats!$G$15=Norm_Stats!$F$15),"",MAX(0,MIN(100,100*(Norm_Stats!$G$15-MIN(MAX(City_Inputs!$AK64,Norm_Stats!$F$15),Norm_Stats!$G$15))/(Norm_Stats!$G$15-Norm_Stats!$F$15)))))*0.3))/(IF((IF(OR(City_Inputs!$Z64="",Norm_Stats!$F$14="",Norm_Stats!$G$14="",Norm_Stats!$G$14=Norm_Stats!$F$14),"",MAX(0,MIN(100,100*(MIN(MAX(City_Inputs!$Z64,Norm_Stats!$F$14),Norm_Stats!$G$14)-Norm_Stats!$F$14)/(Norm_Stats!$G$14-Norm_Stats!$F$14)))))="",0,0.7)+IF((IF(OR(City_Inputs!$AK64="",Norm_Stats!$F$15="",Norm_Stats!$G$15="",Norm_Stats!$G$15=Norm_Stats!$F$15),"",MAX(0,MIN(100,100*(Norm_Stats!$G$15-MIN(MAX(City_Inputs!$AK64,Norm_Stats!$F$15),Norm_Stats!$G$15))/(Norm_Stats!$G$15-Norm_Stats!$F$15)))))="",0,0.3)))</f>
        <v/>
      </c>
      <c r="AJ64" s="14">
        <f>IF((IF((IF(OR(City_Inputs!$Z64="",Norm_Stats!$F$14="",Norm_Stats!$G$14="",Norm_Stats!$G$14=Norm_Stats!$F$14),"",MAX(0,MIN(100,100*(MIN(MAX(City_Inputs!$Z64,Norm_Stats!$F$14),Norm_Stats!$G$14)-Norm_Stats!$F$14)/(Norm_Stats!$G$14-Norm_Stats!$F$14)))))="",0,0.7)+IF((IF(OR(City_Inputs!$AK64="",Norm_Stats!$F$15="",Norm_Stats!$G$15="",Norm_Stats!$G$15=Norm_Stats!$F$15),"",MAX(0,MIN(100,100*(Norm_Stats!$G$15-MIN(MAX(City_Inputs!$AK64,Norm_Stats!$F$15),Norm_Stats!$G$15))/(Norm_Stats!$G$15-Norm_Stats!$F$15)))))="",0,0.3))=0,"",(IF((IF(OR(City_Inputs!$Z64="",Norm_Stats!$F$14="",Norm_Stats!$G$14="",Norm_Stats!$G$14=Norm_Stats!$F$14),"",MAX(0,MIN(100,100*(MIN(MAX(City_Inputs!$Z64,Norm_Stats!$F$14),Norm_Stats!$G$14)-Norm_Stats!$F$14)/(Norm_Stats!$G$14-Norm_Stats!$F$14)))))="",0,0.7)+IF((IF(OR(City_Inputs!$AK64="",Norm_Stats!$F$15="",Norm_Stats!$G$15="",Norm_Stats!$G$15=Norm_Stats!$F$15),"",MAX(0,MIN(100,100*(Norm_Stats!$G$15-MIN(MAX(City_Inputs!$AK64,Norm_Stats!$F$15),Norm_Stats!$G$15))/(Norm_Stats!$G$15-Norm_Stats!$F$15)))))="",0,0.3)))</f>
        <v/>
      </c>
      <c r="AK64" s="15">
        <f>IF((IF(AE64="",0,8)+IF(AG64="",0,6)+IF(AI64="",0,4))=0,"",(IF(AE64="",0,AE64*8)+IF(AG64="",0,AG64*6)+IF(AI64="",0,AI64*4))/(IF(AE64="",0,8)+IF(AG64="",0,6)+IF(AI64="",0,4)))</f>
        <v/>
      </c>
      <c r="AL64" s="14">
        <f>IF((IF(AF64="",0,8)+IF(AH64="",0,6)+IF(AJ64="",0,4))=0,"",(IF(AF64="",0,AF64*8)+IF(AH64="",0,AH64*6)+IF(AJ64="",0,AJ64*4))/18)</f>
        <v/>
      </c>
      <c r="AM64" s="11">
        <f>IF(OR(City_Inputs!$AA64="",Norm_Stats!$F$16="",Norm_Stats!$G$16="",Norm_Stats!$G$16=Norm_Stats!$F$16),"",MAX(0,MIN(100,100*(MIN(MAX(City_Inputs!$AA64,Norm_Stats!$F$16),Norm_Stats!$G$16)-Norm_Stats!$F$16)/(Norm_Stats!$G$16-Norm_Stats!$F$16))))</f>
        <v/>
      </c>
      <c r="AN64" s="14">
        <f>IF(AM64="","",1)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5">
        <f>IF((IF(AM64="",0,5)+IF(AO64="",0,5)+IF(AQ64="",0,5))=0,"",(IF(AM64="",0,AM64*5)+IF(AO64="",0,AO64*5)+IF(AQ64="",0,AQ64*5))/(IF(AM64="",0,5)+IF(AO64="",0,5)+IF(AQ64="",0,5)))</f>
        <v/>
      </c>
      <c r="AT64" s="14">
        <f>IF((IF(AN64="",0,5)+IF(AP64="",0,5)+IF(AR64="",0,5))=0,"",(IF(AN64="",0,AN64*5)+IF(AP64="",0,AP64*5)+IF(AR64="",0,AR64*5))/15)</f>
        <v/>
      </c>
      <c r="AU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V64" s="14">
        <f>IF(AU64="","",1)</f>
        <v/>
      </c>
      <c r="AW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X64" s="14">
        <f>IF(AW64="","",1)</f>
        <v/>
      </c>
      <c r="AY64" s="11">
        <f>IF((IF((IF(OR(City_Inputs!$AF64="",Norm_Stats!$F$21="",Norm_Stats!$G$21="",Norm_Stats!$G$21=Norm_Stats!$F$21),"",MAX(0,MIN(100,100*(MIN(MAX(City_Inputs!$AF64,Norm_Stats!$F$21),Norm_Stats!$G$21)-Norm_Stats!$F$21)/(Norm_Stats!$G$21-Norm_Stats!$F$21)))))="",0,0.5)+IF((IF(OR(City_Inputs!$AI64="",Norm_Stats!$F$22="",Norm_Stats!$G$22="",Norm_Stats!$G$22=Norm_Stats!$F$22),"",MAX(0,MIN(100,100*(MIN(MAX(City_Inputs!$AI64,Norm_Stats!$F$22),Norm_Stats!$G$22)-Norm_Stats!$F$22)/(Norm_Stats!$G$22-Norm_Stats!$F$22)))))="",0,0.3)+IF((IF(OR(City_Inputs!$AJ64="",Norm_Stats!$F$23="",Norm_Stats!$G$23="",Norm_Stats!$G$23=Norm_Stats!$F$23),"",MAX(0,MIN(100,100*(MIN(MAX(City_Inputs!$AJ64,Norm_Stats!$F$23),Norm_Stats!$G$23)-Norm_Stats!$F$23)/(Norm_Stats!$G$23-Norm_Stats!$F$23)))))="",0,0.2))=0,"",(IF((IF(OR(City_Inputs!$AF64="",Norm_Stats!$F$21="",Norm_Stats!$G$21="",Norm_Stats!$G$21=Norm_Stats!$F$21),"",MAX(0,MIN(100,100*(MIN(MAX(City_Inputs!$AF64,Norm_Stats!$F$21),Norm_Stats!$G$21)-Norm_Stats!$F$21)/(Norm_Stats!$G$21-Norm_Stats!$F$21)))))="",0,(IF(OR(City_Inputs!$AF64="",Norm_Stats!$F$21="",Norm_Stats!$G$21="",Norm_Stats!$G$21=Norm_Stats!$F$21),"",MAX(0,MIN(100,100*(MIN(MAX(City_Inputs!$AF64,Norm_Stats!$F$21),Norm_Stats!$G$21)-Norm_Stats!$F$21)/(Norm_Stats!$G$21-Norm_Stats!$F$21)))))*0.5)+IF((IF(OR(City_Inputs!$AI64="",Norm_Stats!$F$22="",Norm_Stats!$G$22="",Norm_Stats!$G$22=Norm_Stats!$F$22),"",MAX(0,MIN(100,100*(MIN(MAX(City_Inputs!$AI64,Norm_Stats!$F$22),Norm_Stats!$G$22)-Norm_Stats!$F$22)/(Norm_Stats!$G$22-Norm_Stats!$F$22)))))="",0,(IF(OR(City_Inputs!$AI64="",Norm_Stats!$F$22="",Norm_Stats!$G$22="",Norm_Stats!$G$22=Norm_Stats!$F$22),"",MAX(0,MIN(100,100*(MIN(MAX(City_Inputs!$AI64,Norm_Stats!$F$22),Norm_Stats!$G$22)-Norm_Stats!$F$22)/(Norm_Stats!$G$22-Norm_Stats!$F$22)))))*0.3)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0.2))/(IF((IF(OR(City_Inputs!$AF64="",Norm_Stats!$F$21="",Norm_Stats!$G$21="",Norm_Stats!$G$21=Norm_Stats!$F$21),"",MAX(0,MIN(100,100*(MIN(MAX(City_Inputs!$AF64,Norm_Stats!$F$21),Norm_Stats!$G$21)-Norm_Stats!$F$21)/(Norm_Stats!$G$21-Norm_Stats!$F$21)))))="",0,0.5)+IF((IF(OR(City_Inputs!$AI64="",Norm_Stats!$F$22="",Norm_Stats!$G$22="",Norm_Stats!$G$22=Norm_Stats!$F$22),"",MAX(0,MIN(100,100*(MIN(MAX(City_Inputs!$AI64,Norm_Stats!$F$22),Norm_Stats!$G$22)-Norm_Stats!$F$22)/(Norm_Stats!$G$22-Norm_Stats!$F$22)))))="",0,0.3)+IF((IF(OR(City_Inputs!$AJ64="",Norm_Stats!$F$23="",Norm_Stats!$G$23="",Norm_Stats!$G$23=Norm_Stats!$F$23),"",MAX(0,MIN(100,100*(MIN(MAX(City_Inputs!$AJ64,Norm_Stats!$F$23),Norm_Stats!$G$23)-Norm_Stats!$F$23)/(Norm_Stats!$G$23-Norm_Stats!$F$23)))))="",0,0.2)))</f>
        <v/>
      </c>
      <c r="AZ64" s="14">
        <f>IF((IF((IF(OR(City_Inputs!$AF64="",Norm_Stats!$F$21="",Norm_Stats!$G$21="",Norm_Stats!$G$21=Norm_Stats!$F$21),"",MAX(0,MIN(100,100*(MIN(MAX(City_Inputs!$AF64,Norm_Stats!$F$21),Norm_Stats!$G$21)-Norm_Stats!$F$21)/(Norm_Stats!$G$21-Norm_Stats!$F$21)))))="",0,0.5)+IF((IF(OR(City_Inputs!$AI64="",Norm_Stats!$F$22="",Norm_Stats!$G$22="",Norm_Stats!$G$22=Norm_Stats!$F$22),"",MAX(0,MIN(100,100*(MIN(MAX(City_Inputs!$AI64,Norm_Stats!$F$22),Norm_Stats!$G$22)-Norm_Stats!$F$22)/(Norm_Stats!$G$22-Norm_Stats!$F$22)))))="",0,0.3)+IF((IF(OR(City_Inputs!$AJ64="",Norm_Stats!$F$23="",Norm_Stats!$G$23="",Norm_Stats!$G$23=Norm_Stats!$F$23),"",MAX(0,MIN(100,100*(MIN(MAX(City_Inputs!$AJ64,Norm_Stats!$F$23),Norm_Stats!$G$23)-Norm_Stats!$F$23)/(Norm_Stats!$G$23-Norm_Stats!$F$23)))))="",0,0.2))=0,"",(IF((IF(OR(City_Inputs!$AF64="",Norm_Stats!$F$21="",Norm_Stats!$G$21="",Norm_Stats!$G$21=Norm_Stats!$F$21),"",MAX(0,MIN(100,100*(MIN(MAX(City_Inputs!$AF64,Norm_Stats!$F$21),Norm_Stats!$G$21)-Norm_Stats!$F$21)/(Norm_Stats!$G$21-Norm_Stats!$F$21)))))="",0,0.5)+IF((IF(OR(City_Inputs!$AI64="",Norm_Stats!$F$22="",Norm_Stats!$G$22="",Norm_Stats!$G$22=Norm_Stats!$F$22),"",MAX(0,MIN(100,100*(MIN(MAX(City_Inputs!$AI64,Norm_Stats!$F$22),Norm_Stats!$G$22)-Norm_Stats!$F$22)/(Norm_Stats!$G$22-Norm_Stats!$F$22)))))="",0,0.3)+IF((IF(OR(City_Inputs!$AJ64="",Norm_Stats!$F$23="",Norm_Stats!$G$23="",Norm_Stats!$G$23=Norm_Stats!$F$23),"",MAX(0,MIN(100,100*(MIN(MAX(City_Inputs!$AJ64,Norm_Stats!$F$23),Norm_Stats!$G$23)-Norm_Stats!$F$23)/(Norm_Stats!$G$23-Norm_Stats!$F$23)))))="",0,0.2)))</f>
        <v/>
      </c>
      <c r="BA64" s="11">
        <f>IF(OR(City_Inputs!$AG64="",Norm_Stats!$F$24="",Norm_Stats!$G$24="",Norm_Stats!$G$24=Norm_Stats!$F$24),"",MAX(0,MIN(100,100*(Norm_Stats!$G$24-MIN(MAX(City_Inputs!$AG64,Norm_Stats!$F$24),Norm_Stats!$G$24))/(Norm_Stats!$G$24-Norm_Stats!$F$24))))</f>
        <v/>
      </c>
      <c r="BB64" s="14">
        <f>IF(BA64="","",1)</f>
        <v/>
      </c>
      <c r="BC64" s="15">
        <f>IF((IF(AU64="",0,6)+IF(AW64="",0,5)+IF(AY64="",0,5)+IF(BA64="",0,4))=0,"",(IF(AU64="",0,AU64*6)+IF(AW64="",0,AW64*5)+IF(AY64="",0,AY64*5)+IF(BA64="",0,BA64*4))/(IF(AU64="",0,6)+IF(AW64="",0,5)+IF(AY64="",0,5)+IF(BA64="",0,4)))</f>
        <v/>
      </c>
      <c r="BD64" s="14">
        <f>IF((IF(AV64="",0,6)+IF(AX64="",0,5)+IF(AZ64="",0,5)+IF(BB64="",0,4))=0,"",(IF(AV64="",0,AV64*6)+IF(AX64="",0,AX64*5)+IF(AZ64="",0,AZ64*5)+IF(BB64="",0,BB64*4))/20)</f>
        <v/>
      </c>
      <c r="BE64" s="14">
        <f>IF(AND(R64="",AD64="",AL64="",AT64="",BD64=""),"",((R64*25)+(AD64*22)+(AL64*18)+(AT64*15)+(BD64*20))/100)</f>
        <v/>
      </c>
      <c r="BF64" s="11">
        <f>IF(BE64="","",IF(BE64&gt;=0.75,"A",IF(BE64&gt;=0.5,"B",IF(BE64&gt;=0.35,"C","Watchlist"))))</f>
        <v/>
      </c>
      <c r="BG64" s="11">
        <f>IF(OR(BE64="",BE64&lt;0.5,R64="",R64&lt;0.35,AD64="",AD64&lt;0.35,AL64="",AL64&lt;0.35,AT64="",AT64&lt;0.35,BD64="",BD64&lt;0.35),"Watchlist","Ranked")</f>
        <v/>
      </c>
      <c r="BH64" s="15">
        <f>IF(AND(Q64="",AC64="",AK64="",AS64="",BC64=""),"",(IF(Q64="",0,Q64*25)+IF(AC64="",0,AC64*22)+IF(AK64="",0,AK64*18)+IF(AS64="",0,AS64*15)+IF(BC64="",0,BC64*20))/(IF(Q64="",0,25)+IF(AC64="",0,22)+IF(AK64="",0,18)+IF(AS64="",0,15)+IF(BC64="",0,20)))</f>
        <v/>
      </c>
      <c r="BI64" s="11">
        <f>IF(BG64="Ranked",1+COUNTIFS($BG$2:$BG$101,"Ranked",$BH$2:$BH$101,"&gt;"&amp;BH64),"")</f>
        <v/>
      </c>
      <c r="BJ64" s="11">
        <f>City_Inputs!$AH64</f>
        <v/>
      </c>
    </row>
    <row r="65">
      <c r="A65" t="inlineStr">
        <is>
          <t>co-bogota</t>
        </is>
      </c>
      <c r="B65" t="inlineStr">
        <is>
          <t>Bogota</t>
        </is>
      </c>
      <c r="C65" t="inlineStr">
        <is>
          <t>Colombia</t>
        </is>
      </c>
      <c r="D65" t="inlineStr">
        <is>
          <t>Latin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IF((IF(G65="",0,9)+IF(I65="",0,5)+IF(K65="",0,4)+IF(M65="",0,4)+IF(O65="",0,3))=0,"",(IF(G65="",0,G65*9)+IF(I65="",0,I65*5)+IF(K65="",0,K65*4)+IF(M65="",0,M65*4)+IF(O65="",0,O65*3))/(IF(G65="",0,9)+IF(I65="",0,5)+IF(K65="",0,4)+IF(M65="",0,4)+IF(O65="",0,3)))</f>
        <v/>
      </c>
      <c r="R65" s="14">
        <f>IF((IF(H65="",0,9)+IF(J65="",0,5)+IF(L65="",0,4)+IF(N65="",0,4)+IF(P65="",0,3))=0,"",(IF(H65="",0,H65*9)+IF(J65="",0,J65*5)+IF(L65="",0,L65*4)+IF(N65="",0,N65*4)+IF(P65="",0,P65*3))/25)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5">
        <f>IF((IF(S65="",0,5)+IF(U65="",0,5)+IF(W65="",0,4)+IF(Y65="",0,4)+IF(AA65="",0,4))=0,"",(IF(S65="",0,S65*5)+IF(U65="",0,U65*5)+IF(W65="",0,W65*4)+IF(Y65="",0,Y65*4)+IF(AA65="",0,AA65*4))/(IF(S65="",0,5)+IF(U65="",0,5)+IF(W65="",0,4)+IF(Y65="",0,4)+IF(AA65="",0,4)))</f>
        <v/>
      </c>
      <c r="AD65" s="14">
        <f>IF((IF(T65="",0,5)+IF(V65="",0,5)+IF(X65="",0,4)+IF(Z65="",0,4)+IF(AB65="",0,4))=0,"",(IF(T65="",0,T65*5)+IF(V65="",0,V65*5)+IF(X65="",0,X65*4)+IF(Z65="",0,Z65*4)+IF(AB65="",0,AB65*4))/22)</f>
        <v/>
      </c>
      <c r="AE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F65" s="14">
        <f>IF(AE65="","",1)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(IF((IF(OR(City_Inputs!$Z65="",Norm_Stats!$F$14="",Norm_Stats!$G$14="",Norm_Stats!$G$14=Norm_Stats!$F$14),"",MAX(0,MIN(100,100*(MIN(MAX(City_Inputs!$Z65,Norm_Stats!$F$14),Norm_Stats!$G$14)-Norm_Stats!$F$14)/(Norm_Stats!$G$14-Norm_Stats!$F$14)))))="",0,0.7)+IF((IF(OR(City_Inputs!$AK65="",Norm_Stats!$F$15="",Norm_Stats!$G$15="",Norm_Stats!$G$15=Norm_Stats!$F$15),"",MAX(0,MIN(100,100*(Norm_Stats!$G$15-MIN(MAX(City_Inputs!$AK65,Norm_Stats!$F$15),Norm_Stats!$G$15))/(Norm_Stats!$G$15-Norm_Stats!$F$15)))))="",0,0.3))=0,"",(IF((IF(OR(City_Inputs!$Z65="",Norm_Stats!$F$14="",Norm_Stats!$G$14="",Norm_Stats!$G$14=Norm_Stats!$F$14),"",MAX(0,MIN(100,100*(MIN(MAX(City_Inputs!$Z65,Norm_Stats!$F$14),Norm_Stats!$G$14)-Norm_Stats!$F$14)/(Norm_Stats!$G$14-Norm_Stats!$F$14)))))="",0,(IF(OR(City_Inputs!$Z65="",Norm_Stats!$F$14="",Norm_Stats!$G$14="",Norm_Stats!$G$14=Norm_Stats!$F$14),"",MAX(0,MIN(100,100*(MIN(MAX(City_Inputs!$Z65,Norm_Stats!$F$14),Norm_Stats!$G$14)-Norm_Stats!$F$14)/(Norm_Stats!$G$14-Norm_Stats!$F$14)))))*0.7)+IF((IF(OR(City_Inputs!$AK65="",Norm_Stats!$F$15="",Norm_Stats!$G$15="",Norm_Stats!$G$15=Norm_Stats!$F$15),"",MAX(0,MIN(100,100*(Norm_Stats!$G$15-MIN(MAX(City_Inputs!$AK65,Norm_Stats!$F$15),Norm_Stats!$G$15))/(Norm_Stats!$G$15-Norm_Stats!$F$15)))))="",0,(IF(OR(City_Inputs!$AK65="",Norm_Stats!$F$15="",Norm_Stats!$G$15="",Norm_Stats!$G$15=Norm_Stats!$F$15),"",MAX(0,MIN(100,100*(Norm_Stats!$G$15-MIN(MAX(City_Inputs!$AK65,Norm_Stats!$F$15),Norm_Stats!$G$15))/(Norm_Stats!$G$15-Norm_Stats!$F$15)))))*0.3))/(IF((IF(OR(City_Inputs!$Z65="",Norm_Stats!$F$14="",Norm_Stats!$G$14="",Norm_Stats!$G$14=Norm_Stats!$F$14),"",MAX(0,MIN(100,100*(MIN(MAX(City_Inputs!$Z65,Norm_Stats!$F$14),Norm_Stats!$G$14)-Norm_Stats!$F$14)/(Norm_Stats!$G$14-Norm_Stats!$F$14)))))="",0,0.7)+IF((IF(OR(City_Inputs!$AK65="",Norm_Stats!$F$15="",Norm_Stats!$G$15="",Norm_Stats!$G$15=Norm_Stats!$F$15),"",MAX(0,MIN(100,100*(Norm_Stats!$G$15-MIN(MAX(City_Inputs!$AK65,Norm_Stats!$F$15),Norm_Stats!$G$15))/(Norm_Stats!$G$15-Norm_Stats!$F$15)))))="",0,0.3)))</f>
        <v/>
      </c>
      <c r="AJ65" s="14">
        <f>IF((IF((IF(OR(City_Inputs!$Z65="",Norm_Stats!$F$14="",Norm_Stats!$G$14="",Norm_Stats!$G$14=Norm_Stats!$F$14),"",MAX(0,MIN(100,100*(MIN(MAX(City_Inputs!$Z65,Norm_Stats!$F$14),Norm_Stats!$G$14)-Norm_Stats!$F$14)/(Norm_Stats!$G$14-Norm_Stats!$F$14)))))="",0,0.7)+IF((IF(OR(City_Inputs!$AK65="",Norm_Stats!$F$15="",Norm_Stats!$G$15="",Norm_Stats!$G$15=Norm_Stats!$F$15),"",MAX(0,MIN(100,100*(Norm_Stats!$G$15-MIN(MAX(City_Inputs!$AK65,Norm_Stats!$F$15),Norm_Stats!$G$15))/(Norm_Stats!$G$15-Norm_Stats!$F$15)))))="",0,0.3))=0,"",(IF((IF(OR(City_Inputs!$Z65="",Norm_Stats!$F$14="",Norm_Stats!$G$14="",Norm_Stats!$G$14=Norm_Stats!$F$14),"",MAX(0,MIN(100,100*(MIN(MAX(City_Inputs!$Z65,Norm_Stats!$F$14),Norm_Stats!$G$14)-Norm_Stats!$F$14)/(Norm_Stats!$G$14-Norm_Stats!$F$14)))))="",0,0.7)+IF((IF(OR(City_Inputs!$AK65="",Norm_Stats!$F$15="",Norm_Stats!$G$15="",Norm_Stats!$G$15=Norm_Stats!$F$15),"",MAX(0,MIN(100,100*(Norm_Stats!$G$15-MIN(MAX(City_Inputs!$AK65,Norm_Stats!$F$15),Norm_Stats!$G$15))/(Norm_Stats!$G$15-Norm_Stats!$F$15)))))="",0,0.3)))</f>
        <v/>
      </c>
      <c r="AK65" s="15">
        <f>IF((IF(AE65="",0,8)+IF(AG65="",0,6)+IF(AI65="",0,4))=0,"",(IF(AE65="",0,AE65*8)+IF(AG65="",0,AG65*6)+IF(AI65="",0,AI65*4))/(IF(AE65="",0,8)+IF(AG65="",0,6)+IF(AI65="",0,4)))</f>
        <v/>
      </c>
      <c r="AL65" s="14">
        <f>IF((IF(AF65="",0,8)+IF(AH65="",0,6)+IF(AJ65="",0,4))=0,"",(IF(AF65="",0,AF65*8)+IF(AH65="",0,AH65*6)+IF(AJ65="",0,AJ65*4))/18)</f>
        <v/>
      </c>
      <c r="AM65" s="11">
        <f>IF(OR(City_Inputs!$AA65="",Norm_Stats!$F$16="",Norm_Stats!$G$16="",Norm_Stats!$G$16=Norm_Stats!$F$16),"",MAX(0,MIN(100,100*(MIN(MAX(City_Inputs!$AA65,Norm_Stats!$F$16),Norm_Stats!$G$16)-Norm_Stats!$F$16)/(Norm_Stats!$G$16-Norm_Stats!$F$16))))</f>
        <v/>
      </c>
      <c r="AN65" s="14">
        <f>IF(AM65="","",1)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5">
        <f>IF((IF(AM65="",0,5)+IF(AO65="",0,5)+IF(AQ65="",0,5))=0,"",(IF(AM65="",0,AM65*5)+IF(AO65="",0,AO65*5)+IF(AQ65="",0,AQ65*5))/(IF(AM65="",0,5)+IF(AO65="",0,5)+IF(AQ65="",0,5)))</f>
        <v/>
      </c>
      <c r="AT65" s="14">
        <f>IF((IF(AN65="",0,5)+IF(AP65="",0,5)+IF(AR65="",0,5))=0,"",(IF(AN65="",0,AN65*5)+IF(AP65="",0,AP65*5)+IF(AR65="",0,AR65*5))/15)</f>
        <v/>
      </c>
      <c r="AU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V65" s="14">
        <f>IF(AU65="","",1)</f>
        <v/>
      </c>
      <c r="AW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X65" s="14">
        <f>IF(AW65="","",1)</f>
        <v/>
      </c>
      <c r="AY65" s="11">
        <f>IF((IF((IF(OR(City_Inputs!$AF65="",Norm_Stats!$F$21="",Norm_Stats!$G$21="",Norm_Stats!$G$21=Norm_Stats!$F$21),"",MAX(0,MIN(100,100*(MIN(MAX(City_Inputs!$AF65,Norm_Stats!$F$21),Norm_Stats!$G$21)-Norm_Stats!$F$21)/(Norm_Stats!$G$21-Norm_Stats!$F$21)))))="",0,0.5)+IF((IF(OR(City_Inputs!$AI65="",Norm_Stats!$F$22="",Norm_Stats!$G$22="",Norm_Stats!$G$22=Norm_Stats!$F$22),"",MAX(0,MIN(100,100*(MIN(MAX(City_Inputs!$AI65,Norm_Stats!$F$22),Norm_Stats!$G$22)-Norm_Stats!$F$22)/(Norm_Stats!$G$22-Norm_Stats!$F$22)))))="",0,0.3)+IF((IF(OR(City_Inputs!$AJ65="",Norm_Stats!$F$23="",Norm_Stats!$G$23="",Norm_Stats!$G$23=Norm_Stats!$F$23),"",MAX(0,MIN(100,100*(MIN(MAX(City_Inputs!$AJ65,Norm_Stats!$F$23),Norm_Stats!$G$23)-Norm_Stats!$F$23)/(Norm_Stats!$G$23-Norm_Stats!$F$23)))))="",0,0.2))=0,"",(IF((IF(OR(City_Inputs!$AF65="",Norm_Stats!$F$21="",Norm_Stats!$G$21="",Norm_Stats!$G$21=Norm_Stats!$F$21),"",MAX(0,MIN(100,100*(MIN(MAX(City_Inputs!$AF65,Norm_Stats!$F$21),Norm_Stats!$G$21)-Norm_Stats!$F$21)/(Norm_Stats!$G$21-Norm_Stats!$F$21)))))="",0,(IF(OR(City_Inputs!$AF65="",Norm_Stats!$F$21="",Norm_Stats!$G$21="",Norm_Stats!$G$21=Norm_Stats!$F$21),"",MAX(0,MIN(100,100*(MIN(MAX(City_Inputs!$AF65,Norm_Stats!$F$21),Norm_Stats!$G$21)-Norm_Stats!$F$21)/(Norm_Stats!$G$21-Norm_Stats!$F$21)))))*0.5)+IF((IF(OR(City_Inputs!$AI65="",Norm_Stats!$F$22="",Norm_Stats!$G$22="",Norm_Stats!$G$22=Norm_Stats!$F$22),"",MAX(0,MIN(100,100*(MIN(MAX(City_Inputs!$AI65,Norm_Stats!$F$22),Norm_Stats!$G$22)-Norm_Stats!$F$22)/(Norm_Stats!$G$22-Norm_Stats!$F$22)))))="",0,(IF(OR(City_Inputs!$AI65="",Norm_Stats!$F$22="",Norm_Stats!$G$22="",Norm_Stats!$G$22=Norm_Stats!$F$22),"",MAX(0,MIN(100,100*(MIN(MAX(City_Inputs!$AI65,Norm_Stats!$F$22),Norm_Stats!$G$22)-Norm_Stats!$F$22)/(Norm_Stats!$G$22-Norm_Stats!$F$22)))))*0.3)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0.2))/(IF((IF(OR(City_Inputs!$AF65="",Norm_Stats!$F$21="",Norm_Stats!$G$21="",Norm_Stats!$G$21=Norm_Stats!$F$21),"",MAX(0,MIN(100,100*(MIN(MAX(City_Inputs!$AF65,Norm_Stats!$F$21),Norm_Stats!$G$21)-Norm_Stats!$F$21)/(Norm_Stats!$G$21-Norm_Stats!$F$21)))))="",0,0.5)+IF((IF(OR(City_Inputs!$AI65="",Norm_Stats!$F$22="",Norm_Stats!$G$22="",Norm_Stats!$G$22=Norm_Stats!$F$22),"",MAX(0,MIN(100,100*(MIN(MAX(City_Inputs!$AI65,Norm_Stats!$F$22),Norm_Stats!$G$22)-Norm_Stats!$F$22)/(Norm_Stats!$G$22-Norm_Stats!$F$22)))))="",0,0.3)+IF((IF(OR(City_Inputs!$AJ65="",Norm_Stats!$F$23="",Norm_Stats!$G$23="",Norm_Stats!$G$23=Norm_Stats!$F$23),"",MAX(0,MIN(100,100*(MIN(MAX(City_Inputs!$AJ65,Norm_Stats!$F$23),Norm_Stats!$G$23)-Norm_Stats!$F$23)/(Norm_Stats!$G$23-Norm_Stats!$F$23)))))="",0,0.2)))</f>
        <v/>
      </c>
      <c r="AZ65" s="14">
        <f>IF((IF((IF(OR(City_Inputs!$AF65="",Norm_Stats!$F$21="",Norm_Stats!$G$21="",Norm_Stats!$G$21=Norm_Stats!$F$21),"",MAX(0,MIN(100,100*(MIN(MAX(City_Inputs!$AF65,Norm_Stats!$F$21),Norm_Stats!$G$21)-Norm_Stats!$F$21)/(Norm_Stats!$G$21-Norm_Stats!$F$21)))))="",0,0.5)+IF((IF(OR(City_Inputs!$AI65="",Norm_Stats!$F$22="",Norm_Stats!$G$22="",Norm_Stats!$G$22=Norm_Stats!$F$22),"",MAX(0,MIN(100,100*(MIN(MAX(City_Inputs!$AI65,Norm_Stats!$F$22),Norm_Stats!$G$22)-Norm_Stats!$F$22)/(Norm_Stats!$G$22-Norm_Stats!$F$22)))))="",0,0.3)+IF((IF(OR(City_Inputs!$AJ65="",Norm_Stats!$F$23="",Norm_Stats!$G$23="",Norm_Stats!$G$23=Norm_Stats!$F$23),"",MAX(0,MIN(100,100*(MIN(MAX(City_Inputs!$AJ65,Norm_Stats!$F$23),Norm_Stats!$G$23)-Norm_Stats!$F$23)/(Norm_Stats!$G$23-Norm_Stats!$F$23)))))="",0,0.2))=0,"",(IF((IF(OR(City_Inputs!$AF65="",Norm_Stats!$F$21="",Norm_Stats!$G$21="",Norm_Stats!$G$21=Norm_Stats!$F$21),"",MAX(0,MIN(100,100*(MIN(MAX(City_Inputs!$AF65,Norm_Stats!$F$21),Norm_Stats!$G$21)-Norm_Stats!$F$21)/(Norm_Stats!$G$21-Norm_Stats!$F$21)))))="",0,0.5)+IF((IF(OR(City_Inputs!$AI65="",Norm_Stats!$F$22="",Norm_Stats!$G$22="",Norm_Stats!$G$22=Norm_Stats!$F$22),"",MAX(0,MIN(100,100*(MIN(MAX(City_Inputs!$AI65,Norm_Stats!$F$22),Norm_Stats!$G$22)-Norm_Stats!$F$22)/(Norm_Stats!$G$22-Norm_Stats!$F$22)))))="",0,0.3)+IF((IF(OR(City_Inputs!$AJ65="",Norm_Stats!$F$23="",Norm_Stats!$G$23="",Norm_Stats!$G$23=Norm_Stats!$F$23),"",MAX(0,MIN(100,100*(MIN(MAX(City_Inputs!$AJ65,Norm_Stats!$F$23),Norm_Stats!$G$23)-Norm_Stats!$F$23)/(Norm_Stats!$G$23-Norm_Stats!$F$23)))))="",0,0.2)))</f>
        <v/>
      </c>
      <c r="BA65" s="11">
        <f>IF(OR(City_Inputs!$AG65="",Norm_Stats!$F$24="",Norm_Stats!$G$24="",Norm_Stats!$G$24=Norm_Stats!$F$24),"",MAX(0,MIN(100,100*(Norm_Stats!$G$24-MIN(MAX(City_Inputs!$AG65,Norm_Stats!$F$24),Norm_Stats!$G$24))/(Norm_Stats!$G$24-Norm_Stats!$F$24))))</f>
        <v/>
      </c>
      <c r="BB65" s="14">
        <f>IF(BA65="","",1)</f>
        <v/>
      </c>
      <c r="BC65" s="15">
        <f>IF((IF(AU65="",0,6)+IF(AW65="",0,5)+IF(AY65="",0,5)+IF(BA65="",0,4))=0,"",(IF(AU65="",0,AU65*6)+IF(AW65="",0,AW65*5)+IF(AY65="",0,AY65*5)+IF(BA65="",0,BA65*4))/(IF(AU65="",0,6)+IF(AW65="",0,5)+IF(AY65="",0,5)+IF(BA65="",0,4)))</f>
        <v/>
      </c>
      <c r="BD65" s="14">
        <f>IF((IF(AV65="",0,6)+IF(AX65="",0,5)+IF(AZ65="",0,5)+IF(BB65="",0,4))=0,"",(IF(AV65="",0,AV65*6)+IF(AX65="",0,AX65*5)+IF(AZ65="",0,AZ65*5)+IF(BB65="",0,BB65*4))/20)</f>
        <v/>
      </c>
      <c r="BE65" s="14">
        <f>IF(AND(R65="",AD65="",AL65="",AT65="",BD65=""),"",((R65*25)+(AD65*22)+(AL65*18)+(AT65*15)+(BD65*20))/100)</f>
        <v/>
      </c>
      <c r="BF65" s="11">
        <f>IF(BE65="","",IF(BE65&gt;=0.75,"A",IF(BE65&gt;=0.5,"B",IF(BE65&gt;=0.35,"C","Watchlist"))))</f>
        <v/>
      </c>
      <c r="BG65" s="11">
        <f>IF(OR(BE65="",BE65&lt;0.5,R65="",R65&lt;0.35,AD65="",AD65&lt;0.35,AL65="",AL65&lt;0.35,AT65="",AT65&lt;0.35,BD65="",BD65&lt;0.35),"Watchlist","Ranked")</f>
        <v/>
      </c>
      <c r="BH65" s="15">
        <f>IF(AND(Q65="",AC65="",AK65="",AS65="",BC65=""),"",(IF(Q65="",0,Q65*25)+IF(AC65="",0,AC65*22)+IF(AK65="",0,AK65*18)+IF(AS65="",0,AS65*15)+IF(BC65="",0,BC65*20))/(IF(Q65="",0,25)+IF(AC65="",0,22)+IF(AK65="",0,18)+IF(AS65="",0,15)+IF(BC65="",0,20)))</f>
        <v/>
      </c>
      <c r="BI65" s="11">
        <f>IF(BG65="Ranked",1+COUNTIFS($BG$2:$BG$101,"Ranked",$BH$2:$BH$101,"&gt;"&amp;BH65),"")</f>
        <v/>
      </c>
      <c r="BJ65" s="11">
        <f>City_Inputs!$AH65</f>
        <v/>
      </c>
    </row>
    <row r="66">
      <c r="A66" t="inlineStr">
        <is>
          <t>pe-lima</t>
        </is>
      </c>
      <c r="B66" t="inlineStr">
        <is>
          <t>Lima</t>
        </is>
      </c>
      <c r="C66" t="inlineStr">
        <is>
          <t>Peru</t>
        </is>
      </c>
      <c r="D66" t="inlineStr">
        <is>
          <t>Latin America</t>
        </is>
      </c>
      <c r="E66" t="inlineStr">
        <is>
          <t>provisional</t>
        </is>
      </c>
      <c r="F66" t="inlineStr">
        <is>
          <t>primary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IF((IF(G66="",0,9)+IF(I66="",0,5)+IF(K66="",0,4)+IF(M66="",0,4)+IF(O66="",0,3))=0,"",(IF(G66="",0,G66*9)+IF(I66="",0,I66*5)+IF(K66="",0,K66*4)+IF(M66="",0,M66*4)+IF(O66="",0,O66*3))/(IF(G66="",0,9)+IF(I66="",0,5)+IF(K66="",0,4)+IF(M66="",0,4)+IF(O66="",0,3)))</f>
        <v/>
      </c>
      <c r="R66" s="14">
        <f>IF((IF(H66="",0,9)+IF(J66="",0,5)+IF(L66="",0,4)+IF(N66="",0,4)+IF(P66="",0,3))=0,"",(IF(H66="",0,H66*9)+IF(J66="",0,J66*5)+IF(L66="",0,L66*4)+IF(N66="",0,N66*4)+IF(P66="",0,P66*3))/25)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5">
        <f>IF((IF(S66="",0,5)+IF(U66="",0,5)+IF(W66="",0,4)+IF(Y66="",0,4)+IF(AA66="",0,4))=0,"",(IF(S66="",0,S66*5)+IF(U66="",0,U66*5)+IF(W66="",0,W66*4)+IF(Y66="",0,Y66*4)+IF(AA66="",0,AA66*4))/(IF(S66="",0,5)+IF(U66="",0,5)+IF(W66="",0,4)+IF(Y66="",0,4)+IF(AA66="",0,4)))</f>
        <v/>
      </c>
      <c r="AD66" s="14">
        <f>IF((IF(T66="",0,5)+IF(V66="",0,5)+IF(X66="",0,4)+IF(Z66="",0,4)+IF(AB66="",0,4))=0,"",(IF(T66="",0,T66*5)+IF(V66="",0,V66*5)+IF(X66="",0,X66*4)+IF(Z66="",0,Z66*4)+IF(AB66="",0,AB66*4))/22)</f>
        <v/>
      </c>
      <c r="AE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F66" s="14">
        <f>IF(AE66="","",1)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(IF((IF(OR(City_Inputs!$Z66="",Norm_Stats!$F$14="",Norm_Stats!$G$14="",Norm_Stats!$G$14=Norm_Stats!$F$14),"",MAX(0,MIN(100,100*(MIN(MAX(City_Inputs!$Z66,Norm_Stats!$F$14),Norm_Stats!$G$14)-Norm_Stats!$F$14)/(Norm_Stats!$G$14-Norm_Stats!$F$14)))))="",0,0.7)+IF((IF(OR(City_Inputs!$AK66="",Norm_Stats!$F$15="",Norm_Stats!$G$15="",Norm_Stats!$G$15=Norm_Stats!$F$15),"",MAX(0,MIN(100,100*(Norm_Stats!$G$15-MIN(MAX(City_Inputs!$AK66,Norm_Stats!$F$15),Norm_Stats!$G$15))/(Norm_Stats!$G$15-Norm_Stats!$F$15)))))="",0,0.3))=0,"",(IF((IF(OR(City_Inputs!$Z66="",Norm_Stats!$F$14="",Norm_Stats!$G$14="",Norm_Stats!$G$14=Norm_Stats!$F$14),"",MAX(0,MIN(100,100*(MIN(MAX(City_Inputs!$Z66,Norm_Stats!$F$14),Norm_Stats!$G$14)-Norm_Stats!$F$14)/(Norm_Stats!$G$14-Norm_Stats!$F$14)))))="",0,(IF(OR(City_Inputs!$Z66="",Norm_Stats!$F$14="",Norm_Stats!$G$14="",Norm_Stats!$G$14=Norm_Stats!$F$14),"",MAX(0,MIN(100,100*(MIN(MAX(City_Inputs!$Z66,Norm_Stats!$F$14),Norm_Stats!$G$14)-Norm_Stats!$F$14)/(Norm_Stats!$G$14-Norm_Stats!$F$14)))))*0.7)+IF((IF(OR(City_Inputs!$AK66="",Norm_Stats!$F$15="",Norm_Stats!$G$15="",Norm_Stats!$G$15=Norm_Stats!$F$15),"",MAX(0,MIN(100,100*(Norm_Stats!$G$15-MIN(MAX(City_Inputs!$AK66,Norm_Stats!$F$15),Norm_Stats!$G$15))/(Norm_Stats!$G$15-Norm_Stats!$F$15)))))="",0,(IF(OR(City_Inputs!$AK66="",Norm_Stats!$F$15="",Norm_Stats!$G$15="",Norm_Stats!$G$15=Norm_Stats!$F$15),"",MAX(0,MIN(100,100*(Norm_Stats!$G$15-MIN(MAX(City_Inputs!$AK66,Norm_Stats!$F$15),Norm_Stats!$G$15))/(Norm_Stats!$G$15-Norm_Stats!$F$15)))))*0.3))/(IF((IF(OR(City_Inputs!$Z66="",Norm_Stats!$F$14="",Norm_Stats!$G$14="",Norm_Stats!$G$14=Norm_Stats!$F$14),"",MAX(0,MIN(100,100*(MIN(MAX(City_Inputs!$Z66,Norm_Stats!$F$14),Norm_Stats!$G$14)-Norm_Stats!$F$14)/(Norm_Stats!$G$14-Norm_Stats!$F$14)))))="",0,0.7)+IF((IF(OR(City_Inputs!$AK66="",Norm_Stats!$F$15="",Norm_Stats!$G$15="",Norm_Stats!$G$15=Norm_Stats!$F$15),"",MAX(0,MIN(100,100*(Norm_Stats!$G$15-MIN(MAX(City_Inputs!$AK66,Norm_Stats!$F$15),Norm_Stats!$G$15))/(Norm_Stats!$G$15-Norm_Stats!$F$15)))))="",0,0.3)))</f>
        <v/>
      </c>
      <c r="AJ66" s="14">
        <f>IF((IF((IF(OR(City_Inputs!$Z66="",Norm_Stats!$F$14="",Norm_Stats!$G$14="",Norm_Stats!$G$14=Norm_Stats!$F$14),"",MAX(0,MIN(100,100*(MIN(MAX(City_Inputs!$Z66,Norm_Stats!$F$14),Norm_Stats!$G$14)-Norm_Stats!$F$14)/(Norm_Stats!$G$14-Norm_Stats!$F$14)))))="",0,0.7)+IF((IF(OR(City_Inputs!$AK66="",Norm_Stats!$F$15="",Norm_Stats!$G$15="",Norm_Stats!$G$15=Norm_Stats!$F$15),"",MAX(0,MIN(100,100*(Norm_Stats!$G$15-MIN(MAX(City_Inputs!$AK66,Norm_Stats!$F$15),Norm_Stats!$G$15))/(Norm_Stats!$G$15-Norm_Stats!$F$15)))))="",0,0.3))=0,"",(IF((IF(OR(City_Inputs!$Z66="",Norm_Stats!$F$14="",Norm_Stats!$G$14="",Norm_Stats!$G$14=Norm_Stats!$F$14),"",MAX(0,MIN(100,100*(MIN(MAX(City_Inputs!$Z66,Norm_Stats!$F$14),Norm_Stats!$G$14)-Norm_Stats!$F$14)/(Norm_Stats!$G$14-Norm_Stats!$F$14)))))="",0,0.7)+IF((IF(OR(City_Inputs!$AK66="",Norm_Stats!$F$15="",Norm_Stats!$G$15="",Norm_Stats!$G$15=Norm_Stats!$F$15),"",MAX(0,MIN(100,100*(Norm_Stats!$G$15-MIN(MAX(City_Inputs!$AK66,Norm_Stats!$F$15),Norm_Stats!$G$15))/(Norm_Stats!$G$15-Norm_Stats!$F$15)))))="",0,0.3)))</f>
        <v/>
      </c>
      <c r="AK66" s="15">
        <f>IF((IF(AE66="",0,8)+IF(AG66="",0,6)+IF(AI66="",0,4))=0,"",(IF(AE66="",0,AE66*8)+IF(AG66="",0,AG66*6)+IF(AI66="",0,AI66*4))/(IF(AE66="",0,8)+IF(AG66="",0,6)+IF(AI66="",0,4)))</f>
        <v/>
      </c>
      <c r="AL66" s="14">
        <f>IF((IF(AF66="",0,8)+IF(AH66="",0,6)+IF(AJ66="",0,4))=0,"",(IF(AF66="",0,AF66*8)+IF(AH66="",0,AH66*6)+IF(AJ66="",0,AJ66*4))/18)</f>
        <v/>
      </c>
      <c r="AM66" s="11">
        <f>IF(OR(City_Inputs!$AA66="",Norm_Stats!$F$16="",Norm_Stats!$G$16="",Norm_Stats!$G$16=Norm_Stats!$F$16),"",MAX(0,MIN(100,100*(MIN(MAX(City_Inputs!$AA66,Norm_Stats!$F$16),Norm_Stats!$G$16)-Norm_Stats!$F$16)/(Norm_Stats!$G$16-Norm_Stats!$F$16))))</f>
        <v/>
      </c>
      <c r="AN66" s="14">
        <f>IF(AM66="","",1)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5">
        <f>IF((IF(AM66="",0,5)+IF(AO66="",0,5)+IF(AQ66="",0,5))=0,"",(IF(AM66="",0,AM66*5)+IF(AO66="",0,AO66*5)+IF(AQ66="",0,AQ66*5))/(IF(AM66="",0,5)+IF(AO66="",0,5)+IF(AQ66="",0,5)))</f>
        <v/>
      </c>
      <c r="AT66" s="14">
        <f>IF((IF(AN66="",0,5)+IF(AP66="",0,5)+IF(AR66="",0,5))=0,"",(IF(AN66="",0,AN66*5)+IF(AP66="",0,AP66*5)+IF(AR66="",0,AR66*5))/15)</f>
        <v/>
      </c>
      <c r="AU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V66" s="14">
        <f>IF(AU66="","",1)</f>
        <v/>
      </c>
      <c r="AW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X66" s="14">
        <f>IF(AW66="","",1)</f>
        <v/>
      </c>
      <c r="AY66" s="11">
        <f>IF((IF((IF(OR(City_Inputs!$AF66="",Norm_Stats!$F$21="",Norm_Stats!$G$21="",Norm_Stats!$G$21=Norm_Stats!$F$21),"",MAX(0,MIN(100,100*(MIN(MAX(City_Inputs!$AF66,Norm_Stats!$F$21),Norm_Stats!$G$21)-Norm_Stats!$F$21)/(Norm_Stats!$G$21-Norm_Stats!$F$21)))))="",0,0.5)+IF((IF(OR(City_Inputs!$AI66="",Norm_Stats!$F$22="",Norm_Stats!$G$22="",Norm_Stats!$G$22=Norm_Stats!$F$22),"",MAX(0,MIN(100,100*(MIN(MAX(City_Inputs!$AI66,Norm_Stats!$F$22),Norm_Stats!$G$22)-Norm_Stats!$F$22)/(Norm_Stats!$G$22-Norm_Stats!$F$22)))))="",0,0.3)+IF((IF(OR(City_Inputs!$AJ66="",Norm_Stats!$F$23="",Norm_Stats!$G$23="",Norm_Stats!$G$23=Norm_Stats!$F$23),"",MAX(0,MIN(100,100*(MIN(MAX(City_Inputs!$AJ66,Norm_Stats!$F$23),Norm_Stats!$G$23)-Norm_Stats!$F$23)/(Norm_Stats!$G$23-Norm_Stats!$F$23)))))="",0,0.2))=0,"",(IF((IF(OR(City_Inputs!$AF66="",Norm_Stats!$F$21="",Norm_Stats!$G$21="",Norm_Stats!$G$21=Norm_Stats!$F$21),"",MAX(0,MIN(100,100*(MIN(MAX(City_Inputs!$AF66,Norm_Stats!$F$21),Norm_Stats!$G$21)-Norm_Stats!$F$21)/(Norm_Stats!$G$21-Norm_Stats!$F$21)))))="",0,(IF(OR(City_Inputs!$AF66="",Norm_Stats!$F$21="",Norm_Stats!$G$21="",Norm_Stats!$G$21=Norm_Stats!$F$21),"",MAX(0,MIN(100,100*(MIN(MAX(City_Inputs!$AF66,Norm_Stats!$F$21),Norm_Stats!$G$21)-Norm_Stats!$F$21)/(Norm_Stats!$G$21-Norm_Stats!$F$21)))))*0.5)+IF((IF(OR(City_Inputs!$AI66="",Norm_Stats!$F$22="",Norm_Stats!$G$22="",Norm_Stats!$G$22=Norm_Stats!$F$22),"",MAX(0,MIN(100,100*(MIN(MAX(City_Inputs!$AI66,Norm_Stats!$F$22),Norm_Stats!$G$22)-Norm_Stats!$F$22)/(Norm_Stats!$G$22-Norm_Stats!$F$22)))))="",0,(IF(OR(City_Inputs!$AI66="",Norm_Stats!$F$22="",Norm_Stats!$G$22="",Norm_Stats!$G$22=Norm_Stats!$F$22),"",MAX(0,MIN(100,100*(MIN(MAX(City_Inputs!$AI66,Norm_Stats!$F$22),Norm_Stats!$G$22)-Norm_Stats!$F$22)/(Norm_Stats!$G$22-Norm_Stats!$F$22)))))*0.3)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0.2))/(IF((IF(OR(City_Inputs!$AF66="",Norm_Stats!$F$21="",Norm_Stats!$G$21="",Norm_Stats!$G$21=Norm_Stats!$F$21),"",MAX(0,MIN(100,100*(MIN(MAX(City_Inputs!$AF66,Norm_Stats!$F$21),Norm_Stats!$G$21)-Norm_Stats!$F$21)/(Norm_Stats!$G$21-Norm_Stats!$F$21)))))="",0,0.5)+IF((IF(OR(City_Inputs!$AI66="",Norm_Stats!$F$22="",Norm_Stats!$G$22="",Norm_Stats!$G$22=Norm_Stats!$F$22),"",MAX(0,MIN(100,100*(MIN(MAX(City_Inputs!$AI66,Norm_Stats!$F$22),Norm_Stats!$G$22)-Norm_Stats!$F$22)/(Norm_Stats!$G$22-Norm_Stats!$F$22)))))="",0,0.3)+IF((IF(OR(City_Inputs!$AJ66="",Norm_Stats!$F$23="",Norm_Stats!$G$23="",Norm_Stats!$G$23=Norm_Stats!$F$23),"",MAX(0,MIN(100,100*(MIN(MAX(City_Inputs!$AJ66,Norm_Stats!$F$23),Norm_Stats!$G$23)-Norm_Stats!$F$23)/(Norm_Stats!$G$23-Norm_Stats!$F$23)))))="",0,0.2)))</f>
        <v/>
      </c>
      <c r="AZ66" s="14">
        <f>IF((IF((IF(OR(City_Inputs!$AF66="",Norm_Stats!$F$21="",Norm_Stats!$G$21="",Norm_Stats!$G$21=Norm_Stats!$F$21),"",MAX(0,MIN(100,100*(MIN(MAX(City_Inputs!$AF66,Norm_Stats!$F$21),Norm_Stats!$G$21)-Norm_Stats!$F$21)/(Norm_Stats!$G$21-Norm_Stats!$F$21)))))="",0,0.5)+IF((IF(OR(City_Inputs!$AI66="",Norm_Stats!$F$22="",Norm_Stats!$G$22="",Norm_Stats!$G$22=Norm_Stats!$F$22),"",MAX(0,MIN(100,100*(MIN(MAX(City_Inputs!$AI66,Norm_Stats!$F$22),Norm_Stats!$G$22)-Norm_Stats!$F$22)/(Norm_Stats!$G$22-Norm_Stats!$F$22)))))="",0,0.3)+IF((IF(OR(City_Inputs!$AJ66="",Norm_Stats!$F$23="",Norm_Stats!$G$23="",Norm_Stats!$G$23=Norm_Stats!$F$23),"",MAX(0,MIN(100,100*(MIN(MAX(City_Inputs!$AJ66,Norm_Stats!$F$23),Norm_Stats!$G$23)-Norm_Stats!$F$23)/(Norm_Stats!$G$23-Norm_Stats!$F$23)))))="",0,0.2))=0,"",(IF((IF(OR(City_Inputs!$AF66="",Norm_Stats!$F$21="",Norm_Stats!$G$21="",Norm_Stats!$G$21=Norm_Stats!$F$21),"",MAX(0,MIN(100,100*(MIN(MAX(City_Inputs!$AF66,Norm_Stats!$F$21),Norm_Stats!$G$21)-Norm_Stats!$F$21)/(Norm_Stats!$G$21-Norm_Stats!$F$21)))))="",0,0.5)+IF((IF(OR(City_Inputs!$AI66="",Norm_Stats!$F$22="",Norm_Stats!$G$22="",Norm_Stats!$G$22=Norm_Stats!$F$22),"",MAX(0,MIN(100,100*(MIN(MAX(City_Inputs!$AI66,Norm_Stats!$F$22),Norm_Stats!$G$22)-Norm_Stats!$F$22)/(Norm_Stats!$G$22-Norm_Stats!$F$22)))))="",0,0.3)+IF((IF(OR(City_Inputs!$AJ66="",Norm_Stats!$F$23="",Norm_Stats!$G$23="",Norm_Stats!$G$23=Norm_Stats!$F$23),"",MAX(0,MIN(100,100*(MIN(MAX(City_Inputs!$AJ66,Norm_Stats!$F$23),Norm_Stats!$G$23)-Norm_Stats!$F$23)/(Norm_Stats!$G$23-Norm_Stats!$F$23)))))="",0,0.2)))</f>
        <v/>
      </c>
      <c r="BA66" s="11">
        <f>IF(OR(City_Inputs!$AG66="",Norm_Stats!$F$24="",Norm_Stats!$G$24="",Norm_Stats!$G$24=Norm_Stats!$F$24),"",MAX(0,MIN(100,100*(Norm_Stats!$G$24-MIN(MAX(City_Inputs!$AG66,Norm_Stats!$F$24),Norm_Stats!$G$24))/(Norm_Stats!$G$24-Norm_Stats!$F$24))))</f>
        <v/>
      </c>
      <c r="BB66" s="14">
        <f>IF(BA66="","",1)</f>
        <v/>
      </c>
      <c r="BC66" s="15">
        <f>IF((IF(AU66="",0,6)+IF(AW66="",0,5)+IF(AY66="",0,5)+IF(BA66="",0,4))=0,"",(IF(AU66="",0,AU66*6)+IF(AW66="",0,AW66*5)+IF(AY66="",0,AY66*5)+IF(BA66="",0,BA66*4))/(IF(AU66="",0,6)+IF(AW66="",0,5)+IF(AY66="",0,5)+IF(BA66="",0,4)))</f>
        <v/>
      </c>
      <c r="BD66" s="14">
        <f>IF((IF(AV66="",0,6)+IF(AX66="",0,5)+IF(AZ66="",0,5)+IF(BB66="",0,4))=0,"",(IF(AV66="",0,AV66*6)+IF(AX66="",0,AX66*5)+IF(AZ66="",0,AZ66*5)+IF(BB66="",0,BB66*4))/20)</f>
        <v/>
      </c>
      <c r="BE66" s="14">
        <f>IF(AND(R66="",AD66="",AL66="",AT66="",BD66=""),"",((R66*25)+(AD66*22)+(AL66*18)+(AT66*15)+(BD66*20))/100)</f>
        <v/>
      </c>
      <c r="BF66" s="11">
        <f>IF(BE66="","",IF(BE66&gt;=0.75,"A",IF(BE66&gt;=0.5,"B",IF(BE66&gt;=0.35,"C","Watchlist"))))</f>
        <v/>
      </c>
      <c r="BG66" s="11">
        <f>IF(OR(BE66="",BE66&lt;0.5,R66="",R66&lt;0.35,AD66="",AD66&lt;0.35,AL66="",AL66&lt;0.35,AT66="",AT66&lt;0.35,BD66="",BD66&lt;0.35),"Watchlist","Ranked")</f>
        <v/>
      </c>
      <c r="BH66" s="15">
        <f>IF(AND(Q66="",AC66="",AK66="",AS66="",BC66=""),"",(IF(Q66="",0,Q66*25)+IF(AC66="",0,AC66*22)+IF(AK66="",0,AK66*18)+IF(AS66="",0,AS66*15)+IF(BC66="",0,BC66*20))/(IF(Q66="",0,25)+IF(AC66="",0,22)+IF(AK66="",0,18)+IF(AS66="",0,15)+IF(BC66="",0,20)))</f>
        <v/>
      </c>
      <c r="BI66" s="11">
        <f>IF(BG66="Ranked",1+COUNTIFS($BG$2:$BG$101,"Ranked",$BH$2:$BH$101,"&gt;"&amp;BH66),"")</f>
        <v/>
      </c>
      <c r="BJ66" s="11">
        <f>City_Inputs!$AH66</f>
        <v/>
      </c>
    </row>
    <row r="67">
      <c r="A67" t="inlineStr">
        <is>
          <t>br-curitiba</t>
        </is>
      </c>
      <c r="B67" t="inlineStr">
        <is>
          <t>Curitiba</t>
        </is>
      </c>
      <c r="C67" t="inlineStr">
        <is>
          <t>Brazil</t>
        </is>
      </c>
      <c r="D67" t="inlineStr">
        <is>
          <t>Latin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IF((IF(G67="",0,9)+IF(I67="",0,5)+IF(K67="",0,4)+IF(M67="",0,4)+IF(O67="",0,3))=0,"",(IF(G67="",0,G67*9)+IF(I67="",0,I67*5)+IF(K67="",0,K67*4)+IF(M67="",0,M67*4)+IF(O67="",0,O67*3))/(IF(G67="",0,9)+IF(I67="",0,5)+IF(K67="",0,4)+IF(M67="",0,4)+IF(O67="",0,3)))</f>
        <v/>
      </c>
      <c r="R67" s="14">
        <f>IF((IF(H67="",0,9)+IF(J67="",0,5)+IF(L67="",0,4)+IF(N67="",0,4)+IF(P67="",0,3))=0,"",(IF(H67="",0,H67*9)+IF(J67="",0,J67*5)+IF(L67="",0,L67*4)+IF(N67="",0,N67*4)+IF(P67="",0,P67*3))/25)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5">
        <f>IF((IF(S67="",0,5)+IF(U67="",0,5)+IF(W67="",0,4)+IF(Y67="",0,4)+IF(AA67="",0,4))=0,"",(IF(S67="",0,S67*5)+IF(U67="",0,U67*5)+IF(W67="",0,W67*4)+IF(Y67="",0,Y67*4)+IF(AA67="",0,AA67*4))/(IF(S67="",0,5)+IF(U67="",0,5)+IF(W67="",0,4)+IF(Y67="",0,4)+IF(AA67="",0,4)))</f>
        <v/>
      </c>
      <c r="AD67" s="14">
        <f>IF((IF(T67="",0,5)+IF(V67="",0,5)+IF(X67="",0,4)+IF(Z67="",0,4)+IF(AB67="",0,4))=0,"",(IF(T67="",0,T67*5)+IF(V67="",0,V67*5)+IF(X67="",0,X67*4)+IF(Z67="",0,Z67*4)+IF(AB67="",0,AB67*4))/22)</f>
        <v/>
      </c>
      <c r="AE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F67" s="14">
        <f>IF(AE67="","",1)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(IF((IF(OR(City_Inputs!$Z67="",Norm_Stats!$F$14="",Norm_Stats!$G$14="",Norm_Stats!$G$14=Norm_Stats!$F$14),"",MAX(0,MIN(100,100*(MIN(MAX(City_Inputs!$Z67,Norm_Stats!$F$14),Norm_Stats!$G$14)-Norm_Stats!$F$14)/(Norm_Stats!$G$14-Norm_Stats!$F$14)))))="",0,0.7)+IF((IF(OR(City_Inputs!$AK67="",Norm_Stats!$F$15="",Norm_Stats!$G$15="",Norm_Stats!$G$15=Norm_Stats!$F$15),"",MAX(0,MIN(100,100*(Norm_Stats!$G$15-MIN(MAX(City_Inputs!$AK67,Norm_Stats!$F$15),Norm_Stats!$G$15))/(Norm_Stats!$G$15-Norm_Stats!$F$15)))))="",0,0.3))=0,"",(IF((IF(OR(City_Inputs!$Z67="",Norm_Stats!$F$14="",Norm_Stats!$G$14="",Norm_Stats!$G$14=Norm_Stats!$F$14),"",MAX(0,MIN(100,100*(MIN(MAX(City_Inputs!$Z67,Norm_Stats!$F$14),Norm_Stats!$G$14)-Norm_Stats!$F$14)/(Norm_Stats!$G$14-Norm_Stats!$F$14)))))="",0,(IF(OR(City_Inputs!$Z67="",Norm_Stats!$F$14="",Norm_Stats!$G$14="",Norm_Stats!$G$14=Norm_Stats!$F$14),"",MAX(0,MIN(100,100*(MIN(MAX(City_Inputs!$Z67,Norm_Stats!$F$14),Norm_Stats!$G$14)-Norm_Stats!$F$14)/(Norm_Stats!$G$14-Norm_Stats!$F$14)))))*0.7)+IF((IF(OR(City_Inputs!$AK67="",Norm_Stats!$F$15="",Norm_Stats!$G$15="",Norm_Stats!$G$15=Norm_Stats!$F$15),"",MAX(0,MIN(100,100*(Norm_Stats!$G$15-MIN(MAX(City_Inputs!$AK67,Norm_Stats!$F$15),Norm_Stats!$G$15))/(Norm_Stats!$G$15-Norm_Stats!$F$15)))))="",0,(IF(OR(City_Inputs!$AK67="",Norm_Stats!$F$15="",Norm_Stats!$G$15="",Norm_Stats!$G$15=Norm_Stats!$F$15),"",MAX(0,MIN(100,100*(Norm_Stats!$G$15-MIN(MAX(City_Inputs!$AK67,Norm_Stats!$F$15),Norm_Stats!$G$15))/(Norm_Stats!$G$15-Norm_Stats!$F$15)))))*0.3))/(IF((IF(OR(City_Inputs!$Z67="",Norm_Stats!$F$14="",Norm_Stats!$G$14="",Norm_Stats!$G$14=Norm_Stats!$F$14),"",MAX(0,MIN(100,100*(MIN(MAX(City_Inputs!$Z67,Norm_Stats!$F$14),Norm_Stats!$G$14)-Norm_Stats!$F$14)/(Norm_Stats!$G$14-Norm_Stats!$F$14)))))="",0,0.7)+IF((IF(OR(City_Inputs!$AK67="",Norm_Stats!$F$15="",Norm_Stats!$G$15="",Norm_Stats!$G$15=Norm_Stats!$F$15),"",MAX(0,MIN(100,100*(Norm_Stats!$G$15-MIN(MAX(City_Inputs!$AK67,Norm_Stats!$F$15),Norm_Stats!$G$15))/(Norm_Stats!$G$15-Norm_Stats!$F$15)))))="",0,0.3)))</f>
        <v/>
      </c>
      <c r="AJ67" s="14">
        <f>IF((IF((IF(OR(City_Inputs!$Z67="",Norm_Stats!$F$14="",Norm_Stats!$G$14="",Norm_Stats!$G$14=Norm_Stats!$F$14),"",MAX(0,MIN(100,100*(MIN(MAX(City_Inputs!$Z67,Norm_Stats!$F$14),Norm_Stats!$G$14)-Norm_Stats!$F$14)/(Norm_Stats!$G$14-Norm_Stats!$F$14)))))="",0,0.7)+IF((IF(OR(City_Inputs!$AK67="",Norm_Stats!$F$15="",Norm_Stats!$G$15="",Norm_Stats!$G$15=Norm_Stats!$F$15),"",MAX(0,MIN(100,100*(Norm_Stats!$G$15-MIN(MAX(City_Inputs!$AK67,Norm_Stats!$F$15),Norm_Stats!$G$15))/(Norm_Stats!$G$15-Norm_Stats!$F$15)))))="",0,0.3))=0,"",(IF((IF(OR(City_Inputs!$Z67="",Norm_Stats!$F$14="",Norm_Stats!$G$14="",Norm_Stats!$G$14=Norm_Stats!$F$14),"",MAX(0,MIN(100,100*(MIN(MAX(City_Inputs!$Z67,Norm_Stats!$F$14),Norm_Stats!$G$14)-Norm_Stats!$F$14)/(Norm_Stats!$G$14-Norm_Stats!$F$14)))))="",0,0.7)+IF((IF(OR(City_Inputs!$AK67="",Norm_Stats!$F$15="",Norm_Stats!$G$15="",Norm_Stats!$G$15=Norm_Stats!$F$15),"",MAX(0,MIN(100,100*(Norm_Stats!$G$15-MIN(MAX(City_Inputs!$AK67,Norm_Stats!$F$15),Norm_Stats!$G$15))/(Norm_Stats!$G$15-Norm_Stats!$F$15)))))="",0,0.3)))</f>
        <v/>
      </c>
      <c r="AK67" s="15">
        <f>IF((IF(AE67="",0,8)+IF(AG67="",0,6)+IF(AI67="",0,4))=0,"",(IF(AE67="",0,AE67*8)+IF(AG67="",0,AG67*6)+IF(AI67="",0,AI67*4))/(IF(AE67="",0,8)+IF(AG67="",0,6)+IF(AI67="",0,4)))</f>
        <v/>
      </c>
      <c r="AL67" s="14">
        <f>IF((IF(AF67="",0,8)+IF(AH67="",0,6)+IF(AJ67="",0,4))=0,"",(IF(AF67="",0,AF67*8)+IF(AH67="",0,AH67*6)+IF(AJ67="",0,AJ67*4))/18)</f>
        <v/>
      </c>
      <c r="AM67" s="11">
        <f>IF(OR(City_Inputs!$AA67="",Norm_Stats!$F$16="",Norm_Stats!$G$16="",Norm_Stats!$G$16=Norm_Stats!$F$16),"",MAX(0,MIN(100,100*(MIN(MAX(City_Inputs!$AA67,Norm_Stats!$F$16),Norm_Stats!$G$16)-Norm_Stats!$F$16)/(Norm_Stats!$G$16-Norm_Stats!$F$16))))</f>
        <v/>
      </c>
      <c r="AN67" s="14">
        <f>IF(AM67="","",1)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5">
        <f>IF((IF(AM67="",0,5)+IF(AO67="",0,5)+IF(AQ67="",0,5))=0,"",(IF(AM67="",0,AM67*5)+IF(AO67="",0,AO67*5)+IF(AQ67="",0,AQ67*5))/(IF(AM67="",0,5)+IF(AO67="",0,5)+IF(AQ67="",0,5)))</f>
        <v/>
      </c>
      <c r="AT67" s="14">
        <f>IF((IF(AN67="",0,5)+IF(AP67="",0,5)+IF(AR67="",0,5))=0,"",(IF(AN67="",0,AN67*5)+IF(AP67="",0,AP67*5)+IF(AR67="",0,AR67*5))/15)</f>
        <v/>
      </c>
      <c r="AU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V67" s="14">
        <f>IF(AU67="","",1)</f>
        <v/>
      </c>
      <c r="AW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X67" s="14">
        <f>IF(AW67="","",1)</f>
        <v/>
      </c>
      <c r="AY67" s="11">
        <f>IF((IF((IF(OR(City_Inputs!$AF67="",Norm_Stats!$F$21="",Norm_Stats!$G$21="",Norm_Stats!$G$21=Norm_Stats!$F$21),"",MAX(0,MIN(100,100*(MIN(MAX(City_Inputs!$AF67,Norm_Stats!$F$21),Norm_Stats!$G$21)-Norm_Stats!$F$21)/(Norm_Stats!$G$21-Norm_Stats!$F$21)))))="",0,0.5)+IF((IF(OR(City_Inputs!$AI67="",Norm_Stats!$F$22="",Norm_Stats!$G$22="",Norm_Stats!$G$22=Norm_Stats!$F$22),"",MAX(0,MIN(100,100*(MIN(MAX(City_Inputs!$AI67,Norm_Stats!$F$22),Norm_Stats!$G$22)-Norm_Stats!$F$22)/(Norm_Stats!$G$22-Norm_Stats!$F$22)))))="",0,0.3)+IF((IF(OR(City_Inputs!$AJ67="",Norm_Stats!$F$23="",Norm_Stats!$G$23="",Norm_Stats!$G$23=Norm_Stats!$F$23),"",MAX(0,MIN(100,100*(MIN(MAX(City_Inputs!$AJ67,Norm_Stats!$F$23),Norm_Stats!$G$23)-Norm_Stats!$F$23)/(Norm_Stats!$G$23-Norm_Stats!$F$23)))))="",0,0.2))=0,"",(IF((IF(OR(City_Inputs!$AF67="",Norm_Stats!$F$21="",Norm_Stats!$G$21="",Norm_Stats!$G$21=Norm_Stats!$F$21),"",MAX(0,MIN(100,100*(MIN(MAX(City_Inputs!$AF67,Norm_Stats!$F$21),Norm_Stats!$G$21)-Norm_Stats!$F$21)/(Norm_Stats!$G$21-Norm_Stats!$F$21)))))="",0,(IF(OR(City_Inputs!$AF67="",Norm_Stats!$F$21="",Norm_Stats!$G$21="",Norm_Stats!$G$21=Norm_Stats!$F$21),"",MAX(0,MIN(100,100*(MIN(MAX(City_Inputs!$AF67,Norm_Stats!$F$21),Norm_Stats!$G$21)-Norm_Stats!$F$21)/(Norm_Stats!$G$21-Norm_Stats!$F$21)))))*0.5)+IF((IF(OR(City_Inputs!$AI67="",Norm_Stats!$F$22="",Norm_Stats!$G$22="",Norm_Stats!$G$22=Norm_Stats!$F$22),"",MAX(0,MIN(100,100*(MIN(MAX(City_Inputs!$AI67,Norm_Stats!$F$22),Norm_Stats!$G$22)-Norm_Stats!$F$22)/(Norm_Stats!$G$22-Norm_Stats!$F$22)))))="",0,(IF(OR(City_Inputs!$AI67="",Norm_Stats!$F$22="",Norm_Stats!$G$22="",Norm_Stats!$G$22=Norm_Stats!$F$22),"",MAX(0,MIN(100,100*(MIN(MAX(City_Inputs!$AI67,Norm_Stats!$F$22),Norm_Stats!$G$22)-Norm_Stats!$F$22)/(Norm_Stats!$G$22-Norm_Stats!$F$22)))))*0.3)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0.2))/(IF((IF(OR(City_Inputs!$AF67="",Norm_Stats!$F$21="",Norm_Stats!$G$21="",Norm_Stats!$G$21=Norm_Stats!$F$21),"",MAX(0,MIN(100,100*(MIN(MAX(City_Inputs!$AF67,Norm_Stats!$F$21),Norm_Stats!$G$21)-Norm_Stats!$F$21)/(Norm_Stats!$G$21-Norm_Stats!$F$21)))))="",0,0.5)+IF((IF(OR(City_Inputs!$AI67="",Norm_Stats!$F$22="",Norm_Stats!$G$22="",Norm_Stats!$G$22=Norm_Stats!$F$22),"",MAX(0,MIN(100,100*(MIN(MAX(City_Inputs!$AI67,Norm_Stats!$F$22),Norm_Stats!$G$22)-Norm_Stats!$F$22)/(Norm_Stats!$G$22-Norm_Stats!$F$22)))))="",0,0.3)+IF((IF(OR(City_Inputs!$AJ67="",Norm_Stats!$F$23="",Norm_Stats!$G$23="",Norm_Stats!$G$23=Norm_Stats!$F$23),"",MAX(0,MIN(100,100*(MIN(MAX(City_Inputs!$AJ67,Norm_Stats!$F$23),Norm_Stats!$G$23)-Norm_Stats!$F$23)/(Norm_Stats!$G$23-Norm_Stats!$F$23)))))="",0,0.2)))</f>
        <v/>
      </c>
      <c r="AZ67" s="14">
        <f>IF((IF((IF(OR(City_Inputs!$AF67="",Norm_Stats!$F$21="",Norm_Stats!$G$21="",Norm_Stats!$G$21=Norm_Stats!$F$21),"",MAX(0,MIN(100,100*(MIN(MAX(City_Inputs!$AF67,Norm_Stats!$F$21),Norm_Stats!$G$21)-Norm_Stats!$F$21)/(Norm_Stats!$G$21-Norm_Stats!$F$21)))))="",0,0.5)+IF((IF(OR(City_Inputs!$AI67="",Norm_Stats!$F$22="",Norm_Stats!$G$22="",Norm_Stats!$G$22=Norm_Stats!$F$22),"",MAX(0,MIN(100,100*(MIN(MAX(City_Inputs!$AI67,Norm_Stats!$F$22),Norm_Stats!$G$22)-Norm_Stats!$F$22)/(Norm_Stats!$G$22-Norm_Stats!$F$22)))))="",0,0.3)+IF((IF(OR(City_Inputs!$AJ67="",Norm_Stats!$F$23="",Norm_Stats!$G$23="",Norm_Stats!$G$23=Norm_Stats!$F$23),"",MAX(0,MIN(100,100*(MIN(MAX(City_Inputs!$AJ67,Norm_Stats!$F$23),Norm_Stats!$G$23)-Norm_Stats!$F$23)/(Norm_Stats!$G$23-Norm_Stats!$F$23)))))="",0,0.2))=0,"",(IF((IF(OR(City_Inputs!$AF67="",Norm_Stats!$F$21="",Norm_Stats!$G$21="",Norm_Stats!$G$21=Norm_Stats!$F$21),"",MAX(0,MIN(100,100*(MIN(MAX(City_Inputs!$AF67,Norm_Stats!$F$21),Norm_Stats!$G$21)-Norm_Stats!$F$21)/(Norm_Stats!$G$21-Norm_Stats!$F$21)))))="",0,0.5)+IF((IF(OR(City_Inputs!$AI67="",Norm_Stats!$F$22="",Norm_Stats!$G$22="",Norm_Stats!$G$22=Norm_Stats!$F$22),"",MAX(0,MIN(100,100*(MIN(MAX(City_Inputs!$AI67,Norm_Stats!$F$22),Norm_Stats!$G$22)-Norm_Stats!$F$22)/(Norm_Stats!$G$22-Norm_Stats!$F$22)))))="",0,0.3)+IF((IF(OR(City_Inputs!$AJ67="",Norm_Stats!$F$23="",Norm_Stats!$G$23="",Norm_Stats!$G$23=Norm_Stats!$F$23),"",MAX(0,MIN(100,100*(MIN(MAX(City_Inputs!$AJ67,Norm_Stats!$F$23),Norm_Stats!$G$23)-Norm_Stats!$F$23)/(Norm_Stats!$G$23-Norm_Stats!$F$23)))))="",0,0.2)))</f>
        <v/>
      </c>
      <c r="BA67" s="11">
        <f>IF(OR(City_Inputs!$AG67="",Norm_Stats!$F$24="",Norm_Stats!$G$24="",Norm_Stats!$G$24=Norm_Stats!$F$24),"",MAX(0,MIN(100,100*(Norm_Stats!$G$24-MIN(MAX(City_Inputs!$AG67,Norm_Stats!$F$24),Norm_Stats!$G$24))/(Norm_Stats!$G$24-Norm_Stats!$F$24))))</f>
        <v/>
      </c>
      <c r="BB67" s="14">
        <f>IF(BA67="","",1)</f>
        <v/>
      </c>
      <c r="BC67" s="15">
        <f>IF((IF(AU67="",0,6)+IF(AW67="",0,5)+IF(AY67="",0,5)+IF(BA67="",0,4))=0,"",(IF(AU67="",0,AU67*6)+IF(AW67="",0,AW67*5)+IF(AY67="",0,AY67*5)+IF(BA67="",0,BA67*4))/(IF(AU67="",0,6)+IF(AW67="",0,5)+IF(AY67="",0,5)+IF(BA67="",0,4)))</f>
        <v/>
      </c>
      <c r="BD67" s="14">
        <f>IF((IF(AV67="",0,6)+IF(AX67="",0,5)+IF(AZ67="",0,5)+IF(BB67="",0,4))=0,"",(IF(AV67="",0,AV67*6)+IF(AX67="",0,AX67*5)+IF(AZ67="",0,AZ67*5)+IF(BB67="",0,BB67*4))/20)</f>
        <v/>
      </c>
      <c r="BE67" s="14">
        <f>IF(AND(R67="",AD67="",AL67="",AT67="",BD67=""),"",((R67*25)+(AD67*22)+(AL67*18)+(AT67*15)+(BD67*20))/100)</f>
        <v/>
      </c>
      <c r="BF67" s="11">
        <f>IF(BE67="","",IF(BE67&gt;=0.75,"A",IF(BE67&gt;=0.5,"B",IF(BE67&gt;=0.35,"C","Watchlist"))))</f>
        <v/>
      </c>
      <c r="BG67" s="11">
        <f>IF(OR(BE67="",BE67&lt;0.5,R67="",R67&lt;0.35,AD67="",AD67&lt;0.35,AL67="",AL67&lt;0.35,AT67="",AT67&lt;0.35,BD67="",BD67&lt;0.35),"Watchlist","Ranked")</f>
        <v/>
      </c>
      <c r="BH67" s="15">
        <f>IF(AND(Q67="",AC67="",AK67="",AS67="",BC67=""),"",(IF(Q67="",0,Q67*25)+IF(AC67="",0,AC67*22)+IF(AK67="",0,AK67*18)+IF(AS67="",0,AS67*15)+IF(BC67="",0,BC67*20))/(IF(Q67="",0,25)+IF(AC67="",0,22)+IF(AK67="",0,18)+IF(AS67="",0,15)+IF(BC67="",0,20)))</f>
        <v/>
      </c>
      <c r="BI67" s="11">
        <f>IF(BG67="Ranked",1+COUNTIFS($BG$2:$BG$101,"Ranked",$BH$2:$BH$101,"&gt;"&amp;BH67),"")</f>
        <v/>
      </c>
      <c r="BJ67" s="11">
        <f>City_Inputs!$AH67</f>
        <v/>
      </c>
    </row>
    <row r="68">
      <c r="A68" t="inlineStr">
        <is>
          <t>co-medellin</t>
        </is>
      </c>
      <c r="B68" t="inlineStr">
        <is>
          <t>Medellin</t>
        </is>
      </c>
      <c r="C68" t="inlineStr">
        <is>
          <t>Colombia</t>
        </is>
      </c>
      <c r="D68" t="inlineStr">
        <is>
          <t>Latin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IF((IF(G68="",0,9)+IF(I68="",0,5)+IF(K68="",0,4)+IF(M68="",0,4)+IF(O68="",0,3))=0,"",(IF(G68="",0,G68*9)+IF(I68="",0,I68*5)+IF(K68="",0,K68*4)+IF(M68="",0,M68*4)+IF(O68="",0,O68*3))/(IF(G68="",0,9)+IF(I68="",0,5)+IF(K68="",0,4)+IF(M68="",0,4)+IF(O68="",0,3)))</f>
        <v/>
      </c>
      <c r="R68" s="14">
        <f>IF((IF(H68="",0,9)+IF(J68="",0,5)+IF(L68="",0,4)+IF(N68="",0,4)+IF(P68="",0,3))=0,"",(IF(H68="",0,H68*9)+IF(J68="",0,J68*5)+IF(L68="",0,L68*4)+IF(N68="",0,N68*4)+IF(P68="",0,P68*3))/25)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5">
        <f>IF((IF(S68="",0,5)+IF(U68="",0,5)+IF(W68="",0,4)+IF(Y68="",0,4)+IF(AA68="",0,4))=0,"",(IF(S68="",0,S68*5)+IF(U68="",0,U68*5)+IF(W68="",0,W68*4)+IF(Y68="",0,Y68*4)+IF(AA68="",0,AA68*4))/(IF(S68="",0,5)+IF(U68="",0,5)+IF(W68="",0,4)+IF(Y68="",0,4)+IF(AA68="",0,4)))</f>
        <v/>
      </c>
      <c r="AD68" s="14">
        <f>IF((IF(T68="",0,5)+IF(V68="",0,5)+IF(X68="",0,4)+IF(Z68="",0,4)+IF(AB68="",0,4))=0,"",(IF(T68="",0,T68*5)+IF(V68="",0,V68*5)+IF(X68="",0,X68*4)+IF(Z68="",0,Z68*4)+IF(AB68="",0,AB68*4))/22)</f>
        <v/>
      </c>
      <c r="AE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F68" s="14">
        <f>IF(AE68="","",1)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(IF((IF(OR(City_Inputs!$Z68="",Norm_Stats!$F$14="",Norm_Stats!$G$14="",Norm_Stats!$G$14=Norm_Stats!$F$14),"",MAX(0,MIN(100,100*(MIN(MAX(City_Inputs!$Z68,Norm_Stats!$F$14),Norm_Stats!$G$14)-Norm_Stats!$F$14)/(Norm_Stats!$G$14-Norm_Stats!$F$14)))))="",0,0.7)+IF((IF(OR(City_Inputs!$AK68="",Norm_Stats!$F$15="",Norm_Stats!$G$15="",Norm_Stats!$G$15=Norm_Stats!$F$15),"",MAX(0,MIN(100,100*(Norm_Stats!$G$15-MIN(MAX(City_Inputs!$AK68,Norm_Stats!$F$15),Norm_Stats!$G$15))/(Norm_Stats!$G$15-Norm_Stats!$F$15)))))="",0,0.3))=0,"",(IF((IF(OR(City_Inputs!$Z68="",Norm_Stats!$F$14="",Norm_Stats!$G$14="",Norm_Stats!$G$14=Norm_Stats!$F$14),"",MAX(0,MIN(100,100*(MIN(MAX(City_Inputs!$Z68,Norm_Stats!$F$14),Norm_Stats!$G$14)-Norm_Stats!$F$14)/(Norm_Stats!$G$14-Norm_Stats!$F$14)))))="",0,(IF(OR(City_Inputs!$Z68="",Norm_Stats!$F$14="",Norm_Stats!$G$14="",Norm_Stats!$G$14=Norm_Stats!$F$14),"",MAX(0,MIN(100,100*(MIN(MAX(City_Inputs!$Z68,Norm_Stats!$F$14),Norm_Stats!$G$14)-Norm_Stats!$F$14)/(Norm_Stats!$G$14-Norm_Stats!$F$14)))))*0.7)+IF((IF(OR(City_Inputs!$AK68="",Norm_Stats!$F$15="",Norm_Stats!$G$15="",Norm_Stats!$G$15=Norm_Stats!$F$15),"",MAX(0,MIN(100,100*(Norm_Stats!$G$15-MIN(MAX(City_Inputs!$AK68,Norm_Stats!$F$15),Norm_Stats!$G$15))/(Norm_Stats!$G$15-Norm_Stats!$F$15)))))="",0,(IF(OR(City_Inputs!$AK68="",Norm_Stats!$F$15="",Norm_Stats!$G$15="",Norm_Stats!$G$15=Norm_Stats!$F$15),"",MAX(0,MIN(100,100*(Norm_Stats!$G$15-MIN(MAX(City_Inputs!$AK68,Norm_Stats!$F$15),Norm_Stats!$G$15))/(Norm_Stats!$G$15-Norm_Stats!$F$15)))))*0.3))/(IF((IF(OR(City_Inputs!$Z68="",Norm_Stats!$F$14="",Norm_Stats!$G$14="",Norm_Stats!$G$14=Norm_Stats!$F$14),"",MAX(0,MIN(100,100*(MIN(MAX(City_Inputs!$Z68,Norm_Stats!$F$14),Norm_Stats!$G$14)-Norm_Stats!$F$14)/(Norm_Stats!$G$14-Norm_Stats!$F$14)))))="",0,0.7)+IF((IF(OR(City_Inputs!$AK68="",Norm_Stats!$F$15="",Norm_Stats!$G$15="",Norm_Stats!$G$15=Norm_Stats!$F$15),"",MAX(0,MIN(100,100*(Norm_Stats!$G$15-MIN(MAX(City_Inputs!$AK68,Norm_Stats!$F$15),Norm_Stats!$G$15))/(Norm_Stats!$G$15-Norm_Stats!$F$15)))))="",0,0.3)))</f>
        <v/>
      </c>
      <c r="AJ68" s="14">
        <f>IF((IF((IF(OR(City_Inputs!$Z68="",Norm_Stats!$F$14="",Norm_Stats!$G$14="",Norm_Stats!$G$14=Norm_Stats!$F$14),"",MAX(0,MIN(100,100*(MIN(MAX(City_Inputs!$Z68,Norm_Stats!$F$14),Norm_Stats!$G$14)-Norm_Stats!$F$14)/(Norm_Stats!$G$14-Norm_Stats!$F$14)))))="",0,0.7)+IF((IF(OR(City_Inputs!$AK68="",Norm_Stats!$F$15="",Norm_Stats!$G$15="",Norm_Stats!$G$15=Norm_Stats!$F$15),"",MAX(0,MIN(100,100*(Norm_Stats!$G$15-MIN(MAX(City_Inputs!$AK68,Norm_Stats!$F$15),Norm_Stats!$G$15))/(Norm_Stats!$G$15-Norm_Stats!$F$15)))))="",0,0.3))=0,"",(IF((IF(OR(City_Inputs!$Z68="",Norm_Stats!$F$14="",Norm_Stats!$G$14="",Norm_Stats!$G$14=Norm_Stats!$F$14),"",MAX(0,MIN(100,100*(MIN(MAX(City_Inputs!$Z68,Norm_Stats!$F$14),Norm_Stats!$G$14)-Norm_Stats!$F$14)/(Norm_Stats!$G$14-Norm_Stats!$F$14)))))="",0,0.7)+IF((IF(OR(City_Inputs!$AK68="",Norm_Stats!$F$15="",Norm_Stats!$G$15="",Norm_Stats!$G$15=Norm_Stats!$F$15),"",MAX(0,MIN(100,100*(Norm_Stats!$G$15-MIN(MAX(City_Inputs!$AK68,Norm_Stats!$F$15),Norm_Stats!$G$15))/(Norm_Stats!$G$15-Norm_Stats!$F$15)))))="",0,0.3)))</f>
        <v/>
      </c>
      <c r="AK68" s="15">
        <f>IF((IF(AE68="",0,8)+IF(AG68="",0,6)+IF(AI68="",0,4))=0,"",(IF(AE68="",0,AE68*8)+IF(AG68="",0,AG68*6)+IF(AI68="",0,AI68*4))/(IF(AE68="",0,8)+IF(AG68="",0,6)+IF(AI68="",0,4)))</f>
        <v/>
      </c>
      <c r="AL68" s="14">
        <f>IF((IF(AF68="",0,8)+IF(AH68="",0,6)+IF(AJ68="",0,4))=0,"",(IF(AF68="",0,AF68*8)+IF(AH68="",0,AH68*6)+IF(AJ68="",0,AJ68*4))/18)</f>
        <v/>
      </c>
      <c r="AM68" s="11">
        <f>IF(OR(City_Inputs!$AA68="",Norm_Stats!$F$16="",Norm_Stats!$G$16="",Norm_Stats!$G$16=Norm_Stats!$F$16),"",MAX(0,MIN(100,100*(MIN(MAX(City_Inputs!$AA68,Norm_Stats!$F$16),Norm_Stats!$G$16)-Norm_Stats!$F$16)/(Norm_Stats!$G$16-Norm_Stats!$F$16))))</f>
        <v/>
      </c>
      <c r="AN68" s="14">
        <f>IF(AM68="","",1)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5">
        <f>IF((IF(AM68="",0,5)+IF(AO68="",0,5)+IF(AQ68="",0,5))=0,"",(IF(AM68="",0,AM68*5)+IF(AO68="",0,AO68*5)+IF(AQ68="",0,AQ68*5))/(IF(AM68="",0,5)+IF(AO68="",0,5)+IF(AQ68="",0,5)))</f>
        <v/>
      </c>
      <c r="AT68" s="14">
        <f>IF((IF(AN68="",0,5)+IF(AP68="",0,5)+IF(AR68="",0,5))=0,"",(IF(AN68="",0,AN68*5)+IF(AP68="",0,AP68*5)+IF(AR68="",0,AR68*5))/15)</f>
        <v/>
      </c>
      <c r="AU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V68" s="14">
        <f>IF(AU68="","",1)</f>
        <v/>
      </c>
      <c r="AW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X68" s="14">
        <f>IF(AW68="","",1)</f>
        <v/>
      </c>
      <c r="AY68" s="11">
        <f>IF((IF((IF(OR(City_Inputs!$AF68="",Norm_Stats!$F$21="",Norm_Stats!$G$21="",Norm_Stats!$G$21=Norm_Stats!$F$21),"",MAX(0,MIN(100,100*(MIN(MAX(City_Inputs!$AF68,Norm_Stats!$F$21),Norm_Stats!$G$21)-Norm_Stats!$F$21)/(Norm_Stats!$G$21-Norm_Stats!$F$21)))))="",0,0.5)+IF((IF(OR(City_Inputs!$AI68="",Norm_Stats!$F$22="",Norm_Stats!$G$22="",Norm_Stats!$G$22=Norm_Stats!$F$22),"",MAX(0,MIN(100,100*(MIN(MAX(City_Inputs!$AI68,Norm_Stats!$F$22),Norm_Stats!$G$22)-Norm_Stats!$F$22)/(Norm_Stats!$G$22-Norm_Stats!$F$22)))))="",0,0.3)+IF((IF(OR(City_Inputs!$AJ68="",Norm_Stats!$F$23="",Norm_Stats!$G$23="",Norm_Stats!$G$23=Norm_Stats!$F$23),"",MAX(0,MIN(100,100*(MIN(MAX(City_Inputs!$AJ68,Norm_Stats!$F$23),Norm_Stats!$G$23)-Norm_Stats!$F$23)/(Norm_Stats!$G$23-Norm_Stats!$F$23)))))="",0,0.2))=0,"",(IF((IF(OR(City_Inputs!$AF68="",Norm_Stats!$F$21="",Norm_Stats!$G$21="",Norm_Stats!$G$21=Norm_Stats!$F$21),"",MAX(0,MIN(100,100*(MIN(MAX(City_Inputs!$AF68,Norm_Stats!$F$21),Norm_Stats!$G$21)-Norm_Stats!$F$21)/(Norm_Stats!$G$21-Norm_Stats!$F$21)))))="",0,(IF(OR(City_Inputs!$AF68="",Norm_Stats!$F$21="",Norm_Stats!$G$21="",Norm_Stats!$G$21=Norm_Stats!$F$21),"",MAX(0,MIN(100,100*(MIN(MAX(City_Inputs!$AF68,Norm_Stats!$F$21),Norm_Stats!$G$21)-Norm_Stats!$F$21)/(Norm_Stats!$G$21-Norm_Stats!$F$21)))))*0.5)+IF((IF(OR(City_Inputs!$AI68="",Norm_Stats!$F$22="",Norm_Stats!$G$22="",Norm_Stats!$G$22=Norm_Stats!$F$22),"",MAX(0,MIN(100,100*(MIN(MAX(City_Inputs!$AI68,Norm_Stats!$F$22),Norm_Stats!$G$22)-Norm_Stats!$F$22)/(Norm_Stats!$G$22-Norm_Stats!$F$22)))))="",0,(IF(OR(City_Inputs!$AI68="",Norm_Stats!$F$22="",Norm_Stats!$G$22="",Norm_Stats!$G$22=Norm_Stats!$F$22),"",MAX(0,MIN(100,100*(MIN(MAX(City_Inputs!$AI68,Norm_Stats!$F$22),Norm_Stats!$G$22)-Norm_Stats!$F$22)/(Norm_Stats!$G$22-Norm_Stats!$F$22)))))*0.3)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0.2))/(IF((IF(OR(City_Inputs!$AF68="",Norm_Stats!$F$21="",Norm_Stats!$G$21="",Norm_Stats!$G$21=Norm_Stats!$F$21),"",MAX(0,MIN(100,100*(MIN(MAX(City_Inputs!$AF68,Norm_Stats!$F$21),Norm_Stats!$G$21)-Norm_Stats!$F$21)/(Norm_Stats!$G$21-Norm_Stats!$F$21)))))="",0,0.5)+IF((IF(OR(City_Inputs!$AI68="",Norm_Stats!$F$22="",Norm_Stats!$G$22="",Norm_Stats!$G$22=Norm_Stats!$F$22),"",MAX(0,MIN(100,100*(MIN(MAX(City_Inputs!$AI68,Norm_Stats!$F$22),Norm_Stats!$G$22)-Norm_Stats!$F$22)/(Norm_Stats!$G$22-Norm_Stats!$F$22)))))="",0,0.3)+IF((IF(OR(City_Inputs!$AJ68="",Norm_Stats!$F$23="",Norm_Stats!$G$23="",Norm_Stats!$G$23=Norm_Stats!$F$23),"",MAX(0,MIN(100,100*(MIN(MAX(City_Inputs!$AJ68,Norm_Stats!$F$23),Norm_Stats!$G$23)-Norm_Stats!$F$23)/(Norm_Stats!$G$23-Norm_Stats!$F$23)))))="",0,0.2)))</f>
        <v/>
      </c>
      <c r="AZ68" s="14">
        <f>IF((IF((IF(OR(City_Inputs!$AF68="",Norm_Stats!$F$21="",Norm_Stats!$G$21="",Norm_Stats!$G$21=Norm_Stats!$F$21),"",MAX(0,MIN(100,100*(MIN(MAX(City_Inputs!$AF68,Norm_Stats!$F$21),Norm_Stats!$G$21)-Norm_Stats!$F$21)/(Norm_Stats!$G$21-Norm_Stats!$F$21)))))="",0,0.5)+IF((IF(OR(City_Inputs!$AI68="",Norm_Stats!$F$22="",Norm_Stats!$G$22="",Norm_Stats!$G$22=Norm_Stats!$F$22),"",MAX(0,MIN(100,100*(MIN(MAX(City_Inputs!$AI68,Norm_Stats!$F$22),Norm_Stats!$G$22)-Norm_Stats!$F$22)/(Norm_Stats!$G$22-Norm_Stats!$F$22)))))="",0,0.3)+IF((IF(OR(City_Inputs!$AJ68="",Norm_Stats!$F$23="",Norm_Stats!$G$23="",Norm_Stats!$G$23=Norm_Stats!$F$23),"",MAX(0,MIN(100,100*(MIN(MAX(City_Inputs!$AJ68,Norm_Stats!$F$23),Norm_Stats!$G$23)-Norm_Stats!$F$23)/(Norm_Stats!$G$23-Norm_Stats!$F$23)))))="",0,0.2))=0,"",(IF((IF(OR(City_Inputs!$AF68="",Norm_Stats!$F$21="",Norm_Stats!$G$21="",Norm_Stats!$G$21=Norm_Stats!$F$21),"",MAX(0,MIN(100,100*(MIN(MAX(City_Inputs!$AF68,Norm_Stats!$F$21),Norm_Stats!$G$21)-Norm_Stats!$F$21)/(Norm_Stats!$G$21-Norm_Stats!$F$21)))))="",0,0.5)+IF((IF(OR(City_Inputs!$AI68="",Norm_Stats!$F$22="",Norm_Stats!$G$22="",Norm_Stats!$G$22=Norm_Stats!$F$22),"",MAX(0,MIN(100,100*(MIN(MAX(City_Inputs!$AI68,Norm_Stats!$F$22),Norm_Stats!$G$22)-Norm_Stats!$F$22)/(Norm_Stats!$G$22-Norm_Stats!$F$22)))))="",0,0.3)+IF((IF(OR(City_Inputs!$AJ68="",Norm_Stats!$F$23="",Norm_Stats!$G$23="",Norm_Stats!$G$23=Norm_Stats!$F$23),"",MAX(0,MIN(100,100*(MIN(MAX(City_Inputs!$AJ68,Norm_Stats!$F$23),Norm_Stats!$G$23)-Norm_Stats!$F$23)/(Norm_Stats!$G$23-Norm_Stats!$F$23)))))="",0,0.2)))</f>
        <v/>
      </c>
      <c r="BA68" s="11">
        <f>IF(OR(City_Inputs!$AG68="",Norm_Stats!$F$24="",Norm_Stats!$G$24="",Norm_Stats!$G$24=Norm_Stats!$F$24),"",MAX(0,MIN(100,100*(Norm_Stats!$G$24-MIN(MAX(City_Inputs!$AG68,Norm_Stats!$F$24),Norm_Stats!$G$24))/(Norm_Stats!$G$24-Norm_Stats!$F$24))))</f>
        <v/>
      </c>
      <c r="BB68" s="14">
        <f>IF(BA68="","",1)</f>
        <v/>
      </c>
      <c r="BC68" s="15">
        <f>IF((IF(AU68="",0,6)+IF(AW68="",0,5)+IF(AY68="",0,5)+IF(BA68="",0,4))=0,"",(IF(AU68="",0,AU68*6)+IF(AW68="",0,AW68*5)+IF(AY68="",0,AY68*5)+IF(BA68="",0,BA68*4))/(IF(AU68="",0,6)+IF(AW68="",0,5)+IF(AY68="",0,5)+IF(BA68="",0,4)))</f>
        <v/>
      </c>
      <c r="BD68" s="14">
        <f>IF((IF(AV68="",0,6)+IF(AX68="",0,5)+IF(AZ68="",0,5)+IF(BB68="",0,4))=0,"",(IF(AV68="",0,AV68*6)+IF(AX68="",0,AX68*5)+IF(AZ68="",0,AZ68*5)+IF(BB68="",0,BB68*4))/20)</f>
        <v/>
      </c>
      <c r="BE68" s="14">
        <f>IF(AND(R68="",AD68="",AL68="",AT68="",BD68=""),"",((R68*25)+(AD68*22)+(AL68*18)+(AT68*15)+(BD68*20))/100)</f>
        <v/>
      </c>
      <c r="BF68" s="11">
        <f>IF(BE68="","",IF(BE68&gt;=0.75,"A",IF(BE68&gt;=0.5,"B",IF(BE68&gt;=0.35,"C","Watchlist"))))</f>
        <v/>
      </c>
      <c r="BG68" s="11">
        <f>IF(OR(BE68="",BE68&lt;0.5,R68="",R68&lt;0.35,AD68="",AD68&lt;0.35,AL68="",AL68&lt;0.35,AT68="",AT68&lt;0.35,BD68="",BD68&lt;0.35),"Watchlist","Ranked")</f>
        <v/>
      </c>
      <c r="BH68" s="15">
        <f>IF(AND(Q68="",AC68="",AK68="",AS68="",BC68=""),"",(IF(Q68="",0,Q68*25)+IF(AC68="",0,AC68*22)+IF(AK68="",0,AK68*18)+IF(AS68="",0,AS68*15)+IF(BC68="",0,BC68*20))/(IF(Q68="",0,25)+IF(AC68="",0,22)+IF(AK68="",0,18)+IF(AS68="",0,15)+IF(BC68="",0,20)))</f>
        <v/>
      </c>
      <c r="BI68" s="11">
        <f>IF(BG68="Ranked",1+COUNTIFS($BG$2:$BG$101,"Ranked",$BH$2:$BH$101,"&gt;"&amp;BH68),"")</f>
        <v/>
      </c>
      <c r="BJ68" s="11">
        <f>City_Inputs!$AH68</f>
        <v/>
      </c>
    </row>
    <row r="69">
      <c r="A69" t="inlineStr">
        <is>
          <t>uy-montevideo</t>
        </is>
      </c>
      <c r="B69" t="inlineStr">
        <is>
          <t>Montevideo</t>
        </is>
      </c>
      <c r="C69" t="inlineStr">
        <is>
          <t>Uruguay</t>
        </is>
      </c>
      <c r="D69" t="inlineStr">
        <is>
          <t>Latin America</t>
        </is>
      </c>
      <c r="E69" t="inlineStr">
        <is>
          <t>locked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IF((IF(G69="",0,9)+IF(I69="",0,5)+IF(K69="",0,4)+IF(M69="",0,4)+IF(O69="",0,3))=0,"",(IF(G69="",0,G69*9)+IF(I69="",0,I69*5)+IF(K69="",0,K69*4)+IF(M69="",0,M69*4)+IF(O69="",0,O69*3))/(IF(G69="",0,9)+IF(I69="",0,5)+IF(K69="",0,4)+IF(M69="",0,4)+IF(O69="",0,3)))</f>
        <v/>
      </c>
      <c r="R69" s="14">
        <f>IF((IF(H69="",0,9)+IF(J69="",0,5)+IF(L69="",0,4)+IF(N69="",0,4)+IF(P69="",0,3))=0,"",(IF(H69="",0,H69*9)+IF(J69="",0,J69*5)+IF(L69="",0,L69*4)+IF(N69="",0,N69*4)+IF(P69="",0,P69*3))/25)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5">
        <f>IF((IF(S69="",0,5)+IF(U69="",0,5)+IF(W69="",0,4)+IF(Y69="",0,4)+IF(AA69="",0,4))=0,"",(IF(S69="",0,S69*5)+IF(U69="",0,U69*5)+IF(W69="",0,W69*4)+IF(Y69="",0,Y69*4)+IF(AA69="",0,AA69*4))/(IF(S69="",0,5)+IF(U69="",0,5)+IF(W69="",0,4)+IF(Y69="",0,4)+IF(AA69="",0,4)))</f>
        <v/>
      </c>
      <c r="AD69" s="14">
        <f>IF((IF(T69="",0,5)+IF(V69="",0,5)+IF(X69="",0,4)+IF(Z69="",0,4)+IF(AB69="",0,4))=0,"",(IF(T69="",0,T69*5)+IF(V69="",0,V69*5)+IF(X69="",0,X69*4)+IF(Z69="",0,Z69*4)+IF(AB69="",0,AB69*4))/22)</f>
        <v/>
      </c>
      <c r="AE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F69" s="14">
        <f>IF(AE69="","",1)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(IF((IF(OR(City_Inputs!$Z69="",Norm_Stats!$F$14="",Norm_Stats!$G$14="",Norm_Stats!$G$14=Norm_Stats!$F$14),"",MAX(0,MIN(100,100*(MIN(MAX(City_Inputs!$Z69,Norm_Stats!$F$14),Norm_Stats!$G$14)-Norm_Stats!$F$14)/(Norm_Stats!$G$14-Norm_Stats!$F$14)))))="",0,0.7)+IF((IF(OR(City_Inputs!$AK69="",Norm_Stats!$F$15="",Norm_Stats!$G$15="",Norm_Stats!$G$15=Norm_Stats!$F$15),"",MAX(0,MIN(100,100*(Norm_Stats!$G$15-MIN(MAX(City_Inputs!$AK69,Norm_Stats!$F$15),Norm_Stats!$G$15))/(Norm_Stats!$G$15-Norm_Stats!$F$15)))))="",0,0.3))=0,"",(IF((IF(OR(City_Inputs!$Z69="",Norm_Stats!$F$14="",Norm_Stats!$G$14="",Norm_Stats!$G$14=Norm_Stats!$F$14),"",MAX(0,MIN(100,100*(MIN(MAX(City_Inputs!$Z69,Norm_Stats!$F$14),Norm_Stats!$G$14)-Norm_Stats!$F$14)/(Norm_Stats!$G$14-Norm_Stats!$F$14)))))="",0,(IF(OR(City_Inputs!$Z69="",Norm_Stats!$F$14="",Norm_Stats!$G$14="",Norm_Stats!$G$14=Norm_Stats!$F$14),"",MAX(0,MIN(100,100*(MIN(MAX(City_Inputs!$Z69,Norm_Stats!$F$14),Norm_Stats!$G$14)-Norm_Stats!$F$14)/(Norm_Stats!$G$14-Norm_Stats!$F$14)))))*0.7)+IF((IF(OR(City_Inputs!$AK69="",Norm_Stats!$F$15="",Norm_Stats!$G$15="",Norm_Stats!$G$15=Norm_Stats!$F$15),"",MAX(0,MIN(100,100*(Norm_Stats!$G$15-MIN(MAX(City_Inputs!$AK69,Norm_Stats!$F$15),Norm_Stats!$G$15))/(Norm_Stats!$G$15-Norm_Stats!$F$15)))))="",0,(IF(OR(City_Inputs!$AK69="",Norm_Stats!$F$15="",Norm_Stats!$G$15="",Norm_Stats!$G$15=Norm_Stats!$F$15),"",MAX(0,MIN(100,100*(Norm_Stats!$G$15-MIN(MAX(City_Inputs!$AK69,Norm_Stats!$F$15),Norm_Stats!$G$15))/(Norm_Stats!$G$15-Norm_Stats!$F$15)))))*0.3))/(IF((IF(OR(City_Inputs!$Z69="",Norm_Stats!$F$14="",Norm_Stats!$G$14="",Norm_Stats!$G$14=Norm_Stats!$F$14),"",MAX(0,MIN(100,100*(MIN(MAX(City_Inputs!$Z69,Norm_Stats!$F$14),Norm_Stats!$G$14)-Norm_Stats!$F$14)/(Norm_Stats!$G$14-Norm_Stats!$F$14)))))="",0,0.7)+IF((IF(OR(City_Inputs!$AK69="",Norm_Stats!$F$15="",Norm_Stats!$G$15="",Norm_Stats!$G$15=Norm_Stats!$F$15),"",MAX(0,MIN(100,100*(Norm_Stats!$G$15-MIN(MAX(City_Inputs!$AK69,Norm_Stats!$F$15),Norm_Stats!$G$15))/(Norm_Stats!$G$15-Norm_Stats!$F$15)))))="",0,0.3)))</f>
        <v/>
      </c>
      <c r="AJ69" s="14">
        <f>IF((IF((IF(OR(City_Inputs!$Z69="",Norm_Stats!$F$14="",Norm_Stats!$G$14="",Norm_Stats!$G$14=Norm_Stats!$F$14),"",MAX(0,MIN(100,100*(MIN(MAX(City_Inputs!$Z69,Norm_Stats!$F$14),Norm_Stats!$G$14)-Norm_Stats!$F$14)/(Norm_Stats!$G$14-Norm_Stats!$F$14)))))="",0,0.7)+IF((IF(OR(City_Inputs!$AK69="",Norm_Stats!$F$15="",Norm_Stats!$G$15="",Norm_Stats!$G$15=Norm_Stats!$F$15),"",MAX(0,MIN(100,100*(Norm_Stats!$G$15-MIN(MAX(City_Inputs!$AK69,Norm_Stats!$F$15),Norm_Stats!$G$15))/(Norm_Stats!$G$15-Norm_Stats!$F$15)))))="",0,0.3))=0,"",(IF((IF(OR(City_Inputs!$Z69="",Norm_Stats!$F$14="",Norm_Stats!$G$14="",Norm_Stats!$G$14=Norm_Stats!$F$14),"",MAX(0,MIN(100,100*(MIN(MAX(City_Inputs!$Z69,Norm_Stats!$F$14),Norm_Stats!$G$14)-Norm_Stats!$F$14)/(Norm_Stats!$G$14-Norm_Stats!$F$14)))))="",0,0.7)+IF((IF(OR(City_Inputs!$AK69="",Norm_Stats!$F$15="",Norm_Stats!$G$15="",Norm_Stats!$G$15=Norm_Stats!$F$15),"",MAX(0,MIN(100,100*(Norm_Stats!$G$15-MIN(MAX(City_Inputs!$AK69,Norm_Stats!$F$15),Norm_Stats!$G$15))/(Norm_Stats!$G$15-Norm_Stats!$F$15)))))="",0,0.3)))</f>
        <v/>
      </c>
      <c r="AK69" s="15">
        <f>IF((IF(AE69="",0,8)+IF(AG69="",0,6)+IF(AI69="",0,4))=0,"",(IF(AE69="",0,AE69*8)+IF(AG69="",0,AG69*6)+IF(AI69="",0,AI69*4))/(IF(AE69="",0,8)+IF(AG69="",0,6)+IF(AI69="",0,4)))</f>
        <v/>
      </c>
      <c r="AL69" s="14">
        <f>IF((IF(AF69="",0,8)+IF(AH69="",0,6)+IF(AJ69="",0,4))=0,"",(IF(AF69="",0,AF69*8)+IF(AH69="",0,AH69*6)+IF(AJ69="",0,AJ69*4))/18)</f>
        <v/>
      </c>
      <c r="AM69" s="11">
        <f>IF(OR(City_Inputs!$AA69="",Norm_Stats!$F$16="",Norm_Stats!$G$16="",Norm_Stats!$G$16=Norm_Stats!$F$16),"",MAX(0,MIN(100,100*(MIN(MAX(City_Inputs!$AA69,Norm_Stats!$F$16),Norm_Stats!$G$16)-Norm_Stats!$F$16)/(Norm_Stats!$G$16-Norm_Stats!$F$16))))</f>
        <v/>
      </c>
      <c r="AN69" s="14">
        <f>IF(AM69="","",1)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5">
        <f>IF((IF(AM69="",0,5)+IF(AO69="",0,5)+IF(AQ69="",0,5))=0,"",(IF(AM69="",0,AM69*5)+IF(AO69="",0,AO69*5)+IF(AQ69="",0,AQ69*5))/(IF(AM69="",0,5)+IF(AO69="",0,5)+IF(AQ69="",0,5)))</f>
        <v/>
      </c>
      <c r="AT69" s="14">
        <f>IF((IF(AN69="",0,5)+IF(AP69="",0,5)+IF(AR69="",0,5))=0,"",(IF(AN69="",0,AN69*5)+IF(AP69="",0,AP69*5)+IF(AR69="",0,AR69*5))/15)</f>
        <v/>
      </c>
      <c r="AU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V69" s="14">
        <f>IF(AU69="","",1)</f>
        <v/>
      </c>
      <c r="AW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X69" s="14">
        <f>IF(AW69="","",1)</f>
        <v/>
      </c>
      <c r="AY69" s="11">
        <f>IF((IF((IF(OR(City_Inputs!$AF69="",Norm_Stats!$F$21="",Norm_Stats!$G$21="",Norm_Stats!$G$21=Norm_Stats!$F$21),"",MAX(0,MIN(100,100*(MIN(MAX(City_Inputs!$AF69,Norm_Stats!$F$21),Norm_Stats!$G$21)-Norm_Stats!$F$21)/(Norm_Stats!$G$21-Norm_Stats!$F$21)))))="",0,0.5)+IF((IF(OR(City_Inputs!$AI69="",Norm_Stats!$F$22="",Norm_Stats!$G$22="",Norm_Stats!$G$22=Norm_Stats!$F$22),"",MAX(0,MIN(100,100*(MIN(MAX(City_Inputs!$AI69,Norm_Stats!$F$22),Norm_Stats!$G$22)-Norm_Stats!$F$22)/(Norm_Stats!$G$22-Norm_Stats!$F$22)))))="",0,0.3)+IF((IF(OR(City_Inputs!$AJ69="",Norm_Stats!$F$23="",Norm_Stats!$G$23="",Norm_Stats!$G$23=Norm_Stats!$F$23),"",MAX(0,MIN(100,100*(MIN(MAX(City_Inputs!$AJ69,Norm_Stats!$F$23),Norm_Stats!$G$23)-Norm_Stats!$F$23)/(Norm_Stats!$G$23-Norm_Stats!$F$23)))))="",0,0.2))=0,"",(IF((IF(OR(City_Inputs!$AF69="",Norm_Stats!$F$21="",Norm_Stats!$G$21="",Norm_Stats!$G$21=Norm_Stats!$F$21),"",MAX(0,MIN(100,100*(MIN(MAX(City_Inputs!$AF69,Norm_Stats!$F$21),Norm_Stats!$G$21)-Norm_Stats!$F$21)/(Norm_Stats!$G$21-Norm_Stats!$F$21)))))="",0,(IF(OR(City_Inputs!$AF69="",Norm_Stats!$F$21="",Norm_Stats!$G$21="",Norm_Stats!$G$21=Norm_Stats!$F$21),"",MAX(0,MIN(100,100*(MIN(MAX(City_Inputs!$AF69,Norm_Stats!$F$21),Norm_Stats!$G$21)-Norm_Stats!$F$21)/(Norm_Stats!$G$21-Norm_Stats!$F$21)))))*0.5)+IF((IF(OR(City_Inputs!$AI69="",Norm_Stats!$F$22="",Norm_Stats!$G$22="",Norm_Stats!$G$22=Norm_Stats!$F$22),"",MAX(0,MIN(100,100*(MIN(MAX(City_Inputs!$AI69,Norm_Stats!$F$22),Norm_Stats!$G$22)-Norm_Stats!$F$22)/(Norm_Stats!$G$22-Norm_Stats!$F$22)))))="",0,(IF(OR(City_Inputs!$AI69="",Norm_Stats!$F$22="",Norm_Stats!$G$22="",Norm_Stats!$G$22=Norm_Stats!$F$22),"",MAX(0,MIN(100,100*(MIN(MAX(City_Inputs!$AI69,Norm_Stats!$F$22),Norm_Stats!$G$22)-Norm_Stats!$F$22)/(Norm_Stats!$G$22-Norm_Stats!$F$22)))))*0.3)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0.2))/(IF((IF(OR(City_Inputs!$AF69="",Norm_Stats!$F$21="",Norm_Stats!$G$21="",Norm_Stats!$G$21=Norm_Stats!$F$21),"",MAX(0,MIN(100,100*(MIN(MAX(City_Inputs!$AF69,Norm_Stats!$F$21),Norm_Stats!$G$21)-Norm_Stats!$F$21)/(Norm_Stats!$G$21-Norm_Stats!$F$21)))))="",0,0.5)+IF((IF(OR(City_Inputs!$AI69="",Norm_Stats!$F$22="",Norm_Stats!$G$22="",Norm_Stats!$G$22=Norm_Stats!$F$22),"",MAX(0,MIN(100,100*(MIN(MAX(City_Inputs!$AI69,Norm_Stats!$F$22),Norm_Stats!$G$22)-Norm_Stats!$F$22)/(Norm_Stats!$G$22-Norm_Stats!$F$22)))))="",0,0.3)+IF((IF(OR(City_Inputs!$AJ69="",Norm_Stats!$F$23="",Norm_Stats!$G$23="",Norm_Stats!$G$23=Norm_Stats!$F$23),"",MAX(0,MIN(100,100*(MIN(MAX(City_Inputs!$AJ69,Norm_Stats!$F$23),Norm_Stats!$G$23)-Norm_Stats!$F$23)/(Norm_Stats!$G$23-Norm_Stats!$F$23)))))="",0,0.2)))</f>
        <v/>
      </c>
      <c r="AZ69" s="14">
        <f>IF((IF((IF(OR(City_Inputs!$AF69="",Norm_Stats!$F$21="",Norm_Stats!$G$21="",Norm_Stats!$G$21=Norm_Stats!$F$21),"",MAX(0,MIN(100,100*(MIN(MAX(City_Inputs!$AF69,Norm_Stats!$F$21),Norm_Stats!$G$21)-Norm_Stats!$F$21)/(Norm_Stats!$G$21-Norm_Stats!$F$21)))))="",0,0.5)+IF((IF(OR(City_Inputs!$AI69="",Norm_Stats!$F$22="",Norm_Stats!$G$22="",Norm_Stats!$G$22=Norm_Stats!$F$22),"",MAX(0,MIN(100,100*(MIN(MAX(City_Inputs!$AI69,Norm_Stats!$F$22),Norm_Stats!$G$22)-Norm_Stats!$F$22)/(Norm_Stats!$G$22-Norm_Stats!$F$22)))))="",0,0.3)+IF((IF(OR(City_Inputs!$AJ69="",Norm_Stats!$F$23="",Norm_Stats!$G$23="",Norm_Stats!$G$23=Norm_Stats!$F$23),"",MAX(0,MIN(100,100*(MIN(MAX(City_Inputs!$AJ69,Norm_Stats!$F$23),Norm_Stats!$G$23)-Norm_Stats!$F$23)/(Norm_Stats!$G$23-Norm_Stats!$F$23)))))="",0,0.2))=0,"",(IF((IF(OR(City_Inputs!$AF69="",Norm_Stats!$F$21="",Norm_Stats!$G$21="",Norm_Stats!$G$21=Norm_Stats!$F$21),"",MAX(0,MIN(100,100*(MIN(MAX(City_Inputs!$AF69,Norm_Stats!$F$21),Norm_Stats!$G$21)-Norm_Stats!$F$21)/(Norm_Stats!$G$21-Norm_Stats!$F$21)))))="",0,0.5)+IF((IF(OR(City_Inputs!$AI69="",Norm_Stats!$F$22="",Norm_Stats!$G$22="",Norm_Stats!$G$22=Norm_Stats!$F$22),"",MAX(0,MIN(100,100*(MIN(MAX(City_Inputs!$AI69,Norm_Stats!$F$22),Norm_Stats!$G$22)-Norm_Stats!$F$22)/(Norm_Stats!$G$22-Norm_Stats!$F$22)))))="",0,0.3)+IF((IF(OR(City_Inputs!$AJ69="",Norm_Stats!$F$23="",Norm_Stats!$G$23="",Norm_Stats!$G$23=Norm_Stats!$F$23),"",MAX(0,MIN(100,100*(MIN(MAX(City_Inputs!$AJ69,Norm_Stats!$F$23),Norm_Stats!$G$23)-Norm_Stats!$F$23)/(Norm_Stats!$G$23-Norm_Stats!$F$23)))))="",0,0.2)))</f>
        <v/>
      </c>
      <c r="BA69" s="11">
        <f>IF(OR(City_Inputs!$AG69="",Norm_Stats!$F$24="",Norm_Stats!$G$24="",Norm_Stats!$G$24=Norm_Stats!$F$24),"",MAX(0,MIN(100,100*(Norm_Stats!$G$24-MIN(MAX(City_Inputs!$AG69,Norm_Stats!$F$24),Norm_Stats!$G$24))/(Norm_Stats!$G$24-Norm_Stats!$F$24))))</f>
        <v/>
      </c>
      <c r="BB69" s="14">
        <f>IF(BA69="","",1)</f>
        <v/>
      </c>
      <c r="BC69" s="15">
        <f>IF((IF(AU69="",0,6)+IF(AW69="",0,5)+IF(AY69="",0,5)+IF(BA69="",0,4))=0,"",(IF(AU69="",0,AU69*6)+IF(AW69="",0,AW69*5)+IF(AY69="",0,AY69*5)+IF(BA69="",0,BA69*4))/(IF(AU69="",0,6)+IF(AW69="",0,5)+IF(AY69="",0,5)+IF(BA69="",0,4)))</f>
        <v/>
      </c>
      <c r="BD69" s="14">
        <f>IF((IF(AV69="",0,6)+IF(AX69="",0,5)+IF(AZ69="",0,5)+IF(BB69="",0,4))=0,"",(IF(AV69="",0,AV69*6)+IF(AX69="",0,AX69*5)+IF(AZ69="",0,AZ69*5)+IF(BB69="",0,BB69*4))/20)</f>
        <v/>
      </c>
      <c r="BE69" s="14">
        <f>IF(AND(R69="",AD69="",AL69="",AT69="",BD69=""),"",((R69*25)+(AD69*22)+(AL69*18)+(AT69*15)+(BD69*20))/100)</f>
        <v/>
      </c>
      <c r="BF69" s="11">
        <f>IF(BE69="","",IF(BE69&gt;=0.75,"A",IF(BE69&gt;=0.5,"B",IF(BE69&gt;=0.35,"C","Watchlist"))))</f>
        <v/>
      </c>
      <c r="BG69" s="11">
        <f>IF(OR(BE69="",BE69&lt;0.5,R69="",R69&lt;0.35,AD69="",AD69&lt;0.35,AL69="",AL69&lt;0.35,AT69="",AT69&lt;0.35,BD69="",BD69&lt;0.35),"Watchlist","Ranked")</f>
        <v/>
      </c>
      <c r="BH69" s="15">
        <f>IF(AND(Q69="",AC69="",AK69="",AS69="",BC69=""),"",(IF(Q69="",0,Q69*25)+IF(AC69="",0,AC69*22)+IF(AK69="",0,AK69*18)+IF(AS69="",0,AS69*15)+IF(BC69="",0,BC69*20))/(IF(Q69="",0,25)+IF(AC69="",0,22)+IF(AK69="",0,18)+IF(AS69="",0,15)+IF(BC69="",0,20)))</f>
        <v/>
      </c>
      <c r="BI69" s="11">
        <f>IF(BG69="Ranked",1+COUNTIFS($BG$2:$BG$101,"Ranked",$BH$2:$BH$101,"&gt;"&amp;BH69),"")</f>
        <v/>
      </c>
      <c r="BJ69" s="11">
        <f>City_Inputs!$AH69</f>
        <v/>
      </c>
    </row>
    <row r="70">
      <c r="A70" t="inlineStr">
        <is>
          <t>ar-cordoba</t>
        </is>
      </c>
      <c r="B70" t="inlineStr">
        <is>
          <t>Cordoba</t>
        </is>
      </c>
      <c r="C70" t="inlineStr">
        <is>
          <t>Argentina</t>
        </is>
      </c>
      <c r="D70" t="inlineStr">
        <is>
          <t>Latin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IF((IF(G70="",0,9)+IF(I70="",0,5)+IF(K70="",0,4)+IF(M70="",0,4)+IF(O70="",0,3))=0,"",(IF(G70="",0,G70*9)+IF(I70="",0,I70*5)+IF(K70="",0,K70*4)+IF(M70="",0,M70*4)+IF(O70="",0,O70*3))/(IF(G70="",0,9)+IF(I70="",0,5)+IF(K70="",0,4)+IF(M70="",0,4)+IF(O70="",0,3)))</f>
        <v/>
      </c>
      <c r="R70" s="14">
        <f>IF((IF(H70="",0,9)+IF(J70="",0,5)+IF(L70="",0,4)+IF(N70="",0,4)+IF(P70="",0,3))=0,"",(IF(H70="",0,H70*9)+IF(J70="",0,J70*5)+IF(L70="",0,L70*4)+IF(N70="",0,N70*4)+IF(P70="",0,P70*3))/25)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5">
        <f>IF((IF(S70="",0,5)+IF(U70="",0,5)+IF(W70="",0,4)+IF(Y70="",0,4)+IF(AA70="",0,4))=0,"",(IF(S70="",0,S70*5)+IF(U70="",0,U70*5)+IF(W70="",0,W70*4)+IF(Y70="",0,Y70*4)+IF(AA70="",0,AA70*4))/(IF(S70="",0,5)+IF(U70="",0,5)+IF(W70="",0,4)+IF(Y70="",0,4)+IF(AA70="",0,4)))</f>
        <v/>
      </c>
      <c r="AD70" s="14">
        <f>IF((IF(T70="",0,5)+IF(V70="",0,5)+IF(X70="",0,4)+IF(Z70="",0,4)+IF(AB70="",0,4))=0,"",(IF(T70="",0,T70*5)+IF(V70="",0,V70*5)+IF(X70="",0,X70*4)+IF(Z70="",0,Z70*4)+IF(AB70="",0,AB70*4))/22)</f>
        <v/>
      </c>
      <c r="AE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F70" s="14">
        <f>IF(AE70="","",1)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(IF((IF(OR(City_Inputs!$Z70="",Norm_Stats!$F$14="",Norm_Stats!$G$14="",Norm_Stats!$G$14=Norm_Stats!$F$14),"",MAX(0,MIN(100,100*(MIN(MAX(City_Inputs!$Z70,Norm_Stats!$F$14),Norm_Stats!$G$14)-Norm_Stats!$F$14)/(Norm_Stats!$G$14-Norm_Stats!$F$14)))))="",0,0.7)+IF((IF(OR(City_Inputs!$AK70="",Norm_Stats!$F$15="",Norm_Stats!$G$15="",Norm_Stats!$G$15=Norm_Stats!$F$15),"",MAX(0,MIN(100,100*(Norm_Stats!$G$15-MIN(MAX(City_Inputs!$AK70,Norm_Stats!$F$15),Norm_Stats!$G$15))/(Norm_Stats!$G$15-Norm_Stats!$F$15)))))="",0,0.3))=0,"",(IF((IF(OR(City_Inputs!$Z70="",Norm_Stats!$F$14="",Norm_Stats!$G$14="",Norm_Stats!$G$14=Norm_Stats!$F$14),"",MAX(0,MIN(100,100*(MIN(MAX(City_Inputs!$Z70,Norm_Stats!$F$14),Norm_Stats!$G$14)-Norm_Stats!$F$14)/(Norm_Stats!$G$14-Norm_Stats!$F$14)))))="",0,(IF(OR(City_Inputs!$Z70="",Norm_Stats!$F$14="",Norm_Stats!$G$14="",Norm_Stats!$G$14=Norm_Stats!$F$14),"",MAX(0,MIN(100,100*(MIN(MAX(City_Inputs!$Z70,Norm_Stats!$F$14),Norm_Stats!$G$14)-Norm_Stats!$F$14)/(Norm_Stats!$G$14-Norm_Stats!$F$14)))))*0.7)+IF((IF(OR(City_Inputs!$AK70="",Norm_Stats!$F$15="",Norm_Stats!$G$15="",Norm_Stats!$G$15=Norm_Stats!$F$15),"",MAX(0,MIN(100,100*(Norm_Stats!$G$15-MIN(MAX(City_Inputs!$AK70,Norm_Stats!$F$15),Norm_Stats!$G$15))/(Norm_Stats!$G$15-Norm_Stats!$F$15)))))="",0,(IF(OR(City_Inputs!$AK70="",Norm_Stats!$F$15="",Norm_Stats!$G$15="",Norm_Stats!$G$15=Norm_Stats!$F$15),"",MAX(0,MIN(100,100*(Norm_Stats!$G$15-MIN(MAX(City_Inputs!$AK70,Norm_Stats!$F$15),Norm_Stats!$G$15))/(Norm_Stats!$G$15-Norm_Stats!$F$15)))))*0.3))/(IF((IF(OR(City_Inputs!$Z70="",Norm_Stats!$F$14="",Norm_Stats!$G$14="",Norm_Stats!$G$14=Norm_Stats!$F$14),"",MAX(0,MIN(100,100*(MIN(MAX(City_Inputs!$Z70,Norm_Stats!$F$14),Norm_Stats!$G$14)-Norm_Stats!$F$14)/(Norm_Stats!$G$14-Norm_Stats!$F$14)))))="",0,0.7)+IF((IF(OR(City_Inputs!$AK70="",Norm_Stats!$F$15="",Norm_Stats!$G$15="",Norm_Stats!$G$15=Norm_Stats!$F$15),"",MAX(0,MIN(100,100*(Norm_Stats!$G$15-MIN(MAX(City_Inputs!$AK70,Norm_Stats!$F$15),Norm_Stats!$G$15))/(Norm_Stats!$G$15-Norm_Stats!$F$15)))))="",0,0.3)))</f>
        <v/>
      </c>
      <c r="AJ70" s="14">
        <f>IF((IF((IF(OR(City_Inputs!$Z70="",Norm_Stats!$F$14="",Norm_Stats!$G$14="",Norm_Stats!$G$14=Norm_Stats!$F$14),"",MAX(0,MIN(100,100*(MIN(MAX(City_Inputs!$Z70,Norm_Stats!$F$14),Norm_Stats!$G$14)-Norm_Stats!$F$14)/(Norm_Stats!$G$14-Norm_Stats!$F$14)))))="",0,0.7)+IF((IF(OR(City_Inputs!$AK70="",Norm_Stats!$F$15="",Norm_Stats!$G$15="",Norm_Stats!$G$15=Norm_Stats!$F$15),"",MAX(0,MIN(100,100*(Norm_Stats!$G$15-MIN(MAX(City_Inputs!$AK70,Norm_Stats!$F$15),Norm_Stats!$G$15))/(Norm_Stats!$G$15-Norm_Stats!$F$15)))))="",0,0.3))=0,"",(IF((IF(OR(City_Inputs!$Z70="",Norm_Stats!$F$14="",Norm_Stats!$G$14="",Norm_Stats!$G$14=Norm_Stats!$F$14),"",MAX(0,MIN(100,100*(MIN(MAX(City_Inputs!$Z70,Norm_Stats!$F$14),Norm_Stats!$G$14)-Norm_Stats!$F$14)/(Norm_Stats!$G$14-Norm_Stats!$F$14)))))="",0,0.7)+IF((IF(OR(City_Inputs!$AK70="",Norm_Stats!$F$15="",Norm_Stats!$G$15="",Norm_Stats!$G$15=Norm_Stats!$F$15),"",MAX(0,MIN(100,100*(Norm_Stats!$G$15-MIN(MAX(City_Inputs!$AK70,Norm_Stats!$F$15),Norm_Stats!$G$15))/(Norm_Stats!$G$15-Norm_Stats!$F$15)))))="",0,0.3)))</f>
        <v/>
      </c>
      <c r="AK70" s="15">
        <f>IF((IF(AE70="",0,8)+IF(AG70="",0,6)+IF(AI70="",0,4))=0,"",(IF(AE70="",0,AE70*8)+IF(AG70="",0,AG70*6)+IF(AI70="",0,AI70*4))/(IF(AE70="",0,8)+IF(AG70="",0,6)+IF(AI70="",0,4)))</f>
        <v/>
      </c>
      <c r="AL70" s="14">
        <f>IF((IF(AF70="",0,8)+IF(AH70="",0,6)+IF(AJ70="",0,4))=0,"",(IF(AF70="",0,AF70*8)+IF(AH70="",0,AH70*6)+IF(AJ70="",0,AJ70*4))/18)</f>
        <v/>
      </c>
      <c r="AM70" s="11">
        <f>IF(OR(City_Inputs!$AA70="",Norm_Stats!$F$16="",Norm_Stats!$G$16="",Norm_Stats!$G$16=Norm_Stats!$F$16),"",MAX(0,MIN(100,100*(MIN(MAX(City_Inputs!$AA70,Norm_Stats!$F$16),Norm_Stats!$G$16)-Norm_Stats!$F$16)/(Norm_Stats!$G$16-Norm_Stats!$F$16))))</f>
        <v/>
      </c>
      <c r="AN70" s="14">
        <f>IF(AM70="","",1)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5">
        <f>IF((IF(AM70="",0,5)+IF(AO70="",0,5)+IF(AQ70="",0,5))=0,"",(IF(AM70="",0,AM70*5)+IF(AO70="",0,AO70*5)+IF(AQ70="",0,AQ70*5))/(IF(AM70="",0,5)+IF(AO70="",0,5)+IF(AQ70="",0,5)))</f>
        <v/>
      </c>
      <c r="AT70" s="14">
        <f>IF((IF(AN70="",0,5)+IF(AP70="",0,5)+IF(AR70="",0,5))=0,"",(IF(AN70="",0,AN70*5)+IF(AP70="",0,AP70*5)+IF(AR70="",0,AR70*5))/15)</f>
        <v/>
      </c>
      <c r="AU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V70" s="14">
        <f>IF(AU70="","",1)</f>
        <v/>
      </c>
      <c r="AW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X70" s="14">
        <f>IF(AW70="","",1)</f>
        <v/>
      </c>
      <c r="AY70" s="11">
        <f>IF((IF((IF(OR(City_Inputs!$AF70="",Norm_Stats!$F$21="",Norm_Stats!$G$21="",Norm_Stats!$G$21=Norm_Stats!$F$21),"",MAX(0,MIN(100,100*(MIN(MAX(City_Inputs!$AF70,Norm_Stats!$F$21),Norm_Stats!$G$21)-Norm_Stats!$F$21)/(Norm_Stats!$G$21-Norm_Stats!$F$21)))))="",0,0.5)+IF((IF(OR(City_Inputs!$AI70="",Norm_Stats!$F$22="",Norm_Stats!$G$22="",Norm_Stats!$G$22=Norm_Stats!$F$22),"",MAX(0,MIN(100,100*(MIN(MAX(City_Inputs!$AI70,Norm_Stats!$F$22),Norm_Stats!$G$22)-Norm_Stats!$F$22)/(Norm_Stats!$G$22-Norm_Stats!$F$22)))))="",0,0.3)+IF((IF(OR(City_Inputs!$AJ70="",Norm_Stats!$F$23="",Norm_Stats!$G$23="",Norm_Stats!$G$23=Norm_Stats!$F$23),"",MAX(0,MIN(100,100*(MIN(MAX(City_Inputs!$AJ70,Norm_Stats!$F$23),Norm_Stats!$G$23)-Norm_Stats!$F$23)/(Norm_Stats!$G$23-Norm_Stats!$F$23)))))="",0,0.2))=0,"",(IF((IF(OR(City_Inputs!$AF70="",Norm_Stats!$F$21="",Norm_Stats!$G$21="",Norm_Stats!$G$21=Norm_Stats!$F$21),"",MAX(0,MIN(100,100*(MIN(MAX(City_Inputs!$AF70,Norm_Stats!$F$21),Norm_Stats!$G$21)-Norm_Stats!$F$21)/(Norm_Stats!$G$21-Norm_Stats!$F$21)))))="",0,(IF(OR(City_Inputs!$AF70="",Norm_Stats!$F$21="",Norm_Stats!$G$21="",Norm_Stats!$G$21=Norm_Stats!$F$21),"",MAX(0,MIN(100,100*(MIN(MAX(City_Inputs!$AF70,Norm_Stats!$F$21),Norm_Stats!$G$21)-Norm_Stats!$F$21)/(Norm_Stats!$G$21-Norm_Stats!$F$21)))))*0.5)+IF((IF(OR(City_Inputs!$AI70="",Norm_Stats!$F$22="",Norm_Stats!$G$22="",Norm_Stats!$G$22=Norm_Stats!$F$22),"",MAX(0,MIN(100,100*(MIN(MAX(City_Inputs!$AI70,Norm_Stats!$F$22),Norm_Stats!$G$22)-Norm_Stats!$F$22)/(Norm_Stats!$G$22-Norm_Stats!$F$22)))))="",0,(IF(OR(City_Inputs!$AI70="",Norm_Stats!$F$22="",Norm_Stats!$G$22="",Norm_Stats!$G$22=Norm_Stats!$F$22),"",MAX(0,MIN(100,100*(MIN(MAX(City_Inputs!$AI70,Norm_Stats!$F$22),Norm_Stats!$G$22)-Norm_Stats!$F$22)/(Norm_Stats!$G$22-Norm_Stats!$F$22)))))*0.3)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0.2))/(IF((IF(OR(City_Inputs!$AF70="",Norm_Stats!$F$21="",Norm_Stats!$G$21="",Norm_Stats!$G$21=Norm_Stats!$F$21),"",MAX(0,MIN(100,100*(MIN(MAX(City_Inputs!$AF70,Norm_Stats!$F$21),Norm_Stats!$G$21)-Norm_Stats!$F$21)/(Norm_Stats!$G$21-Norm_Stats!$F$21)))))="",0,0.5)+IF((IF(OR(City_Inputs!$AI70="",Norm_Stats!$F$22="",Norm_Stats!$G$22="",Norm_Stats!$G$22=Norm_Stats!$F$22),"",MAX(0,MIN(100,100*(MIN(MAX(City_Inputs!$AI70,Norm_Stats!$F$22),Norm_Stats!$G$22)-Norm_Stats!$F$22)/(Norm_Stats!$G$22-Norm_Stats!$F$22)))))="",0,0.3)+IF((IF(OR(City_Inputs!$AJ70="",Norm_Stats!$F$23="",Norm_Stats!$G$23="",Norm_Stats!$G$23=Norm_Stats!$F$23),"",MAX(0,MIN(100,100*(MIN(MAX(City_Inputs!$AJ70,Norm_Stats!$F$23),Norm_Stats!$G$23)-Norm_Stats!$F$23)/(Norm_Stats!$G$23-Norm_Stats!$F$23)))))="",0,0.2)))</f>
        <v/>
      </c>
      <c r="AZ70" s="14">
        <f>IF((IF((IF(OR(City_Inputs!$AF70="",Norm_Stats!$F$21="",Norm_Stats!$G$21="",Norm_Stats!$G$21=Norm_Stats!$F$21),"",MAX(0,MIN(100,100*(MIN(MAX(City_Inputs!$AF70,Norm_Stats!$F$21),Norm_Stats!$G$21)-Norm_Stats!$F$21)/(Norm_Stats!$G$21-Norm_Stats!$F$21)))))="",0,0.5)+IF((IF(OR(City_Inputs!$AI70="",Norm_Stats!$F$22="",Norm_Stats!$G$22="",Norm_Stats!$G$22=Norm_Stats!$F$22),"",MAX(0,MIN(100,100*(MIN(MAX(City_Inputs!$AI70,Norm_Stats!$F$22),Norm_Stats!$G$22)-Norm_Stats!$F$22)/(Norm_Stats!$G$22-Norm_Stats!$F$22)))))="",0,0.3)+IF((IF(OR(City_Inputs!$AJ70="",Norm_Stats!$F$23="",Norm_Stats!$G$23="",Norm_Stats!$G$23=Norm_Stats!$F$23),"",MAX(0,MIN(100,100*(MIN(MAX(City_Inputs!$AJ70,Norm_Stats!$F$23),Norm_Stats!$G$23)-Norm_Stats!$F$23)/(Norm_Stats!$G$23-Norm_Stats!$F$23)))))="",0,0.2))=0,"",(IF((IF(OR(City_Inputs!$AF70="",Norm_Stats!$F$21="",Norm_Stats!$G$21="",Norm_Stats!$G$21=Norm_Stats!$F$21),"",MAX(0,MIN(100,100*(MIN(MAX(City_Inputs!$AF70,Norm_Stats!$F$21),Norm_Stats!$G$21)-Norm_Stats!$F$21)/(Norm_Stats!$G$21-Norm_Stats!$F$21)))))="",0,0.5)+IF((IF(OR(City_Inputs!$AI70="",Norm_Stats!$F$22="",Norm_Stats!$G$22="",Norm_Stats!$G$22=Norm_Stats!$F$22),"",MAX(0,MIN(100,100*(MIN(MAX(City_Inputs!$AI70,Norm_Stats!$F$22),Norm_Stats!$G$22)-Norm_Stats!$F$22)/(Norm_Stats!$G$22-Norm_Stats!$F$22)))))="",0,0.3)+IF((IF(OR(City_Inputs!$AJ70="",Norm_Stats!$F$23="",Norm_Stats!$G$23="",Norm_Stats!$G$23=Norm_Stats!$F$23),"",MAX(0,MIN(100,100*(MIN(MAX(City_Inputs!$AJ70,Norm_Stats!$F$23),Norm_Stats!$G$23)-Norm_Stats!$F$23)/(Norm_Stats!$G$23-Norm_Stats!$F$23)))))="",0,0.2)))</f>
        <v/>
      </c>
      <c r="BA70" s="11">
        <f>IF(OR(City_Inputs!$AG70="",Norm_Stats!$F$24="",Norm_Stats!$G$24="",Norm_Stats!$G$24=Norm_Stats!$F$24),"",MAX(0,MIN(100,100*(Norm_Stats!$G$24-MIN(MAX(City_Inputs!$AG70,Norm_Stats!$F$24),Norm_Stats!$G$24))/(Norm_Stats!$G$24-Norm_Stats!$F$24))))</f>
        <v/>
      </c>
      <c r="BB70" s="14">
        <f>IF(BA70="","",1)</f>
        <v/>
      </c>
      <c r="BC70" s="15">
        <f>IF((IF(AU70="",0,6)+IF(AW70="",0,5)+IF(AY70="",0,5)+IF(BA70="",0,4))=0,"",(IF(AU70="",0,AU70*6)+IF(AW70="",0,AW70*5)+IF(AY70="",0,AY70*5)+IF(BA70="",0,BA70*4))/(IF(AU70="",0,6)+IF(AW70="",0,5)+IF(AY70="",0,5)+IF(BA70="",0,4)))</f>
        <v/>
      </c>
      <c r="BD70" s="14">
        <f>IF((IF(AV70="",0,6)+IF(AX70="",0,5)+IF(AZ70="",0,5)+IF(BB70="",0,4))=0,"",(IF(AV70="",0,AV70*6)+IF(AX70="",0,AX70*5)+IF(AZ70="",0,AZ70*5)+IF(BB70="",0,BB70*4))/20)</f>
        <v/>
      </c>
      <c r="BE70" s="14">
        <f>IF(AND(R70="",AD70="",AL70="",AT70="",BD70=""),"",((R70*25)+(AD70*22)+(AL70*18)+(AT70*15)+(BD70*20))/100)</f>
        <v/>
      </c>
      <c r="BF70" s="11">
        <f>IF(BE70="","",IF(BE70&gt;=0.75,"A",IF(BE70&gt;=0.5,"B",IF(BE70&gt;=0.35,"C","Watchlist"))))</f>
        <v/>
      </c>
      <c r="BG70" s="11">
        <f>IF(OR(BE70="",BE70&lt;0.5,R70="",R70&lt;0.35,AD70="",AD70&lt;0.35,AL70="",AL70&lt;0.35,AT70="",AT70&lt;0.35,BD70="",BD70&lt;0.35),"Watchlist","Ranked")</f>
        <v/>
      </c>
      <c r="BH70" s="15">
        <f>IF(AND(Q70="",AC70="",AK70="",AS70="",BC70=""),"",(IF(Q70="",0,Q70*25)+IF(AC70="",0,AC70*22)+IF(AK70="",0,AK70*18)+IF(AS70="",0,AS70*15)+IF(BC70="",0,BC70*20))/(IF(Q70="",0,25)+IF(AC70="",0,22)+IF(AK70="",0,18)+IF(AS70="",0,15)+IF(BC70="",0,20)))</f>
        <v/>
      </c>
      <c r="BI70" s="11">
        <f>IF(BG70="Ranked",1+COUNTIFS($BG$2:$BG$101,"Ranked",$BH$2:$BH$101,"&gt;"&amp;BH70),"")</f>
        <v/>
      </c>
      <c r="BJ70" s="11">
        <f>City_Inputs!$AH70</f>
        <v/>
      </c>
    </row>
    <row r="71">
      <c r="A71" t="inlineStr">
        <is>
          <t>cl-valparaiso</t>
        </is>
      </c>
      <c r="B71" t="inlineStr">
        <is>
          <t>Valparaiso</t>
        </is>
      </c>
      <c r="C71" t="inlineStr">
        <is>
          <t>Chile</t>
        </is>
      </c>
      <c r="D71" t="inlineStr">
        <is>
          <t>Latin America</t>
        </is>
      </c>
      <c r="E71" t="inlineStr">
        <is>
          <t>provisional</t>
        </is>
      </c>
      <c r="F71" t="inlineStr">
        <is>
          <t>secondary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IF((IF(G71="",0,9)+IF(I71="",0,5)+IF(K71="",0,4)+IF(M71="",0,4)+IF(O71="",0,3))=0,"",(IF(G71="",0,G71*9)+IF(I71="",0,I71*5)+IF(K71="",0,K71*4)+IF(M71="",0,M71*4)+IF(O71="",0,O71*3))/(IF(G71="",0,9)+IF(I71="",0,5)+IF(K71="",0,4)+IF(M71="",0,4)+IF(O71="",0,3)))</f>
        <v/>
      </c>
      <c r="R71" s="14">
        <f>IF((IF(H71="",0,9)+IF(J71="",0,5)+IF(L71="",0,4)+IF(N71="",0,4)+IF(P71="",0,3))=0,"",(IF(H71="",0,H71*9)+IF(J71="",0,J71*5)+IF(L71="",0,L71*4)+IF(N71="",0,N71*4)+IF(P71="",0,P71*3))/25)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5">
        <f>IF((IF(S71="",0,5)+IF(U71="",0,5)+IF(W71="",0,4)+IF(Y71="",0,4)+IF(AA71="",0,4))=0,"",(IF(S71="",0,S71*5)+IF(U71="",0,U71*5)+IF(W71="",0,W71*4)+IF(Y71="",0,Y71*4)+IF(AA71="",0,AA71*4))/(IF(S71="",0,5)+IF(U71="",0,5)+IF(W71="",0,4)+IF(Y71="",0,4)+IF(AA71="",0,4)))</f>
        <v/>
      </c>
      <c r="AD71" s="14">
        <f>IF((IF(T71="",0,5)+IF(V71="",0,5)+IF(X71="",0,4)+IF(Z71="",0,4)+IF(AB71="",0,4))=0,"",(IF(T71="",0,T71*5)+IF(V71="",0,V71*5)+IF(X71="",0,X71*4)+IF(Z71="",0,Z71*4)+IF(AB71="",0,AB71*4))/22)</f>
        <v/>
      </c>
      <c r="AE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F71" s="14">
        <f>IF(AE71="","",1)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(IF((IF(OR(City_Inputs!$Z71="",Norm_Stats!$F$14="",Norm_Stats!$G$14="",Norm_Stats!$G$14=Norm_Stats!$F$14),"",MAX(0,MIN(100,100*(MIN(MAX(City_Inputs!$Z71,Norm_Stats!$F$14),Norm_Stats!$G$14)-Norm_Stats!$F$14)/(Norm_Stats!$G$14-Norm_Stats!$F$14)))))="",0,0.7)+IF((IF(OR(City_Inputs!$AK71="",Norm_Stats!$F$15="",Norm_Stats!$G$15="",Norm_Stats!$G$15=Norm_Stats!$F$15),"",MAX(0,MIN(100,100*(Norm_Stats!$G$15-MIN(MAX(City_Inputs!$AK71,Norm_Stats!$F$15),Norm_Stats!$G$15))/(Norm_Stats!$G$15-Norm_Stats!$F$15)))))="",0,0.3))=0,"",(IF((IF(OR(City_Inputs!$Z71="",Norm_Stats!$F$14="",Norm_Stats!$G$14="",Norm_Stats!$G$14=Norm_Stats!$F$14),"",MAX(0,MIN(100,100*(MIN(MAX(City_Inputs!$Z71,Norm_Stats!$F$14),Norm_Stats!$G$14)-Norm_Stats!$F$14)/(Norm_Stats!$G$14-Norm_Stats!$F$14)))))="",0,(IF(OR(City_Inputs!$Z71="",Norm_Stats!$F$14="",Norm_Stats!$G$14="",Norm_Stats!$G$14=Norm_Stats!$F$14),"",MAX(0,MIN(100,100*(MIN(MAX(City_Inputs!$Z71,Norm_Stats!$F$14),Norm_Stats!$G$14)-Norm_Stats!$F$14)/(Norm_Stats!$G$14-Norm_Stats!$F$14)))))*0.7)+IF((IF(OR(City_Inputs!$AK71="",Norm_Stats!$F$15="",Norm_Stats!$G$15="",Norm_Stats!$G$15=Norm_Stats!$F$15),"",MAX(0,MIN(100,100*(Norm_Stats!$G$15-MIN(MAX(City_Inputs!$AK71,Norm_Stats!$F$15),Norm_Stats!$G$15))/(Norm_Stats!$G$15-Norm_Stats!$F$15)))))="",0,(IF(OR(City_Inputs!$AK71="",Norm_Stats!$F$15="",Norm_Stats!$G$15="",Norm_Stats!$G$15=Norm_Stats!$F$15),"",MAX(0,MIN(100,100*(Norm_Stats!$G$15-MIN(MAX(City_Inputs!$AK71,Norm_Stats!$F$15),Norm_Stats!$G$15))/(Norm_Stats!$G$15-Norm_Stats!$F$15)))))*0.3))/(IF((IF(OR(City_Inputs!$Z71="",Norm_Stats!$F$14="",Norm_Stats!$G$14="",Norm_Stats!$G$14=Norm_Stats!$F$14),"",MAX(0,MIN(100,100*(MIN(MAX(City_Inputs!$Z71,Norm_Stats!$F$14),Norm_Stats!$G$14)-Norm_Stats!$F$14)/(Norm_Stats!$G$14-Norm_Stats!$F$14)))))="",0,0.7)+IF((IF(OR(City_Inputs!$AK71="",Norm_Stats!$F$15="",Norm_Stats!$G$15="",Norm_Stats!$G$15=Norm_Stats!$F$15),"",MAX(0,MIN(100,100*(Norm_Stats!$G$15-MIN(MAX(City_Inputs!$AK71,Norm_Stats!$F$15),Norm_Stats!$G$15))/(Norm_Stats!$G$15-Norm_Stats!$F$15)))))="",0,0.3)))</f>
        <v/>
      </c>
      <c r="AJ71" s="14">
        <f>IF((IF((IF(OR(City_Inputs!$Z71="",Norm_Stats!$F$14="",Norm_Stats!$G$14="",Norm_Stats!$G$14=Norm_Stats!$F$14),"",MAX(0,MIN(100,100*(MIN(MAX(City_Inputs!$Z71,Norm_Stats!$F$14),Norm_Stats!$G$14)-Norm_Stats!$F$14)/(Norm_Stats!$G$14-Norm_Stats!$F$14)))))="",0,0.7)+IF((IF(OR(City_Inputs!$AK71="",Norm_Stats!$F$15="",Norm_Stats!$G$15="",Norm_Stats!$G$15=Norm_Stats!$F$15),"",MAX(0,MIN(100,100*(Norm_Stats!$G$15-MIN(MAX(City_Inputs!$AK71,Norm_Stats!$F$15),Norm_Stats!$G$15))/(Norm_Stats!$G$15-Norm_Stats!$F$15)))))="",0,0.3))=0,"",(IF((IF(OR(City_Inputs!$Z71="",Norm_Stats!$F$14="",Norm_Stats!$G$14="",Norm_Stats!$G$14=Norm_Stats!$F$14),"",MAX(0,MIN(100,100*(MIN(MAX(City_Inputs!$Z71,Norm_Stats!$F$14),Norm_Stats!$G$14)-Norm_Stats!$F$14)/(Norm_Stats!$G$14-Norm_Stats!$F$14)))))="",0,0.7)+IF((IF(OR(City_Inputs!$AK71="",Norm_Stats!$F$15="",Norm_Stats!$G$15="",Norm_Stats!$G$15=Norm_Stats!$F$15),"",MAX(0,MIN(100,100*(Norm_Stats!$G$15-MIN(MAX(City_Inputs!$AK71,Norm_Stats!$F$15),Norm_Stats!$G$15))/(Norm_Stats!$G$15-Norm_Stats!$F$15)))))="",0,0.3)))</f>
        <v/>
      </c>
      <c r="AK71" s="15">
        <f>IF((IF(AE71="",0,8)+IF(AG71="",0,6)+IF(AI71="",0,4))=0,"",(IF(AE71="",0,AE71*8)+IF(AG71="",0,AG71*6)+IF(AI71="",0,AI71*4))/(IF(AE71="",0,8)+IF(AG71="",0,6)+IF(AI71="",0,4)))</f>
        <v/>
      </c>
      <c r="AL71" s="14">
        <f>IF((IF(AF71="",0,8)+IF(AH71="",0,6)+IF(AJ71="",0,4))=0,"",(IF(AF71="",0,AF71*8)+IF(AH71="",0,AH71*6)+IF(AJ71="",0,AJ71*4))/18)</f>
        <v/>
      </c>
      <c r="AM71" s="11">
        <f>IF(OR(City_Inputs!$AA71="",Norm_Stats!$F$16="",Norm_Stats!$G$16="",Norm_Stats!$G$16=Norm_Stats!$F$16),"",MAX(0,MIN(100,100*(MIN(MAX(City_Inputs!$AA71,Norm_Stats!$F$16),Norm_Stats!$G$16)-Norm_Stats!$F$16)/(Norm_Stats!$G$16-Norm_Stats!$F$16))))</f>
        <v/>
      </c>
      <c r="AN71" s="14">
        <f>IF(AM71="","",1)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5">
        <f>IF((IF(AM71="",0,5)+IF(AO71="",0,5)+IF(AQ71="",0,5))=0,"",(IF(AM71="",0,AM71*5)+IF(AO71="",0,AO71*5)+IF(AQ71="",0,AQ71*5))/(IF(AM71="",0,5)+IF(AO71="",0,5)+IF(AQ71="",0,5)))</f>
        <v/>
      </c>
      <c r="AT71" s="14">
        <f>IF((IF(AN71="",0,5)+IF(AP71="",0,5)+IF(AR71="",0,5))=0,"",(IF(AN71="",0,AN71*5)+IF(AP71="",0,AP71*5)+IF(AR71="",0,AR71*5))/15)</f>
        <v/>
      </c>
      <c r="AU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V71" s="14">
        <f>IF(AU71="","",1)</f>
        <v/>
      </c>
      <c r="AW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X71" s="14">
        <f>IF(AW71="","",1)</f>
        <v/>
      </c>
      <c r="AY71" s="11">
        <f>IF((IF((IF(OR(City_Inputs!$AF71="",Norm_Stats!$F$21="",Norm_Stats!$G$21="",Norm_Stats!$G$21=Norm_Stats!$F$21),"",MAX(0,MIN(100,100*(MIN(MAX(City_Inputs!$AF71,Norm_Stats!$F$21),Norm_Stats!$G$21)-Norm_Stats!$F$21)/(Norm_Stats!$G$21-Norm_Stats!$F$21)))))="",0,0.5)+IF((IF(OR(City_Inputs!$AI71="",Norm_Stats!$F$22="",Norm_Stats!$G$22="",Norm_Stats!$G$22=Norm_Stats!$F$22),"",MAX(0,MIN(100,100*(MIN(MAX(City_Inputs!$AI71,Norm_Stats!$F$22),Norm_Stats!$G$22)-Norm_Stats!$F$22)/(Norm_Stats!$G$22-Norm_Stats!$F$22)))))="",0,0.3)+IF((IF(OR(City_Inputs!$AJ71="",Norm_Stats!$F$23="",Norm_Stats!$G$23="",Norm_Stats!$G$23=Norm_Stats!$F$23),"",MAX(0,MIN(100,100*(MIN(MAX(City_Inputs!$AJ71,Norm_Stats!$F$23),Norm_Stats!$G$23)-Norm_Stats!$F$23)/(Norm_Stats!$G$23-Norm_Stats!$F$23)))))="",0,0.2))=0,"",(IF((IF(OR(City_Inputs!$AF71="",Norm_Stats!$F$21="",Norm_Stats!$G$21="",Norm_Stats!$G$21=Norm_Stats!$F$21),"",MAX(0,MIN(100,100*(MIN(MAX(City_Inputs!$AF71,Norm_Stats!$F$21),Norm_Stats!$G$21)-Norm_Stats!$F$21)/(Norm_Stats!$G$21-Norm_Stats!$F$21)))))="",0,(IF(OR(City_Inputs!$AF71="",Norm_Stats!$F$21="",Norm_Stats!$G$21="",Norm_Stats!$G$21=Norm_Stats!$F$21),"",MAX(0,MIN(100,100*(MIN(MAX(City_Inputs!$AF71,Norm_Stats!$F$21),Norm_Stats!$G$21)-Norm_Stats!$F$21)/(Norm_Stats!$G$21-Norm_Stats!$F$21)))))*0.5)+IF((IF(OR(City_Inputs!$AI71="",Norm_Stats!$F$22="",Norm_Stats!$G$22="",Norm_Stats!$G$22=Norm_Stats!$F$22),"",MAX(0,MIN(100,100*(MIN(MAX(City_Inputs!$AI71,Norm_Stats!$F$22),Norm_Stats!$G$22)-Norm_Stats!$F$22)/(Norm_Stats!$G$22-Norm_Stats!$F$22)))))="",0,(IF(OR(City_Inputs!$AI71="",Norm_Stats!$F$22="",Norm_Stats!$G$22="",Norm_Stats!$G$22=Norm_Stats!$F$22),"",MAX(0,MIN(100,100*(MIN(MAX(City_Inputs!$AI71,Norm_Stats!$F$22),Norm_Stats!$G$22)-Norm_Stats!$F$22)/(Norm_Stats!$G$22-Norm_Stats!$F$22)))))*0.3)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0.2))/(IF((IF(OR(City_Inputs!$AF71="",Norm_Stats!$F$21="",Norm_Stats!$G$21="",Norm_Stats!$G$21=Norm_Stats!$F$21),"",MAX(0,MIN(100,100*(MIN(MAX(City_Inputs!$AF71,Norm_Stats!$F$21),Norm_Stats!$G$21)-Norm_Stats!$F$21)/(Norm_Stats!$G$21-Norm_Stats!$F$21)))))="",0,0.5)+IF((IF(OR(City_Inputs!$AI71="",Norm_Stats!$F$22="",Norm_Stats!$G$22="",Norm_Stats!$G$22=Norm_Stats!$F$22),"",MAX(0,MIN(100,100*(MIN(MAX(City_Inputs!$AI71,Norm_Stats!$F$22),Norm_Stats!$G$22)-Norm_Stats!$F$22)/(Norm_Stats!$G$22-Norm_Stats!$F$22)))))="",0,0.3)+IF((IF(OR(City_Inputs!$AJ71="",Norm_Stats!$F$23="",Norm_Stats!$G$23="",Norm_Stats!$G$23=Norm_Stats!$F$23),"",MAX(0,MIN(100,100*(MIN(MAX(City_Inputs!$AJ71,Norm_Stats!$F$23),Norm_Stats!$G$23)-Norm_Stats!$F$23)/(Norm_Stats!$G$23-Norm_Stats!$F$23)))))="",0,0.2)))</f>
        <v/>
      </c>
      <c r="AZ71" s="14">
        <f>IF((IF((IF(OR(City_Inputs!$AF71="",Norm_Stats!$F$21="",Norm_Stats!$G$21="",Norm_Stats!$G$21=Norm_Stats!$F$21),"",MAX(0,MIN(100,100*(MIN(MAX(City_Inputs!$AF71,Norm_Stats!$F$21),Norm_Stats!$G$21)-Norm_Stats!$F$21)/(Norm_Stats!$G$21-Norm_Stats!$F$21)))))="",0,0.5)+IF((IF(OR(City_Inputs!$AI71="",Norm_Stats!$F$22="",Norm_Stats!$G$22="",Norm_Stats!$G$22=Norm_Stats!$F$22),"",MAX(0,MIN(100,100*(MIN(MAX(City_Inputs!$AI71,Norm_Stats!$F$22),Norm_Stats!$G$22)-Norm_Stats!$F$22)/(Norm_Stats!$G$22-Norm_Stats!$F$22)))))="",0,0.3)+IF((IF(OR(City_Inputs!$AJ71="",Norm_Stats!$F$23="",Norm_Stats!$G$23="",Norm_Stats!$G$23=Norm_Stats!$F$23),"",MAX(0,MIN(100,100*(MIN(MAX(City_Inputs!$AJ71,Norm_Stats!$F$23),Norm_Stats!$G$23)-Norm_Stats!$F$23)/(Norm_Stats!$G$23-Norm_Stats!$F$23)))))="",0,0.2))=0,"",(IF((IF(OR(City_Inputs!$AF71="",Norm_Stats!$F$21="",Norm_Stats!$G$21="",Norm_Stats!$G$21=Norm_Stats!$F$21),"",MAX(0,MIN(100,100*(MIN(MAX(City_Inputs!$AF71,Norm_Stats!$F$21),Norm_Stats!$G$21)-Norm_Stats!$F$21)/(Norm_Stats!$G$21-Norm_Stats!$F$21)))))="",0,0.5)+IF((IF(OR(City_Inputs!$AI71="",Norm_Stats!$F$22="",Norm_Stats!$G$22="",Norm_Stats!$G$22=Norm_Stats!$F$22),"",MAX(0,MIN(100,100*(MIN(MAX(City_Inputs!$AI71,Norm_Stats!$F$22),Norm_Stats!$G$22)-Norm_Stats!$F$22)/(Norm_Stats!$G$22-Norm_Stats!$F$22)))))="",0,0.3)+IF((IF(OR(City_Inputs!$AJ71="",Norm_Stats!$F$23="",Norm_Stats!$G$23="",Norm_Stats!$G$23=Norm_Stats!$F$23),"",MAX(0,MIN(100,100*(MIN(MAX(City_Inputs!$AJ71,Norm_Stats!$F$23),Norm_Stats!$G$23)-Norm_Stats!$F$23)/(Norm_Stats!$G$23-Norm_Stats!$F$23)))))="",0,0.2)))</f>
        <v/>
      </c>
      <c r="BA71" s="11">
        <f>IF(OR(City_Inputs!$AG71="",Norm_Stats!$F$24="",Norm_Stats!$G$24="",Norm_Stats!$G$24=Norm_Stats!$F$24),"",MAX(0,MIN(100,100*(Norm_Stats!$G$24-MIN(MAX(City_Inputs!$AG71,Norm_Stats!$F$24),Norm_Stats!$G$24))/(Norm_Stats!$G$24-Norm_Stats!$F$24))))</f>
        <v/>
      </c>
      <c r="BB71" s="14">
        <f>IF(BA71="","",1)</f>
        <v/>
      </c>
      <c r="BC71" s="15">
        <f>IF((IF(AU71="",0,6)+IF(AW71="",0,5)+IF(AY71="",0,5)+IF(BA71="",0,4))=0,"",(IF(AU71="",0,AU71*6)+IF(AW71="",0,AW71*5)+IF(AY71="",0,AY71*5)+IF(BA71="",0,BA71*4))/(IF(AU71="",0,6)+IF(AW71="",0,5)+IF(AY71="",0,5)+IF(BA71="",0,4)))</f>
        <v/>
      </c>
      <c r="BD71" s="14">
        <f>IF((IF(AV71="",0,6)+IF(AX71="",0,5)+IF(AZ71="",0,5)+IF(BB71="",0,4))=0,"",(IF(AV71="",0,AV71*6)+IF(AX71="",0,AX71*5)+IF(AZ71="",0,AZ71*5)+IF(BB71="",0,BB71*4))/20)</f>
        <v/>
      </c>
      <c r="BE71" s="14">
        <f>IF(AND(R71="",AD71="",AL71="",AT71="",BD71=""),"",((R71*25)+(AD71*22)+(AL71*18)+(AT71*15)+(BD71*20))/100)</f>
        <v/>
      </c>
      <c r="BF71" s="11">
        <f>IF(BE71="","",IF(BE71&gt;=0.75,"A",IF(BE71&gt;=0.5,"B",IF(BE71&gt;=0.35,"C","Watchlist"))))</f>
        <v/>
      </c>
      <c r="BG71" s="11">
        <f>IF(OR(BE71="",BE71&lt;0.5,R71="",R71&lt;0.35,AD71="",AD71&lt;0.35,AL71="",AL71&lt;0.35,AT71="",AT71&lt;0.35,BD71="",BD71&lt;0.35),"Watchlist","Ranked")</f>
        <v/>
      </c>
      <c r="BH71" s="15">
        <f>IF(AND(Q71="",AC71="",AK71="",AS71="",BC71=""),"",(IF(Q71="",0,Q71*25)+IF(AC71="",0,AC71*22)+IF(AK71="",0,AK71*18)+IF(AS71="",0,AS71*15)+IF(BC71="",0,BC71*20))/(IF(Q71="",0,25)+IF(AC71="",0,22)+IF(AK71="",0,18)+IF(AS71="",0,15)+IF(BC71="",0,20)))</f>
        <v/>
      </c>
      <c r="BI71" s="11">
        <f>IF(BG71="Ranked",1+COUNTIFS($BG$2:$BG$101,"Ranked",$BH$2:$BH$101,"&gt;"&amp;BH71),"")</f>
        <v/>
      </c>
      <c r="BJ71" s="11">
        <f>City_Inputs!$AH71</f>
        <v/>
      </c>
    </row>
    <row r="72">
      <c r="A72" t="inlineStr">
        <is>
          <t>ae-dubai</t>
        </is>
      </c>
      <c r="B72" t="inlineStr">
        <is>
          <t>Dubai</t>
        </is>
      </c>
      <c r="C72" t="inlineStr">
        <is>
          <t>United Arab Emirates</t>
        </is>
      </c>
      <c r="D72" t="inlineStr">
        <is>
          <t>Middle East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IF((IF(G72="",0,9)+IF(I72="",0,5)+IF(K72="",0,4)+IF(M72="",0,4)+IF(O72="",0,3))=0,"",(IF(G72="",0,G72*9)+IF(I72="",0,I72*5)+IF(K72="",0,K72*4)+IF(M72="",0,M72*4)+IF(O72="",0,O72*3))/(IF(G72="",0,9)+IF(I72="",0,5)+IF(K72="",0,4)+IF(M72="",0,4)+IF(O72="",0,3)))</f>
        <v/>
      </c>
      <c r="R72" s="14">
        <f>IF((IF(H72="",0,9)+IF(J72="",0,5)+IF(L72="",0,4)+IF(N72="",0,4)+IF(P72="",0,3))=0,"",(IF(H72="",0,H72*9)+IF(J72="",0,J72*5)+IF(L72="",0,L72*4)+IF(N72="",0,N72*4)+IF(P72="",0,P72*3))/25)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5">
        <f>IF((IF(S72="",0,5)+IF(U72="",0,5)+IF(W72="",0,4)+IF(Y72="",0,4)+IF(AA72="",0,4))=0,"",(IF(S72="",0,S72*5)+IF(U72="",0,U72*5)+IF(W72="",0,W72*4)+IF(Y72="",0,Y72*4)+IF(AA72="",0,AA72*4))/(IF(S72="",0,5)+IF(U72="",0,5)+IF(W72="",0,4)+IF(Y72="",0,4)+IF(AA72="",0,4)))</f>
        <v/>
      </c>
      <c r="AD72" s="14">
        <f>IF((IF(T72="",0,5)+IF(V72="",0,5)+IF(X72="",0,4)+IF(Z72="",0,4)+IF(AB72="",0,4))=0,"",(IF(T72="",0,T72*5)+IF(V72="",0,V72*5)+IF(X72="",0,X72*4)+IF(Z72="",0,Z72*4)+IF(AB72="",0,AB72*4))/22)</f>
        <v/>
      </c>
      <c r="AE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F72" s="14">
        <f>IF(AE72="","",1)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(IF((IF(OR(City_Inputs!$Z72="",Norm_Stats!$F$14="",Norm_Stats!$G$14="",Norm_Stats!$G$14=Norm_Stats!$F$14),"",MAX(0,MIN(100,100*(MIN(MAX(City_Inputs!$Z72,Norm_Stats!$F$14),Norm_Stats!$G$14)-Norm_Stats!$F$14)/(Norm_Stats!$G$14-Norm_Stats!$F$14)))))="",0,0.7)+IF((IF(OR(City_Inputs!$AK72="",Norm_Stats!$F$15="",Norm_Stats!$G$15="",Norm_Stats!$G$15=Norm_Stats!$F$15),"",MAX(0,MIN(100,100*(Norm_Stats!$G$15-MIN(MAX(City_Inputs!$AK72,Norm_Stats!$F$15),Norm_Stats!$G$15))/(Norm_Stats!$G$15-Norm_Stats!$F$15)))))="",0,0.3))=0,"",(IF((IF(OR(City_Inputs!$Z72="",Norm_Stats!$F$14="",Norm_Stats!$G$14="",Norm_Stats!$G$14=Norm_Stats!$F$14),"",MAX(0,MIN(100,100*(MIN(MAX(City_Inputs!$Z72,Norm_Stats!$F$14),Norm_Stats!$G$14)-Norm_Stats!$F$14)/(Norm_Stats!$G$14-Norm_Stats!$F$14)))))="",0,(IF(OR(City_Inputs!$Z72="",Norm_Stats!$F$14="",Norm_Stats!$G$14="",Norm_Stats!$G$14=Norm_Stats!$F$14),"",MAX(0,MIN(100,100*(MIN(MAX(City_Inputs!$Z72,Norm_Stats!$F$14),Norm_Stats!$G$14)-Norm_Stats!$F$14)/(Norm_Stats!$G$14-Norm_Stats!$F$14)))))*0.7)+IF((IF(OR(City_Inputs!$AK72="",Norm_Stats!$F$15="",Norm_Stats!$G$15="",Norm_Stats!$G$15=Norm_Stats!$F$15),"",MAX(0,MIN(100,100*(Norm_Stats!$G$15-MIN(MAX(City_Inputs!$AK72,Norm_Stats!$F$15),Norm_Stats!$G$15))/(Norm_Stats!$G$15-Norm_Stats!$F$15)))))="",0,(IF(OR(City_Inputs!$AK72="",Norm_Stats!$F$15="",Norm_Stats!$G$15="",Norm_Stats!$G$15=Norm_Stats!$F$15),"",MAX(0,MIN(100,100*(Norm_Stats!$G$15-MIN(MAX(City_Inputs!$AK72,Norm_Stats!$F$15),Norm_Stats!$G$15))/(Norm_Stats!$G$15-Norm_Stats!$F$15)))))*0.3))/(IF((IF(OR(City_Inputs!$Z72="",Norm_Stats!$F$14="",Norm_Stats!$G$14="",Norm_Stats!$G$14=Norm_Stats!$F$14),"",MAX(0,MIN(100,100*(MIN(MAX(City_Inputs!$Z72,Norm_Stats!$F$14),Norm_Stats!$G$14)-Norm_Stats!$F$14)/(Norm_Stats!$G$14-Norm_Stats!$F$14)))))="",0,0.7)+IF((IF(OR(City_Inputs!$AK72="",Norm_Stats!$F$15="",Norm_Stats!$G$15="",Norm_Stats!$G$15=Norm_Stats!$F$15),"",MAX(0,MIN(100,100*(Norm_Stats!$G$15-MIN(MAX(City_Inputs!$AK72,Norm_Stats!$F$15),Norm_Stats!$G$15))/(Norm_Stats!$G$15-Norm_Stats!$F$15)))))="",0,0.3)))</f>
        <v/>
      </c>
      <c r="AJ72" s="14">
        <f>IF((IF((IF(OR(City_Inputs!$Z72="",Norm_Stats!$F$14="",Norm_Stats!$G$14="",Norm_Stats!$G$14=Norm_Stats!$F$14),"",MAX(0,MIN(100,100*(MIN(MAX(City_Inputs!$Z72,Norm_Stats!$F$14),Norm_Stats!$G$14)-Norm_Stats!$F$14)/(Norm_Stats!$G$14-Norm_Stats!$F$14)))))="",0,0.7)+IF((IF(OR(City_Inputs!$AK72="",Norm_Stats!$F$15="",Norm_Stats!$G$15="",Norm_Stats!$G$15=Norm_Stats!$F$15),"",MAX(0,MIN(100,100*(Norm_Stats!$G$15-MIN(MAX(City_Inputs!$AK72,Norm_Stats!$F$15),Norm_Stats!$G$15))/(Norm_Stats!$G$15-Norm_Stats!$F$15)))))="",0,0.3))=0,"",(IF((IF(OR(City_Inputs!$Z72="",Norm_Stats!$F$14="",Norm_Stats!$G$14="",Norm_Stats!$G$14=Norm_Stats!$F$14),"",MAX(0,MIN(100,100*(MIN(MAX(City_Inputs!$Z72,Norm_Stats!$F$14),Norm_Stats!$G$14)-Norm_Stats!$F$14)/(Norm_Stats!$G$14-Norm_Stats!$F$14)))))="",0,0.7)+IF((IF(OR(City_Inputs!$AK72="",Norm_Stats!$F$15="",Norm_Stats!$G$15="",Norm_Stats!$G$15=Norm_Stats!$F$15),"",MAX(0,MIN(100,100*(Norm_Stats!$G$15-MIN(MAX(City_Inputs!$AK72,Norm_Stats!$F$15),Norm_Stats!$G$15))/(Norm_Stats!$G$15-Norm_Stats!$F$15)))))="",0,0.3)))</f>
        <v/>
      </c>
      <c r="AK72" s="15">
        <f>IF((IF(AE72="",0,8)+IF(AG72="",0,6)+IF(AI72="",0,4))=0,"",(IF(AE72="",0,AE72*8)+IF(AG72="",0,AG72*6)+IF(AI72="",0,AI72*4))/(IF(AE72="",0,8)+IF(AG72="",0,6)+IF(AI72="",0,4)))</f>
        <v/>
      </c>
      <c r="AL72" s="14">
        <f>IF((IF(AF72="",0,8)+IF(AH72="",0,6)+IF(AJ72="",0,4))=0,"",(IF(AF72="",0,AF72*8)+IF(AH72="",0,AH72*6)+IF(AJ72="",0,AJ72*4))/18)</f>
        <v/>
      </c>
      <c r="AM72" s="11">
        <f>IF(OR(City_Inputs!$AA72="",Norm_Stats!$F$16="",Norm_Stats!$G$16="",Norm_Stats!$G$16=Norm_Stats!$F$16),"",MAX(0,MIN(100,100*(MIN(MAX(City_Inputs!$AA72,Norm_Stats!$F$16),Norm_Stats!$G$16)-Norm_Stats!$F$16)/(Norm_Stats!$G$16-Norm_Stats!$F$16))))</f>
        <v/>
      </c>
      <c r="AN72" s="14">
        <f>IF(AM72="","",1)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5">
        <f>IF((IF(AM72="",0,5)+IF(AO72="",0,5)+IF(AQ72="",0,5))=0,"",(IF(AM72="",0,AM72*5)+IF(AO72="",0,AO72*5)+IF(AQ72="",0,AQ72*5))/(IF(AM72="",0,5)+IF(AO72="",0,5)+IF(AQ72="",0,5)))</f>
        <v/>
      </c>
      <c r="AT72" s="14">
        <f>IF((IF(AN72="",0,5)+IF(AP72="",0,5)+IF(AR72="",0,5))=0,"",(IF(AN72="",0,AN72*5)+IF(AP72="",0,AP72*5)+IF(AR72="",0,AR72*5))/15)</f>
        <v/>
      </c>
      <c r="AU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V72" s="14">
        <f>IF(AU72="","",1)</f>
        <v/>
      </c>
      <c r="AW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X72" s="14">
        <f>IF(AW72="","",1)</f>
        <v/>
      </c>
      <c r="AY72" s="11">
        <f>IF((IF((IF(OR(City_Inputs!$AF72="",Norm_Stats!$F$21="",Norm_Stats!$G$21="",Norm_Stats!$G$21=Norm_Stats!$F$21),"",MAX(0,MIN(100,100*(MIN(MAX(City_Inputs!$AF72,Norm_Stats!$F$21),Norm_Stats!$G$21)-Norm_Stats!$F$21)/(Norm_Stats!$G$21-Norm_Stats!$F$21)))))="",0,0.5)+IF((IF(OR(City_Inputs!$AI72="",Norm_Stats!$F$22="",Norm_Stats!$G$22="",Norm_Stats!$G$22=Norm_Stats!$F$22),"",MAX(0,MIN(100,100*(MIN(MAX(City_Inputs!$AI72,Norm_Stats!$F$22),Norm_Stats!$G$22)-Norm_Stats!$F$22)/(Norm_Stats!$G$22-Norm_Stats!$F$22)))))="",0,0.3)+IF((IF(OR(City_Inputs!$AJ72="",Norm_Stats!$F$23="",Norm_Stats!$G$23="",Norm_Stats!$G$23=Norm_Stats!$F$23),"",MAX(0,MIN(100,100*(MIN(MAX(City_Inputs!$AJ72,Norm_Stats!$F$23),Norm_Stats!$G$23)-Norm_Stats!$F$23)/(Norm_Stats!$G$23-Norm_Stats!$F$23)))))="",0,0.2))=0,"",(IF((IF(OR(City_Inputs!$AF72="",Norm_Stats!$F$21="",Norm_Stats!$G$21="",Norm_Stats!$G$21=Norm_Stats!$F$21),"",MAX(0,MIN(100,100*(MIN(MAX(City_Inputs!$AF72,Norm_Stats!$F$21),Norm_Stats!$G$21)-Norm_Stats!$F$21)/(Norm_Stats!$G$21-Norm_Stats!$F$21)))))="",0,(IF(OR(City_Inputs!$AF72="",Norm_Stats!$F$21="",Norm_Stats!$G$21="",Norm_Stats!$G$21=Norm_Stats!$F$21),"",MAX(0,MIN(100,100*(MIN(MAX(City_Inputs!$AF72,Norm_Stats!$F$21),Norm_Stats!$G$21)-Norm_Stats!$F$21)/(Norm_Stats!$G$21-Norm_Stats!$F$21)))))*0.5)+IF((IF(OR(City_Inputs!$AI72="",Norm_Stats!$F$22="",Norm_Stats!$G$22="",Norm_Stats!$G$22=Norm_Stats!$F$22),"",MAX(0,MIN(100,100*(MIN(MAX(City_Inputs!$AI72,Norm_Stats!$F$22),Norm_Stats!$G$22)-Norm_Stats!$F$22)/(Norm_Stats!$G$22-Norm_Stats!$F$22)))))="",0,(IF(OR(City_Inputs!$AI72="",Norm_Stats!$F$22="",Norm_Stats!$G$22="",Norm_Stats!$G$22=Norm_Stats!$F$22),"",MAX(0,MIN(100,100*(MIN(MAX(City_Inputs!$AI72,Norm_Stats!$F$22),Norm_Stats!$G$22)-Norm_Stats!$F$22)/(Norm_Stats!$G$22-Norm_Stats!$F$22)))))*0.3)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0.2))/(IF((IF(OR(City_Inputs!$AF72="",Norm_Stats!$F$21="",Norm_Stats!$G$21="",Norm_Stats!$G$21=Norm_Stats!$F$21),"",MAX(0,MIN(100,100*(MIN(MAX(City_Inputs!$AF72,Norm_Stats!$F$21),Norm_Stats!$G$21)-Norm_Stats!$F$21)/(Norm_Stats!$G$21-Norm_Stats!$F$21)))))="",0,0.5)+IF((IF(OR(City_Inputs!$AI72="",Norm_Stats!$F$22="",Norm_Stats!$G$22="",Norm_Stats!$G$22=Norm_Stats!$F$22),"",MAX(0,MIN(100,100*(MIN(MAX(City_Inputs!$AI72,Norm_Stats!$F$22),Norm_Stats!$G$22)-Norm_Stats!$F$22)/(Norm_Stats!$G$22-Norm_Stats!$F$22)))))="",0,0.3)+IF((IF(OR(City_Inputs!$AJ72="",Norm_Stats!$F$23="",Norm_Stats!$G$23="",Norm_Stats!$G$23=Norm_Stats!$F$23),"",MAX(0,MIN(100,100*(MIN(MAX(City_Inputs!$AJ72,Norm_Stats!$F$23),Norm_Stats!$G$23)-Norm_Stats!$F$23)/(Norm_Stats!$G$23-Norm_Stats!$F$23)))))="",0,0.2)))</f>
        <v/>
      </c>
      <c r="AZ72" s="14">
        <f>IF((IF((IF(OR(City_Inputs!$AF72="",Norm_Stats!$F$21="",Norm_Stats!$G$21="",Norm_Stats!$G$21=Norm_Stats!$F$21),"",MAX(0,MIN(100,100*(MIN(MAX(City_Inputs!$AF72,Norm_Stats!$F$21),Norm_Stats!$G$21)-Norm_Stats!$F$21)/(Norm_Stats!$G$21-Norm_Stats!$F$21)))))="",0,0.5)+IF((IF(OR(City_Inputs!$AI72="",Norm_Stats!$F$22="",Norm_Stats!$G$22="",Norm_Stats!$G$22=Norm_Stats!$F$22),"",MAX(0,MIN(100,100*(MIN(MAX(City_Inputs!$AI72,Norm_Stats!$F$22),Norm_Stats!$G$22)-Norm_Stats!$F$22)/(Norm_Stats!$G$22-Norm_Stats!$F$22)))))="",0,0.3)+IF((IF(OR(City_Inputs!$AJ72="",Norm_Stats!$F$23="",Norm_Stats!$G$23="",Norm_Stats!$G$23=Norm_Stats!$F$23),"",MAX(0,MIN(100,100*(MIN(MAX(City_Inputs!$AJ72,Norm_Stats!$F$23),Norm_Stats!$G$23)-Norm_Stats!$F$23)/(Norm_Stats!$G$23-Norm_Stats!$F$23)))))="",0,0.2))=0,"",(IF((IF(OR(City_Inputs!$AF72="",Norm_Stats!$F$21="",Norm_Stats!$G$21="",Norm_Stats!$G$21=Norm_Stats!$F$21),"",MAX(0,MIN(100,100*(MIN(MAX(City_Inputs!$AF72,Norm_Stats!$F$21),Norm_Stats!$G$21)-Norm_Stats!$F$21)/(Norm_Stats!$G$21-Norm_Stats!$F$21)))))="",0,0.5)+IF((IF(OR(City_Inputs!$AI72="",Norm_Stats!$F$22="",Norm_Stats!$G$22="",Norm_Stats!$G$22=Norm_Stats!$F$22),"",MAX(0,MIN(100,100*(MIN(MAX(City_Inputs!$AI72,Norm_Stats!$F$22),Norm_Stats!$G$22)-Norm_Stats!$F$22)/(Norm_Stats!$G$22-Norm_Stats!$F$22)))))="",0,0.3)+IF((IF(OR(City_Inputs!$AJ72="",Norm_Stats!$F$23="",Norm_Stats!$G$23="",Norm_Stats!$G$23=Norm_Stats!$F$23),"",MAX(0,MIN(100,100*(MIN(MAX(City_Inputs!$AJ72,Norm_Stats!$F$23),Norm_Stats!$G$23)-Norm_Stats!$F$23)/(Norm_Stats!$G$23-Norm_Stats!$F$23)))))="",0,0.2)))</f>
        <v/>
      </c>
      <c r="BA72" s="11">
        <f>IF(OR(City_Inputs!$AG72="",Norm_Stats!$F$24="",Norm_Stats!$G$24="",Norm_Stats!$G$24=Norm_Stats!$F$24),"",MAX(0,MIN(100,100*(Norm_Stats!$G$24-MIN(MAX(City_Inputs!$AG72,Norm_Stats!$F$24),Norm_Stats!$G$24))/(Norm_Stats!$G$24-Norm_Stats!$F$24))))</f>
        <v/>
      </c>
      <c r="BB72" s="14">
        <f>IF(BA72="","",1)</f>
        <v/>
      </c>
      <c r="BC72" s="15">
        <f>IF((IF(AU72="",0,6)+IF(AW72="",0,5)+IF(AY72="",0,5)+IF(BA72="",0,4))=0,"",(IF(AU72="",0,AU72*6)+IF(AW72="",0,AW72*5)+IF(AY72="",0,AY72*5)+IF(BA72="",0,BA72*4))/(IF(AU72="",0,6)+IF(AW72="",0,5)+IF(AY72="",0,5)+IF(BA72="",0,4)))</f>
        <v/>
      </c>
      <c r="BD72" s="14">
        <f>IF((IF(AV72="",0,6)+IF(AX72="",0,5)+IF(AZ72="",0,5)+IF(BB72="",0,4))=0,"",(IF(AV72="",0,AV72*6)+IF(AX72="",0,AX72*5)+IF(AZ72="",0,AZ72*5)+IF(BB72="",0,BB72*4))/20)</f>
        <v/>
      </c>
      <c r="BE72" s="14">
        <f>IF(AND(R72="",AD72="",AL72="",AT72="",BD72=""),"",((R72*25)+(AD72*22)+(AL72*18)+(AT72*15)+(BD72*20))/100)</f>
        <v/>
      </c>
      <c r="BF72" s="11">
        <f>IF(BE72="","",IF(BE72&gt;=0.75,"A",IF(BE72&gt;=0.5,"B",IF(BE72&gt;=0.35,"C","Watchlist"))))</f>
        <v/>
      </c>
      <c r="BG72" s="11">
        <f>IF(OR(BE72="",BE72&lt;0.5,R72="",R72&lt;0.35,AD72="",AD72&lt;0.35,AL72="",AL72&lt;0.35,AT72="",AT72&lt;0.35,BD72="",BD72&lt;0.35),"Watchlist","Ranked")</f>
        <v/>
      </c>
      <c r="BH72" s="15">
        <f>IF(AND(Q72="",AC72="",AK72="",AS72="",BC72=""),"",(IF(Q72="",0,Q72*25)+IF(AC72="",0,AC72*22)+IF(AK72="",0,AK72*18)+IF(AS72="",0,AS72*15)+IF(BC72="",0,BC72*20))/(IF(Q72="",0,25)+IF(AC72="",0,22)+IF(AK72="",0,18)+IF(AS72="",0,15)+IF(BC72="",0,20)))</f>
        <v/>
      </c>
      <c r="BI72" s="11">
        <f>IF(BG72="Ranked",1+COUNTIFS($BG$2:$BG$101,"Ranked",$BH$2:$BH$101,"&gt;"&amp;BH72),"")</f>
        <v/>
      </c>
      <c r="BJ72" s="11">
        <f>City_Inputs!$AH72</f>
        <v/>
      </c>
    </row>
    <row r="73">
      <c r="A73" t="inlineStr">
        <is>
          <t>ae-abu-dhabi</t>
        </is>
      </c>
      <c r="B73" t="inlineStr">
        <is>
          <t>Abu Dhabi</t>
        </is>
      </c>
      <c r="C73" t="inlineStr">
        <is>
          <t>United Arab Emirates</t>
        </is>
      </c>
      <c r="D73" t="inlineStr">
        <is>
          <t>Middle East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IF((IF(G73="",0,9)+IF(I73="",0,5)+IF(K73="",0,4)+IF(M73="",0,4)+IF(O73="",0,3))=0,"",(IF(G73="",0,G73*9)+IF(I73="",0,I73*5)+IF(K73="",0,K73*4)+IF(M73="",0,M73*4)+IF(O73="",0,O73*3))/(IF(G73="",0,9)+IF(I73="",0,5)+IF(K73="",0,4)+IF(M73="",0,4)+IF(O73="",0,3)))</f>
        <v/>
      </c>
      <c r="R73" s="14">
        <f>IF((IF(H73="",0,9)+IF(J73="",0,5)+IF(L73="",0,4)+IF(N73="",0,4)+IF(P73="",0,3))=0,"",(IF(H73="",0,H73*9)+IF(J73="",0,J73*5)+IF(L73="",0,L73*4)+IF(N73="",0,N73*4)+IF(P73="",0,P73*3))/25)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5">
        <f>IF((IF(S73="",0,5)+IF(U73="",0,5)+IF(W73="",0,4)+IF(Y73="",0,4)+IF(AA73="",0,4))=0,"",(IF(S73="",0,S73*5)+IF(U73="",0,U73*5)+IF(W73="",0,W73*4)+IF(Y73="",0,Y73*4)+IF(AA73="",0,AA73*4))/(IF(S73="",0,5)+IF(U73="",0,5)+IF(W73="",0,4)+IF(Y73="",0,4)+IF(AA73="",0,4)))</f>
        <v/>
      </c>
      <c r="AD73" s="14">
        <f>IF((IF(T73="",0,5)+IF(V73="",0,5)+IF(X73="",0,4)+IF(Z73="",0,4)+IF(AB73="",0,4))=0,"",(IF(T73="",0,T73*5)+IF(V73="",0,V73*5)+IF(X73="",0,X73*4)+IF(Z73="",0,Z73*4)+IF(AB73="",0,AB73*4))/22)</f>
        <v/>
      </c>
      <c r="AE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F73" s="14">
        <f>IF(AE73="","",1)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(IF((IF(OR(City_Inputs!$Z73="",Norm_Stats!$F$14="",Norm_Stats!$G$14="",Norm_Stats!$G$14=Norm_Stats!$F$14),"",MAX(0,MIN(100,100*(MIN(MAX(City_Inputs!$Z73,Norm_Stats!$F$14),Norm_Stats!$G$14)-Norm_Stats!$F$14)/(Norm_Stats!$G$14-Norm_Stats!$F$14)))))="",0,0.7)+IF((IF(OR(City_Inputs!$AK73="",Norm_Stats!$F$15="",Norm_Stats!$G$15="",Norm_Stats!$G$15=Norm_Stats!$F$15),"",MAX(0,MIN(100,100*(Norm_Stats!$G$15-MIN(MAX(City_Inputs!$AK73,Norm_Stats!$F$15),Norm_Stats!$G$15))/(Norm_Stats!$G$15-Norm_Stats!$F$15)))))="",0,0.3))=0,"",(IF((IF(OR(City_Inputs!$Z73="",Norm_Stats!$F$14="",Norm_Stats!$G$14="",Norm_Stats!$G$14=Norm_Stats!$F$14),"",MAX(0,MIN(100,100*(MIN(MAX(City_Inputs!$Z73,Norm_Stats!$F$14),Norm_Stats!$G$14)-Norm_Stats!$F$14)/(Norm_Stats!$G$14-Norm_Stats!$F$14)))))="",0,(IF(OR(City_Inputs!$Z73="",Norm_Stats!$F$14="",Norm_Stats!$G$14="",Norm_Stats!$G$14=Norm_Stats!$F$14),"",MAX(0,MIN(100,100*(MIN(MAX(City_Inputs!$Z73,Norm_Stats!$F$14),Norm_Stats!$G$14)-Norm_Stats!$F$14)/(Norm_Stats!$G$14-Norm_Stats!$F$14)))))*0.7)+IF((IF(OR(City_Inputs!$AK73="",Norm_Stats!$F$15="",Norm_Stats!$G$15="",Norm_Stats!$G$15=Norm_Stats!$F$15),"",MAX(0,MIN(100,100*(Norm_Stats!$G$15-MIN(MAX(City_Inputs!$AK73,Norm_Stats!$F$15),Norm_Stats!$G$15))/(Norm_Stats!$G$15-Norm_Stats!$F$15)))))="",0,(IF(OR(City_Inputs!$AK73="",Norm_Stats!$F$15="",Norm_Stats!$G$15="",Norm_Stats!$G$15=Norm_Stats!$F$15),"",MAX(0,MIN(100,100*(Norm_Stats!$G$15-MIN(MAX(City_Inputs!$AK73,Norm_Stats!$F$15),Norm_Stats!$G$15))/(Norm_Stats!$G$15-Norm_Stats!$F$15)))))*0.3))/(IF((IF(OR(City_Inputs!$Z73="",Norm_Stats!$F$14="",Norm_Stats!$G$14="",Norm_Stats!$G$14=Norm_Stats!$F$14),"",MAX(0,MIN(100,100*(MIN(MAX(City_Inputs!$Z73,Norm_Stats!$F$14),Norm_Stats!$G$14)-Norm_Stats!$F$14)/(Norm_Stats!$G$14-Norm_Stats!$F$14)))))="",0,0.7)+IF((IF(OR(City_Inputs!$AK73="",Norm_Stats!$F$15="",Norm_Stats!$G$15="",Norm_Stats!$G$15=Norm_Stats!$F$15),"",MAX(0,MIN(100,100*(Norm_Stats!$G$15-MIN(MAX(City_Inputs!$AK73,Norm_Stats!$F$15),Norm_Stats!$G$15))/(Norm_Stats!$G$15-Norm_Stats!$F$15)))))="",0,0.3)))</f>
        <v/>
      </c>
      <c r="AJ73" s="14">
        <f>IF((IF((IF(OR(City_Inputs!$Z73="",Norm_Stats!$F$14="",Norm_Stats!$G$14="",Norm_Stats!$G$14=Norm_Stats!$F$14),"",MAX(0,MIN(100,100*(MIN(MAX(City_Inputs!$Z73,Norm_Stats!$F$14),Norm_Stats!$G$14)-Norm_Stats!$F$14)/(Norm_Stats!$G$14-Norm_Stats!$F$14)))))="",0,0.7)+IF((IF(OR(City_Inputs!$AK73="",Norm_Stats!$F$15="",Norm_Stats!$G$15="",Norm_Stats!$G$15=Norm_Stats!$F$15),"",MAX(0,MIN(100,100*(Norm_Stats!$G$15-MIN(MAX(City_Inputs!$AK73,Norm_Stats!$F$15),Norm_Stats!$G$15))/(Norm_Stats!$G$15-Norm_Stats!$F$15)))))="",0,0.3))=0,"",(IF((IF(OR(City_Inputs!$Z73="",Norm_Stats!$F$14="",Norm_Stats!$G$14="",Norm_Stats!$G$14=Norm_Stats!$F$14),"",MAX(0,MIN(100,100*(MIN(MAX(City_Inputs!$Z73,Norm_Stats!$F$14),Norm_Stats!$G$14)-Norm_Stats!$F$14)/(Norm_Stats!$G$14-Norm_Stats!$F$14)))))="",0,0.7)+IF((IF(OR(City_Inputs!$AK73="",Norm_Stats!$F$15="",Norm_Stats!$G$15="",Norm_Stats!$G$15=Norm_Stats!$F$15),"",MAX(0,MIN(100,100*(Norm_Stats!$G$15-MIN(MAX(City_Inputs!$AK73,Norm_Stats!$F$15),Norm_Stats!$G$15))/(Norm_Stats!$G$15-Norm_Stats!$F$15)))))="",0,0.3)))</f>
        <v/>
      </c>
      <c r="AK73" s="15">
        <f>IF((IF(AE73="",0,8)+IF(AG73="",0,6)+IF(AI73="",0,4))=0,"",(IF(AE73="",0,AE73*8)+IF(AG73="",0,AG73*6)+IF(AI73="",0,AI73*4))/(IF(AE73="",0,8)+IF(AG73="",0,6)+IF(AI73="",0,4)))</f>
        <v/>
      </c>
      <c r="AL73" s="14">
        <f>IF((IF(AF73="",0,8)+IF(AH73="",0,6)+IF(AJ73="",0,4))=0,"",(IF(AF73="",0,AF73*8)+IF(AH73="",0,AH73*6)+IF(AJ73="",0,AJ73*4))/18)</f>
        <v/>
      </c>
      <c r="AM73" s="11">
        <f>IF(OR(City_Inputs!$AA73="",Norm_Stats!$F$16="",Norm_Stats!$G$16="",Norm_Stats!$G$16=Norm_Stats!$F$16),"",MAX(0,MIN(100,100*(MIN(MAX(City_Inputs!$AA73,Norm_Stats!$F$16),Norm_Stats!$G$16)-Norm_Stats!$F$16)/(Norm_Stats!$G$16-Norm_Stats!$F$16))))</f>
        <v/>
      </c>
      <c r="AN73" s="14">
        <f>IF(AM73="","",1)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5">
        <f>IF((IF(AM73="",0,5)+IF(AO73="",0,5)+IF(AQ73="",0,5))=0,"",(IF(AM73="",0,AM73*5)+IF(AO73="",0,AO73*5)+IF(AQ73="",0,AQ73*5))/(IF(AM73="",0,5)+IF(AO73="",0,5)+IF(AQ73="",0,5)))</f>
        <v/>
      </c>
      <c r="AT73" s="14">
        <f>IF((IF(AN73="",0,5)+IF(AP73="",0,5)+IF(AR73="",0,5))=0,"",(IF(AN73="",0,AN73*5)+IF(AP73="",0,AP73*5)+IF(AR73="",0,AR73*5))/15)</f>
        <v/>
      </c>
      <c r="AU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V73" s="14">
        <f>IF(AU73="","",1)</f>
        <v/>
      </c>
      <c r="AW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X73" s="14">
        <f>IF(AW73="","",1)</f>
        <v/>
      </c>
      <c r="AY73" s="11">
        <f>IF((IF((IF(OR(City_Inputs!$AF73="",Norm_Stats!$F$21="",Norm_Stats!$G$21="",Norm_Stats!$G$21=Norm_Stats!$F$21),"",MAX(0,MIN(100,100*(MIN(MAX(City_Inputs!$AF73,Norm_Stats!$F$21),Norm_Stats!$G$21)-Norm_Stats!$F$21)/(Norm_Stats!$G$21-Norm_Stats!$F$21)))))="",0,0.5)+IF((IF(OR(City_Inputs!$AI73="",Norm_Stats!$F$22="",Norm_Stats!$G$22="",Norm_Stats!$G$22=Norm_Stats!$F$22),"",MAX(0,MIN(100,100*(MIN(MAX(City_Inputs!$AI73,Norm_Stats!$F$22),Norm_Stats!$G$22)-Norm_Stats!$F$22)/(Norm_Stats!$G$22-Norm_Stats!$F$22)))))="",0,0.3)+IF((IF(OR(City_Inputs!$AJ73="",Norm_Stats!$F$23="",Norm_Stats!$G$23="",Norm_Stats!$G$23=Norm_Stats!$F$23),"",MAX(0,MIN(100,100*(MIN(MAX(City_Inputs!$AJ73,Norm_Stats!$F$23),Norm_Stats!$G$23)-Norm_Stats!$F$23)/(Norm_Stats!$G$23-Norm_Stats!$F$23)))))="",0,0.2))=0,"",(IF((IF(OR(City_Inputs!$AF73="",Norm_Stats!$F$21="",Norm_Stats!$G$21="",Norm_Stats!$G$21=Norm_Stats!$F$21),"",MAX(0,MIN(100,100*(MIN(MAX(City_Inputs!$AF73,Norm_Stats!$F$21),Norm_Stats!$G$21)-Norm_Stats!$F$21)/(Norm_Stats!$G$21-Norm_Stats!$F$21)))))="",0,(IF(OR(City_Inputs!$AF73="",Norm_Stats!$F$21="",Norm_Stats!$G$21="",Norm_Stats!$G$21=Norm_Stats!$F$21),"",MAX(0,MIN(100,100*(MIN(MAX(City_Inputs!$AF73,Norm_Stats!$F$21),Norm_Stats!$G$21)-Norm_Stats!$F$21)/(Norm_Stats!$G$21-Norm_Stats!$F$21)))))*0.5)+IF((IF(OR(City_Inputs!$AI73="",Norm_Stats!$F$22="",Norm_Stats!$G$22="",Norm_Stats!$G$22=Norm_Stats!$F$22),"",MAX(0,MIN(100,100*(MIN(MAX(City_Inputs!$AI73,Norm_Stats!$F$22),Norm_Stats!$G$22)-Norm_Stats!$F$22)/(Norm_Stats!$G$22-Norm_Stats!$F$22)))))="",0,(IF(OR(City_Inputs!$AI73="",Norm_Stats!$F$22="",Norm_Stats!$G$22="",Norm_Stats!$G$22=Norm_Stats!$F$22),"",MAX(0,MIN(100,100*(MIN(MAX(City_Inputs!$AI73,Norm_Stats!$F$22),Norm_Stats!$G$22)-Norm_Stats!$F$22)/(Norm_Stats!$G$22-Norm_Stats!$F$22)))))*0.3)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0.2))/(IF((IF(OR(City_Inputs!$AF73="",Norm_Stats!$F$21="",Norm_Stats!$G$21="",Norm_Stats!$G$21=Norm_Stats!$F$21),"",MAX(0,MIN(100,100*(MIN(MAX(City_Inputs!$AF73,Norm_Stats!$F$21),Norm_Stats!$G$21)-Norm_Stats!$F$21)/(Norm_Stats!$G$21-Norm_Stats!$F$21)))))="",0,0.5)+IF((IF(OR(City_Inputs!$AI73="",Norm_Stats!$F$22="",Norm_Stats!$G$22="",Norm_Stats!$G$22=Norm_Stats!$F$22),"",MAX(0,MIN(100,100*(MIN(MAX(City_Inputs!$AI73,Norm_Stats!$F$22),Norm_Stats!$G$22)-Norm_Stats!$F$22)/(Norm_Stats!$G$22-Norm_Stats!$F$22)))))="",0,0.3)+IF((IF(OR(City_Inputs!$AJ73="",Norm_Stats!$F$23="",Norm_Stats!$G$23="",Norm_Stats!$G$23=Norm_Stats!$F$23),"",MAX(0,MIN(100,100*(MIN(MAX(City_Inputs!$AJ73,Norm_Stats!$F$23),Norm_Stats!$G$23)-Norm_Stats!$F$23)/(Norm_Stats!$G$23-Norm_Stats!$F$23)))))="",0,0.2)))</f>
        <v/>
      </c>
      <c r="AZ73" s="14">
        <f>IF((IF((IF(OR(City_Inputs!$AF73="",Norm_Stats!$F$21="",Norm_Stats!$G$21="",Norm_Stats!$G$21=Norm_Stats!$F$21),"",MAX(0,MIN(100,100*(MIN(MAX(City_Inputs!$AF73,Norm_Stats!$F$21),Norm_Stats!$G$21)-Norm_Stats!$F$21)/(Norm_Stats!$G$21-Norm_Stats!$F$21)))))="",0,0.5)+IF((IF(OR(City_Inputs!$AI73="",Norm_Stats!$F$22="",Norm_Stats!$G$22="",Norm_Stats!$G$22=Norm_Stats!$F$22),"",MAX(0,MIN(100,100*(MIN(MAX(City_Inputs!$AI73,Norm_Stats!$F$22),Norm_Stats!$G$22)-Norm_Stats!$F$22)/(Norm_Stats!$G$22-Norm_Stats!$F$22)))))="",0,0.3)+IF((IF(OR(City_Inputs!$AJ73="",Norm_Stats!$F$23="",Norm_Stats!$G$23="",Norm_Stats!$G$23=Norm_Stats!$F$23),"",MAX(0,MIN(100,100*(MIN(MAX(City_Inputs!$AJ73,Norm_Stats!$F$23),Norm_Stats!$G$23)-Norm_Stats!$F$23)/(Norm_Stats!$G$23-Norm_Stats!$F$23)))))="",0,0.2))=0,"",(IF((IF(OR(City_Inputs!$AF73="",Norm_Stats!$F$21="",Norm_Stats!$G$21="",Norm_Stats!$G$21=Norm_Stats!$F$21),"",MAX(0,MIN(100,100*(MIN(MAX(City_Inputs!$AF73,Norm_Stats!$F$21),Norm_Stats!$G$21)-Norm_Stats!$F$21)/(Norm_Stats!$G$21-Norm_Stats!$F$21)))))="",0,0.5)+IF((IF(OR(City_Inputs!$AI73="",Norm_Stats!$F$22="",Norm_Stats!$G$22="",Norm_Stats!$G$22=Norm_Stats!$F$22),"",MAX(0,MIN(100,100*(MIN(MAX(City_Inputs!$AI73,Norm_Stats!$F$22),Norm_Stats!$G$22)-Norm_Stats!$F$22)/(Norm_Stats!$G$22-Norm_Stats!$F$22)))))="",0,0.3)+IF((IF(OR(City_Inputs!$AJ73="",Norm_Stats!$F$23="",Norm_Stats!$G$23="",Norm_Stats!$G$23=Norm_Stats!$F$23),"",MAX(0,MIN(100,100*(MIN(MAX(City_Inputs!$AJ73,Norm_Stats!$F$23),Norm_Stats!$G$23)-Norm_Stats!$F$23)/(Norm_Stats!$G$23-Norm_Stats!$F$23)))))="",0,0.2)))</f>
        <v/>
      </c>
      <c r="BA73" s="11">
        <f>IF(OR(City_Inputs!$AG73="",Norm_Stats!$F$24="",Norm_Stats!$G$24="",Norm_Stats!$G$24=Norm_Stats!$F$24),"",MAX(0,MIN(100,100*(Norm_Stats!$G$24-MIN(MAX(City_Inputs!$AG73,Norm_Stats!$F$24),Norm_Stats!$G$24))/(Norm_Stats!$G$24-Norm_Stats!$F$24))))</f>
        <v/>
      </c>
      <c r="BB73" s="14">
        <f>IF(BA73="","",1)</f>
        <v/>
      </c>
      <c r="BC73" s="15">
        <f>IF((IF(AU73="",0,6)+IF(AW73="",0,5)+IF(AY73="",0,5)+IF(BA73="",0,4))=0,"",(IF(AU73="",0,AU73*6)+IF(AW73="",0,AW73*5)+IF(AY73="",0,AY73*5)+IF(BA73="",0,BA73*4))/(IF(AU73="",0,6)+IF(AW73="",0,5)+IF(AY73="",0,5)+IF(BA73="",0,4)))</f>
        <v/>
      </c>
      <c r="BD73" s="14">
        <f>IF((IF(AV73="",0,6)+IF(AX73="",0,5)+IF(AZ73="",0,5)+IF(BB73="",0,4))=0,"",(IF(AV73="",0,AV73*6)+IF(AX73="",0,AX73*5)+IF(AZ73="",0,AZ73*5)+IF(BB73="",0,BB73*4))/20)</f>
        <v/>
      </c>
      <c r="BE73" s="14">
        <f>IF(AND(R73="",AD73="",AL73="",AT73="",BD73=""),"",((R73*25)+(AD73*22)+(AL73*18)+(AT73*15)+(BD73*20))/100)</f>
        <v/>
      </c>
      <c r="BF73" s="11">
        <f>IF(BE73="","",IF(BE73&gt;=0.75,"A",IF(BE73&gt;=0.5,"B",IF(BE73&gt;=0.35,"C","Watchlist"))))</f>
        <v/>
      </c>
      <c r="BG73" s="11">
        <f>IF(OR(BE73="",BE73&lt;0.5,R73="",R73&lt;0.35,AD73="",AD73&lt;0.35,AL73="",AL73&lt;0.35,AT73="",AT73&lt;0.35,BD73="",BD73&lt;0.35),"Watchlist","Ranked")</f>
        <v/>
      </c>
      <c r="BH73" s="15">
        <f>IF(AND(Q73="",AC73="",AK73="",AS73="",BC73=""),"",(IF(Q73="",0,Q73*25)+IF(AC73="",0,AC73*22)+IF(AK73="",0,AK73*18)+IF(AS73="",0,AS73*15)+IF(BC73="",0,BC73*20))/(IF(Q73="",0,25)+IF(AC73="",0,22)+IF(AK73="",0,18)+IF(AS73="",0,15)+IF(BC73="",0,20)))</f>
        <v/>
      </c>
      <c r="BI73" s="11">
        <f>IF(BG73="Ranked",1+COUNTIFS($BG$2:$BG$101,"Ranked",$BH$2:$BH$101,"&gt;"&amp;BH73),"")</f>
        <v/>
      </c>
      <c r="BJ73" s="11">
        <f>City_Inputs!$AH73</f>
        <v/>
      </c>
    </row>
    <row r="74">
      <c r="A74" t="inlineStr">
        <is>
          <t>qa-doha</t>
        </is>
      </c>
      <c r="B74" t="inlineStr">
        <is>
          <t>Doha</t>
        </is>
      </c>
      <c r="C74" t="inlineStr">
        <is>
          <t>Qatar</t>
        </is>
      </c>
      <c r="D74" t="inlineStr">
        <is>
          <t>Middle East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IF((IF(G74="",0,9)+IF(I74="",0,5)+IF(K74="",0,4)+IF(M74="",0,4)+IF(O74="",0,3))=0,"",(IF(G74="",0,G74*9)+IF(I74="",0,I74*5)+IF(K74="",0,K74*4)+IF(M74="",0,M74*4)+IF(O74="",0,O74*3))/(IF(G74="",0,9)+IF(I74="",0,5)+IF(K74="",0,4)+IF(M74="",0,4)+IF(O74="",0,3)))</f>
        <v/>
      </c>
      <c r="R74" s="14">
        <f>IF((IF(H74="",0,9)+IF(J74="",0,5)+IF(L74="",0,4)+IF(N74="",0,4)+IF(P74="",0,3))=0,"",(IF(H74="",0,H74*9)+IF(J74="",0,J74*5)+IF(L74="",0,L74*4)+IF(N74="",0,N74*4)+IF(P74="",0,P74*3))/25)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5">
        <f>IF((IF(S74="",0,5)+IF(U74="",0,5)+IF(W74="",0,4)+IF(Y74="",0,4)+IF(AA74="",0,4))=0,"",(IF(S74="",0,S74*5)+IF(U74="",0,U74*5)+IF(W74="",0,W74*4)+IF(Y74="",0,Y74*4)+IF(AA74="",0,AA74*4))/(IF(S74="",0,5)+IF(U74="",0,5)+IF(W74="",0,4)+IF(Y74="",0,4)+IF(AA74="",0,4)))</f>
        <v/>
      </c>
      <c r="AD74" s="14">
        <f>IF((IF(T74="",0,5)+IF(V74="",0,5)+IF(X74="",0,4)+IF(Z74="",0,4)+IF(AB74="",0,4))=0,"",(IF(T74="",0,T74*5)+IF(V74="",0,V74*5)+IF(X74="",0,X74*4)+IF(Z74="",0,Z74*4)+IF(AB74="",0,AB74*4))/22)</f>
        <v/>
      </c>
      <c r="AE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F74" s="14">
        <f>IF(AE74="","",1)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(IF((IF(OR(City_Inputs!$Z74="",Norm_Stats!$F$14="",Norm_Stats!$G$14="",Norm_Stats!$G$14=Norm_Stats!$F$14),"",MAX(0,MIN(100,100*(MIN(MAX(City_Inputs!$Z74,Norm_Stats!$F$14),Norm_Stats!$G$14)-Norm_Stats!$F$14)/(Norm_Stats!$G$14-Norm_Stats!$F$14)))))="",0,0.7)+IF((IF(OR(City_Inputs!$AK74="",Norm_Stats!$F$15="",Norm_Stats!$G$15="",Norm_Stats!$G$15=Norm_Stats!$F$15),"",MAX(0,MIN(100,100*(Norm_Stats!$G$15-MIN(MAX(City_Inputs!$AK74,Norm_Stats!$F$15),Norm_Stats!$G$15))/(Norm_Stats!$G$15-Norm_Stats!$F$15)))))="",0,0.3))=0,"",(IF((IF(OR(City_Inputs!$Z74="",Norm_Stats!$F$14="",Norm_Stats!$G$14="",Norm_Stats!$G$14=Norm_Stats!$F$14),"",MAX(0,MIN(100,100*(MIN(MAX(City_Inputs!$Z74,Norm_Stats!$F$14),Norm_Stats!$G$14)-Norm_Stats!$F$14)/(Norm_Stats!$G$14-Norm_Stats!$F$14)))))="",0,(IF(OR(City_Inputs!$Z74="",Norm_Stats!$F$14="",Norm_Stats!$G$14="",Norm_Stats!$G$14=Norm_Stats!$F$14),"",MAX(0,MIN(100,100*(MIN(MAX(City_Inputs!$Z74,Norm_Stats!$F$14),Norm_Stats!$G$14)-Norm_Stats!$F$14)/(Norm_Stats!$G$14-Norm_Stats!$F$14)))))*0.7)+IF((IF(OR(City_Inputs!$AK74="",Norm_Stats!$F$15="",Norm_Stats!$G$15="",Norm_Stats!$G$15=Norm_Stats!$F$15),"",MAX(0,MIN(100,100*(Norm_Stats!$G$15-MIN(MAX(City_Inputs!$AK74,Norm_Stats!$F$15),Norm_Stats!$G$15))/(Norm_Stats!$G$15-Norm_Stats!$F$15)))))="",0,(IF(OR(City_Inputs!$AK74="",Norm_Stats!$F$15="",Norm_Stats!$G$15="",Norm_Stats!$G$15=Norm_Stats!$F$15),"",MAX(0,MIN(100,100*(Norm_Stats!$G$15-MIN(MAX(City_Inputs!$AK74,Norm_Stats!$F$15),Norm_Stats!$G$15))/(Norm_Stats!$G$15-Norm_Stats!$F$15)))))*0.3))/(IF((IF(OR(City_Inputs!$Z74="",Norm_Stats!$F$14="",Norm_Stats!$G$14="",Norm_Stats!$G$14=Norm_Stats!$F$14),"",MAX(0,MIN(100,100*(MIN(MAX(City_Inputs!$Z74,Norm_Stats!$F$14),Norm_Stats!$G$14)-Norm_Stats!$F$14)/(Norm_Stats!$G$14-Norm_Stats!$F$14)))))="",0,0.7)+IF((IF(OR(City_Inputs!$AK74="",Norm_Stats!$F$15="",Norm_Stats!$G$15="",Norm_Stats!$G$15=Norm_Stats!$F$15),"",MAX(0,MIN(100,100*(Norm_Stats!$G$15-MIN(MAX(City_Inputs!$AK74,Norm_Stats!$F$15),Norm_Stats!$G$15))/(Norm_Stats!$G$15-Norm_Stats!$F$15)))))="",0,0.3)))</f>
        <v/>
      </c>
      <c r="AJ74" s="14">
        <f>IF((IF((IF(OR(City_Inputs!$Z74="",Norm_Stats!$F$14="",Norm_Stats!$G$14="",Norm_Stats!$G$14=Norm_Stats!$F$14),"",MAX(0,MIN(100,100*(MIN(MAX(City_Inputs!$Z74,Norm_Stats!$F$14),Norm_Stats!$G$14)-Norm_Stats!$F$14)/(Norm_Stats!$G$14-Norm_Stats!$F$14)))))="",0,0.7)+IF((IF(OR(City_Inputs!$AK74="",Norm_Stats!$F$15="",Norm_Stats!$G$15="",Norm_Stats!$G$15=Norm_Stats!$F$15),"",MAX(0,MIN(100,100*(Norm_Stats!$G$15-MIN(MAX(City_Inputs!$AK74,Norm_Stats!$F$15),Norm_Stats!$G$15))/(Norm_Stats!$G$15-Norm_Stats!$F$15)))))="",0,0.3))=0,"",(IF((IF(OR(City_Inputs!$Z74="",Norm_Stats!$F$14="",Norm_Stats!$G$14="",Norm_Stats!$G$14=Norm_Stats!$F$14),"",MAX(0,MIN(100,100*(MIN(MAX(City_Inputs!$Z74,Norm_Stats!$F$14),Norm_Stats!$G$14)-Norm_Stats!$F$14)/(Norm_Stats!$G$14-Norm_Stats!$F$14)))))="",0,0.7)+IF((IF(OR(City_Inputs!$AK74="",Norm_Stats!$F$15="",Norm_Stats!$G$15="",Norm_Stats!$G$15=Norm_Stats!$F$15),"",MAX(0,MIN(100,100*(Norm_Stats!$G$15-MIN(MAX(City_Inputs!$AK74,Norm_Stats!$F$15),Norm_Stats!$G$15))/(Norm_Stats!$G$15-Norm_Stats!$F$15)))))="",0,0.3)))</f>
        <v/>
      </c>
      <c r="AK74" s="15">
        <f>IF((IF(AE74="",0,8)+IF(AG74="",0,6)+IF(AI74="",0,4))=0,"",(IF(AE74="",0,AE74*8)+IF(AG74="",0,AG74*6)+IF(AI74="",0,AI74*4))/(IF(AE74="",0,8)+IF(AG74="",0,6)+IF(AI74="",0,4)))</f>
        <v/>
      </c>
      <c r="AL74" s="14">
        <f>IF((IF(AF74="",0,8)+IF(AH74="",0,6)+IF(AJ74="",0,4))=0,"",(IF(AF74="",0,AF74*8)+IF(AH74="",0,AH74*6)+IF(AJ74="",0,AJ74*4))/18)</f>
        <v/>
      </c>
      <c r="AM74" s="11">
        <f>IF(OR(City_Inputs!$AA74="",Norm_Stats!$F$16="",Norm_Stats!$G$16="",Norm_Stats!$G$16=Norm_Stats!$F$16),"",MAX(0,MIN(100,100*(MIN(MAX(City_Inputs!$AA74,Norm_Stats!$F$16),Norm_Stats!$G$16)-Norm_Stats!$F$16)/(Norm_Stats!$G$16-Norm_Stats!$F$16))))</f>
        <v/>
      </c>
      <c r="AN74" s="14">
        <f>IF(AM74="","",1)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5">
        <f>IF((IF(AM74="",0,5)+IF(AO74="",0,5)+IF(AQ74="",0,5))=0,"",(IF(AM74="",0,AM74*5)+IF(AO74="",0,AO74*5)+IF(AQ74="",0,AQ74*5))/(IF(AM74="",0,5)+IF(AO74="",0,5)+IF(AQ74="",0,5)))</f>
        <v/>
      </c>
      <c r="AT74" s="14">
        <f>IF((IF(AN74="",0,5)+IF(AP74="",0,5)+IF(AR74="",0,5))=0,"",(IF(AN74="",0,AN74*5)+IF(AP74="",0,AP74*5)+IF(AR74="",0,AR74*5))/15)</f>
        <v/>
      </c>
      <c r="AU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V74" s="14">
        <f>IF(AU74="","",1)</f>
        <v/>
      </c>
      <c r="AW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X74" s="14">
        <f>IF(AW74="","",1)</f>
        <v/>
      </c>
      <c r="AY74" s="11">
        <f>IF((IF((IF(OR(City_Inputs!$AF74="",Norm_Stats!$F$21="",Norm_Stats!$G$21="",Norm_Stats!$G$21=Norm_Stats!$F$21),"",MAX(0,MIN(100,100*(MIN(MAX(City_Inputs!$AF74,Norm_Stats!$F$21),Norm_Stats!$G$21)-Norm_Stats!$F$21)/(Norm_Stats!$G$21-Norm_Stats!$F$21)))))="",0,0.5)+IF((IF(OR(City_Inputs!$AI74="",Norm_Stats!$F$22="",Norm_Stats!$G$22="",Norm_Stats!$G$22=Norm_Stats!$F$22),"",MAX(0,MIN(100,100*(MIN(MAX(City_Inputs!$AI74,Norm_Stats!$F$22),Norm_Stats!$G$22)-Norm_Stats!$F$22)/(Norm_Stats!$G$22-Norm_Stats!$F$22)))))="",0,0.3)+IF((IF(OR(City_Inputs!$AJ74="",Norm_Stats!$F$23="",Norm_Stats!$G$23="",Norm_Stats!$G$23=Norm_Stats!$F$23),"",MAX(0,MIN(100,100*(MIN(MAX(City_Inputs!$AJ74,Norm_Stats!$F$23),Norm_Stats!$G$23)-Norm_Stats!$F$23)/(Norm_Stats!$G$23-Norm_Stats!$F$23)))))="",0,0.2))=0,"",(IF((IF(OR(City_Inputs!$AF74="",Norm_Stats!$F$21="",Norm_Stats!$G$21="",Norm_Stats!$G$21=Norm_Stats!$F$21),"",MAX(0,MIN(100,100*(MIN(MAX(City_Inputs!$AF74,Norm_Stats!$F$21),Norm_Stats!$G$21)-Norm_Stats!$F$21)/(Norm_Stats!$G$21-Norm_Stats!$F$21)))))="",0,(IF(OR(City_Inputs!$AF74="",Norm_Stats!$F$21="",Norm_Stats!$G$21="",Norm_Stats!$G$21=Norm_Stats!$F$21),"",MAX(0,MIN(100,100*(MIN(MAX(City_Inputs!$AF74,Norm_Stats!$F$21),Norm_Stats!$G$21)-Norm_Stats!$F$21)/(Norm_Stats!$G$21-Norm_Stats!$F$21)))))*0.5)+IF((IF(OR(City_Inputs!$AI74="",Norm_Stats!$F$22="",Norm_Stats!$G$22="",Norm_Stats!$G$22=Norm_Stats!$F$22),"",MAX(0,MIN(100,100*(MIN(MAX(City_Inputs!$AI74,Norm_Stats!$F$22),Norm_Stats!$G$22)-Norm_Stats!$F$22)/(Norm_Stats!$G$22-Norm_Stats!$F$22)))))="",0,(IF(OR(City_Inputs!$AI74="",Norm_Stats!$F$22="",Norm_Stats!$G$22="",Norm_Stats!$G$22=Norm_Stats!$F$22),"",MAX(0,MIN(100,100*(MIN(MAX(City_Inputs!$AI74,Norm_Stats!$F$22),Norm_Stats!$G$22)-Norm_Stats!$F$22)/(Norm_Stats!$G$22-Norm_Stats!$F$22)))))*0.3)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0.2))/(IF((IF(OR(City_Inputs!$AF74="",Norm_Stats!$F$21="",Norm_Stats!$G$21="",Norm_Stats!$G$21=Norm_Stats!$F$21),"",MAX(0,MIN(100,100*(MIN(MAX(City_Inputs!$AF74,Norm_Stats!$F$21),Norm_Stats!$G$21)-Norm_Stats!$F$21)/(Norm_Stats!$G$21-Norm_Stats!$F$21)))))="",0,0.5)+IF((IF(OR(City_Inputs!$AI74="",Norm_Stats!$F$22="",Norm_Stats!$G$22="",Norm_Stats!$G$22=Norm_Stats!$F$22),"",MAX(0,MIN(100,100*(MIN(MAX(City_Inputs!$AI74,Norm_Stats!$F$22),Norm_Stats!$G$22)-Norm_Stats!$F$22)/(Norm_Stats!$G$22-Norm_Stats!$F$22)))))="",0,0.3)+IF((IF(OR(City_Inputs!$AJ74="",Norm_Stats!$F$23="",Norm_Stats!$G$23="",Norm_Stats!$G$23=Norm_Stats!$F$23),"",MAX(0,MIN(100,100*(MIN(MAX(City_Inputs!$AJ74,Norm_Stats!$F$23),Norm_Stats!$G$23)-Norm_Stats!$F$23)/(Norm_Stats!$G$23-Norm_Stats!$F$23)))))="",0,0.2)))</f>
        <v/>
      </c>
      <c r="AZ74" s="14">
        <f>IF((IF((IF(OR(City_Inputs!$AF74="",Norm_Stats!$F$21="",Norm_Stats!$G$21="",Norm_Stats!$G$21=Norm_Stats!$F$21),"",MAX(0,MIN(100,100*(MIN(MAX(City_Inputs!$AF74,Norm_Stats!$F$21),Norm_Stats!$G$21)-Norm_Stats!$F$21)/(Norm_Stats!$G$21-Norm_Stats!$F$21)))))="",0,0.5)+IF((IF(OR(City_Inputs!$AI74="",Norm_Stats!$F$22="",Norm_Stats!$G$22="",Norm_Stats!$G$22=Norm_Stats!$F$22),"",MAX(0,MIN(100,100*(MIN(MAX(City_Inputs!$AI74,Norm_Stats!$F$22),Norm_Stats!$G$22)-Norm_Stats!$F$22)/(Norm_Stats!$G$22-Norm_Stats!$F$22)))))="",0,0.3)+IF((IF(OR(City_Inputs!$AJ74="",Norm_Stats!$F$23="",Norm_Stats!$G$23="",Norm_Stats!$G$23=Norm_Stats!$F$23),"",MAX(0,MIN(100,100*(MIN(MAX(City_Inputs!$AJ74,Norm_Stats!$F$23),Norm_Stats!$G$23)-Norm_Stats!$F$23)/(Norm_Stats!$G$23-Norm_Stats!$F$23)))))="",0,0.2))=0,"",(IF((IF(OR(City_Inputs!$AF74="",Norm_Stats!$F$21="",Norm_Stats!$G$21="",Norm_Stats!$G$21=Norm_Stats!$F$21),"",MAX(0,MIN(100,100*(MIN(MAX(City_Inputs!$AF74,Norm_Stats!$F$21),Norm_Stats!$G$21)-Norm_Stats!$F$21)/(Norm_Stats!$G$21-Norm_Stats!$F$21)))))="",0,0.5)+IF((IF(OR(City_Inputs!$AI74="",Norm_Stats!$F$22="",Norm_Stats!$G$22="",Norm_Stats!$G$22=Norm_Stats!$F$22),"",MAX(0,MIN(100,100*(MIN(MAX(City_Inputs!$AI74,Norm_Stats!$F$22),Norm_Stats!$G$22)-Norm_Stats!$F$22)/(Norm_Stats!$G$22-Norm_Stats!$F$22)))))="",0,0.3)+IF((IF(OR(City_Inputs!$AJ74="",Norm_Stats!$F$23="",Norm_Stats!$G$23="",Norm_Stats!$G$23=Norm_Stats!$F$23),"",MAX(0,MIN(100,100*(MIN(MAX(City_Inputs!$AJ74,Norm_Stats!$F$23),Norm_Stats!$G$23)-Norm_Stats!$F$23)/(Norm_Stats!$G$23-Norm_Stats!$F$23)))))="",0,0.2)))</f>
        <v/>
      </c>
      <c r="BA74" s="11">
        <f>IF(OR(City_Inputs!$AG74="",Norm_Stats!$F$24="",Norm_Stats!$G$24="",Norm_Stats!$G$24=Norm_Stats!$F$24),"",MAX(0,MIN(100,100*(Norm_Stats!$G$24-MIN(MAX(City_Inputs!$AG74,Norm_Stats!$F$24),Norm_Stats!$G$24))/(Norm_Stats!$G$24-Norm_Stats!$F$24))))</f>
        <v/>
      </c>
      <c r="BB74" s="14">
        <f>IF(BA74="","",1)</f>
        <v/>
      </c>
      <c r="BC74" s="15">
        <f>IF((IF(AU74="",0,6)+IF(AW74="",0,5)+IF(AY74="",0,5)+IF(BA74="",0,4))=0,"",(IF(AU74="",0,AU74*6)+IF(AW74="",0,AW74*5)+IF(AY74="",0,AY74*5)+IF(BA74="",0,BA74*4))/(IF(AU74="",0,6)+IF(AW74="",0,5)+IF(AY74="",0,5)+IF(BA74="",0,4)))</f>
        <v/>
      </c>
      <c r="BD74" s="14">
        <f>IF((IF(AV74="",0,6)+IF(AX74="",0,5)+IF(AZ74="",0,5)+IF(BB74="",0,4))=0,"",(IF(AV74="",0,AV74*6)+IF(AX74="",0,AX74*5)+IF(AZ74="",0,AZ74*5)+IF(BB74="",0,BB74*4))/20)</f>
        <v/>
      </c>
      <c r="BE74" s="14">
        <f>IF(AND(R74="",AD74="",AL74="",AT74="",BD74=""),"",((R74*25)+(AD74*22)+(AL74*18)+(AT74*15)+(BD74*20))/100)</f>
        <v/>
      </c>
      <c r="BF74" s="11">
        <f>IF(BE74="","",IF(BE74&gt;=0.75,"A",IF(BE74&gt;=0.5,"B",IF(BE74&gt;=0.35,"C","Watchlist"))))</f>
        <v/>
      </c>
      <c r="BG74" s="11">
        <f>IF(OR(BE74="",BE74&lt;0.5,R74="",R74&lt;0.35,AD74="",AD74&lt;0.35,AL74="",AL74&lt;0.35,AT74="",AT74&lt;0.35,BD74="",BD74&lt;0.35),"Watchlist","Ranked")</f>
        <v/>
      </c>
      <c r="BH74" s="15">
        <f>IF(AND(Q74="",AC74="",AK74="",AS74="",BC74=""),"",(IF(Q74="",0,Q74*25)+IF(AC74="",0,AC74*22)+IF(AK74="",0,AK74*18)+IF(AS74="",0,AS74*15)+IF(BC74="",0,BC74*20))/(IF(Q74="",0,25)+IF(AC74="",0,22)+IF(AK74="",0,18)+IF(AS74="",0,15)+IF(BC74="",0,20)))</f>
        <v/>
      </c>
      <c r="BI74" s="11">
        <f>IF(BG74="Ranked",1+COUNTIFS($BG$2:$BG$101,"Ranked",$BH$2:$BH$101,"&gt;"&amp;BH74),"")</f>
        <v/>
      </c>
      <c r="BJ74" s="11">
        <f>City_Inputs!$AH74</f>
        <v/>
      </c>
    </row>
    <row r="75">
      <c r="A75" t="inlineStr">
        <is>
          <t>sa-riyadh</t>
        </is>
      </c>
      <c r="B75" t="inlineStr">
        <is>
          <t>Riyadh</t>
        </is>
      </c>
      <c r="C75" t="inlineStr">
        <is>
          <t>Saudi Arabia</t>
        </is>
      </c>
      <c r="D75" t="inlineStr">
        <is>
          <t>Middle East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IF((IF(G75="",0,9)+IF(I75="",0,5)+IF(K75="",0,4)+IF(M75="",0,4)+IF(O75="",0,3))=0,"",(IF(G75="",0,G75*9)+IF(I75="",0,I75*5)+IF(K75="",0,K75*4)+IF(M75="",0,M75*4)+IF(O75="",0,O75*3))/(IF(G75="",0,9)+IF(I75="",0,5)+IF(K75="",0,4)+IF(M75="",0,4)+IF(O75="",0,3)))</f>
        <v/>
      </c>
      <c r="R75" s="14">
        <f>IF((IF(H75="",0,9)+IF(J75="",0,5)+IF(L75="",0,4)+IF(N75="",0,4)+IF(P75="",0,3))=0,"",(IF(H75="",0,H75*9)+IF(J75="",0,J75*5)+IF(L75="",0,L75*4)+IF(N75="",0,N75*4)+IF(P75="",0,P75*3))/25)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5">
        <f>IF((IF(S75="",0,5)+IF(U75="",0,5)+IF(W75="",0,4)+IF(Y75="",0,4)+IF(AA75="",0,4))=0,"",(IF(S75="",0,S75*5)+IF(U75="",0,U75*5)+IF(W75="",0,W75*4)+IF(Y75="",0,Y75*4)+IF(AA75="",0,AA75*4))/(IF(S75="",0,5)+IF(U75="",0,5)+IF(W75="",0,4)+IF(Y75="",0,4)+IF(AA75="",0,4)))</f>
        <v/>
      </c>
      <c r="AD75" s="14">
        <f>IF((IF(T75="",0,5)+IF(V75="",0,5)+IF(X75="",0,4)+IF(Z75="",0,4)+IF(AB75="",0,4))=0,"",(IF(T75="",0,T75*5)+IF(V75="",0,V75*5)+IF(X75="",0,X75*4)+IF(Z75="",0,Z75*4)+IF(AB75="",0,AB75*4))/22)</f>
        <v/>
      </c>
      <c r="AE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F75" s="14">
        <f>IF(AE75="","",1)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(IF((IF(OR(City_Inputs!$Z75="",Norm_Stats!$F$14="",Norm_Stats!$G$14="",Norm_Stats!$G$14=Norm_Stats!$F$14),"",MAX(0,MIN(100,100*(MIN(MAX(City_Inputs!$Z75,Norm_Stats!$F$14),Norm_Stats!$G$14)-Norm_Stats!$F$14)/(Norm_Stats!$G$14-Norm_Stats!$F$14)))))="",0,0.7)+IF((IF(OR(City_Inputs!$AK75="",Norm_Stats!$F$15="",Norm_Stats!$G$15="",Norm_Stats!$G$15=Norm_Stats!$F$15),"",MAX(0,MIN(100,100*(Norm_Stats!$G$15-MIN(MAX(City_Inputs!$AK75,Norm_Stats!$F$15),Norm_Stats!$G$15))/(Norm_Stats!$G$15-Norm_Stats!$F$15)))))="",0,0.3))=0,"",(IF((IF(OR(City_Inputs!$Z75="",Norm_Stats!$F$14="",Norm_Stats!$G$14="",Norm_Stats!$G$14=Norm_Stats!$F$14),"",MAX(0,MIN(100,100*(MIN(MAX(City_Inputs!$Z75,Norm_Stats!$F$14),Norm_Stats!$G$14)-Norm_Stats!$F$14)/(Norm_Stats!$G$14-Norm_Stats!$F$14)))))="",0,(IF(OR(City_Inputs!$Z75="",Norm_Stats!$F$14="",Norm_Stats!$G$14="",Norm_Stats!$G$14=Norm_Stats!$F$14),"",MAX(0,MIN(100,100*(MIN(MAX(City_Inputs!$Z75,Norm_Stats!$F$14),Norm_Stats!$G$14)-Norm_Stats!$F$14)/(Norm_Stats!$G$14-Norm_Stats!$F$14)))))*0.7)+IF((IF(OR(City_Inputs!$AK75="",Norm_Stats!$F$15="",Norm_Stats!$G$15="",Norm_Stats!$G$15=Norm_Stats!$F$15),"",MAX(0,MIN(100,100*(Norm_Stats!$G$15-MIN(MAX(City_Inputs!$AK75,Norm_Stats!$F$15),Norm_Stats!$G$15))/(Norm_Stats!$G$15-Norm_Stats!$F$15)))))="",0,(IF(OR(City_Inputs!$AK75="",Norm_Stats!$F$15="",Norm_Stats!$G$15="",Norm_Stats!$G$15=Norm_Stats!$F$15),"",MAX(0,MIN(100,100*(Norm_Stats!$G$15-MIN(MAX(City_Inputs!$AK75,Norm_Stats!$F$15),Norm_Stats!$G$15))/(Norm_Stats!$G$15-Norm_Stats!$F$15)))))*0.3))/(IF((IF(OR(City_Inputs!$Z75="",Norm_Stats!$F$14="",Norm_Stats!$G$14="",Norm_Stats!$G$14=Norm_Stats!$F$14),"",MAX(0,MIN(100,100*(MIN(MAX(City_Inputs!$Z75,Norm_Stats!$F$14),Norm_Stats!$G$14)-Norm_Stats!$F$14)/(Norm_Stats!$G$14-Norm_Stats!$F$14)))))="",0,0.7)+IF((IF(OR(City_Inputs!$AK75="",Norm_Stats!$F$15="",Norm_Stats!$G$15="",Norm_Stats!$G$15=Norm_Stats!$F$15),"",MAX(0,MIN(100,100*(Norm_Stats!$G$15-MIN(MAX(City_Inputs!$AK75,Norm_Stats!$F$15),Norm_Stats!$G$15))/(Norm_Stats!$G$15-Norm_Stats!$F$15)))))="",0,0.3)))</f>
        <v/>
      </c>
      <c r="AJ75" s="14">
        <f>IF((IF((IF(OR(City_Inputs!$Z75="",Norm_Stats!$F$14="",Norm_Stats!$G$14="",Norm_Stats!$G$14=Norm_Stats!$F$14),"",MAX(0,MIN(100,100*(MIN(MAX(City_Inputs!$Z75,Norm_Stats!$F$14),Norm_Stats!$G$14)-Norm_Stats!$F$14)/(Norm_Stats!$G$14-Norm_Stats!$F$14)))))="",0,0.7)+IF((IF(OR(City_Inputs!$AK75="",Norm_Stats!$F$15="",Norm_Stats!$G$15="",Norm_Stats!$G$15=Norm_Stats!$F$15),"",MAX(0,MIN(100,100*(Norm_Stats!$G$15-MIN(MAX(City_Inputs!$AK75,Norm_Stats!$F$15),Norm_Stats!$G$15))/(Norm_Stats!$G$15-Norm_Stats!$F$15)))))="",0,0.3))=0,"",(IF((IF(OR(City_Inputs!$Z75="",Norm_Stats!$F$14="",Norm_Stats!$G$14="",Norm_Stats!$G$14=Norm_Stats!$F$14),"",MAX(0,MIN(100,100*(MIN(MAX(City_Inputs!$Z75,Norm_Stats!$F$14),Norm_Stats!$G$14)-Norm_Stats!$F$14)/(Norm_Stats!$G$14-Norm_Stats!$F$14)))))="",0,0.7)+IF((IF(OR(City_Inputs!$AK75="",Norm_Stats!$F$15="",Norm_Stats!$G$15="",Norm_Stats!$G$15=Norm_Stats!$F$15),"",MAX(0,MIN(100,100*(Norm_Stats!$G$15-MIN(MAX(City_Inputs!$AK75,Norm_Stats!$F$15),Norm_Stats!$G$15))/(Norm_Stats!$G$15-Norm_Stats!$F$15)))))="",0,0.3)))</f>
        <v/>
      </c>
      <c r="AK75" s="15">
        <f>IF((IF(AE75="",0,8)+IF(AG75="",0,6)+IF(AI75="",0,4))=0,"",(IF(AE75="",0,AE75*8)+IF(AG75="",0,AG75*6)+IF(AI75="",0,AI75*4))/(IF(AE75="",0,8)+IF(AG75="",0,6)+IF(AI75="",0,4)))</f>
        <v/>
      </c>
      <c r="AL75" s="14">
        <f>IF((IF(AF75="",0,8)+IF(AH75="",0,6)+IF(AJ75="",0,4))=0,"",(IF(AF75="",0,AF75*8)+IF(AH75="",0,AH75*6)+IF(AJ75="",0,AJ75*4))/18)</f>
        <v/>
      </c>
      <c r="AM75" s="11">
        <f>IF(OR(City_Inputs!$AA75="",Norm_Stats!$F$16="",Norm_Stats!$G$16="",Norm_Stats!$G$16=Norm_Stats!$F$16),"",MAX(0,MIN(100,100*(MIN(MAX(City_Inputs!$AA75,Norm_Stats!$F$16),Norm_Stats!$G$16)-Norm_Stats!$F$16)/(Norm_Stats!$G$16-Norm_Stats!$F$16))))</f>
        <v/>
      </c>
      <c r="AN75" s="14">
        <f>IF(AM75="","",1)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5">
        <f>IF((IF(AM75="",0,5)+IF(AO75="",0,5)+IF(AQ75="",0,5))=0,"",(IF(AM75="",0,AM75*5)+IF(AO75="",0,AO75*5)+IF(AQ75="",0,AQ75*5))/(IF(AM75="",0,5)+IF(AO75="",0,5)+IF(AQ75="",0,5)))</f>
        <v/>
      </c>
      <c r="AT75" s="14">
        <f>IF((IF(AN75="",0,5)+IF(AP75="",0,5)+IF(AR75="",0,5))=0,"",(IF(AN75="",0,AN75*5)+IF(AP75="",0,AP75*5)+IF(AR75="",0,AR75*5))/15)</f>
        <v/>
      </c>
      <c r="AU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V75" s="14">
        <f>IF(AU75="","",1)</f>
        <v/>
      </c>
      <c r="AW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X75" s="14">
        <f>IF(AW75="","",1)</f>
        <v/>
      </c>
      <c r="AY75" s="11">
        <f>IF((IF((IF(OR(City_Inputs!$AF75="",Norm_Stats!$F$21="",Norm_Stats!$G$21="",Norm_Stats!$G$21=Norm_Stats!$F$21),"",MAX(0,MIN(100,100*(MIN(MAX(City_Inputs!$AF75,Norm_Stats!$F$21),Norm_Stats!$G$21)-Norm_Stats!$F$21)/(Norm_Stats!$G$21-Norm_Stats!$F$21)))))="",0,0.5)+IF((IF(OR(City_Inputs!$AI75="",Norm_Stats!$F$22="",Norm_Stats!$G$22="",Norm_Stats!$G$22=Norm_Stats!$F$22),"",MAX(0,MIN(100,100*(MIN(MAX(City_Inputs!$AI75,Norm_Stats!$F$22),Norm_Stats!$G$22)-Norm_Stats!$F$22)/(Norm_Stats!$G$22-Norm_Stats!$F$22)))))="",0,0.3)+IF((IF(OR(City_Inputs!$AJ75="",Norm_Stats!$F$23="",Norm_Stats!$G$23="",Norm_Stats!$G$23=Norm_Stats!$F$23),"",MAX(0,MIN(100,100*(MIN(MAX(City_Inputs!$AJ75,Norm_Stats!$F$23),Norm_Stats!$G$23)-Norm_Stats!$F$23)/(Norm_Stats!$G$23-Norm_Stats!$F$23)))))="",0,0.2))=0,"",(IF((IF(OR(City_Inputs!$AF75="",Norm_Stats!$F$21="",Norm_Stats!$G$21="",Norm_Stats!$G$21=Norm_Stats!$F$21),"",MAX(0,MIN(100,100*(MIN(MAX(City_Inputs!$AF75,Norm_Stats!$F$21),Norm_Stats!$G$21)-Norm_Stats!$F$21)/(Norm_Stats!$G$21-Norm_Stats!$F$21)))))="",0,(IF(OR(City_Inputs!$AF75="",Norm_Stats!$F$21="",Norm_Stats!$G$21="",Norm_Stats!$G$21=Norm_Stats!$F$21),"",MAX(0,MIN(100,100*(MIN(MAX(City_Inputs!$AF75,Norm_Stats!$F$21),Norm_Stats!$G$21)-Norm_Stats!$F$21)/(Norm_Stats!$G$21-Norm_Stats!$F$21)))))*0.5)+IF((IF(OR(City_Inputs!$AI75="",Norm_Stats!$F$22="",Norm_Stats!$G$22="",Norm_Stats!$G$22=Norm_Stats!$F$22),"",MAX(0,MIN(100,100*(MIN(MAX(City_Inputs!$AI75,Norm_Stats!$F$22),Norm_Stats!$G$22)-Norm_Stats!$F$22)/(Norm_Stats!$G$22-Norm_Stats!$F$22)))))="",0,(IF(OR(City_Inputs!$AI75="",Norm_Stats!$F$22="",Norm_Stats!$G$22="",Norm_Stats!$G$22=Norm_Stats!$F$22),"",MAX(0,MIN(100,100*(MIN(MAX(City_Inputs!$AI75,Norm_Stats!$F$22),Norm_Stats!$G$22)-Norm_Stats!$F$22)/(Norm_Stats!$G$22-Norm_Stats!$F$22)))))*0.3)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0.2))/(IF((IF(OR(City_Inputs!$AF75="",Norm_Stats!$F$21="",Norm_Stats!$G$21="",Norm_Stats!$G$21=Norm_Stats!$F$21),"",MAX(0,MIN(100,100*(MIN(MAX(City_Inputs!$AF75,Norm_Stats!$F$21),Norm_Stats!$G$21)-Norm_Stats!$F$21)/(Norm_Stats!$G$21-Norm_Stats!$F$21)))))="",0,0.5)+IF((IF(OR(City_Inputs!$AI75="",Norm_Stats!$F$22="",Norm_Stats!$G$22="",Norm_Stats!$G$22=Norm_Stats!$F$22),"",MAX(0,MIN(100,100*(MIN(MAX(City_Inputs!$AI75,Norm_Stats!$F$22),Norm_Stats!$G$22)-Norm_Stats!$F$22)/(Norm_Stats!$G$22-Norm_Stats!$F$22)))))="",0,0.3)+IF((IF(OR(City_Inputs!$AJ75="",Norm_Stats!$F$23="",Norm_Stats!$G$23="",Norm_Stats!$G$23=Norm_Stats!$F$23),"",MAX(0,MIN(100,100*(MIN(MAX(City_Inputs!$AJ75,Norm_Stats!$F$23),Norm_Stats!$G$23)-Norm_Stats!$F$23)/(Norm_Stats!$G$23-Norm_Stats!$F$23)))))="",0,0.2)))</f>
        <v/>
      </c>
      <c r="AZ75" s="14">
        <f>IF((IF((IF(OR(City_Inputs!$AF75="",Norm_Stats!$F$21="",Norm_Stats!$G$21="",Norm_Stats!$G$21=Norm_Stats!$F$21),"",MAX(0,MIN(100,100*(MIN(MAX(City_Inputs!$AF75,Norm_Stats!$F$21),Norm_Stats!$G$21)-Norm_Stats!$F$21)/(Norm_Stats!$G$21-Norm_Stats!$F$21)))))="",0,0.5)+IF((IF(OR(City_Inputs!$AI75="",Norm_Stats!$F$22="",Norm_Stats!$G$22="",Norm_Stats!$G$22=Norm_Stats!$F$22),"",MAX(0,MIN(100,100*(MIN(MAX(City_Inputs!$AI75,Norm_Stats!$F$22),Norm_Stats!$G$22)-Norm_Stats!$F$22)/(Norm_Stats!$G$22-Norm_Stats!$F$22)))))="",0,0.3)+IF((IF(OR(City_Inputs!$AJ75="",Norm_Stats!$F$23="",Norm_Stats!$G$23="",Norm_Stats!$G$23=Norm_Stats!$F$23),"",MAX(0,MIN(100,100*(MIN(MAX(City_Inputs!$AJ75,Norm_Stats!$F$23),Norm_Stats!$G$23)-Norm_Stats!$F$23)/(Norm_Stats!$G$23-Norm_Stats!$F$23)))))="",0,0.2))=0,"",(IF((IF(OR(City_Inputs!$AF75="",Norm_Stats!$F$21="",Norm_Stats!$G$21="",Norm_Stats!$G$21=Norm_Stats!$F$21),"",MAX(0,MIN(100,100*(MIN(MAX(City_Inputs!$AF75,Norm_Stats!$F$21),Norm_Stats!$G$21)-Norm_Stats!$F$21)/(Norm_Stats!$G$21-Norm_Stats!$F$21)))))="",0,0.5)+IF((IF(OR(City_Inputs!$AI75="",Norm_Stats!$F$22="",Norm_Stats!$G$22="",Norm_Stats!$G$22=Norm_Stats!$F$22),"",MAX(0,MIN(100,100*(MIN(MAX(City_Inputs!$AI75,Norm_Stats!$F$22),Norm_Stats!$G$22)-Norm_Stats!$F$22)/(Norm_Stats!$G$22-Norm_Stats!$F$22)))))="",0,0.3)+IF((IF(OR(City_Inputs!$AJ75="",Norm_Stats!$F$23="",Norm_Stats!$G$23="",Norm_Stats!$G$23=Norm_Stats!$F$23),"",MAX(0,MIN(100,100*(MIN(MAX(City_Inputs!$AJ75,Norm_Stats!$F$23),Norm_Stats!$G$23)-Norm_Stats!$F$23)/(Norm_Stats!$G$23-Norm_Stats!$F$23)))))="",0,0.2)))</f>
        <v/>
      </c>
      <c r="BA75" s="11">
        <f>IF(OR(City_Inputs!$AG75="",Norm_Stats!$F$24="",Norm_Stats!$G$24="",Norm_Stats!$G$24=Norm_Stats!$F$24),"",MAX(0,MIN(100,100*(Norm_Stats!$G$24-MIN(MAX(City_Inputs!$AG75,Norm_Stats!$F$24),Norm_Stats!$G$24))/(Norm_Stats!$G$24-Norm_Stats!$F$24))))</f>
        <v/>
      </c>
      <c r="BB75" s="14">
        <f>IF(BA75="","",1)</f>
        <v/>
      </c>
      <c r="BC75" s="15">
        <f>IF((IF(AU75="",0,6)+IF(AW75="",0,5)+IF(AY75="",0,5)+IF(BA75="",0,4))=0,"",(IF(AU75="",0,AU75*6)+IF(AW75="",0,AW75*5)+IF(AY75="",0,AY75*5)+IF(BA75="",0,BA75*4))/(IF(AU75="",0,6)+IF(AW75="",0,5)+IF(AY75="",0,5)+IF(BA75="",0,4)))</f>
        <v/>
      </c>
      <c r="BD75" s="14">
        <f>IF((IF(AV75="",0,6)+IF(AX75="",0,5)+IF(AZ75="",0,5)+IF(BB75="",0,4))=0,"",(IF(AV75="",0,AV75*6)+IF(AX75="",0,AX75*5)+IF(AZ75="",0,AZ75*5)+IF(BB75="",0,BB75*4))/20)</f>
        <v/>
      </c>
      <c r="BE75" s="14">
        <f>IF(AND(R75="",AD75="",AL75="",AT75="",BD75=""),"",((R75*25)+(AD75*22)+(AL75*18)+(AT75*15)+(BD75*20))/100)</f>
        <v/>
      </c>
      <c r="BF75" s="11">
        <f>IF(BE75="","",IF(BE75&gt;=0.75,"A",IF(BE75&gt;=0.5,"B",IF(BE75&gt;=0.35,"C","Watchlist"))))</f>
        <v/>
      </c>
      <c r="BG75" s="11">
        <f>IF(OR(BE75="",BE75&lt;0.5,R75="",R75&lt;0.35,AD75="",AD75&lt;0.35,AL75="",AL75&lt;0.35,AT75="",AT75&lt;0.35,BD75="",BD75&lt;0.35),"Watchlist","Ranked")</f>
        <v/>
      </c>
      <c r="BH75" s="15">
        <f>IF(AND(Q75="",AC75="",AK75="",AS75="",BC75=""),"",(IF(Q75="",0,Q75*25)+IF(AC75="",0,AC75*22)+IF(AK75="",0,AK75*18)+IF(AS75="",0,AS75*15)+IF(BC75="",0,BC75*20))/(IF(Q75="",0,25)+IF(AC75="",0,22)+IF(AK75="",0,18)+IF(AS75="",0,15)+IF(BC75="",0,20)))</f>
        <v/>
      </c>
      <c r="BI75" s="11">
        <f>IF(BG75="Ranked",1+COUNTIFS($BG$2:$BG$101,"Ranked",$BH$2:$BH$101,"&gt;"&amp;BH75),"")</f>
        <v/>
      </c>
      <c r="BJ75" s="11">
        <f>City_Inputs!$AH75</f>
        <v/>
      </c>
    </row>
    <row r="76">
      <c r="A76" t="inlineStr">
        <is>
          <t>il-tel-aviv</t>
        </is>
      </c>
      <c r="B76" t="inlineStr">
        <is>
          <t>Tel Aviv</t>
        </is>
      </c>
      <c r="C76" t="inlineStr">
        <is>
          <t>Israel</t>
        </is>
      </c>
      <c r="D76" t="inlineStr">
        <is>
          <t>Middle East</t>
        </is>
      </c>
      <c r="E76" t="inlineStr">
        <is>
          <t>provisional</t>
        </is>
      </c>
      <c r="F76" t="inlineStr">
        <is>
          <t>primary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IF((IF(G76="",0,9)+IF(I76="",0,5)+IF(K76="",0,4)+IF(M76="",0,4)+IF(O76="",0,3))=0,"",(IF(G76="",0,G76*9)+IF(I76="",0,I76*5)+IF(K76="",0,K76*4)+IF(M76="",0,M76*4)+IF(O76="",0,O76*3))/(IF(G76="",0,9)+IF(I76="",0,5)+IF(K76="",0,4)+IF(M76="",0,4)+IF(O76="",0,3)))</f>
        <v/>
      </c>
      <c r="R76" s="14">
        <f>IF((IF(H76="",0,9)+IF(J76="",0,5)+IF(L76="",0,4)+IF(N76="",0,4)+IF(P76="",0,3))=0,"",(IF(H76="",0,H76*9)+IF(J76="",0,J76*5)+IF(L76="",0,L76*4)+IF(N76="",0,N76*4)+IF(P76="",0,P76*3))/25)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5">
        <f>IF((IF(S76="",0,5)+IF(U76="",0,5)+IF(W76="",0,4)+IF(Y76="",0,4)+IF(AA76="",0,4))=0,"",(IF(S76="",0,S76*5)+IF(U76="",0,U76*5)+IF(W76="",0,W76*4)+IF(Y76="",0,Y76*4)+IF(AA76="",0,AA76*4))/(IF(S76="",0,5)+IF(U76="",0,5)+IF(W76="",0,4)+IF(Y76="",0,4)+IF(AA76="",0,4)))</f>
        <v/>
      </c>
      <c r="AD76" s="14">
        <f>IF((IF(T76="",0,5)+IF(V76="",0,5)+IF(X76="",0,4)+IF(Z76="",0,4)+IF(AB76="",0,4))=0,"",(IF(T76="",0,T76*5)+IF(V76="",0,V76*5)+IF(X76="",0,X76*4)+IF(Z76="",0,Z76*4)+IF(AB76="",0,AB76*4))/22)</f>
        <v/>
      </c>
      <c r="AE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F76" s="14">
        <f>IF(AE76="","",1)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(IF((IF(OR(City_Inputs!$Z76="",Norm_Stats!$F$14="",Norm_Stats!$G$14="",Norm_Stats!$G$14=Norm_Stats!$F$14),"",MAX(0,MIN(100,100*(MIN(MAX(City_Inputs!$Z76,Norm_Stats!$F$14),Norm_Stats!$G$14)-Norm_Stats!$F$14)/(Norm_Stats!$G$14-Norm_Stats!$F$14)))))="",0,0.7)+IF((IF(OR(City_Inputs!$AK76="",Norm_Stats!$F$15="",Norm_Stats!$G$15="",Norm_Stats!$G$15=Norm_Stats!$F$15),"",MAX(0,MIN(100,100*(Norm_Stats!$G$15-MIN(MAX(City_Inputs!$AK76,Norm_Stats!$F$15),Norm_Stats!$G$15))/(Norm_Stats!$G$15-Norm_Stats!$F$15)))))="",0,0.3))=0,"",(IF((IF(OR(City_Inputs!$Z76="",Norm_Stats!$F$14="",Norm_Stats!$G$14="",Norm_Stats!$G$14=Norm_Stats!$F$14),"",MAX(0,MIN(100,100*(MIN(MAX(City_Inputs!$Z76,Norm_Stats!$F$14),Norm_Stats!$G$14)-Norm_Stats!$F$14)/(Norm_Stats!$G$14-Norm_Stats!$F$14)))))="",0,(IF(OR(City_Inputs!$Z76="",Norm_Stats!$F$14="",Norm_Stats!$G$14="",Norm_Stats!$G$14=Norm_Stats!$F$14),"",MAX(0,MIN(100,100*(MIN(MAX(City_Inputs!$Z76,Norm_Stats!$F$14),Norm_Stats!$G$14)-Norm_Stats!$F$14)/(Norm_Stats!$G$14-Norm_Stats!$F$14)))))*0.7)+IF((IF(OR(City_Inputs!$AK76="",Norm_Stats!$F$15="",Norm_Stats!$G$15="",Norm_Stats!$G$15=Norm_Stats!$F$15),"",MAX(0,MIN(100,100*(Norm_Stats!$G$15-MIN(MAX(City_Inputs!$AK76,Norm_Stats!$F$15),Norm_Stats!$G$15))/(Norm_Stats!$G$15-Norm_Stats!$F$15)))))="",0,(IF(OR(City_Inputs!$AK76="",Norm_Stats!$F$15="",Norm_Stats!$G$15="",Norm_Stats!$G$15=Norm_Stats!$F$15),"",MAX(0,MIN(100,100*(Norm_Stats!$G$15-MIN(MAX(City_Inputs!$AK76,Norm_Stats!$F$15),Norm_Stats!$G$15))/(Norm_Stats!$G$15-Norm_Stats!$F$15)))))*0.3))/(IF((IF(OR(City_Inputs!$Z76="",Norm_Stats!$F$14="",Norm_Stats!$G$14="",Norm_Stats!$G$14=Norm_Stats!$F$14),"",MAX(0,MIN(100,100*(MIN(MAX(City_Inputs!$Z76,Norm_Stats!$F$14),Norm_Stats!$G$14)-Norm_Stats!$F$14)/(Norm_Stats!$G$14-Norm_Stats!$F$14)))))="",0,0.7)+IF((IF(OR(City_Inputs!$AK76="",Norm_Stats!$F$15="",Norm_Stats!$G$15="",Norm_Stats!$G$15=Norm_Stats!$F$15),"",MAX(0,MIN(100,100*(Norm_Stats!$G$15-MIN(MAX(City_Inputs!$AK76,Norm_Stats!$F$15),Norm_Stats!$G$15))/(Norm_Stats!$G$15-Norm_Stats!$F$15)))))="",0,0.3)))</f>
        <v/>
      </c>
      <c r="AJ76" s="14">
        <f>IF((IF((IF(OR(City_Inputs!$Z76="",Norm_Stats!$F$14="",Norm_Stats!$G$14="",Norm_Stats!$G$14=Norm_Stats!$F$14),"",MAX(0,MIN(100,100*(MIN(MAX(City_Inputs!$Z76,Norm_Stats!$F$14),Norm_Stats!$G$14)-Norm_Stats!$F$14)/(Norm_Stats!$G$14-Norm_Stats!$F$14)))))="",0,0.7)+IF((IF(OR(City_Inputs!$AK76="",Norm_Stats!$F$15="",Norm_Stats!$G$15="",Norm_Stats!$G$15=Norm_Stats!$F$15),"",MAX(0,MIN(100,100*(Norm_Stats!$G$15-MIN(MAX(City_Inputs!$AK76,Norm_Stats!$F$15),Norm_Stats!$G$15))/(Norm_Stats!$G$15-Norm_Stats!$F$15)))))="",0,0.3))=0,"",(IF((IF(OR(City_Inputs!$Z76="",Norm_Stats!$F$14="",Norm_Stats!$G$14="",Norm_Stats!$G$14=Norm_Stats!$F$14),"",MAX(0,MIN(100,100*(MIN(MAX(City_Inputs!$Z76,Norm_Stats!$F$14),Norm_Stats!$G$14)-Norm_Stats!$F$14)/(Norm_Stats!$G$14-Norm_Stats!$F$14)))))="",0,0.7)+IF((IF(OR(City_Inputs!$AK76="",Norm_Stats!$F$15="",Norm_Stats!$G$15="",Norm_Stats!$G$15=Norm_Stats!$F$15),"",MAX(0,MIN(100,100*(Norm_Stats!$G$15-MIN(MAX(City_Inputs!$AK76,Norm_Stats!$F$15),Norm_Stats!$G$15))/(Norm_Stats!$G$15-Norm_Stats!$F$15)))))="",0,0.3)))</f>
        <v/>
      </c>
      <c r="AK76" s="15">
        <f>IF((IF(AE76="",0,8)+IF(AG76="",0,6)+IF(AI76="",0,4))=0,"",(IF(AE76="",0,AE76*8)+IF(AG76="",0,AG76*6)+IF(AI76="",0,AI76*4))/(IF(AE76="",0,8)+IF(AG76="",0,6)+IF(AI76="",0,4)))</f>
        <v/>
      </c>
      <c r="AL76" s="14">
        <f>IF((IF(AF76="",0,8)+IF(AH76="",0,6)+IF(AJ76="",0,4))=0,"",(IF(AF76="",0,AF76*8)+IF(AH76="",0,AH76*6)+IF(AJ76="",0,AJ76*4))/18)</f>
        <v/>
      </c>
      <c r="AM76" s="11">
        <f>IF(OR(City_Inputs!$AA76="",Norm_Stats!$F$16="",Norm_Stats!$G$16="",Norm_Stats!$G$16=Norm_Stats!$F$16),"",MAX(0,MIN(100,100*(MIN(MAX(City_Inputs!$AA76,Norm_Stats!$F$16),Norm_Stats!$G$16)-Norm_Stats!$F$16)/(Norm_Stats!$G$16-Norm_Stats!$F$16))))</f>
        <v/>
      </c>
      <c r="AN76" s="14">
        <f>IF(AM76="","",1)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5">
        <f>IF((IF(AM76="",0,5)+IF(AO76="",0,5)+IF(AQ76="",0,5))=0,"",(IF(AM76="",0,AM76*5)+IF(AO76="",0,AO76*5)+IF(AQ76="",0,AQ76*5))/(IF(AM76="",0,5)+IF(AO76="",0,5)+IF(AQ76="",0,5)))</f>
        <v/>
      </c>
      <c r="AT76" s="14">
        <f>IF((IF(AN76="",0,5)+IF(AP76="",0,5)+IF(AR76="",0,5))=0,"",(IF(AN76="",0,AN76*5)+IF(AP76="",0,AP76*5)+IF(AR76="",0,AR76*5))/15)</f>
        <v/>
      </c>
      <c r="AU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V76" s="14">
        <f>IF(AU76="","",1)</f>
        <v/>
      </c>
      <c r="AW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X76" s="14">
        <f>IF(AW76="","",1)</f>
        <v/>
      </c>
      <c r="AY76" s="11">
        <f>IF((IF((IF(OR(City_Inputs!$AF76="",Norm_Stats!$F$21="",Norm_Stats!$G$21="",Norm_Stats!$G$21=Norm_Stats!$F$21),"",MAX(0,MIN(100,100*(MIN(MAX(City_Inputs!$AF76,Norm_Stats!$F$21),Norm_Stats!$G$21)-Norm_Stats!$F$21)/(Norm_Stats!$G$21-Norm_Stats!$F$21)))))="",0,0.5)+IF((IF(OR(City_Inputs!$AI76="",Norm_Stats!$F$22="",Norm_Stats!$G$22="",Norm_Stats!$G$22=Norm_Stats!$F$22),"",MAX(0,MIN(100,100*(MIN(MAX(City_Inputs!$AI76,Norm_Stats!$F$22),Norm_Stats!$G$22)-Norm_Stats!$F$22)/(Norm_Stats!$G$22-Norm_Stats!$F$22)))))="",0,0.3)+IF((IF(OR(City_Inputs!$AJ76="",Norm_Stats!$F$23="",Norm_Stats!$G$23="",Norm_Stats!$G$23=Norm_Stats!$F$23),"",MAX(0,MIN(100,100*(MIN(MAX(City_Inputs!$AJ76,Norm_Stats!$F$23),Norm_Stats!$G$23)-Norm_Stats!$F$23)/(Norm_Stats!$G$23-Norm_Stats!$F$23)))))="",0,0.2))=0,"",(IF((IF(OR(City_Inputs!$AF76="",Norm_Stats!$F$21="",Norm_Stats!$G$21="",Norm_Stats!$G$21=Norm_Stats!$F$21),"",MAX(0,MIN(100,100*(MIN(MAX(City_Inputs!$AF76,Norm_Stats!$F$21),Norm_Stats!$G$21)-Norm_Stats!$F$21)/(Norm_Stats!$G$21-Norm_Stats!$F$21)))))="",0,(IF(OR(City_Inputs!$AF76="",Norm_Stats!$F$21="",Norm_Stats!$G$21="",Norm_Stats!$G$21=Norm_Stats!$F$21),"",MAX(0,MIN(100,100*(MIN(MAX(City_Inputs!$AF76,Norm_Stats!$F$21),Norm_Stats!$G$21)-Norm_Stats!$F$21)/(Norm_Stats!$G$21-Norm_Stats!$F$21)))))*0.5)+IF((IF(OR(City_Inputs!$AI76="",Norm_Stats!$F$22="",Norm_Stats!$G$22="",Norm_Stats!$G$22=Norm_Stats!$F$22),"",MAX(0,MIN(100,100*(MIN(MAX(City_Inputs!$AI76,Norm_Stats!$F$22),Norm_Stats!$G$22)-Norm_Stats!$F$22)/(Norm_Stats!$G$22-Norm_Stats!$F$22)))))="",0,(IF(OR(City_Inputs!$AI76="",Norm_Stats!$F$22="",Norm_Stats!$G$22="",Norm_Stats!$G$22=Norm_Stats!$F$22),"",MAX(0,MIN(100,100*(MIN(MAX(City_Inputs!$AI76,Norm_Stats!$F$22),Norm_Stats!$G$22)-Norm_Stats!$F$22)/(Norm_Stats!$G$22-Norm_Stats!$F$22)))))*0.3)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0.2))/(IF((IF(OR(City_Inputs!$AF76="",Norm_Stats!$F$21="",Norm_Stats!$G$21="",Norm_Stats!$G$21=Norm_Stats!$F$21),"",MAX(0,MIN(100,100*(MIN(MAX(City_Inputs!$AF76,Norm_Stats!$F$21),Norm_Stats!$G$21)-Norm_Stats!$F$21)/(Norm_Stats!$G$21-Norm_Stats!$F$21)))))="",0,0.5)+IF((IF(OR(City_Inputs!$AI76="",Norm_Stats!$F$22="",Norm_Stats!$G$22="",Norm_Stats!$G$22=Norm_Stats!$F$22),"",MAX(0,MIN(100,100*(MIN(MAX(City_Inputs!$AI76,Norm_Stats!$F$22),Norm_Stats!$G$22)-Norm_Stats!$F$22)/(Norm_Stats!$G$22-Norm_Stats!$F$22)))))="",0,0.3)+IF((IF(OR(City_Inputs!$AJ76="",Norm_Stats!$F$23="",Norm_Stats!$G$23="",Norm_Stats!$G$23=Norm_Stats!$F$23),"",MAX(0,MIN(100,100*(MIN(MAX(City_Inputs!$AJ76,Norm_Stats!$F$23),Norm_Stats!$G$23)-Norm_Stats!$F$23)/(Norm_Stats!$G$23-Norm_Stats!$F$23)))))="",0,0.2)))</f>
        <v/>
      </c>
      <c r="AZ76" s="14">
        <f>IF((IF((IF(OR(City_Inputs!$AF76="",Norm_Stats!$F$21="",Norm_Stats!$G$21="",Norm_Stats!$G$21=Norm_Stats!$F$21),"",MAX(0,MIN(100,100*(MIN(MAX(City_Inputs!$AF76,Norm_Stats!$F$21),Norm_Stats!$G$21)-Norm_Stats!$F$21)/(Norm_Stats!$G$21-Norm_Stats!$F$21)))))="",0,0.5)+IF((IF(OR(City_Inputs!$AI76="",Norm_Stats!$F$22="",Norm_Stats!$G$22="",Norm_Stats!$G$22=Norm_Stats!$F$22),"",MAX(0,MIN(100,100*(MIN(MAX(City_Inputs!$AI76,Norm_Stats!$F$22),Norm_Stats!$G$22)-Norm_Stats!$F$22)/(Norm_Stats!$G$22-Norm_Stats!$F$22)))))="",0,0.3)+IF((IF(OR(City_Inputs!$AJ76="",Norm_Stats!$F$23="",Norm_Stats!$G$23="",Norm_Stats!$G$23=Norm_Stats!$F$23),"",MAX(0,MIN(100,100*(MIN(MAX(City_Inputs!$AJ76,Norm_Stats!$F$23),Norm_Stats!$G$23)-Norm_Stats!$F$23)/(Norm_Stats!$G$23-Norm_Stats!$F$23)))))="",0,0.2))=0,"",(IF((IF(OR(City_Inputs!$AF76="",Norm_Stats!$F$21="",Norm_Stats!$G$21="",Norm_Stats!$G$21=Norm_Stats!$F$21),"",MAX(0,MIN(100,100*(MIN(MAX(City_Inputs!$AF76,Norm_Stats!$F$21),Norm_Stats!$G$21)-Norm_Stats!$F$21)/(Norm_Stats!$G$21-Norm_Stats!$F$21)))))="",0,0.5)+IF((IF(OR(City_Inputs!$AI76="",Norm_Stats!$F$22="",Norm_Stats!$G$22="",Norm_Stats!$G$22=Norm_Stats!$F$22),"",MAX(0,MIN(100,100*(MIN(MAX(City_Inputs!$AI76,Norm_Stats!$F$22),Norm_Stats!$G$22)-Norm_Stats!$F$22)/(Norm_Stats!$G$22-Norm_Stats!$F$22)))))="",0,0.3)+IF((IF(OR(City_Inputs!$AJ76="",Norm_Stats!$F$23="",Norm_Stats!$G$23="",Norm_Stats!$G$23=Norm_Stats!$F$23),"",MAX(0,MIN(100,100*(MIN(MAX(City_Inputs!$AJ76,Norm_Stats!$F$23),Norm_Stats!$G$23)-Norm_Stats!$F$23)/(Norm_Stats!$G$23-Norm_Stats!$F$23)))))="",0,0.2)))</f>
        <v/>
      </c>
      <c r="BA76" s="11">
        <f>IF(OR(City_Inputs!$AG76="",Norm_Stats!$F$24="",Norm_Stats!$G$24="",Norm_Stats!$G$24=Norm_Stats!$F$24),"",MAX(0,MIN(100,100*(Norm_Stats!$G$24-MIN(MAX(City_Inputs!$AG76,Norm_Stats!$F$24),Norm_Stats!$G$24))/(Norm_Stats!$G$24-Norm_Stats!$F$24))))</f>
        <v/>
      </c>
      <c r="BB76" s="14">
        <f>IF(BA76="","",1)</f>
        <v/>
      </c>
      <c r="BC76" s="15">
        <f>IF((IF(AU76="",0,6)+IF(AW76="",0,5)+IF(AY76="",0,5)+IF(BA76="",0,4))=0,"",(IF(AU76="",0,AU76*6)+IF(AW76="",0,AW76*5)+IF(AY76="",0,AY76*5)+IF(BA76="",0,BA76*4))/(IF(AU76="",0,6)+IF(AW76="",0,5)+IF(AY76="",0,5)+IF(BA76="",0,4)))</f>
        <v/>
      </c>
      <c r="BD76" s="14">
        <f>IF((IF(AV76="",0,6)+IF(AX76="",0,5)+IF(AZ76="",0,5)+IF(BB76="",0,4))=0,"",(IF(AV76="",0,AV76*6)+IF(AX76="",0,AX76*5)+IF(AZ76="",0,AZ76*5)+IF(BB76="",0,BB76*4))/20)</f>
        <v/>
      </c>
      <c r="BE76" s="14">
        <f>IF(AND(R76="",AD76="",AL76="",AT76="",BD76=""),"",((R76*25)+(AD76*22)+(AL76*18)+(AT76*15)+(BD76*20))/100)</f>
        <v/>
      </c>
      <c r="BF76" s="11">
        <f>IF(BE76="","",IF(BE76&gt;=0.75,"A",IF(BE76&gt;=0.5,"B",IF(BE76&gt;=0.35,"C","Watchlist"))))</f>
        <v/>
      </c>
      <c r="BG76" s="11">
        <f>IF(OR(BE76="",BE76&lt;0.5,R76="",R76&lt;0.35,AD76="",AD76&lt;0.35,AL76="",AL76&lt;0.35,AT76="",AT76&lt;0.35,BD76="",BD76&lt;0.35),"Watchlist","Ranked")</f>
        <v/>
      </c>
      <c r="BH76" s="15">
        <f>IF(AND(Q76="",AC76="",AK76="",AS76="",BC76=""),"",(IF(Q76="",0,Q76*25)+IF(AC76="",0,AC76*22)+IF(AK76="",0,AK76*18)+IF(AS76="",0,AS76*15)+IF(BC76="",0,BC76*20))/(IF(Q76="",0,25)+IF(AC76="",0,22)+IF(AK76="",0,18)+IF(AS76="",0,15)+IF(BC76="",0,20)))</f>
        <v/>
      </c>
      <c r="BI76" s="11">
        <f>IF(BG76="Ranked",1+COUNTIFS($BG$2:$BG$101,"Ranked",$BH$2:$BH$101,"&gt;"&amp;BH76),"")</f>
        <v/>
      </c>
      <c r="BJ76" s="11">
        <f>City_Inputs!$AH76</f>
        <v/>
      </c>
    </row>
    <row r="77">
      <c r="A77" t="inlineStr">
        <is>
          <t>om-muscat</t>
        </is>
      </c>
      <c r="B77" t="inlineStr">
        <is>
          <t>Muscat</t>
        </is>
      </c>
      <c r="C77" t="inlineStr">
        <is>
          <t>Oman</t>
        </is>
      </c>
      <c r="D77" t="inlineStr">
        <is>
          <t>Middle East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IF((IF(G77="",0,9)+IF(I77="",0,5)+IF(K77="",0,4)+IF(M77="",0,4)+IF(O77="",0,3))=0,"",(IF(G77="",0,G77*9)+IF(I77="",0,I77*5)+IF(K77="",0,K77*4)+IF(M77="",0,M77*4)+IF(O77="",0,O77*3))/(IF(G77="",0,9)+IF(I77="",0,5)+IF(K77="",0,4)+IF(M77="",0,4)+IF(O77="",0,3)))</f>
        <v/>
      </c>
      <c r="R77" s="14">
        <f>IF((IF(H77="",0,9)+IF(J77="",0,5)+IF(L77="",0,4)+IF(N77="",0,4)+IF(P77="",0,3))=0,"",(IF(H77="",0,H77*9)+IF(J77="",0,J77*5)+IF(L77="",0,L77*4)+IF(N77="",0,N77*4)+IF(P77="",0,P77*3))/25)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5">
        <f>IF((IF(S77="",0,5)+IF(U77="",0,5)+IF(W77="",0,4)+IF(Y77="",0,4)+IF(AA77="",0,4))=0,"",(IF(S77="",0,S77*5)+IF(U77="",0,U77*5)+IF(W77="",0,W77*4)+IF(Y77="",0,Y77*4)+IF(AA77="",0,AA77*4))/(IF(S77="",0,5)+IF(U77="",0,5)+IF(W77="",0,4)+IF(Y77="",0,4)+IF(AA77="",0,4)))</f>
        <v/>
      </c>
      <c r="AD77" s="14">
        <f>IF((IF(T77="",0,5)+IF(V77="",0,5)+IF(X77="",0,4)+IF(Z77="",0,4)+IF(AB77="",0,4))=0,"",(IF(T77="",0,T77*5)+IF(V77="",0,V77*5)+IF(X77="",0,X77*4)+IF(Z77="",0,Z77*4)+IF(AB77="",0,AB77*4))/22)</f>
        <v/>
      </c>
      <c r="AE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F77" s="14">
        <f>IF(AE77="","",1)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(IF((IF(OR(City_Inputs!$Z77="",Norm_Stats!$F$14="",Norm_Stats!$G$14="",Norm_Stats!$G$14=Norm_Stats!$F$14),"",MAX(0,MIN(100,100*(MIN(MAX(City_Inputs!$Z77,Norm_Stats!$F$14),Norm_Stats!$G$14)-Norm_Stats!$F$14)/(Norm_Stats!$G$14-Norm_Stats!$F$14)))))="",0,0.7)+IF((IF(OR(City_Inputs!$AK77="",Norm_Stats!$F$15="",Norm_Stats!$G$15="",Norm_Stats!$G$15=Norm_Stats!$F$15),"",MAX(0,MIN(100,100*(Norm_Stats!$G$15-MIN(MAX(City_Inputs!$AK77,Norm_Stats!$F$15),Norm_Stats!$G$15))/(Norm_Stats!$G$15-Norm_Stats!$F$15)))))="",0,0.3))=0,"",(IF((IF(OR(City_Inputs!$Z77="",Norm_Stats!$F$14="",Norm_Stats!$G$14="",Norm_Stats!$G$14=Norm_Stats!$F$14),"",MAX(0,MIN(100,100*(MIN(MAX(City_Inputs!$Z77,Norm_Stats!$F$14),Norm_Stats!$G$14)-Norm_Stats!$F$14)/(Norm_Stats!$G$14-Norm_Stats!$F$14)))))="",0,(IF(OR(City_Inputs!$Z77="",Norm_Stats!$F$14="",Norm_Stats!$G$14="",Norm_Stats!$G$14=Norm_Stats!$F$14),"",MAX(0,MIN(100,100*(MIN(MAX(City_Inputs!$Z77,Norm_Stats!$F$14),Norm_Stats!$G$14)-Norm_Stats!$F$14)/(Norm_Stats!$G$14-Norm_Stats!$F$14)))))*0.7)+IF((IF(OR(City_Inputs!$AK77="",Norm_Stats!$F$15="",Norm_Stats!$G$15="",Norm_Stats!$G$15=Norm_Stats!$F$15),"",MAX(0,MIN(100,100*(Norm_Stats!$G$15-MIN(MAX(City_Inputs!$AK77,Norm_Stats!$F$15),Norm_Stats!$G$15))/(Norm_Stats!$G$15-Norm_Stats!$F$15)))))="",0,(IF(OR(City_Inputs!$AK77="",Norm_Stats!$F$15="",Norm_Stats!$G$15="",Norm_Stats!$G$15=Norm_Stats!$F$15),"",MAX(0,MIN(100,100*(Norm_Stats!$G$15-MIN(MAX(City_Inputs!$AK77,Norm_Stats!$F$15),Norm_Stats!$G$15))/(Norm_Stats!$G$15-Norm_Stats!$F$15)))))*0.3))/(IF((IF(OR(City_Inputs!$Z77="",Norm_Stats!$F$14="",Norm_Stats!$G$14="",Norm_Stats!$G$14=Norm_Stats!$F$14),"",MAX(0,MIN(100,100*(MIN(MAX(City_Inputs!$Z77,Norm_Stats!$F$14),Norm_Stats!$G$14)-Norm_Stats!$F$14)/(Norm_Stats!$G$14-Norm_Stats!$F$14)))))="",0,0.7)+IF((IF(OR(City_Inputs!$AK77="",Norm_Stats!$F$15="",Norm_Stats!$G$15="",Norm_Stats!$G$15=Norm_Stats!$F$15),"",MAX(0,MIN(100,100*(Norm_Stats!$G$15-MIN(MAX(City_Inputs!$AK77,Norm_Stats!$F$15),Norm_Stats!$G$15))/(Norm_Stats!$G$15-Norm_Stats!$F$15)))))="",0,0.3)))</f>
        <v/>
      </c>
      <c r="AJ77" s="14">
        <f>IF((IF((IF(OR(City_Inputs!$Z77="",Norm_Stats!$F$14="",Norm_Stats!$G$14="",Norm_Stats!$G$14=Norm_Stats!$F$14),"",MAX(0,MIN(100,100*(MIN(MAX(City_Inputs!$Z77,Norm_Stats!$F$14),Norm_Stats!$G$14)-Norm_Stats!$F$14)/(Norm_Stats!$G$14-Norm_Stats!$F$14)))))="",0,0.7)+IF((IF(OR(City_Inputs!$AK77="",Norm_Stats!$F$15="",Norm_Stats!$G$15="",Norm_Stats!$G$15=Norm_Stats!$F$15),"",MAX(0,MIN(100,100*(Norm_Stats!$G$15-MIN(MAX(City_Inputs!$AK77,Norm_Stats!$F$15),Norm_Stats!$G$15))/(Norm_Stats!$G$15-Norm_Stats!$F$15)))))="",0,0.3))=0,"",(IF((IF(OR(City_Inputs!$Z77="",Norm_Stats!$F$14="",Norm_Stats!$G$14="",Norm_Stats!$G$14=Norm_Stats!$F$14),"",MAX(0,MIN(100,100*(MIN(MAX(City_Inputs!$Z77,Norm_Stats!$F$14),Norm_Stats!$G$14)-Norm_Stats!$F$14)/(Norm_Stats!$G$14-Norm_Stats!$F$14)))))="",0,0.7)+IF((IF(OR(City_Inputs!$AK77="",Norm_Stats!$F$15="",Norm_Stats!$G$15="",Norm_Stats!$G$15=Norm_Stats!$F$15),"",MAX(0,MIN(100,100*(Norm_Stats!$G$15-MIN(MAX(City_Inputs!$AK77,Norm_Stats!$F$15),Norm_Stats!$G$15))/(Norm_Stats!$G$15-Norm_Stats!$F$15)))))="",0,0.3)))</f>
        <v/>
      </c>
      <c r="AK77" s="15">
        <f>IF((IF(AE77="",0,8)+IF(AG77="",0,6)+IF(AI77="",0,4))=0,"",(IF(AE77="",0,AE77*8)+IF(AG77="",0,AG77*6)+IF(AI77="",0,AI77*4))/(IF(AE77="",0,8)+IF(AG77="",0,6)+IF(AI77="",0,4)))</f>
        <v/>
      </c>
      <c r="AL77" s="14">
        <f>IF((IF(AF77="",0,8)+IF(AH77="",0,6)+IF(AJ77="",0,4))=0,"",(IF(AF77="",0,AF77*8)+IF(AH77="",0,AH77*6)+IF(AJ77="",0,AJ77*4))/18)</f>
        <v/>
      </c>
      <c r="AM77" s="11">
        <f>IF(OR(City_Inputs!$AA77="",Norm_Stats!$F$16="",Norm_Stats!$G$16="",Norm_Stats!$G$16=Norm_Stats!$F$16),"",MAX(0,MIN(100,100*(MIN(MAX(City_Inputs!$AA77,Norm_Stats!$F$16),Norm_Stats!$G$16)-Norm_Stats!$F$16)/(Norm_Stats!$G$16-Norm_Stats!$F$16))))</f>
        <v/>
      </c>
      <c r="AN77" s="14">
        <f>IF(AM77="","",1)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5">
        <f>IF((IF(AM77="",0,5)+IF(AO77="",0,5)+IF(AQ77="",0,5))=0,"",(IF(AM77="",0,AM77*5)+IF(AO77="",0,AO77*5)+IF(AQ77="",0,AQ77*5))/(IF(AM77="",0,5)+IF(AO77="",0,5)+IF(AQ77="",0,5)))</f>
        <v/>
      </c>
      <c r="AT77" s="14">
        <f>IF((IF(AN77="",0,5)+IF(AP77="",0,5)+IF(AR77="",0,5))=0,"",(IF(AN77="",0,AN77*5)+IF(AP77="",0,AP77*5)+IF(AR77="",0,AR77*5))/15)</f>
        <v/>
      </c>
      <c r="AU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V77" s="14">
        <f>IF(AU77="","",1)</f>
        <v/>
      </c>
      <c r="AW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X77" s="14">
        <f>IF(AW77="","",1)</f>
        <v/>
      </c>
      <c r="AY77" s="11">
        <f>IF((IF((IF(OR(City_Inputs!$AF77="",Norm_Stats!$F$21="",Norm_Stats!$G$21="",Norm_Stats!$G$21=Norm_Stats!$F$21),"",MAX(0,MIN(100,100*(MIN(MAX(City_Inputs!$AF77,Norm_Stats!$F$21),Norm_Stats!$G$21)-Norm_Stats!$F$21)/(Norm_Stats!$G$21-Norm_Stats!$F$21)))))="",0,0.5)+IF((IF(OR(City_Inputs!$AI77="",Norm_Stats!$F$22="",Norm_Stats!$G$22="",Norm_Stats!$G$22=Norm_Stats!$F$22),"",MAX(0,MIN(100,100*(MIN(MAX(City_Inputs!$AI77,Norm_Stats!$F$22),Norm_Stats!$G$22)-Norm_Stats!$F$22)/(Norm_Stats!$G$22-Norm_Stats!$F$22)))))="",0,0.3)+IF((IF(OR(City_Inputs!$AJ77="",Norm_Stats!$F$23="",Norm_Stats!$G$23="",Norm_Stats!$G$23=Norm_Stats!$F$23),"",MAX(0,MIN(100,100*(MIN(MAX(City_Inputs!$AJ77,Norm_Stats!$F$23),Norm_Stats!$G$23)-Norm_Stats!$F$23)/(Norm_Stats!$G$23-Norm_Stats!$F$23)))))="",0,0.2))=0,"",(IF((IF(OR(City_Inputs!$AF77="",Norm_Stats!$F$21="",Norm_Stats!$G$21="",Norm_Stats!$G$21=Norm_Stats!$F$21),"",MAX(0,MIN(100,100*(MIN(MAX(City_Inputs!$AF77,Norm_Stats!$F$21),Norm_Stats!$G$21)-Norm_Stats!$F$21)/(Norm_Stats!$G$21-Norm_Stats!$F$21)))))="",0,(IF(OR(City_Inputs!$AF77="",Norm_Stats!$F$21="",Norm_Stats!$G$21="",Norm_Stats!$G$21=Norm_Stats!$F$21),"",MAX(0,MIN(100,100*(MIN(MAX(City_Inputs!$AF77,Norm_Stats!$F$21),Norm_Stats!$G$21)-Norm_Stats!$F$21)/(Norm_Stats!$G$21-Norm_Stats!$F$21)))))*0.5)+IF((IF(OR(City_Inputs!$AI77="",Norm_Stats!$F$22="",Norm_Stats!$G$22="",Norm_Stats!$G$22=Norm_Stats!$F$22),"",MAX(0,MIN(100,100*(MIN(MAX(City_Inputs!$AI77,Norm_Stats!$F$22),Norm_Stats!$G$22)-Norm_Stats!$F$22)/(Norm_Stats!$G$22-Norm_Stats!$F$22)))))="",0,(IF(OR(City_Inputs!$AI77="",Norm_Stats!$F$22="",Norm_Stats!$G$22="",Norm_Stats!$G$22=Norm_Stats!$F$22),"",MAX(0,MIN(100,100*(MIN(MAX(City_Inputs!$AI77,Norm_Stats!$F$22),Norm_Stats!$G$22)-Norm_Stats!$F$22)/(Norm_Stats!$G$22-Norm_Stats!$F$22)))))*0.3)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0.2))/(IF((IF(OR(City_Inputs!$AF77="",Norm_Stats!$F$21="",Norm_Stats!$G$21="",Norm_Stats!$G$21=Norm_Stats!$F$21),"",MAX(0,MIN(100,100*(MIN(MAX(City_Inputs!$AF77,Norm_Stats!$F$21),Norm_Stats!$G$21)-Norm_Stats!$F$21)/(Norm_Stats!$G$21-Norm_Stats!$F$21)))))="",0,0.5)+IF((IF(OR(City_Inputs!$AI77="",Norm_Stats!$F$22="",Norm_Stats!$G$22="",Norm_Stats!$G$22=Norm_Stats!$F$22),"",MAX(0,MIN(100,100*(MIN(MAX(City_Inputs!$AI77,Norm_Stats!$F$22),Norm_Stats!$G$22)-Norm_Stats!$F$22)/(Norm_Stats!$G$22-Norm_Stats!$F$22)))))="",0,0.3)+IF((IF(OR(City_Inputs!$AJ77="",Norm_Stats!$F$23="",Norm_Stats!$G$23="",Norm_Stats!$G$23=Norm_Stats!$F$23),"",MAX(0,MIN(100,100*(MIN(MAX(City_Inputs!$AJ77,Norm_Stats!$F$23),Norm_Stats!$G$23)-Norm_Stats!$F$23)/(Norm_Stats!$G$23-Norm_Stats!$F$23)))))="",0,0.2)))</f>
        <v/>
      </c>
      <c r="AZ77" s="14">
        <f>IF((IF((IF(OR(City_Inputs!$AF77="",Norm_Stats!$F$21="",Norm_Stats!$G$21="",Norm_Stats!$G$21=Norm_Stats!$F$21),"",MAX(0,MIN(100,100*(MIN(MAX(City_Inputs!$AF77,Norm_Stats!$F$21),Norm_Stats!$G$21)-Norm_Stats!$F$21)/(Norm_Stats!$G$21-Norm_Stats!$F$21)))))="",0,0.5)+IF((IF(OR(City_Inputs!$AI77="",Norm_Stats!$F$22="",Norm_Stats!$G$22="",Norm_Stats!$G$22=Norm_Stats!$F$22),"",MAX(0,MIN(100,100*(MIN(MAX(City_Inputs!$AI77,Norm_Stats!$F$22),Norm_Stats!$G$22)-Norm_Stats!$F$22)/(Norm_Stats!$G$22-Norm_Stats!$F$22)))))="",0,0.3)+IF((IF(OR(City_Inputs!$AJ77="",Norm_Stats!$F$23="",Norm_Stats!$G$23="",Norm_Stats!$G$23=Norm_Stats!$F$23),"",MAX(0,MIN(100,100*(MIN(MAX(City_Inputs!$AJ77,Norm_Stats!$F$23),Norm_Stats!$G$23)-Norm_Stats!$F$23)/(Norm_Stats!$G$23-Norm_Stats!$F$23)))))="",0,0.2))=0,"",(IF((IF(OR(City_Inputs!$AF77="",Norm_Stats!$F$21="",Norm_Stats!$G$21="",Norm_Stats!$G$21=Norm_Stats!$F$21),"",MAX(0,MIN(100,100*(MIN(MAX(City_Inputs!$AF77,Norm_Stats!$F$21),Norm_Stats!$G$21)-Norm_Stats!$F$21)/(Norm_Stats!$G$21-Norm_Stats!$F$21)))))="",0,0.5)+IF((IF(OR(City_Inputs!$AI77="",Norm_Stats!$F$22="",Norm_Stats!$G$22="",Norm_Stats!$G$22=Norm_Stats!$F$22),"",MAX(0,MIN(100,100*(MIN(MAX(City_Inputs!$AI77,Norm_Stats!$F$22),Norm_Stats!$G$22)-Norm_Stats!$F$22)/(Norm_Stats!$G$22-Norm_Stats!$F$22)))))="",0,0.3)+IF((IF(OR(City_Inputs!$AJ77="",Norm_Stats!$F$23="",Norm_Stats!$G$23="",Norm_Stats!$G$23=Norm_Stats!$F$23),"",MAX(0,MIN(100,100*(MIN(MAX(City_Inputs!$AJ77,Norm_Stats!$F$23),Norm_Stats!$G$23)-Norm_Stats!$F$23)/(Norm_Stats!$G$23-Norm_Stats!$F$23)))))="",0,0.2)))</f>
        <v/>
      </c>
      <c r="BA77" s="11">
        <f>IF(OR(City_Inputs!$AG77="",Norm_Stats!$F$24="",Norm_Stats!$G$24="",Norm_Stats!$G$24=Norm_Stats!$F$24),"",MAX(0,MIN(100,100*(Norm_Stats!$G$24-MIN(MAX(City_Inputs!$AG77,Norm_Stats!$F$24),Norm_Stats!$G$24))/(Norm_Stats!$G$24-Norm_Stats!$F$24))))</f>
        <v/>
      </c>
      <c r="BB77" s="14">
        <f>IF(BA77="","",1)</f>
        <v/>
      </c>
      <c r="BC77" s="15">
        <f>IF((IF(AU77="",0,6)+IF(AW77="",0,5)+IF(AY77="",0,5)+IF(BA77="",0,4))=0,"",(IF(AU77="",0,AU77*6)+IF(AW77="",0,AW77*5)+IF(AY77="",0,AY77*5)+IF(BA77="",0,BA77*4))/(IF(AU77="",0,6)+IF(AW77="",0,5)+IF(AY77="",0,5)+IF(BA77="",0,4)))</f>
        <v/>
      </c>
      <c r="BD77" s="14">
        <f>IF((IF(AV77="",0,6)+IF(AX77="",0,5)+IF(AZ77="",0,5)+IF(BB77="",0,4))=0,"",(IF(AV77="",0,AV77*6)+IF(AX77="",0,AX77*5)+IF(AZ77="",0,AZ77*5)+IF(BB77="",0,BB77*4))/20)</f>
        <v/>
      </c>
      <c r="BE77" s="14">
        <f>IF(AND(R77="",AD77="",AL77="",AT77="",BD77=""),"",((R77*25)+(AD77*22)+(AL77*18)+(AT77*15)+(BD77*20))/100)</f>
        <v/>
      </c>
      <c r="BF77" s="11">
        <f>IF(BE77="","",IF(BE77&gt;=0.75,"A",IF(BE77&gt;=0.5,"B",IF(BE77&gt;=0.35,"C","Watchlist"))))</f>
        <v/>
      </c>
      <c r="BG77" s="11">
        <f>IF(OR(BE77="",BE77&lt;0.5,R77="",R77&lt;0.35,AD77="",AD77&lt;0.35,AL77="",AL77&lt;0.35,AT77="",AT77&lt;0.35,BD77="",BD77&lt;0.35),"Watchlist","Ranked")</f>
        <v/>
      </c>
      <c r="BH77" s="15">
        <f>IF(AND(Q77="",AC77="",AK77="",AS77="",BC77=""),"",(IF(Q77="",0,Q77*25)+IF(AC77="",0,AC77*22)+IF(AK77="",0,AK77*18)+IF(AS77="",0,AS77*15)+IF(BC77="",0,BC77*20))/(IF(Q77="",0,25)+IF(AC77="",0,22)+IF(AK77="",0,18)+IF(AS77="",0,15)+IF(BC77="",0,20)))</f>
        <v/>
      </c>
      <c r="BI77" s="11">
        <f>IF(BG77="Ranked",1+COUNTIFS($BG$2:$BG$101,"Ranked",$BH$2:$BH$101,"&gt;"&amp;BH77),"")</f>
        <v/>
      </c>
      <c r="BJ77" s="11">
        <f>City_Inputs!$AH77</f>
        <v/>
      </c>
    </row>
    <row r="78">
      <c r="A78" t="inlineStr">
        <is>
          <t>bh-manama</t>
        </is>
      </c>
      <c r="B78" t="inlineStr">
        <is>
          <t>Manama</t>
        </is>
      </c>
      <c r="C78" t="inlineStr">
        <is>
          <t>Bahrain</t>
        </is>
      </c>
      <c r="D78" t="inlineStr">
        <is>
          <t>Middle East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IF((IF(G78="",0,9)+IF(I78="",0,5)+IF(K78="",0,4)+IF(M78="",0,4)+IF(O78="",0,3))=0,"",(IF(G78="",0,G78*9)+IF(I78="",0,I78*5)+IF(K78="",0,K78*4)+IF(M78="",0,M78*4)+IF(O78="",0,O78*3))/(IF(G78="",0,9)+IF(I78="",0,5)+IF(K78="",0,4)+IF(M78="",0,4)+IF(O78="",0,3)))</f>
        <v/>
      </c>
      <c r="R78" s="14">
        <f>IF((IF(H78="",0,9)+IF(J78="",0,5)+IF(L78="",0,4)+IF(N78="",0,4)+IF(P78="",0,3))=0,"",(IF(H78="",0,H78*9)+IF(J78="",0,J78*5)+IF(L78="",0,L78*4)+IF(N78="",0,N78*4)+IF(P78="",0,P78*3))/25)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5">
        <f>IF((IF(S78="",0,5)+IF(U78="",0,5)+IF(W78="",0,4)+IF(Y78="",0,4)+IF(AA78="",0,4))=0,"",(IF(S78="",0,S78*5)+IF(U78="",0,U78*5)+IF(W78="",0,W78*4)+IF(Y78="",0,Y78*4)+IF(AA78="",0,AA78*4))/(IF(S78="",0,5)+IF(U78="",0,5)+IF(W78="",0,4)+IF(Y78="",0,4)+IF(AA78="",0,4)))</f>
        <v/>
      </c>
      <c r="AD78" s="14">
        <f>IF((IF(T78="",0,5)+IF(V78="",0,5)+IF(X78="",0,4)+IF(Z78="",0,4)+IF(AB78="",0,4))=0,"",(IF(T78="",0,T78*5)+IF(V78="",0,V78*5)+IF(X78="",0,X78*4)+IF(Z78="",0,Z78*4)+IF(AB78="",0,AB78*4))/22)</f>
        <v/>
      </c>
      <c r="AE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F78" s="14">
        <f>IF(AE78="","",1)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(IF((IF(OR(City_Inputs!$Z78="",Norm_Stats!$F$14="",Norm_Stats!$G$14="",Norm_Stats!$G$14=Norm_Stats!$F$14),"",MAX(0,MIN(100,100*(MIN(MAX(City_Inputs!$Z78,Norm_Stats!$F$14),Norm_Stats!$G$14)-Norm_Stats!$F$14)/(Norm_Stats!$G$14-Norm_Stats!$F$14)))))="",0,0.7)+IF((IF(OR(City_Inputs!$AK78="",Norm_Stats!$F$15="",Norm_Stats!$G$15="",Norm_Stats!$G$15=Norm_Stats!$F$15),"",MAX(0,MIN(100,100*(Norm_Stats!$G$15-MIN(MAX(City_Inputs!$AK78,Norm_Stats!$F$15),Norm_Stats!$G$15))/(Norm_Stats!$G$15-Norm_Stats!$F$15)))))="",0,0.3))=0,"",(IF((IF(OR(City_Inputs!$Z78="",Norm_Stats!$F$14="",Norm_Stats!$G$14="",Norm_Stats!$G$14=Norm_Stats!$F$14),"",MAX(0,MIN(100,100*(MIN(MAX(City_Inputs!$Z78,Norm_Stats!$F$14),Norm_Stats!$G$14)-Norm_Stats!$F$14)/(Norm_Stats!$G$14-Norm_Stats!$F$14)))))="",0,(IF(OR(City_Inputs!$Z78="",Norm_Stats!$F$14="",Norm_Stats!$G$14="",Norm_Stats!$G$14=Norm_Stats!$F$14),"",MAX(0,MIN(100,100*(MIN(MAX(City_Inputs!$Z78,Norm_Stats!$F$14),Norm_Stats!$G$14)-Norm_Stats!$F$14)/(Norm_Stats!$G$14-Norm_Stats!$F$14)))))*0.7)+IF((IF(OR(City_Inputs!$AK78="",Norm_Stats!$F$15="",Norm_Stats!$G$15="",Norm_Stats!$G$15=Norm_Stats!$F$15),"",MAX(0,MIN(100,100*(Norm_Stats!$G$15-MIN(MAX(City_Inputs!$AK78,Norm_Stats!$F$15),Norm_Stats!$G$15))/(Norm_Stats!$G$15-Norm_Stats!$F$15)))))="",0,(IF(OR(City_Inputs!$AK78="",Norm_Stats!$F$15="",Norm_Stats!$G$15="",Norm_Stats!$G$15=Norm_Stats!$F$15),"",MAX(0,MIN(100,100*(Norm_Stats!$G$15-MIN(MAX(City_Inputs!$AK78,Norm_Stats!$F$15),Norm_Stats!$G$15))/(Norm_Stats!$G$15-Norm_Stats!$F$15)))))*0.3))/(IF((IF(OR(City_Inputs!$Z78="",Norm_Stats!$F$14="",Norm_Stats!$G$14="",Norm_Stats!$G$14=Norm_Stats!$F$14),"",MAX(0,MIN(100,100*(MIN(MAX(City_Inputs!$Z78,Norm_Stats!$F$14),Norm_Stats!$G$14)-Norm_Stats!$F$14)/(Norm_Stats!$G$14-Norm_Stats!$F$14)))))="",0,0.7)+IF((IF(OR(City_Inputs!$AK78="",Norm_Stats!$F$15="",Norm_Stats!$G$15="",Norm_Stats!$G$15=Norm_Stats!$F$15),"",MAX(0,MIN(100,100*(Norm_Stats!$G$15-MIN(MAX(City_Inputs!$AK78,Norm_Stats!$F$15),Norm_Stats!$G$15))/(Norm_Stats!$G$15-Norm_Stats!$F$15)))))="",0,0.3)))</f>
        <v/>
      </c>
      <c r="AJ78" s="14">
        <f>IF((IF((IF(OR(City_Inputs!$Z78="",Norm_Stats!$F$14="",Norm_Stats!$G$14="",Norm_Stats!$G$14=Norm_Stats!$F$14),"",MAX(0,MIN(100,100*(MIN(MAX(City_Inputs!$Z78,Norm_Stats!$F$14),Norm_Stats!$G$14)-Norm_Stats!$F$14)/(Norm_Stats!$G$14-Norm_Stats!$F$14)))))="",0,0.7)+IF((IF(OR(City_Inputs!$AK78="",Norm_Stats!$F$15="",Norm_Stats!$G$15="",Norm_Stats!$G$15=Norm_Stats!$F$15),"",MAX(0,MIN(100,100*(Norm_Stats!$G$15-MIN(MAX(City_Inputs!$AK78,Norm_Stats!$F$15),Norm_Stats!$G$15))/(Norm_Stats!$G$15-Norm_Stats!$F$15)))))="",0,0.3))=0,"",(IF((IF(OR(City_Inputs!$Z78="",Norm_Stats!$F$14="",Norm_Stats!$G$14="",Norm_Stats!$G$14=Norm_Stats!$F$14),"",MAX(0,MIN(100,100*(MIN(MAX(City_Inputs!$Z78,Norm_Stats!$F$14),Norm_Stats!$G$14)-Norm_Stats!$F$14)/(Norm_Stats!$G$14-Norm_Stats!$F$14)))))="",0,0.7)+IF((IF(OR(City_Inputs!$AK78="",Norm_Stats!$F$15="",Norm_Stats!$G$15="",Norm_Stats!$G$15=Norm_Stats!$F$15),"",MAX(0,MIN(100,100*(Norm_Stats!$G$15-MIN(MAX(City_Inputs!$AK78,Norm_Stats!$F$15),Norm_Stats!$G$15))/(Norm_Stats!$G$15-Norm_Stats!$F$15)))))="",0,0.3)))</f>
        <v/>
      </c>
      <c r="AK78" s="15">
        <f>IF((IF(AE78="",0,8)+IF(AG78="",0,6)+IF(AI78="",0,4))=0,"",(IF(AE78="",0,AE78*8)+IF(AG78="",0,AG78*6)+IF(AI78="",0,AI78*4))/(IF(AE78="",0,8)+IF(AG78="",0,6)+IF(AI78="",0,4)))</f>
        <v/>
      </c>
      <c r="AL78" s="14">
        <f>IF((IF(AF78="",0,8)+IF(AH78="",0,6)+IF(AJ78="",0,4))=0,"",(IF(AF78="",0,AF78*8)+IF(AH78="",0,AH78*6)+IF(AJ78="",0,AJ78*4))/18)</f>
        <v/>
      </c>
      <c r="AM78" s="11">
        <f>IF(OR(City_Inputs!$AA78="",Norm_Stats!$F$16="",Norm_Stats!$G$16="",Norm_Stats!$G$16=Norm_Stats!$F$16),"",MAX(0,MIN(100,100*(MIN(MAX(City_Inputs!$AA78,Norm_Stats!$F$16),Norm_Stats!$G$16)-Norm_Stats!$F$16)/(Norm_Stats!$G$16-Norm_Stats!$F$16))))</f>
        <v/>
      </c>
      <c r="AN78" s="14">
        <f>IF(AM78="","",1)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5">
        <f>IF((IF(AM78="",0,5)+IF(AO78="",0,5)+IF(AQ78="",0,5))=0,"",(IF(AM78="",0,AM78*5)+IF(AO78="",0,AO78*5)+IF(AQ78="",0,AQ78*5))/(IF(AM78="",0,5)+IF(AO78="",0,5)+IF(AQ78="",0,5)))</f>
        <v/>
      </c>
      <c r="AT78" s="14">
        <f>IF((IF(AN78="",0,5)+IF(AP78="",0,5)+IF(AR78="",0,5))=0,"",(IF(AN78="",0,AN78*5)+IF(AP78="",0,AP78*5)+IF(AR78="",0,AR78*5))/15)</f>
        <v/>
      </c>
      <c r="AU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V78" s="14">
        <f>IF(AU78="","",1)</f>
        <v/>
      </c>
      <c r="AW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X78" s="14">
        <f>IF(AW78="","",1)</f>
        <v/>
      </c>
      <c r="AY78" s="11">
        <f>IF((IF((IF(OR(City_Inputs!$AF78="",Norm_Stats!$F$21="",Norm_Stats!$G$21="",Norm_Stats!$G$21=Norm_Stats!$F$21),"",MAX(0,MIN(100,100*(MIN(MAX(City_Inputs!$AF78,Norm_Stats!$F$21),Norm_Stats!$G$21)-Norm_Stats!$F$21)/(Norm_Stats!$G$21-Norm_Stats!$F$21)))))="",0,0.5)+IF((IF(OR(City_Inputs!$AI78="",Norm_Stats!$F$22="",Norm_Stats!$G$22="",Norm_Stats!$G$22=Norm_Stats!$F$22),"",MAX(0,MIN(100,100*(MIN(MAX(City_Inputs!$AI78,Norm_Stats!$F$22),Norm_Stats!$G$22)-Norm_Stats!$F$22)/(Norm_Stats!$G$22-Norm_Stats!$F$22)))))="",0,0.3)+IF((IF(OR(City_Inputs!$AJ78="",Norm_Stats!$F$23="",Norm_Stats!$G$23="",Norm_Stats!$G$23=Norm_Stats!$F$23),"",MAX(0,MIN(100,100*(MIN(MAX(City_Inputs!$AJ78,Norm_Stats!$F$23),Norm_Stats!$G$23)-Norm_Stats!$F$23)/(Norm_Stats!$G$23-Norm_Stats!$F$23)))))="",0,0.2))=0,"",(IF((IF(OR(City_Inputs!$AF78="",Norm_Stats!$F$21="",Norm_Stats!$G$21="",Norm_Stats!$G$21=Norm_Stats!$F$21),"",MAX(0,MIN(100,100*(MIN(MAX(City_Inputs!$AF78,Norm_Stats!$F$21),Norm_Stats!$G$21)-Norm_Stats!$F$21)/(Norm_Stats!$G$21-Norm_Stats!$F$21)))))="",0,(IF(OR(City_Inputs!$AF78="",Norm_Stats!$F$21="",Norm_Stats!$G$21="",Norm_Stats!$G$21=Norm_Stats!$F$21),"",MAX(0,MIN(100,100*(MIN(MAX(City_Inputs!$AF78,Norm_Stats!$F$21),Norm_Stats!$G$21)-Norm_Stats!$F$21)/(Norm_Stats!$G$21-Norm_Stats!$F$21)))))*0.5)+IF((IF(OR(City_Inputs!$AI78="",Norm_Stats!$F$22="",Norm_Stats!$G$22="",Norm_Stats!$G$22=Norm_Stats!$F$22),"",MAX(0,MIN(100,100*(MIN(MAX(City_Inputs!$AI78,Norm_Stats!$F$22),Norm_Stats!$G$22)-Norm_Stats!$F$22)/(Norm_Stats!$G$22-Norm_Stats!$F$22)))))="",0,(IF(OR(City_Inputs!$AI78="",Norm_Stats!$F$22="",Norm_Stats!$G$22="",Norm_Stats!$G$22=Norm_Stats!$F$22),"",MAX(0,MIN(100,100*(MIN(MAX(City_Inputs!$AI78,Norm_Stats!$F$22),Norm_Stats!$G$22)-Norm_Stats!$F$22)/(Norm_Stats!$G$22-Norm_Stats!$F$22)))))*0.3)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0.2))/(IF((IF(OR(City_Inputs!$AF78="",Norm_Stats!$F$21="",Norm_Stats!$G$21="",Norm_Stats!$G$21=Norm_Stats!$F$21),"",MAX(0,MIN(100,100*(MIN(MAX(City_Inputs!$AF78,Norm_Stats!$F$21),Norm_Stats!$G$21)-Norm_Stats!$F$21)/(Norm_Stats!$G$21-Norm_Stats!$F$21)))))="",0,0.5)+IF((IF(OR(City_Inputs!$AI78="",Norm_Stats!$F$22="",Norm_Stats!$G$22="",Norm_Stats!$G$22=Norm_Stats!$F$22),"",MAX(0,MIN(100,100*(MIN(MAX(City_Inputs!$AI78,Norm_Stats!$F$22),Norm_Stats!$G$22)-Norm_Stats!$F$22)/(Norm_Stats!$G$22-Norm_Stats!$F$22)))))="",0,0.3)+IF((IF(OR(City_Inputs!$AJ78="",Norm_Stats!$F$23="",Norm_Stats!$G$23="",Norm_Stats!$G$23=Norm_Stats!$F$23),"",MAX(0,MIN(100,100*(MIN(MAX(City_Inputs!$AJ78,Norm_Stats!$F$23),Norm_Stats!$G$23)-Norm_Stats!$F$23)/(Norm_Stats!$G$23-Norm_Stats!$F$23)))))="",0,0.2)))</f>
        <v/>
      </c>
      <c r="AZ78" s="14">
        <f>IF((IF((IF(OR(City_Inputs!$AF78="",Norm_Stats!$F$21="",Norm_Stats!$G$21="",Norm_Stats!$G$21=Norm_Stats!$F$21),"",MAX(0,MIN(100,100*(MIN(MAX(City_Inputs!$AF78,Norm_Stats!$F$21),Norm_Stats!$G$21)-Norm_Stats!$F$21)/(Norm_Stats!$G$21-Norm_Stats!$F$21)))))="",0,0.5)+IF((IF(OR(City_Inputs!$AI78="",Norm_Stats!$F$22="",Norm_Stats!$G$22="",Norm_Stats!$G$22=Norm_Stats!$F$22),"",MAX(0,MIN(100,100*(MIN(MAX(City_Inputs!$AI78,Norm_Stats!$F$22),Norm_Stats!$G$22)-Norm_Stats!$F$22)/(Norm_Stats!$G$22-Norm_Stats!$F$22)))))="",0,0.3)+IF((IF(OR(City_Inputs!$AJ78="",Norm_Stats!$F$23="",Norm_Stats!$G$23="",Norm_Stats!$G$23=Norm_Stats!$F$23),"",MAX(0,MIN(100,100*(MIN(MAX(City_Inputs!$AJ78,Norm_Stats!$F$23),Norm_Stats!$G$23)-Norm_Stats!$F$23)/(Norm_Stats!$G$23-Norm_Stats!$F$23)))))="",0,0.2))=0,"",(IF((IF(OR(City_Inputs!$AF78="",Norm_Stats!$F$21="",Norm_Stats!$G$21="",Norm_Stats!$G$21=Norm_Stats!$F$21),"",MAX(0,MIN(100,100*(MIN(MAX(City_Inputs!$AF78,Norm_Stats!$F$21),Norm_Stats!$G$21)-Norm_Stats!$F$21)/(Norm_Stats!$G$21-Norm_Stats!$F$21)))))="",0,0.5)+IF((IF(OR(City_Inputs!$AI78="",Norm_Stats!$F$22="",Norm_Stats!$G$22="",Norm_Stats!$G$22=Norm_Stats!$F$22),"",MAX(0,MIN(100,100*(MIN(MAX(City_Inputs!$AI78,Norm_Stats!$F$22),Norm_Stats!$G$22)-Norm_Stats!$F$22)/(Norm_Stats!$G$22-Norm_Stats!$F$22)))))="",0,0.3)+IF((IF(OR(City_Inputs!$AJ78="",Norm_Stats!$F$23="",Norm_Stats!$G$23="",Norm_Stats!$G$23=Norm_Stats!$F$23),"",MAX(0,MIN(100,100*(MIN(MAX(City_Inputs!$AJ78,Norm_Stats!$F$23),Norm_Stats!$G$23)-Norm_Stats!$F$23)/(Norm_Stats!$G$23-Norm_Stats!$F$23)))))="",0,0.2)))</f>
        <v/>
      </c>
      <c r="BA78" s="11">
        <f>IF(OR(City_Inputs!$AG78="",Norm_Stats!$F$24="",Norm_Stats!$G$24="",Norm_Stats!$G$24=Norm_Stats!$F$24),"",MAX(0,MIN(100,100*(Norm_Stats!$G$24-MIN(MAX(City_Inputs!$AG78,Norm_Stats!$F$24),Norm_Stats!$G$24))/(Norm_Stats!$G$24-Norm_Stats!$F$24))))</f>
        <v/>
      </c>
      <c r="BB78" s="14">
        <f>IF(BA78="","",1)</f>
        <v/>
      </c>
      <c r="BC78" s="15">
        <f>IF((IF(AU78="",0,6)+IF(AW78="",0,5)+IF(AY78="",0,5)+IF(BA78="",0,4))=0,"",(IF(AU78="",0,AU78*6)+IF(AW78="",0,AW78*5)+IF(AY78="",0,AY78*5)+IF(BA78="",0,BA78*4))/(IF(AU78="",0,6)+IF(AW78="",0,5)+IF(AY78="",0,5)+IF(BA78="",0,4)))</f>
        <v/>
      </c>
      <c r="BD78" s="14">
        <f>IF((IF(AV78="",0,6)+IF(AX78="",0,5)+IF(AZ78="",0,5)+IF(BB78="",0,4))=0,"",(IF(AV78="",0,AV78*6)+IF(AX78="",0,AX78*5)+IF(AZ78="",0,AZ78*5)+IF(BB78="",0,BB78*4))/20)</f>
        <v/>
      </c>
      <c r="BE78" s="14">
        <f>IF(AND(R78="",AD78="",AL78="",AT78="",BD78=""),"",((R78*25)+(AD78*22)+(AL78*18)+(AT78*15)+(BD78*20))/100)</f>
        <v/>
      </c>
      <c r="BF78" s="11">
        <f>IF(BE78="","",IF(BE78&gt;=0.75,"A",IF(BE78&gt;=0.5,"B",IF(BE78&gt;=0.35,"C","Watchlist"))))</f>
        <v/>
      </c>
      <c r="BG78" s="11">
        <f>IF(OR(BE78="",BE78&lt;0.5,R78="",R78&lt;0.35,AD78="",AD78&lt;0.35,AL78="",AL78&lt;0.35,AT78="",AT78&lt;0.35,BD78="",BD78&lt;0.35),"Watchlist","Ranked")</f>
        <v/>
      </c>
      <c r="BH78" s="15">
        <f>IF(AND(Q78="",AC78="",AK78="",AS78="",BC78=""),"",(IF(Q78="",0,Q78*25)+IF(AC78="",0,AC78*22)+IF(AK78="",0,AK78*18)+IF(AS78="",0,AS78*15)+IF(BC78="",0,BC78*20))/(IF(Q78="",0,25)+IF(AC78="",0,22)+IF(AK78="",0,18)+IF(AS78="",0,15)+IF(BC78="",0,20)))</f>
        <v/>
      </c>
      <c r="BI78" s="11">
        <f>IF(BG78="Ranked",1+COUNTIFS($BG$2:$BG$101,"Ranked",$BH$2:$BH$101,"&gt;"&amp;BH78),"")</f>
        <v/>
      </c>
      <c r="BJ78" s="11">
        <f>City_Inputs!$AH78</f>
        <v/>
      </c>
    </row>
    <row r="79">
      <c r="A79" t="inlineStr">
        <is>
          <t>sa-jeddah</t>
        </is>
      </c>
      <c r="B79" t="inlineStr">
        <is>
          <t>Jeddah</t>
        </is>
      </c>
      <c r="C79" t="inlineStr">
        <is>
          <t>Saudi Arabia</t>
        </is>
      </c>
      <c r="D79" t="inlineStr">
        <is>
          <t>Middle East</t>
        </is>
      </c>
      <c r="E79" t="inlineStr">
        <is>
          <t>locked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IF((IF(G79="",0,9)+IF(I79="",0,5)+IF(K79="",0,4)+IF(M79="",0,4)+IF(O79="",0,3))=0,"",(IF(G79="",0,G79*9)+IF(I79="",0,I79*5)+IF(K79="",0,K79*4)+IF(M79="",0,M79*4)+IF(O79="",0,O79*3))/(IF(G79="",0,9)+IF(I79="",0,5)+IF(K79="",0,4)+IF(M79="",0,4)+IF(O79="",0,3)))</f>
        <v/>
      </c>
      <c r="R79" s="14">
        <f>IF((IF(H79="",0,9)+IF(J79="",0,5)+IF(L79="",0,4)+IF(N79="",0,4)+IF(P79="",0,3))=0,"",(IF(H79="",0,H79*9)+IF(J79="",0,J79*5)+IF(L79="",0,L79*4)+IF(N79="",0,N79*4)+IF(P79="",0,P79*3))/25)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5">
        <f>IF((IF(S79="",0,5)+IF(U79="",0,5)+IF(W79="",0,4)+IF(Y79="",0,4)+IF(AA79="",0,4))=0,"",(IF(S79="",0,S79*5)+IF(U79="",0,U79*5)+IF(W79="",0,W79*4)+IF(Y79="",0,Y79*4)+IF(AA79="",0,AA79*4))/(IF(S79="",0,5)+IF(U79="",0,5)+IF(W79="",0,4)+IF(Y79="",0,4)+IF(AA79="",0,4)))</f>
        <v/>
      </c>
      <c r="AD79" s="14">
        <f>IF((IF(T79="",0,5)+IF(V79="",0,5)+IF(X79="",0,4)+IF(Z79="",0,4)+IF(AB79="",0,4))=0,"",(IF(T79="",0,T79*5)+IF(V79="",0,V79*5)+IF(X79="",0,X79*4)+IF(Z79="",0,Z79*4)+IF(AB79="",0,AB79*4))/22)</f>
        <v/>
      </c>
      <c r="AE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F79" s="14">
        <f>IF(AE79="","",1)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(IF((IF(OR(City_Inputs!$Z79="",Norm_Stats!$F$14="",Norm_Stats!$G$14="",Norm_Stats!$G$14=Norm_Stats!$F$14),"",MAX(0,MIN(100,100*(MIN(MAX(City_Inputs!$Z79,Norm_Stats!$F$14),Norm_Stats!$G$14)-Norm_Stats!$F$14)/(Norm_Stats!$G$14-Norm_Stats!$F$14)))))="",0,0.7)+IF((IF(OR(City_Inputs!$AK79="",Norm_Stats!$F$15="",Norm_Stats!$G$15="",Norm_Stats!$G$15=Norm_Stats!$F$15),"",MAX(0,MIN(100,100*(Norm_Stats!$G$15-MIN(MAX(City_Inputs!$AK79,Norm_Stats!$F$15),Norm_Stats!$G$15))/(Norm_Stats!$G$15-Norm_Stats!$F$15)))))="",0,0.3))=0,"",(IF((IF(OR(City_Inputs!$Z79="",Norm_Stats!$F$14="",Norm_Stats!$G$14="",Norm_Stats!$G$14=Norm_Stats!$F$14),"",MAX(0,MIN(100,100*(MIN(MAX(City_Inputs!$Z79,Norm_Stats!$F$14),Norm_Stats!$G$14)-Norm_Stats!$F$14)/(Norm_Stats!$G$14-Norm_Stats!$F$14)))))="",0,(IF(OR(City_Inputs!$Z79="",Norm_Stats!$F$14="",Norm_Stats!$G$14="",Norm_Stats!$G$14=Norm_Stats!$F$14),"",MAX(0,MIN(100,100*(MIN(MAX(City_Inputs!$Z79,Norm_Stats!$F$14),Norm_Stats!$G$14)-Norm_Stats!$F$14)/(Norm_Stats!$G$14-Norm_Stats!$F$14)))))*0.7)+IF((IF(OR(City_Inputs!$AK79="",Norm_Stats!$F$15="",Norm_Stats!$G$15="",Norm_Stats!$G$15=Norm_Stats!$F$15),"",MAX(0,MIN(100,100*(Norm_Stats!$G$15-MIN(MAX(City_Inputs!$AK79,Norm_Stats!$F$15),Norm_Stats!$G$15))/(Norm_Stats!$G$15-Norm_Stats!$F$15)))))="",0,(IF(OR(City_Inputs!$AK79="",Norm_Stats!$F$15="",Norm_Stats!$G$15="",Norm_Stats!$G$15=Norm_Stats!$F$15),"",MAX(0,MIN(100,100*(Norm_Stats!$G$15-MIN(MAX(City_Inputs!$AK79,Norm_Stats!$F$15),Norm_Stats!$G$15))/(Norm_Stats!$G$15-Norm_Stats!$F$15)))))*0.3))/(IF((IF(OR(City_Inputs!$Z79="",Norm_Stats!$F$14="",Norm_Stats!$G$14="",Norm_Stats!$G$14=Norm_Stats!$F$14),"",MAX(0,MIN(100,100*(MIN(MAX(City_Inputs!$Z79,Norm_Stats!$F$14),Norm_Stats!$G$14)-Norm_Stats!$F$14)/(Norm_Stats!$G$14-Norm_Stats!$F$14)))))="",0,0.7)+IF((IF(OR(City_Inputs!$AK79="",Norm_Stats!$F$15="",Norm_Stats!$G$15="",Norm_Stats!$G$15=Norm_Stats!$F$15),"",MAX(0,MIN(100,100*(Norm_Stats!$G$15-MIN(MAX(City_Inputs!$AK79,Norm_Stats!$F$15),Norm_Stats!$G$15))/(Norm_Stats!$G$15-Norm_Stats!$F$15)))))="",0,0.3)))</f>
        <v/>
      </c>
      <c r="AJ79" s="14">
        <f>IF((IF((IF(OR(City_Inputs!$Z79="",Norm_Stats!$F$14="",Norm_Stats!$G$14="",Norm_Stats!$G$14=Norm_Stats!$F$14),"",MAX(0,MIN(100,100*(MIN(MAX(City_Inputs!$Z79,Norm_Stats!$F$14),Norm_Stats!$G$14)-Norm_Stats!$F$14)/(Norm_Stats!$G$14-Norm_Stats!$F$14)))))="",0,0.7)+IF((IF(OR(City_Inputs!$AK79="",Norm_Stats!$F$15="",Norm_Stats!$G$15="",Norm_Stats!$G$15=Norm_Stats!$F$15),"",MAX(0,MIN(100,100*(Norm_Stats!$G$15-MIN(MAX(City_Inputs!$AK79,Norm_Stats!$F$15),Norm_Stats!$G$15))/(Norm_Stats!$G$15-Norm_Stats!$F$15)))))="",0,0.3))=0,"",(IF((IF(OR(City_Inputs!$Z79="",Norm_Stats!$F$14="",Norm_Stats!$G$14="",Norm_Stats!$G$14=Norm_Stats!$F$14),"",MAX(0,MIN(100,100*(MIN(MAX(City_Inputs!$Z79,Norm_Stats!$F$14),Norm_Stats!$G$14)-Norm_Stats!$F$14)/(Norm_Stats!$G$14-Norm_Stats!$F$14)))))="",0,0.7)+IF((IF(OR(City_Inputs!$AK79="",Norm_Stats!$F$15="",Norm_Stats!$G$15="",Norm_Stats!$G$15=Norm_Stats!$F$15),"",MAX(0,MIN(100,100*(Norm_Stats!$G$15-MIN(MAX(City_Inputs!$AK79,Norm_Stats!$F$15),Norm_Stats!$G$15))/(Norm_Stats!$G$15-Norm_Stats!$F$15)))))="",0,0.3)))</f>
        <v/>
      </c>
      <c r="AK79" s="15">
        <f>IF((IF(AE79="",0,8)+IF(AG79="",0,6)+IF(AI79="",0,4))=0,"",(IF(AE79="",0,AE79*8)+IF(AG79="",0,AG79*6)+IF(AI79="",0,AI79*4))/(IF(AE79="",0,8)+IF(AG79="",0,6)+IF(AI79="",0,4)))</f>
        <v/>
      </c>
      <c r="AL79" s="14">
        <f>IF((IF(AF79="",0,8)+IF(AH79="",0,6)+IF(AJ79="",0,4))=0,"",(IF(AF79="",0,AF79*8)+IF(AH79="",0,AH79*6)+IF(AJ79="",0,AJ79*4))/18)</f>
        <v/>
      </c>
      <c r="AM79" s="11">
        <f>IF(OR(City_Inputs!$AA79="",Norm_Stats!$F$16="",Norm_Stats!$G$16="",Norm_Stats!$G$16=Norm_Stats!$F$16),"",MAX(0,MIN(100,100*(MIN(MAX(City_Inputs!$AA79,Norm_Stats!$F$16),Norm_Stats!$G$16)-Norm_Stats!$F$16)/(Norm_Stats!$G$16-Norm_Stats!$F$16))))</f>
        <v/>
      </c>
      <c r="AN79" s="14">
        <f>IF(AM79="","",1)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5">
        <f>IF((IF(AM79="",0,5)+IF(AO79="",0,5)+IF(AQ79="",0,5))=0,"",(IF(AM79="",0,AM79*5)+IF(AO79="",0,AO79*5)+IF(AQ79="",0,AQ79*5))/(IF(AM79="",0,5)+IF(AO79="",0,5)+IF(AQ79="",0,5)))</f>
        <v/>
      </c>
      <c r="AT79" s="14">
        <f>IF((IF(AN79="",0,5)+IF(AP79="",0,5)+IF(AR79="",0,5))=0,"",(IF(AN79="",0,AN79*5)+IF(AP79="",0,AP79*5)+IF(AR79="",0,AR79*5))/15)</f>
        <v/>
      </c>
      <c r="AU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V79" s="14">
        <f>IF(AU79="","",1)</f>
        <v/>
      </c>
      <c r="AW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X79" s="14">
        <f>IF(AW79="","",1)</f>
        <v/>
      </c>
      <c r="AY79" s="11">
        <f>IF((IF((IF(OR(City_Inputs!$AF79="",Norm_Stats!$F$21="",Norm_Stats!$G$21="",Norm_Stats!$G$21=Norm_Stats!$F$21),"",MAX(0,MIN(100,100*(MIN(MAX(City_Inputs!$AF79,Norm_Stats!$F$21),Norm_Stats!$G$21)-Norm_Stats!$F$21)/(Norm_Stats!$G$21-Norm_Stats!$F$21)))))="",0,0.5)+IF((IF(OR(City_Inputs!$AI79="",Norm_Stats!$F$22="",Norm_Stats!$G$22="",Norm_Stats!$G$22=Norm_Stats!$F$22),"",MAX(0,MIN(100,100*(MIN(MAX(City_Inputs!$AI79,Norm_Stats!$F$22),Norm_Stats!$G$22)-Norm_Stats!$F$22)/(Norm_Stats!$G$22-Norm_Stats!$F$22)))))="",0,0.3)+IF((IF(OR(City_Inputs!$AJ79="",Norm_Stats!$F$23="",Norm_Stats!$G$23="",Norm_Stats!$G$23=Norm_Stats!$F$23),"",MAX(0,MIN(100,100*(MIN(MAX(City_Inputs!$AJ79,Norm_Stats!$F$23),Norm_Stats!$G$23)-Norm_Stats!$F$23)/(Norm_Stats!$G$23-Norm_Stats!$F$23)))))="",0,0.2))=0,"",(IF((IF(OR(City_Inputs!$AF79="",Norm_Stats!$F$21="",Norm_Stats!$G$21="",Norm_Stats!$G$21=Norm_Stats!$F$21),"",MAX(0,MIN(100,100*(MIN(MAX(City_Inputs!$AF79,Norm_Stats!$F$21),Norm_Stats!$G$21)-Norm_Stats!$F$21)/(Norm_Stats!$G$21-Norm_Stats!$F$21)))))="",0,(IF(OR(City_Inputs!$AF79="",Norm_Stats!$F$21="",Norm_Stats!$G$21="",Norm_Stats!$G$21=Norm_Stats!$F$21),"",MAX(0,MIN(100,100*(MIN(MAX(City_Inputs!$AF79,Norm_Stats!$F$21),Norm_Stats!$G$21)-Norm_Stats!$F$21)/(Norm_Stats!$G$21-Norm_Stats!$F$21)))))*0.5)+IF((IF(OR(City_Inputs!$AI79="",Norm_Stats!$F$22="",Norm_Stats!$G$22="",Norm_Stats!$G$22=Norm_Stats!$F$22),"",MAX(0,MIN(100,100*(MIN(MAX(City_Inputs!$AI79,Norm_Stats!$F$22),Norm_Stats!$G$22)-Norm_Stats!$F$22)/(Norm_Stats!$G$22-Norm_Stats!$F$22)))))="",0,(IF(OR(City_Inputs!$AI79="",Norm_Stats!$F$22="",Norm_Stats!$G$22="",Norm_Stats!$G$22=Norm_Stats!$F$22),"",MAX(0,MIN(100,100*(MIN(MAX(City_Inputs!$AI79,Norm_Stats!$F$22),Norm_Stats!$G$22)-Norm_Stats!$F$22)/(Norm_Stats!$G$22-Norm_Stats!$F$22)))))*0.3)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0.2))/(IF((IF(OR(City_Inputs!$AF79="",Norm_Stats!$F$21="",Norm_Stats!$G$21="",Norm_Stats!$G$21=Norm_Stats!$F$21),"",MAX(0,MIN(100,100*(MIN(MAX(City_Inputs!$AF79,Norm_Stats!$F$21),Norm_Stats!$G$21)-Norm_Stats!$F$21)/(Norm_Stats!$G$21-Norm_Stats!$F$21)))))="",0,0.5)+IF((IF(OR(City_Inputs!$AI79="",Norm_Stats!$F$22="",Norm_Stats!$G$22="",Norm_Stats!$G$22=Norm_Stats!$F$22),"",MAX(0,MIN(100,100*(MIN(MAX(City_Inputs!$AI79,Norm_Stats!$F$22),Norm_Stats!$G$22)-Norm_Stats!$F$22)/(Norm_Stats!$G$22-Norm_Stats!$F$22)))))="",0,0.3)+IF((IF(OR(City_Inputs!$AJ79="",Norm_Stats!$F$23="",Norm_Stats!$G$23="",Norm_Stats!$G$23=Norm_Stats!$F$23),"",MAX(0,MIN(100,100*(MIN(MAX(City_Inputs!$AJ79,Norm_Stats!$F$23),Norm_Stats!$G$23)-Norm_Stats!$F$23)/(Norm_Stats!$G$23-Norm_Stats!$F$23)))))="",0,0.2)))</f>
        <v/>
      </c>
      <c r="AZ79" s="14">
        <f>IF((IF((IF(OR(City_Inputs!$AF79="",Norm_Stats!$F$21="",Norm_Stats!$G$21="",Norm_Stats!$G$21=Norm_Stats!$F$21),"",MAX(0,MIN(100,100*(MIN(MAX(City_Inputs!$AF79,Norm_Stats!$F$21),Norm_Stats!$G$21)-Norm_Stats!$F$21)/(Norm_Stats!$G$21-Norm_Stats!$F$21)))))="",0,0.5)+IF((IF(OR(City_Inputs!$AI79="",Norm_Stats!$F$22="",Norm_Stats!$G$22="",Norm_Stats!$G$22=Norm_Stats!$F$22),"",MAX(0,MIN(100,100*(MIN(MAX(City_Inputs!$AI79,Norm_Stats!$F$22),Norm_Stats!$G$22)-Norm_Stats!$F$22)/(Norm_Stats!$G$22-Norm_Stats!$F$22)))))="",0,0.3)+IF((IF(OR(City_Inputs!$AJ79="",Norm_Stats!$F$23="",Norm_Stats!$G$23="",Norm_Stats!$G$23=Norm_Stats!$F$23),"",MAX(0,MIN(100,100*(MIN(MAX(City_Inputs!$AJ79,Norm_Stats!$F$23),Norm_Stats!$G$23)-Norm_Stats!$F$23)/(Norm_Stats!$G$23-Norm_Stats!$F$23)))))="",0,0.2))=0,"",(IF((IF(OR(City_Inputs!$AF79="",Norm_Stats!$F$21="",Norm_Stats!$G$21="",Norm_Stats!$G$21=Norm_Stats!$F$21),"",MAX(0,MIN(100,100*(MIN(MAX(City_Inputs!$AF79,Norm_Stats!$F$21),Norm_Stats!$G$21)-Norm_Stats!$F$21)/(Norm_Stats!$G$21-Norm_Stats!$F$21)))))="",0,0.5)+IF((IF(OR(City_Inputs!$AI79="",Norm_Stats!$F$22="",Norm_Stats!$G$22="",Norm_Stats!$G$22=Norm_Stats!$F$22),"",MAX(0,MIN(100,100*(MIN(MAX(City_Inputs!$AI79,Norm_Stats!$F$22),Norm_Stats!$G$22)-Norm_Stats!$F$22)/(Norm_Stats!$G$22-Norm_Stats!$F$22)))))="",0,0.3)+IF((IF(OR(City_Inputs!$AJ79="",Norm_Stats!$F$23="",Norm_Stats!$G$23="",Norm_Stats!$G$23=Norm_Stats!$F$23),"",MAX(0,MIN(100,100*(MIN(MAX(City_Inputs!$AJ79,Norm_Stats!$F$23),Norm_Stats!$G$23)-Norm_Stats!$F$23)/(Norm_Stats!$G$23-Norm_Stats!$F$23)))))="",0,0.2)))</f>
        <v/>
      </c>
      <c r="BA79" s="11">
        <f>IF(OR(City_Inputs!$AG79="",Norm_Stats!$F$24="",Norm_Stats!$G$24="",Norm_Stats!$G$24=Norm_Stats!$F$24),"",MAX(0,MIN(100,100*(Norm_Stats!$G$24-MIN(MAX(City_Inputs!$AG79,Norm_Stats!$F$24),Norm_Stats!$G$24))/(Norm_Stats!$G$24-Norm_Stats!$F$24))))</f>
        <v/>
      </c>
      <c r="BB79" s="14">
        <f>IF(BA79="","",1)</f>
        <v/>
      </c>
      <c r="BC79" s="15">
        <f>IF((IF(AU79="",0,6)+IF(AW79="",0,5)+IF(AY79="",0,5)+IF(BA79="",0,4))=0,"",(IF(AU79="",0,AU79*6)+IF(AW79="",0,AW79*5)+IF(AY79="",0,AY79*5)+IF(BA79="",0,BA79*4))/(IF(AU79="",0,6)+IF(AW79="",0,5)+IF(AY79="",0,5)+IF(BA79="",0,4)))</f>
        <v/>
      </c>
      <c r="BD79" s="14">
        <f>IF((IF(AV79="",0,6)+IF(AX79="",0,5)+IF(AZ79="",0,5)+IF(BB79="",0,4))=0,"",(IF(AV79="",0,AV79*6)+IF(AX79="",0,AX79*5)+IF(AZ79="",0,AZ79*5)+IF(BB79="",0,BB79*4))/20)</f>
        <v/>
      </c>
      <c r="BE79" s="14">
        <f>IF(AND(R79="",AD79="",AL79="",AT79="",BD79=""),"",((R79*25)+(AD79*22)+(AL79*18)+(AT79*15)+(BD79*20))/100)</f>
        <v/>
      </c>
      <c r="BF79" s="11">
        <f>IF(BE79="","",IF(BE79&gt;=0.75,"A",IF(BE79&gt;=0.5,"B",IF(BE79&gt;=0.35,"C","Watchlist"))))</f>
        <v/>
      </c>
      <c r="BG79" s="11">
        <f>IF(OR(BE79="",BE79&lt;0.5,R79="",R79&lt;0.35,AD79="",AD79&lt;0.35,AL79="",AL79&lt;0.35,AT79="",AT79&lt;0.35,BD79="",BD79&lt;0.35),"Watchlist","Ranked")</f>
        <v/>
      </c>
      <c r="BH79" s="15">
        <f>IF(AND(Q79="",AC79="",AK79="",AS79="",BC79=""),"",(IF(Q79="",0,Q79*25)+IF(AC79="",0,AC79*22)+IF(AK79="",0,AK79*18)+IF(AS79="",0,AS79*15)+IF(BC79="",0,BC79*20))/(IF(Q79="",0,25)+IF(AC79="",0,22)+IF(AK79="",0,18)+IF(AS79="",0,15)+IF(BC79="",0,20)))</f>
        <v/>
      </c>
      <c r="BI79" s="11">
        <f>IF(BG79="Ranked",1+COUNTIFS($BG$2:$BG$101,"Ranked",$BH$2:$BH$101,"&gt;"&amp;BH79),"")</f>
        <v/>
      </c>
      <c r="BJ79" s="11">
        <f>City_Inputs!$AH79</f>
        <v/>
      </c>
    </row>
    <row r="80">
      <c r="A80" t="inlineStr">
        <is>
          <t>kw-kuwait-city</t>
        </is>
      </c>
      <c r="B80" t="inlineStr">
        <is>
          <t>Kuwait City</t>
        </is>
      </c>
      <c r="C80" t="inlineStr">
        <is>
          <t>Kuwait</t>
        </is>
      </c>
      <c r="D80" t="inlineStr">
        <is>
          <t>Middle East</t>
        </is>
      </c>
      <c r="E80" t="inlineStr">
        <is>
          <t>locked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IF((IF(G80="",0,9)+IF(I80="",0,5)+IF(K80="",0,4)+IF(M80="",0,4)+IF(O80="",0,3))=0,"",(IF(G80="",0,G80*9)+IF(I80="",0,I80*5)+IF(K80="",0,K80*4)+IF(M80="",0,M80*4)+IF(O80="",0,O80*3))/(IF(G80="",0,9)+IF(I80="",0,5)+IF(K80="",0,4)+IF(M80="",0,4)+IF(O80="",0,3)))</f>
        <v/>
      </c>
      <c r="R80" s="14">
        <f>IF((IF(H80="",0,9)+IF(J80="",0,5)+IF(L80="",0,4)+IF(N80="",0,4)+IF(P80="",0,3))=0,"",(IF(H80="",0,H80*9)+IF(J80="",0,J80*5)+IF(L80="",0,L80*4)+IF(N80="",0,N80*4)+IF(P80="",0,P80*3))/25)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5">
        <f>IF((IF(S80="",0,5)+IF(U80="",0,5)+IF(W80="",0,4)+IF(Y80="",0,4)+IF(AA80="",0,4))=0,"",(IF(S80="",0,S80*5)+IF(U80="",0,U80*5)+IF(W80="",0,W80*4)+IF(Y80="",0,Y80*4)+IF(AA80="",0,AA80*4))/(IF(S80="",0,5)+IF(U80="",0,5)+IF(W80="",0,4)+IF(Y80="",0,4)+IF(AA80="",0,4)))</f>
        <v/>
      </c>
      <c r="AD80" s="14">
        <f>IF((IF(T80="",0,5)+IF(V80="",0,5)+IF(X80="",0,4)+IF(Z80="",0,4)+IF(AB80="",0,4))=0,"",(IF(T80="",0,T80*5)+IF(V80="",0,V80*5)+IF(X80="",0,X80*4)+IF(Z80="",0,Z80*4)+IF(AB80="",0,AB80*4))/22)</f>
        <v/>
      </c>
      <c r="AE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F80" s="14">
        <f>IF(AE80="","",1)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(IF((IF(OR(City_Inputs!$Z80="",Norm_Stats!$F$14="",Norm_Stats!$G$14="",Norm_Stats!$G$14=Norm_Stats!$F$14),"",MAX(0,MIN(100,100*(MIN(MAX(City_Inputs!$Z80,Norm_Stats!$F$14),Norm_Stats!$G$14)-Norm_Stats!$F$14)/(Norm_Stats!$G$14-Norm_Stats!$F$14)))))="",0,0.7)+IF((IF(OR(City_Inputs!$AK80="",Norm_Stats!$F$15="",Norm_Stats!$G$15="",Norm_Stats!$G$15=Norm_Stats!$F$15),"",MAX(0,MIN(100,100*(Norm_Stats!$G$15-MIN(MAX(City_Inputs!$AK80,Norm_Stats!$F$15),Norm_Stats!$G$15))/(Norm_Stats!$G$15-Norm_Stats!$F$15)))))="",0,0.3))=0,"",(IF((IF(OR(City_Inputs!$Z80="",Norm_Stats!$F$14="",Norm_Stats!$G$14="",Norm_Stats!$G$14=Norm_Stats!$F$14),"",MAX(0,MIN(100,100*(MIN(MAX(City_Inputs!$Z80,Norm_Stats!$F$14),Norm_Stats!$G$14)-Norm_Stats!$F$14)/(Norm_Stats!$G$14-Norm_Stats!$F$14)))))="",0,(IF(OR(City_Inputs!$Z80="",Norm_Stats!$F$14="",Norm_Stats!$G$14="",Norm_Stats!$G$14=Norm_Stats!$F$14),"",MAX(0,MIN(100,100*(MIN(MAX(City_Inputs!$Z80,Norm_Stats!$F$14),Norm_Stats!$G$14)-Norm_Stats!$F$14)/(Norm_Stats!$G$14-Norm_Stats!$F$14)))))*0.7)+IF((IF(OR(City_Inputs!$AK80="",Norm_Stats!$F$15="",Norm_Stats!$G$15="",Norm_Stats!$G$15=Norm_Stats!$F$15),"",MAX(0,MIN(100,100*(Norm_Stats!$G$15-MIN(MAX(City_Inputs!$AK80,Norm_Stats!$F$15),Norm_Stats!$G$15))/(Norm_Stats!$G$15-Norm_Stats!$F$15)))))="",0,(IF(OR(City_Inputs!$AK80="",Norm_Stats!$F$15="",Norm_Stats!$G$15="",Norm_Stats!$G$15=Norm_Stats!$F$15),"",MAX(0,MIN(100,100*(Norm_Stats!$G$15-MIN(MAX(City_Inputs!$AK80,Norm_Stats!$F$15),Norm_Stats!$G$15))/(Norm_Stats!$G$15-Norm_Stats!$F$15)))))*0.3))/(IF((IF(OR(City_Inputs!$Z80="",Norm_Stats!$F$14="",Norm_Stats!$G$14="",Norm_Stats!$G$14=Norm_Stats!$F$14),"",MAX(0,MIN(100,100*(MIN(MAX(City_Inputs!$Z80,Norm_Stats!$F$14),Norm_Stats!$G$14)-Norm_Stats!$F$14)/(Norm_Stats!$G$14-Norm_Stats!$F$14)))))="",0,0.7)+IF((IF(OR(City_Inputs!$AK80="",Norm_Stats!$F$15="",Norm_Stats!$G$15="",Norm_Stats!$G$15=Norm_Stats!$F$15),"",MAX(0,MIN(100,100*(Norm_Stats!$G$15-MIN(MAX(City_Inputs!$AK80,Norm_Stats!$F$15),Norm_Stats!$G$15))/(Norm_Stats!$G$15-Norm_Stats!$F$15)))))="",0,0.3)))</f>
        <v/>
      </c>
      <c r="AJ80" s="14">
        <f>IF((IF((IF(OR(City_Inputs!$Z80="",Norm_Stats!$F$14="",Norm_Stats!$G$14="",Norm_Stats!$G$14=Norm_Stats!$F$14),"",MAX(0,MIN(100,100*(MIN(MAX(City_Inputs!$Z80,Norm_Stats!$F$14),Norm_Stats!$G$14)-Norm_Stats!$F$14)/(Norm_Stats!$G$14-Norm_Stats!$F$14)))))="",0,0.7)+IF((IF(OR(City_Inputs!$AK80="",Norm_Stats!$F$15="",Norm_Stats!$G$15="",Norm_Stats!$G$15=Norm_Stats!$F$15),"",MAX(0,MIN(100,100*(Norm_Stats!$G$15-MIN(MAX(City_Inputs!$AK80,Norm_Stats!$F$15),Norm_Stats!$G$15))/(Norm_Stats!$G$15-Norm_Stats!$F$15)))))="",0,0.3))=0,"",(IF((IF(OR(City_Inputs!$Z80="",Norm_Stats!$F$14="",Norm_Stats!$G$14="",Norm_Stats!$G$14=Norm_Stats!$F$14),"",MAX(0,MIN(100,100*(MIN(MAX(City_Inputs!$Z80,Norm_Stats!$F$14),Norm_Stats!$G$14)-Norm_Stats!$F$14)/(Norm_Stats!$G$14-Norm_Stats!$F$14)))))="",0,0.7)+IF((IF(OR(City_Inputs!$AK80="",Norm_Stats!$F$15="",Norm_Stats!$G$15="",Norm_Stats!$G$15=Norm_Stats!$F$15),"",MAX(0,MIN(100,100*(Norm_Stats!$G$15-MIN(MAX(City_Inputs!$AK80,Norm_Stats!$F$15),Norm_Stats!$G$15))/(Norm_Stats!$G$15-Norm_Stats!$F$15)))))="",0,0.3)))</f>
        <v/>
      </c>
      <c r="AK80" s="15">
        <f>IF((IF(AE80="",0,8)+IF(AG80="",0,6)+IF(AI80="",0,4))=0,"",(IF(AE80="",0,AE80*8)+IF(AG80="",0,AG80*6)+IF(AI80="",0,AI80*4))/(IF(AE80="",0,8)+IF(AG80="",0,6)+IF(AI80="",0,4)))</f>
        <v/>
      </c>
      <c r="AL80" s="14">
        <f>IF((IF(AF80="",0,8)+IF(AH80="",0,6)+IF(AJ80="",0,4))=0,"",(IF(AF80="",0,AF80*8)+IF(AH80="",0,AH80*6)+IF(AJ80="",0,AJ80*4))/18)</f>
        <v/>
      </c>
      <c r="AM80" s="11">
        <f>IF(OR(City_Inputs!$AA80="",Norm_Stats!$F$16="",Norm_Stats!$G$16="",Norm_Stats!$G$16=Norm_Stats!$F$16),"",MAX(0,MIN(100,100*(MIN(MAX(City_Inputs!$AA80,Norm_Stats!$F$16),Norm_Stats!$G$16)-Norm_Stats!$F$16)/(Norm_Stats!$G$16-Norm_Stats!$F$16))))</f>
        <v/>
      </c>
      <c r="AN80" s="14">
        <f>IF(AM80="","",1)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5">
        <f>IF((IF(AM80="",0,5)+IF(AO80="",0,5)+IF(AQ80="",0,5))=0,"",(IF(AM80="",0,AM80*5)+IF(AO80="",0,AO80*5)+IF(AQ80="",0,AQ80*5))/(IF(AM80="",0,5)+IF(AO80="",0,5)+IF(AQ80="",0,5)))</f>
        <v/>
      </c>
      <c r="AT80" s="14">
        <f>IF((IF(AN80="",0,5)+IF(AP80="",0,5)+IF(AR80="",0,5))=0,"",(IF(AN80="",0,AN80*5)+IF(AP80="",0,AP80*5)+IF(AR80="",0,AR80*5))/15)</f>
        <v/>
      </c>
      <c r="AU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V80" s="14">
        <f>IF(AU80="","",1)</f>
        <v/>
      </c>
      <c r="AW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X80" s="14">
        <f>IF(AW80="","",1)</f>
        <v/>
      </c>
      <c r="AY80" s="11">
        <f>IF((IF((IF(OR(City_Inputs!$AF80="",Norm_Stats!$F$21="",Norm_Stats!$G$21="",Norm_Stats!$G$21=Norm_Stats!$F$21),"",MAX(0,MIN(100,100*(MIN(MAX(City_Inputs!$AF80,Norm_Stats!$F$21),Norm_Stats!$G$21)-Norm_Stats!$F$21)/(Norm_Stats!$G$21-Norm_Stats!$F$21)))))="",0,0.5)+IF((IF(OR(City_Inputs!$AI80="",Norm_Stats!$F$22="",Norm_Stats!$G$22="",Norm_Stats!$G$22=Norm_Stats!$F$22),"",MAX(0,MIN(100,100*(MIN(MAX(City_Inputs!$AI80,Norm_Stats!$F$22),Norm_Stats!$G$22)-Norm_Stats!$F$22)/(Norm_Stats!$G$22-Norm_Stats!$F$22)))))="",0,0.3)+IF((IF(OR(City_Inputs!$AJ80="",Norm_Stats!$F$23="",Norm_Stats!$G$23="",Norm_Stats!$G$23=Norm_Stats!$F$23),"",MAX(0,MIN(100,100*(MIN(MAX(City_Inputs!$AJ80,Norm_Stats!$F$23),Norm_Stats!$G$23)-Norm_Stats!$F$23)/(Norm_Stats!$G$23-Norm_Stats!$F$23)))))="",0,0.2))=0,"",(IF((IF(OR(City_Inputs!$AF80="",Norm_Stats!$F$21="",Norm_Stats!$G$21="",Norm_Stats!$G$21=Norm_Stats!$F$21),"",MAX(0,MIN(100,100*(MIN(MAX(City_Inputs!$AF80,Norm_Stats!$F$21),Norm_Stats!$G$21)-Norm_Stats!$F$21)/(Norm_Stats!$G$21-Norm_Stats!$F$21)))))="",0,(IF(OR(City_Inputs!$AF80="",Norm_Stats!$F$21="",Norm_Stats!$G$21="",Norm_Stats!$G$21=Norm_Stats!$F$21),"",MAX(0,MIN(100,100*(MIN(MAX(City_Inputs!$AF80,Norm_Stats!$F$21),Norm_Stats!$G$21)-Norm_Stats!$F$21)/(Norm_Stats!$G$21-Norm_Stats!$F$21)))))*0.5)+IF((IF(OR(City_Inputs!$AI80="",Norm_Stats!$F$22="",Norm_Stats!$G$22="",Norm_Stats!$G$22=Norm_Stats!$F$22),"",MAX(0,MIN(100,100*(MIN(MAX(City_Inputs!$AI80,Norm_Stats!$F$22),Norm_Stats!$G$22)-Norm_Stats!$F$22)/(Norm_Stats!$G$22-Norm_Stats!$F$22)))))="",0,(IF(OR(City_Inputs!$AI80="",Norm_Stats!$F$22="",Norm_Stats!$G$22="",Norm_Stats!$G$22=Norm_Stats!$F$22),"",MAX(0,MIN(100,100*(MIN(MAX(City_Inputs!$AI80,Norm_Stats!$F$22),Norm_Stats!$G$22)-Norm_Stats!$F$22)/(Norm_Stats!$G$22-Norm_Stats!$F$22)))))*0.3)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0.2))/(IF((IF(OR(City_Inputs!$AF80="",Norm_Stats!$F$21="",Norm_Stats!$G$21="",Norm_Stats!$G$21=Norm_Stats!$F$21),"",MAX(0,MIN(100,100*(MIN(MAX(City_Inputs!$AF80,Norm_Stats!$F$21),Norm_Stats!$G$21)-Norm_Stats!$F$21)/(Norm_Stats!$G$21-Norm_Stats!$F$21)))))="",0,0.5)+IF((IF(OR(City_Inputs!$AI80="",Norm_Stats!$F$22="",Norm_Stats!$G$22="",Norm_Stats!$G$22=Norm_Stats!$F$22),"",MAX(0,MIN(100,100*(MIN(MAX(City_Inputs!$AI80,Norm_Stats!$F$22),Norm_Stats!$G$22)-Norm_Stats!$F$22)/(Norm_Stats!$G$22-Norm_Stats!$F$22)))))="",0,0.3)+IF((IF(OR(City_Inputs!$AJ80="",Norm_Stats!$F$23="",Norm_Stats!$G$23="",Norm_Stats!$G$23=Norm_Stats!$F$23),"",MAX(0,MIN(100,100*(MIN(MAX(City_Inputs!$AJ80,Norm_Stats!$F$23),Norm_Stats!$G$23)-Norm_Stats!$F$23)/(Norm_Stats!$G$23-Norm_Stats!$F$23)))))="",0,0.2)))</f>
        <v/>
      </c>
      <c r="AZ80" s="14">
        <f>IF((IF((IF(OR(City_Inputs!$AF80="",Norm_Stats!$F$21="",Norm_Stats!$G$21="",Norm_Stats!$G$21=Norm_Stats!$F$21),"",MAX(0,MIN(100,100*(MIN(MAX(City_Inputs!$AF80,Norm_Stats!$F$21),Norm_Stats!$G$21)-Norm_Stats!$F$21)/(Norm_Stats!$G$21-Norm_Stats!$F$21)))))="",0,0.5)+IF((IF(OR(City_Inputs!$AI80="",Norm_Stats!$F$22="",Norm_Stats!$G$22="",Norm_Stats!$G$22=Norm_Stats!$F$22),"",MAX(0,MIN(100,100*(MIN(MAX(City_Inputs!$AI80,Norm_Stats!$F$22),Norm_Stats!$G$22)-Norm_Stats!$F$22)/(Norm_Stats!$G$22-Norm_Stats!$F$22)))))="",0,0.3)+IF((IF(OR(City_Inputs!$AJ80="",Norm_Stats!$F$23="",Norm_Stats!$G$23="",Norm_Stats!$G$23=Norm_Stats!$F$23),"",MAX(0,MIN(100,100*(MIN(MAX(City_Inputs!$AJ80,Norm_Stats!$F$23),Norm_Stats!$G$23)-Norm_Stats!$F$23)/(Norm_Stats!$G$23-Norm_Stats!$F$23)))))="",0,0.2))=0,"",(IF((IF(OR(City_Inputs!$AF80="",Norm_Stats!$F$21="",Norm_Stats!$G$21="",Norm_Stats!$G$21=Norm_Stats!$F$21),"",MAX(0,MIN(100,100*(MIN(MAX(City_Inputs!$AF80,Norm_Stats!$F$21),Norm_Stats!$G$21)-Norm_Stats!$F$21)/(Norm_Stats!$G$21-Norm_Stats!$F$21)))))="",0,0.5)+IF((IF(OR(City_Inputs!$AI80="",Norm_Stats!$F$22="",Norm_Stats!$G$22="",Norm_Stats!$G$22=Norm_Stats!$F$22),"",MAX(0,MIN(100,100*(MIN(MAX(City_Inputs!$AI80,Norm_Stats!$F$22),Norm_Stats!$G$22)-Norm_Stats!$F$22)/(Norm_Stats!$G$22-Norm_Stats!$F$22)))))="",0,0.3)+IF((IF(OR(City_Inputs!$AJ80="",Norm_Stats!$F$23="",Norm_Stats!$G$23="",Norm_Stats!$G$23=Norm_Stats!$F$23),"",MAX(0,MIN(100,100*(MIN(MAX(City_Inputs!$AJ80,Norm_Stats!$F$23),Norm_Stats!$G$23)-Norm_Stats!$F$23)/(Norm_Stats!$G$23-Norm_Stats!$F$23)))))="",0,0.2)))</f>
        <v/>
      </c>
      <c r="BA80" s="11">
        <f>IF(OR(City_Inputs!$AG80="",Norm_Stats!$F$24="",Norm_Stats!$G$24="",Norm_Stats!$G$24=Norm_Stats!$F$24),"",MAX(0,MIN(100,100*(Norm_Stats!$G$24-MIN(MAX(City_Inputs!$AG80,Norm_Stats!$F$24),Norm_Stats!$G$24))/(Norm_Stats!$G$24-Norm_Stats!$F$24))))</f>
        <v/>
      </c>
      <c r="BB80" s="14">
        <f>IF(BA80="","",1)</f>
        <v/>
      </c>
      <c r="BC80" s="15">
        <f>IF((IF(AU80="",0,6)+IF(AW80="",0,5)+IF(AY80="",0,5)+IF(BA80="",0,4))=0,"",(IF(AU80="",0,AU80*6)+IF(AW80="",0,AW80*5)+IF(AY80="",0,AY80*5)+IF(BA80="",0,BA80*4))/(IF(AU80="",0,6)+IF(AW80="",0,5)+IF(AY80="",0,5)+IF(BA80="",0,4)))</f>
        <v/>
      </c>
      <c r="BD80" s="14">
        <f>IF((IF(AV80="",0,6)+IF(AX80="",0,5)+IF(AZ80="",0,5)+IF(BB80="",0,4))=0,"",(IF(AV80="",0,AV80*6)+IF(AX80="",0,AX80*5)+IF(AZ80="",0,AZ80*5)+IF(BB80="",0,BB80*4))/20)</f>
        <v/>
      </c>
      <c r="BE80" s="14">
        <f>IF(AND(R80="",AD80="",AL80="",AT80="",BD80=""),"",((R80*25)+(AD80*22)+(AL80*18)+(AT80*15)+(BD80*20))/100)</f>
        <v/>
      </c>
      <c r="BF80" s="11">
        <f>IF(BE80="","",IF(BE80&gt;=0.75,"A",IF(BE80&gt;=0.5,"B",IF(BE80&gt;=0.35,"C","Watchlist"))))</f>
        <v/>
      </c>
      <c r="BG80" s="11">
        <f>IF(OR(BE80="",BE80&lt;0.5,R80="",R80&lt;0.35,AD80="",AD80&lt;0.35,AL80="",AL80&lt;0.35,AT80="",AT80&lt;0.35,BD80="",BD80&lt;0.35),"Watchlist","Ranked")</f>
        <v/>
      </c>
      <c r="BH80" s="15">
        <f>IF(AND(Q80="",AC80="",AK80="",AS80="",BC80=""),"",(IF(Q80="",0,Q80*25)+IF(AC80="",0,AC80*22)+IF(AK80="",0,AK80*18)+IF(AS80="",0,AS80*15)+IF(BC80="",0,BC80*20))/(IF(Q80="",0,25)+IF(AC80="",0,22)+IF(AK80="",0,18)+IF(AS80="",0,15)+IF(BC80="",0,20)))</f>
        <v/>
      </c>
      <c r="BI80" s="11">
        <f>IF(BG80="Ranked",1+COUNTIFS($BG$2:$BG$101,"Ranked",$BH$2:$BH$101,"&gt;"&amp;BH80),"")</f>
        <v/>
      </c>
      <c r="BJ80" s="11">
        <f>City_Inputs!$AH80</f>
        <v/>
      </c>
    </row>
    <row r="81">
      <c r="A81" t="inlineStr">
        <is>
          <t>jo-amman</t>
        </is>
      </c>
      <c r="B81" t="inlineStr">
        <is>
          <t>Amman</t>
        </is>
      </c>
      <c r="C81" t="inlineStr">
        <is>
          <t>Jordan</t>
        </is>
      </c>
      <c r="D81" t="inlineStr">
        <is>
          <t>Middle East</t>
        </is>
      </c>
      <c r="E81" t="inlineStr">
        <is>
          <t>provisional</t>
        </is>
      </c>
      <c r="F81" t="inlineStr">
        <is>
          <t>secondary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IF((IF(G81="",0,9)+IF(I81="",0,5)+IF(K81="",0,4)+IF(M81="",0,4)+IF(O81="",0,3))=0,"",(IF(G81="",0,G81*9)+IF(I81="",0,I81*5)+IF(K81="",0,K81*4)+IF(M81="",0,M81*4)+IF(O81="",0,O81*3))/(IF(G81="",0,9)+IF(I81="",0,5)+IF(K81="",0,4)+IF(M81="",0,4)+IF(O81="",0,3)))</f>
        <v/>
      </c>
      <c r="R81" s="14">
        <f>IF((IF(H81="",0,9)+IF(J81="",0,5)+IF(L81="",0,4)+IF(N81="",0,4)+IF(P81="",0,3))=0,"",(IF(H81="",0,H81*9)+IF(J81="",0,J81*5)+IF(L81="",0,L81*4)+IF(N81="",0,N81*4)+IF(P81="",0,P81*3))/25)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5">
        <f>IF((IF(S81="",0,5)+IF(U81="",0,5)+IF(W81="",0,4)+IF(Y81="",0,4)+IF(AA81="",0,4))=0,"",(IF(S81="",0,S81*5)+IF(U81="",0,U81*5)+IF(W81="",0,W81*4)+IF(Y81="",0,Y81*4)+IF(AA81="",0,AA81*4))/(IF(S81="",0,5)+IF(U81="",0,5)+IF(W81="",0,4)+IF(Y81="",0,4)+IF(AA81="",0,4)))</f>
        <v/>
      </c>
      <c r="AD81" s="14">
        <f>IF((IF(T81="",0,5)+IF(V81="",0,5)+IF(X81="",0,4)+IF(Z81="",0,4)+IF(AB81="",0,4))=0,"",(IF(T81="",0,T81*5)+IF(V81="",0,V81*5)+IF(X81="",0,X81*4)+IF(Z81="",0,Z81*4)+IF(AB81="",0,AB81*4))/22)</f>
        <v/>
      </c>
      <c r="AE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F81" s="14">
        <f>IF(AE81="","",1)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(IF((IF(OR(City_Inputs!$Z81="",Norm_Stats!$F$14="",Norm_Stats!$G$14="",Norm_Stats!$G$14=Norm_Stats!$F$14),"",MAX(0,MIN(100,100*(MIN(MAX(City_Inputs!$Z81,Norm_Stats!$F$14),Norm_Stats!$G$14)-Norm_Stats!$F$14)/(Norm_Stats!$G$14-Norm_Stats!$F$14)))))="",0,0.7)+IF((IF(OR(City_Inputs!$AK81="",Norm_Stats!$F$15="",Norm_Stats!$G$15="",Norm_Stats!$G$15=Norm_Stats!$F$15),"",MAX(0,MIN(100,100*(Norm_Stats!$G$15-MIN(MAX(City_Inputs!$AK81,Norm_Stats!$F$15),Norm_Stats!$G$15))/(Norm_Stats!$G$15-Norm_Stats!$F$15)))))="",0,0.3))=0,"",(IF((IF(OR(City_Inputs!$Z81="",Norm_Stats!$F$14="",Norm_Stats!$G$14="",Norm_Stats!$G$14=Norm_Stats!$F$14),"",MAX(0,MIN(100,100*(MIN(MAX(City_Inputs!$Z81,Norm_Stats!$F$14),Norm_Stats!$G$14)-Norm_Stats!$F$14)/(Norm_Stats!$G$14-Norm_Stats!$F$14)))))="",0,(IF(OR(City_Inputs!$Z81="",Norm_Stats!$F$14="",Norm_Stats!$G$14="",Norm_Stats!$G$14=Norm_Stats!$F$14),"",MAX(0,MIN(100,100*(MIN(MAX(City_Inputs!$Z81,Norm_Stats!$F$14),Norm_Stats!$G$14)-Norm_Stats!$F$14)/(Norm_Stats!$G$14-Norm_Stats!$F$14)))))*0.7)+IF((IF(OR(City_Inputs!$AK81="",Norm_Stats!$F$15="",Norm_Stats!$G$15="",Norm_Stats!$G$15=Norm_Stats!$F$15),"",MAX(0,MIN(100,100*(Norm_Stats!$G$15-MIN(MAX(City_Inputs!$AK81,Norm_Stats!$F$15),Norm_Stats!$G$15))/(Norm_Stats!$G$15-Norm_Stats!$F$15)))))="",0,(IF(OR(City_Inputs!$AK81="",Norm_Stats!$F$15="",Norm_Stats!$G$15="",Norm_Stats!$G$15=Norm_Stats!$F$15),"",MAX(0,MIN(100,100*(Norm_Stats!$G$15-MIN(MAX(City_Inputs!$AK81,Norm_Stats!$F$15),Norm_Stats!$G$15))/(Norm_Stats!$G$15-Norm_Stats!$F$15)))))*0.3))/(IF((IF(OR(City_Inputs!$Z81="",Norm_Stats!$F$14="",Norm_Stats!$G$14="",Norm_Stats!$G$14=Norm_Stats!$F$14),"",MAX(0,MIN(100,100*(MIN(MAX(City_Inputs!$Z81,Norm_Stats!$F$14),Norm_Stats!$G$14)-Norm_Stats!$F$14)/(Norm_Stats!$G$14-Norm_Stats!$F$14)))))="",0,0.7)+IF((IF(OR(City_Inputs!$AK81="",Norm_Stats!$F$15="",Norm_Stats!$G$15="",Norm_Stats!$G$15=Norm_Stats!$F$15),"",MAX(0,MIN(100,100*(Norm_Stats!$G$15-MIN(MAX(City_Inputs!$AK81,Norm_Stats!$F$15),Norm_Stats!$G$15))/(Norm_Stats!$G$15-Norm_Stats!$F$15)))))="",0,0.3)))</f>
        <v/>
      </c>
      <c r="AJ81" s="14">
        <f>IF((IF((IF(OR(City_Inputs!$Z81="",Norm_Stats!$F$14="",Norm_Stats!$G$14="",Norm_Stats!$G$14=Norm_Stats!$F$14),"",MAX(0,MIN(100,100*(MIN(MAX(City_Inputs!$Z81,Norm_Stats!$F$14),Norm_Stats!$G$14)-Norm_Stats!$F$14)/(Norm_Stats!$G$14-Norm_Stats!$F$14)))))="",0,0.7)+IF((IF(OR(City_Inputs!$AK81="",Norm_Stats!$F$15="",Norm_Stats!$G$15="",Norm_Stats!$G$15=Norm_Stats!$F$15),"",MAX(0,MIN(100,100*(Norm_Stats!$G$15-MIN(MAX(City_Inputs!$AK81,Norm_Stats!$F$15),Norm_Stats!$G$15))/(Norm_Stats!$G$15-Norm_Stats!$F$15)))))="",0,0.3))=0,"",(IF((IF(OR(City_Inputs!$Z81="",Norm_Stats!$F$14="",Norm_Stats!$G$14="",Norm_Stats!$G$14=Norm_Stats!$F$14),"",MAX(0,MIN(100,100*(MIN(MAX(City_Inputs!$Z81,Norm_Stats!$F$14),Norm_Stats!$G$14)-Norm_Stats!$F$14)/(Norm_Stats!$G$14-Norm_Stats!$F$14)))))="",0,0.7)+IF((IF(OR(City_Inputs!$AK81="",Norm_Stats!$F$15="",Norm_Stats!$G$15="",Norm_Stats!$G$15=Norm_Stats!$F$15),"",MAX(0,MIN(100,100*(Norm_Stats!$G$15-MIN(MAX(City_Inputs!$AK81,Norm_Stats!$F$15),Norm_Stats!$G$15))/(Norm_Stats!$G$15-Norm_Stats!$F$15)))))="",0,0.3)))</f>
        <v/>
      </c>
      <c r="AK81" s="15">
        <f>IF((IF(AE81="",0,8)+IF(AG81="",0,6)+IF(AI81="",0,4))=0,"",(IF(AE81="",0,AE81*8)+IF(AG81="",0,AG81*6)+IF(AI81="",0,AI81*4))/(IF(AE81="",0,8)+IF(AG81="",0,6)+IF(AI81="",0,4)))</f>
        <v/>
      </c>
      <c r="AL81" s="14">
        <f>IF((IF(AF81="",0,8)+IF(AH81="",0,6)+IF(AJ81="",0,4))=0,"",(IF(AF81="",0,AF81*8)+IF(AH81="",0,AH81*6)+IF(AJ81="",0,AJ81*4))/18)</f>
        <v/>
      </c>
      <c r="AM81" s="11">
        <f>IF(OR(City_Inputs!$AA81="",Norm_Stats!$F$16="",Norm_Stats!$G$16="",Norm_Stats!$G$16=Norm_Stats!$F$16),"",MAX(0,MIN(100,100*(MIN(MAX(City_Inputs!$AA81,Norm_Stats!$F$16),Norm_Stats!$G$16)-Norm_Stats!$F$16)/(Norm_Stats!$G$16-Norm_Stats!$F$16))))</f>
        <v/>
      </c>
      <c r="AN81" s="14">
        <f>IF(AM81="","",1)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5">
        <f>IF((IF(AM81="",0,5)+IF(AO81="",0,5)+IF(AQ81="",0,5))=0,"",(IF(AM81="",0,AM81*5)+IF(AO81="",0,AO81*5)+IF(AQ81="",0,AQ81*5))/(IF(AM81="",0,5)+IF(AO81="",0,5)+IF(AQ81="",0,5)))</f>
        <v/>
      </c>
      <c r="AT81" s="14">
        <f>IF((IF(AN81="",0,5)+IF(AP81="",0,5)+IF(AR81="",0,5))=0,"",(IF(AN81="",0,AN81*5)+IF(AP81="",0,AP81*5)+IF(AR81="",0,AR81*5))/15)</f>
        <v/>
      </c>
      <c r="AU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V81" s="14">
        <f>IF(AU81="","",1)</f>
        <v/>
      </c>
      <c r="AW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X81" s="14">
        <f>IF(AW81="","",1)</f>
        <v/>
      </c>
      <c r="AY81" s="11">
        <f>IF((IF((IF(OR(City_Inputs!$AF81="",Norm_Stats!$F$21="",Norm_Stats!$G$21="",Norm_Stats!$G$21=Norm_Stats!$F$21),"",MAX(0,MIN(100,100*(MIN(MAX(City_Inputs!$AF81,Norm_Stats!$F$21),Norm_Stats!$G$21)-Norm_Stats!$F$21)/(Norm_Stats!$G$21-Norm_Stats!$F$21)))))="",0,0.5)+IF((IF(OR(City_Inputs!$AI81="",Norm_Stats!$F$22="",Norm_Stats!$G$22="",Norm_Stats!$G$22=Norm_Stats!$F$22),"",MAX(0,MIN(100,100*(MIN(MAX(City_Inputs!$AI81,Norm_Stats!$F$22),Norm_Stats!$G$22)-Norm_Stats!$F$22)/(Norm_Stats!$G$22-Norm_Stats!$F$22)))))="",0,0.3)+IF((IF(OR(City_Inputs!$AJ81="",Norm_Stats!$F$23="",Norm_Stats!$G$23="",Norm_Stats!$G$23=Norm_Stats!$F$23),"",MAX(0,MIN(100,100*(MIN(MAX(City_Inputs!$AJ81,Norm_Stats!$F$23),Norm_Stats!$G$23)-Norm_Stats!$F$23)/(Norm_Stats!$G$23-Norm_Stats!$F$23)))))="",0,0.2))=0,"",(IF((IF(OR(City_Inputs!$AF81="",Norm_Stats!$F$21="",Norm_Stats!$G$21="",Norm_Stats!$G$21=Norm_Stats!$F$21),"",MAX(0,MIN(100,100*(MIN(MAX(City_Inputs!$AF81,Norm_Stats!$F$21),Norm_Stats!$G$21)-Norm_Stats!$F$21)/(Norm_Stats!$G$21-Norm_Stats!$F$21)))))="",0,(IF(OR(City_Inputs!$AF81="",Norm_Stats!$F$21="",Norm_Stats!$G$21="",Norm_Stats!$G$21=Norm_Stats!$F$21),"",MAX(0,MIN(100,100*(MIN(MAX(City_Inputs!$AF81,Norm_Stats!$F$21),Norm_Stats!$G$21)-Norm_Stats!$F$21)/(Norm_Stats!$G$21-Norm_Stats!$F$21)))))*0.5)+IF((IF(OR(City_Inputs!$AI81="",Norm_Stats!$F$22="",Norm_Stats!$G$22="",Norm_Stats!$G$22=Norm_Stats!$F$22),"",MAX(0,MIN(100,100*(MIN(MAX(City_Inputs!$AI81,Norm_Stats!$F$22),Norm_Stats!$G$22)-Norm_Stats!$F$22)/(Norm_Stats!$G$22-Norm_Stats!$F$22)))))="",0,(IF(OR(City_Inputs!$AI81="",Norm_Stats!$F$22="",Norm_Stats!$G$22="",Norm_Stats!$G$22=Norm_Stats!$F$22),"",MAX(0,MIN(100,100*(MIN(MAX(City_Inputs!$AI81,Norm_Stats!$F$22),Norm_Stats!$G$22)-Norm_Stats!$F$22)/(Norm_Stats!$G$22-Norm_Stats!$F$22)))))*0.3)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0.2))/(IF((IF(OR(City_Inputs!$AF81="",Norm_Stats!$F$21="",Norm_Stats!$G$21="",Norm_Stats!$G$21=Norm_Stats!$F$21),"",MAX(0,MIN(100,100*(MIN(MAX(City_Inputs!$AF81,Norm_Stats!$F$21),Norm_Stats!$G$21)-Norm_Stats!$F$21)/(Norm_Stats!$G$21-Norm_Stats!$F$21)))))="",0,0.5)+IF((IF(OR(City_Inputs!$AI81="",Norm_Stats!$F$22="",Norm_Stats!$G$22="",Norm_Stats!$G$22=Norm_Stats!$F$22),"",MAX(0,MIN(100,100*(MIN(MAX(City_Inputs!$AI81,Norm_Stats!$F$22),Norm_Stats!$G$22)-Norm_Stats!$F$22)/(Norm_Stats!$G$22-Norm_Stats!$F$22)))))="",0,0.3)+IF((IF(OR(City_Inputs!$AJ81="",Norm_Stats!$F$23="",Norm_Stats!$G$23="",Norm_Stats!$G$23=Norm_Stats!$F$23),"",MAX(0,MIN(100,100*(MIN(MAX(City_Inputs!$AJ81,Norm_Stats!$F$23),Norm_Stats!$G$23)-Norm_Stats!$F$23)/(Norm_Stats!$G$23-Norm_Stats!$F$23)))))="",0,0.2)))</f>
        <v/>
      </c>
      <c r="AZ81" s="14">
        <f>IF((IF((IF(OR(City_Inputs!$AF81="",Norm_Stats!$F$21="",Norm_Stats!$G$21="",Norm_Stats!$G$21=Norm_Stats!$F$21),"",MAX(0,MIN(100,100*(MIN(MAX(City_Inputs!$AF81,Norm_Stats!$F$21),Norm_Stats!$G$21)-Norm_Stats!$F$21)/(Norm_Stats!$G$21-Norm_Stats!$F$21)))))="",0,0.5)+IF((IF(OR(City_Inputs!$AI81="",Norm_Stats!$F$22="",Norm_Stats!$G$22="",Norm_Stats!$G$22=Norm_Stats!$F$22),"",MAX(0,MIN(100,100*(MIN(MAX(City_Inputs!$AI81,Norm_Stats!$F$22),Norm_Stats!$G$22)-Norm_Stats!$F$22)/(Norm_Stats!$G$22-Norm_Stats!$F$22)))))="",0,0.3)+IF((IF(OR(City_Inputs!$AJ81="",Norm_Stats!$F$23="",Norm_Stats!$G$23="",Norm_Stats!$G$23=Norm_Stats!$F$23),"",MAX(0,MIN(100,100*(MIN(MAX(City_Inputs!$AJ81,Norm_Stats!$F$23),Norm_Stats!$G$23)-Norm_Stats!$F$23)/(Norm_Stats!$G$23-Norm_Stats!$F$23)))))="",0,0.2))=0,"",(IF((IF(OR(City_Inputs!$AF81="",Norm_Stats!$F$21="",Norm_Stats!$G$21="",Norm_Stats!$G$21=Norm_Stats!$F$21),"",MAX(0,MIN(100,100*(MIN(MAX(City_Inputs!$AF81,Norm_Stats!$F$21),Norm_Stats!$G$21)-Norm_Stats!$F$21)/(Norm_Stats!$G$21-Norm_Stats!$F$21)))))="",0,0.5)+IF((IF(OR(City_Inputs!$AI81="",Norm_Stats!$F$22="",Norm_Stats!$G$22="",Norm_Stats!$G$22=Norm_Stats!$F$22),"",MAX(0,MIN(100,100*(MIN(MAX(City_Inputs!$AI81,Norm_Stats!$F$22),Norm_Stats!$G$22)-Norm_Stats!$F$22)/(Norm_Stats!$G$22-Norm_Stats!$F$22)))))="",0,0.3)+IF((IF(OR(City_Inputs!$AJ81="",Norm_Stats!$F$23="",Norm_Stats!$G$23="",Norm_Stats!$G$23=Norm_Stats!$F$23),"",MAX(0,MIN(100,100*(MIN(MAX(City_Inputs!$AJ81,Norm_Stats!$F$23),Norm_Stats!$G$23)-Norm_Stats!$F$23)/(Norm_Stats!$G$23-Norm_Stats!$F$23)))))="",0,0.2)))</f>
        <v/>
      </c>
      <c r="BA81" s="11">
        <f>IF(OR(City_Inputs!$AG81="",Norm_Stats!$F$24="",Norm_Stats!$G$24="",Norm_Stats!$G$24=Norm_Stats!$F$24),"",MAX(0,MIN(100,100*(Norm_Stats!$G$24-MIN(MAX(City_Inputs!$AG81,Norm_Stats!$F$24),Norm_Stats!$G$24))/(Norm_Stats!$G$24-Norm_Stats!$F$24))))</f>
        <v/>
      </c>
      <c r="BB81" s="14">
        <f>IF(BA81="","",1)</f>
        <v/>
      </c>
      <c r="BC81" s="15">
        <f>IF((IF(AU81="",0,6)+IF(AW81="",0,5)+IF(AY81="",0,5)+IF(BA81="",0,4))=0,"",(IF(AU81="",0,AU81*6)+IF(AW81="",0,AW81*5)+IF(AY81="",0,AY81*5)+IF(BA81="",0,BA81*4))/(IF(AU81="",0,6)+IF(AW81="",0,5)+IF(AY81="",0,5)+IF(BA81="",0,4)))</f>
        <v/>
      </c>
      <c r="BD81" s="14">
        <f>IF((IF(AV81="",0,6)+IF(AX81="",0,5)+IF(AZ81="",0,5)+IF(BB81="",0,4))=0,"",(IF(AV81="",0,AV81*6)+IF(AX81="",0,AX81*5)+IF(AZ81="",0,AZ81*5)+IF(BB81="",0,BB81*4))/20)</f>
        <v/>
      </c>
      <c r="BE81" s="14">
        <f>IF(AND(R81="",AD81="",AL81="",AT81="",BD81=""),"",((R81*25)+(AD81*22)+(AL81*18)+(AT81*15)+(BD81*20))/100)</f>
        <v/>
      </c>
      <c r="BF81" s="11">
        <f>IF(BE81="","",IF(BE81&gt;=0.75,"A",IF(BE81&gt;=0.5,"B",IF(BE81&gt;=0.35,"C","Watchlist"))))</f>
        <v/>
      </c>
      <c r="BG81" s="11">
        <f>IF(OR(BE81="",BE81&lt;0.5,R81="",R81&lt;0.35,AD81="",AD81&lt;0.35,AL81="",AL81&lt;0.35,AT81="",AT81&lt;0.35,BD81="",BD81&lt;0.35),"Watchlist","Ranked")</f>
        <v/>
      </c>
      <c r="BH81" s="15">
        <f>IF(AND(Q81="",AC81="",AK81="",AS81="",BC81=""),"",(IF(Q81="",0,Q81*25)+IF(AC81="",0,AC81*22)+IF(AK81="",0,AK81*18)+IF(AS81="",0,AS81*15)+IF(BC81="",0,BC81*20))/(IF(Q81="",0,25)+IF(AC81="",0,22)+IF(AK81="",0,18)+IF(AS81="",0,15)+IF(BC81="",0,20)))</f>
        <v/>
      </c>
      <c r="BI81" s="11">
        <f>IF(BG81="Ranked",1+COUNTIFS($BG$2:$BG$101,"Ranked",$BH$2:$BH$101,"&gt;"&amp;BH81),"")</f>
        <v/>
      </c>
      <c r="BJ81" s="11">
        <f>City_Inputs!$AH81</f>
        <v/>
      </c>
    </row>
    <row r="82">
      <c r="A82" t="inlineStr">
        <is>
          <t>za-cape-town</t>
        </is>
      </c>
      <c r="B82" t="inlineStr">
        <is>
          <t>Cape Town</t>
        </is>
      </c>
      <c r="C82" t="inlineStr">
        <is>
          <t>South Africa</t>
        </is>
      </c>
      <c r="D82" t="inlineStr">
        <is>
          <t>Africa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IF((IF(G82="",0,9)+IF(I82="",0,5)+IF(K82="",0,4)+IF(M82="",0,4)+IF(O82="",0,3))=0,"",(IF(G82="",0,G82*9)+IF(I82="",0,I82*5)+IF(K82="",0,K82*4)+IF(M82="",0,M82*4)+IF(O82="",0,O82*3))/(IF(G82="",0,9)+IF(I82="",0,5)+IF(K82="",0,4)+IF(M82="",0,4)+IF(O82="",0,3)))</f>
        <v/>
      </c>
      <c r="R82" s="14">
        <f>IF((IF(H82="",0,9)+IF(J82="",0,5)+IF(L82="",0,4)+IF(N82="",0,4)+IF(P82="",0,3))=0,"",(IF(H82="",0,H82*9)+IF(J82="",0,J82*5)+IF(L82="",0,L82*4)+IF(N82="",0,N82*4)+IF(P82="",0,P82*3))/25)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5">
        <f>IF((IF(S82="",0,5)+IF(U82="",0,5)+IF(W82="",0,4)+IF(Y82="",0,4)+IF(AA82="",0,4))=0,"",(IF(S82="",0,S82*5)+IF(U82="",0,U82*5)+IF(W82="",0,W82*4)+IF(Y82="",0,Y82*4)+IF(AA82="",0,AA82*4))/(IF(S82="",0,5)+IF(U82="",0,5)+IF(W82="",0,4)+IF(Y82="",0,4)+IF(AA82="",0,4)))</f>
        <v/>
      </c>
      <c r="AD82" s="14">
        <f>IF((IF(T82="",0,5)+IF(V82="",0,5)+IF(X82="",0,4)+IF(Z82="",0,4)+IF(AB82="",0,4))=0,"",(IF(T82="",0,T82*5)+IF(V82="",0,V82*5)+IF(X82="",0,X82*4)+IF(Z82="",0,Z82*4)+IF(AB82="",0,AB82*4))/22)</f>
        <v/>
      </c>
      <c r="AE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F82" s="14">
        <f>IF(AE82="","",1)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(IF((IF(OR(City_Inputs!$Z82="",Norm_Stats!$F$14="",Norm_Stats!$G$14="",Norm_Stats!$G$14=Norm_Stats!$F$14),"",MAX(0,MIN(100,100*(MIN(MAX(City_Inputs!$Z82,Norm_Stats!$F$14),Norm_Stats!$G$14)-Norm_Stats!$F$14)/(Norm_Stats!$G$14-Norm_Stats!$F$14)))))="",0,0.7)+IF((IF(OR(City_Inputs!$AK82="",Norm_Stats!$F$15="",Norm_Stats!$G$15="",Norm_Stats!$G$15=Norm_Stats!$F$15),"",MAX(0,MIN(100,100*(Norm_Stats!$G$15-MIN(MAX(City_Inputs!$AK82,Norm_Stats!$F$15),Norm_Stats!$G$15))/(Norm_Stats!$G$15-Norm_Stats!$F$15)))))="",0,0.3))=0,"",(IF((IF(OR(City_Inputs!$Z82="",Norm_Stats!$F$14="",Norm_Stats!$G$14="",Norm_Stats!$G$14=Norm_Stats!$F$14),"",MAX(0,MIN(100,100*(MIN(MAX(City_Inputs!$Z82,Norm_Stats!$F$14),Norm_Stats!$G$14)-Norm_Stats!$F$14)/(Norm_Stats!$G$14-Norm_Stats!$F$14)))))="",0,(IF(OR(City_Inputs!$Z82="",Norm_Stats!$F$14="",Norm_Stats!$G$14="",Norm_Stats!$G$14=Norm_Stats!$F$14),"",MAX(0,MIN(100,100*(MIN(MAX(City_Inputs!$Z82,Norm_Stats!$F$14),Norm_Stats!$G$14)-Norm_Stats!$F$14)/(Norm_Stats!$G$14-Norm_Stats!$F$14)))))*0.7)+IF((IF(OR(City_Inputs!$AK82="",Norm_Stats!$F$15="",Norm_Stats!$G$15="",Norm_Stats!$G$15=Norm_Stats!$F$15),"",MAX(0,MIN(100,100*(Norm_Stats!$G$15-MIN(MAX(City_Inputs!$AK82,Norm_Stats!$F$15),Norm_Stats!$G$15))/(Norm_Stats!$G$15-Norm_Stats!$F$15)))))="",0,(IF(OR(City_Inputs!$AK82="",Norm_Stats!$F$15="",Norm_Stats!$G$15="",Norm_Stats!$G$15=Norm_Stats!$F$15),"",MAX(0,MIN(100,100*(Norm_Stats!$G$15-MIN(MAX(City_Inputs!$AK82,Norm_Stats!$F$15),Norm_Stats!$G$15))/(Norm_Stats!$G$15-Norm_Stats!$F$15)))))*0.3))/(IF((IF(OR(City_Inputs!$Z82="",Norm_Stats!$F$14="",Norm_Stats!$G$14="",Norm_Stats!$G$14=Norm_Stats!$F$14),"",MAX(0,MIN(100,100*(MIN(MAX(City_Inputs!$Z82,Norm_Stats!$F$14),Norm_Stats!$G$14)-Norm_Stats!$F$14)/(Norm_Stats!$G$14-Norm_Stats!$F$14)))))="",0,0.7)+IF((IF(OR(City_Inputs!$AK82="",Norm_Stats!$F$15="",Norm_Stats!$G$15="",Norm_Stats!$G$15=Norm_Stats!$F$15),"",MAX(0,MIN(100,100*(Norm_Stats!$G$15-MIN(MAX(City_Inputs!$AK82,Norm_Stats!$F$15),Norm_Stats!$G$15))/(Norm_Stats!$G$15-Norm_Stats!$F$15)))))="",0,0.3)))</f>
        <v/>
      </c>
      <c r="AJ82" s="14">
        <f>IF((IF((IF(OR(City_Inputs!$Z82="",Norm_Stats!$F$14="",Norm_Stats!$G$14="",Norm_Stats!$G$14=Norm_Stats!$F$14),"",MAX(0,MIN(100,100*(MIN(MAX(City_Inputs!$Z82,Norm_Stats!$F$14),Norm_Stats!$G$14)-Norm_Stats!$F$14)/(Norm_Stats!$G$14-Norm_Stats!$F$14)))))="",0,0.7)+IF((IF(OR(City_Inputs!$AK82="",Norm_Stats!$F$15="",Norm_Stats!$G$15="",Norm_Stats!$G$15=Norm_Stats!$F$15),"",MAX(0,MIN(100,100*(Norm_Stats!$G$15-MIN(MAX(City_Inputs!$AK82,Norm_Stats!$F$15),Norm_Stats!$G$15))/(Norm_Stats!$G$15-Norm_Stats!$F$15)))))="",0,0.3))=0,"",(IF((IF(OR(City_Inputs!$Z82="",Norm_Stats!$F$14="",Norm_Stats!$G$14="",Norm_Stats!$G$14=Norm_Stats!$F$14),"",MAX(0,MIN(100,100*(MIN(MAX(City_Inputs!$Z82,Norm_Stats!$F$14),Norm_Stats!$G$14)-Norm_Stats!$F$14)/(Norm_Stats!$G$14-Norm_Stats!$F$14)))))="",0,0.7)+IF((IF(OR(City_Inputs!$AK82="",Norm_Stats!$F$15="",Norm_Stats!$G$15="",Norm_Stats!$G$15=Norm_Stats!$F$15),"",MAX(0,MIN(100,100*(Norm_Stats!$G$15-MIN(MAX(City_Inputs!$AK82,Norm_Stats!$F$15),Norm_Stats!$G$15))/(Norm_Stats!$G$15-Norm_Stats!$F$15)))))="",0,0.3)))</f>
        <v/>
      </c>
      <c r="AK82" s="15">
        <f>IF((IF(AE82="",0,8)+IF(AG82="",0,6)+IF(AI82="",0,4))=0,"",(IF(AE82="",0,AE82*8)+IF(AG82="",0,AG82*6)+IF(AI82="",0,AI82*4))/(IF(AE82="",0,8)+IF(AG82="",0,6)+IF(AI82="",0,4)))</f>
        <v/>
      </c>
      <c r="AL82" s="14">
        <f>IF((IF(AF82="",0,8)+IF(AH82="",0,6)+IF(AJ82="",0,4))=0,"",(IF(AF82="",0,AF82*8)+IF(AH82="",0,AH82*6)+IF(AJ82="",0,AJ82*4))/18)</f>
        <v/>
      </c>
      <c r="AM82" s="11">
        <f>IF(OR(City_Inputs!$AA82="",Norm_Stats!$F$16="",Norm_Stats!$G$16="",Norm_Stats!$G$16=Norm_Stats!$F$16),"",MAX(0,MIN(100,100*(MIN(MAX(City_Inputs!$AA82,Norm_Stats!$F$16),Norm_Stats!$G$16)-Norm_Stats!$F$16)/(Norm_Stats!$G$16-Norm_Stats!$F$16))))</f>
        <v/>
      </c>
      <c r="AN82" s="14">
        <f>IF(AM82="","",1)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5">
        <f>IF((IF(AM82="",0,5)+IF(AO82="",0,5)+IF(AQ82="",0,5))=0,"",(IF(AM82="",0,AM82*5)+IF(AO82="",0,AO82*5)+IF(AQ82="",0,AQ82*5))/(IF(AM82="",0,5)+IF(AO82="",0,5)+IF(AQ82="",0,5)))</f>
        <v/>
      </c>
      <c r="AT82" s="14">
        <f>IF((IF(AN82="",0,5)+IF(AP82="",0,5)+IF(AR82="",0,5))=0,"",(IF(AN82="",0,AN82*5)+IF(AP82="",0,AP82*5)+IF(AR82="",0,AR82*5))/15)</f>
        <v/>
      </c>
      <c r="AU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V82" s="14">
        <f>IF(AU82="","",1)</f>
        <v/>
      </c>
      <c r="AW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X82" s="14">
        <f>IF(AW82="","",1)</f>
        <v/>
      </c>
      <c r="AY82" s="11">
        <f>IF((IF((IF(OR(City_Inputs!$AF82="",Norm_Stats!$F$21="",Norm_Stats!$G$21="",Norm_Stats!$G$21=Norm_Stats!$F$21),"",MAX(0,MIN(100,100*(MIN(MAX(City_Inputs!$AF82,Norm_Stats!$F$21),Norm_Stats!$G$21)-Norm_Stats!$F$21)/(Norm_Stats!$G$21-Norm_Stats!$F$21)))))="",0,0.5)+IF((IF(OR(City_Inputs!$AI82="",Norm_Stats!$F$22="",Norm_Stats!$G$22="",Norm_Stats!$G$22=Norm_Stats!$F$22),"",MAX(0,MIN(100,100*(MIN(MAX(City_Inputs!$AI82,Norm_Stats!$F$22),Norm_Stats!$G$22)-Norm_Stats!$F$22)/(Norm_Stats!$G$22-Norm_Stats!$F$22)))))="",0,0.3)+IF((IF(OR(City_Inputs!$AJ82="",Norm_Stats!$F$23="",Norm_Stats!$G$23="",Norm_Stats!$G$23=Norm_Stats!$F$23),"",MAX(0,MIN(100,100*(MIN(MAX(City_Inputs!$AJ82,Norm_Stats!$F$23),Norm_Stats!$G$23)-Norm_Stats!$F$23)/(Norm_Stats!$G$23-Norm_Stats!$F$23)))))="",0,0.2))=0,"",(IF((IF(OR(City_Inputs!$AF82="",Norm_Stats!$F$21="",Norm_Stats!$G$21="",Norm_Stats!$G$21=Norm_Stats!$F$21),"",MAX(0,MIN(100,100*(MIN(MAX(City_Inputs!$AF82,Norm_Stats!$F$21),Norm_Stats!$G$21)-Norm_Stats!$F$21)/(Norm_Stats!$G$21-Norm_Stats!$F$21)))))="",0,(IF(OR(City_Inputs!$AF82="",Norm_Stats!$F$21="",Norm_Stats!$G$21="",Norm_Stats!$G$21=Norm_Stats!$F$21),"",MAX(0,MIN(100,100*(MIN(MAX(City_Inputs!$AF82,Norm_Stats!$F$21),Norm_Stats!$G$21)-Norm_Stats!$F$21)/(Norm_Stats!$G$21-Norm_Stats!$F$21)))))*0.5)+IF((IF(OR(City_Inputs!$AI82="",Norm_Stats!$F$22="",Norm_Stats!$G$22="",Norm_Stats!$G$22=Norm_Stats!$F$22),"",MAX(0,MIN(100,100*(MIN(MAX(City_Inputs!$AI82,Norm_Stats!$F$22),Norm_Stats!$G$22)-Norm_Stats!$F$22)/(Norm_Stats!$G$22-Norm_Stats!$F$22)))))="",0,(IF(OR(City_Inputs!$AI82="",Norm_Stats!$F$22="",Norm_Stats!$G$22="",Norm_Stats!$G$22=Norm_Stats!$F$22),"",MAX(0,MIN(100,100*(MIN(MAX(City_Inputs!$AI82,Norm_Stats!$F$22),Norm_Stats!$G$22)-Norm_Stats!$F$22)/(Norm_Stats!$G$22-Norm_Stats!$F$22)))))*0.3)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0.2))/(IF((IF(OR(City_Inputs!$AF82="",Norm_Stats!$F$21="",Norm_Stats!$G$21="",Norm_Stats!$G$21=Norm_Stats!$F$21),"",MAX(0,MIN(100,100*(MIN(MAX(City_Inputs!$AF82,Norm_Stats!$F$21),Norm_Stats!$G$21)-Norm_Stats!$F$21)/(Norm_Stats!$G$21-Norm_Stats!$F$21)))))="",0,0.5)+IF((IF(OR(City_Inputs!$AI82="",Norm_Stats!$F$22="",Norm_Stats!$G$22="",Norm_Stats!$G$22=Norm_Stats!$F$22),"",MAX(0,MIN(100,100*(MIN(MAX(City_Inputs!$AI82,Norm_Stats!$F$22),Norm_Stats!$G$22)-Norm_Stats!$F$22)/(Norm_Stats!$G$22-Norm_Stats!$F$22)))))="",0,0.3)+IF((IF(OR(City_Inputs!$AJ82="",Norm_Stats!$F$23="",Norm_Stats!$G$23="",Norm_Stats!$G$23=Norm_Stats!$F$23),"",MAX(0,MIN(100,100*(MIN(MAX(City_Inputs!$AJ82,Norm_Stats!$F$23),Norm_Stats!$G$23)-Norm_Stats!$F$23)/(Norm_Stats!$G$23-Norm_Stats!$F$23)))))="",0,0.2)))</f>
        <v/>
      </c>
      <c r="AZ82" s="14">
        <f>IF((IF((IF(OR(City_Inputs!$AF82="",Norm_Stats!$F$21="",Norm_Stats!$G$21="",Norm_Stats!$G$21=Norm_Stats!$F$21),"",MAX(0,MIN(100,100*(MIN(MAX(City_Inputs!$AF82,Norm_Stats!$F$21),Norm_Stats!$G$21)-Norm_Stats!$F$21)/(Norm_Stats!$G$21-Norm_Stats!$F$21)))))="",0,0.5)+IF((IF(OR(City_Inputs!$AI82="",Norm_Stats!$F$22="",Norm_Stats!$G$22="",Norm_Stats!$G$22=Norm_Stats!$F$22),"",MAX(0,MIN(100,100*(MIN(MAX(City_Inputs!$AI82,Norm_Stats!$F$22),Norm_Stats!$G$22)-Norm_Stats!$F$22)/(Norm_Stats!$G$22-Norm_Stats!$F$22)))))="",0,0.3)+IF((IF(OR(City_Inputs!$AJ82="",Norm_Stats!$F$23="",Norm_Stats!$G$23="",Norm_Stats!$G$23=Norm_Stats!$F$23),"",MAX(0,MIN(100,100*(MIN(MAX(City_Inputs!$AJ82,Norm_Stats!$F$23),Norm_Stats!$G$23)-Norm_Stats!$F$23)/(Norm_Stats!$G$23-Norm_Stats!$F$23)))))="",0,0.2))=0,"",(IF((IF(OR(City_Inputs!$AF82="",Norm_Stats!$F$21="",Norm_Stats!$G$21="",Norm_Stats!$G$21=Norm_Stats!$F$21),"",MAX(0,MIN(100,100*(MIN(MAX(City_Inputs!$AF82,Norm_Stats!$F$21),Norm_Stats!$G$21)-Norm_Stats!$F$21)/(Norm_Stats!$G$21-Norm_Stats!$F$21)))))="",0,0.5)+IF((IF(OR(City_Inputs!$AI82="",Norm_Stats!$F$22="",Norm_Stats!$G$22="",Norm_Stats!$G$22=Norm_Stats!$F$22),"",MAX(0,MIN(100,100*(MIN(MAX(City_Inputs!$AI82,Norm_Stats!$F$22),Norm_Stats!$G$22)-Norm_Stats!$F$22)/(Norm_Stats!$G$22-Norm_Stats!$F$22)))))="",0,0.3)+IF((IF(OR(City_Inputs!$AJ82="",Norm_Stats!$F$23="",Norm_Stats!$G$23="",Norm_Stats!$G$23=Norm_Stats!$F$23),"",MAX(0,MIN(100,100*(MIN(MAX(City_Inputs!$AJ82,Norm_Stats!$F$23),Norm_Stats!$G$23)-Norm_Stats!$F$23)/(Norm_Stats!$G$23-Norm_Stats!$F$23)))))="",0,0.2)))</f>
        <v/>
      </c>
      <c r="BA82" s="11">
        <f>IF(OR(City_Inputs!$AG82="",Norm_Stats!$F$24="",Norm_Stats!$G$24="",Norm_Stats!$G$24=Norm_Stats!$F$24),"",MAX(0,MIN(100,100*(Norm_Stats!$G$24-MIN(MAX(City_Inputs!$AG82,Norm_Stats!$F$24),Norm_Stats!$G$24))/(Norm_Stats!$G$24-Norm_Stats!$F$24))))</f>
        <v/>
      </c>
      <c r="BB82" s="14">
        <f>IF(BA82="","",1)</f>
        <v/>
      </c>
      <c r="BC82" s="15">
        <f>IF((IF(AU82="",0,6)+IF(AW82="",0,5)+IF(AY82="",0,5)+IF(BA82="",0,4))=0,"",(IF(AU82="",0,AU82*6)+IF(AW82="",0,AW82*5)+IF(AY82="",0,AY82*5)+IF(BA82="",0,BA82*4))/(IF(AU82="",0,6)+IF(AW82="",0,5)+IF(AY82="",0,5)+IF(BA82="",0,4)))</f>
        <v/>
      </c>
      <c r="BD82" s="14">
        <f>IF((IF(AV82="",0,6)+IF(AX82="",0,5)+IF(AZ82="",0,5)+IF(BB82="",0,4))=0,"",(IF(AV82="",0,AV82*6)+IF(AX82="",0,AX82*5)+IF(AZ82="",0,AZ82*5)+IF(BB82="",0,BB82*4))/20)</f>
        <v/>
      </c>
      <c r="BE82" s="14">
        <f>IF(AND(R82="",AD82="",AL82="",AT82="",BD82=""),"",((R82*25)+(AD82*22)+(AL82*18)+(AT82*15)+(BD82*20))/100)</f>
        <v/>
      </c>
      <c r="BF82" s="11">
        <f>IF(BE82="","",IF(BE82&gt;=0.75,"A",IF(BE82&gt;=0.5,"B",IF(BE82&gt;=0.35,"C","Watchlist"))))</f>
        <v/>
      </c>
      <c r="BG82" s="11">
        <f>IF(OR(BE82="",BE82&lt;0.5,R82="",R82&lt;0.35,AD82="",AD82&lt;0.35,AL82="",AL82&lt;0.35,AT82="",AT82&lt;0.35,BD82="",BD82&lt;0.35),"Watchlist","Ranked")</f>
        <v/>
      </c>
      <c r="BH82" s="15">
        <f>IF(AND(Q82="",AC82="",AK82="",AS82="",BC82=""),"",(IF(Q82="",0,Q82*25)+IF(AC82="",0,AC82*22)+IF(AK82="",0,AK82*18)+IF(AS82="",0,AS82*15)+IF(BC82="",0,BC82*20))/(IF(Q82="",0,25)+IF(AC82="",0,22)+IF(AK82="",0,18)+IF(AS82="",0,15)+IF(BC82="",0,20)))</f>
        <v/>
      </c>
      <c r="BI82" s="11">
        <f>IF(BG82="Ranked",1+COUNTIFS($BG$2:$BG$101,"Ranked",$BH$2:$BH$101,"&gt;"&amp;BH82),"")</f>
        <v/>
      </c>
      <c r="BJ82" s="11">
        <f>City_Inputs!$AH82</f>
        <v/>
      </c>
    </row>
    <row r="83">
      <c r="A83" t="inlineStr">
        <is>
          <t>za-johannesburg</t>
        </is>
      </c>
      <c r="B83" t="inlineStr">
        <is>
          <t>Johannesburg</t>
        </is>
      </c>
      <c r="C83" t="inlineStr">
        <is>
          <t>South Africa</t>
        </is>
      </c>
      <c r="D83" t="inlineStr">
        <is>
          <t>Africa</t>
        </is>
      </c>
      <c r="E83" t="inlineStr">
        <is>
          <t>provisional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IF((IF(G83="",0,9)+IF(I83="",0,5)+IF(K83="",0,4)+IF(M83="",0,4)+IF(O83="",0,3))=0,"",(IF(G83="",0,G83*9)+IF(I83="",0,I83*5)+IF(K83="",0,K83*4)+IF(M83="",0,M83*4)+IF(O83="",0,O83*3))/(IF(G83="",0,9)+IF(I83="",0,5)+IF(K83="",0,4)+IF(M83="",0,4)+IF(O83="",0,3)))</f>
        <v/>
      </c>
      <c r="R83" s="14">
        <f>IF((IF(H83="",0,9)+IF(J83="",0,5)+IF(L83="",0,4)+IF(N83="",0,4)+IF(P83="",0,3))=0,"",(IF(H83="",0,H83*9)+IF(J83="",0,J83*5)+IF(L83="",0,L83*4)+IF(N83="",0,N83*4)+IF(P83="",0,P83*3))/25)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5">
        <f>IF((IF(S83="",0,5)+IF(U83="",0,5)+IF(W83="",0,4)+IF(Y83="",0,4)+IF(AA83="",0,4))=0,"",(IF(S83="",0,S83*5)+IF(U83="",0,U83*5)+IF(W83="",0,W83*4)+IF(Y83="",0,Y83*4)+IF(AA83="",0,AA83*4))/(IF(S83="",0,5)+IF(U83="",0,5)+IF(W83="",0,4)+IF(Y83="",0,4)+IF(AA83="",0,4)))</f>
        <v/>
      </c>
      <c r="AD83" s="14">
        <f>IF((IF(T83="",0,5)+IF(V83="",0,5)+IF(X83="",0,4)+IF(Z83="",0,4)+IF(AB83="",0,4))=0,"",(IF(T83="",0,T83*5)+IF(V83="",0,V83*5)+IF(X83="",0,X83*4)+IF(Z83="",0,Z83*4)+IF(AB83="",0,AB83*4))/22)</f>
        <v/>
      </c>
      <c r="AE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F83" s="14">
        <f>IF(AE83="","",1)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(IF((IF(OR(City_Inputs!$Z83="",Norm_Stats!$F$14="",Norm_Stats!$G$14="",Norm_Stats!$G$14=Norm_Stats!$F$14),"",MAX(0,MIN(100,100*(MIN(MAX(City_Inputs!$Z83,Norm_Stats!$F$14),Norm_Stats!$G$14)-Norm_Stats!$F$14)/(Norm_Stats!$G$14-Norm_Stats!$F$14)))))="",0,0.7)+IF((IF(OR(City_Inputs!$AK83="",Norm_Stats!$F$15="",Norm_Stats!$G$15="",Norm_Stats!$G$15=Norm_Stats!$F$15),"",MAX(0,MIN(100,100*(Norm_Stats!$G$15-MIN(MAX(City_Inputs!$AK83,Norm_Stats!$F$15),Norm_Stats!$G$15))/(Norm_Stats!$G$15-Norm_Stats!$F$15)))))="",0,0.3))=0,"",(IF((IF(OR(City_Inputs!$Z83="",Norm_Stats!$F$14="",Norm_Stats!$G$14="",Norm_Stats!$G$14=Norm_Stats!$F$14),"",MAX(0,MIN(100,100*(MIN(MAX(City_Inputs!$Z83,Norm_Stats!$F$14),Norm_Stats!$G$14)-Norm_Stats!$F$14)/(Norm_Stats!$G$14-Norm_Stats!$F$14)))))="",0,(IF(OR(City_Inputs!$Z83="",Norm_Stats!$F$14="",Norm_Stats!$G$14="",Norm_Stats!$G$14=Norm_Stats!$F$14),"",MAX(0,MIN(100,100*(MIN(MAX(City_Inputs!$Z83,Norm_Stats!$F$14),Norm_Stats!$G$14)-Norm_Stats!$F$14)/(Norm_Stats!$G$14-Norm_Stats!$F$14)))))*0.7)+IF((IF(OR(City_Inputs!$AK83="",Norm_Stats!$F$15="",Norm_Stats!$G$15="",Norm_Stats!$G$15=Norm_Stats!$F$15),"",MAX(0,MIN(100,100*(Norm_Stats!$G$15-MIN(MAX(City_Inputs!$AK83,Norm_Stats!$F$15),Norm_Stats!$G$15))/(Norm_Stats!$G$15-Norm_Stats!$F$15)))))="",0,(IF(OR(City_Inputs!$AK83="",Norm_Stats!$F$15="",Norm_Stats!$G$15="",Norm_Stats!$G$15=Norm_Stats!$F$15),"",MAX(0,MIN(100,100*(Norm_Stats!$G$15-MIN(MAX(City_Inputs!$AK83,Norm_Stats!$F$15),Norm_Stats!$G$15))/(Norm_Stats!$G$15-Norm_Stats!$F$15)))))*0.3))/(IF((IF(OR(City_Inputs!$Z83="",Norm_Stats!$F$14="",Norm_Stats!$G$14="",Norm_Stats!$G$14=Norm_Stats!$F$14),"",MAX(0,MIN(100,100*(MIN(MAX(City_Inputs!$Z83,Norm_Stats!$F$14),Norm_Stats!$G$14)-Norm_Stats!$F$14)/(Norm_Stats!$G$14-Norm_Stats!$F$14)))))="",0,0.7)+IF((IF(OR(City_Inputs!$AK83="",Norm_Stats!$F$15="",Norm_Stats!$G$15="",Norm_Stats!$G$15=Norm_Stats!$F$15),"",MAX(0,MIN(100,100*(Norm_Stats!$G$15-MIN(MAX(City_Inputs!$AK83,Norm_Stats!$F$15),Norm_Stats!$G$15))/(Norm_Stats!$G$15-Norm_Stats!$F$15)))))="",0,0.3)))</f>
        <v/>
      </c>
      <c r="AJ83" s="14">
        <f>IF((IF((IF(OR(City_Inputs!$Z83="",Norm_Stats!$F$14="",Norm_Stats!$G$14="",Norm_Stats!$G$14=Norm_Stats!$F$14),"",MAX(0,MIN(100,100*(MIN(MAX(City_Inputs!$Z83,Norm_Stats!$F$14),Norm_Stats!$G$14)-Norm_Stats!$F$14)/(Norm_Stats!$G$14-Norm_Stats!$F$14)))))="",0,0.7)+IF((IF(OR(City_Inputs!$AK83="",Norm_Stats!$F$15="",Norm_Stats!$G$15="",Norm_Stats!$G$15=Norm_Stats!$F$15),"",MAX(0,MIN(100,100*(Norm_Stats!$G$15-MIN(MAX(City_Inputs!$AK83,Norm_Stats!$F$15),Norm_Stats!$G$15))/(Norm_Stats!$G$15-Norm_Stats!$F$15)))))="",0,0.3))=0,"",(IF((IF(OR(City_Inputs!$Z83="",Norm_Stats!$F$14="",Norm_Stats!$G$14="",Norm_Stats!$G$14=Norm_Stats!$F$14),"",MAX(0,MIN(100,100*(MIN(MAX(City_Inputs!$Z83,Norm_Stats!$F$14),Norm_Stats!$G$14)-Norm_Stats!$F$14)/(Norm_Stats!$G$14-Norm_Stats!$F$14)))))="",0,0.7)+IF((IF(OR(City_Inputs!$AK83="",Norm_Stats!$F$15="",Norm_Stats!$G$15="",Norm_Stats!$G$15=Norm_Stats!$F$15),"",MAX(0,MIN(100,100*(Norm_Stats!$G$15-MIN(MAX(City_Inputs!$AK83,Norm_Stats!$F$15),Norm_Stats!$G$15))/(Norm_Stats!$G$15-Norm_Stats!$F$15)))))="",0,0.3)))</f>
        <v/>
      </c>
      <c r="AK83" s="15">
        <f>IF((IF(AE83="",0,8)+IF(AG83="",0,6)+IF(AI83="",0,4))=0,"",(IF(AE83="",0,AE83*8)+IF(AG83="",0,AG83*6)+IF(AI83="",0,AI83*4))/(IF(AE83="",0,8)+IF(AG83="",0,6)+IF(AI83="",0,4)))</f>
        <v/>
      </c>
      <c r="AL83" s="14">
        <f>IF((IF(AF83="",0,8)+IF(AH83="",0,6)+IF(AJ83="",0,4))=0,"",(IF(AF83="",0,AF83*8)+IF(AH83="",0,AH83*6)+IF(AJ83="",0,AJ83*4))/18)</f>
        <v/>
      </c>
      <c r="AM83" s="11">
        <f>IF(OR(City_Inputs!$AA83="",Norm_Stats!$F$16="",Norm_Stats!$G$16="",Norm_Stats!$G$16=Norm_Stats!$F$16),"",MAX(0,MIN(100,100*(MIN(MAX(City_Inputs!$AA83,Norm_Stats!$F$16),Norm_Stats!$G$16)-Norm_Stats!$F$16)/(Norm_Stats!$G$16-Norm_Stats!$F$16))))</f>
        <v/>
      </c>
      <c r="AN83" s="14">
        <f>IF(AM83="","",1)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5">
        <f>IF((IF(AM83="",0,5)+IF(AO83="",0,5)+IF(AQ83="",0,5))=0,"",(IF(AM83="",0,AM83*5)+IF(AO83="",0,AO83*5)+IF(AQ83="",0,AQ83*5))/(IF(AM83="",0,5)+IF(AO83="",0,5)+IF(AQ83="",0,5)))</f>
        <v/>
      </c>
      <c r="AT83" s="14">
        <f>IF((IF(AN83="",0,5)+IF(AP83="",0,5)+IF(AR83="",0,5))=0,"",(IF(AN83="",0,AN83*5)+IF(AP83="",0,AP83*5)+IF(AR83="",0,AR83*5))/15)</f>
        <v/>
      </c>
      <c r="AU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V83" s="14">
        <f>IF(AU83="","",1)</f>
        <v/>
      </c>
      <c r="AW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X83" s="14">
        <f>IF(AW83="","",1)</f>
        <v/>
      </c>
      <c r="AY83" s="11">
        <f>IF((IF((IF(OR(City_Inputs!$AF83="",Norm_Stats!$F$21="",Norm_Stats!$G$21="",Norm_Stats!$G$21=Norm_Stats!$F$21),"",MAX(0,MIN(100,100*(MIN(MAX(City_Inputs!$AF83,Norm_Stats!$F$21),Norm_Stats!$G$21)-Norm_Stats!$F$21)/(Norm_Stats!$G$21-Norm_Stats!$F$21)))))="",0,0.5)+IF((IF(OR(City_Inputs!$AI83="",Norm_Stats!$F$22="",Norm_Stats!$G$22="",Norm_Stats!$G$22=Norm_Stats!$F$22),"",MAX(0,MIN(100,100*(MIN(MAX(City_Inputs!$AI83,Norm_Stats!$F$22),Norm_Stats!$G$22)-Norm_Stats!$F$22)/(Norm_Stats!$G$22-Norm_Stats!$F$22)))))="",0,0.3)+IF((IF(OR(City_Inputs!$AJ83="",Norm_Stats!$F$23="",Norm_Stats!$G$23="",Norm_Stats!$G$23=Norm_Stats!$F$23),"",MAX(0,MIN(100,100*(MIN(MAX(City_Inputs!$AJ83,Norm_Stats!$F$23),Norm_Stats!$G$23)-Norm_Stats!$F$23)/(Norm_Stats!$G$23-Norm_Stats!$F$23)))))="",0,0.2))=0,"",(IF((IF(OR(City_Inputs!$AF83="",Norm_Stats!$F$21="",Norm_Stats!$G$21="",Norm_Stats!$G$21=Norm_Stats!$F$21),"",MAX(0,MIN(100,100*(MIN(MAX(City_Inputs!$AF83,Norm_Stats!$F$21),Norm_Stats!$G$21)-Norm_Stats!$F$21)/(Norm_Stats!$G$21-Norm_Stats!$F$21)))))="",0,(IF(OR(City_Inputs!$AF83="",Norm_Stats!$F$21="",Norm_Stats!$G$21="",Norm_Stats!$G$21=Norm_Stats!$F$21),"",MAX(0,MIN(100,100*(MIN(MAX(City_Inputs!$AF83,Norm_Stats!$F$21),Norm_Stats!$G$21)-Norm_Stats!$F$21)/(Norm_Stats!$G$21-Norm_Stats!$F$21)))))*0.5)+IF((IF(OR(City_Inputs!$AI83="",Norm_Stats!$F$22="",Norm_Stats!$G$22="",Norm_Stats!$G$22=Norm_Stats!$F$22),"",MAX(0,MIN(100,100*(MIN(MAX(City_Inputs!$AI83,Norm_Stats!$F$22),Norm_Stats!$G$22)-Norm_Stats!$F$22)/(Norm_Stats!$G$22-Norm_Stats!$F$22)))))="",0,(IF(OR(City_Inputs!$AI83="",Norm_Stats!$F$22="",Norm_Stats!$G$22="",Norm_Stats!$G$22=Norm_Stats!$F$22),"",MAX(0,MIN(100,100*(MIN(MAX(City_Inputs!$AI83,Norm_Stats!$F$22),Norm_Stats!$G$22)-Norm_Stats!$F$22)/(Norm_Stats!$G$22-Norm_Stats!$F$22)))))*0.3)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0.2))/(IF((IF(OR(City_Inputs!$AF83="",Norm_Stats!$F$21="",Norm_Stats!$G$21="",Norm_Stats!$G$21=Norm_Stats!$F$21),"",MAX(0,MIN(100,100*(MIN(MAX(City_Inputs!$AF83,Norm_Stats!$F$21),Norm_Stats!$G$21)-Norm_Stats!$F$21)/(Norm_Stats!$G$21-Norm_Stats!$F$21)))))="",0,0.5)+IF((IF(OR(City_Inputs!$AI83="",Norm_Stats!$F$22="",Norm_Stats!$G$22="",Norm_Stats!$G$22=Norm_Stats!$F$22),"",MAX(0,MIN(100,100*(MIN(MAX(City_Inputs!$AI83,Norm_Stats!$F$22),Norm_Stats!$G$22)-Norm_Stats!$F$22)/(Norm_Stats!$G$22-Norm_Stats!$F$22)))))="",0,0.3)+IF((IF(OR(City_Inputs!$AJ83="",Norm_Stats!$F$23="",Norm_Stats!$G$23="",Norm_Stats!$G$23=Norm_Stats!$F$23),"",MAX(0,MIN(100,100*(MIN(MAX(City_Inputs!$AJ83,Norm_Stats!$F$23),Norm_Stats!$G$23)-Norm_Stats!$F$23)/(Norm_Stats!$G$23-Norm_Stats!$F$23)))))="",0,0.2)))</f>
        <v/>
      </c>
      <c r="AZ83" s="14">
        <f>IF((IF((IF(OR(City_Inputs!$AF83="",Norm_Stats!$F$21="",Norm_Stats!$G$21="",Norm_Stats!$G$21=Norm_Stats!$F$21),"",MAX(0,MIN(100,100*(MIN(MAX(City_Inputs!$AF83,Norm_Stats!$F$21),Norm_Stats!$G$21)-Norm_Stats!$F$21)/(Norm_Stats!$G$21-Norm_Stats!$F$21)))))="",0,0.5)+IF((IF(OR(City_Inputs!$AI83="",Norm_Stats!$F$22="",Norm_Stats!$G$22="",Norm_Stats!$G$22=Norm_Stats!$F$22),"",MAX(0,MIN(100,100*(MIN(MAX(City_Inputs!$AI83,Norm_Stats!$F$22),Norm_Stats!$G$22)-Norm_Stats!$F$22)/(Norm_Stats!$G$22-Norm_Stats!$F$22)))))="",0,0.3)+IF((IF(OR(City_Inputs!$AJ83="",Norm_Stats!$F$23="",Norm_Stats!$G$23="",Norm_Stats!$G$23=Norm_Stats!$F$23),"",MAX(0,MIN(100,100*(MIN(MAX(City_Inputs!$AJ83,Norm_Stats!$F$23),Norm_Stats!$G$23)-Norm_Stats!$F$23)/(Norm_Stats!$G$23-Norm_Stats!$F$23)))))="",0,0.2))=0,"",(IF((IF(OR(City_Inputs!$AF83="",Norm_Stats!$F$21="",Norm_Stats!$G$21="",Norm_Stats!$G$21=Norm_Stats!$F$21),"",MAX(0,MIN(100,100*(MIN(MAX(City_Inputs!$AF83,Norm_Stats!$F$21),Norm_Stats!$G$21)-Norm_Stats!$F$21)/(Norm_Stats!$G$21-Norm_Stats!$F$21)))))="",0,0.5)+IF((IF(OR(City_Inputs!$AI83="",Norm_Stats!$F$22="",Norm_Stats!$G$22="",Norm_Stats!$G$22=Norm_Stats!$F$22),"",MAX(0,MIN(100,100*(MIN(MAX(City_Inputs!$AI83,Norm_Stats!$F$22),Norm_Stats!$G$22)-Norm_Stats!$F$22)/(Norm_Stats!$G$22-Norm_Stats!$F$22)))))="",0,0.3)+IF((IF(OR(City_Inputs!$AJ83="",Norm_Stats!$F$23="",Norm_Stats!$G$23="",Norm_Stats!$G$23=Norm_Stats!$F$23),"",MAX(0,MIN(100,100*(MIN(MAX(City_Inputs!$AJ83,Norm_Stats!$F$23),Norm_Stats!$G$23)-Norm_Stats!$F$23)/(Norm_Stats!$G$23-Norm_Stats!$F$23)))))="",0,0.2)))</f>
        <v/>
      </c>
      <c r="BA83" s="11">
        <f>IF(OR(City_Inputs!$AG83="",Norm_Stats!$F$24="",Norm_Stats!$G$24="",Norm_Stats!$G$24=Norm_Stats!$F$24),"",MAX(0,MIN(100,100*(Norm_Stats!$G$24-MIN(MAX(City_Inputs!$AG83,Norm_Stats!$F$24),Norm_Stats!$G$24))/(Norm_Stats!$G$24-Norm_Stats!$F$24))))</f>
        <v/>
      </c>
      <c r="BB83" s="14">
        <f>IF(BA83="","",1)</f>
        <v/>
      </c>
      <c r="BC83" s="15">
        <f>IF((IF(AU83="",0,6)+IF(AW83="",0,5)+IF(AY83="",0,5)+IF(BA83="",0,4))=0,"",(IF(AU83="",0,AU83*6)+IF(AW83="",0,AW83*5)+IF(AY83="",0,AY83*5)+IF(BA83="",0,BA83*4))/(IF(AU83="",0,6)+IF(AW83="",0,5)+IF(AY83="",0,5)+IF(BA83="",0,4)))</f>
        <v/>
      </c>
      <c r="BD83" s="14">
        <f>IF((IF(AV83="",0,6)+IF(AX83="",0,5)+IF(AZ83="",0,5)+IF(BB83="",0,4))=0,"",(IF(AV83="",0,AV83*6)+IF(AX83="",0,AX83*5)+IF(AZ83="",0,AZ83*5)+IF(BB83="",0,BB83*4))/20)</f>
        <v/>
      </c>
      <c r="BE83" s="14">
        <f>IF(AND(R83="",AD83="",AL83="",AT83="",BD83=""),"",((R83*25)+(AD83*22)+(AL83*18)+(AT83*15)+(BD83*20))/100)</f>
        <v/>
      </c>
      <c r="BF83" s="11">
        <f>IF(BE83="","",IF(BE83&gt;=0.75,"A",IF(BE83&gt;=0.5,"B",IF(BE83&gt;=0.35,"C","Watchlist"))))</f>
        <v/>
      </c>
      <c r="BG83" s="11">
        <f>IF(OR(BE83="",BE83&lt;0.5,R83="",R83&lt;0.35,AD83="",AD83&lt;0.35,AL83="",AL83&lt;0.35,AT83="",AT83&lt;0.35,BD83="",BD83&lt;0.35),"Watchlist","Ranked")</f>
        <v/>
      </c>
      <c r="BH83" s="15">
        <f>IF(AND(Q83="",AC83="",AK83="",AS83="",BC83=""),"",(IF(Q83="",0,Q83*25)+IF(AC83="",0,AC83*22)+IF(AK83="",0,AK83*18)+IF(AS83="",0,AS83*15)+IF(BC83="",0,BC83*20))/(IF(Q83="",0,25)+IF(AC83="",0,22)+IF(AK83="",0,18)+IF(AS83="",0,15)+IF(BC83="",0,20)))</f>
        <v/>
      </c>
      <c r="BI83" s="11">
        <f>IF(BG83="Ranked",1+COUNTIFS($BG$2:$BG$101,"Ranked",$BH$2:$BH$101,"&gt;"&amp;BH83),"")</f>
        <v/>
      </c>
      <c r="BJ83" s="11">
        <f>City_Inputs!$AH83</f>
        <v/>
      </c>
    </row>
    <row r="84">
      <c r="A84" t="inlineStr">
        <is>
          <t>ke-nairobi</t>
        </is>
      </c>
      <c r="B84" t="inlineStr">
        <is>
          <t>Nairobi</t>
        </is>
      </c>
      <c r="C84" t="inlineStr">
        <is>
          <t>Kenya</t>
        </is>
      </c>
      <c r="D84" t="inlineStr">
        <is>
          <t>Africa</t>
        </is>
      </c>
      <c r="E84" t="inlineStr">
        <is>
          <t>locked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IF((IF(G84="",0,9)+IF(I84="",0,5)+IF(K84="",0,4)+IF(M84="",0,4)+IF(O84="",0,3))=0,"",(IF(G84="",0,G84*9)+IF(I84="",0,I84*5)+IF(K84="",0,K84*4)+IF(M84="",0,M84*4)+IF(O84="",0,O84*3))/(IF(G84="",0,9)+IF(I84="",0,5)+IF(K84="",0,4)+IF(M84="",0,4)+IF(O84="",0,3)))</f>
        <v/>
      </c>
      <c r="R84" s="14">
        <f>IF((IF(H84="",0,9)+IF(J84="",0,5)+IF(L84="",0,4)+IF(N84="",0,4)+IF(P84="",0,3))=0,"",(IF(H84="",0,H84*9)+IF(J84="",0,J84*5)+IF(L84="",0,L84*4)+IF(N84="",0,N84*4)+IF(P84="",0,P84*3))/25)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5">
        <f>IF((IF(S84="",0,5)+IF(U84="",0,5)+IF(W84="",0,4)+IF(Y84="",0,4)+IF(AA84="",0,4))=0,"",(IF(S84="",0,S84*5)+IF(U84="",0,U84*5)+IF(W84="",0,W84*4)+IF(Y84="",0,Y84*4)+IF(AA84="",0,AA84*4))/(IF(S84="",0,5)+IF(U84="",0,5)+IF(W84="",0,4)+IF(Y84="",0,4)+IF(AA84="",0,4)))</f>
        <v/>
      </c>
      <c r="AD84" s="14">
        <f>IF((IF(T84="",0,5)+IF(V84="",0,5)+IF(X84="",0,4)+IF(Z84="",0,4)+IF(AB84="",0,4))=0,"",(IF(T84="",0,T84*5)+IF(V84="",0,V84*5)+IF(X84="",0,X84*4)+IF(Z84="",0,Z84*4)+IF(AB84="",0,AB84*4))/22)</f>
        <v/>
      </c>
      <c r="AE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F84" s="14">
        <f>IF(AE84="","",1)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(IF((IF(OR(City_Inputs!$Z84="",Norm_Stats!$F$14="",Norm_Stats!$G$14="",Norm_Stats!$G$14=Norm_Stats!$F$14),"",MAX(0,MIN(100,100*(MIN(MAX(City_Inputs!$Z84,Norm_Stats!$F$14),Norm_Stats!$G$14)-Norm_Stats!$F$14)/(Norm_Stats!$G$14-Norm_Stats!$F$14)))))="",0,0.7)+IF((IF(OR(City_Inputs!$AK84="",Norm_Stats!$F$15="",Norm_Stats!$G$15="",Norm_Stats!$G$15=Norm_Stats!$F$15),"",MAX(0,MIN(100,100*(Norm_Stats!$G$15-MIN(MAX(City_Inputs!$AK84,Norm_Stats!$F$15),Norm_Stats!$G$15))/(Norm_Stats!$G$15-Norm_Stats!$F$15)))))="",0,0.3))=0,"",(IF((IF(OR(City_Inputs!$Z84="",Norm_Stats!$F$14="",Norm_Stats!$G$14="",Norm_Stats!$G$14=Norm_Stats!$F$14),"",MAX(0,MIN(100,100*(MIN(MAX(City_Inputs!$Z84,Norm_Stats!$F$14),Norm_Stats!$G$14)-Norm_Stats!$F$14)/(Norm_Stats!$G$14-Norm_Stats!$F$14)))))="",0,(IF(OR(City_Inputs!$Z84="",Norm_Stats!$F$14="",Norm_Stats!$G$14="",Norm_Stats!$G$14=Norm_Stats!$F$14),"",MAX(0,MIN(100,100*(MIN(MAX(City_Inputs!$Z84,Norm_Stats!$F$14),Norm_Stats!$G$14)-Norm_Stats!$F$14)/(Norm_Stats!$G$14-Norm_Stats!$F$14)))))*0.7)+IF((IF(OR(City_Inputs!$AK84="",Norm_Stats!$F$15="",Norm_Stats!$G$15="",Norm_Stats!$G$15=Norm_Stats!$F$15),"",MAX(0,MIN(100,100*(Norm_Stats!$G$15-MIN(MAX(City_Inputs!$AK84,Norm_Stats!$F$15),Norm_Stats!$G$15))/(Norm_Stats!$G$15-Norm_Stats!$F$15)))))="",0,(IF(OR(City_Inputs!$AK84="",Norm_Stats!$F$15="",Norm_Stats!$G$15="",Norm_Stats!$G$15=Norm_Stats!$F$15),"",MAX(0,MIN(100,100*(Norm_Stats!$G$15-MIN(MAX(City_Inputs!$AK84,Norm_Stats!$F$15),Norm_Stats!$G$15))/(Norm_Stats!$G$15-Norm_Stats!$F$15)))))*0.3))/(IF((IF(OR(City_Inputs!$Z84="",Norm_Stats!$F$14="",Norm_Stats!$G$14="",Norm_Stats!$G$14=Norm_Stats!$F$14),"",MAX(0,MIN(100,100*(MIN(MAX(City_Inputs!$Z84,Norm_Stats!$F$14),Norm_Stats!$G$14)-Norm_Stats!$F$14)/(Norm_Stats!$G$14-Norm_Stats!$F$14)))))="",0,0.7)+IF((IF(OR(City_Inputs!$AK84="",Norm_Stats!$F$15="",Norm_Stats!$G$15="",Norm_Stats!$G$15=Norm_Stats!$F$15),"",MAX(0,MIN(100,100*(Norm_Stats!$G$15-MIN(MAX(City_Inputs!$AK84,Norm_Stats!$F$15),Norm_Stats!$G$15))/(Norm_Stats!$G$15-Norm_Stats!$F$15)))))="",0,0.3)))</f>
        <v/>
      </c>
      <c r="AJ84" s="14">
        <f>IF((IF((IF(OR(City_Inputs!$Z84="",Norm_Stats!$F$14="",Norm_Stats!$G$14="",Norm_Stats!$G$14=Norm_Stats!$F$14),"",MAX(0,MIN(100,100*(MIN(MAX(City_Inputs!$Z84,Norm_Stats!$F$14),Norm_Stats!$G$14)-Norm_Stats!$F$14)/(Norm_Stats!$G$14-Norm_Stats!$F$14)))))="",0,0.7)+IF((IF(OR(City_Inputs!$AK84="",Norm_Stats!$F$15="",Norm_Stats!$G$15="",Norm_Stats!$G$15=Norm_Stats!$F$15),"",MAX(0,MIN(100,100*(Norm_Stats!$G$15-MIN(MAX(City_Inputs!$AK84,Norm_Stats!$F$15),Norm_Stats!$G$15))/(Norm_Stats!$G$15-Norm_Stats!$F$15)))))="",0,0.3))=0,"",(IF((IF(OR(City_Inputs!$Z84="",Norm_Stats!$F$14="",Norm_Stats!$G$14="",Norm_Stats!$G$14=Norm_Stats!$F$14),"",MAX(0,MIN(100,100*(MIN(MAX(City_Inputs!$Z84,Norm_Stats!$F$14),Norm_Stats!$G$14)-Norm_Stats!$F$14)/(Norm_Stats!$G$14-Norm_Stats!$F$14)))))="",0,0.7)+IF((IF(OR(City_Inputs!$AK84="",Norm_Stats!$F$15="",Norm_Stats!$G$15="",Norm_Stats!$G$15=Norm_Stats!$F$15),"",MAX(0,MIN(100,100*(Norm_Stats!$G$15-MIN(MAX(City_Inputs!$AK84,Norm_Stats!$F$15),Norm_Stats!$G$15))/(Norm_Stats!$G$15-Norm_Stats!$F$15)))))="",0,0.3)))</f>
        <v/>
      </c>
      <c r="AK84" s="15">
        <f>IF((IF(AE84="",0,8)+IF(AG84="",0,6)+IF(AI84="",0,4))=0,"",(IF(AE84="",0,AE84*8)+IF(AG84="",0,AG84*6)+IF(AI84="",0,AI84*4))/(IF(AE84="",0,8)+IF(AG84="",0,6)+IF(AI84="",0,4)))</f>
        <v/>
      </c>
      <c r="AL84" s="14">
        <f>IF((IF(AF84="",0,8)+IF(AH84="",0,6)+IF(AJ84="",0,4))=0,"",(IF(AF84="",0,AF84*8)+IF(AH84="",0,AH84*6)+IF(AJ84="",0,AJ84*4))/18)</f>
        <v/>
      </c>
      <c r="AM84" s="11">
        <f>IF(OR(City_Inputs!$AA84="",Norm_Stats!$F$16="",Norm_Stats!$G$16="",Norm_Stats!$G$16=Norm_Stats!$F$16),"",MAX(0,MIN(100,100*(MIN(MAX(City_Inputs!$AA84,Norm_Stats!$F$16),Norm_Stats!$G$16)-Norm_Stats!$F$16)/(Norm_Stats!$G$16-Norm_Stats!$F$16))))</f>
        <v/>
      </c>
      <c r="AN84" s="14">
        <f>IF(AM84="","",1)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5">
        <f>IF((IF(AM84="",0,5)+IF(AO84="",0,5)+IF(AQ84="",0,5))=0,"",(IF(AM84="",0,AM84*5)+IF(AO84="",0,AO84*5)+IF(AQ84="",0,AQ84*5))/(IF(AM84="",0,5)+IF(AO84="",0,5)+IF(AQ84="",0,5)))</f>
        <v/>
      </c>
      <c r="AT84" s="14">
        <f>IF((IF(AN84="",0,5)+IF(AP84="",0,5)+IF(AR84="",0,5))=0,"",(IF(AN84="",0,AN84*5)+IF(AP84="",0,AP84*5)+IF(AR84="",0,AR84*5))/15)</f>
        <v/>
      </c>
      <c r="AU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V84" s="14">
        <f>IF(AU84="","",1)</f>
        <v/>
      </c>
      <c r="AW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X84" s="14">
        <f>IF(AW84="","",1)</f>
        <v/>
      </c>
      <c r="AY84" s="11">
        <f>IF((IF((IF(OR(City_Inputs!$AF84="",Norm_Stats!$F$21="",Norm_Stats!$G$21="",Norm_Stats!$G$21=Norm_Stats!$F$21),"",MAX(0,MIN(100,100*(MIN(MAX(City_Inputs!$AF84,Norm_Stats!$F$21),Norm_Stats!$G$21)-Norm_Stats!$F$21)/(Norm_Stats!$G$21-Norm_Stats!$F$21)))))="",0,0.5)+IF((IF(OR(City_Inputs!$AI84="",Norm_Stats!$F$22="",Norm_Stats!$G$22="",Norm_Stats!$G$22=Norm_Stats!$F$22),"",MAX(0,MIN(100,100*(MIN(MAX(City_Inputs!$AI84,Norm_Stats!$F$22),Norm_Stats!$G$22)-Norm_Stats!$F$22)/(Norm_Stats!$G$22-Norm_Stats!$F$22)))))="",0,0.3)+IF((IF(OR(City_Inputs!$AJ84="",Norm_Stats!$F$23="",Norm_Stats!$G$23="",Norm_Stats!$G$23=Norm_Stats!$F$23),"",MAX(0,MIN(100,100*(MIN(MAX(City_Inputs!$AJ84,Norm_Stats!$F$23),Norm_Stats!$G$23)-Norm_Stats!$F$23)/(Norm_Stats!$G$23-Norm_Stats!$F$23)))))="",0,0.2))=0,"",(IF((IF(OR(City_Inputs!$AF84="",Norm_Stats!$F$21="",Norm_Stats!$G$21="",Norm_Stats!$G$21=Norm_Stats!$F$21),"",MAX(0,MIN(100,100*(MIN(MAX(City_Inputs!$AF84,Norm_Stats!$F$21),Norm_Stats!$G$21)-Norm_Stats!$F$21)/(Norm_Stats!$G$21-Norm_Stats!$F$21)))))="",0,(IF(OR(City_Inputs!$AF84="",Norm_Stats!$F$21="",Norm_Stats!$G$21="",Norm_Stats!$G$21=Norm_Stats!$F$21),"",MAX(0,MIN(100,100*(MIN(MAX(City_Inputs!$AF84,Norm_Stats!$F$21),Norm_Stats!$G$21)-Norm_Stats!$F$21)/(Norm_Stats!$G$21-Norm_Stats!$F$21)))))*0.5)+IF((IF(OR(City_Inputs!$AI84="",Norm_Stats!$F$22="",Norm_Stats!$G$22="",Norm_Stats!$G$22=Norm_Stats!$F$22),"",MAX(0,MIN(100,100*(MIN(MAX(City_Inputs!$AI84,Norm_Stats!$F$22),Norm_Stats!$G$22)-Norm_Stats!$F$22)/(Norm_Stats!$G$22-Norm_Stats!$F$22)))))="",0,(IF(OR(City_Inputs!$AI84="",Norm_Stats!$F$22="",Norm_Stats!$G$22="",Norm_Stats!$G$22=Norm_Stats!$F$22),"",MAX(0,MIN(100,100*(MIN(MAX(City_Inputs!$AI84,Norm_Stats!$F$22),Norm_Stats!$G$22)-Norm_Stats!$F$22)/(Norm_Stats!$G$22-Norm_Stats!$F$22)))))*0.3)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0.2))/(IF((IF(OR(City_Inputs!$AF84="",Norm_Stats!$F$21="",Norm_Stats!$G$21="",Norm_Stats!$G$21=Norm_Stats!$F$21),"",MAX(0,MIN(100,100*(MIN(MAX(City_Inputs!$AF84,Norm_Stats!$F$21),Norm_Stats!$G$21)-Norm_Stats!$F$21)/(Norm_Stats!$G$21-Norm_Stats!$F$21)))))="",0,0.5)+IF((IF(OR(City_Inputs!$AI84="",Norm_Stats!$F$22="",Norm_Stats!$G$22="",Norm_Stats!$G$22=Norm_Stats!$F$22),"",MAX(0,MIN(100,100*(MIN(MAX(City_Inputs!$AI84,Norm_Stats!$F$22),Norm_Stats!$G$22)-Norm_Stats!$F$22)/(Norm_Stats!$G$22-Norm_Stats!$F$22)))))="",0,0.3)+IF((IF(OR(City_Inputs!$AJ84="",Norm_Stats!$F$23="",Norm_Stats!$G$23="",Norm_Stats!$G$23=Norm_Stats!$F$23),"",MAX(0,MIN(100,100*(MIN(MAX(City_Inputs!$AJ84,Norm_Stats!$F$23),Norm_Stats!$G$23)-Norm_Stats!$F$23)/(Norm_Stats!$G$23-Norm_Stats!$F$23)))))="",0,0.2)))</f>
        <v/>
      </c>
      <c r="AZ84" s="14">
        <f>IF((IF((IF(OR(City_Inputs!$AF84="",Norm_Stats!$F$21="",Norm_Stats!$G$21="",Norm_Stats!$G$21=Norm_Stats!$F$21),"",MAX(0,MIN(100,100*(MIN(MAX(City_Inputs!$AF84,Norm_Stats!$F$21),Norm_Stats!$G$21)-Norm_Stats!$F$21)/(Norm_Stats!$G$21-Norm_Stats!$F$21)))))="",0,0.5)+IF((IF(OR(City_Inputs!$AI84="",Norm_Stats!$F$22="",Norm_Stats!$G$22="",Norm_Stats!$G$22=Norm_Stats!$F$22),"",MAX(0,MIN(100,100*(MIN(MAX(City_Inputs!$AI84,Norm_Stats!$F$22),Norm_Stats!$G$22)-Norm_Stats!$F$22)/(Norm_Stats!$G$22-Norm_Stats!$F$22)))))="",0,0.3)+IF((IF(OR(City_Inputs!$AJ84="",Norm_Stats!$F$23="",Norm_Stats!$G$23="",Norm_Stats!$G$23=Norm_Stats!$F$23),"",MAX(0,MIN(100,100*(MIN(MAX(City_Inputs!$AJ84,Norm_Stats!$F$23),Norm_Stats!$G$23)-Norm_Stats!$F$23)/(Norm_Stats!$G$23-Norm_Stats!$F$23)))))="",0,0.2))=0,"",(IF((IF(OR(City_Inputs!$AF84="",Norm_Stats!$F$21="",Norm_Stats!$G$21="",Norm_Stats!$G$21=Norm_Stats!$F$21),"",MAX(0,MIN(100,100*(MIN(MAX(City_Inputs!$AF84,Norm_Stats!$F$21),Norm_Stats!$G$21)-Norm_Stats!$F$21)/(Norm_Stats!$G$21-Norm_Stats!$F$21)))))="",0,0.5)+IF((IF(OR(City_Inputs!$AI84="",Norm_Stats!$F$22="",Norm_Stats!$G$22="",Norm_Stats!$G$22=Norm_Stats!$F$22),"",MAX(0,MIN(100,100*(MIN(MAX(City_Inputs!$AI84,Norm_Stats!$F$22),Norm_Stats!$G$22)-Norm_Stats!$F$22)/(Norm_Stats!$G$22-Norm_Stats!$F$22)))))="",0,0.3)+IF((IF(OR(City_Inputs!$AJ84="",Norm_Stats!$F$23="",Norm_Stats!$G$23="",Norm_Stats!$G$23=Norm_Stats!$F$23),"",MAX(0,MIN(100,100*(MIN(MAX(City_Inputs!$AJ84,Norm_Stats!$F$23),Norm_Stats!$G$23)-Norm_Stats!$F$23)/(Norm_Stats!$G$23-Norm_Stats!$F$23)))))="",0,0.2)))</f>
        <v/>
      </c>
      <c r="BA84" s="11">
        <f>IF(OR(City_Inputs!$AG84="",Norm_Stats!$F$24="",Norm_Stats!$G$24="",Norm_Stats!$G$24=Norm_Stats!$F$24),"",MAX(0,MIN(100,100*(Norm_Stats!$G$24-MIN(MAX(City_Inputs!$AG84,Norm_Stats!$F$24),Norm_Stats!$G$24))/(Norm_Stats!$G$24-Norm_Stats!$F$24))))</f>
        <v/>
      </c>
      <c r="BB84" s="14">
        <f>IF(BA84="","",1)</f>
        <v/>
      </c>
      <c r="BC84" s="15">
        <f>IF((IF(AU84="",0,6)+IF(AW84="",0,5)+IF(AY84="",0,5)+IF(BA84="",0,4))=0,"",(IF(AU84="",0,AU84*6)+IF(AW84="",0,AW84*5)+IF(AY84="",0,AY84*5)+IF(BA84="",0,BA84*4))/(IF(AU84="",0,6)+IF(AW84="",0,5)+IF(AY84="",0,5)+IF(BA84="",0,4)))</f>
        <v/>
      </c>
      <c r="BD84" s="14">
        <f>IF((IF(AV84="",0,6)+IF(AX84="",0,5)+IF(AZ84="",0,5)+IF(BB84="",0,4))=0,"",(IF(AV84="",0,AV84*6)+IF(AX84="",0,AX84*5)+IF(AZ84="",0,AZ84*5)+IF(BB84="",0,BB84*4))/20)</f>
        <v/>
      </c>
      <c r="BE84" s="14">
        <f>IF(AND(R84="",AD84="",AL84="",AT84="",BD84=""),"",((R84*25)+(AD84*22)+(AL84*18)+(AT84*15)+(BD84*20))/100)</f>
        <v/>
      </c>
      <c r="BF84" s="11">
        <f>IF(BE84="","",IF(BE84&gt;=0.75,"A",IF(BE84&gt;=0.5,"B",IF(BE84&gt;=0.35,"C","Watchlist"))))</f>
        <v/>
      </c>
      <c r="BG84" s="11">
        <f>IF(OR(BE84="",BE84&lt;0.5,R84="",R84&lt;0.35,AD84="",AD84&lt;0.35,AL84="",AL84&lt;0.35,AT84="",AT84&lt;0.35,BD84="",BD84&lt;0.35),"Watchlist","Ranked")</f>
        <v/>
      </c>
      <c r="BH84" s="15">
        <f>IF(AND(Q84="",AC84="",AK84="",AS84="",BC84=""),"",(IF(Q84="",0,Q84*25)+IF(AC84="",0,AC84*22)+IF(AK84="",0,AK84*18)+IF(AS84="",0,AS84*15)+IF(BC84="",0,BC84*20))/(IF(Q84="",0,25)+IF(AC84="",0,22)+IF(AK84="",0,18)+IF(AS84="",0,15)+IF(BC84="",0,20)))</f>
        <v/>
      </c>
      <c r="BI84" s="11">
        <f>IF(BG84="Ranked",1+COUNTIFS($BG$2:$BG$101,"Ranked",$BH$2:$BH$101,"&gt;"&amp;BH84),"")</f>
        <v/>
      </c>
      <c r="BJ84" s="11">
        <f>City_Inputs!$AH84</f>
        <v/>
      </c>
    </row>
    <row r="85">
      <c r="A85" t="inlineStr">
        <is>
          <t>rw-kigali</t>
        </is>
      </c>
      <c r="B85" t="inlineStr">
        <is>
          <t>Kigali</t>
        </is>
      </c>
      <c r="C85" t="inlineStr">
        <is>
          <t>Rwanda</t>
        </is>
      </c>
      <c r="D85" t="inlineStr">
        <is>
          <t>Africa</t>
        </is>
      </c>
      <c r="E85" t="inlineStr">
        <is>
          <t>locked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IF((IF(G85="",0,9)+IF(I85="",0,5)+IF(K85="",0,4)+IF(M85="",0,4)+IF(O85="",0,3))=0,"",(IF(G85="",0,G85*9)+IF(I85="",0,I85*5)+IF(K85="",0,K85*4)+IF(M85="",0,M85*4)+IF(O85="",0,O85*3))/(IF(G85="",0,9)+IF(I85="",0,5)+IF(K85="",0,4)+IF(M85="",0,4)+IF(O85="",0,3)))</f>
        <v/>
      </c>
      <c r="R85" s="14">
        <f>IF((IF(H85="",0,9)+IF(J85="",0,5)+IF(L85="",0,4)+IF(N85="",0,4)+IF(P85="",0,3))=0,"",(IF(H85="",0,H85*9)+IF(J85="",0,J85*5)+IF(L85="",0,L85*4)+IF(N85="",0,N85*4)+IF(P85="",0,P85*3))/25)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5">
        <f>IF((IF(S85="",0,5)+IF(U85="",0,5)+IF(W85="",0,4)+IF(Y85="",0,4)+IF(AA85="",0,4))=0,"",(IF(S85="",0,S85*5)+IF(U85="",0,U85*5)+IF(W85="",0,W85*4)+IF(Y85="",0,Y85*4)+IF(AA85="",0,AA85*4))/(IF(S85="",0,5)+IF(U85="",0,5)+IF(W85="",0,4)+IF(Y85="",0,4)+IF(AA85="",0,4)))</f>
        <v/>
      </c>
      <c r="AD85" s="14">
        <f>IF((IF(T85="",0,5)+IF(V85="",0,5)+IF(X85="",0,4)+IF(Z85="",0,4)+IF(AB85="",0,4))=0,"",(IF(T85="",0,T85*5)+IF(V85="",0,V85*5)+IF(X85="",0,X85*4)+IF(Z85="",0,Z85*4)+IF(AB85="",0,AB85*4))/22)</f>
        <v/>
      </c>
      <c r="AE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F85" s="14">
        <f>IF(AE85="","",1)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(IF((IF(OR(City_Inputs!$Z85="",Norm_Stats!$F$14="",Norm_Stats!$G$14="",Norm_Stats!$G$14=Norm_Stats!$F$14),"",MAX(0,MIN(100,100*(MIN(MAX(City_Inputs!$Z85,Norm_Stats!$F$14),Norm_Stats!$G$14)-Norm_Stats!$F$14)/(Norm_Stats!$G$14-Norm_Stats!$F$14)))))="",0,0.7)+IF((IF(OR(City_Inputs!$AK85="",Norm_Stats!$F$15="",Norm_Stats!$G$15="",Norm_Stats!$G$15=Norm_Stats!$F$15),"",MAX(0,MIN(100,100*(Norm_Stats!$G$15-MIN(MAX(City_Inputs!$AK85,Norm_Stats!$F$15),Norm_Stats!$G$15))/(Norm_Stats!$G$15-Norm_Stats!$F$15)))))="",0,0.3))=0,"",(IF((IF(OR(City_Inputs!$Z85="",Norm_Stats!$F$14="",Norm_Stats!$G$14="",Norm_Stats!$G$14=Norm_Stats!$F$14),"",MAX(0,MIN(100,100*(MIN(MAX(City_Inputs!$Z85,Norm_Stats!$F$14),Norm_Stats!$G$14)-Norm_Stats!$F$14)/(Norm_Stats!$G$14-Norm_Stats!$F$14)))))="",0,(IF(OR(City_Inputs!$Z85="",Norm_Stats!$F$14="",Norm_Stats!$G$14="",Norm_Stats!$G$14=Norm_Stats!$F$14),"",MAX(0,MIN(100,100*(MIN(MAX(City_Inputs!$Z85,Norm_Stats!$F$14),Norm_Stats!$G$14)-Norm_Stats!$F$14)/(Norm_Stats!$G$14-Norm_Stats!$F$14)))))*0.7)+IF((IF(OR(City_Inputs!$AK85="",Norm_Stats!$F$15="",Norm_Stats!$G$15="",Norm_Stats!$G$15=Norm_Stats!$F$15),"",MAX(0,MIN(100,100*(Norm_Stats!$G$15-MIN(MAX(City_Inputs!$AK85,Norm_Stats!$F$15),Norm_Stats!$G$15))/(Norm_Stats!$G$15-Norm_Stats!$F$15)))))="",0,(IF(OR(City_Inputs!$AK85="",Norm_Stats!$F$15="",Norm_Stats!$G$15="",Norm_Stats!$G$15=Norm_Stats!$F$15),"",MAX(0,MIN(100,100*(Norm_Stats!$G$15-MIN(MAX(City_Inputs!$AK85,Norm_Stats!$F$15),Norm_Stats!$G$15))/(Norm_Stats!$G$15-Norm_Stats!$F$15)))))*0.3))/(IF((IF(OR(City_Inputs!$Z85="",Norm_Stats!$F$14="",Norm_Stats!$G$14="",Norm_Stats!$G$14=Norm_Stats!$F$14),"",MAX(0,MIN(100,100*(MIN(MAX(City_Inputs!$Z85,Norm_Stats!$F$14),Norm_Stats!$G$14)-Norm_Stats!$F$14)/(Norm_Stats!$G$14-Norm_Stats!$F$14)))))="",0,0.7)+IF((IF(OR(City_Inputs!$AK85="",Norm_Stats!$F$15="",Norm_Stats!$G$15="",Norm_Stats!$G$15=Norm_Stats!$F$15),"",MAX(0,MIN(100,100*(Norm_Stats!$G$15-MIN(MAX(City_Inputs!$AK85,Norm_Stats!$F$15),Norm_Stats!$G$15))/(Norm_Stats!$G$15-Norm_Stats!$F$15)))))="",0,0.3)))</f>
        <v/>
      </c>
      <c r="AJ85" s="14">
        <f>IF((IF((IF(OR(City_Inputs!$Z85="",Norm_Stats!$F$14="",Norm_Stats!$G$14="",Norm_Stats!$G$14=Norm_Stats!$F$14),"",MAX(0,MIN(100,100*(MIN(MAX(City_Inputs!$Z85,Norm_Stats!$F$14),Norm_Stats!$G$14)-Norm_Stats!$F$14)/(Norm_Stats!$G$14-Norm_Stats!$F$14)))))="",0,0.7)+IF((IF(OR(City_Inputs!$AK85="",Norm_Stats!$F$15="",Norm_Stats!$G$15="",Norm_Stats!$G$15=Norm_Stats!$F$15),"",MAX(0,MIN(100,100*(Norm_Stats!$G$15-MIN(MAX(City_Inputs!$AK85,Norm_Stats!$F$15),Norm_Stats!$G$15))/(Norm_Stats!$G$15-Norm_Stats!$F$15)))))="",0,0.3))=0,"",(IF((IF(OR(City_Inputs!$Z85="",Norm_Stats!$F$14="",Norm_Stats!$G$14="",Norm_Stats!$G$14=Norm_Stats!$F$14),"",MAX(0,MIN(100,100*(MIN(MAX(City_Inputs!$Z85,Norm_Stats!$F$14),Norm_Stats!$G$14)-Norm_Stats!$F$14)/(Norm_Stats!$G$14-Norm_Stats!$F$14)))))="",0,0.7)+IF((IF(OR(City_Inputs!$AK85="",Norm_Stats!$F$15="",Norm_Stats!$G$15="",Norm_Stats!$G$15=Norm_Stats!$F$15),"",MAX(0,MIN(100,100*(Norm_Stats!$G$15-MIN(MAX(City_Inputs!$AK85,Norm_Stats!$F$15),Norm_Stats!$G$15))/(Norm_Stats!$G$15-Norm_Stats!$F$15)))))="",0,0.3)))</f>
        <v/>
      </c>
      <c r="AK85" s="15">
        <f>IF((IF(AE85="",0,8)+IF(AG85="",0,6)+IF(AI85="",0,4))=0,"",(IF(AE85="",0,AE85*8)+IF(AG85="",0,AG85*6)+IF(AI85="",0,AI85*4))/(IF(AE85="",0,8)+IF(AG85="",0,6)+IF(AI85="",0,4)))</f>
        <v/>
      </c>
      <c r="AL85" s="14">
        <f>IF((IF(AF85="",0,8)+IF(AH85="",0,6)+IF(AJ85="",0,4))=0,"",(IF(AF85="",0,AF85*8)+IF(AH85="",0,AH85*6)+IF(AJ85="",0,AJ85*4))/18)</f>
        <v/>
      </c>
      <c r="AM85" s="11">
        <f>IF(OR(City_Inputs!$AA85="",Norm_Stats!$F$16="",Norm_Stats!$G$16="",Norm_Stats!$G$16=Norm_Stats!$F$16),"",MAX(0,MIN(100,100*(MIN(MAX(City_Inputs!$AA85,Norm_Stats!$F$16),Norm_Stats!$G$16)-Norm_Stats!$F$16)/(Norm_Stats!$G$16-Norm_Stats!$F$16))))</f>
        <v/>
      </c>
      <c r="AN85" s="14">
        <f>IF(AM85="","",1)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5">
        <f>IF((IF(AM85="",0,5)+IF(AO85="",0,5)+IF(AQ85="",0,5))=0,"",(IF(AM85="",0,AM85*5)+IF(AO85="",0,AO85*5)+IF(AQ85="",0,AQ85*5))/(IF(AM85="",0,5)+IF(AO85="",0,5)+IF(AQ85="",0,5)))</f>
        <v/>
      </c>
      <c r="AT85" s="14">
        <f>IF((IF(AN85="",0,5)+IF(AP85="",0,5)+IF(AR85="",0,5))=0,"",(IF(AN85="",0,AN85*5)+IF(AP85="",0,AP85*5)+IF(AR85="",0,AR85*5))/15)</f>
        <v/>
      </c>
      <c r="AU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V85" s="14">
        <f>IF(AU85="","",1)</f>
        <v/>
      </c>
      <c r="AW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X85" s="14">
        <f>IF(AW85="","",1)</f>
        <v/>
      </c>
      <c r="AY85" s="11">
        <f>IF((IF((IF(OR(City_Inputs!$AF85="",Norm_Stats!$F$21="",Norm_Stats!$G$21="",Norm_Stats!$G$21=Norm_Stats!$F$21),"",MAX(0,MIN(100,100*(MIN(MAX(City_Inputs!$AF85,Norm_Stats!$F$21),Norm_Stats!$G$21)-Norm_Stats!$F$21)/(Norm_Stats!$G$21-Norm_Stats!$F$21)))))="",0,0.5)+IF((IF(OR(City_Inputs!$AI85="",Norm_Stats!$F$22="",Norm_Stats!$G$22="",Norm_Stats!$G$22=Norm_Stats!$F$22),"",MAX(0,MIN(100,100*(MIN(MAX(City_Inputs!$AI85,Norm_Stats!$F$22),Norm_Stats!$G$22)-Norm_Stats!$F$22)/(Norm_Stats!$G$22-Norm_Stats!$F$22)))))="",0,0.3)+IF((IF(OR(City_Inputs!$AJ85="",Norm_Stats!$F$23="",Norm_Stats!$G$23="",Norm_Stats!$G$23=Norm_Stats!$F$23),"",MAX(0,MIN(100,100*(MIN(MAX(City_Inputs!$AJ85,Norm_Stats!$F$23),Norm_Stats!$G$23)-Norm_Stats!$F$23)/(Norm_Stats!$G$23-Norm_Stats!$F$23)))))="",0,0.2))=0,"",(IF((IF(OR(City_Inputs!$AF85="",Norm_Stats!$F$21="",Norm_Stats!$G$21="",Norm_Stats!$G$21=Norm_Stats!$F$21),"",MAX(0,MIN(100,100*(MIN(MAX(City_Inputs!$AF85,Norm_Stats!$F$21),Norm_Stats!$G$21)-Norm_Stats!$F$21)/(Norm_Stats!$G$21-Norm_Stats!$F$21)))))="",0,(IF(OR(City_Inputs!$AF85="",Norm_Stats!$F$21="",Norm_Stats!$G$21="",Norm_Stats!$G$21=Norm_Stats!$F$21),"",MAX(0,MIN(100,100*(MIN(MAX(City_Inputs!$AF85,Norm_Stats!$F$21),Norm_Stats!$G$21)-Norm_Stats!$F$21)/(Norm_Stats!$G$21-Norm_Stats!$F$21)))))*0.5)+IF((IF(OR(City_Inputs!$AI85="",Norm_Stats!$F$22="",Norm_Stats!$G$22="",Norm_Stats!$G$22=Norm_Stats!$F$22),"",MAX(0,MIN(100,100*(MIN(MAX(City_Inputs!$AI85,Norm_Stats!$F$22),Norm_Stats!$G$22)-Norm_Stats!$F$22)/(Norm_Stats!$G$22-Norm_Stats!$F$22)))))="",0,(IF(OR(City_Inputs!$AI85="",Norm_Stats!$F$22="",Norm_Stats!$G$22="",Norm_Stats!$G$22=Norm_Stats!$F$22),"",MAX(0,MIN(100,100*(MIN(MAX(City_Inputs!$AI85,Norm_Stats!$F$22),Norm_Stats!$G$22)-Norm_Stats!$F$22)/(Norm_Stats!$G$22-Norm_Stats!$F$22)))))*0.3)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0.2))/(IF((IF(OR(City_Inputs!$AF85="",Norm_Stats!$F$21="",Norm_Stats!$G$21="",Norm_Stats!$G$21=Norm_Stats!$F$21),"",MAX(0,MIN(100,100*(MIN(MAX(City_Inputs!$AF85,Norm_Stats!$F$21),Norm_Stats!$G$21)-Norm_Stats!$F$21)/(Norm_Stats!$G$21-Norm_Stats!$F$21)))))="",0,0.5)+IF((IF(OR(City_Inputs!$AI85="",Norm_Stats!$F$22="",Norm_Stats!$G$22="",Norm_Stats!$G$22=Norm_Stats!$F$22),"",MAX(0,MIN(100,100*(MIN(MAX(City_Inputs!$AI85,Norm_Stats!$F$22),Norm_Stats!$G$22)-Norm_Stats!$F$22)/(Norm_Stats!$G$22-Norm_Stats!$F$22)))))="",0,0.3)+IF((IF(OR(City_Inputs!$AJ85="",Norm_Stats!$F$23="",Norm_Stats!$G$23="",Norm_Stats!$G$23=Norm_Stats!$F$23),"",MAX(0,MIN(100,100*(MIN(MAX(City_Inputs!$AJ85,Norm_Stats!$F$23),Norm_Stats!$G$23)-Norm_Stats!$F$23)/(Norm_Stats!$G$23-Norm_Stats!$F$23)))))="",0,0.2)))</f>
        <v/>
      </c>
      <c r="AZ85" s="14">
        <f>IF((IF((IF(OR(City_Inputs!$AF85="",Norm_Stats!$F$21="",Norm_Stats!$G$21="",Norm_Stats!$G$21=Norm_Stats!$F$21),"",MAX(0,MIN(100,100*(MIN(MAX(City_Inputs!$AF85,Norm_Stats!$F$21),Norm_Stats!$G$21)-Norm_Stats!$F$21)/(Norm_Stats!$G$21-Norm_Stats!$F$21)))))="",0,0.5)+IF((IF(OR(City_Inputs!$AI85="",Norm_Stats!$F$22="",Norm_Stats!$G$22="",Norm_Stats!$G$22=Norm_Stats!$F$22),"",MAX(0,MIN(100,100*(MIN(MAX(City_Inputs!$AI85,Norm_Stats!$F$22),Norm_Stats!$G$22)-Norm_Stats!$F$22)/(Norm_Stats!$G$22-Norm_Stats!$F$22)))))="",0,0.3)+IF((IF(OR(City_Inputs!$AJ85="",Norm_Stats!$F$23="",Norm_Stats!$G$23="",Norm_Stats!$G$23=Norm_Stats!$F$23),"",MAX(0,MIN(100,100*(MIN(MAX(City_Inputs!$AJ85,Norm_Stats!$F$23),Norm_Stats!$G$23)-Norm_Stats!$F$23)/(Norm_Stats!$G$23-Norm_Stats!$F$23)))))="",0,0.2))=0,"",(IF((IF(OR(City_Inputs!$AF85="",Norm_Stats!$F$21="",Norm_Stats!$G$21="",Norm_Stats!$G$21=Norm_Stats!$F$21),"",MAX(0,MIN(100,100*(MIN(MAX(City_Inputs!$AF85,Norm_Stats!$F$21),Norm_Stats!$G$21)-Norm_Stats!$F$21)/(Norm_Stats!$G$21-Norm_Stats!$F$21)))))="",0,0.5)+IF((IF(OR(City_Inputs!$AI85="",Norm_Stats!$F$22="",Norm_Stats!$G$22="",Norm_Stats!$G$22=Norm_Stats!$F$22),"",MAX(0,MIN(100,100*(MIN(MAX(City_Inputs!$AI85,Norm_Stats!$F$22),Norm_Stats!$G$22)-Norm_Stats!$F$22)/(Norm_Stats!$G$22-Norm_Stats!$F$22)))))="",0,0.3)+IF((IF(OR(City_Inputs!$AJ85="",Norm_Stats!$F$23="",Norm_Stats!$G$23="",Norm_Stats!$G$23=Norm_Stats!$F$23),"",MAX(0,MIN(100,100*(MIN(MAX(City_Inputs!$AJ85,Norm_Stats!$F$23),Norm_Stats!$G$23)-Norm_Stats!$F$23)/(Norm_Stats!$G$23-Norm_Stats!$F$23)))))="",0,0.2)))</f>
        <v/>
      </c>
      <c r="BA85" s="11">
        <f>IF(OR(City_Inputs!$AG85="",Norm_Stats!$F$24="",Norm_Stats!$G$24="",Norm_Stats!$G$24=Norm_Stats!$F$24),"",MAX(0,MIN(100,100*(Norm_Stats!$G$24-MIN(MAX(City_Inputs!$AG85,Norm_Stats!$F$24),Norm_Stats!$G$24))/(Norm_Stats!$G$24-Norm_Stats!$F$24))))</f>
        <v/>
      </c>
      <c r="BB85" s="14">
        <f>IF(BA85="","",1)</f>
        <v/>
      </c>
      <c r="BC85" s="15">
        <f>IF((IF(AU85="",0,6)+IF(AW85="",0,5)+IF(AY85="",0,5)+IF(BA85="",0,4))=0,"",(IF(AU85="",0,AU85*6)+IF(AW85="",0,AW85*5)+IF(AY85="",0,AY85*5)+IF(BA85="",0,BA85*4))/(IF(AU85="",0,6)+IF(AW85="",0,5)+IF(AY85="",0,5)+IF(BA85="",0,4)))</f>
        <v/>
      </c>
      <c r="BD85" s="14">
        <f>IF((IF(AV85="",0,6)+IF(AX85="",0,5)+IF(AZ85="",0,5)+IF(BB85="",0,4))=0,"",(IF(AV85="",0,AV85*6)+IF(AX85="",0,AX85*5)+IF(AZ85="",0,AZ85*5)+IF(BB85="",0,BB85*4))/20)</f>
        <v/>
      </c>
      <c r="BE85" s="14">
        <f>IF(AND(R85="",AD85="",AL85="",AT85="",BD85=""),"",((R85*25)+(AD85*22)+(AL85*18)+(AT85*15)+(BD85*20))/100)</f>
        <v/>
      </c>
      <c r="BF85" s="11">
        <f>IF(BE85="","",IF(BE85&gt;=0.75,"A",IF(BE85&gt;=0.5,"B",IF(BE85&gt;=0.35,"C","Watchlist"))))</f>
        <v/>
      </c>
      <c r="BG85" s="11">
        <f>IF(OR(BE85="",BE85&lt;0.5,R85="",R85&lt;0.35,AD85="",AD85&lt;0.35,AL85="",AL85&lt;0.35,AT85="",AT85&lt;0.35,BD85="",BD85&lt;0.35),"Watchlist","Ranked")</f>
        <v/>
      </c>
      <c r="BH85" s="15">
        <f>IF(AND(Q85="",AC85="",AK85="",AS85="",BC85=""),"",(IF(Q85="",0,Q85*25)+IF(AC85="",0,AC85*22)+IF(AK85="",0,AK85*18)+IF(AS85="",0,AS85*15)+IF(BC85="",0,BC85*20))/(IF(Q85="",0,25)+IF(AC85="",0,22)+IF(AK85="",0,18)+IF(AS85="",0,15)+IF(BC85="",0,20)))</f>
        <v/>
      </c>
      <c r="BI85" s="11">
        <f>IF(BG85="Ranked",1+COUNTIFS($BG$2:$BG$101,"Ranked",$BH$2:$BH$101,"&gt;"&amp;BH85),"")</f>
        <v/>
      </c>
      <c r="BJ85" s="11">
        <f>City_Inputs!$AH85</f>
        <v/>
      </c>
    </row>
    <row r="86">
      <c r="A86" t="inlineStr">
        <is>
          <t>ma-casablanca</t>
        </is>
      </c>
      <c r="B86" t="inlineStr">
        <is>
          <t>Casablanca</t>
        </is>
      </c>
      <c r="C86" t="inlineStr">
        <is>
          <t>Morocco</t>
        </is>
      </c>
      <c r="D86" t="inlineStr">
        <is>
          <t>Africa</t>
        </is>
      </c>
      <c r="E86" t="inlineStr">
        <is>
          <t>provisional</t>
        </is>
      </c>
      <c r="F86" t="inlineStr">
        <is>
          <t>primary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IF((IF(G86="",0,9)+IF(I86="",0,5)+IF(K86="",0,4)+IF(M86="",0,4)+IF(O86="",0,3))=0,"",(IF(G86="",0,G86*9)+IF(I86="",0,I86*5)+IF(K86="",0,K86*4)+IF(M86="",0,M86*4)+IF(O86="",0,O86*3))/(IF(G86="",0,9)+IF(I86="",0,5)+IF(K86="",0,4)+IF(M86="",0,4)+IF(O86="",0,3)))</f>
        <v/>
      </c>
      <c r="R86" s="14">
        <f>IF((IF(H86="",0,9)+IF(J86="",0,5)+IF(L86="",0,4)+IF(N86="",0,4)+IF(P86="",0,3))=0,"",(IF(H86="",0,H86*9)+IF(J86="",0,J86*5)+IF(L86="",0,L86*4)+IF(N86="",0,N86*4)+IF(P86="",0,P86*3))/25)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5">
        <f>IF((IF(S86="",0,5)+IF(U86="",0,5)+IF(W86="",0,4)+IF(Y86="",0,4)+IF(AA86="",0,4))=0,"",(IF(S86="",0,S86*5)+IF(U86="",0,U86*5)+IF(W86="",0,W86*4)+IF(Y86="",0,Y86*4)+IF(AA86="",0,AA86*4))/(IF(S86="",0,5)+IF(U86="",0,5)+IF(W86="",0,4)+IF(Y86="",0,4)+IF(AA86="",0,4)))</f>
        <v/>
      </c>
      <c r="AD86" s="14">
        <f>IF((IF(T86="",0,5)+IF(V86="",0,5)+IF(X86="",0,4)+IF(Z86="",0,4)+IF(AB86="",0,4))=0,"",(IF(T86="",0,T86*5)+IF(V86="",0,V86*5)+IF(X86="",0,X86*4)+IF(Z86="",0,Z86*4)+IF(AB86="",0,AB86*4))/22)</f>
        <v/>
      </c>
      <c r="AE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F86" s="14">
        <f>IF(AE86="","",1)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(IF((IF(OR(City_Inputs!$Z86="",Norm_Stats!$F$14="",Norm_Stats!$G$14="",Norm_Stats!$G$14=Norm_Stats!$F$14),"",MAX(0,MIN(100,100*(MIN(MAX(City_Inputs!$Z86,Norm_Stats!$F$14),Norm_Stats!$G$14)-Norm_Stats!$F$14)/(Norm_Stats!$G$14-Norm_Stats!$F$14)))))="",0,0.7)+IF((IF(OR(City_Inputs!$AK86="",Norm_Stats!$F$15="",Norm_Stats!$G$15="",Norm_Stats!$G$15=Norm_Stats!$F$15),"",MAX(0,MIN(100,100*(Norm_Stats!$G$15-MIN(MAX(City_Inputs!$AK86,Norm_Stats!$F$15),Norm_Stats!$G$15))/(Norm_Stats!$G$15-Norm_Stats!$F$15)))))="",0,0.3))=0,"",(IF((IF(OR(City_Inputs!$Z86="",Norm_Stats!$F$14="",Norm_Stats!$G$14="",Norm_Stats!$G$14=Norm_Stats!$F$14),"",MAX(0,MIN(100,100*(MIN(MAX(City_Inputs!$Z86,Norm_Stats!$F$14),Norm_Stats!$G$14)-Norm_Stats!$F$14)/(Norm_Stats!$G$14-Norm_Stats!$F$14)))))="",0,(IF(OR(City_Inputs!$Z86="",Norm_Stats!$F$14="",Norm_Stats!$G$14="",Norm_Stats!$G$14=Norm_Stats!$F$14),"",MAX(0,MIN(100,100*(MIN(MAX(City_Inputs!$Z86,Norm_Stats!$F$14),Norm_Stats!$G$14)-Norm_Stats!$F$14)/(Norm_Stats!$G$14-Norm_Stats!$F$14)))))*0.7)+IF((IF(OR(City_Inputs!$AK86="",Norm_Stats!$F$15="",Norm_Stats!$G$15="",Norm_Stats!$G$15=Norm_Stats!$F$15),"",MAX(0,MIN(100,100*(Norm_Stats!$G$15-MIN(MAX(City_Inputs!$AK86,Norm_Stats!$F$15),Norm_Stats!$G$15))/(Norm_Stats!$G$15-Norm_Stats!$F$15)))))="",0,(IF(OR(City_Inputs!$AK86="",Norm_Stats!$F$15="",Norm_Stats!$G$15="",Norm_Stats!$G$15=Norm_Stats!$F$15),"",MAX(0,MIN(100,100*(Norm_Stats!$G$15-MIN(MAX(City_Inputs!$AK86,Norm_Stats!$F$15),Norm_Stats!$G$15))/(Norm_Stats!$G$15-Norm_Stats!$F$15)))))*0.3))/(IF((IF(OR(City_Inputs!$Z86="",Norm_Stats!$F$14="",Norm_Stats!$G$14="",Norm_Stats!$G$14=Norm_Stats!$F$14),"",MAX(0,MIN(100,100*(MIN(MAX(City_Inputs!$Z86,Norm_Stats!$F$14),Norm_Stats!$G$14)-Norm_Stats!$F$14)/(Norm_Stats!$G$14-Norm_Stats!$F$14)))))="",0,0.7)+IF((IF(OR(City_Inputs!$AK86="",Norm_Stats!$F$15="",Norm_Stats!$G$15="",Norm_Stats!$G$15=Norm_Stats!$F$15),"",MAX(0,MIN(100,100*(Norm_Stats!$G$15-MIN(MAX(City_Inputs!$AK86,Norm_Stats!$F$15),Norm_Stats!$G$15))/(Norm_Stats!$G$15-Norm_Stats!$F$15)))))="",0,0.3)))</f>
        <v/>
      </c>
      <c r="AJ86" s="14">
        <f>IF((IF((IF(OR(City_Inputs!$Z86="",Norm_Stats!$F$14="",Norm_Stats!$G$14="",Norm_Stats!$G$14=Norm_Stats!$F$14),"",MAX(0,MIN(100,100*(MIN(MAX(City_Inputs!$Z86,Norm_Stats!$F$14),Norm_Stats!$G$14)-Norm_Stats!$F$14)/(Norm_Stats!$G$14-Norm_Stats!$F$14)))))="",0,0.7)+IF((IF(OR(City_Inputs!$AK86="",Norm_Stats!$F$15="",Norm_Stats!$G$15="",Norm_Stats!$G$15=Norm_Stats!$F$15),"",MAX(0,MIN(100,100*(Norm_Stats!$G$15-MIN(MAX(City_Inputs!$AK86,Norm_Stats!$F$15),Norm_Stats!$G$15))/(Norm_Stats!$G$15-Norm_Stats!$F$15)))))="",0,0.3))=0,"",(IF((IF(OR(City_Inputs!$Z86="",Norm_Stats!$F$14="",Norm_Stats!$G$14="",Norm_Stats!$G$14=Norm_Stats!$F$14),"",MAX(0,MIN(100,100*(MIN(MAX(City_Inputs!$Z86,Norm_Stats!$F$14),Norm_Stats!$G$14)-Norm_Stats!$F$14)/(Norm_Stats!$G$14-Norm_Stats!$F$14)))))="",0,0.7)+IF((IF(OR(City_Inputs!$AK86="",Norm_Stats!$F$15="",Norm_Stats!$G$15="",Norm_Stats!$G$15=Norm_Stats!$F$15),"",MAX(0,MIN(100,100*(Norm_Stats!$G$15-MIN(MAX(City_Inputs!$AK86,Norm_Stats!$F$15),Norm_Stats!$G$15))/(Norm_Stats!$G$15-Norm_Stats!$F$15)))))="",0,0.3)))</f>
        <v/>
      </c>
      <c r="AK86" s="15">
        <f>IF((IF(AE86="",0,8)+IF(AG86="",0,6)+IF(AI86="",0,4))=0,"",(IF(AE86="",0,AE86*8)+IF(AG86="",0,AG86*6)+IF(AI86="",0,AI86*4))/(IF(AE86="",0,8)+IF(AG86="",0,6)+IF(AI86="",0,4)))</f>
        <v/>
      </c>
      <c r="AL86" s="14">
        <f>IF((IF(AF86="",0,8)+IF(AH86="",0,6)+IF(AJ86="",0,4))=0,"",(IF(AF86="",0,AF86*8)+IF(AH86="",0,AH86*6)+IF(AJ86="",0,AJ86*4))/18)</f>
        <v/>
      </c>
      <c r="AM86" s="11">
        <f>IF(OR(City_Inputs!$AA86="",Norm_Stats!$F$16="",Norm_Stats!$G$16="",Norm_Stats!$G$16=Norm_Stats!$F$16),"",MAX(0,MIN(100,100*(MIN(MAX(City_Inputs!$AA86,Norm_Stats!$F$16),Norm_Stats!$G$16)-Norm_Stats!$F$16)/(Norm_Stats!$G$16-Norm_Stats!$F$16))))</f>
        <v/>
      </c>
      <c r="AN86" s="14">
        <f>IF(AM86="","",1)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5">
        <f>IF((IF(AM86="",0,5)+IF(AO86="",0,5)+IF(AQ86="",0,5))=0,"",(IF(AM86="",0,AM86*5)+IF(AO86="",0,AO86*5)+IF(AQ86="",0,AQ86*5))/(IF(AM86="",0,5)+IF(AO86="",0,5)+IF(AQ86="",0,5)))</f>
        <v/>
      </c>
      <c r="AT86" s="14">
        <f>IF((IF(AN86="",0,5)+IF(AP86="",0,5)+IF(AR86="",0,5))=0,"",(IF(AN86="",0,AN86*5)+IF(AP86="",0,AP86*5)+IF(AR86="",0,AR86*5))/15)</f>
        <v/>
      </c>
      <c r="AU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V86" s="14">
        <f>IF(AU86="","",1)</f>
        <v/>
      </c>
      <c r="AW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X86" s="14">
        <f>IF(AW86="","",1)</f>
        <v/>
      </c>
      <c r="AY86" s="11">
        <f>IF((IF((IF(OR(City_Inputs!$AF86="",Norm_Stats!$F$21="",Norm_Stats!$G$21="",Norm_Stats!$G$21=Norm_Stats!$F$21),"",MAX(0,MIN(100,100*(MIN(MAX(City_Inputs!$AF86,Norm_Stats!$F$21),Norm_Stats!$G$21)-Norm_Stats!$F$21)/(Norm_Stats!$G$21-Norm_Stats!$F$21)))))="",0,0.5)+IF((IF(OR(City_Inputs!$AI86="",Norm_Stats!$F$22="",Norm_Stats!$G$22="",Norm_Stats!$G$22=Norm_Stats!$F$22),"",MAX(0,MIN(100,100*(MIN(MAX(City_Inputs!$AI86,Norm_Stats!$F$22),Norm_Stats!$G$22)-Norm_Stats!$F$22)/(Norm_Stats!$G$22-Norm_Stats!$F$22)))))="",0,0.3)+IF((IF(OR(City_Inputs!$AJ86="",Norm_Stats!$F$23="",Norm_Stats!$G$23="",Norm_Stats!$G$23=Norm_Stats!$F$23),"",MAX(0,MIN(100,100*(MIN(MAX(City_Inputs!$AJ86,Norm_Stats!$F$23),Norm_Stats!$G$23)-Norm_Stats!$F$23)/(Norm_Stats!$G$23-Norm_Stats!$F$23)))))="",0,0.2))=0,"",(IF((IF(OR(City_Inputs!$AF86="",Norm_Stats!$F$21="",Norm_Stats!$G$21="",Norm_Stats!$G$21=Norm_Stats!$F$21),"",MAX(0,MIN(100,100*(MIN(MAX(City_Inputs!$AF86,Norm_Stats!$F$21),Norm_Stats!$G$21)-Norm_Stats!$F$21)/(Norm_Stats!$G$21-Norm_Stats!$F$21)))))="",0,(IF(OR(City_Inputs!$AF86="",Norm_Stats!$F$21="",Norm_Stats!$G$21="",Norm_Stats!$G$21=Norm_Stats!$F$21),"",MAX(0,MIN(100,100*(MIN(MAX(City_Inputs!$AF86,Norm_Stats!$F$21),Norm_Stats!$G$21)-Norm_Stats!$F$21)/(Norm_Stats!$G$21-Norm_Stats!$F$21)))))*0.5)+IF((IF(OR(City_Inputs!$AI86="",Norm_Stats!$F$22="",Norm_Stats!$G$22="",Norm_Stats!$G$22=Norm_Stats!$F$22),"",MAX(0,MIN(100,100*(MIN(MAX(City_Inputs!$AI86,Norm_Stats!$F$22),Norm_Stats!$G$22)-Norm_Stats!$F$22)/(Norm_Stats!$G$22-Norm_Stats!$F$22)))))="",0,(IF(OR(City_Inputs!$AI86="",Norm_Stats!$F$22="",Norm_Stats!$G$22="",Norm_Stats!$G$22=Norm_Stats!$F$22),"",MAX(0,MIN(100,100*(MIN(MAX(City_Inputs!$AI86,Norm_Stats!$F$22),Norm_Stats!$G$22)-Norm_Stats!$F$22)/(Norm_Stats!$G$22-Norm_Stats!$F$22)))))*0.3)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0.2))/(IF((IF(OR(City_Inputs!$AF86="",Norm_Stats!$F$21="",Norm_Stats!$G$21="",Norm_Stats!$G$21=Norm_Stats!$F$21),"",MAX(0,MIN(100,100*(MIN(MAX(City_Inputs!$AF86,Norm_Stats!$F$21),Norm_Stats!$G$21)-Norm_Stats!$F$21)/(Norm_Stats!$G$21-Norm_Stats!$F$21)))))="",0,0.5)+IF((IF(OR(City_Inputs!$AI86="",Norm_Stats!$F$22="",Norm_Stats!$G$22="",Norm_Stats!$G$22=Norm_Stats!$F$22),"",MAX(0,MIN(100,100*(MIN(MAX(City_Inputs!$AI86,Norm_Stats!$F$22),Norm_Stats!$G$22)-Norm_Stats!$F$22)/(Norm_Stats!$G$22-Norm_Stats!$F$22)))))="",0,0.3)+IF((IF(OR(City_Inputs!$AJ86="",Norm_Stats!$F$23="",Norm_Stats!$G$23="",Norm_Stats!$G$23=Norm_Stats!$F$23),"",MAX(0,MIN(100,100*(MIN(MAX(City_Inputs!$AJ86,Norm_Stats!$F$23),Norm_Stats!$G$23)-Norm_Stats!$F$23)/(Norm_Stats!$G$23-Norm_Stats!$F$23)))))="",0,0.2)))</f>
        <v/>
      </c>
      <c r="AZ86" s="14">
        <f>IF((IF((IF(OR(City_Inputs!$AF86="",Norm_Stats!$F$21="",Norm_Stats!$G$21="",Norm_Stats!$G$21=Norm_Stats!$F$21),"",MAX(0,MIN(100,100*(MIN(MAX(City_Inputs!$AF86,Norm_Stats!$F$21),Norm_Stats!$G$21)-Norm_Stats!$F$21)/(Norm_Stats!$G$21-Norm_Stats!$F$21)))))="",0,0.5)+IF((IF(OR(City_Inputs!$AI86="",Norm_Stats!$F$22="",Norm_Stats!$G$22="",Norm_Stats!$G$22=Norm_Stats!$F$22),"",MAX(0,MIN(100,100*(MIN(MAX(City_Inputs!$AI86,Norm_Stats!$F$22),Norm_Stats!$G$22)-Norm_Stats!$F$22)/(Norm_Stats!$G$22-Norm_Stats!$F$22)))))="",0,0.3)+IF((IF(OR(City_Inputs!$AJ86="",Norm_Stats!$F$23="",Norm_Stats!$G$23="",Norm_Stats!$G$23=Norm_Stats!$F$23),"",MAX(0,MIN(100,100*(MIN(MAX(City_Inputs!$AJ86,Norm_Stats!$F$23),Norm_Stats!$G$23)-Norm_Stats!$F$23)/(Norm_Stats!$G$23-Norm_Stats!$F$23)))))="",0,0.2))=0,"",(IF((IF(OR(City_Inputs!$AF86="",Norm_Stats!$F$21="",Norm_Stats!$G$21="",Norm_Stats!$G$21=Norm_Stats!$F$21),"",MAX(0,MIN(100,100*(MIN(MAX(City_Inputs!$AF86,Norm_Stats!$F$21),Norm_Stats!$G$21)-Norm_Stats!$F$21)/(Norm_Stats!$G$21-Norm_Stats!$F$21)))))="",0,0.5)+IF((IF(OR(City_Inputs!$AI86="",Norm_Stats!$F$22="",Norm_Stats!$G$22="",Norm_Stats!$G$22=Norm_Stats!$F$22),"",MAX(0,MIN(100,100*(MIN(MAX(City_Inputs!$AI86,Norm_Stats!$F$22),Norm_Stats!$G$22)-Norm_Stats!$F$22)/(Norm_Stats!$G$22-Norm_Stats!$F$22)))))="",0,0.3)+IF((IF(OR(City_Inputs!$AJ86="",Norm_Stats!$F$23="",Norm_Stats!$G$23="",Norm_Stats!$G$23=Norm_Stats!$F$23),"",MAX(0,MIN(100,100*(MIN(MAX(City_Inputs!$AJ86,Norm_Stats!$F$23),Norm_Stats!$G$23)-Norm_Stats!$F$23)/(Norm_Stats!$G$23-Norm_Stats!$F$23)))))="",0,0.2)))</f>
        <v/>
      </c>
      <c r="BA86" s="11">
        <f>IF(OR(City_Inputs!$AG86="",Norm_Stats!$F$24="",Norm_Stats!$G$24="",Norm_Stats!$G$24=Norm_Stats!$F$24),"",MAX(0,MIN(100,100*(Norm_Stats!$G$24-MIN(MAX(City_Inputs!$AG86,Norm_Stats!$F$24),Norm_Stats!$G$24))/(Norm_Stats!$G$24-Norm_Stats!$F$24))))</f>
        <v/>
      </c>
      <c r="BB86" s="14">
        <f>IF(BA86="","",1)</f>
        <v/>
      </c>
      <c r="BC86" s="15">
        <f>IF((IF(AU86="",0,6)+IF(AW86="",0,5)+IF(AY86="",0,5)+IF(BA86="",0,4))=0,"",(IF(AU86="",0,AU86*6)+IF(AW86="",0,AW86*5)+IF(AY86="",0,AY86*5)+IF(BA86="",0,BA86*4))/(IF(AU86="",0,6)+IF(AW86="",0,5)+IF(AY86="",0,5)+IF(BA86="",0,4)))</f>
        <v/>
      </c>
      <c r="BD86" s="14">
        <f>IF((IF(AV86="",0,6)+IF(AX86="",0,5)+IF(AZ86="",0,5)+IF(BB86="",0,4))=0,"",(IF(AV86="",0,AV86*6)+IF(AX86="",0,AX86*5)+IF(AZ86="",0,AZ86*5)+IF(BB86="",0,BB86*4))/20)</f>
        <v/>
      </c>
      <c r="BE86" s="14">
        <f>IF(AND(R86="",AD86="",AL86="",AT86="",BD86=""),"",((R86*25)+(AD86*22)+(AL86*18)+(AT86*15)+(BD86*20))/100)</f>
        <v/>
      </c>
      <c r="BF86" s="11">
        <f>IF(BE86="","",IF(BE86&gt;=0.75,"A",IF(BE86&gt;=0.5,"B",IF(BE86&gt;=0.35,"C","Watchlist"))))</f>
        <v/>
      </c>
      <c r="BG86" s="11">
        <f>IF(OR(BE86="",BE86&lt;0.5,R86="",R86&lt;0.35,AD86="",AD86&lt;0.35,AL86="",AL86&lt;0.35,AT86="",AT86&lt;0.35,BD86="",BD86&lt;0.35),"Watchlist","Ranked")</f>
        <v/>
      </c>
      <c r="BH86" s="15">
        <f>IF(AND(Q86="",AC86="",AK86="",AS86="",BC86=""),"",(IF(Q86="",0,Q86*25)+IF(AC86="",0,AC86*22)+IF(AK86="",0,AK86*18)+IF(AS86="",0,AS86*15)+IF(BC86="",0,BC86*20))/(IF(Q86="",0,25)+IF(AC86="",0,22)+IF(AK86="",0,18)+IF(AS86="",0,15)+IF(BC86="",0,20)))</f>
        <v/>
      </c>
      <c r="BI86" s="11">
        <f>IF(BG86="Ranked",1+COUNTIFS($BG$2:$BG$101,"Ranked",$BH$2:$BH$101,"&gt;"&amp;BH86),"")</f>
        <v/>
      </c>
      <c r="BJ86" s="11">
        <f>City_Inputs!$AH86</f>
        <v/>
      </c>
    </row>
    <row r="87">
      <c r="A87" t="inlineStr">
        <is>
          <t>mu-port-louis</t>
        </is>
      </c>
      <c r="B87" t="inlineStr">
        <is>
          <t>Port Louis</t>
        </is>
      </c>
      <c r="C87" t="inlineStr">
        <is>
          <t>Mauritius</t>
        </is>
      </c>
      <c r="D87" t="inlineStr">
        <is>
          <t>Africa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IF((IF(G87="",0,9)+IF(I87="",0,5)+IF(K87="",0,4)+IF(M87="",0,4)+IF(O87="",0,3))=0,"",(IF(G87="",0,G87*9)+IF(I87="",0,I87*5)+IF(K87="",0,K87*4)+IF(M87="",0,M87*4)+IF(O87="",0,O87*3))/(IF(G87="",0,9)+IF(I87="",0,5)+IF(K87="",0,4)+IF(M87="",0,4)+IF(O87="",0,3)))</f>
        <v/>
      </c>
      <c r="R87" s="14">
        <f>IF((IF(H87="",0,9)+IF(J87="",0,5)+IF(L87="",0,4)+IF(N87="",0,4)+IF(P87="",0,3))=0,"",(IF(H87="",0,H87*9)+IF(J87="",0,J87*5)+IF(L87="",0,L87*4)+IF(N87="",0,N87*4)+IF(P87="",0,P87*3))/25)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5">
        <f>IF((IF(S87="",0,5)+IF(U87="",0,5)+IF(W87="",0,4)+IF(Y87="",0,4)+IF(AA87="",0,4))=0,"",(IF(S87="",0,S87*5)+IF(U87="",0,U87*5)+IF(W87="",0,W87*4)+IF(Y87="",0,Y87*4)+IF(AA87="",0,AA87*4))/(IF(S87="",0,5)+IF(U87="",0,5)+IF(W87="",0,4)+IF(Y87="",0,4)+IF(AA87="",0,4)))</f>
        <v/>
      </c>
      <c r="AD87" s="14">
        <f>IF((IF(T87="",0,5)+IF(V87="",0,5)+IF(X87="",0,4)+IF(Z87="",0,4)+IF(AB87="",0,4))=0,"",(IF(T87="",0,T87*5)+IF(V87="",0,V87*5)+IF(X87="",0,X87*4)+IF(Z87="",0,Z87*4)+IF(AB87="",0,AB87*4))/22)</f>
        <v/>
      </c>
      <c r="AE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F87" s="14">
        <f>IF(AE87="","",1)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(IF((IF(OR(City_Inputs!$Z87="",Norm_Stats!$F$14="",Norm_Stats!$G$14="",Norm_Stats!$G$14=Norm_Stats!$F$14),"",MAX(0,MIN(100,100*(MIN(MAX(City_Inputs!$Z87,Norm_Stats!$F$14),Norm_Stats!$G$14)-Norm_Stats!$F$14)/(Norm_Stats!$G$14-Norm_Stats!$F$14)))))="",0,0.7)+IF((IF(OR(City_Inputs!$AK87="",Norm_Stats!$F$15="",Norm_Stats!$G$15="",Norm_Stats!$G$15=Norm_Stats!$F$15),"",MAX(0,MIN(100,100*(Norm_Stats!$G$15-MIN(MAX(City_Inputs!$AK87,Norm_Stats!$F$15),Norm_Stats!$G$15))/(Norm_Stats!$G$15-Norm_Stats!$F$15)))))="",0,0.3))=0,"",(IF((IF(OR(City_Inputs!$Z87="",Norm_Stats!$F$14="",Norm_Stats!$G$14="",Norm_Stats!$G$14=Norm_Stats!$F$14),"",MAX(0,MIN(100,100*(MIN(MAX(City_Inputs!$Z87,Norm_Stats!$F$14),Norm_Stats!$G$14)-Norm_Stats!$F$14)/(Norm_Stats!$G$14-Norm_Stats!$F$14)))))="",0,(IF(OR(City_Inputs!$Z87="",Norm_Stats!$F$14="",Norm_Stats!$G$14="",Norm_Stats!$G$14=Norm_Stats!$F$14),"",MAX(0,MIN(100,100*(MIN(MAX(City_Inputs!$Z87,Norm_Stats!$F$14),Norm_Stats!$G$14)-Norm_Stats!$F$14)/(Norm_Stats!$G$14-Norm_Stats!$F$14)))))*0.7)+IF((IF(OR(City_Inputs!$AK87="",Norm_Stats!$F$15="",Norm_Stats!$G$15="",Norm_Stats!$G$15=Norm_Stats!$F$15),"",MAX(0,MIN(100,100*(Norm_Stats!$G$15-MIN(MAX(City_Inputs!$AK87,Norm_Stats!$F$15),Norm_Stats!$G$15))/(Norm_Stats!$G$15-Norm_Stats!$F$15)))))="",0,(IF(OR(City_Inputs!$AK87="",Norm_Stats!$F$15="",Norm_Stats!$G$15="",Norm_Stats!$G$15=Norm_Stats!$F$15),"",MAX(0,MIN(100,100*(Norm_Stats!$G$15-MIN(MAX(City_Inputs!$AK87,Norm_Stats!$F$15),Norm_Stats!$G$15))/(Norm_Stats!$G$15-Norm_Stats!$F$15)))))*0.3))/(IF((IF(OR(City_Inputs!$Z87="",Norm_Stats!$F$14="",Norm_Stats!$G$14="",Norm_Stats!$G$14=Norm_Stats!$F$14),"",MAX(0,MIN(100,100*(MIN(MAX(City_Inputs!$Z87,Norm_Stats!$F$14),Norm_Stats!$G$14)-Norm_Stats!$F$14)/(Norm_Stats!$G$14-Norm_Stats!$F$14)))))="",0,0.7)+IF((IF(OR(City_Inputs!$AK87="",Norm_Stats!$F$15="",Norm_Stats!$G$15="",Norm_Stats!$G$15=Norm_Stats!$F$15),"",MAX(0,MIN(100,100*(Norm_Stats!$G$15-MIN(MAX(City_Inputs!$AK87,Norm_Stats!$F$15),Norm_Stats!$G$15))/(Norm_Stats!$G$15-Norm_Stats!$F$15)))))="",0,0.3)))</f>
        <v/>
      </c>
      <c r="AJ87" s="14">
        <f>IF((IF((IF(OR(City_Inputs!$Z87="",Norm_Stats!$F$14="",Norm_Stats!$G$14="",Norm_Stats!$G$14=Norm_Stats!$F$14),"",MAX(0,MIN(100,100*(MIN(MAX(City_Inputs!$Z87,Norm_Stats!$F$14),Norm_Stats!$G$14)-Norm_Stats!$F$14)/(Norm_Stats!$G$14-Norm_Stats!$F$14)))))="",0,0.7)+IF((IF(OR(City_Inputs!$AK87="",Norm_Stats!$F$15="",Norm_Stats!$G$15="",Norm_Stats!$G$15=Norm_Stats!$F$15),"",MAX(0,MIN(100,100*(Norm_Stats!$G$15-MIN(MAX(City_Inputs!$AK87,Norm_Stats!$F$15),Norm_Stats!$G$15))/(Norm_Stats!$G$15-Norm_Stats!$F$15)))))="",0,0.3))=0,"",(IF((IF(OR(City_Inputs!$Z87="",Norm_Stats!$F$14="",Norm_Stats!$G$14="",Norm_Stats!$G$14=Norm_Stats!$F$14),"",MAX(0,MIN(100,100*(MIN(MAX(City_Inputs!$Z87,Norm_Stats!$F$14),Norm_Stats!$G$14)-Norm_Stats!$F$14)/(Norm_Stats!$G$14-Norm_Stats!$F$14)))))="",0,0.7)+IF((IF(OR(City_Inputs!$AK87="",Norm_Stats!$F$15="",Norm_Stats!$G$15="",Norm_Stats!$G$15=Norm_Stats!$F$15),"",MAX(0,MIN(100,100*(Norm_Stats!$G$15-MIN(MAX(City_Inputs!$AK87,Norm_Stats!$F$15),Norm_Stats!$G$15))/(Norm_Stats!$G$15-Norm_Stats!$F$15)))))="",0,0.3)))</f>
        <v/>
      </c>
      <c r="AK87" s="15">
        <f>IF((IF(AE87="",0,8)+IF(AG87="",0,6)+IF(AI87="",0,4))=0,"",(IF(AE87="",0,AE87*8)+IF(AG87="",0,AG87*6)+IF(AI87="",0,AI87*4))/(IF(AE87="",0,8)+IF(AG87="",0,6)+IF(AI87="",0,4)))</f>
        <v/>
      </c>
      <c r="AL87" s="14">
        <f>IF((IF(AF87="",0,8)+IF(AH87="",0,6)+IF(AJ87="",0,4))=0,"",(IF(AF87="",0,AF87*8)+IF(AH87="",0,AH87*6)+IF(AJ87="",0,AJ87*4))/18)</f>
        <v/>
      </c>
      <c r="AM87" s="11">
        <f>IF(OR(City_Inputs!$AA87="",Norm_Stats!$F$16="",Norm_Stats!$G$16="",Norm_Stats!$G$16=Norm_Stats!$F$16),"",MAX(0,MIN(100,100*(MIN(MAX(City_Inputs!$AA87,Norm_Stats!$F$16),Norm_Stats!$G$16)-Norm_Stats!$F$16)/(Norm_Stats!$G$16-Norm_Stats!$F$16))))</f>
        <v/>
      </c>
      <c r="AN87" s="14">
        <f>IF(AM87="","",1)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5">
        <f>IF((IF(AM87="",0,5)+IF(AO87="",0,5)+IF(AQ87="",0,5))=0,"",(IF(AM87="",0,AM87*5)+IF(AO87="",0,AO87*5)+IF(AQ87="",0,AQ87*5))/(IF(AM87="",0,5)+IF(AO87="",0,5)+IF(AQ87="",0,5)))</f>
        <v/>
      </c>
      <c r="AT87" s="14">
        <f>IF((IF(AN87="",0,5)+IF(AP87="",0,5)+IF(AR87="",0,5))=0,"",(IF(AN87="",0,AN87*5)+IF(AP87="",0,AP87*5)+IF(AR87="",0,AR87*5))/15)</f>
        <v/>
      </c>
      <c r="AU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V87" s="14">
        <f>IF(AU87="","",1)</f>
        <v/>
      </c>
      <c r="AW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X87" s="14">
        <f>IF(AW87="","",1)</f>
        <v/>
      </c>
      <c r="AY87" s="11">
        <f>IF((IF((IF(OR(City_Inputs!$AF87="",Norm_Stats!$F$21="",Norm_Stats!$G$21="",Norm_Stats!$G$21=Norm_Stats!$F$21),"",MAX(0,MIN(100,100*(MIN(MAX(City_Inputs!$AF87,Norm_Stats!$F$21),Norm_Stats!$G$21)-Norm_Stats!$F$21)/(Norm_Stats!$G$21-Norm_Stats!$F$21)))))="",0,0.5)+IF((IF(OR(City_Inputs!$AI87="",Norm_Stats!$F$22="",Norm_Stats!$G$22="",Norm_Stats!$G$22=Norm_Stats!$F$22),"",MAX(0,MIN(100,100*(MIN(MAX(City_Inputs!$AI87,Norm_Stats!$F$22),Norm_Stats!$G$22)-Norm_Stats!$F$22)/(Norm_Stats!$G$22-Norm_Stats!$F$22)))))="",0,0.3)+IF((IF(OR(City_Inputs!$AJ87="",Norm_Stats!$F$23="",Norm_Stats!$G$23="",Norm_Stats!$G$23=Norm_Stats!$F$23),"",MAX(0,MIN(100,100*(MIN(MAX(City_Inputs!$AJ87,Norm_Stats!$F$23),Norm_Stats!$G$23)-Norm_Stats!$F$23)/(Norm_Stats!$G$23-Norm_Stats!$F$23)))))="",0,0.2))=0,"",(IF((IF(OR(City_Inputs!$AF87="",Norm_Stats!$F$21="",Norm_Stats!$G$21="",Norm_Stats!$G$21=Norm_Stats!$F$21),"",MAX(0,MIN(100,100*(MIN(MAX(City_Inputs!$AF87,Norm_Stats!$F$21),Norm_Stats!$G$21)-Norm_Stats!$F$21)/(Norm_Stats!$G$21-Norm_Stats!$F$21)))))="",0,(IF(OR(City_Inputs!$AF87="",Norm_Stats!$F$21="",Norm_Stats!$G$21="",Norm_Stats!$G$21=Norm_Stats!$F$21),"",MAX(0,MIN(100,100*(MIN(MAX(City_Inputs!$AF87,Norm_Stats!$F$21),Norm_Stats!$G$21)-Norm_Stats!$F$21)/(Norm_Stats!$G$21-Norm_Stats!$F$21)))))*0.5)+IF((IF(OR(City_Inputs!$AI87="",Norm_Stats!$F$22="",Norm_Stats!$G$22="",Norm_Stats!$G$22=Norm_Stats!$F$22),"",MAX(0,MIN(100,100*(MIN(MAX(City_Inputs!$AI87,Norm_Stats!$F$22),Norm_Stats!$G$22)-Norm_Stats!$F$22)/(Norm_Stats!$G$22-Norm_Stats!$F$22)))))="",0,(IF(OR(City_Inputs!$AI87="",Norm_Stats!$F$22="",Norm_Stats!$G$22="",Norm_Stats!$G$22=Norm_Stats!$F$22),"",MAX(0,MIN(100,100*(MIN(MAX(City_Inputs!$AI87,Norm_Stats!$F$22),Norm_Stats!$G$22)-Norm_Stats!$F$22)/(Norm_Stats!$G$22-Norm_Stats!$F$22)))))*0.3)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0.2))/(IF((IF(OR(City_Inputs!$AF87="",Norm_Stats!$F$21="",Norm_Stats!$G$21="",Norm_Stats!$G$21=Norm_Stats!$F$21),"",MAX(0,MIN(100,100*(MIN(MAX(City_Inputs!$AF87,Norm_Stats!$F$21),Norm_Stats!$G$21)-Norm_Stats!$F$21)/(Norm_Stats!$G$21-Norm_Stats!$F$21)))))="",0,0.5)+IF((IF(OR(City_Inputs!$AI87="",Norm_Stats!$F$22="",Norm_Stats!$G$22="",Norm_Stats!$G$22=Norm_Stats!$F$22),"",MAX(0,MIN(100,100*(MIN(MAX(City_Inputs!$AI87,Norm_Stats!$F$22),Norm_Stats!$G$22)-Norm_Stats!$F$22)/(Norm_Stats!$G$22-Norm_Stats!$F$22)))))="",0,0.3)+IF((IF(OR(City_Inputs!$AJ87="",Norm_Stats!$F$23="",Norm_Stats!$G$23="",Norm_Stats!$G$23=Norm_Stats!$F$23),"",MAX(0,MIN(100,100*(MIN(MAX(City_Inputs!$AJ87,Norm_Stats!$F$23),Norm_Stats!$G$23)-Norm_Stats!$F$23)/(Norm_Stats!$G$23-Norm_Stats!$F$23)))))="",0,0.2)))</f>
        <v/>
      </c>
      <c r="AZ87" s="14">
        <f>IF((IF((IF(OR(City_Inputs!$AF87="",Norm_Stats!$F$21="",Norm_Stats!$G$21="",Norm_Stats!$G$21=Norm_Stats!$F$21),"",MAX(0,MIN(100,100*(MIN(MAX(City_Inputs!$AF87,Norm_Stats!$F$21),Norm_Stats!$G$21)-Norm_Stats!$F$21)/(Norm_Stats!$G$21-Norm_Stats!$F$21)))))="",0,0.5)+IF((IF(OR(City_Inputs!$AI87="",Norm_Stats!$F$22="",Norm_Stats!$G$22="",Norm_Stats!$G$22=Norm_Stats!$F$22),"",MAX(0,MIN(100,100*(MIN(MAX(City_Inputs!$AI87,Norm_Stats!$F$22),Norm_Stats!$G$22)-Norm_Stats!$F$22)/(Norm_Stats!$G$22-Norm_Stats!$F$22)))))="",0,0.3)+IF((IF(OR(City_Inputs!$AJ87="",Norm_Stats!$F$23="",Norm_Stats!$G$23="",Norm_Stats!$G$23=Norm_Stats!$F$23),"",MAX(0,MIN(100,100*(MIN(MAX(City_Inputs!$AJ87,Norm_Stats!$F$23),Norm_Stats!$G$23)-Norm_Stats!$F$23)/(Norm_Stats!$G$23-Norm_Stats!$F$23)))))="",0,0.2))=0,"",(IF((IF(OR(City_Inputs!$AF87="",Norm_Stats!$F$21="",Norm_Stats!$G$21="",Norm_Stats!$G$21=Norm_Stats!$F$21),"",MAX(0,MIN(100,100*(MIN(MAX(City_Inputs!$AF87,Norm_Stats!$F$21),Norm_Stats!$G$21)-Norm_Stats!$F$21)/(Norm_Stats!$G$21-Norm_Stats!$F$21)))))="",0,0.5)+IF((IF(OR(City_Inputs!$AI87="",Norm_Stats!$F$22="",Norm_Stats!$G$22="",Norm_Stats!$G$22=Norm_Stats!$F$22),"",MAX(0,MIN(100,100*(MIN(MAX(City_Inputs!$AI87,Norm_Stats!$F$22),Norm_Stats!$G$22)-Norm_Stats!$F$22)/(Norm_Stats!$G$22-Norm_Stats!$F$22)))))="",0,0.3)+IF((IF(OR(City_Inputs!$AJ87="",Norm_Stats!$F$23="",Norm_Stats!$G$23="",Norm_Stats!$G$23=Norm_Stats!$F$23),"",MAX(0,MIN(100,100*(MIN(MAX(City_Inputs!$AJ87,Norm_Stats!$F$23),Norm_Stats!$G$23)-Norm_Stats!$F$23)/(Norm_Stats!$G$23-Norm_Stats!$F$23)))))="",0,0.2)))</f>
        <v/>
      </c>
      <c r="BA87" s="11">
        <f>IF(OR(City_Inputs!$AG87="",Norm_Stats!$F$24="",Norm_Stats!$G$24="",Norm_Stats!$G$24=Norm_Stats!$F$24),"",MAX(0,MIN(100,100*(Norm_Stats!$G$24-MIN(MAX(City_Inputs!$AG87,Norm_Stats!$F$24),Norm_Stats!$G$24))/(Norm_Stats!$G$24-Norm_Stats!$F$24))))</f>
        <v/>
      </c>
      <c r="BB87" s="14">
        <f>IF(BA87="","",1)</f>
        <v/>
      </c>
      <c r="BC87" s="15">
        <f>IF((IF(AU87="",0,6)+IF(AW87="",0,5)+IF(AY87="",0,5)+IF(BA87="",0,4))=0,"",(IF(AU87="",0,AU87*6)+IF(AW87="",0,AW87*5)+IF(AY87="",0,AY87*5)+IF(BA87="",0,BA87*4))/(IF(AU87="",0,6)+IF(AW87="",0,5)+IF(AY87="",0,5)+IF(BA87="",0,4)))</f>
        <v/>
      </c>
      <c r="BD87" s="14">
        <f>IF((IF(AV87="",0,6)+IF(AX87="",0,5)+IF(AZ87="",0,5)+IF(BB87="",0,4))=0,"",(IF(AV87="",0,AV87*6)+IF(AX87="",0,AX87*5)+IF(AZ87="",0,AZ87*5)+IF(BB87="",0,BB87*4))/20)</f>
        <v/>
      </c>
      <c r="BE87" s="14">
        <f>IF(AND(R87="",AD87="",AL87="",AT87="",BD87=""),"",((R87*25)+(AD87*22)+(AL87*18)+(AT87*15)+(BD87*20))/100)</f>
        <v/>
      </c>
      <c r="BF87" s="11">
        <f>IF(BE87="","",IF(BE87&gt;=0.75,"A",IF(BE87&gt;=0.5,"B",IF(BE87&gt;=0.35,"C","Watchlist"))))</f>
        <v/>
      </c>
      <c r="BG87" s="11">
        <f>IF(OR(BE87="",BE87&lt;0.5,R87="",R87&lt;0.35,AD87="",AD87&lt;0.35,AL87="",AL87&lt;0.35,AT87="",AT87&lt;0.35,BD87="",BD87&lt;0.35),"Watchlist","Ranked")</f>
        <v/>
      </c>
      <c r="BH87" s="15">
        <f>IF(AND(Q87="",AC87="",AK87="",AS87="",BC87=""),"",(IF(Q87="",0,Q87*25)+IF(AC87="",0,AC87*22)+IF(AK87="",0,AK87*18)+IF(AS87="",0,AS87*15)+IF(BC87="",0,BC87*20))/(IF(Q87="",0,25)+IF(AC87="",0,22)+IF(AK87="",0,18)+IF(AS87="",0,15)+IF(BC87="",0,20)))</f>
        <v/>
      </c>
      <c r="BI87" s="11">
        <f>IF(BG87="Ranked",1+COUNTIFS($BG$2:$BG$101,"Ranked",$BH$2:$BH$101,"&gt;"&amp;BH87),"")</f>
        <v/>
      </c>
      <c r="BJ87" s="11">
        <f>City_Inputs!$AH87</f>
        <v/>
      </c>
    </row>
    <row r="88">
      <c r="A88" t="inlineStr">
        <is>
          <t>bw-gaborone</t>
        </is>
      </c>
      <c r="B88" t="inlineStr">
        <is>
          <t>Gaborone</t>
        </is>
      </c>
      <c r="C88" t="inlineStr">
        <is>
          <t>Botswana</t>
        </is>
      </c>
      <c r="D88" t="inlineStr">
        <is>
          <t>Africa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IF((IF(G88="",0,9)+IF(I88="",0,5)+IF(K88="",0,4)+IF(M88="",0,4)+IF(O88="",0,3))=0,"",(IF(G88="",0,G88*9)+IF(I88="",0,I88*5)+IF(K88="",0,K88*4)+IF(M88="",0,M88*4)+IF(O88="",0,O88*3))/(IF(G88="",0,9)+IF(I88="",0,5)+IF(K88="",0,4)+IF(M88="",0,4)+IF(O88="",0,3)))</f>
        <v/>
      </c>
      <c r="R88" s="14">
        <f>IF((IF(H88="",0,9)+IF(J88="",0,5)+IF(L88="",0,4)+IF(N88="",0,4)+IF(P88="",0,3))=0,"",(IF(H88="",0,H88*9)+IF(J88="",0,J88*5)+IF(L88="",0,L88*4)+IF(N88="",0,N88*4)+IF(P88="",0,P88*3))/25)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5">
        <f>IF((IF(S88="",0,5)+IF(U88="",0,5)+IF(W88="",0,4)+IF(Y88="",0,4)+IF(AA88="",0,4))=0,"",(IF(S88="",0,S88*5)+IF(U88="",0,U88*5)+IF(W88="",0,W88*4)+IF(Y88="",0,Y88*4)+IF(AA88="",0,AA88*4))/(IF(S88="",0,5)+IF(U88="",0,5)+IF(W88="",0,4)+IF(Y88="",0,4)+IF(AA88="",0,4)))</f>
        <v/>
      </c>
      <c r="AD88" s="14">
        <f>IF((IF(T88="",0,5)+IF(V88="",0,5)+IF(X88="",0,4)+IF(Z88="",0,4)+IF(AB88="",0,4))=0,"",(IF(T88="",0,T88*5)+IF(V88="",0,V88*5)+IF(X88="",0,X88*4)+IF(Z88="",0,Z88*4)+IF(AB88="",0,AB88*4))/22)</f>
        <v/>
      </c>
      <c r="AE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F88" s="14">
        <f>IF(AE88="","",1)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(IF((IF(OR(City_Inputs!$Z88="",Norm_Stats!$F$14="",Norm_Stats!$G$14="",Norm_Stats!$G$14=Norm_Stats!$F$14),"",MAX(0,MIN(100,100*(MIN(MAX(City_Inputs!$Z88,Norm_Stats!$F$14),Norm_Stats!$G$14)-Norm_Stats!$F$14)/(Norm_Stats!$G$14-Norm_Stats!$F$14)))))="",0,0.7)+IF((IF(OR(City_Inputs!$AK88="",Norm_Stats!$F$15="",Norm_Stats!$G$15="",Norm_Stats!$G$15=Norm_Stats!$F$15),"",MAX(0,MIN(100,100*(Norm_Stats!$G$15-MIN(MAX(City_Inputs!$AK88,Norm_Stats!$F$15),Norm_Stats!$G$15))/(Norm_Stats!$G$15-Norm_Stats!$F$15)))))="",0,0.3))=0,"",(IF((IF(OR(City_Inputs!$Z88="",Norm_Stats!$F$14="",Norm_Stats!$G$14="",Norm_Stats!$G$14=Norm_Stats!$F$14),"",MAX(0,MIN(100,100*(MIN(MAX(City_Inputs!$Z88,Norm_Stats!$F$14),Norm_Stats!$G$14)-Norm_Stats!$F$14)/(Norm_Stats!$G$14-Norm_Stats!$F$14)))))="",0,(IF(OR(City_Inputs!$Z88="",Norm_Stats!$F$14="",Norm_Stats!$G$14="",Norm_Stats!$G$14=Norm_Stats!$F$14),"",MAX(0,MIN(100,100*(MIN(MAX(City_Inputs!$Z88,Norm_Stats!$F$14),Norm_Stats!$G$14)-Norm_Stats!$F$14)/(Norm_Stats!$G$14-Norm_Stats!$F$14)))))*0.7)+IF((IF(OR(City_Inputs!$AK88="",Norm_Stats!$F$15="",Norm_Stats!$G$15="",Norm_Stats!$G$15=Norm_Stats!$F$15),"",MAX(0,MIN(100,100*(Norm_Stats!$G$15-MIN(MAX(City_Inputs!$AK88,Norm_Stats!$F$15),Norm_Stats!$G$15))/(Norm_Stats!$G$15-Norm_Stats!$F$15)))))="",0,(IF(OR(City_Inputs!$AK88="",Norm_Stats!$F$15="",Norm_Stats!$G$15="",Norm_Stats!$G$15=Norm_Stats!$F$15),"",MAX(0,MIN(100,100*(Norm_Stats!$G$15-MIN(MAX(City_Inputs!$AK88,Norm_Stats!$F$15),Norm_Stats!$G$15))/(Norm_Stats!$G$15-Norm_Stats!$F$15)))))*0.3))/(IF((IF(OR(City_Inputs!$Z88="",Norm_Stats!$F$14="",Norm_Stats!$G$14="",Norm_Stats!$G$14=Norm_Stats!$F$14),"",MAX(0,MIN(100,100*(MIN(MAX(City_Inputs!$Z88,Norm_Stats!$F$14),Norm_Stats!$G$14)-Norm_Stats!$F$14)/(Norm_Stats!$G$14-Norm_Stats!$F$14)))))="",0,0.7)+IF((IF(OR(City_Inputs!$AK88="",Norm_Stats!$F$15="",Norm_Stats!$G$15="",Norm_Stats!$G$15=Norm_Stats!$F$15),"",MAX(0,MIN(100,100*(Norm_Stats!$G$15-MIN(MAX(City_Inputs!$AK88,Norm_Stats!$F$15),Norm_Stats!$G$15))/(Norm_Stats!$G$15-Norm_Stats!$F$15)))))="",0,0.3)))</f>
        <v/>
      </c>
      <c r="AJ88" s="14">
        <f>IF((IF((IF(OR(City_Inputs!$Z88="",Norm_Stats!$F$14="",Norm_Stats!$G$14="",Norm_Stats!$G$14=Norm_Stats!$F$14),"",MAX(0,MIN(100,100*(MIN(MAX(City_Inputs!$Z88,Norm_Stats!$F$14),Norm_Stats!$G$14)-Norm_Stats!$F$14)/(Norm_Stats!$G$14-Norm_Stats!$F$14)))))="",0,0.7)+IF((IF(OR(City_Inputs!$AK88="",Norm_Stats!$F$15="",Norm_Stats!$G$15="",Norm_Stats!$G$15=Norm_Stats!$F$15),"",MAX(0,MIN(100,100*(Norm_Stats!$G$15-MIN(MAX(City_Inputs!$AK88,Norm_Stats!$F$15),Norm_Stats!$G$15))/(Norm_Stats!$G$15-Norm_Stats!$F$15)))))="",0,0.3))=0,"",(IF((IF(OR(City_Inputs!$Z88="",Norm_Stats!$F$14="",Norm_Stats!$G$14="",Norm_Stats!$G$14=Norm_Stats!$F$14),"",MAX(0,MIN(100,100*(MIN(MAX(City_Inputs!$Z88,Norm_Stats!$F$14),Norm_Stats!$G$14)-Norm_Stats!$F$14)/(Norm_Stats!$G$14-Norm_Stats!$F$14)))))="",0,0.7)+IF((IF(OR(City_Inputs!$AK88="",Norm_Stats!$F$15="",Norm_Stats!$G$15="",Norm_Stats!$G$15=Norm_Stats!$F$15),"",MAX(0,MIN(100,100*(Norm_Stats!$G$15-MIN(MAX(City_Inputs!$AK88,Norm_Stats!$F$15),Norm_Stats!$G$15))/(Norm_Stats!$G$15-Norm_Stats!$F$15)))))="",0,0.3)))</f>
        <v/>
      </c>
      <c r="AK88" s="15">
        <f>IF((IF(AE88="",0,8)+IF(AG88="",0,6)+IF(AI88="",0,4))=0,"",(IF(AE88="",0,AE88*8)+IF(AG88="",0,AG88*6)+IF(AI88="",0,AI88*4))/(IF(AE88="",0,8)+IF(AG88="",0,6)+IF(AI88="",0,4)))</f>
        <v/>
      </c>
      <c r="AL88" s="14">
        <f>IF((IF(AF88="",0,8)+IF(AH88="",0,6)+IF(AJ88="",0,4))=0,"",(IF(AF88="",0,AF88*8)+IF(AH88="",0,AH88*6)+IF(AJ88="",0,AJ88*4))/18)</f>
        <v/>
      </c>
      <c r="AM88" s="11">
        <f>IF(OR(City_Inputs!$AA88="",Norm_Stats!$F$16="",Norm_Stats!$G$16="",Norm_Stats!$G$16=Norm_Stats!$F$16),"",MAX(0,MIN(100,100*(MIN(MAX(City_Inputs!$AA88,Norm_Stats!$F$16),Norm_Stats!$G$16)-Norm_Stats!$F$16)/(Norm_Stats!$G$16-Norm_Stats!$F$16))))</f>
        <v/>
      </c>
      <c r="AN88" s="14">
        <f>IF(AM88="","",1)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5">
        <f>IF((IF(AM88="",0,5)+IF(AO88="",0,5)+IF(AQ88="",0,5))=0,"",(IF(AM88="",0,AM88*5)+IF(AO88="",0,AO88*5)+IF(AQ88="",0,AQ88*5))/(IF(AM88="",0,5)+IF(AO88="",0,5)+IF(AQ88="",0,5)))</f>
        <v/>
      </c>
      <c r="AT88" s="14">
        <f>IF((IF(AN88="",0,5)+IF(AP88="",0,5)+IF(AR88="",0,5))=0,"",(IF(AN88="",0,AN88*5)+IF(AP88="",0,AP88*5)+IF(AR88="",0,AR88*5))/15)</f>
        <v/>
      </c>
      <c r="AU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V88" s="14">
        <f>IF(AU88="","",1)</f>
        <v/>
      </c>
      <c r="AW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X88" s="14">
        <f>IF(AW88="","",1)</f>
        <v/>
      </c>
      <c r="AY88" s="11">
        <f>IF((IF((IF(OR(City_Inputs!$AF88="",Norm_Stats!$F$21="",Norm_Stats!$G$21="",Norm_Stats!$G$21=Norm_Stats!$F$21),"",MAX(0,MIN(100,100*(MIN(MAX(City_Inputs!$AF88,Norm_Stats!$F$21),Norm_Stats!$G$21)-Norm_Stats!$F$21)/(Norm_Stats!$G$21-Norm_Stats!$F$21)))))="",0,0.5)+IF((IF(OR(City_Inputs!$AI88="",Norm_Stats!$F$22="",Norm_Stats!$G$22="",Norm_Stats!$G$22=Norm_Stats!$F$22),"",MAX(0,MIN(100,100*(MIN(MAX(City_Inputs!$AI88,Norm_Stats!$F$22),Norm_Stats!$G$22)-Norm_Stats!$F$22)/(Norm_Stats!$G$22-Norm_Stats!$F$22)))))="",0,0.3)+IF((IF(OR(City_Inputs!$AJ88="",Norm_Stats!$F$23="",Norm_Stats!$G$23="",Norm_Stats!$G$23=Norm_Stats!$F$23),"",MAX(0,MIN(100,100*(MIN(MAX(City_Inputs!$AJ88,Norm_Stats!$F$23),Norm_Stats!$G$23)-Norm_Stats!$F$23)/(Norm_Stats!$G$23-Norm_Stats!$F$23)))))="",0,0.2))=0,"",(IF((IF(OR(City_Inputs!$AF88="",Norm_Stats!$F$21="",Norm_Stats!$G$21="",Norm_Stats!$G$21=Norm_Stats!$F$21),"",MAX(0,MIN(100,100*(MIN(MAX(City_Inputs!$AF88,Norm_Stats!$F$21),Norm_Stats!$G$21)-Norm_Stats!$F$21)/(Norm_Stats!$G$21-Norm_Stats!$F$21)))))="",0,(IF(OR(City_Inputs!$AF88="",Norm_Stats!$F$21="",Norm_Stats!$G$21="",Norm_Stats!$G$21=Norm_Stats!$F$21),"",MAX(0,MIN(100,100*(MIN(MAX(City_Inputs!$AF88,Norm_Stats!$F$21),Norm_Stats!$G$21)-Norm_Stats!$F$21)/(Norm_Stats!$G$21-Norm_Stats!$F$21)))))*0.5)+IF((IF(OR(City_Inputs!$AI88="",Norm_Stats!$F$22="",Norm_Stats!$G$22="",Norm_Stats!$G$22=Norm_Stats!$F$22),"",MAX(0,MIN(100,100*(MIN(MAX(City_Inputs!$AI88,Norm_Stats!$F$22),Norm_Stats!$G$22)-Norm_Stats!$F$22)/(Norm_Stats!$G$22-Norm_Stats!$F$22)))))="",0,(IF(OR(City_Inputs!$AI88="",Norm_Stats!$F$22="",Norm_Stats!$G$22="",Norm_Stats!$G$22=Norm_Stats!$F$22),"",MAX(0,MIN(100,100*(MIN(MAX(City_Inputs!$AI88,Norm_Stats!$F$22),Norm_Stats!$G$22)-Norm_Stats!$F$22)/(Norm_Stats!$G$22-Norm_Stats!$F$22)))))*0.3)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0.2))/(IF((IF(OR(City_Inputs!$AF88="",Norm_Stats!$F$21="",Norm_Stats!$G$21="",Norm_Stats!$G$21=Norm_Stats!$F$21),"",MAX(0,MIN(100,100*(MIN(MAX(City_Inputs!$AF88,Norm_Stats!$F$21),Norm_Stats!$G$21)-Norm_Stats!$F$21)/(Norm_Stats!$G$21-Norm_Stats!$F$21)))))="",0,0.5)+IF((IF(OR(City_Inputs!$AI88="",Norm_Stats!$F$22="",Norm_Stats!$G$22="",Norm_Stats!$G$22=Norm_Stats!$F$22),"",MAX(0,MIN(100,100*(MIN(MAX(City_Inputs!$AI88,Norm_Stats!$F$22),Norm_Stats!$G$22)-Norm_Stats!$F$22)/(Norm_Stats!$G$22-Norm_Stats!$F$22)))))="",0,0.3)+IF((IF(OR(City_Inputs!$AJ88="",Norm_Stats!$F$23="",Norm_Stats!$G$23="",Norm_Stats!$G$23=Norm_Stats!$F$23),"",MAX(0,MIN(100,100*(MIN(MAX(City_Inputs!$AJ88,Norm_Stats!$F$23),Norm_Stats!$G$23)-Norm_Stats!$F$23)/(Norm_Stats!$G$23-Norm_Stats!$F$23)))))="",0,0.2)))</f>
        <v/>
      </c>
      <c r="AZ88" s="14">
        <f>IF((IF((IF(OR(City_Inputs!$AF88="",Norm_Stats!$F$21="",Norm_Stats!$G$21="",Norm_Stats!$G$21=Norm_Stats!$F$21),"",MAX(0,MIN(100,100*(MIN(MAX(City_Inputs!$AF88,Norm_Stats!$F$21),Norm_Stats!$G$21)-Norm_Stats!$F$21)/(Norm_Stats!$G$21-Norm_Stats!$F$21)))))="",0,0.5)+IF((IF(OR(City_Inputs!$AI88="",Norm_Stats!$F$22="",Norm_Stats!$G$22="",Norm_Stats!$G$22=Norm_Stats!$F$22),"",MAX(0,MIN(100,100*(MIN(MAX(City_Inputs!$AI88,Norm_Stats!$F$22),Norm_Stats!$G$22)-Norm_Stats!$F$22)/(Norm_Stats!$G$22-Norm_Stats!$F$22)))))="",0,0.3)+IF((IF(OR(City_Inputs!$AJ88="",Norm_Stats!$F$23="",Norm_Stats!$G$23="",Norm_Stats!$G$23=Norm_Stats!$F$23),"",MAX(0,MIN(100,100*(MIN(MAX(City_Inputs!$AJ88,Norm_Stats!$F$23),Norm_Stats!$G$23)-Norm_Stats!$F$23)/(Norm_Stats!$G$23-Norm_Stats!$F$23)))))="",0,0.2))=0,"",(IF((IF(OR(City_Inputs!$AF88="",Norm_Stats!$F$21="",Norm_Stats!$G$21="",Norm_Stats!$G$21=Norm_Stats!$F$21),"",MAX(0,MIN(100,100*(MIN(MAX(City_Inputs!$AF88,Norm_Stats!$F$21),Norm_Stats!$G$21)-Norm_Stats!$F$21)/(Norm_Stats!$G$21-Norm_Stats!$F$21)))))="",0,0.5)+IF((IF(OR(City_Inputs!$AI88="",Norm_Stats!$F$22="",Norm_Stats!$G$22="",Norm_Stats!$G$22=Norm_Stats!$F$22),"",MAX(0,MIN(100,100*(MIN(MAX(City_Inputs!$AI88,Norm_Stats!$F$22),Norm_Stats!$G$22)-Norm_Stats!$F$22)/(Norm_Stats!$G$22-Norm_Stats!$F$22)))))="",0,0.3)+IF((IF(OR(City_Inputs!$AJ88="",Norm_Stats!$F$23="",Norm_Stats!$G$23="",Norm_Stats!$G$23=Norm_Stats!$F$23),"",MAX(0,MIN(100,100*(MIN(MAX(City_Inputs!$AJ88,Norm_Stats!$F$23),Norm_Stats!$G$23)-Norm_Stats!$F$23)/(Norm_Stats!$G$23-Norm_Stats!$F$23)))))="",0,0.2)))</f>
        <v/>
      </c>
      <c r="BA88" s="11">
        <f>IF(OR(City_Inputs!$AG88="",Norm_Stats!$F$24="",Norm_Stats!$G$24="",Norm_Stats!$G$24=Norm_Stats!$F$24),"",MAX(0,MIN(100,100*(Norm_Stats!$G$24-MIN(MAX(City_Inputs!$AG88,Norm_Stats!$F$24),Norm_Stats!$G$24))/(Norm_Stats!$G$24-Norm_Stats!$F$24))))</f>
        <v/>
      </c>
      <c r="BB88" s="14">
        <f>IF(BA88="","",1)</f>
        <v/>
      </c>
      <c r="BC88" s="15">
        <f>IF((IF(AU88="",0,6)+IF(AW88="",0,5)+IF(AY88="",0,5)+IF(BA88="",0,4))=0,"",(IF(AU88="",0,AU88*6)+IF(AW88="",0,AW88*5)+IF(AY88="",0,AY88*5)+IF(BA88="",0,BA88*4))/(IF(AU88="",0,6)+IF(AW88="",0,5)+IF(AY88="",0,5)+IF(BA88="",0,4)))</f>
        <v/>
      </c>
      <c r="BD88" s="14">
        <f>IF((IF(AV88="",0,6)+IF(AX88="",0,5)+IF(AZ88="",0,5)+IF(BB88="",0,4))=0,"",(IF(AV88="",0,AV88*6)+IF(AX88="",0,AX88*5)+IF(AZ88="",0,AZ88*5)+IF(BB88="",0,BB88*4))/20)</f>
        <v/>
      </c>
      <c r="BE88" s="14">
        <f>IF(AND(R88="",AD88="",AL88="",AT88="",BD88=""),"",((R88*25)+(AD88*22)+(AL88*18)+(AT88*15)+(BD88*20))/100)</f>
        <v/>
      </c>
      <c r="BF88" s="11">
        <f>IF(BE88="","",IF(BE88&gt;=0.75,"A",IF(BE88&gt;=0.5,"B",IF(BE88&gt;=0.35,"C","Watchlist"))))</f>
        <v/>
      </c>
      <c r="BG88" s="11">
        <f>IF(OR(BE88="",BE88&lt;0.5,R88="",R88&lt;0.35,AD88="",AD88&lt;0.35,AL88="",AL88&lt;0.35,AT88="",AT88&lt;0.35,BD88="",BD88&lt;0.35),"Watchlist","Ranked")</f>
        <v/>
      </c>
      <c r="BH88" s="15">
        <f>IF(AND(Q88="",AC88="",AK88="",AS88="",BC88=""),"",(IF(Q88="",0,Q88*25)+IF(AC88="",0,AC88*22)+IF(AK88="",0,AK88*18)+IF(AS88="",0,AS88*15)+IF(BC88="",0,BC88*20))/(IF(Q88="",0,25)+IF(AC88="",0,22)+IF(AK88="",0,18)+IF(AS88="",0,15)+IF(BC88="",0,20)))</f>
        <v/>
      </c>
      <c r="BI88" s="11">
        <f>IF(BG88="Ranked",1+COUNTIFS($BG$2:$BG$101,"Ranked",$BH$2:$BH$101,"&gt;"&amp;BH88),"")</f>
        <v/>
      </c>
      <c r="BJ88" s="11">
        <f>City_Inputs!$AH88</f>
        <v/>
      </c>
    </row>
    <row r="89">
      <c r="A89" t="inlineStr">
        <is>
          <t>na-windhoek</t>
        </is>
      </c>
      <c r="B89" t="inlineStr">
        <is>
          <t>Windhoek</t>
        </is>
      </c>
      <c r="C89" t="inlineStr">
        <is>
          <t>Namibia</t>
        </is>
      </c>
      <c r="D89" t="inlineStr">
        <is>
          <t>Africa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IF((IF(G89="",0,9)+IF(I89="",0,5)+IF(K89="",0,4)+IF(M89="",0,4)+IF(O89="",0,3))=0,"",(IF(G89="",0,G89*9)+IF(I89="",0,I89*5)+IF(K89="",0,K89*4)+IF(M89="",0,M89*4)+IF(O89="",0,O89*3))/(IF(G89="",0,9)+IF(I89="",0,5)+IF(K89="",0,4)+IF(M89="",0,4)+IF(O89="",0,3)))</f>
        <v/>
      </c>
      <c r="R89" s="14">
        <f>IF((IF(H89="",0,9)+IF(J89="",0,5)+IF(L89="",0,4)+IF(N89="",0,4)+IF(P89="",0,3))=0,"",(IF(H89="",0,H89*9)+IF(J89="",0,J89*5)+IF(L89="",0,L89*4)+IF(N89="",0,N89*4)+IF(P89="",0,P89*3))/25)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5">
        <f>IF((IF(S89="",0,5)+IF(U89="",0,5)+IF(W89="",0,4)+IF(Y89="",0,4)+IF(AA89="",0,4))=0,"",(IF(S89="",0,S89*5)+IF(U89="",0,U89*5)+IF(W89="",0,W89*4)+IF(Y89="",0,Y89*4)+IF(AA89="",0,AA89*4))/(IF(S89="",0,5)+IF(U89="",0,5)+IF(W89="",0,4)+IF(Y89="",0,4)+IF(AA89="",0,4)))</f>
        <v/>
      </c>
      <c r="AD89" s="14">
        <f>IF((IF(T89="",0,5)+IF(V89="",0,5)+IF(X89="",0,4)+IF(Z89="",0,4)+IF(AB89="",0,4))=0,"",(IF(T89="",0,T89*5)+IF(V89="",0,V89*5)+IF(X89="",0,X89*4)+IF(Z89="",0,Z89*4)+IF(AB89="",0,AB89*4))/22)</f>
        <v/>
      </c>
      <c r="AE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F89" s="14">
        <f>IF(AE89="","",1)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(IF((IF(OR(City_Inputs!$Z89="",Norm_Stats!$F$14="",Norm_Stats!$G$14="",Norm_Stats!$G$14=Norm_Stats!$F$14),"",MAX(0,MIN(100,100*(MIN(MAX(City_Inputs!$Z89,Norm_Stats!$F$14),Norm_Stats!$G$14)-Norm_Stats!$F$14)/(Norm_Stats!$G$14-Norm_Stats!$F$14)))))="",0,0.7)+IF((IF(OR(City_Inputs!$AK89="",Norm_Stats!$F$15="",Norm_Stats!$G$15="",Norm_Stats!$G$15=Norm_Stats!$F$15),"",MAX(0,MIN(100,100*(Norm_Stats!$G$15-MIN(MAX(City_Inputs!$AK89,Norm_Stats!$F$15),Norm_Stats!$G$15))/(Norm_Stats!$G$15-Norm_Stats!$F$15)))))="",0,0.3))=0,"",(IF((IF(OR(City_Inputs!$Z89="",Norm_Stats!$F$14="",Norm_Stats!$G$14="",Norm_Stats!$G$14=Norm_Stats!$F$14),"",MAX(0,MIN(100,100*(MIN(MAX(City_Inputs!$Z89,Norm_Stats!$F$14),Norm_Stats!$G$14)-Norm_Stats!$F$14)/(Norm_Stats!$G$14-Norm_Stats!$F$14)))))="",0,(IF(OR(City_Inputs!$Z89="",Norm_Stats!$F$14="",Norm_Stats!$G$14="",Norm_Stats!$G$14=Norm_Stats!$F$14),"",MAX(0,MIN(100,100*(MIN(MAX(City_Inputs!$Z89,Norm_Stats!$F$14),Norm_Stats!$G$14)-Norm_Stats!$F$14)/(Norm_Stats!$G$14-Norm_Stats!$F$14)))))*0.7)+IF((IF(OR(City_Inputs!$AK89="",Norm_Stats!$F$15="",Norm_Stats!$G$15="",Norm_Stats!$G$15=Norm_Stats!$F$15),"",MAX(0,MIN(100,100*(Norm_Stats!$G$15-MIN(MAX(City_Inputs!$AK89,Norm_Stats!$F$15),Norm_Stats!$G$15))/(Norm_Stats!$G$15-Norm_Stats!$F$15)))))="",0,(IF(OR(City_Inputs!$AK89="",Norm_Stats!$F$15="",Norm_Stats!$G$15="",Norm_Stats!$G$15=Norm_Stats!$F$15),"",MAX(0,MIN(100,100*(Norm_Stats!$G$15-MIN(MAX(City_Inputs!$AK89,Norm_Stats!$F$15),Norm_Stats!$G$15))/(Norm_Stats!$G$15-Norm_Stats!$F$15)))))*0.3))/(IF((IF(OR(City_Inputs!$Z89="",Norm_Stats!$F$14="",Norm_Stats!$G$14="",Norm_Stats!$G$14=Norm_Stats!$F$14),"",MAX(0,MIN(100,100*(MIN(MAX(City_Inputs!$Z89,Norm_Stats!$F$14),Norm_Stats!$G$14)-Norm_Stats!$F$14)/(Norm_Stats!$G$14-Norm_Stats!$F$14)))))="",0,0.7)+IF((IF(OR(City_Inputs!$AK89="",Norm_Stats!$F$15="",Norm_Stats!$G$15="",Norm_Stats!$G$15=Norm_Stats!$F$15),"",MAX(0,MIN(100,100*(Norm_Stats!$G$15-MIN(MAX(City_Inputs!$AK89,Norm_Stats!$F$15),Norm_Stats!$G$15))/(Norm_Stats!$G$15-Norm_Stats!$F$15)))))="",0,0.3)))</f>
        <v/>
      </c>
      <c r="AJ89" s="14">
        <f>IF((IF((IF(OR(City_Inputs!$Z89="",Norm_Stats!$F$14="",Norm_Stats!$G$14="",Norm_Stats!$G$14=Norm_Stats!$F$14),"",MAX(0,MIN(100,100*(MIN(MAX(City_Inputs!$Z89,Norm_Stats!$F$14),Norm_Stats!$G$14)-Norm_Stats!$F$14)/(Norm_Stats!$G$14-Norm_Stats!$F$14)))))="",0,0.7)+IF((IF(OR(City_Inputs!$AK89="",Norm_Stats!$F$15="",Norm_Stats!$G$15="",Norm_Stats!$G$15=Norm_Stats!$F$15),"",MAX(0,MIN(100,100*(Norm_Stats!$G$15-MIN(MAX(City_Inputs!$AK89,Norm_Stats!$F$15),Norm_Stats!$G$15))/(Norm_Stats!$G$15-Norm_Stats!$F$15)))))="",0,0.3))=0,"",(IF((IF(OR(City_Inputs!$Z89="",Norm_Stats!$F$14="",Norm_Stats!$G$14="",Norm_Stats!$G$14=Norm_Stats!$F$14),"",MAX(0,MIN(100,100*(MIN(MAX(City_Inputs!$Z89,Norm_Stats!$F$14),Norm_Stats!$G$14)-Norm_Stats!$F$14)/(Norm_Stats!$G$14-Norm_Stats!$F$14)))))="",0,0.7)+IF((IF(OR(City_Inputs!$AK89="",Norm_Stats!$F$15="",Norm_Stats!$G$15="",Norm_Stats!$G$15=Norm_Stats!$F$15),"",MAX(0,MIN(100,100*(Norm_Stats!$G$15-MIN(MAX(City_Inputs!$AK89,Norm_Stats!$F$15),Norm_Stats!$G$15))/(Norm_Stats!$G$15-Norm_Stats!$F$15)))))="",0,0.3)))</f>
        <v/>
      </c>
      <c r="AK89" s="15">
        <f>IF((IF(AE89="",0,8)+IF(AG89="",0,6)+IF(AI89="",0,4))=0,"",(IF(AE89="",0,AE89*8)+IF(AG89="",0,AG89*6)+IF(AI89="",0,AI89*4))/(IF(AE89="",0,8)+IF(AG89="",0,6)+IF(AI89="",0,4)))</f>
        <v/>
      </c>
      <c r="AL89" s="14">
        <f>IF((IF(AF89="",0,8)+IF(AH89="",0,6)+IF(AJ89="",0,4))=0,"",(IF(AF89="",0,AF89*8)+IF(AH89="",0,AH89*6)+IF(AJ89="",0,AJ89*4))/18)</f>
        <v/>
      </c>
      <c r="AM89" s="11">
        <f>IF(OR(City_Inputs!$AA89="",Norm_Stats!$F$16="",Norm_Stats!$G$16="",Norm_Stats!$G$16=Norm_Stats!$F$16),"",MAX(0,MIN(100,100*(MIN(MAX(City_Inputs!$AA89,Norm_Stats!$F$16),Norm_Stats!$G$16)-Norm_Stats!$F$16)/(Norm_Stats!$G$16-Norm_Stats!$F$16))))</f>
        <v/>
      </c>
      <c r="AN89" s="14">
        <f>IF(AM89="","",1)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5">
        <f>IF((IF(AM89="",0,5)+IF(AO89="",0,5)+IF(AQ89="",0,5))=0,"",(IF(AM89="",0,AM89*5)+IF(AO89="",0,AO89*5)+IF(AQ89="",0,AQ89*5))/(IF(AM89="",0,5)+IF(AO89="",0,5)+IF(AQ89="",0,5)))</f>
        <v/>
      </c>
      <c r="AT89" s="14">
        <f>IF((IF(AN89="",0,5)+IF(AP89="",0,5)+IF(AR89="",0,5))=0,"",(IF(AN89="",0,AN89*5)+IF(AP89="",0,AP89*5)+IF(AR89="",0,AR89*5))/15)</f>
        <v/>
      </c>
      <c r="AU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V89" s="14">
        <f>IF(AU89="","",1)</f>
        <v/>
      </c>
      <c r="AW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X89" s="14">
        <f>IF(AW89="","",1)</f>
        <v/>
      </c>
      <c r="AY89" s="11">
        <f>IF((IF((IF(OR(City_Inputs!$AF89="",Norm_Stats!$F$21="",Norm_Stats!$G$21="",Norm_Stats!$G$21=Norm_Stats!$F$21),"",MAX(0,MIN(100,100*(MIN(MAX(City_Inputs!$AF89,Norm_Stats!$F$21),Norm_Stats!$G$21)-Norm_Stats!$F$21)/(Norm_Stats!$G$21-Norm_Stats!$F$21)))))="",0,0.5)+IF((IF(OR(City_Inputs!$AI89="",Norm_Stats!$F$22="",Norm_Stats!$G$22="",Norm_Stats!$G$22=Norm_Stats!$F$22),"",MAX(0,MIN(100,100*(MIN(MAX(City_Inputs!$AI89,Norm_Stats!$F$22),Norm_Stats!$G$22)-Norm_Stats!$F$22)/(Norm_Stats!$G$22-Norm_Stats!$F$22)))))="",0,0.3)+IF((IF(OR(City_Inputs!$AJ89="",Norm_Stats!$F$23="",Norm_Stats!$G$23="",Norm_Stats!$G$23=Norm_Stats!$F$23),"",MAX(0,MIN(100,100*(MIN(MAX(City_Inputs!$AJ89,Norm_Stats!$F$23),Norm_Stats!$G$23)-Norm_Stats!$F$23)/(Norm_Stats!$G$23-Norm_Stats!$F$23)))))="",0,0.2))=0,"",(IF((IF(OR(City_Inputs!$AF89="",Norm_Stats!$F$21="",Norm_Stats!$G$21="",Norm_Stats!$G$21=Norm_Stats!$F$21),"",MAX(0,MIN(100,100*(MIN(MAX(City_Inputs!$AF89,Norm_Stats!$F$21),Norm_Stats!$G$21)-Norm_Stats!$F$21)/(Norm_Stats!$G$21-Norm_Stats!$F$21)))))="",0,(IF(OR(City_Inputs!$AF89="",Norm_Stats!$F$21="",Norm_Stats!$G$21="",Norm_Stats!$G$21=Norm_Stats!$F$21),"",MAX(0,MIN(100,100*(MIN(MAX(City_Inputs!$AF89,Norm_Stats!$F$21),Norm_Stats!$G$21)-Norm_Stats!$F$21)/(Norm_Stats!$G$21-Norm_Stats!$F$21)))))*0.5)+IF((IF(OR(City_Inputs!$AI89="",Norm_Stats!$F$22="",Norm_Stats!$G$22="",Norm_Stats!$G$22=Norm_Stats!$F$22),"",MAX(0,MIN(100,100*(MIN(MAX(City_Inputs!$AI89,Norm_Stats!$F$22),Norm_Stats!$G$22)-Norm_Stats!$F$22)/(Norm_Stats!$G$22-Norm_Stats!$F$22)))))="",0,(IF(OR(City_Inputs!$AI89="",Norm_Stats!$F$22="",Norm_Stats!$G$22="",Norm_Stats!$G$22=Norm_Stats!$F$22),"",MAX(0,MIN(100,100*(MIN(MAX(City_Inputs!$AI89,Norm_Stats!$F$22),Norm_Stats!$G$22)-Norm_Stats!$F$22)/(Norm_Stats!$G$22-Norm_Stats!$F$22)))))*0.3)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0.2))/(IF((IF(OR(City_Inputs!$AF89="",Norm_Stats!$F$21="",Norm_Stats!$G$21="",Norm_Stats!$G$21=Norm_Stats!$F$21),"",MAX(0,MIN(100,100*(MIN(MAX(City_Inputs!$AF89,Norm_Stats!$F$21),Norm_Stats!$G$21)-Norm_Stats!$F$21)/(Norm_Stats!$G$21-Norm_Stats!$F$21)))))="",0,0.5)+IF((IF(OR(City_Inputs!$AI89="",Norm_Stats!$F$22="",Norm_Stats!$G$22="",Norm_Stats!$G$22=Norm_Stats!$F$22),"",MAX(0,MIN(100,100*(MIN(MAX(City_Inputs!$AI89,Norm_Stats!$F$22),Norm_Stats!$G$22)-Norm_Stats!$F$22)/(Norm_Stats!$G$22-Norm_Stats!$F$22)))))="",0,0.3)+IF((IF(OR(City_Inputs!$AJ89="",Norm_Stats!$F$23="",Norm_Stats!$G$23="",Norm_Stats!$G$23=Norm_Stats!$F$23),"",MAX(0,MIN(100,100*(MIN(MAX(City_Inputs!$AJ89,Norm_Stats!$F$23),Norm_Stats!$G$23)-Norm_Stats!$F$23)/(Norm_Stats!$G$23-Norm_Stats!$F$23)))))="",0,0.2)))</f>
        <v/>
      </c>
      <c r="AZ89" s="14">
        <f>IF((IF((IF(OR(City_Inputs!$AF89="",Norm_Stats!$F$21="",Norm_Stats!$G$21="",Norm_Stats!$G$21=Norm_Stats!$F$21),"",MAX(0,MIN(100,100*(MIN(MAX(City_Inputs!$AF89,Norm_Stats!$F$21),Norm_Stats!$G$21)-Norm_Stats!$F$21)/(Norm_Stats!$G$21-Norm_Stats!$F$21)))))="",0,0.5)+IF((IF(OR(City_Inputs!$AI89="",Norm_Stats!$F$22="",Norm_Stats!$G$22="",Norm_Stats!$G$22=Norm_Stats!$F$22),"",MAX(0,MIN(100,100*(MIN(MAX(City_Inputs!$AI89,Norm_Stats!$F$22),Norm_Stats!$G$22)-Norm_Stats!$F$22)/(Norm_Stats!$G$22-Norm_Stats!$F$22)))))="",0,0.3)+IF((IF(OR(City_Inputs!$AJ89="",Norm_Stats!$F$23="",Norm_Stats!$G$23="",Norm_Stats!$G$23=Norm_Stats!$F$23),"",MAX(0,MIN(100,100*(MIN(MAX(City_Inputs!$AJ89,Norm_Stats!$F$23),Norm_Stats!$G$23)-Norm_Stats!$F$23)/(Norm_Stats!$G$23-Norm_Stats!$F$23)))))="",0,0.2))=0,"",(IF((IF(OR(City_Inputs!$AF89="",Norm_Stats!$F$21="",Norm_Stats!$G$21="",Norm_Stats!$G$21=Norm_Stats!$F$21),"",MAX(0,MIN(100,100*(MIN(MAX(City_Inputs!$AF89,Norm_Stats!$F$21),Norm_Stats!$G$21)-Norm_Stats!$F$21)/(Norm_Stats!$G$21-Norm_Stats!$F$21)))))="",0,0.5)+IF((IF(OR(City_Inputs!$AI89="",Norm_Stats!$F$22="",Norm_Stats!$G$22="",Norm_Stats!$G$22=Norm_Stats!$F$22),"",MAX(0,MIN(100,100*(MIN(MAX(City_Inputs!$AI89,Norm_Stats!$F$22),Norm_Stats!$G$22)-Norm_Stats!$F$22)/(Norm_Stats!$G$22-Norm_Stats!$F$22)))))="",0,0.3)+IF((IF(OR(City_Inputs!$AJ89="",Norm_Stats!$F$23="",Norm_Stats!$G$23="",Norm_Stats!$G$23=Norm_Stats!$F$23),"",MAX(0,MIN(100,100*(MIN(MAX(City_Inputs!$AJ89,Norm_Stats!$F$23),Norm_Stats!$G$23)-Norm_Stats!$F$23)/(Norm_Stats!$G$23-Norm_Stats!$F$23)))))="",0,0.2)))</f>
        <v/>
      </c>
      <c r="BA89" s="11">
        <f>IF(OR(City_Inputs!$AG89="",Norm_Stats!$F$24="",Norm_Stats!$G$24="",Norm_Stats!$G$24=Norm_Stats!$F$24),"",MAX(0,MIN(100,100*(Norm_Stats!$G$24-MIN(MAX(City_Inputs!$AG89,Norm_Stats!$F$24),Norm_Stats!$G$24))/(Norm_Stats!$G$24-Norm_Stats!$F$24))))</f>
        <v/>
      </c>
      <c r="BB89" s="14">
        <f>IF(BA89="","",1)</f>
        <v/>
      </c>
      <c r="BC89" s="15">
        <f>IF((IF(AU89="",0,6)+IF(AW89="",0,5)+IF(AY89="",0,5)+IF(BA89="",0,4))=0,"",(IF(AU89="",0,AU89*6)+IF(AW89="",0,AW89*5)+IF(AY89="",0,AY89*5)+IF(BA89="",0,BA89*4))/(IF(AU89="",0,6)+IF(AW89="",0,5)+IF(AY89="",0,5)+IF(BA89="",0,4)))</f>
        <v/>
      </c>
      <c r="BD89" s="14">
        <f>IF((IF(AV89="",0,6)+IF(AX89="",0,5)+IF(AZ89="",0,5)+IF(BB89="",0,4))=0,"",(IF(AV89="",0,AV89*6)+IF(AX89="",0,AX89*5)+IF(AZ89="",0,AZ89*5)+IF(BB89="",0,BB89*4))/20)</f>
        <v/>
      </c>
      <c r="BE89" s="14">
        <f>IF(AND(R89="",AD89="",AL89="",AT89="",BD89=""),"",((R89*25)+(AD89*22)+(AL89*18)+(AT89*15)+(BD89*20))/100)</f>
        <v/>
      </c>
      <c r="BF89" s="11">
        <f>IF(BE89="","",IF(BE89&gt;=0.75,"A",IF(BE89&gt;=0.5,"B",IF(BE89&gt;=0.35,"C","Watchlist"))))</f>
        <v/>
      </c>
      <c r="BG89" s="11">
        <f>IF(OR(BE89="",BE89&lt;0.5,R89="",R89&lt;0.35,AD89="",AD89&lt;0.35,AL89="",AL89&lt;0.35,AT89="",AT89&lt;0.35,BD89="",BD89&lt;0.35),"Watchlist","Ranked")</f>
        <v/>
      </c>
      <c r="BH89" s="15">
        <f>IF(AND(Q89="",AC89="",AK89="",AS89="",BC89=""),"",(IF(Q89="",0,Q89*25)+IF(AC89="",0,AC89*22)+IF(AK89="",0,AK89*18)+IF(AS89="",0,AS89*15)+IF(BC89="",0,BC89*20))/(IF(Q89="",0,25)+IF(AC89="",0,22)+IF(AK89="",0,18)+IF(AS89="",0,15)+IF(BC89="",0,20)))</f>
        <v/>
      </c>
      <c r="BI89" s="11">
        <f>IF(BG89="Ranked",1+COUNTIFS($BG$2:$BG$101,"Ranked",$BH$2:$BH$101,"&gt;"&amp;BH89),"")</f>
        <v/>
      </c>
      <c r="BJ89" s="11">
        <f>City_Inputs!$AH89</f>
        <v/>
      </c>
    </row>
    <row r="90">
      <c r="A90" t="inlineStr">
        <is>
          <t>gh-accra</t>
        </is>
      </c>
      <c r="B90" t="inlineStr">
        <is>
          <t>Accra</t>
        </is>
      </c>
      <c r="C90" t="inlineStr">
        <is>
          <t>Ghana</t>
        </is>
      </c>
      <c r="D90" t="inlineStr">
        <is>
          <t>Africa</t>
        </is>
      </c>
      <c r="E90" t="inlineStr">
        <is>
          <t>locked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IF((IF(G90="",0,9)+IF(I90="",0,5)+IF(K90="",0,4)+IF(M90="",0,4)+IF(O90="",0,3))=0,"",(IF(G90="",0,G90*9)+IF(I90="",0,I90*5)+IF(K90="",0,K90*4)+IF(M90="",0,M90*4)+IF(O90="",0,O90*3))/(IF(G90="",0,9)+IF(I90="",0,5)+IF(K90="",0,4)+IF(M90="",0,4)+IF(O90="",0,3)))</f>
        <v/>
      </c>
      <c r="R90" s="14">
        <f>IF((IF(H90="",0,9)+IF(J90="",0,5)+IF(L90="",0,4)+IF(N90="",0,4)+IF(P90="",0,3))=0,"",(IF(H90="",0,H90*9)+IF(J90="",0,J90*5)+IF(L90="",0,L90*4)+IF(N90="",0,N90*4)+IF(P90="",0,P90*3))/25)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5">
        <f>IF((IF(S90="",0,5)+IF(U90="",0,5)+IF(W90="",0,4)+IF(Y90="",0,4)+IF(AA90="",0,4))=0,"",(IF(S90="",0,S90*5)+IF(U90="",0,U90*5)+IF(W90="",0,W90*4)+IF(Y90="",0,Y90*4)+IF(AA90="",0,AA90*4))/(IF(S90="",0,5)+IF(U90="",0,5)+IF(W90="",0,4)+IF(Y90="",0,4)+IF(AA90="",0,4)))</f>
        <v/>
      </c>
      <c r="AD90" s="14">
        <f>IF((IF(T90="",0,5)+IF(V90="",0,5)+IF(X90="",0,4)+IF(Z90="",0,4)+IF(AB90="",0,4))=0,"",(IF(T90="",0,T90*5)+IF(V90="",0,V90*5)+IF(X90="",0,X90*4)+IF(Z90="",0,Z90*4)+IF(AB90="",0,AB90*4))/22)</f>
        <v/>
      </c>
      <c r="AE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F90" s="14">
        <f>IF(AE90="","",1)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(IF((IF(OR(City_Inputs!$Z90="",Norm_Stats!$F$14="",Norm_Stats!$G$14="",Norm_Stats!$G$14=Norm_Stats!$F$14),"",MAX(0,MIN(100,100*(MIN(MAX(City_Inputs!$Z90,Norm_Stats!$F$14),Norm_Stats!$G$14)-Norm_Stats!$F$14)/(Norm_Stats!$G$14-Norm_Stats!$F$14)))))="",0,0.7)+IF((IF(OR(City_Inputs!$AK90="",Norm_Stats!$F$15="",Norm_Stats!$G$15="",Norm_Stats!$G$15=Norm_Stats!$F$15),"",MAX(0,MIN(100,100*(Norm_Stats!$G$15-MIN(MAX(City_Inputs!$AK90,Norm_Stats!$F$15),Norm_Stats!$G$15))/(Norm_Stats!$G$15-Norm_Stats!$F$15)))))="",0,0.3))=0,"",(IF((IF(OR(City_Inputs!$Z90="",Norm_Stats!$F$14="",Norm_Stats!$G$14="",Norm_Stats!$G$14=Norm_Stats!$F$14),"",MAX(0,MIN(100,100*(MIN(MAX(City_Inputs!$Z90,Norm_Stats!$F$14),Norm_Stats!$G$14)-Norm_Stats!$F$14)/(Norm_Stats!$G$14-Norm_Stats!$F$14)))))="",0,(IF(OR(City_Inputs!$Z90="",Norm_Stats!$F$14="",Norm_Stats!$G$14="",Norm_Stats!$G$14=Norm_Stats!$F$14),"",MAX(0,MIN(100,100*(MIN(MAX(City_Inputs!$Z90,Norm_Stats!$F$14),Norm_Stats!$G$14)-Norm_Stats!$F$14)/(Norm_Stats!$G$14-Norm_Stats!$F$14)))))*0.7)+IF((IF(OR(City_Inputs!$AK90="",Norm_Stats!$F$15="",Norm_Stats!$G$15="",Norm_Stats!$G$15=Norm_Stats!$F$15),"",MAX(0,MIN(100,100*(Norm_Stats!$G$15-MIN(MAX(City_Inputs!$AK90,Norm_Stats!$F$15),Norm_Stats!$G$15))/(Norm_Stats!$G$15-Norm_Stats!$F$15)))))="",0,(IF(OR(City_Inputs!$AK90="",Norm_Stats!$F$15="",Norm_Stats!$G$15="",Norm_Stats!$G$15=Norm_Stats!$F$15),"",MAX(0,MIN(100,100*(Norm_Stats!$G$15-MIN(MAX(City_Inputs!$AK90,Norm_Stats!$F$15),Norm_Stats!$G$15))/(Norm_Stats!$G$15-Norm_Stats!$F$15)))))*0.3))/(IF((IF(OR(City_Inputs!$Z90="",Norm_Stats!$F$14="",Norm_Stats!$G$14="",Norm_Stats!$G$14=Norm_Stats!$F$14),"",MAX(0,MIN(100,100*(MIN(MAX(City_Inputs!$Z90,Norm_Stats!$F$14),Norm_Stats!$G$14)-Norm_Stats!$F$14)/(Norm_Stats!$G$14-Norm_Stats!$F$14)))))="",0,0.7)+IF((IF(OR(City_Inputs!$AK90="",Norm_Stats!$F$15="",Norm_Stats!$G$15="",Norm_Stats!$G$15=Norm_Stats!$F$15),"",MAX(0,MIN(100,100*(Norm_Stats!$G$15-MIN(MAX(City_Inputs!$AK90,Norm_Stats!$F$15),Norm_Stats!$G$15))/(Norm_Stats!$G$15-Norm_Stats!$F$15)))))="",0,0.3)))</f>
        <v/>
      </c>
      <c r="AJ90" s="14">
        <f>IF((IF((IF(OR(City_Inputs!$Z90="",Norm_Stats!$F$14="",Norm_Stats!$G$14="",Norm_Stats!$G$14=Norm_Stats!$F$14),"",MAX(0,MIN(100,100*(MIN(MAX(City_Inputs!$Z90,Norm_Stats!$F$14),Norm_Stats!$G$14)-Norm_Stats!$F$14)/(Norm_Stats!$G$14-Norm_Stats!$F$14)))))="",0,0.7)+IF((IF(OR(City_Inputs!$AK90="",Norm_Stats!$F$15="",Norm_Stats!$G$15="",Norm_Stats!$G$15=Norm_Stats!$F$15),"",MAX(0,MIN(100,100*(Norm_Stats!$G$15-MIN(MAX(City_Inputs!$AK90,Norm_Stats!$F$15),Norm_Stats!$G$15))/(Norm_Stats!$G$15-Norm_Stats!$F$15)))))="",0,0.3))=0,"",(IF((IF(OR(City_Inputs!$Z90="",Norm_Stats!$F$14="",Norm_Stats!$G$14="",Norm_Stats!$G$14=Norm_Stats!$F$14),"",MAX(0,MIN(100,100*(MIN(MAX(City_Inputs!$Z90,Norm_Stats!$F$14),Norm_Stats!$G$14)-Norm_Stats!$F$14)/(Norm_Stats!$G$14-Norm_Stats!$F$14)))))="",0,0.7)+IF((IF(OR(City_Inputs!$AK90="",Norm_Stats!$F$15="",Norm_Stats!$G$15="",Norm_Stats!$G$15=Norm_Stats!$F$15),"",MAX(0,MIN(100,100*(Norm_Stats!$G$15-MIN(MAX(City_Inputs!$AK90,Norm_Stats!$F$15),Norm_Stats!$G$15))/(Norm_Stats!$G$15-Norm_Stats!$F$15)))))="",0,0.3)))</f>
        <v/>
      </c>
      <c r="AK90" s="15">
        <f>IF((IF(AE90="",0,8)+IF(AG90="",0,6)+IF(AI90="",0,4))=0,"",(IF(AE90="",0,AE90*8)+IF(AG90="",0,AG90*6)+IF(AI90="",0,AI90*4))/(IF(AE90="",0,8)+IF(AG90="",0,6)+IF(AI90="",0,4)))</f>
        <v/>
      </c>
      <c r="AL90" s="14">
        <f>IF((IF(AF90="",0,8)+IF(AH90="",0,6)+IF(AJ90="",0,4))=0,"",(IF(AF90="",0,AF90*8)+IF(AH90="",0,AH90*6)+IF(AJ90="",0,AJ90*4))/18)</f>
        <v/>
      </c>
      <c r="AM90" s="11">
        <f>IF(OR(City_Inputs!$AA90="",Norm_Stats!$F$16="",Norm_Stats!$G$16="",Norm_Stats!$G$16=Norm_Stats!$F$16),"",MAX(0,MIN(100,100*(MIN(MAX(City_Inputs!$AA90,Norm_Stats!$F$16),Norm_Stats!$G$16)-Norm_Stats!$F$16)/(Norm_Stats!$G$16-Norm_Stats!$F$16))))</f>
        <v/>
      </c>
      <c r="AN90" s="14">
        <f>IF(AM90="","",1)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5">
        <f>IF((IF(AM90="",0,5)+IF(AO90="",0,5)+IF(AQ90="",0,5))=0,"",(IF(AM90="",0,AM90*5)+IF(AO90="",0,AO90*5)+IF(AQ90="",0,AQ90*5))/(IF(AM90="",0,5)+IF(AO90="",0,5)+IF(AQ90="",0,5)))</f>
        <v/>
      </c>
      <c r="AT90" s="14">
        <f>IF((IF(AN90="",0,5)+IF(AP90="",0,5)+IF(AR90="",0,5))=0,"",(IF(AN90="",0,AN90*5)+IF(AP90="",0,AP90*5)+IF(AR90="",0,AR90*5))/15)</f>
        <v/>
      </c>
      <c r="AU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V90" s="14">
        <f>IF(AU90="","",1)</f>
        <v/>
      </c>
      <c r="AW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X90" s="14">
        <f>IF(AW90="","",1)</f>
        <v/>
      </c>
      <c r="AY90" s="11">
        <f>IF((IF((IF(OR(City_Inputs!$AF90="",Norm_Stats!$F$21="",Norm_Stats!$G$21="",Norm_Stats!$G$21=Norm_Stats!$F$21),"",MAX(0,MIN(100,100*(MIN(MAX(City_Inputs!$AF90,Norm_Stats!$F$21),Norm_Stats!$G$21)-Norm_Stats!$F$21)/(Norm_Stats!$G$21-Norm_Stats!$F$21)))))="",0,0.5)+IF((IF(OR(City_Inputs!$AI90="",Norm_Stats!$F$22="",Norm_Stats!$G$22="",Norm_Stats!$G$22=Norm_Stats!$F$22),"",MAX(0,MIN(100,100*(MIN(MAX(City_Inputs!$AI90,Norm_Stats!$F$22),Norm_Stats!$G$22)-Norm_Stats!$F$22)/(Norm_Stats!$G$22-Norm_Stats!$F$22)))))="",0,0.3)+IF((IF(OR(City_Inputs!$AJ90="",Norm_Stats!$F$23="",Norm_Stats!$G$23="",Norm_Stats!$G$23=Norm_Stats!$F$23),"",MAX(0,MIN(100,100*(MIN(MAX(City_Inputs!$AJ90,Norm_Stats!$F$23),Norm_Stats!$G$23)-Norm_Stats!$F$23)/(Norm_Stats!$G$23-Norm_Stats!$F$23)))))="",0,0.2))=0,"",(IF((IF(OR(City_Inputs!$AF90="",Norm_Stats!$F$21="",Norm_Stats!$G$21="",Norm_Stats!$G$21=Norm_Stats!$F$21),"",MAX(0,MIN(100,100*(MIN(MAX(City_Inputs!$AF90,Norm_Stats!$F$21),Norm_Stats!$G$21)-Norm_Stats!$F$21)/(Norm_Stats!$G$21-Norm_Stats!$F$21)))))="",0,(IF(OR(City_Inputs!$AF90="",Norm_Stats!$F$21="",Norm_Stats!$G$21="",Norm_Stats!$G$21=Norm_Stats!$F$21),"",MAX(0,MIN(100,100*(MIN(MAX(City_Inputs!$AF90,Norm_Stats!$F$21),Norm_Stats!$G$21)-Norm_Stats!$F$21)/(Norm_Stats!$G$21-Norm_Stats!$F$21)))))*0.5)+IF((IF(OR(City_Inputs!$AI90="",Norm_Stats!$F$22="",Norm_Stats!$G$22="",Norm_Stats!$G$22=Norm_Stats!$F$22),"",MAX(0,MIN(100,100*(MIN(MAX(City_Inputs!$AI90,Norm_Stats!$F$22),Norm_Stats!$G$22)-Norm_Stats!$F$22)/(Norm_Stats!$G$22-Norm_Stats!$F$22)))))="",0,(IF(OR(City_Inputs!$AI90="",Norm_Stats!$F$22="",Norm_Stats!$G$22="",Norm_Stats!$G$22=Norm_Stats!$F$22),"",MAX(0,MIN(100,100*(MIN(MAX(City_Inputs!$AI90,Norm_Stats!$F$22),Norm_Stats!$G$22)-Norm_Stats!$F$22)/(Norm_Stats!$G$22-Norm_Stats!$F$22)))))*0.3)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0.2))/(IF((IF(OR(City_Inputs!$AF90="",Norm_Stats!$F$21="",Norm_Stats!$G$21="",Norm_Stats!$G$21=Norm_Stats!$F$21),"",MAX(0,MIN(100,100*(MIN(MAX(City_Inputs!$AF90,Norm_Stats!$F$21),Norm_Stats!$G$21)-Norm_Stats!$F$21)/(Norm_Stats!$G$21-Norm_Stats!$F$21)))))="",0,0.5)+IF((IF(OR(City_Inputs!$AI90="",Norm_Stats!$F$22="",Norm_Stats!$G$22="",Norm_Stats!$G$22=Norm_Stats!$F$22),"",MAX(0,MIN(100,100*(MIN(MAX(City_Inputs!$AI90,Norm_Stats!$F$22),Norm_Stats!$G$22)-Norm_Stats!$F$22)/(Norm_Stats!$G$22-Norm_Stats!$F$22)))))="",0,0.3)+IF((IF(OR(City_Inputs!$AJ90="",Norm_Stats!$F$23="",Norm_Stats!$G$23="",Norm_Stats!$G$23=Norm_Stats!$F$23),"",MAX(0,MIN(100,100*(MIN(MAX(City_Inputs!$AJ90,Norm_Stats!$F$23),Norm_Stats!$G$23)-Norm_Stats!$F$23)/(Norm_Stats!$G$23-Norm_Stats!$F$23)))))="",0,0.2)))</f>
        <v/>
      </c>
      <c r="AZ90" s="14">
        <f>IF((IF((IF(OR(City_Inputs!$AF90="",Norm_Stats!$F$21="",Norm_Stats!$G$21="",Norm_Stats!$G$21=Norm_Stats!$F$21),"",MAX(0,MIN(100,100*(MIN(MAX(City_Inputs!$AF90,Norm_Stats!$F$21),Norm_Stats!$G$21)-Norm_Stats!$F$21)/(Norm_Stats!$G$21-Norm_Stats!$F$21)))))="",0,0.5)+IF((IF(OR(City_Inputs!$AI90="",Norm_Stats!$F$22="",Norm_Stats!$G$22="",Norm_Stats!$G$22=Norm_Stats!$F$22),"",MAX(0,MIN(100,100*(MIN(MAX(City_Inputs!$AI90,Norm_Stats!$F$22),Norm_Stats!$G$22)-Norm_Stats!$F$22)/(Norm_Stats!$G$22-Norm_Stats!$F$22)))))="",0,0.3)+IF((IF(OR(City_Inputs!$AJ90="",Norm_Stats!$F$23="",Norm_Stats!$G$23="",Norm_Stats!$G$23=Norm_Stats!$F$23),"",MAX(0,MIN(100,100*(MIN(MAX(City_Inputs!$AJ90,Norm_Stats!$F$23),Norm_Stats!$G$23)-Norm_Stats!$F$23)/(Norm_Stats!$G$23-Norm_Stats!$F$23)))))="",0,0.2))=0,"",(IF((IF(OR(City_Inputs!$AF90="",Norm_Stats!$F$21="",Norm_Stats!$G$21="",Norm_Stats!$G$21=Norm_Stats!$F$21),"",MAX(0,MIN(100,100*(MIN(MAX(City_Inputs!$AF90,Norm_Stats!$F$21),Norm_Stats!$G$21)-Norm_Stats!$F$21)/(Norm_Stats!$G$21-Norm_Stats!$F$21)))))="",0,0.5)+IF((IF(OR(City_Inputs!$AI90="",Norm_Stats!$F$22="",Norm_Stats!$G$22="",Norm_Stats!$G$22=Norm_Stats!$F$22),"",MAX(0,MIN(100,100*(MIN(MAX(City_Inputs!$AI90,Norm_Stats!$F$22),Norm_Stats!$G$22)-Norm_Stats!$F$22)/(Norm_Stats!$G$22-Norm_Stats!$F$22)))))="",0,0.3)+IF((IF(OR(City_Inputs!$AJ90="",Norm_Stats!$F$23="",Norm_Stats!$G$23="",Norm_Stats!$G$23=Norm_Stats!$F$23),"",MAX(0,MIN(100,100*(MIN(MAX(City_Inputs!$AJ90,Norm_Stats!$F$23),Norm_Stats!$G$23)-Norm_Stats!$F$23)/(Norm_Stats!$G$23-Norm_Stats!$F$23)))))="",0,0.2)))</f>
        <v/>
      </c>
      <c r="BA90" s="11">
        <f>IF(OR(City_Inputs!$AG90="",Norm_Stats!$F$24="",Norm_Stats!$G$24="",Norm_Stats!$G$24=Norm_Stats!$F$24),"",MAX(0,MIN(100,100*(Norm_Stats!$G$24-MIN(MAX(City_Inputs!$AG90,Norm_Stats!$F$24),Norm_Stats!$G$24))/(Norm_Stats!$G$24-Norm_Stats!$F$24))))</f>
        <v/>
      </c>
      <c r="BB90" s="14">
        <f>IF(BA90="","",1)</f>
        <v/>
      </c>
      <c r="BC90" s="15">
        <f>IF((IF(AU90="",0,6)+IF(AW90="",0,5)+IF(AY90="",0,5)+IF(BA90="",0,4))=0,"",(IF(AU90="",0,AU90*6)+IF(AW90="",0,AW90*5)+IF(AY90="",0,AY90*5)+IF(BA90="",0,BA90*4))/(IF(AU90="",0,6)+IF(AW90="",0,5)+IF(AY90="",0,5)+IF(BA90="",0,4)))</f>
        <v/>
      </c>
      <c r="BD90" s="14">
        <f>IF((IF(AV90="",0,6)+IF(AX90="",0,5)+IF(AZ90="",0,5)+IF(BB90="",0,4))=0,"",(IF(AV90="",0,AV90*6)+IF(AX90="",0,AX90*5)+IF(AZ90="",0,AZ90*5)+IF(BB90="",0,BB90*4))/20)</f>
        <v/>
      </c>
      <c r="BE90" s="14">
        <f>IF(AND(R90="",AD90="",AL90="",AT90="",BD90=""),"",((R90*25)+(AD90*22)+(AL90*18)+(AT90*15)+(BD90*20))/100)</f>
        <v/>
      </c>
      <c r="BF90" s="11">
        <f>IF(BE90="","",IF(BE90&gt;=0.75,"A",IF(BE90&gt;=0.5,"B",IF(BE90&gt;=0.35,"C","Watchlist"))))</f>
        <v/>
      </c>
      <c r="BG90" s="11">
        <f>IF(OR(BE90="",BE90&lt;0.5,R90="",R90&lt;0.35,AD90="",AD90&lt;0.35,AL90="",AL90&lt;0.35,AT90="",AT90&lt;0.35,BD90="",BD90&lt;0.35),"Watchlist","Ranked")</f>
        <v/>
      </c>
      <c r="BH90" s="15">
        <f>IF(AND(Q90="",AC90="",AK90="",AS90="",BC90=""),"",(IF(Q90="",0,Q90*25)+IF(AC90="",0,AC90*22)+IF(AK90="",0,AK90*18)+IF(AS90="",0,AS90*15)+IF(BC90="",0,BC90*20))/(IF(Q90="",0,25)+IF(AC90="",0,22)+IF(AK90="",0,18)+IF(AS90="",0,15)+IF(BC90="",0,20)))</f>
        <v/>
      </c>
      <c r="BI90" s="11">
        <f>IF(BG90="Ranked",1+COUNTIFS($BG$2:$BG$101,"Ranked",$BH$2:$BH$101,"&gt;"&amp;BH90),"")</f>
        <v/>
      </c>
      <c r="BJ90" s="11">
        <f>City_Inputs!$AH90</f>
        <v/>
      </c>
    </row>
    <row r="91">
      <c r="A91" t="inlineStr">
        <is>
          <t>sn-dakar</t>
        </is>
      </c>
      <c r="B91" t="inlineStr">
        <is>
          <t>Dakar</t>
        </is>
      </c>
      <c r="C91" t="inlineStr">
        <is>
          <t>Senegal</t>
        </is>
      </c>
      <c r="D91" t="inlineStr">
        <is>
          <t>Africa</t>
        </is>
      </c>
      <c r="E91" t="inlineStr">
        <is>
          <t>provisional</t>
        </is>
      </c>
      <c r="F91" t="inlineStr">
        <is>
          <t>secondary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IF((IF(G91="",0,9)+IF(I91="",0,5)+IF(K91="",0,4)+IF(M91="",0,4)+IF(O91="",0,3))=0,"",(IF(G91="",0,G91*9)+IF(I91="",0,I91*5)+IF(K91="",0,K91*4)+IF(M91="",0,M91*4)+IF(O91="",0,O91*3))/(IF(G91="",0,9)+IF(I91="",0,5)+IF(K91="",0,4)+IF(M91="",0,4)+IF(O91="",0,3)))</f>
        <v/>
      </c>
      <c r="R91" s="14">
        <f>IF((IF(H91="",0,9)+IF(J91="",0,5)+IF(L91="",0,4)+IF(N91="",0,4)+IF(P91="",0,3))=0,"",(IF(H91="",0,H91*9)+IF(J91="",0,J91*5)+IF(L91="",0,L91*4)+IF(N91="",0,N91*4)+IF(P91="",0,P91*3))/25)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5">
        <f>IF((IF(S91="",0,5)+IF(U91="",0,5)+IF(W91="",0,4)+IF(Y91="",0,4)+IF(AA91="",0,4))=0,"",(IF(S91="",0,S91*5)+IF(U91="",0,U91*5)+IF(W91="",0,W91*4)+IF(Y91="",0,Y91*4)+IF(AA91="",0,AA91*4))/(IF(S91="",0,5)+IF(U91="",0,5)+IF(W91="",0,4)+IF(Y91="",0,4)+IF(AA91="",0,4)))</f>
        <v/>
      </c>
      <c r="AD91" s="14">
        <f>IF((IF(T91="",0,5)+IF(V91="",0,5)+IF(X91="",0,4)+IF(Z91="",0,4)+IF(AB91="",0,4))=0,"",(IF(T91="",0,T91*5)+IF(V91="",0,V91*5)+IF(X91="",0,X91*4)+IF(Z91="",0,Z91*4)+IF(AB91="",0,AB91*4))/22)</f>
        <v/>
      </c>
      <c r="AE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F91" s="14">
        <f>IF(AE91="","",1)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(IF((IF(OR(City_Inputs!$Z91="",Norm_Stats!$F$14="",Norm_Stats!$G$14="",Norm_Stats!$G$14=Norm_Stats!$F$14),"",MAX(0,MIN(100,100*(MIN(MAX(City_Inputs!$Z91,Norm_Stats!$F$14),Norm_Stats!$G$14)-Norm_Stats!$F$14)/(Norm_Stats!$G$14-Norm_Stats!$F$14)))))="",0,0.7)+IF((IF(OR(City_Inputs!$AK91="",Norm_Stats!$F$15="",Norm_Stats!$G$15="",Norm_Stats!$G$15=Norm_Stats!$F$15),"",MAX(0,MIN(100,100*(Norm_Stats!$G$15-MIN(MAX(City_Inputs!$AK91,Norm_Stats!$F$15),Norm_Stats!$G$15))/(Norm_Stats!$G$15-Norm_Stats!$F$15)))))="",0,0.3))=0,"",(IF((IF(OR(City_Inputs!$Z91="",Norm_Stats!$F$14="",Norm_Stats!$G$14="",Norm_Stats!$G$14=Norm_Stats!$F$14),"",MAX(0,MIN(100,100*(MIN(MAX(City_Inputs!$Z91,Norm_Stats!$F$14),Norm_Stats!$G$14)-Norm_Stats!$F$14)/(Norm_Stats!$G$14-Norm_Stats!$F$14)))))="",0,(IF(OR(City_Inputs!$Z91="",Norm_Stats!$F$14="",Norm_Stats!$G$14="",Norm_Stats!$G$14=Norm_Stats!$F$14),"",MAX(0,MIN(100,100*(MIN(MAX(City_Inputs!$Z91,Norm_Stats!$F$14),Norm_Stats!$G$14)-Norm_Stats!$F$14)/(Norm_Stats!$G$14-Norm_Stats!$F$14)))))*0.7)+IF((IF(OR(City_Inputs!$AK91="",Norm_Stats!$F$15="",Norm_Stats!$G$15="",Norm_Stats!$G$15=Norm_Stats!$F$15),"",MAX(0,MIN(100,100*(Norm_Stats!$G$15-MIN(MAX(City_Inputs!$AK91,Norm_Stats!$F$15),Norm_Stats!$G$15))/(Norm_Stats!$G$15-Norm_Stats!$F$15)))))="",0,(IF(OR(City_Inputs!$AK91="",Norm_Stats!$F$15="",Norm_Stats!$G$15="",Norm_Stats!$G$15=Norm_Stats!$F$15),"",MAX(0,MIN(100,100*(Norm_Stats!$G$15-MIN(MAX(City_Inputs!$AK91,Norm_Stats!$F$15),Norm_Stats!$G$15))/(Norm_Stats!$G$15-Norm_Stats!$F$15)))))*0.3))/(IF((IF(OR(City_Inputs!$Z91="",Norm_Stats!$F$14="",Norm_Stats!$G$14="",Norm_Stats!$G$14=Norm_Stats!$F$14),"",MAX(0,MIN(100,100*(MIN(MAX(City_Inputs!$Z91,Norm_Stats!$F$14),Norm_Stats!$G$14)-Norm_Stats!$F$14)/(Norm_Stats!$G$14-Norm_Stats!$F$14)))))="",0,0.7)+IF((IF(OR(City_Inputs!$AK91="",Norm_Stats!$F$15="",Norm_Stats!$G$15="",Norm_Stats!$G$15=Norm_Stats!$F$15),"",MAX(0,MIN(100,100*(Norm_Stats!$G$15-MIN(MAX(City_Inputs!$AK91,Norm_Stats!$F$15),Norm_Stats!$G$15))/(Norm_Stats!$G$15-Norm_Stats!$F$15)))))="",0,0.3)))</f>
        <v/>
      </c>
      <c r="AJ91" s="14">
        <f>IF((IF((IF(OR(City_Inputs!$Z91="",Norm_Stats!$F$14="",Norm_Stats!$G$14="",Norm_Stats!$G$14=Norm_Stats!$F$14),"",MAX(0,MIN(100,100*(MIN(MAX(City_Inputs!$Z91,Norm_Stats!$F$14),Norm_Stats!$G$14)-Norm_Stats!$F$14)/(Norm_Stats!$G$14-Norm_Stats!$F$14)))))="",0,0.7)+IF((IF(OR(City_Inputs!$AK91="",Norm_Stats!$F$15="",Norm_Stats!$G$15="",Norm_Stats!$G$15=Norm_Stats!$F$15),"",MAX(0,MIN(100,100*(Norm_Stats!$G$15-MIN(MAX(City_Inputs!$AK91,Norm_Stats!$F$15),Norm_Stats!$G$15))/(Norm_Stats!$G$15-Norm_Stats!$F$15)))))="",0,0.3))=0,"",(IF((IF(OR(City_Inputs!$Z91="",Norm_Stats!$F$14="",Norm_Stats!$G$14="",Norm_Stats!$G$14=Norm_Stats!$F$14),"",MAX(0,MIN(100,100*(MIN(MAX(City_Inputs!$Z91,Norm_Stats!$F$14),Norm_Stats!$G$14)-Norm_Stats!$F$14)/(Norm_Stats!$G$14-Norm_Stats!$F$14)))))="",0,0.7)+IF((IF(OR(City_Inputs!$AK91="",Norm_Stats!$F$15="",Norm_Stats!$G$15="",Norm_Stats!$G$15=Norm_Stats!$F$15),"",MAX(0,MIN(100,100*(Norm_Stats!$G$15-MIN(MAX(City_Inputs!$AK91,Norm_Stats!$F$15),Norm_Stats!$G$15))/(Norm_Stats!$G$15-Norm_Stats!$F$15)))))="",0,0.3)))</f>
        <v/>
      </c>
      <c r="AK91" s="15">
        <f>IF((IF(AE91="",0,8)+IF(AG91="",0,6)+IF(AI91="",0,4))=0,"",(IF(AE91="",0,AE91*8)+IF(AG91="",0,AG91*6)+IF(AI91="",0,AI91*4))/(IF(AE91="",0,8)+IF(AG91="",0,6)+IF(AI91="",0,4)))</f>
        <v/>
      </c>
      <c r="AL91" s="14">
        <f>IF((IF(AF91="",0,8)+IF(AH91="",0,6)+IF(AJ91="",0,4))=0,"",(IF(AF91="",0,AF91*8)+IF(AH91="",0,AH91*6)+IF(AJ91="",0,AJ91*4))/18)</f>
        <v/>
      </c>
      <c r="AM91" s="11">
        <f>IF(OR(City_Inputs!$AA91="",Norm_Stats!$F$16="",Norm_Stats!$G$16="",Norm_Stats!$G$16=Norm_Stats!$F$16),"",MAX(0,MIN(100,100*(MIN(MAX(City_Inputs!$AA91,Norm_Stats!$F$16),Norm_Stats!$G$16)-Norm_Stats!$F$16)/(Norm_Stats!$G$16-Norm_Stats!$F$16))))</f>
        <v/>
      </c>
      <c r="AN91" s="14">
        <f>IF(AM91="","",1)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5">
        <f>IF((IF(AM91="",0,5)+IF(AO91="",0,5)+IF(AQ91="",0,5))=0,"",(IF(AM91="",0,AM91*5)+IF(AO91="",0,AO91*5)+IF(AQ91="",0,AQ91*5))/(IF(AM91="",0,5)+IF(AO91="",0,5)+IF(AQ91="",0,5)))</f>
        <v/>
      </c>
      <c r="AT91" s="14">
        <f>IF((IF(AN91="",0,5)+IF(AP91="",0,5)+IF(AR91="",0,5))=0,"",(IF(AN91="",0,AN91*5)+IF(AP91="",0,AP91*5)+IF(AR91="",0,AR91*5))/15)</f>
        <v/>
      </c>
      <c r="AU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V91" s="14">
        <f>IF(AU91="","",1)</f>
        <v/>
      </c>
      <c r="AW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X91" s="14">
        <f>IF(AW91="","",1)</f>
        <v/>
      </c>
      <c r="AY91" s="11">
        <f>IF((IF((IF(OR(City_Inputs!$AF91="",Norm_Stats!$F$21="",Norm_Stats!$G$21="",Norm_Stats!$G$21=Norm_Stats!$F$21),"",MAX(0,MIN(100,100*(MIN(MAX(City_Inputs!$AF91,Norm_Stats!$F$21),Norm_Stats!$G$21)-Norm_Stats!$F$21)/(Norm_Stats!$G$21-Norm_Stats!$F$21)))))="",0,0.5)+IF((IF(OR(City_Inputs!$AI91="",Norm_Stats!$F$22="",Norm_Stats!$G$22="",Norm_Stats!$G$22=Norm_Stats!$F$22),"",MAX(0,MIN(100,100*(MIN(MAX(City_Inputs!$AI91,Norm_Stats!$F$22),Norm_Stats!$G$22)-Norm_Stats!$F$22)/(Norm_Stats!$G$22-Norm_Stats!$F$22)))))="",0,0.3)+IF((IF(OR(City_Inputs!$AJ91="",Norm_Stats!$F$23="",Norm_Stats!$G$23="",Norm_Stats!$G$23=Norm_Stats!$F$23),"",MAX(0,MIN(100,100*(MIN(MAX(City_Inputs!$AJ91,Norm_Stats!$F$23),Norm_Stats!$G$23)-Norm_Stats!$F$23)/(Norm_Stats!$G$23-Norm_Stats!$F$23)))))="",0,0.2))=0,"",(IF((IF(OR(City_Inputs!$AF91="",Norm_Stats!$F$21="",Norm_Stats!$G$21="",Norm_Stats!$G$21=Norm_Stats!$F$21),"",MAX(0,MIN(100,100*(MIN(MAX(City_Inputs!$AF91,Norm_Stats!$F$21),Norm_Stats!$G$21)-Norm_Stats!$F$21)/(Norm_Stats!$G$21-Norm_Stats!$F$21)))))="",0,(IF(OR(City_Inputs!$AF91="",Norm_Stats!$F$21="",Norm_Stats!$G$21="",Norm_Stats!$G$21=Norm_Stats!$F$21),"",MAX(0,MIN(100,100*(MIN(MAX(City_Inputs!$AF91,Norm_Stats!$F$21),Norm_Stats!$G$21)-Norm_Stats!$F$21)/(Norm_Stats!$G$21-Norm_Stats!$F$21)))))*0.5)+IF((IF(OR(City_Inputs!$AI91="",Norm_Stats!$F$22="",Norm_Stats!$G$22="",Norm_Stats!$G$22=Norm_Stats!$F$22),"",MAX(0,MIN(100,100*(MIN(MAX(City_Inputs!$AI91,Norm_Stats!$F$22),Norm_Stats!$G$22)-Norm_Stats!$F$22)/(Norm_Stats!$G$22-Norm_Stats!$F$22)))))="",0,(IF(OR(City_Inputs!$AI91="",Norm_Stats!$F$22="",Norm_Stats!$G$22="",Norm_Stats!$G$22=Norm_Stats!$F$22),"",MAX(0,MIN(100,100*(MIN(MAX(City_Inputs!$AI91,Norm_Stats!$F$22),Norm_Stats!$G$22)-Norm_Stats!$F$22)/(Norm_Stats!$G$22-Norm_Stats!$F$22)))))*0.3)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0.2))/(IF((IF(OR(City_Inputs!$AF91="",Norm_Stats!$F$21="",Norm_Stats!$G$21="",Norm_Stats!$G$21=Norm_Stats!$F$21),"",MAX(0,MIN(100,100*(MIN(MAX(City_Inputs!$AF91,Norm_Stats!$F$21),Norm_Stats!$G$21)-Norm_Stats!$F$21)/(Norm_Stats!$G$21-Norm_Stats!$F$21)))))="",0,0.5)+IF((IF(OR(City_Inputs!$AI91="",Norm_Stats!$F$22="",Norm_Stats!$G$22="",Norm_Stats!$G$22=Norm_Stats!$F$22),"",MAX(0,MIN(100,100*(MIN(MAX(City_Inputs!$AI91,Norm_Stats!$F$22),Norm_Stats!$G$22)-Norm_Stats!$F$22)/(Norm_Stats!$G$22-Norm_Stats!$F$22)))))="",0,0.3)+IF((IF(OR(City_Inputs!$AJ91="",Norm_Stats!$F$23="",Norm_Stats!$G$23="",Norm_Stats!$G$23=Norm_Stats!$F$23),"",MAX(0,MIN(100,100*(MIN(MAX(City_Inputs!$AJ91,Norm_Stats!$F$23),Norm_Stats!$G$23)-Norm_Stats!$F$23)/(Norm_Stats!$G$23-Norm_Stats!$F$23)))))="",0,0.2)))</f>
        <v/>
      </c>
      <c r="AZ91" s="14">
        <f>IF((IF((IF(OR(City_Inputs!$AF91="",Norm_Stats!$F$21="",Norm_Stats!$G$21="",Norm_Stats!$G$21=Norm_Stats!$F$21),"",MAX(0,MIN(100,100*(MIN(MAX(City_Inputs!$AF91,Norm_Stats!$F$21),Norm_Stats!$G$21)-Norm_Stats!$F$21)/(Norm_Stats!$G$21-Norm_Stats!$F$21)))))="",0,0.5)+IF((IF(OR(City_Inputs!$AI91="",Norm_Stats!$F$22="",Norm_Stats!$G$22="",Norm_Stats!$G$22=Norm_Stats!$F$22),"",MAX(0,MIN(100,100*(MIN(MAX(City_Inputs!$AI91,Norm_Stats!$F$22),Norm_Stats!$G$22)-Norm_Stats!$F$22)/(Norm_Stats!$G$22-Norm_Stats!$F$22)))))="",0,0.3)+IF((IF(OR(City_Inputs!$AJ91="",Norm_Stats!$F$23="",Norm_Stats!$G$23="",Norm_Stats!$G$23=Norm_Stats!$F$23),"",MAX(0,MIN(100,100*(MIN(MAX(City_Inputs!$AJ91,Norm_Stats!$F$23),Norm_Stats!$G$23)-Norm_Stats!$F$23)/(Norm_Stats!$G$23-Norm_Stats!$F$23)))))="",0,0.2))=0,"",(IF((IF(OR(City_Inputs!$AF91="",Norm_Stats!$F$21="",Norm_Stats!$G$21="",Norm_Stats!$G$21=Norm_Stats!$F$21),"",MAX(0,MIN(100,100*(MIN(MAX(City_Inputs!$AF91,Norm_Stats!$F$21),Norm_Stats!$G$21)-Norm_Stats!$F$21)/(Norm_Stats!$G$21-Norm_Stats!$F$21)))))="",0,0.5)+IF((IF(OR(City_Inputs!$AI91="",Norm_Stats!$F$22="",Norm_Stats!$G$22="",Norm_Stats!$G$22=Norm_Stats!$F$22),"",MAX(0,MIN(100,100*(MIN(MAX(City_Inputs!$AI91,Norm_Stats!$F$22),Norm_Stats!$G$22)-Norm_Stats!$F$22)/(Norm_Stats!$G$22-Norm_Stats!$F$22)))))="",0,0.3)+IF((IF(OR(City_Inputs!$AJ91="",Norm_Stats!$F$23="",Norm_Stats!$G$23="",Norm_Stats!$G$23=Norm_Stats!$F$23),"",MAX(0,MIN(100,100*(MIN(MAX(City_Inputs!$AJ91,Norm_Stats!$F$23),Norm_Stats!$G$23)-Norm_Stats!$F$23)/(Norm_Stats!$G$23-Norm_Stats!$F$23)))))="",0,0.2)))</f>
        <v/>
      </c>
      <c r="BA91" s="11">
        <f>IF(OR(City_Inputs!$AG91="",Norm_Stats!$F$24="",Norm_Stats!$G$24="",Norm_Stats!$G$24=Norm_Stats!$F$24),"",MAX(0,MIN(100,100*(Norm_Stats!$G$24-MIN(MAX(City_Inputs!$AG91,Norm_Stats!$F$24),Norm_Stats!$G$24))/(Norm_Stats!$G$24-Norm_Stats!$F$24))))</f>
        <v/>
      </c>
      <c r="BB91" s="14">
        <f>IF(BA91="","",1)</f>
        <v/>
      </c>
      <c r="BC91" s="15">
        <f>IF((IF(AU91="",0,6)+IF(AW91="",0,5)+IF(AY91="",0,5)+IF(BA91="",0,4))=0,"",(IF(AU91="",0,AU91*6)+IF(AW91="",0,AW91*5)+IF(AY91="",0,AY91*5)+IF(BA91="",0,BA91*4))/(IF(AU91="",0,6)+IF(AW91="",0,5)+IF(AY91="",0,5)+IF(BA91="",0,4)))</f>
        <v/>
      </c>
      <c r="BD91" s="14">
        <f>IF((IF(AV91="",0,6)+IF(AX91="",0,5)+IF(AZ91="",0,5)+IF(BB91="",0,4))=0,"",(IF(AV91="",0,AV91*6)+IF(AX91="",0,AX91*5)+IF(AZ91="",0,AZ91*5)+IF(BB91="",0,BB91*4))/20)</f>
        <v/>
      </c>
      <c r="BE91" s="14">
        <f>IF(AND(R91="",AD91="",AL91="",AT91="",BD91=""),"",((R91*25)+(AD91*22)+(AL91*18)+(AT91*15)+(BD91*20))/100)</f>
        <v/>
      </c>
      <c r="BF91" s="11">
        <f>IF(BE91="","",IF(BE91&gt;=0.75,"A",IF(BE91&gt;=0.5,"B",IF(BE91&gt;=0.35,"C","Watchlist"))))</f>
        <v/>
      </c>
      <c r="BG91" s="11">
        <f>IF(OR(BE91="",BE91&lt;0.5,R91="",R91&lt;0.35,AD91="",AD91&lt;0.35,AL91="",AL91&lt;0.35,AT91="",AT91&lt;0.35,BD91="",BD91&lt;0.35),"Watchlist","Ranked")</f>
        <v/>
      </c>
      <c r="BH91" s="15">
        <f>IF(AND(Q91="",AC91="",AK91="",AS91="",BC91=""),"",(IF(Q91="",0,Q91*25)+IF(AC91="",0,AC91*22)+IF(AK91="",0,AK91*18)+IF(AS91="",0,AS91*15)+IF(BC91="",0,BC91*20))/(IF(Q91="",0,25)+IF(AC91="",0,22)+IF(AK91="",0,18)+IF(AS91="",0,15)+IF(BC91="",0,20)))</f>
        <v/>
      </c>
      <c r="BI91" s="11">
        <f>IF(BG91="Ranked",1+COUNTIFS($BG$2:$BG$101,"Ranked",$BH$2:$BH$101,"&gt;"&amp;BH91),"")</f>
        <v/>
      </c>
      <c r="BJ91" s="11">
        <f>City_Inputs!$AH91</f>
        <v/>
      </c>
    </row>
    <row r="92">
      <c r="A92" t="inlineStr">
        <is>
          <t>nz-auckland</t>
        </is>
      </c>
      <c r="B92" t="inlineStr">
        <is>
          <t>Auckland</t>
        </is>
      </c>
      <c r="C92" t="inlineStr">
        <is>
          <t>New Zealand</t>
        </is>
      </c>
      <c r="D92" t="inlineStr">
        <is>
          <t>Oceania</t>
        </is>
      </c>
      <c r="E92" t="inlineStr">
        <is>
          <t>locked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IF((IF(G92="",0,9)+IF(I92="",0,5)+IF(K92="",0,4)+IF(M92="",0,4)+IF(O92="",0,3))=0,"",(IF(G92="",0,G92*9)+IF(I92="",0,I92*5)+IF(K92="",0,K92*4)+IF(M92="",0,M92*4)+IF(O92="",0,O92*3))/(IF(G92="",0,9)+IF(I92="",0,5)+IF(K92="",0,4)+IF(M92="",0,4)+IF(O92="",0,3)))</f>
        <v/>
      </c>
      <c r="R92" s="14">
        <f>IF((IF(H92="",0,9)+IF(J92="",0,5)+IF(L92="",0,4)+IF(N92="",0,4)+IF(P92="",0,3))=0,"",(IF(H92="",0,H92*9)+IF(J92="",0,J92*5)+IF(L92="",0,L92*4)+IF(N92="",0,N92*4)+IF(P92="",0,P92*3))/25)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5">
        <f>IF((IF(S92="",0,5)+IF(U92="",0,5)+IF(W92="",0,4)+IF(Y92="",0,4)+IF(AA92="",0,4))=0,"",(IF(S92="",0,S92*5)+IF(U92="",0,U92*5)+IF(W92="",0,W92*4)+IF(Y92="",0,Y92*4)+IF(AA92="",0,AA92*4))/(IF(S92="",0,5)+IF(U92="",0,5)+IF(W92="",0,4)+IF(Y92="",0,4)+IF(AA92="",0,4)))</f>
        <v/>
      </c>
      <c r="AD92" s="14">
        <f>IF((IF(T92="",0,5)+IF(V92="",0,5)+IF(X92="",0,4)+IF(Z92="",0,4)+IF(AB92="",0,4))=0,"",(IF(T92="",0,T92*5)+IF(V92="",0,V92*5)+IF(X92="",0,X92*4)+IF(Z92="",0,Z92*4)+IF(AB92="",0,AB92*4))/22)</f>
        <v/>
      </c>
      <c r="AE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F92" s="14">
        <f>IF(AE92="","",1)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(IF((IF(OR(City_Inputs!$Z92="",Norm_Stats!$F$14="",Norm_Stats!$G$14="",Norm_Stats!$G$14=Norm_Stats!$F$14),"",MAX(0,MIN(100,100*(MIN(MAX(City_Inputs!$Z92,Norm_Stats!$F$14),Norm_Stats!$G$14)-Norm_Stats!$F$14)/(Norm_Stats!$G$14-Norm_Stats!$F$14)))))="",0,0.7)+IF((IF(OR(City_Inputs!$AK92="",Norm_Stats!$F$15="",Norm_Stats!$G$15="",Norm_Stats!$G$15=Norm_Stats!$F$15),"",MAX(0,MIN(100,100*(Norm_Stats!$G$15-MIN(MAX(City_Inputs!$AK92,Norm_Stats!$F$15),Norm_Stats!$G$15))/(Norm_Stats!$G$15-Norm_Stats!$F$15)))))="",0,0.3))=0,"",(IF((IF(OR(City_Inputs!$Z92="",Norm_Stats!$F$14="",Norm_Stats!$G$14="",Norm_Stats!$G$14=Norm_Stats!$F$14),"",MAX(0,MIN(100,100*(MIN(MAX(City_Inputs!$Z92,Norm_Stats!$F$14),Norm_Stats!$G$14)-Norm_Stats!$F$14)/(Norm_Stats!$G$14-Norm_Stats!$F$14)))))="",0,(IF(OR(City_Inputs!$Z92="",Norm_Stats!$F$14="",Norm_Stats!$G$14="",Norm_Stats!$G$14=Norm_Stats!$F$14),"",MAX(0,MIN(100,100*(MIN(MAX(City_Inputs!$Z92,Norm_Stats!$F$14),Norm_Stats!$G$14)-Norm_Stats!$F$14)/(Norm_Stats!$G$14-Norm_Stats!$F$14)))))*0.7)+IF((IF(OR(City_Inputs!$AK92="",Norm_Stats!$F$15="",Norm_Stats!$G$15="",Norm_Stats!$G$15=Norm_Stats!$F$15),"",MAX(0,MIN(100,100*(Norm_Stats!$G$15-MIN(MAX(City_Inputs!$AK92,Norm_Stats!$F$15),Norm_Stats!$G$15))/(Norm_Stats!$G$15-Norm_Stats!$F$15)))))="",0,(IF(OR(City_Inputs!$AK92="",Norm_Stats!$F$15="",Norm_Stats!$G$15="",Norm_Stats!$G$15=Norm_Stats!$F$15),"",MAX(0,MIN(100,100*(Norm_Stats!$G$15-MIN(MAX(City_Inputs!$AK92,Norm_Stats!$F$15),Norm_Stats!$G$15))/(Norm_Stats!$G$15-Norm_Stats!$F$15)))))*0.3))/(IF((IF(OR(City_Inputs!$Z92="",Norm_Stats!$F$14="",Norm_Stats!$G$14="",Norm_Stats!$G$14=Norm_Stats!$F$14),"",MAX(0,MIN(100,100*(MIN(MAX(City_Inputs!$Z92,Norm_Stats!$F$14),Norm_Stats!$G$14)-Norm_Stats!$F$14)/(Norm_Stats!$G$14-Norm_Stats!$F$14)))))="",0,0.7)+IF((IF(OR(City_Inputs!$AK92="",Norm_Stats!$F$15="",Norm_Stats!$G$15="",Norm_Stats!$G$15=Norm_Stats!$F$15),"",MAX(0,MIN(100,100*(Norm_Stats!$G$15-MIN(MAX(City_Inputs!$AK92,Norm_Stats!$F$15),Norm_Stats!$G$15))/(Norm_Stats!$G$15-Norm_Stats!$F$15)))))="",0,0.3)))</f>
        <v/>
      </c>
      <c r="AJ92" s="14">
        <f>IF((IF((IF(OR(City_Inputs!$Z92="",Norm_Stats!$F$14="",Norm_Stats!$G$14="",Norm_Stats!$G$14=Norm_Stats!$F$14),"",MAX(0,MIN(100,100*(MIN(MAX(City_Inputs!$Z92,Norm_Stats!$F$14),Norm_Stats!$G$14)-Norm_Stats!$F$14)/(Norm_Stats!$G$14-Norm_Stats!$F$14)))))="",0,0.7)+IF((IF(OR(City_Inputs!$AK92="",Norm_Stats!$F$15="",Norm_Stats!$G$15="",Norm_Stats!$G$15=Norm_Stats!$F$15),"",MAX(0,MIN(100,100*(Norm_Stats!$G$15-MIN(MAX(City_Inputs!$AK92,Norm_Stats!$F$15),Norm_Stats!$G$15))/(Norm_Stats!$G$15-Norm_Stats!$F$15)))))="",0,0.3))=0,"",(IF((IF(OR(City_Inputs!$Z92="",Norm_Stats!$F$14="",Norm_Stats!$G$14="",Norm_Stats!$G$14=Norm_Stats!$F$14),"",MAX(0,MIN(100,100*(MIN(MAX(City_Inputs!$Z92,Norm_Stats!$F$14),Norm_Stats!$G$14)-Norm_Stats!$F$14)/(Norm_Stats!$G$14-Norm_Stats!$F$14)))))="",0,0.7)+IF((IF(OR(City_Inputs!$AK92="",Norm_Stats!$F$15="",Norm_Stats!$G$15="",Norm_Stats!$G$15=Norm_Stats!$F$15),"",MAX(0,MIN(100,100*(Norm_Stats!$G$15-MIN(MAX(City_Inputs!$AK92,Norm_Stats!$F$15),Norm_Stats!$G$15))/(Norm_Stats!$G$15-Norm_Stats!$F$15)))))="",0,0.3)))</f>
        <v/>
      </c>
      <c r="AK92" s="15">
        <f>IF((IF(AE92="",0,8)+IF(AG92="",0,6)+IF(AI92="",0,4))=0,"",(IF(AE92="",0,AE92*8)+IF(AG92="",0,AG92*6)+IF(AI92="",0,AI92*4))/(IF(AE92="",0,8)+IF(AG92="",0,6)+IF(AI92="",0,4)))</f>
        <v/>
      </c>
      <c r="AL92" s="14">
        <f>IF((IF(AF92="",0,8)+IF(AH92="",0,6)+IF(AJ92="",0,4))=0,"",(IF(AF92="",0,AF92*8)+IF(AH92="",0,AH92*6)+IF(AJ92="",0,AJ92*4))/18)</f>
        <v/>
      </c>
      <c r="AM92" s="11">
        <f>IF(OR(City_Inputs!$AA92="",Norm_Stats!$F$16="",Norm_Stats!$G$16="",Norm_Stats!$G$16=Norm_Stats!$F$16),"",MAX(0,MIN(100,100*(MIN(MAX(City_Inputs!$AA92,Norm_Stats!$F$16),Norm_Stats!$G$16)-Norm_Stats!$F$16)/(Norm_Stats!$G$16-Norm_Stats!$F$16))))</f>
        <v/>
      </c>
      <c r="AN92" s="14">
        <f>IF(AM92="","",1)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5">
        <f>IF((IF(AM92="",0,5)+IF(AO92="",0,5)+IF(AQ92="",0,5))=0,"",(IF(AM92="",0,AM92*5)+IF(AO92="",0,AO92*5)+IF(AQ92="",0,AQ92*5))/(IF(AM92="",0,5)+IF(AO92="",0,5)+IF(AQ92="",0,5)))</f>
        <v/>
      </c>
      <c r="AT92" s="14">
        <f>IF((IF(AN92="",0,5)+IF(AP92="",0,5)+IF(AR92="",0,5))=0,"",(IF(AN92="",0,AN92*5)+IF(AP92="",0,AP92*5)+IF(AR92="",0,AR92*5))/15)</f>
        <v/>
      </c>
      <c r="AU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V92" s="14">
        <f>IF(AU92="","",1)</f>
        <v/>
      </c>
      <c r="AW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X92" s="14">
        <f>IF(AW92="","",1)</f>
        <v/>
      </c>
      <c r="AY92" s="11">
        <f>IF((IF((IF(OR(City_Inputs!$AF92="",Norm_Stats!$F$21="",Norm_Stats!$G$21="",Norm_Stats!$G$21=Norm_Stats!$F$21),"",MAX(0,MIN(100,100*(MIN(MAX(City_Inputs!$AF92,Norm_Stats!$F$21),Norm_Stats!$G$21)-Norm_Stats!$F$21)/(Norm_Stats!$G$21-Norm_Stats!$F$21)))))="",0,0.5)+IF((IF(OR(City_Inputs!$AI92="",Norm_Stats!$F$22="",Norm_Stats!$G$22="",Norm_Stats!$G$22=Norm_Stats!$F$22),"",MAX(0,MIN(100,100*(MIN(MAX(City_Inputs!$AI92,Norm_Stats!$F$22),Norm_Stats!$G$22)-Norm_Stats!$F$22)/(Norm_Stats!$G$22-Norm_Stats!$F$22)))))="",0,0.3)+IF((IF(OR(City_Inputs!$AJ92="",Norm_Stats!$F$23="",Norm_Stats!$G$23="",Norm_Stats!$G$23=Norm_Stats!$F$23),"",MAX(0,MIN(100,100*(MIN(MAX(City_Inputs!$AJ92,Norm_Stats!$F$23),Norm_Stats!$G$23)-Norm_Stats!$F$23)/(Norm_Stats!$G$23-Norm_Stats!$F$23)))))="",0,0.2))=0,"",(IF((IF(OR(City_Inputs!$AF92="",Norm_Stats!$F$21="",Norm_Stats!$G$21="",Norm_Stats!$G$21=Norm_Stats!$F$21),"",MAX(0,MIN(100,100*(MIN(MAX(City_Inputs!$AF92,Norm_Stats!$F$21),Norm_Stats!$G$21)-Norm_Stats!$F$21)/(Norm_Stats!$G$21-Norm_Stats!$F$21)))))="",0,(IF(OR(City_Inputs!$AF92="",Norm_Stats!$F$21="",Norm_Stats!$G$21="",Norm_Stats!$G$21=Norm_Stats!$F$21),"",MAX(0,MIN(100,100*(MIN(MAX(City_Inputs!$AF92,Norm_Stats!$F$21),Norm_Stats!$G$21)-Norm_Stats!$F$21)/(Norm_Stats!$G$21-Norm_Stats!$F$21)))))*0.5)+IF((IF(OR(City_Inputs!$AI92="",Norm_Stats!$F$22="",Norm_Stats!$G$22="",Norm_Stats!$G$22=Norm_Stats!$F$22),"",MAX(0,MIN(100,100*(MIN(MAX(City_Inputs!$AI92,Norm_Stats!$F$22),Norm_Stats!$G$22)-Norm_Stats!$F$22)/(Norm_Stats!$G$22-Norm_Stats!$F$22)))))="",0,(IF(OR(City_Inputs!$AI92="",Norm_Stats!$F$22="",Norm_Stats!$G$22="",Norm_Stats!$G$22=Norm_Stats!$F$22),"",MAX(0,MIN(100,100*(MIN(MAX(City_Inputs!$AI92,Norm_Stats!$F$22),Norm_Stats!$G$22)-Norm_Stats!$F$22)/(Norm_Stats!$G$22-Norm_Stats!$F$22)))))*0.3)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0.2))/(IF((IF(OR(City_Inputs!$AF92="",Norm_Stats!$F$21="",Norm_Stats!$G$21="",Norm_Stats!$G$21=Norm_Stats!$F$21),"",MAX(0,MIN(100,100*(MIN(MAX(City_Inputs!$AF92,Norm_Stats!$F$21),Norm_Stats!$G$21)-Norm_Stats!$F$21)/(Norm_Stats!$G$21-Norm_Stats!$F$21)))))="",0,0.5)+IF((IF(OR(City_Inputs!$AI92="",Norm_Stats!$F$22="",Norm_Stats!$G$22="",Norm_Stats!$G$22=Norm_Stats!$F$22),"",MAX(0,MIN(100,100*(MIN(MAX(City_Inputs!$AI92,Norm_Stats!$F$22),Norm_Stats!$G$22)-Norm_Stats!$F$22)/(Norm_Stats!$G$22-Norm_Stats!$F$22)))))="",0,0.3)+IF((IF(OR(City_Inputs!$AJ92="",Norm_Stats!$F$23="",Norm_Stats!$G$23="",Norm_Stats!$G$23=Norm_Stats!$F$23),"",MAX(0,MIN(100,100*(MIN(MAX(City_Inputs!$AJ92,Norm_Stats!$F$23),Norm_Stats!$G$23)-Norm_Stats!$F$23)/(Norm_Stats!$G$23-Norm_Stats!$F$23)))))="",0,0.2)))</f>
        <v/>
      </c>
      <c r="AZ92" s="14">
        <f>IF((IF((IF(OR(City_Inputs!$AF92="",Norm_Stats!$F$21="",Norm_Stats!$G$21="",Norm_Stats!$G$21=Norm_Stats!$F$21),"",MAX(0,MIN(100,100*(MIN(MAX(City_Inputs!$AF92,Norm_Stats!$F$21),Norm_Stats!$G$21)-Norm_Stats!$F$21)/(Norm_Stats!$G$21-Norm_Stats!$F$21)))))="",0,0.5)+IF((IF(OR(City_Inputs!$AI92="",Norm_Stats!$F$22="",Norm_Stats!$G$22="",Norm_Stats!$G$22=Norm_Stats!$F$22),"",MAX(0,MIN(100,100*(MIN(MAX(City_Inputs!$AI92,Norm_Stats!$F$22),Norm_Stats!$G$22)-Norm_Stats!$F$22)/(Norm_Stats!$G$22-Norm_Stats!$F$22)))))="",0,0.3)+IF((IF(OR(City_Inputs!$AJ92="",Norm_Stats!$F$23="",Norm_Stats!$G$23="",Norm_Stats!$G$23=Norm_Stats!$F$23),"",MAX(0,MIN(100,100*(MIN(MAX(City_Inputs!$AJ92,Norm_Stats!$F$23),Norm_Stats!$G$23)-Norm_Stats!$F$23)/(Norm_Stats!$G$23-Norm_Stats!$F$23)))))="",0,0.2))=0,"",(IF((IF(OR(City_Inputs!$AF92="",Norm_Stats!$F$21="",Norm_Stats!$G$21="",Norm_Stats!$G$21=Norm_Stats!$F$21),"",MAX(0,MIN(100,100*(MIN(MAX(City_Inputs!$AF92,Norm_Stats!$F$21),Norm_Stats!$G$21)-Norm_Stats!$F$21)/(Norm_Stats!$G$21-Norm_Stats!$F$21)))))="",0,0.5)+IF((IF(OR(City_Inputs!$AI92="",Norm_Stats!$F$22="",Norm_Stats!$G$22="",Norm_Stats!$G$22=Norm_Stats!$F$22),"",MAX(0,MIN(100,100*(MIN(MAX(City_Inputs!$AI92,Norm_Stats!$F$22),Norm_Stats!$G$22)-Norm_Stats!$F$22)/(Norm_Stats!$G$22-Norm_Stats!$F$22)))))="",0,0.3)+IF((IF(OR(City_Inputs!$AJ92="",Norm_Stats!$F$23="",Norm_Stats!$G$23="",Norm_Stats!$G$23=Norm_Stats!$F$23),"",MAX(0,MIN(100,100*(MIN(MAX(City_Inputs!$AJ92,Norm_Stats!$F$23),Norm_Stats!$G$23)-Norm_Stats!$F$23)/(Norm_Stats!$G$23-Norm_Stats!$F$23)))))="",0,0.2)))</f>
        <v/>
      </c>
      <c r="BA92" s="11">
        <f>IF(OR(City_Inputs!$AG92="",Norm_Stats!$F$24="",Norm_Stats!$G$24="",Norm_Stats!$G$24=Norm_Stats!$F$24),"",MAX(0,MIN(100,100*(Norm_Stats!$G$24-MIN(MAX(City_Inputs!$AG92,Norm_Stats!$F$24),Norm_Stats!$G$24))/(Norm_Stats!$G$24-Norm_Stats!$F$24))))</f>
        <v/>
      </c>
      <c r="BB92" s="14">
        <f>IF(BA92="","",1)</f>
        <v/>
      </c>
      <c r="BC92" s="15">
        <f>IF((IF(AU92="",0,6)+IF(AW92="",0,5)+IF(AY92="",0,5)+IF(BA92="",0,4))=0,"",(IF(AU92="",0,AU92*6)+IF(AW92="",0,AW92*5)+IF(AY92="",0,AY92*5)+IF(BA92="",0,BA92*4))/(IF(AU92="",0,6)+IF(AW92="",0,5)+IF(AY92="",0,5)+IF(BA92="",0,4)))</f>
        <v/>
      </c>
      <c r="BD92" s="14">
        <f>IF((IF(AV92="",0,6)+IF(AX92="",0,5)+IF(AZ92="",0,5)+IF(BB92="",0,4))=0,"",(IF(AV92="",0,AV92*6)+IF(AX92="",0,AX92*5)+IF(AZ92="",0,AZ92*5)+IF(BB92="",0,BB92*4))/20)</f>
        <v/>
      </c>
      <c r="BE92" s="14">
        <f>IF(AND(R92="",AD92="",AL92="",AT92="",BD92=""),"",((R92*25)+(AD92*22)+(AL92*18)+(AT92*15)+(BD92*20))/100)</f>
        <v/>
      </c>
      <c r="BF92" s="11">
        <f>IF(BE92="","",IF(BE92&gt;=0.75,"A",IF(BE92&gt;=0.5,"B",IF(BE92&gt;=0.35,"C","Watchlist"))))</f>
        <v/>
      </c>
      <c r="BG92" s="11">
        <f>IF(OR(BE92="",BE92&lt;0.5,R92="",R92&lt;0.35,AD92="",AD92&lt;0.35,AL92="",AL92&lt;0.35,AT92="",AT92&lt;0.35,BD92="",BD92&lt;0.35),"Watchlist","Ranked")</f>
        <v/>
      </c>
      <c r="BH92" s="15">
        <f>IF(AND(Q92="",AC92="",AK92="",AS92="",BC92=""),"",(IF(Q92="",0,Q92*25)+IF(AC92="",0,AC92*22)+IF(AK92="",0,AK92*18)+IF(AS92="",0,AS92*15)+IF(BC92="",0,BC92*20))/(IF(Q92="",0,25)+IF(AC92="",0,22)+IF(AK92="",0,18)+IF(AS92="",0,15)+IF(BC92="",0,20)))</f>
        <v/>
      </c>
      <c r="BI92" s="11">
        <f>IF(BG92="Ranked",1+COUNTIFS($BG$2:$BG$101,"Ranked",$BH$2:$BH$101,"&gt;"&amp;BH92),"")</f>
        <v/>
      </c>
      <c r="BJ92" s="11">
        <f>City_Inputs!$AH92</f>
        <v/>
      </c>
    </row>
    <row r="93">
      <c r="A93" t="inlineStr">
        <is>
          <t>au-sydney</t>
        </is>
      </c>
      <c r="B93" t="inlineStr">
        <is>
          <t>Sydney</t>
        </is>
      </c>
      <c r="C93" t="inlineStr">
        <is>
          <t>Australia</t>
        </is>
      </c>
      <c r="D93" t="inlineStr">
        <is>
          <t>Oceania</t>
        </is>
      </c>
      <c r="E93" t="inlineStr">
        <is>
          <t>provisional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IF((IF(G93="",0,9)+IF(I93="",0,5)+IF(K93="",0,4)+IF(M93="",0,4)+IF(O93="",0,3))=0,"",(IF(G93="",0,G93*9)+IF(I93="",0,I93*5)+IF(K93="",0,K93*4)+IF(M93="",0,M93*4)+IF(O93="",0,O93*3))/(IF(G93="",0,9)+IF(I93="",0,5)+IF(K93="",0,4)+IF(M93="",0,4)+IF(O93="",0,3)))</f>
        <v/>
      </c>
      <c r="R93" s="14">
        <f>IF((IF(H93="",0,9)+IF(J93="",0,5)+IF(L93="",0,4)+IF(N93="",0,4)+IF(P93="",0,3))=0,"",(IF(H93="",0,H93*9)+IF(J93="",0,J93*5)+IF(L93="",0,L93*4)+IF(N93="",0,N93*4)+IF(P93="",0,P93*3))/25)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5">
        <f>IF((IF(S93="",0,5)+IF(U93="",0,5)+IF(W93="",0,4)+IF(Y93="",0,4)+IF(AA93="",0,4))=0,"",(IF(S93="",0,S93*5)+IF(U93="",0,U93*5)+IF(W93="",0,W93*4)+IF(Y93="",0,Y93*4)+IF(AA93="",0,AA93*4))/(IF(S93="",0,5)+IF(U93="",0,5)+IF(W93="",0,4)+IF(Y93="",0,4)+IF(AA93="",0,4)))</f>
        <v/>
      </c>
      <c r="AD93" s="14">
        <f>IF((IF(T93="",0,5)+IF(V93="",0,5)+IF(X93="",0,4)+IF(Z93="",0,4)+IF(AB93="",0,4))=0,"",(IF(T93="",0,T93*5)+IF(V93="",0,V93*5)+IF(X93="",0,X93*4)+IF(Z93="",0,Z93*4)+IF(AB93="",0,AB93*4))/22)</f>
        <v/>
      </c>
      <c r="AE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F93" s="14">
        <f>IF(AE93="","",1)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(IF((IF(OR(City_Inputs!$Z93="",Norm_Stats!$F$14="",Norm_Stats!$G$14="",Norm_Stats!$G$14=Norm_Stats!$F$14),"",MAX(0,MIN(100,100*(MIN(MAX(City_Inputs!$Z93,Norm_Stats!$F$14),Norm_Stats!$G$14)-Norm_Stats!$F$14)/(Norm_Stats!$G$14-Norm_Stats!$F$14)))))="",0,0.7)+IF((IF(OR(City_Inputs!$AK93="",Norm_Stats!$F$15="",Norm_Stats!$G$15="",Norm_Stats!$G$15=Norm_Stats!$F$15),"",MAX(0,MIN(100,100*(Norm_Stats!$G$15-MIN(MAX(City_Inputs!$AK93,Norm_Stats!$F$15),Norm_Stats!$G$15))/(Norm_Stats!$G$15-Norm_Stats!$F$15)))))="",0,0.3))=0,"",(IF((IF(OR(City_Inputs!$Z93="",Norm_Stats!$F$14="",Norm_Stats!$G$14="",Norm_Stats!$G$14=Norm_Stats!$F$14),"",MAX(0,MIN(100,100*(MIN(MAX(City_Inputs!$Z93,Norm_Stats!$F$14),Norm_Stats!$G$14)-Norm_Stats!$F$14)/(Norm_Stats!$G$14-Norm_Stats!$F$14)))))="",0,(IF(OR(City_Inputs!$Z93="",Norm_Stats!$F$14="",Norm_Stats!$G$14="",Norm_Stats!$G$14=Norm_Stats!$F$14),"",MAX(0,MIN(100,100*(MIN(MAX(City_Inputs!$Z93,Norm_Stats!$F$14),Norm_Stats!$G$14)-Norm_Stats!$F$14)/(Norm_Stats!$G$14-Norm_Stats!$F$14)))))*0.7)+IF((IF(OR(City_Inputs!$AK93="",Norm_Stats!$F$15="",Norm_Stats!$G$15="",Norm_Stats!$G$15=Norm_Stats!$F$15),"",MAX(0,MIN(100,100*(Norm_Stats!$G$15-MIN(MAX(City_Inputs!$AK93,Norm_Stats!$F$15),Norm_Stats!$G$15))/(Norm_Stats!$G$15-Norm_Stats!$F$15)))))="",0,(IF(OR(City_Inputs!$AK93="",Norm_Stats!$F$15="",Norm_Stats!$G$15="",Norm_Stats!$G$15=Norm_Stats!$F$15),"",MAX(0,MIN(100,100*(Norm_Stats!$G$15-MIN(MAX(City_Inputs!$AK93,Norm_Stats!$F$15),Norm_Stats!$G$15))/(Norm_Stats!$G$15-Norm_Stats!$F$15)))))*0.3))/(IF((IF(OR(City_Inputs!$Z93="",Norm_Stats!$F$14="",Norm_Stats!$G$14="",Norm_Stats!$G$14=Norm_Stats!$F$14),"",MAX(0,MIN(100,100*(MIN(MAX(City_Inputs!$Z93,Norm_Stats!$F$14),Norm_Stats!$G$14)-Norm_Stats!$F$14)/(Norm_Stats!$G$14-Norm_Stats!$F$14)))))="",0,0.7)+IF((IF(OR(City_Inputs!$AK93="",Norm_Stats!$F$15="",Norm_Stats!$G$15="",Norm_Stats!$G$15=Norm_Stats!$F$15),"",MAX(0,MIN(100,100*(Norm_Stats!$G$15-MIN(MAX(City_Inputs!$AK93,Norm_Stats!$F$15),Norm_Stats!$G$15))/(Norm_Stats!$G$15-Norm_Stats!$F$15)))))="",0,0.3)))</f>
        <v/>
      </c>
      <c r="AJ93" s="14">
        <f>IF((IF((IF(OR(City_Inputs!$Z93="",Norm_Stats!$F$14="",Norm_Stats!$G$14="",Norm_Stats!$G$14=Norm_Stats!$F$14),"",MAX(0,MIN(100,100*(MIN(MAX(City_Inputs!$Z93,Norm_Stats!$F$14),Norm_Stats!$G$14)-Norm_Stats!$F$14)/(Norm_Stats!$G$14-Norm_Stats!$F$14)))))="",0,0.7)+IF((IF(OR(City_Inputs!$AK93="",Norm_Stats!$F$15="",Norm_Stats!$G$15="",Norm_Stats!$G$15=Norm_Stats!$F$15),"",MAX(0,MIN(100,100*(Norm_Stats!$G$15-MIN(MAX(City_Inputs!$AK93,Norm_Stats!$F$15),Norm_Stats!$G$15))/(Norm_Stats!$G$15-Norm_Stats!$F$15)))))="",0,0.3))=0,"",(IF((IF(OR(City_Inputs!$Z93="",Norm_Stats!$F$14="",Norm_Stats!$G$14="",Norm_Stats!$G$14=Norm_Stats!$F$14),"",MAX(0,MIN(100,100*(MIN(MAX(City_Inputs!$Z93,Norm_Stats!$F$14),Norm_Stats!$G$14)-Norm_Stats!$F$14)/(Norm_Stats!$G$14-Norm_Stats!$F$14)))))="",0,0.7)+IF((IF(OR(City_Inputs!$AK93="",Norm_Stats!$F$15="",Norm_Stats!$G$15="",Norm_Stats!$G$15=Norm_Stats!$F$15),"",MAX(0,MIN(100,100*(Norm_Stats!$G$15-MIN(MAX(City_Inputs!$AK93,Norm_Stats!$F$15),Norm_Stats!$G$15))/(Norm_Stats!$G$15-Norm_Stats!$F$15)))))="",0,0.3)))</f>
        <v/>
      </c>
      <c r="AK93" s="15">
        <f>IF((IF(AE93="",0,8)+IF(AG93="",0,6)+IF(AI93="",0,4))=0,"",(IF(AE93="",0,AE93*8)+IF(AG93="",0,AG93*6)+IF(AI93="",0,AI93*4))/(IF(AE93="",0,8)+IF(AG93="",0,6)+IF(AI93="",0,4)))</f>
        <v/>
      </c>
      <c r="AL93" s="14">
        <f>IF((IF(AF93="",0,8)+IF(AH93="",0,6)+IF(AJ93="",0,4))=0,"",(IF(AF93="",0,AF93*8)+IF(AH93="",0,AH93*6)+IF(AJ93="",0,AJ93*4))/18)</f>
        <v/>
      </c>
      <c r="AM93" s="11">
        <f>IF(OR(City_Inputs!$AA93="",Norm_Stats!$F$16="",Norm_Stats!$G$16="",Norm_Stats!$G$16=Norm_Stats!$F$16),"",MAX(0,MIN(100,100*(MIN(MAX(City_Inputs!$AA93,Norm_Stats!$F$16),Norm_Stats!$G$16)-Norm_Stats!$F$16)/(Norm_Stats!$G$16-Norm_Stats!$F$16))))</f>
        <v/>
      </c>
      <c r="AN93" s="14">
        <f>IF(AM93="","",1)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5">
        <f>IF((IF(AM93="",0,5)+IF(AO93="",0,5)+IF(AQ93="",0,5))=0,"",(IF(AM93="",0,AM93*5)+IF(AO93="",0,AO93*5)+IF(AQ93="",0,AQ93*5))/(IF(AM93="",0,5)+IF(AO93="",0,5)+IF(AQ93="",0,5)))</f>
        <v/>
      </c>
      <c r="AT93" s="14">
        <f>IF((IF(AN93="",0,5)+IF(AP93="",0,5)+IF(AR93="",0,5))=0,"",(IF(AN93="",0,AN93*5)+IF(AP93="",0,AP93*5)+IF(AR93="",0,AR93*5))/15)</f>
        <v/>
      </c>
      <c r="AU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V93" s="14">
        <f>IF(AU93="","",1)</f>
        <v/>
      </c>
      <c r="AW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X93" s="14">
        <f>IF(AW93="","",1)</f>
        <v/>
      </c>
      <c r="AY93" s="11">
        <f>IF((IF((IF(OR(City_Inputs!$AF93="",Norm_Stats!$F$21="",Norm_Stats!$G$21="",Norm_Stats!$G$21=Norm_Stats!$F$21),"",MAX(0,MIN(100,100*(MIN(MAX(City_Inputs!$AF93,Norm_Stats!$F$21),Norm_Stats!$G$21)-Norm_Stats!$F$21)/(Norm_Stats!$G$21-Norm_Stats!$F$21)))))="",0,0.5)+IF((IF(OR(City_Inputs!$AI93="",Norm_Stats!$F$22="",Norm_Stats!$G$22="",Norm_Stats!$G$22=Norm_Stats!$F$22),"",MAX(0,MIN(100,100*(MIN(MAX(City_Inputs!$AI93,Norm_Stats!$F$22),Norm_Stats!$G$22)-Norm_Stats!$F$22)/(Norm_Stats!$G$22-Norm_Stats!$F$22)))))="",0,0.3)+IF((IF(OR(City_Inputs!$AJ93="",Norm_Stats!$F$23="",Norm_Stats!$G$23="",Norm_Stats!$G$23=Norm_Stats!$F$23),"",MAX(0,MIN(100,100*(MIN(MAX(City_Inputs!$AJ93,Norm_Stats!$F$23),Norm_Stats!$G$23)-Norm_Stats!$F$23)/(Norm_Stats!$G$23-Norm_Stats!$F$23)))))="",0,0.2))=0,"",(IF((IF(OR(City_Inputs!$AF93="",Norm_Stats!$F$21="",Norm_Stats!$G$21="",Norm_Stats!$G$21=Norm_Stats!$F$21),"",MAX(0,MIN(100,100*(MIN(MAX(City_Inputs!$AF93,Norm_Stats!$F$21),Norm_Stats!$G$21)-Norm_Stats!$F$21)/(Norm_Stats!$G$21-Norm_Stats!$F$21)))))="",0,(IF(OR(City_Inputs!$AF93="",Norm_Stats!$F$21="",Norm_Stats!$G$21="",Norm_Stats!$G$21=Norm_Stats!$F$21),"",MAX(0,MIN(100,100*(MIN(MAX(City_Inputs!$AF93,Norm_Stats!$F$21),Norm_Stats!$G$21)-Norm_Stats!$F$21)/(Norm_Stats!$G$21-Norm_Stats!$F$21)))))*0.5)+IF((IF(OR(City_Inputs!$AI93="",Norm_Stats!$F$22="",Norm_Stats!$G$22="",Norm_Stats!$G$22=Norm_Stats!$F$22),"",MAX(0,MIN(100,100*(MIN(MAX(City_Inputs!$AI93,Norm_Stats!$F$22),Norm_Stats!$G$22)-Norm_Stats!$F$22)/(Norm_Stats!$G$22-Norm_Stats!$F$22)))))="",0,(IF(OR(City_Inputs!$AI93="",Norm_Stats!$F$22="",Norm_Stats!$G$22="",Norm_Stats!$G$22=Norm_Stats!$F$22),"",MAX(0,MIN(100,100*(MIN(MAX(City_Inputs!$AI93,Norm_Stats!$F$22),Norm_Stats!$G$22)-Norm_Stats!$F$22)/(Norm_Stats!$G$22-Norm_Stats!$F$22)))))*0.3)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0.2))/(IF((IF(OR(City_Inputs!$AF93="",Norm_Stats!$F$21="",Norm_Stats!$G$21="",Norm_Stats!$G$21=Norm_Stats!$F$21),"",MAX(0,MIN(100,100*(MIN(MAX(City_Inputs!$AF93,Norm_Stats!$F$21),Norm_Stats!$G$21)-Norm_Stats!$F$21)/(Norm_Stats!$G$21-Norm_Stats!$F$21)))))="",0,0.5)+IF((IF(OR(City_Inputs!$AI93="",Norm_Stats!$F$22="",Norm_Stats!$G$22="",Norm_Stats!$G$22=Norm_Stats!$F$22),"",MAX(0,MIN(100,100*(MIN(MAX(City_Inputs!$AI93,Norm_Stats!$F$22),Norm_Stats!$G$22)-Norm_Stats!$F$22)/(Norm_Stats!$G$22-Norm_Stats!$F$22)))))="",0,0.3)+IF((IF(OR(City_Inputs!$AJ93="",Norm_Stats!$F$23="",Norm_Stats!$G$23="",Norm_Stats!$G$23=Norm_Stats!$F$23),"",MAX(0,MIN(100,100*(MIN(MAX(City_Inputs!$AJ93,Norm_Stats!$F$23),Norm_Stats!$G$23)-Norm_Stats!$F$23)/(Norm_Stats!$G$23-Norm_Stats!$F$23)))))="",0,0.2)))</f>
        <v/>
      </c>
      <c r="AZ93" s="14">
        <f>IF((IF((IF(OR(City_Inputs!$AF93="",Norm_Stats!$F$21="",Norm_Stats!$G$21="",Norm_Stats!$G$21=Norm_Stats!$F$21),"",MAX(0,MIN(100,100*(MIN(MAX(City_Inputs!$AF93,Norm_Stats!$F$21),Norm_Stats!$G$21)-Norm_Stats!$F$21)/(Norm_Stats!$G$21-Norm_Stats!$F$21)))))="",0,0.5)+IF((IF(OR(City_Inputs!$AI93="",Norm_Stats!$F$22="",Norm_Stats!$G$22="",Norm_Stats!$G$22=Norm_Stats!$F$22),"",MAX(0,MIN(100,100*(MIN(MAX(City_Inputs!$AI93,Norm_Stats!$F$22),Norm_Stats!$G$22)-Norm_Stats!$F$22)/(Norm_Stats!$G$22-Norm_Stats!$F$22)))))="",0,0.3)+IF((IF(OR(City_Inputs!$AJ93="",Norm_Stats!$F$23="",Norm_Stats!$G$23="",Norm_Stats!$G$23=Norm_Stats!$F$23),"",MAX(0,MIN(100,100*(MIN(MAX(City_Inputs!$AJ93,Norm_Stats!$F$23),Norm_Stats!$G$23)-Norm_Stats!$F$23)/(Norm_Stats!$G$23-Norm_Stats!$F$23)))))="",0,0.2))=0,"",(IF((IF(OR(City_Inputs!$AF93="",Norm_Stats!$F$21="",Norm_Stats!$G$21="",Norm_Stats!$G$21=Norm_Stats!$F$21),"",MAX(0,MIN(100,100*(MIN(MAX(City_Inputs!$AF93,Norm_Stats!$F$21),Norm_Stats!$G$21)-Norm_Stats!$F$21)/(Norm_Stats!$G$21-Norm_Stats!$F$21)))))="",0,0.5)+IF((IF(OR(City_Inputs!$AI93="",Norm_Stats!$F$22="",Norm_Stats!$G$22="",Norm_Stats!$G$22=Norm_Stats!$F$22),"",MAX(0,MIN(100,100*(MIN(MAX(City_Inputs!$AI93,Norm_Stats!$F$22),Norm_Stats!$G$22)-Norm_Stats!$F$22)/(Norm_Stats!$G$22-Norm_Stats!$F$22)))))="",0,0.3)+IF((IF(OR(City_Inputs!$AJ93="",Norm_Stats!$F$23="",Norm_Stats!$G$23="",Norm_Stats!$G$23=Norm_Stats!$F$23),"",MAX(0,MIN(100,100*(MIN(MAX(City_Inputs!$AJ93,Norm_Stats!$F$23),Norm_Stats!$G$23)-Norm_Stats!$F$23)/(Norm_Stats!$G$23-Norm_Stats!$F$23)))))="",0,0.2)))</f>
        <v/>
      </c>
      <c r="BA93" s="11">
        <f>IF(OR(City_Inputs!$AG93="",Norm_Stats!$F$24="",Norm_Stats!$G$24="",Norm_Stats!$G$24=Norm_Stats!$F$24),"",MAX(0,MIN(100,100*(Norm_Stats!$G$24-MIN(MAX(City_Inputs!$AG93,Norm_Stats!$F$24),Norm_Stats!$G$24))/(Norm_Stats!$G$24-Norm_Stats!$F$24))))</f>
        <v/>
      </c>
      <c r="BB93" s="14">
        <f>IF(BA93="","",1)</f>
        <v/>
      </c>
      <c r="BC93" s="15">
        <f>IF((IF(AU93="",0,6)+IF(AW93="",0,5)+IF(AY93="",0,5)+IF(BA93="",0,4))=0,"",(IF(AU93="",0,AU93*6)+IF(AW93="",0,AW93*5)+IF(AY93="",0,AY93*5)+IF(BA93="",0,BA93*4))/(IF(AU93="",0,6)+IF(AW93="",0,5)+IF(AY93="",0,5)+IF(BA93="",0,4)))</f>
        <v/>
      </c>
      <c r="BD93" s="14">
        <f>IF((IF(AV93="",0,6)+IF(AX93="",0,5)+IF(AZ93="",0,5)+IF(BB93="",0,4))=0,"",(IF(AV93="",0,AV93*6)+IF(AX93="",0,AX93*5)+IF(AZ93="",0,AZ93*5)+IF(BB93="",0,BB93*4))/20)</f>
        <v/>
      </c>
      <c r="BE93" s="14">
        <f>IF(AND(R93="",AD93="",AL93="",AT93="",BD93=""),"",((R93*25)+(AD93*22)+(AL93*18)+(AT93*15)+(BD93*20))/100)</f>
        <v/>
      </c>
      <c r="BF93" s="11">
        <f>IF(BE93="","",IF(BE93&gt;=0.75,"A",IF(BE93&gt;=0.5,"B",IF(BE93&gt;=0.35,"C","Watchlist"))))</f>
        <v/>
      </c>
      <c r="BG93" s="11">
        <f>IF(OR(BE93="",BE93&lt;0.5,R93="",R93&lt;0.35,AD93="",AD93&lt;0.35,AL93="",AL93&lt;0.35,AT93="",AT93&lt;0.35,BD93="",BD93&lt;0.35),"Watchlist","Ranked")</f>
        <v/>
      </c>
      <c r="BH93" s="15">
        <f>IF(AND(Q93="",AC93="",AK93="",AS93="",BC93=""),"",(IF(Q93="",0,Q93*25)+IF(AC93="",0,AC93*22)+IF(AK93="",0,AK93*18)+IF(AS93="",0,AS93*15)+IF(BC93="",0,BC93*20))/(IF(Q93="",0,25)+IF(AC93="",0,22)+IF(AK93="",0,18)+IF(AS93="",0,15)+IF(BC93="",0,20)))</f>
        <v/>
      </c>
      <c r="BI93" s="11">
        <f>IF(BG93="Ranked",1+COUNTIFS($BG$2:$BG$101,"Ranked",$BH$2:$BH$101,"&gt;"&amp;BH93),"")</f>
        <v/>
      </c>
      <c r="BJ93" s="11">
        <f>City_Inputs!$AH93</f>
        <v/>
      </c>
    </row>
    <row r="94">
      <c r="A94" t="inlineStr">
        <is>
          <t>au-melbourne</t>
        </is>
      </c>
      <c r="B94" t="inlineStr">
        <is>
          <t>Melbourne</t>
        </is>
      </c>
      <c r="C94" t="inlineStr">
        <is>
          <t>Australia</t>
        </is>
      </c>
      <c r="D94" t="inlineStr">
        <is>
          <t>Oceania</t>
        </is>
      </c>
      <c r="E94" t="inlineStr">
        <is>
          <t>provisional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IF((IF(G94="",0,9)+IF(I94="",0,5)+IF(K94="",0,4)+IF(M94="",0,4)+IF(O94="",0,3))=0,"",(IF(G94="",0,G94*9)+IF(I94="",0,I94*5)+IF(K94="",0,K94*4)+IF(M94="",0,M94*4)+IF(O94="",0,O94*3))/(IF(G94="",0,9)+IF(I94="",0,5)+IF(K94="",0,4)+IF(M94="",0,4)+IF(O94="",0,3)))</f>
        <v/>
      </c>
      <c r="R94" s="14">
        <f>IF((IF(H94="",0,9)+IF(J94="",0,5)+IF(L94="",0,4)+IF(N94="",0,4)+IF(P94="",0,3))=0,"",(IF(H94="",0,H94*9)+IF(J94="",0,J94*5)+IF(L94="",0,L94*4)+IF(N94="",0,N94*4)+IF(P94="",0,P94*3))/25)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5">
        <f>IF((IF(S94="",0,5)+IF(U94="",0,5)+IF(W94="",0,4)+IF(Y94="",0,4)+IF(AA94="",0,4))=0,"",(IF(S94="",0,S94*5)+IF(U94="",0,U94*5)+IF(W94="",0,W94*4)+IF(Y94="",0,Y94*4)+IF(AA94="",0,AA94*4))/(IF(S94="",0,5)+IF(U94="",0,5)+IF(W94="",0,4)+IF(Y94="",0,4)+IF(AA94="",0,4)))</f>
        <v/>
      </c>
      <c r="AD94" s="14">
        <f>IF((IF(T94="",0,5)+IF(V94="",0,5)+IF(X94="",0,4)+IF(Z94="",0,4)+IF(AB94="",0,4))=0,"",(IF(T94="",0,T94*5)+IF(V94="",0,V94*5)+IF(X94="",0,X94*4)+IF(Z94="",0,Z94*4)+IF(AB94="",0,AB94*4))/22)</f>
        <v/>
      </c>
      <c r="AE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F94" s="14">
        <f>IF(AE94="","",1)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(IF((IF(OR(City_Inputs!$Z94="",Norm_Stats!$F$14="",Norm_Stats!$G$14="",Norm_Stats!$G$14=Norm_Stats!$F$14),"",MAX(0,MIN(100,100*(MIN(MAX(City_Inputs!$Z94,Norm_Stats!$F$14),Norm_Stats!$G$14)-Norm_Stats!$F$14)/(Norm_Stats!$G$14-Norm_Stats!$F$14)))))="",0,0.7)+IF((IF(OR(City_Inputs!$AK94="",Norm_Stats!$F$15="",Norm_Stats!$G$15="",Norm_Stats!$G$15=Norm_Stats!$F$15),"",MAX(0,MIN(100,100*(Norm_Stats!$G$15-MIN(MAX(City_Inputs!$AK94,Norm_Stats!$F$15),Norm_Stats!$G$15))/(Norm_Stats!$G$15-Norm_Stats!$F$15)))))="",0,0.3))=0,"",(IF((IF(OR(City_Inputs!$Z94="",Norm_Stats!$F$14="",Norm_Stats!$G$14="",Norm_Stats!$G$14=Norm_Stats!$F$14),"",MAX(0,MIN(100,100*(MIN(MAX(City_Inputs!$Z94,Norm_Stats!$F$14),Norm_Stats!$G$14)-Norm_Stats!$F$14)/(Norm_Stats!$G$14-Norm_Stats!$F$14)))))="",0,(IF(OR(City_Inputs!$Z94="",Norm_Stats!$F$14="",Norm_Stats!$G$14="",Norm_Stats!$G$14=Norm_Stats!$F$14),"",MAX(0,MIN(100,100*(MIN(MAX(City_Inputs!$Z94,Norm_Stats!$F$14),Norm_Stats!$G$14)-Norm_Stats!$F$14)/(Norm_Stats!$G$14-Norm_Stats!$F$14)))))*0.7)+IF((IF(OR(City_Inputs!$AK94="",Norm_Stats!$F$15="",Norm_Stats!$G$15="",Norm_Stats!$G$15=Norm_Stats!$F$15),"",MAX(0,MIN(100,100*(Norm_Stats!$G$15-MIN(MAX(City_Inputs!$AK94,Norm_Stats!$F$15),Norm_Stats!$G$15))/(Norm_Stats!$G$15-Norm_Stats!$F$15)))))="",0,(IF(OR(City_Inputs!$AK94="",Norm_Stats!$F$15="",Norm_Stats!$G$15="",Norm_Stats!$G$15=Norm_Stats!$F$15),"",MAX(0,MIN(100,100*(Norm_Stats!$G$15-MIN(MAX(City_Inputs!$AK94,Norm_Stats!$F$15),Norm_Stats!$G$15))/(Norm_Stats!$G$15-Norm_Stats!$F$15)))))*0.3))/(IF((IF(OR(City_Inputs!$Z94="",Norm_Stats!$F$14="",Norm_Stats!$G$14="",Norm_Stats!$G$14=Norm_Stats!$F$14),"",MAX(0,MIN(100,100*(MIN(MAX(City_Inputs!$Z94,Norm_Stats!$F$14),Norm_Stats!$G$14)-Norm_Stats!$F$14)/(Norm_Stats!$G$14-Norm_Stats!$F$14)))))="",0,0.7)+IF((IF(OR(City_Inputs!$AK94="",Norm_Stats!$F$15="",Norm_Stats!$G$15="",Norm_Stats!$G$15=Norm_Stats!$F$15),"",MAX(0,MIN(100,100*(Norm_Stats!$G$15-MIN(MAX(City_Inputs!$AK94,Norm_Stats!$F$15),Norm_Stats!$G$15))/(Norm_Stats!$G$15-Norm_Stats!$F$15)))))="",0,0.3)))</f>
        <v/>
      </c>
      <c r="AJ94" s="14">
        <f>IF((IF((IF(OR(City_Inputs!$Z94="",Norm_Stats!$F$14="",Norm_Stats!$G$14="",Norm_Stats!$G$14=Norm_Stats!$F$14),"",MAX(0,MIN(100,100*(MIN(MAX(City_Inputs!$Z94,Norm_Stats!$F$14),Norm_Stats!$G$14)-Norm_Stats!$F$14)/(Norm_Stats!$G$14-Norm_Stats!$F$14)))))="",0,0.7)+IF((IF(OR(City_Inputs!$AK94="",Norm_Stats!$F$15="",Norm_Stats!$G$15="",Norm_Stats!$G$15=Norm_Stats!$F$15),"",MAX(0,MIN(100,100*(Norm_Stats!$G$15-MIN(MAX(City_Inputs!$AK94,Norm_Stats!$F$15),Norm_Stats!$G$15))/(Norm_Stats!$G$15-Norm_Stats!$F$15)))))="",0,0.3))=0,"",(IF((IF(OR(City_Inputs!$Z94="",Norm_Stats!$F$14="",Norm_Stats!$G$14="",Norm_Stats!$G$14=Norm_Stats!$F$14),"",MAX(0,MIN(100,100*(MIN(MAX(City_Inputs!$Z94,Norm_Stats!$F$14),Norm_Stats!$G$14)-Norm_Stats!$F$14)/(Norm_Stats!$G$14-Norm_Stats!$F$14)))))="",0,0.7)+IF((IF(OR(City_Inputs!$AK94="",Norm_Stats!$F$15="",Norm_Stats!$G$15="",Norm_Stats!$G$15=Norm_Stats!$F$15),"",MAX(0,MIN(100,100*(Norm_Stats!$G$15-MIN(MAX(City_Inputs!$AK94,Norm_Stats!$F$15),Norm_Stats!$G$15))/(Norm_Stats!$G$15-Norm_Stats!$F$15)))))="",0,0.3)))</f>
        <v/>
      </c>
      <c r="AK94" s="15">
        <f>IF((IF(AE94="",0,8)+IF(AG94="",0,6)+IF(AI94="",0,4))=0,"",(IF(AE94="",0,AE94*8)+IF(AG94="",0,AG94*6)+IF(AI94="",0,AI94*4))/(IF(AE94="",0,8)+IF(AG94="",0,6)+IF(AI94="",0,4)))</f>
        <v/>
      </c>
      <c r="AL94" s="14">
        <f>IF((IF(AF94="",0,8)+IF(AH94="",0,6)+IF(AJ94="",0,4))=0,"",(IF(AF94="",0,AF94*8)+IF(AH94="",0,AH94*6)+IF(AJ94="",0,AJ94*4))/18)</f>
        <v/>
      </c>
      <c r="AM94" s="11">
        <f>IF(OR(City_Inputs!$AA94="",Norm_Stats!$F$16="",Norm_Stats!$G$16="",Norm_Stats!$G$16=Norm_Stats!$F$16),"",MAX(0,MIN(100,100*(MIN(MAX(City_Inputs!$AA94,Norm_Stats!$F$16),Norm_Stats!$G$16)-Norm_Stats!$F$16)/(Norm_Stats!$G$16-Norm_Stats!$F$16))))</f>
        <v/>
      </c>
      <c r="AN94" s="14">
        <f>IF(AM94="","",1)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5">
        <f>IF((IF(AM94="",0,5)+IF(AO94="",0,5)+IF(AQ94="",0,5))=0,"",(IF(AM94="",0,AM94*5)+IF(AO94="",0,AO94*5)+IF(AQ94="",0,AQ94*5))/(IF(AM94="",0,5)+IF(AO94="",0,5)+IF(AQ94="",0,5)))</f>
        <v/>
      </c>
      <c r="AT94" s="14">
        <f>IF((IF(AN94="",0,5)+IF(AP94="",0,5)+IF(AR94="",0,5))=0,"",(IF(AN94="",0,AN94*5)+IF(AP94="",0,AP94*5)+IF(AR94="",0,AR94*5))/15)</f>
        <v/>
      </c>
      <c r="AU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V94" s="14">
        <f>IF(AU94="","",1)</f>
        <v/>
      </c>
      <c r="AW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X94" s="14">
        <f>IF(AW94="","",1)</f>
        <v/>
      </c>
      <c r="AY94" s="11">
        <f>IF((IF((IF(OR(City_Inputs!$AF94="",Norm_Stats!$F$21="",Norm_Stats!$G$21="",Norm_Stats!$G$21=Norm_Stats!$F$21),"",MAX(0,MIN(100,100*(MIN(MAX(City_Inputs!$AF94,Norm_Stats!$F$21),Norm_Stats!$G$21)-Norm_Stats!$F$21)/(Norm_Stats!$G$21-Norm_Stats!$F$21)))))="",0,0.5)+IF((IF(OR(City_Inputs!$AI94="",Norm_Stats!$F$22="",Norm_Stats!$G$22="",Norm_Stats!$G$22=Norm_Stats!$F$22),"",MAX(0,MIN(100,100*(MIN(MAX(City_Inputs!$AI94,Norm_Stats!$F$22),Norm_Stats!$G$22)-Norm_Stats!$F$22)/(Norm_Stats!$G$22-Norm_Stats!$F$22)))))="",0,0.3)+IF((IF(OR(City_Inputs!$AJ94="",Norm_Stats!$F$23="",Norm_Stats!$G$23="",Norm_Stats!$G$23=Norm_Stats!$F$23),"",MAX(0,MIN(100,100*(MIN(MAX(City_Inputs!$AJ94,Norm_Stats!$F$23),Norm_Stats!$G$23)-Norm_Stats!$F$23)/(Norm_Stats!$G$23-Norm_Stats!$F$23)))))="",0,0.2))=0,"",(IF((IF(OR(City_Inputs!$AF94="",Norm_Stats!$F$21="",Norm_Stats!$G$21="",Norm_Stats!$G$21=Norm_Stats!$F$21),"",MAX(0,MIN(100,100*(MIN(MAX(City_Inputs!$AF94,Norm_Stats!$F$21),Norm_Stats!$G$21)-Norm_Stats!$F$21)/(Norm_Stats!$G$21-Norm_Stats!$F$21)))))="",0,(IF(OR(City_Inputs!$AF94="",Norm_Stats!$F$21="",Norm_Stats!$G$21="",Norm_Stats!$G$21=Norm_Stats!$F$21),"",MAX(0,MIN(100,100*(MIN(MAX(City_Inputs!$AF94,Norm_Stats!$F$21),Norm_Stats!$G$21)-Norm_Stats!$F$21)/(Norm_Stats!$G$21-Norm_Stats!$F$21)))))*0.5)+IF((IF(OR(City_Inputs!$AI94="",Norm_Stats!$F$22="",Norm_Stats!$G$22="",Norm_Stats!$G$22=Norm_Stats!$F$22),"",MAX(0,MIN(100,100*(MIN(MAX(City_Inputs!$AI94,Norm_Stats!$F$22),Norm_Stats!$G$22)-Norm_Stats!$F$22)/(Norm_Stats!$G$22-Norm_Stats!$F$22)))))="",0,(IF(OR(City_Inputs!$AI94="",Norm_Stats!$F$22="",Norm_Stats!$G$22="",Norm_Stats!$G$22=Norm_Stats!$F$22),"",MAX(0,MIN(100,100*(MIN(MAX(City_Inputs!$AI94,Norm_Stats!$F$22),Norm_Stats!$G$22)-Norm_Stats!$F$22)/(Norm_Stats!$G$22-Norm_Stats!$F$22)))))*0.3)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0.2))/(IF((IF(OR(City_Inputs!$AF94="",Norm_Stats!$F$21="",Norm_Stats!$G$21="",Norm_Stats!$G$21=Norm_Stats!$F$21),"",MAX(0,MIN(100,100*(MIN(MAX(City_Inputs!$AF94,Norm_Stats!$F$21),Norm_Stats!$G$21)-Norm_Stats!$F$21)/(Norm_Stats!$G$21-Norm_Stats!$F$21)))))="",0,0.5)+IF((IF(OR(City_Inputs!$AI94="",Norm_Stats!$F$22="",Norm_Stats!$G$22="",Norm_Stats!$G$22=Norm_Stats!$F$22),"",MAX(0,MIN(100,100*(MIN(MAX(City_Inputs!$AI94,Norm_Stats!$F$22),Norm_Stats!$G$22)-Norm_Stats!$F$22)/(Norm_Stats!$G$22-Norm_Stats!$F$22)))))="",0,0.3)+IF((IF(OR(City_Inputs!$AJ94="",Norm_Stats!$F$23="",Norm_Stats!$G$23="",Norm_Stats!$G$23=Norm_Stats!$F$23),"",MAX(0,MIN(100,100*(MIN(MAX(City_Inputs!$AJ94,Norm_Stats!$F$23),Norm_Stats!$G$23)-Norm_Stats!$F$23)/(Norm_Stats!$G$23-Norm_Stats!$F$23)))))="",0,0.2)))</f>
        <v/>
      </c>
      <c r="AZ94" s="14">
        <f>IF((IF((IF(OR(City_Inputs!$AF94="",Norm_Stats!$F$21="",Norm_Stats!$G$21="",Norm_Stats!$G$21=Norm_Stats!$F$21),"",MAX(0,MIN(100,100*(MIN(MAX(City_Inputs!$AF94,Norm_Stats!$F$21),Norm_Stats!$G$21)-Norm_Stats!$F$21)/(Norm_Stats!$G$21-Norm_Stats!$F$21)))))="",0,0.5)+IF((IF(OR(City_Inputs!$AI94="",Norm_Stats!$F$22="",Norm_Stats!$G$22="",Norm_Stats!$G$22=Norm_Stats!$F$22),"",MAX(0,MIN(100,100*(MIN(MAX(City_Inputs!$AI94,Norm_Stats!$F$22),Norm_Stats!$G$22)-Norm_Stats!$F$22)/(Norm_Stats!$G$22-Norm_Stats!$F$22)))))="",0,0.3)+IF((IF(OR(City_Inputs!$AJ94="",Norm_Stats!$F$23="",Norm_Stats!$G$23="",Norm_Stats!$G$23=Norm_Stats!$F$23),"",MAX(0,MIN(100,100*(MIN(MAX(City_Inputs!$AJ94,Norm_Stats!$F$23),Norm_Stats!$G$23)-Norm_Stats!$F$23)/(Norm_Stats!$G$23-Norm_Stats!$F$23)))))="",0,0.2))=0,"",(IF((IF(OR(City_Inputs!$AF94="",Norm_Stats!$F$21="",Norm_Stats!$G$21="",Norm_Stats!$G$21=Norm_Stats!$F$21),"",MAX(0,MIN(100,100*(MIN(MAX(City_Inputs!$AF94,Norm_Stats!$F$21),Norm_Stats!$G$21)-Norm_Stats!$F$21)/(Norm_Stats!$G$21-Norm_Stats!$F$21)))))="",0,0.5)+IF((IF(OR(City_Inputs!$AI94="",Norm_Stats!$F$22="",Norm_Stats!$G$22="",Norm_Stats!$G$22=Norm_Stats!$F$22),"",MAX(0,MIN(100,100*(MIN(MAX(City_Inputs!$AI94,Norm_Stats!$F$22),Norm_Stats!$G$22)-Norm_Stats!$F$22)/(Norm_Stats!$G$22-Norm_Stats!$F$22)))))="",0,0.3)+IF((IF(OR(City_Inputs!$AJ94="",Norm_Stats!$F$23="",Norm_Stats!$G$23="",Norm_Stats!$G$23=Norm_Stats!$F$23),"",MAX(0,MIN(100,100*(MIN(MAX(City_Inputs!$AJ94,Norm_Stats!$F$23),Norm_Stats!$G$23)-Norm_Stats!$F$23)/(Norm_Stats!$G$23-Norm_Stats!$F$23)))))="",0,0.2)))</f>
        <v/>
      </c>
      <c r="BA94" s="11">
        <f>IF(OR(City_Inputs!$AG94="",Norm_Stats!$F$24="",Norm_Stats!$G$24="",Norm_Stats!$G$24=Norm_Stats!$F$24),"",MAX(0,MIN(100,100*(Norm_Stats!$G$24-MIN(MAX(City_Inputs!$AG94,Norm_Stats!$F$24),Norm_Stats!$G$24))/(Norm_Stats!$G$24-Norm_Stats!$F$24))))</f>
        <v/>
      </c>
      <c r="BB94" s="14">
        <f>IF(BA94="","",1)</f>
        <v/>
      </c>
      <c r="BC94" s="15">
        <f>IF((IF(AU94="",0,6)+IF(AW94="",0,5)+IF(AY94="",0,5)+IF(BA94="",0,4))=0,"",(IF(AU94="",0,AU94*6)+IF(AW94="",0,AW94*5)+IF(AY94="",0,AY94*5)+IF(BA94="",0,BA94*4))/(IF(AU94="",0,6)+IF(AW94="",0,5)+IF(AY94="",0,5)+IF(BA94="",0,4)))</f>
        <v/>
      </c>
      <c r="BD94" s="14">
        <f>IF((IF(AV94="",0,6)+IF(AX94="",0,5)+IF(AZ94="",0,5)+IF(BB94="",0,4))=0,"",(IF(AV94="",0,AV94*6)+IF(AX94="",0,AX94*5)+IF(AZ94="",0,AZ94*5)+IF(BB94="",0,BB94*4))/20)</f>
        <v/>
      </c>
      <c r="BE94" s="14">
        <f>IF(AND(R94="",AD94="",AL94="",AT94="",BD94=""),"",((R94*25)+(AD94*22)+(AL94*18)+(AT94*15)+(BD94*20))/100)</f>
        <v/>
      </c>
      <c r="BF94" s="11">
        <f>IF(BE94="","",IF(BE94&gt;=0.75,"A",IF(BE94&gt;=0.5,"B",IF(BE94&gt;=0.35,"C","Watchlist"))))</f>
        <v/>
      </c>
      <c r="BG94" s="11">
        <f>IF(OR(BE94="",BE94&lt;0.5,R94="",R94&lt;0.35,AD94="",AD94&lt;0.35,AL94="",AL94&lt;0.35,AT94="",AT94&lt;0.35,BD94="",BD94&lt;0.35),"Watchlist","Ranked")</f>
        <v/>
      </c>
      <c r="BH94" s="15">
        <f>IF(AND(Q94="",AC94="",AK94="",AS94="",BC94=""),"",(IF(Q94="",0,Q94*25)+IF(AC94="",0,AC94*22)+IF(AK94="",0,AK94*18)+IF(AS94="",0,AS94*15)+IF(BC94="",0,BC94*20))/(IF(Q94="",0,25)+IF(AC94="",0,22)+IF(AK94="",0,18)+IF(AS94="",0,15)+IF(BC94="",0,20)))</f>
        <v/>
      </c>
      <c r="BI94" s="11">
        <f>IF(BG94="Ranked",1+COUNTIFS($BG$2:$BG$101,"Ranked",$BH$2:$BH$101,"&gt;"&amp;BH94),"")</f>
        <v/>
      </c>
      <c r="BJ94" s="11">
        <f>City_Inputs!$AH94</f>
        <v/>
      </c>
    </row>
    <row r="95">
      <c r="A95" t="inlineStr">
        <is>
          <t>au-brisbane</t>
        </is>
      </c>
      <c r="B95" t="inlineStr">
        <is>
          <t>Brisbane</t>
        </is>
      </c>
      <c r="C95" t="inlineStr">
        <is>
          <t>Australia</t>
        </is>
      </c>
      <c r="D95" t="inlineStr">
        <is>
          <t>Oceania</t>
        </is>
      </c>
      <c r="E95" t="inlineStr">
        <is>
          <t>locked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IF((IF(G95="",0,9)+IF(I95="",0,5)+IF(K95="",0,4)+IF(M95="",0,4)+IF(O95="",0,3))=0,"",(IF(G95="",0,G95*9)+IF(I95="",0,I95*5)+IF(K95="",0,K95*4)+IF(M95="",0,M95*4)+IF(O95="",0,O95*3))/(IF(G95="",0,9)+IF(I95="",0,5)+IF(K95="",0,4)+IF(M95="",0,4)+IF(O95="",0,3)))</f>
        <v/>
      </c>
      <c r="R95" s="14">
        <f>IF((IF(H95="",0,9)+IF(J95="",0,5)+IF(L95="",0,4)+IF(N95="",0,4)+IF(P95="",0,3))=0,"",(IF(H95="",0,H95*9)+IF(J95="",0,J95*5)+IF(L95="",0,L95*4)+IF(N95="",0,N95*4)+IF(P95="",0,P95*3))/25)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5">
        <f>IF((IF(S95="",0,5)+IF(U95="",0,5)+IF(W95="",0,4)+IF(Y95="",0,4)+IF(AA95="",0,4))=0,"",(IF(S95="",0,S95*5)+IF(U95="",0,U95*5)+IF(W95="",0,W95*4)+IF(Y95="",0,Y95*4)+IF(AA95="",0,AA95*4))/(IF(S95="",0,5)+IF(U95="",0,5)+IF(W95="",0,4)+IF(Y95="",0,4)+IF(AA95="",0,4)))</f>
        <v/>
      </c>
      <c r="AD95" s="14">
        <f>IF((IF(T95="",0,5)+IF(V95="",0,5)+IF(X95="",0,4)+IF(Z95="",0,4)+IF(AB95="",0,4))=0,"",(IF(T95="",0,T95*5)+IF(V95="",0,V95*5)+IF(X95="",0,X95*4)+IF(Z95="",0,Z95*4)+IF(AB95="",0,AB95*4))/22)</f>
        <v/>
      </c>
      <c r="AE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F95" s="14">
        <f>IF(AE95="","",1)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(IF((IF(OR(City_Inputs!$Z95="",Norm_Stats!$F$14="",Norm_Stats!$G$14="",Norm_Stats!$G$14=Norm_Stats!$F$14),"",MAX(0,MIN(100,100*(MIN(MAX(City_Inputs!$Z95,Norm_Stats!$F$14),Norm_Stats!$G$14)-Norm_Stats!$F$14)/(Norm_Stats!$G$14-Norm_Stats!$F$14)))))="",0,0.7)+IF((IF(OR(City_Inputs!$AK95="",Norm_Stats!$F$15="",Norm_Stats!$G$15="",Norm_Stats!$G$15=Norm_Stats!$F$15),"",MAX(0,MIN(100,100*(Norm_Stats!$G$15-MIN(MAX(City_Inputs!$AK95,Norm_Stats!$F$15),Norm_Stats!$G$15))/(Norm_Stats!$G$15-Norm_Stats!$F$15)))))="",0,0.3))=0,"",(IF((IF(OR(City_Inputs!$Z95="",Norm_Stats!$F$14="",Norm_Stats!$G$14="",Norm_Stats!$G$14=Norm_Stats!$F$14),"",MAX(0,MIN(100,100*(MIN(MAX(City_Inputs!$Z95,Norm_Stats!$F$14),Norm_Stats!$G$14)-Norm_Stats!$F$14)/(Norm_Stats!$G$14-Norm_Stats!$F$14)))))="",0,(IF(OR(City_Inputs!$Z95="",Norm_Stats!$F$14="",Norm_Stats!$G$14="",Norm_Stats!$G$14=Norm_Stats!$F$14),"",MAX(0,MIN(100,100*(MIN(MAX(City_Inputs!$Z95,Norm_Stats!$F$14),Norm_Stats!$G$14)-Norm_Stats!$F$14)/(Norm_Stats!$G$14-Norm_Stats!$F$14)))))*0.7)+IF((IF(OR(City_Inputs!$AK95="",Norm_Stats!$F$15="",Norm_Stats!$G$15="",Norm_Stats!$G$15=Norm_Stats!$F$15),"",MAX(0,MIN(100,100*(Norm_Stats!$G$15-MIN(MAX(City_Inputs!$AK95,Norm_Stats!$F$15),Norm_Stats!$G$15))/(Norm_Stats!$G$15-Norm_Stats!$F$15)))))="",0,(IF(OR(City_Inputs!$AK95="",Norm_Stats!$F$15="",Norm_Stats!$G$15="",Norm_Stats!$G$15=Norm_Stats!$F$15),"",MAX(0,MIN(100,100*(Norm_Stats!$G$15-MIN(MAX(City_Inputs!$AK95,Norm_Stats!$F$15),Norm_Stats!$G$15))/(Norm_Stats!$G$15-Norm_Stats!$F$15)))))*0.3))/(IF((IF(OR(City_Inputs!$Z95="",Norm_Stats!$F$14="",Norm_Stats!$G$14="",Norm_Stats!$G$14=Norm_Stats!$F$14),"",MAX(0,MIN(100,100*(MIN(MAX(City_Inputs!$Z95,Norm_Stats!$F$14),Norm_Stats!$G$14)-Norm_Stats!$F$14)/(Norm_Stats!$G$14-Norm_Stats!$F$14)))))="",0,0.7)+IF((IF(OR(City_Inputs!$AK95="",Norm_Stats!$F$15="",Norm_Stats!$G$15="",Norm_Stats!$G$15=Norm_Stats!$F$15),"",MAX(0,MIN(100,100*(Norm_Stats!$G$15-MIN(MAX(City_Inputs!$AK95,Norm_Stats!$F$15),Norm_Stats!$G$15))/(Norm_Stats!$G$15-Norm_Stats!$F$15)))))="",0,0.3)))</f>
        <v/>
      </c>
      <c r="AJ95" s="14">
        <f>IF((IF((IF(OR(City_Inputs!$Z95="",Norm_Stats!$F$14="",Norm_Stats!$G$14="",Norm_Stats!$G$14=Norm_Stats!$F$14),"",MAX(0,MIN(100,100*(MIN(MAX(City_Inputs!$Z95,Norm_Stats!$F$14),Norm_Stats!$G$14)-Norm_Stats!$F$14)/(Norm_Stats!$G$14-Norm_Stats!$F$14)))))="",0,0.7)+IF((IF(OR(City_Inputs!$AK95="",Norm_Stats!$F$15="",Norm_Stats!$G$15="",Norm_Stats!$G$15=Norm_Stats!$F$15),"",MAX(0,MIN(100,100*(Norm_Stats!$G$15-MIN(MAX(City_Inputs!$AK95,Norm_Stats!$F$15),Norm_Stats!$G$15))/(Norm_Stats!$G$15-Norm_Stats!$F$15)))))="",0,0.3))=0,"",(IF((IF(OR(City_Inputs!$Z95="",Norm_Stats!$F$14="",Norm_Stats!$G$14="",Norm_Stats!$G$14=Norm_Stats!$F$14),"",MAX(0,MIN(100,100*(MIN(MAX(City_Inputs!$Z95,Norm_Stats!$F$14),Norm_Stats!$G$14)-Norm_Stats!$F$14)/(Norm_Stats!$G$14-Norm_Stats!$F$14)))))="",0,0.7)+IF((IF(OR(City_Inputs!$AK95="",Norm_Stats!$F$15="",Norm_Stats!$G$15="",Norm_Stats!$G$15=Norm_Stats!$F$15),"",MAX(0,MIN(100,100*(Norm_Stats!$G$15-MIN(MAX(City_Inputs!$AK95,Norm_Stats!$F$15),Norm_Stats!$G$15))/(Norm_Stats!$G$15-Norm_Stats!$F$15)))))="",0,0.3)))</f>
        <v/>
      </c>
      <c r="AK95" s="15">
        <f>IF((IF(AE95="",0,8)+IF(AG95="",0,6)+IF(AI95="",0,4))=0,"",(IF(AE95="",0,AE95*8)+IF(AG95="",0,AG95*6)+IF(AI95="",0,AI95*4))/(IF(AE95="",0,8)+IF(AG95="",0,6)+IF(AI95="",0,4)))</f>
        <v/>
      </c>
      <c r="AL95" s="14">
        <f>IF((IF(AF95="",0,8)+IF(AH95="",0,6)+IF(AJ95="",0,4))=0,"",(IF(AF95="",0,AF95*8)+IF(AH95="",0,AH95*6)+IF(AJ95="",0,AJ95*4))/18)</f>
        <v/>
      </c>
      <c r="AM95" s="11">
        <f>IF(OR(City_Inputs!$AA95="",Norm_Stats!$F$16="",Norm_Stats!$G$16="",Norm_Stats!$G$16=Norm_Stats!$F$16),"",MAX(0,MIN(100,100*(MIN(MAX(City_Inputs!$AA95,Norm_Stats!$F$16),Norm_Stats!$G$16)-Norm_Stats!$F$16)/(Norm_Stats!$G$16-Norm_Stats!$F$16))))</f>
        <v/>
      </c>
      <c r="AN95" s="14">
        <f>IF(AM95="","",1)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5">
        <f>IF((IF(AM95="",0,5)+IF(AO95="",0,5)+IF(AQ95="",0,5))=0,"",(IF(AM95="",0,AM95*5)+IF(AO95="",0,AO95*5)+IF(AQ95="",0,AQ95*5))/(IF(AM95="",0,5)+IF(AO95="",0,5)+IF(AQ95="",0,5)))</f>
        <v/>
      </c>
      <c r="AT95" s="14">
        <f>IF((IF(AN95="",0,5)+IF(AP95="",0,5)+IF(AR95="",0,5))=0,"",(IF(AN95="",0,AN95*5)+IF(AP95="",0,AP95*5)+IF(AR95="",0,AR95*5))/15)</f>
        <v/>
      </c>
      <c r="AU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V95" s="14">
        <f>IF(AU95="","",1)</f>
        <v/>
      </c>
      <c r="AW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X95" s="14">
        <f>IF(AW95="","",1)</f>
        <v/>
      </c>
      <c r="AY95" s="11">
        <f>IF((IF((IF(OR(City_Inputs!$AF95="",Norm_Stats!$F$21="",Norm_Stats!$G$21="",Norm_Stats!$G$21=Norm_Stats!$F$21),"",MAX(0,MIN(100,100*(MIN(MAX(City_Inputs!$AF95,Norm_Stats!$F$21),Norm_Stats!$G$21)-Norm_Stats!$F$21)/(Norm_Stats!$G$21-Norm_Stats!$F$21)))))="",0,0.5)+IF((IF(OR(City_Inputs!$AI95="",Norm_Stats!$F$22="",Norm_Stats!$G$22="",Norm_Stats!$G$22=Norm_Stats!$F$22),"",MAX(0,MIN(100,100*(MIN(MAX(City_Inputs!$AI95,Norm_Stats!$F$22),Norm_Stats!$G$22)-Norm_Stats!$F$22)/(Norm_Stats!$G$22-Norm_Stats!$F$22)))))="",0,0.3)+IF((IF(OR(City_Inputs!$AJ95="",Norm_Stats!$F$23="",Norm_Stats!$G$23="",Norm_Stats!$G$23=Norm_Stats!$F$23),"",MAX(0,MIN(100,100*(MIN(MAX(City_Inputs!$AJ95,Norm_Stats!$F$23),Norm_Stats!$G$23)-Norm_Stats!$F$23)/(Norm_Stats!$G$23-Norm_Stats!$F$23)))))="",0,0.2))=0,"",(IF((IF(OR(City_Inputs!$AF95="",Norm_Stats!$F$21="",Norm_Stats!$G$21="",Norm_Stats!$G$21=Norm_Stats!$F$21),"",MAX(0,MIN(100,100*(MIN(MAX(City_Inputs!$AF95,Norm_Stats!$F$21),Norm_Stats!$G$21)-Norm_Stats!$F$21)/(Norm_Stats!$G$21-Norm_Stats!$F$21)))))="",0,(IF(OR(City_Inputs!$AF95="",Norm_Stats!$F$21="",Norm_Stats!$G$21="",Norm_Stats!$G$21=Norm_Stats!$F$21),"",MAX(0,MIN(100,100*(MIN(MAX(City_Inputs!$AF95,Norm_Stats!$F$21),Norm_Stats!$G$21)-Norm_Stats!$F$21)/(Norm_Stats!$G$21-Norm_Stats!$F$21)))))*0.5)+IF((IF(OR(City_Inputs!$AI95="",Norm_Stats!$F$22="",Norm_Stats!$G$22="",Norm_Stats!$G$22=Norm_Stats!$F$22),"",MAX(0,MIN(100,100*(MIN(MAX(City_Inputs!$AI95,Norm_Stats!$F$22),Norm_Stats!$G$22)-Norm_Stats!$F$22)/(Norm_Stats!$G$22-Norm_Stats!$F$22)))))="",0,(IF(OR(City_Inputs!$AI95="",Norm_Stats!$F$22="",Norm_Stats!$G$22="",Norm_Stats!$G$22=Norm_Stats!$F$22),"",MAX(0,MIN(100,100*(MIN(MAX(City_Inputs!$AI95,Norm_Stats!$F$22),Norm_Stats!$G$22)-Norm_Stats!$F$22)/(Norm_Stats!$G$22-Norm_Stats!$F$22)))))*0.3)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0.2))/(IF((IF(OR(City_Inputs!$AF95="",Norm_Stats!$F$21="",Norm_Stats!$G$21="",Norm_Stats!$G$21=Norm_Stats!$F$21),"",MAX(0,MIN(100,100*(MIN(MAX(City_Inputs!$AF95,Norm_Stats!$F$21),Norm_Stats!$G$21)-Norm_Stats!$F$21)/(Norm_Stats!$G$21-Norm_Stats!$F$21)))))="",0,0.5)+IF((IF(OR(City_Inputs!$AI95="",Norm_Stats!$F$22="",Norm_Stats!$G$22="",Norm_Stats!$G$22=Norm_Stats!$F$22),"",MAX(0,MIN(100,100*(MIN(MAX(City_Inputs!$AI95,Norm_Stats!$F$22),Norm_Stats!$G$22)-Norm_Stats!$F$22)/(Norm_Stats!$G$22-Norm_Stats!$F$22)))))="",0,0.3)+IF((IF(OR(City_Inputs!$AJ95="",Norm_Stats!$F$23="",Norm_Stats!$G$23="",Norm_Stats!$G$23=Norm_Stats!$F$23),"",MAX(0,MIN(100,100*(MIN(MAX(City_Inputs!$AJ95,Norm_Stats!$F$23),Norm_Stats!$G$23)-Norm_Stats!$F$23)/(Norm_Stats!$G$23-Norm_Stats!$F$23)))))="",0,0.2)))</f>
        <v/>
      </c>
      <c r="AZ95" s="14">
        <f>IF((IF((IF(OR(City_Inputs!$AF95="",Norm_Stats!$F$21="",Norm_Stats!$G$21="",Norm_Stats!$G$21=Norm_Stats!$F$21),"",MAX(0,MIN(100,100*(MIN(MAX(City_Inputs!$AF95,Norm_Stats!$F$21),Norm_Stats!$G$21)-Norm_Stats!$F$21)/(Norm_Stats!$G$21-Norm_Stats!$F$21)))))="",0,0.5)+IF((IF(OR(City_Inputs!$AI95="",Norm_Stats!$F$22="",Norm_Stats!$G$22="",Norm_Stats!$G$22=Norm_Stats!$F$22),"",MAX(0,MIN(100,100*(MIN(MAX(City_Inputs!$AI95,Norm_Stats!$F$22),Norm_Stats!$G$22)-Norm_Stats!$F$22)/(Norm_Stats!$G$22-Norm_Stats!$F$22)))))="",0,0.3)+IF((IF(OR(City_Inputs!$AJ95="",Norm_Stats!$F$23="",Norm_Stats!$G$23="",Norm_Stats!$G$23=Norm_Stats!$F$23),"",MAX(0,MIN(100,100*(MIN(MAX(City_Inputs!$AJ95,Norm_Stats!$F$23),Norm_Stats!$G$23)-Norm_Stats!$F$23)/(Norm_Stats!$G$23-Norm_Stats!$F$23)))))="",0,0.2))=0,"",(IF((IF(OR(City_Inputs!$AF95="",Norm_Stats!$F$21="",Norm_Stats!$G$21="",Norm_Stats!$G$21=Norm_Stats!$F$21),"",MAX(0,MIN(100,100*(MIN(MAX(City_Inputs!$AF95,Norm_Stats!$F$21),Norm_Stats!$G$21)-Norm_Stats!$F$21)/(Norm_Stats!$G$21-Norm_Stats!$F$21)))))="",0,0.5)+IF((IF(OR(City_Inputs!$AI95="",Norm_Stats!$F$22="",Norm_Stats!$G$22="",Norm_Stats!$G$22=Norm_Stats!$F$22),"",MAX(0,MIN(100,100*(MIN(MAX(City_Inputs!$AI95,Norm_Stats!$F$22),Norm_Stats!$G$22)-Norm_Stats!$F$22)/(Norm_Stats!$G$22-Norm_Stats!$F$22)))))="",0,0.3)+IF((IF(OR(City_Inputs!$AJ95="",Norm_Stats!$F$23="",Norm_Stats!$G$23="",Norm_Stats!$G$23=Norm_Stats!$F$23),"",MAX(0,MIN(100,100*(MIN(MAX(City_Inputs!$AJ95,Norm_Stats!$F$23),Norm_Stats!$G$23)-Norm_Stats!$F$23)/(Norm_Stats!$G$23-Norm_Stats!$F$23)))))="",0,0.2)))</f>
        <v/>
      </c>
      <c r="BA95" s="11">
        <f>IF(OR(City_Inputs!$AG95="",Norm_Stats!$F$24="",Norm_Stats!$G$24="",Norm_Stats!$G$24=Norm_Stats!$F$24),"",MAX(0,MIN(100,100*(Norm_Stats!$G$24-MIN(MAX(City_Inputs!$AG95,Norm_Stats!$F$24),Norm_Stats!$G$24))/(Norm_Stats!$G$24-Norm_Stats!$F$24))))</f>
        <v/>
      </c>
      <c r="BB95" s="14">
        <f>IF(BA95="","",1)</f>
        <v/>
      </c>
      <c r="BC95" s="15">
        <f>IF((IF(AU95="",0,6)+IF(AW95="",0,5)+IF(AY95="",0,5)+IF(BA95="",0,4))=0,"",(IF(AU95="",0,AU95*6)+IF(AW95="",0,AW95*5)+IF(AY95="",0,AY95*5)+IF(BA95="",0,BA95*4))/(IF(AU95="",0,6)+IF(AW95="",0,5)+IF(AY95="",0,5)+IF(BA95="",0,4)))</f>
        <v/>
      </c>
      <c r="BD95" s="14">
        <f>IF((IF(AV95="",0,6)+IF(AX95="",0,5)+IF(AZ95="",0,5)+IF(BB95="",0,4))=0,"",(IF(AV95="",0,AV95*6)+IF(AX95="",0,AX95*5)+IF(AZ95="",0,AZ95*5)+IF(BB95="",0,BB95*4))/20)</f>
        <v/>
      </c>
      <c r="BE95" s="14">
        <f>IF(AND(R95="",AD95="",AL95="",AT95="",BD95=""),"",((R95*25)+(AD95*22)+(AL95*18)+(AT95*15)+(BD95*20))/100)</f>
        <v/>
      </c>
      <c r="BF95" s="11">
        <f>IF(BE95="","",IF(BE95&gt;=0.75,"A",IF(BE95&gt;=0.5,"B",IF(BE95&gt;=0.35,"C","Watchlist"))))</f>
        <v/>
      </c>
      <c r="BG95" s="11">
        <f>IF(OR(BE95="",BE95&lt;0.5,R95="",R95&lt;0.35,AD95="",AD95&lt;0.35,AL95="",AL95&lt;0.35,AT95="",AT95&lt;0.35,BD95="",BD95&lt;0.35),"Watchlist","Ranked")</f>
        <v/>
      </c>
      <c r="BH95" s="15">
        <f>IF(AND(Q95="",AC95="",AK95="",AS95="",BC95=""),"",(IF(Q95="",0,Q95*25)+IF(AC95="",0,AC95*22)+IF(AK95="",0,AK95*18)+IF(AS95="",0,AS95*15)+IF(BC95="",0,BC95*20))/(IF(Q95="",0,25)+IF(AC95="",0,22)+IF(AK95="",0,18)+IF(AS95="",0,15)+IF(BC95="",0,20)))</f>
        <v/>
      </c>
      <c r="BI95" s="11">
        <f>IF(BG95="Ranked",1+COUNTIFS($BG$2:$BG$101,"Ranked",$BH$2:$BH$101,"&gt;"&amp;BH95),"")</f>
        <v/>
      </c>
      <c r="BJ95" s="11">
        <f>City_Inputs!$AH95</f>
        <v/>
      </c>
    </row>
    <row r="96">
      <c r="A96" t="inlineStr">
        <is>
          <t>nz-wellington</t>
        </is>
      </c>
      <c r="B96" t="inlineStr">
        <is>
          <t>Wellington</t>
        </is>
      </c>
      <c r="C96" t="inlineStr">
        <is>
          <t>New Zealand</t>
        </is>
      </c>
      <c r="D96" t="inlineStr">
        <is>
          <t>Oceania</t>
        </is>
      </c>
      <c r="E96" t="inlineStr">
        <is>
          <t>locked</t>
        </is>
      </c>
      <c r="F96" t="inlineStr">
        <is>
          <t>primary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IF((IF(G96="",0,9)+IF(I96="",0,5)+IF(K96="",0,4)+IF(M96="",0,4)+IF(O96="",0,3))=0,"",(IF(G96="",0,G96*9)+IF(I96="",0,I96*5)+IF(K96="",0,K96*4)+IF(M96="",0,M96*4)+IF(O96="",0,O96*3))/(IF(G96="",0,9)+IF(I96="",0,5)+IF(K96="",0,4)+IF(M96="",0,4)+IF(O96="",0,3)))</f>
        <v/>
      </c>
      <c r="R96" s="14">
        <f>IF((IF(H96="",0,9)+IF(J96="",0,5)+IF(L96="",0,4)+IF(N96="",0,4)+IF(P96="",0,3))=0,"",(IF(H96="",0,H96*9)+IF(J96="",0,J96*5)+IF(L96="",0,L96*4)+IF(N96="",0,N96*4)+IF(P96="",0,P96*3))/25)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5">
        <f>IF((IF(S96="",0,5)+IF(U96="",0,5)+IF(W96="",0,4)+IF(Y96="",0,4)+IF(AA96="",0,4))=0,"",(IF(S96="",0,S96*5)+IF(U96="",0,U96*5)+IF(W96="",0,W96*4)+IF(Y96="",0,Y96*4)+IF(AA96="",0,AA96*4))/(IF(S96="",0,5)+IF(U96="",0,5)+IF(W96="",0,4)+IF(Y96="",0,4)+IF(AA96="",0,4)))</f>
        <v/>
      </c>
      <c r="AD96" s="14">
        <f>IF((IF(T96="",0,5)+IF(V96="",0,5)+IF(X96="",0,4)+IF(Z96="",0,4)+IF(AB96="",0,4))=0,"",(IF(T96="",0,T96*5)+IF(V96="",0,V96*5)+IF(X96="",0,X96*4)+IF(Z96="",0,Z96*4)+IF(AB96="",0,AB96*4))/22)</f>
        <v/>
      </c>
      <c r="AE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F96" s="14">
        <f>IF(AE96="","",1)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(IF((IF(OR(City_Inputs!$Z96="",Norm_Stats!$F$14="",Norm_Stats!$G$14="",Norm_Stats!$G$14=Norm_Stats!$F$14),"",MAX(0,MIN(100,100*(MIN(MAX(City_Inputs!$Z96,Norm_Stats!$F$14),Norm_Stats!$G$14)-Norm_Stats!$F$14)/(Norm_Stats!$G$14-Norm_Stats!$F$14)))))="",0,0.7)+IF((IF(OR(City_Inputs!$AK96="",Norm_Stats!$F$15="",Norm_Stats!$G$15="",Norm_Stats!$G$15=Norm_Stats!$F$15),"",MAX(0,MIN(100,100*(Norm_Stats!$G$15-MIN(MAX(City_Inputs!$AK96,Norm_Stats!$F$15),Norm_Stats!$G$15))/(Norm_Stats!$G$15-Norm_Stats!$F$15)))))="",0,0.3))=0,"",(IF((IF(OR(City_Inputs!$Z96="",Norm_Stats!$F$14="",Norm_Stats!$G$14="",Norm_Stats!$G$14=Norm_Stats!$F$14),"",MAX(0,MIN(100,100*(MIN(MAX(City_Inputs!$Z96,Norm_Stats!$F$14),Norm_Stats!$G$14)-Norm_Stats!$F$14)/(Norm_Stats!$G$14-Norm_Stats!$F$14)))))="",0,(IF(OR(City_Inputs!$Z96="",Norm_Stats!$F$14="",Norm_Stats!$G$14="",Norm_Stats!$G$14=Norm_Stats!$F$14),"",MAX(0,MIN(100,100*(MIN(MAX(City_Inputs!$Z96,Norm_Stats!$F$14),Norm_Stats!$G$14)-Norm_Stats!$F$14)/(Norm_Stats!$G$14-Norm_Stats!$F$14)))))*0.7)+IF((IF(OR(City_Inputs!$AK96="",Norm_Stats!$F$15="",Norm_Stats!$G$15="",Norm_Stats!$G$15=Norm_Stats!$F$15),"",MAX(0,MIN(100,100*(Norm_Stats!$G$15-MIN(MAX(City_Inputs!$AK96,Norm_Stats!$F$15),Norm_Stats!$G$15))/(Norm_Stats!$G$15-Norm_Stats!$F$15)))))="",0,(IF(OR(City_Inputs!$AK96="",Norm_Stats!$F$15="",Norm_Stats!$G$15="",Norm_Stats!$G$15=Norm_Stats!$F$15),"",MAX(0,MIN(100,100*(Norm_Stats!$G$15-MIN(MAX(City_Inputs!$AK96,Norm_Stats!$F$15),Norm_Stats!$G$15))/(Norm_Stats!$G$15-Norm_Stats!$F$15)))))*0.3))/(IF((IF(OR(City_Inputs!$Z96="",Norm_Stats!$F$14="",Norm_Stats!$G$14="",Norm_Stats!$G$14=Norm_Stats!$F$14),"",MAX(0,MIN(100,100*(MIN(MAX(City_Inputs!$Z96,Norm_Stats!$F$14),Norm_Stats!$G$14)-Norm_Stats!$F$14)/(Norm_Stats!$G$14-Norm_Stats!$F$14)))))="",0,0.7)+IF((IF(OR(City_Inputs!$AK96="",Norm_Stats!$F$15="",Norm_Stats!$G$15="",Norm_Stats!$G$15=Norm_Stats!$F$15),"",MAX(0,MIN(100,100*(Norm_Stats!$G$15-MIN(MAX(City_Inputs!$AK96,Norm_Stats!$F$15),Norm_Stats!$G$15))/(Norm_Stats!$G$15-Norm_Stats!$F$15)))))="",0,0.3)))</f>
        <v/>
      </c>
      <c r="AJ96" s="14">
        <f>IF((IF((IF(OR(City_Inputs!$Z96="",Norm_Stats!$F$14="",Norm_Stats!$G$14="",Norm_Stats!$G$14=Norm_Stats!$F$14),"",MAX(0,MIN(100,100*(MIN(MAX(City_Inputs!$Z96,Norm_Stats!$F$14),Norm_Stats!$G$14)-Norm_Stats!$F$14)/(Norm_Stats!$G$14-Norm_Stats!$F$14)))))="",0,0.7)+IF((IF(OR(City_Inputs!$AK96="",Norm_Stats!$F$15="",Norm_Stats!$G$15="",Norm_Stats!$G$15=Norm_Stats!$F$15),"",MAX(0,MIN(100,100*(Norm_Stats!$G$15-MIN(MAX(City_Inputs!$AK96,Norm_Stats!$F$15),Norm_Stats!$G$15))/(Norm_Stats!$G$15-Norm_Stats!$F$15)))))="",0,0.3))=0,"",(IF((IF(OR(City_Inputs!$Z96="",Norm_Stats!$F$14="",Norm_Stats!$G$14="",Norm_Stats!$G$14=Norm_Stats!$F$14),"",MAX(0,MIN(100,100*(MIN(MAX(City_Inputs!$Z96,Norm_Stats!$F$14),Norm_Stats!$G$14)-Norm_Stats!$F$14)/(Norm_Stats!$G$14-Norm_Stats!$F$14)))))="",0,0.7)+IF((IF(OR(City_Inputs!$AK96="",Norm_Stats!$F$15="",Norm_Stats!$G$15="",Norm_Stats!$G$15=Norm_Stats!$F$15),"",MAX(0,MIN(100,100*(Norm_Stats!$G$15-MIN(MAX(City_Inputs!$AK96,Norm_Stats!$F$15),Norm_Stats!$G$15))/(Norm_Stats!$G$15-Norm_Stats!$F$15)))))="",0,0.3)))</f>
        <v/>
      </c>
      <c r="AK96" s="15">
        <f>IF((IF(AE96="",0,8)+IF(AG96="",0,6)+IF(AI96="",0,4))=0,"",(IF(AE96="",0,AE96*8)+IF(AG96="",0,AG96*6)+IF(AI96="",0,AI96*4))/(IF(AE96="",0,8)+IF(AG96="",0,6)+IF(AI96="",0,4)))</f>
        <v/>
      </c>
      <c r="AL96" s="14">
        <f>IF((IF(AF96="",0,8)+IF(AH96="",0,6)+IF(AJ96="",0,4))=0,"",(IF(AF96="",0,AF96*8)+IF(AH96="",0,AH96*6)+IF(AJ96="",0,AJ96*4))/18)</f>
        <v/>
      </c>
      <c r="AM96" s="11">
        <f>IF(OR(City_Inputs!$AA96="",Norm_Stats!$F$16="",Norm_Stats!$G$16="",Norm_Stats!$G$16=Norm_Stats!$F$16),"",MAX(0,MIN(100,100*(MIN(MAX(City_Inputs!$AA96,Norm_Stats!$F$16),Norm_Stats!$G$16)-Norm_Stats!$F$16)/(Norm_Stats!$G$16-Norm_Stats!$F$16))))</f>
        <v/>
      </c>
      <c r="AN96" s="14">
        <f>IF(AM96="","",1)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5">
        <f>IF((IF(AM96="",0,5)+IF(AO96="",0,5)+IF(AQ96="",0,5))=0,"",(IF(AM96="",0,AM96*5)+IF(AO96="",0,AO96*5)+IF(AQ96="",0,AQ96*5))/(IF(AM96="",0,5)+IF(AO96="",0,5)+IF(AQ96="",0,5)))</f>
        <v/>
      </c>
      <c r="AT96" s="14">
        <f>IF((IF(AN96="",0,5)+IF(AP96="",0,5)+IF(AR96="",0,5))=0,"",(IF(AN96="",0,AN96*5)+IF(AP96="",0,AP96*5)+IF(AR96="",0,AR96*5))/15)</f>
        <v/>
      </c>
      <c r="AU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V96" s="14">
        <f>IF(AU96="","",1)</f>
        <v/>
      </c>
      <c r="AW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X96" s="14">
        <f>IF(AW96="","",1)</f>
        <v/>
      </c>
      <c r="AY96" s="11">
        <f>IF((IF((IF(OR(City_Inputs!$AF96="",Norm_Stats!$F$21="",Norm_Stats!$G$21="",Norm_Stats!$G$21=Norm_Stats!$F$21),"",MAX(0,MIN(100,100*(MIN(MAX(City_Inputs!$AF96,Norm_Stats!$F$21),Norm_Stats!$G$21)-Norm_Stats!$F$21)/(Norm_Stats!$G$21-Norm_Stats!$F$21)))))="",0,0.5)+IF((IF(OR(City_Inputs!$AI96="",Norm_Stats!$F$22="",Norm_Stats!$G$22="",Norm_Stats!$G$22=Norm_Stats!$F$22),"",MAX(0,MIN(100,100*(MIN(MAX(City_Inputs!$AI96,Norm_Stats!$F$22),Norm_Stats!$G$22)-Norm_Stats!$F$22)/(Norm_Stats!$G$22-Norm_Stats!$F$22)))))="",0,0.3)+IF((IF(OR(City_Inputs!$AJ96="",Norm_Stats!$F$23="",Norm_Stats!$G$23="",Norm_Stats!$G$23=Norm_Stats!$F$23),"",MAX(0,MIN(100,100*(MIN(MAX(City_Inputs!$AJ96,Norm_Stats!$F$23),Norm_Stats!$G$23)-Norm_Stats!$F$23)/(Norm_Stats!$G$23-Norm_Stats!$F$23)))))="",0,0.2))=0,"",(IF((IF(OR(City_Inputs!$AF96="",Norm_Stats!$F$21="",Norm_Stats!$G$21="",Norm_Stats!$G$21=Norm_Stats!$F$21),"",MAX(0,MIN(100,100*(MIN(MAX(City_Inputs!$AF96,Norm_Stats!$F$21),Norm_Stats!$G$21)-Norm_Stats!$F$21)/(Norm_Stats!$G$21-Norm_Stats!$F$21)))))="",0,(IF(OR(City_Inputs!$AF96="",Norm_Stats!$F$21="",Norm_Stats!$G$21="",Norm_Stats!$G$21=Norm_Stats!$F$21),"",MAX(0,MIN(100,100*(MIN(MAX(City_Inputs!$AF96,Norm_Stats!$F$21),Norm_Stats!$G$21)-Norm_Stats!$F$21)/(Norm_Stats!$G$21-Norm_Stats!$F$21)))))*0.5)+IF((IF(OR(City_Inputs!$AI96="",Norm_Stats!$F$22="",Norm_Stats!$G$22="",Norm_Stats!$G$22=Norm_Stats!$F$22),"",MAX(0,MIN(100,100*(MIN(MAX(City_Inputs!$AI96,Norm_Stats!$F$22),Norm_Stats!$G$22)-Norm_Stats!$F$22)/(Norm_Stats!$G$22-Norm_Stats!$F$22)))))="",0,(IF(OR(City_Inputs!$AI96="",Norm_Stats!$F$22="",Norm_Stats!$G$22="",Norm_Stats!$G$22=Norm_Stats!$F$22),"",MAX(0,MIN(100,100*(MIN(MAX(City_Inputs!$AI96,Norm_Stats!$F$22),Norm_Stats!$G$22)-Norm_Stats!$F$22)/(Norm_Stats!$G$22-Norm_Stats!$F$22)))))*0.3)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0.2))/(IF((IF(OR(City_Inputs!$AF96="",Norm_Stats!$F$21="",Norm_Stats!$G$21="",Norm_Stats!$G$21=Norm_Stats!$F$21),"",MAX(0,MIN(100,100*(MIN(MAX(City_Inputs!$AF96,Norm_Stats!$F$21),Norm_Stats!$G$21)-Norm_Stats!$F$21)/(Norm_Stats!$G$21-Norm_Stats!$F$21)))))="",0,0.5)+IF((IF(OR(City_Inputs!$AI96="",Norm_Stats!$F$22="",Norm_Stats!$G$22="",Norm_Stats!$G$22=Norm_Stats!$F$22),"",MAX(0,MIN(100,100*(MIN(MAX(City_Inputs!$AI96,Norm_Stats!$F$22),Norm_Stats!$G$22)-Norm_Stats!$F$22)/(Norm_Stats!$G$22-Norm_Stats!$F$22)))))="",0,0.3)+IF((IF(OR(City_Inputs!$AJ96="",Norm_Stats!$F$23="",Norm_Stats!$G$23="",Norm_Stats!$G$23=Norm_Stats!$F$23),"",MAX(0,MIN(100,100*(MIN(MAX(City_Inputs!$AJ96,Norm_Stats!$F$23),Norm_Stats!$G$23)-Norm_Stats!$F$23)/(Norm_Stats!$G$23-Norm_Stats!$F$23)))))="",0,0.2)))</f>
        <v/>
      </c>
      <c r="AZ96" s="14">
        <f>IF((IF((IF(OR(City_Inputs!$AF96="",Norm_Stats!$F$21="",Norm_Stats!$G$21="",Norm_Stats!$G$21=Norm_Stats!$F$21),"",MAX(0,MIN(100,100*(MIN(MAX(City_Inputs!$AF96,Norm_Stats!$F$21),Norm_Stats!$G$21)-Norm_Stats!$F$21)/(Norm_Stats!$G$21-Norm_Stats!$F$21)))))="",0,0.5)+IF((IF(OR(City_Inputs!$AI96="",Norm_Stats!$F$22="",Norm_Stats!$G$22="",Norm_Stats!$G$22=Norm_Stats!$F$22),"",MAX(0,MIN(100,100*(MIN(MAX(City_Inputs!$AI96,Norm_Stats!$F$22),Norm_Stats!$G$22)-Norm_Stats!$F$22)/(Norm_Stats!$G$22-Norm_Stats!$F$22)))))="",0,0.3)+IF((IF(OR(City_Inputs!$AJ96="",Norm_Stats!$F$23="",Norm_Stats!$G$23="",Norm_Stats!$G$23=Norm_Stats!$F$23),"",MAX(0,MIN(100,100*(MIN(MAX(City_Inputs!$AJ96,Norm_Stats!$F$23),Norm_Stats!$G$23)-Norm_Stats!$F$23)/(Norm_Stats!$G$23-Norm_Stats!$F$23)))))="",0,0.2))=0,"",(IF((IF(OR(City_Inputs!$AF96="",Norm_Stats!$F$21="",Norm_Stats!$G$21="",Norm_Stats!$G$21=Norm_Stats!$F$21),"",MAX(0,MIN(100,100*(MIN(MAX(City_Inputs!$AF96,Norm_Stats!$F$21),Norm_Stats!$G$21)-Norm_Stats!$F$21)/(Norm_Stats!$G$21-Norm_Stats!$F$21)))))="",0,0.5)+IF((IF(OR(City_Inputs!$AI96="",Norm_Stats!$F$22="",Norm_Stats!$G$22="",Norm_Stats!$G$22=Norm_Stats!$F$22),"",MAX(0,MIN(100,100*(MIN(MAX(City_Inputs!$AI96,Norm_Stats!$F$22),Norm_Stats!$G$22)-Norm_Stats!$F$22)/(Norm_Stats!$G$22-Norm_Stats!$F$22)))))="",0,0.3)+IF((IF(OR(City_Inputs!$AJ96="",Norm_Stats!$F$23="",Norm_Stats!$G$23="",Norm_Stats!$G$23=Norm_Stats!$F$23),"",MAX(0,MIN(100,100*(MIN(MAX(City_Inputs!$AJ96,Norm_Stats!$F$23),Norm_Stats!$G$23)-Norm_Stats!$F$23)/(Norm_Stats!$G$23-Norm_Stats!$F$23)))))="",0,0.2)))</f>
        <v/>
      </c>
      <c r="BA96" s="11">
        <f>IF(OR(City_Inputs!$AG96="",Norm_Stats!$F$24="",Norm_Stats!$G$24="",Norm_Stats!$G$24=Norm_Stats!$F$24),"",MAX(0,MIN(100,100*(Norm_Stats!$G$24-MIN(MAX(City_Inputs!$AG96,Norm_Stats!$F$24),Norm_Stats!$G$24))/(Norm_Stats!$G$24-Norm_Stats!$F$24))))</f>
        <v/>
      </c>
      <c r="BB96" s="14">
        <f>IF(BA96="","",1)</f>
        <v/>
      </c>
      <c r="BC96" s="15">
        <f>IF((IF(AU96="",0,6)+IF(AW96="",0,5)+IF(AY96="",0,5)+IF(BA96="",0,4))=0,"",(IF(AU96="",0,AU96*6)+IF(AW96="",0,AW96*5)+IF(AY96="",0,AY96*5)+IF(BA96="",0,BA96*4))/(IF(AU96="",0,6)+IF(AW96="",0,5)+IF(AY96="",0,5)+IF(BA96="",0,4)))</f>
        <v/>
      </c>
      <c r="BD96" s="14">
        <f>IF((IF(AV96="",0,6)+IF(AX96="",0,5)+IF(AZ96="",0,5)+IF(BB96="",0,4))=0,"",(IF(AV96="",0,AV96*6)+IF(AX96="",0,AX96*5)+IF(AZ96="",0,AZ96*5)+IF(BB96="",0,BB96*4))/20)</f>
        <v/>
      </c>
      <c r="BE96" s="14">
        <f>IF(AND(R96="",AD96="",AL96="",AT96="",BD96=""),"",((R96*25)+(AD96*22)+(AL96*18)+(AT96*15)+(BD96*20))/100)</f>
        <v/>
      </c>
      <c r="BF96" s="11">
        <f>IF(BE96="","",IF(BE96&gt;=0.75,"A",IF(BE96&gt;=0.5,"B",IF(BE96&gt;=0.35,"C","Watchlist"))))</f>
        <v/>
      </c>
      <c r="BG96" s="11">
        <f>IF(OR(BE96="",BE96&lt;0.5,R96="",R96&lt;0.35,AD96="",AD96&lt;0.35,AL96="",AL96&lt;0.35,AT96="",AT96&lt;0.35,BD96="",BD96&lt;0.35),"Watchlist","Ranked")</f>
        <v/>
      </c>
      <c r="BH96" s="15">
        <f>IF(AND(Q96="",AC96="",AK96="",AS96="",BC96=""),"",(IF(Q96="",0,Q96*25)+IF(AC96="",0,AC96*22)+IF(AK96="",0,AK96*18)+IF(AS96="",0,AS96*15)+IF(BC96="",0,BC96*20))/(IF(Q96="",0,25)+IF(AC96="",0,22)+IF(AK96="",0,18)+IF(AS96="",0,15)+IF(BC96="",0,20)))</f>
        <v/>
      </c>
      <c r="BI96" s="11">
        <f>IF(BG96="Ranked",1+COUNTIFS($BG$2:$BG$101,"Ranked",$BH$2:$BH$101,"&gt;"&amp;BH96),"")</f>
        <v/>
      </c>
      <c r="BJ96" s="11">
        <f>City_Inputs!$AH96</f>
        <v/>
      </c>
    </row>
    <row r="97">
      <c r="A97" t="inlineStr">
        <is>
          <t>au-perth</t>
        </is>
      </c>
      <c r="B97" t="inlineStr">
        <is>
          <t>Perth</t>
        </is>
      </c>
      <c r="C97" t="inlineStr">
        <is>
          <t>Australia</t>
        </is>
      </c>
      <c r="D97" t="inlineStr">
        <is>
          <t>Oceania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IF((IF(G97="",0,9)+IF(I97="",0,5)+IF(K97="",0,4)+IF(M97="",0,4)+IF(O97="",0,3))=0,"",(IF(G97="",0,G97*9)+IF(I97="",0,I97*5)+IF(K97="",0,K97*4)+IF(M97="",0,M97*4)+IF(O97="",0,O97*3))/(IF(G97="",0,9)+IF(I97="",0,5)+IF(K97="",0,4)+IF(M97="",0,4)+IF(O97="",0,3)))</f>
        <v/>
      </c>
      <c r="R97" s="14">
        <f>IF((IF(H97="",0,9)+IF(J97="",0,5)+IF(L97="",0,4)+IF(N97="",0,4)+IF(P97="",0,3))=0,"",(IF(H97="",0,H97*9)+IF(J97="",0,J97*5)+IF(L97="",0,L97*4)+IF(N97="",0,N97*4)+IF(P97="",0,P97*3))/25)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5">
        <f>IF((IF(S97="",0,5)+IF(U97="",0,5)+IF(W97="",0,4)+IF(Y97="",0,4)+IF(AA97="",0,4))=0,"",(IF(S97="",0,S97*5)+IF(U97="",0,U97*5)+IF(W97="",0,W97*4)+IF(Y97="",0,Y97*4)+IF(AA97="",0,AA97*4))/(IF(S97="",0,5)+IF(U97="",0,5)+IF(W97="",0,4)+IF(Y97="",0,4)+IF(AA97="",0,4)))</f>
        <v/>
      </c>
      <c r="AD97" s="14">
        <f>IF((IF(T97="",0,5)+IF(V97="",0,5)+IF(X97="",0,4)+IF(Z97="",0,4)+IF(AB97="",0,4))=0,"",(IF(T97="",0,T97*5)+IF(V97="",0,V97*5)+IF(X97="",0,X97*4)+IF(Z97="",0,Z97*4)+IF(AB97="",0,AB97*4))/22)</f>
        <v/>
      </c>
      <c r="AE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F97" s="14">
        <f>IF(AE97="","",1)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(IF((IF(OR(City_Inputs!$Z97="",Norm_Stats!$F$14="",Norm_Stats!$G$14="",Norm_Stats!$G$14=Norm_Stats!$F$14),"",MAX(0,MIN(100,100*(MIN(MAX(City_Inputs!$Z97,Norm_Stats!$F$14),Norm_Stats!$G$14)-Norm_Stats!$F$14)/(Norm_Stats!$G$14-Norm_Stats!$F$14)))))="",0,0.7)+IF((IF(OR(City_Inputs!$AK97="",Norm_Stats!$F$15="",Norm_Stats!$G$15="",Norm_Stats!$G$15=Norm_Stats!$F$15),"",MAX(0,MIN(100,100*(Norm_Stats!$G$15-MIN(MAX(City_Inputs!$AK97,Norm_Stats!$F$15),Norm_Stats!$G$15))/(Norm_Stats!$G$15-Norm_Stats!$F$15)))))="",0,0.3))=0,"",(IF((IF(OR(City_Inputs!$Z97="",Norm_Stats!$F$14="",Norm_Stats!$G$14="",Norm_Stats!$G$14=Norm_Stats!$F$14),"",MAX(0,MIN(100,100*(MIN(MAX(City_Inputs!$Z97,Norm_Stats!$F$14),Norm_Stats!$G$14)-Norm_Stats!$F$14)/(Norm_Stats!$G$14-Norm_Stats!$F$14)))))="",0,(IF(OR(City_Inputs!$Z97="",Norm_Stats!$F$14="",Norm_Stats!$G$14="",Norm_Stats!$G$14=Norm_Stats!$F$14),"",MAX(0,MIN(100,100*(MIN(MAX(City_Inputs!$Z97,Norm_Stats!$F$14),Norm_Stats!$G$14)-Norm_Stats!$F$14)/(Norm_Stats!$G$14-Norm_Stats!$F$14)))))*0.7)+IF((IF(OR(City_Inputs!$AK97="",Norm_Stats!$F$15="",Norm_Stats!$G$15="",Norm_Stats!$G$15=Norm_Stats!$F$15),"",MAX(0,MIN(100,100*(Norm_Stats!$G$15-MIN(MAX(City_Inputs!$AK97,Norm_Stats!$F$15),Norm_Stats!$G$15))/(Norm_Stats!$G$15-Norm_Stats!$F$15)))))="",0,(IF(OR(City_Inputs!$AK97="",Norm_Stats!$F$15="",Norm_Stats!$G$15="",Norm_Stats!$G$15=Norm_Stats!$F$15),"",MAX(0,MIN(100,100*(Norm_Stats!$G$15-MIN(MAX(City_Inputs!$AK97,Norm_Stats!$F$15),Norm_Stats!$G$15))/(Norm_Stats!$G$15-Norm_Stats!$F$15)))))*0.3))/(IF((IF(OR(City_Inputs!$Z97="",Norm_Stats!$F$14="",Norm_Stats!$G$14="",Norm_Stats!$G$14=Norm_Stats!$F$14),"",MAX(0,MIN(100,100*(MIN(MAX(City_Inputs!$Z97,Norm_Stats!$F$14),Norm_Stats!$G$14)-Norm_Stats!$F$14)/(Norm_Stats!$G$14-Norm_Stats!$F$14)))))="",0,0.7)+IF((IF(OR(City_Inputs!$AK97="",Norm_Stats!$F$15="",Norm_Stats!$G$15="",Norm_Stats!$G$15=Norm_Stats!$F$15),"",MAX(0,MIN(100,100*(Norm_Stats!$G$15-MIN(MAX(City_Inputs!$AK97,Norm_Stats!$F$15),Norm_Stats!$G$15))/(Norm_Stats!$G$15-Norm_Stats!$F$15)))))="",0,0.3)))</f>
        <v/>
      </c>
      <c r="AJ97" s="14">
        <f>IF((IF((IF(OR(City_Inputs!$Z97="",Norm_Stats!$F$14="",Norm_Stats!$G$14="",Norm_Stats!$G$14=Norm_Stats!$F$14),"",MAX(0,MIN(100,100*(MIN(MAX(City_Inputs!$Z97,Norm_Stats!$F$14),Norm_Stats!$G$14)-Norm_Stats!$F$14)/(Norm_Stats!$G$14-Norm_Stats!$F$14)))))="",0,0.7)+IF((IF(OR(City_Inputs!$AK97="",Norm_Stats!$F$15="",Norm_Stats!$G$15="",Norm_Stats!$G$15=Norm_Stats!$F$15),"",MAX(0,MIN(100,100*(Norm_Stats!$G$15-MIN(MAX(City_Inputs!$AK97,Norm_Stats!$F$15),Norm_Stats!$G$15))/(Norm_Stats!$G$15-Norm_Stats!$F$15)))))="",0,0.3))=0,"",(IF((IF(OR(City_Inputs!$Z97="",Norm_Stats!$F$14="",Norm_Stats!$G$14="",Norm_Stats!$G$14=Norm_Stats!$F$14),"",MAX(0,MIN(100,100*(MIN(MAX(City_Inputs!$Z97,Norm_Stats!$F$14),Norm_Stats!$G$14)-Norm_Stats!$F$14)/(Norm_Stats!$G$14-Norm_Stats!$F$14)))))="",0,0.7)+IF((IF(OR(City_Inputs!$AK97="",Norm_Stats!$F$15="",Norm_Stats!$G$15="",Norm_Stats!$G$15=Norm_Stats!$F$15),"",MAX(0,MIN(100,100*(Norm_Stats!$G$15-MIN(MAX(City_Inputs!$AK97,Norm_Stats!$F$15),Norm_Stats!$G$15))/(Norm_Stats!$G$15-Norm_Stats!$F$15)))))="",0,0.3)))</f>
        <v/>
      </c>
      <c r="AK97" s="15">
        <f>IF((IF(AE97="",0,8)+IF(AG97="",0,6)+IF(AI97="",0,4))=0,"",(IF(AE97="",0,AE97*8)+IF(AG97="",0,AG97*6)+IF(AI97="",0,AI97*4))/(IF(AE97="",0,8)+IF(AG97="",0,6)+IF(AI97="",0,4)))</f>
        <v/>
      </c>
      <c r="AL97" s="14">
        <f>IF((IF(AF97="",0,8)+IF(AH97="",0,6)+IF(AJ97="",0,4))=0,"",(IF(AF97="",0,AF97*8)+IF(AH97="",0,AH97*6)+IF(AJ97="",0,AJ97*4))/18)</f>
        <v/>
      </c>
      <c r="AM97" s="11">
        <f>IF(OR(City_Inputs!$AA97="",Norm_Stats!$F$16="",Norm_Stats!$G$16="",Norm_Stats!$G$16=Norm_Stats!$F$16),"",MAX(0,MIN(100,100*(MIN(MAX(City_Inputs!$AA97,Norm_Stats!$F$16),Norm_Stats!$G$16)-Norm_Stats!$F$16)/(Norm_Stats!$G$16-Norm_Stats!$F$16))))</f>
        <v/>
      </c>
      <c r="AN97" s="14">
        <f>IF(AM97="","",1)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5">
        <f>IF((IF(AM97="",0,5)+IF(AO97="",0,5)+IF(AQ97="",0,5))=0,"",(IF(AM97="",0,AM97*5)+IF(AO97="",0,AO97*5)+IF(AQ97="",0,AQ97*5))/(IF(AM97="",0,5)+IF(AO97="",0,5)+IF(AQ97="",0,5)))</f>
        <v/>
      </c>
      <c r="AT97" s="14">
        <f>IF((IF(AN97="",0,5)+IF(AP97="",0,5)+IF(AR97="",0,5))=0,"",(IF(AN97="",0,AN97*5)+IF(AP97="",0,AP97*5)+IF(AR97="",0,AR97*5))/15)</f>
        <v/>
      </c>
      <c r="AU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V97" s="14">
        <f>IF(AU97="","",1)</f>
        <v/>
      </c>
      <c r="AW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X97" s="14">
        <f>IF(AW97="","",1)</f>
        <v/>
      </c>
      <c r="AY97" s="11">
        <f>IF((IF((IF(OR(City_Inputs!$AF97="",Norm_Stats!$F$21="",Norm_Stats!$G$21="",Norm_Stats!$G$21=Norm_Stats!$F$21),"",MAX(0,MIN(100,100*(MIN(MAX(City_Inputs!$AF97,Norm_Stats!$F$21),Norm_Stats!$G$21)-Norm_Stats!$F$21)/(Norm_Stats!$G$21-Norm_Stats!$F$21)))))="",0,0.5)+IF((IF(OR(City_Inputs!$AI97="",Norm_Stats!$F$22="",Norm_Stats!$G$22="",Norm_Stats!$G$22=Norm_Stats!$F$22),"",MAX(0,MIN(100,100*(MIN(MAX(City_Inputs!$AI97,Norm_Stats!$F$22),Norm_Stats!$G$22)-Norm_Stats!$F$22)/(Norm_Stats!$G$22-Norm_Stats!$F$22)))))="",0,0.3)+IF((IF(OR(City_Inputs!$AJ97="",Norm_Stats!$F$23="",Norm_Stats!$G$23="",Norm_Stats!$G$23=Norm_Stats!$F$23),"",MAX(0,MIN(100,100*(MIN(MAX(City_Inputs!$AJ97,Norm_Stats!$F$23),Norm_Stats!$G$23)-Norm_Stats!$F$23)/(Norm_Stats!$G$23-Norm_Stats!$F$23)))))="",0,0.2))=0,"",(IF((IF(OR(City_Inputs!$AF97="",Norm_Stats!$F$21="",Norm_Stats!$G$21="",Norm_Stats!$G$21=Norm_Stats!$F$21),"",MAX(0,MIN(100,100*(MIN(MAX(City_Inputs!$AF97,Norm_Stats!$F$21),Norm_Stats!$G$21)-Norm_Stats!$F$21)/(Norm_Stats!$G$21-Norm_Stats!$F$21)))))="",0,(IF(OR(City_Inputs!$AF97="",Norm_Stats!$F$21="",Norm_Stats!$G$21="",Norm_Stats!$G$21=Norm_Stats!$F$21),"",MAX(0,MIN(100,100*(MIN(MAX(City_Inputs!$AF97,Norm_Stats!$F$21),Norm_Stats!$G$21)-Norm_Stats!$F$21)/(Norm_Stats!$G$21-Norm_Stats!$F$21)))))*0.5)+IF((IF(OR(City_Inputs!$AI97="",Norm_Stats!$F$22="",Norm_Stats!$G$22="",Norm_Stats!$G$22=Norm_Stats!$F$22),"",MAX(0,MIN(100,100*(MIN(MAX(City_Inputs!$AI97,Norm_Stats!$F$22),Norm_Stats!$G$22)-Norm_Stats!$F$22)/(Norm_Stats!$G$22-Norm_Stats!$F$22)))))="",0,(IF(OR(City_Inputs!$AI97="",Norm_Stats!$F$22="",Norm_Stats!$G$22="",Norm_Stats!$G$22=Norm_Stats!$F$22),"",MAX(0,MIN(100,100*(MIN(MAX(City_Inputs!$AI97,Norm_Stats!$F$22),Norm_Stats!$G$22)-Norm_Stats!$F$22)/(Norm_Stats!$G$22-Norm_Stats!$F$22)))))*0.3)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0.2))/(IF((IF(OR(City_Inputs!$AF97="",Norm_Stats!$F$21="",Norm_Stats!$G$21="",Norm_Stats!$G$21=Norm_Stats!$F$21),"",MAX(0,MIN(100,100*(MIN(MAX(City_Inputs!$AF97,Norm_Stats!$F$21),Norm_Stats!$G$21)-Norm_Stats!$F$21)/(Norm_Stats!$G$21-Norm_Stats!$F$21)))))="",0,0.5)+IF((IF(OR(City_Inputs!$AI97="",Norm_Stats!$F$22="",Norm_Stats!$G$22="",Norm_Stats!$G$22=Norm_Stats!$F$22),"",MAX(0,MIN(100,100*(MIN(MAX(City_Inputs!$AI97,Norm_Stats!$F$22),Norm_Stats!$G$22)-Norm_Stats!$F$22)/(Norm_Stats!$G$22-Norm_Stats!$F$22)))))="",0,0.3)+IF((IF(OR(City_Inputs!$AJ97="",Norm_Stats!$F$23="",Norm_Stats!$G$23="",Norm_Stats!$G$23=Norm_Stats!$F$23),"",MAX(0,MIN(100,100*(MIN(MAX(City_Inputs!$AJ97,Norm_Stats!$F$23),Norm_Stats!$G$23)-Norm_Stats!$F$23)/(Norm_Stats!$G$23-Norm_Stats!$F$23)))))="",0,0.2)))</f>
        <v/>
      </c>
      <c r="AZ97" s="14">
        <f>IF((IF((IF(OR(City_Inputs!$AF97="",Norm_Stats!$F$21="",Norm_Stats!$G$21="",Norm_Stats!$G$21=Norm_Stats!$F$21),"",MAX(0,MIN(100,100*(MIN(MAX(City_Inputs!$AF97,Norm_Stats!$F$21),Norm_Stats!$G$21)-Norm_Stats!$F$21)/(Norm_Stats!$G$21-Norm_Stats!$F$21)))))="",0,0.5)+IF((IF(OR(City_Inputs!$AI97="",Norm_Stats!$F$22="",Norm_Stats!$G$22="",Norm_Stats!$G$22=Norm_Stats!$F$22),"",MAX(0,MIN(100,100*(MIN(MAX(City_Inputs!$AI97,Norm_Stats!$F$22),Norm_Stats!$G$22)-Norm_Stats!$F$22)/(Norm_Stats!$G$22-Norm_Stats!$F$22)))))="",0,0.3)+IF((IF(OR(City_Inputs!$AJ97="",Norm_Stats!$F$23="",Norm_Stats!$G$23="",Norm_Stats!$G$23=Norm_Stats!$F$23),"",MAX(0,MIN(100,100*(MIN(MAX(City_Inputs!$AJ97,Norm_Stats!$F$23),Norm_Stats!$G$23)-Norm_Stats!$F$23)/(Norm_Stats!$G$23-Norm_Stats!$F$23)))))="",0,0.2))=0,"",(IF((IF(OR(City_Inputs!$AF97="",Norm_Stats!$F$21="",Norm_Stats!$G$21="",Norm_Stats!$G$21=Norm_Stats!$F$21),"",MAX(0,MIN(100,100*(MIN(MAX(City_Inputs!$AF97,Norm_Stats!$F$21),Norm_Stats!$G$21)-Norm_Stats!$F$21)/(Norm_Stats!$G$21-Norm_Stats!$F$21)))))="",0,0.5)+IF((IF(OR(City_Inputs!$AI97="",Norm_Stats!$F$22="",Norm_Stats!$G$22="",Norm_Stats!$G$22=Norm_Stats!$F$22),"",MAX(0,MIN(100,100*(MIN(MAX(City_Inputs!$AI97,Norm_Stats!$F$22),Norm_Stats!$G$22)-Norm_Stats!$F$22)/(Norm_Stats!$G$22-Norm_Stats!$F$22)))))="",0,0.3)+IF((IF(OR(City_Inputs!$AJ97="",Norm_Stats!$F$23="",Norm_Stats!$G$23="",Norm_Stats!$G$23=Norm_Stats!$F$23),"",MAX(0,MIN(100,100*(MIN(MAX(City_Inputs!$AJ97,Norm_Stats!$F$23),Norm_Stats!$G$23)-Norm_Stats!$F$23)/(Norm_Stats!$G$23-Norm_Stats!$F$23)))))="",0,0.2)))</f>
        <v/>
      </c>
      <c r="BA97" s="11">
        <f>IF(OR(City_Inputs!$AG97="",Norm_Stats!$F$24="",Norm_Stats!$G$24="",Norm_Stats!$G$24=Norm_Stats!$F$24),"",MAX(0,MIN(100,100*(Norm_Stats!$G$24-MIN(MAX(City_Inputs!$AG97,Norm_Stats!$F$24),Norm_Stats!$G$24))/(Norm_Stats!$G$24-Norm_Stats!$F$24))))</f>
        <v/>
      </c>
      <c r="BB97" s="14">
        <f>IF(BA97="","",1)</f>
        <v/>
      </c>
      <c r="BC97" s="15">
        <f>IF((IF(AU97="",0,6)+IF(AW97="",0,5)+IF(AY97="",0,5)+IF(BA97="",0,4))=0,"",(IF(AU97="",0,AU97*6)+IF(AW97="",0,AW97*5)+IF(AY97="",0,AY97*5)+IF(BA97="",0,BA97*4))/(IF(AU97="",0,6)+IF(AW97="",0,5)+IF(AY97="",0,5)+IF(BA97="",0,4)))</f>
        <v/>
      </c>
      <c r="BD97" s="14">
        <f>IF((IF(AV97="",0,6)+IF(AX97="",0,5)+IF(AZ97="",0,5)+IF(BB97="",0,4))=0,"",(IF(AV97="",0,AV97*6)+IF(AX97="",0,AX97*5)+IF(AZ97="",0,AZ97*5)+IF(BB97="",0,BB97*4))/20)</f>
        <v/>
      </c>
      <c r="BE97" s="14">
        <f>IF(AND(R97="",AD97="",AL97="",AT97="",BD97=""),"",((R97*25)+(AD97*22)+(AL97*18)+(AT97*15)+(BD97*20))/100)</f>
        <v/>
      </c>
      <c r="BF97" s="11">
        <f>IF(BE97="","",IF(BE97&gt;=0.75,"A",IF(BE97&gt;=0.5,"B",IF(BE97&gt;=0.35,"C","Watchlist"))))</f>
        <v/>
      </c>
      <c r="BG97" s="11">
        <f>IF(OR(BE97="",BE97&lt;0.5,R97="",R97&lt;0.35,AD97="",AD97&lt;0.35,AL97="",AL97&lt;0.35,AT97="",AT97&lt;0.35,BD97="",BD97&lt;0.35),"Watchlist","Ranked")</f>
        <v/>
      </c>
      <c r="BH97" s="15">
        <f>IF(AND(Q97="",AC97="",AK97="",AS97="",BC97=""),"",(IF(Q97="",0,Q97*25)+IF(AC97="",0,AC97*22)+IF(AK97="",0,AK97*18)+IF(AS97="",0,AS97*15)+IF(BC97="",0,BC97*20))/(IF(Q97="",0,25)+IF(AC97="",0,22)+IF(AK97="",0,18)+IF(AS97="",0,15)+IF(BC97="",0,20)))</f>
        <v/>
      </c>
      <c r="BI97" s="11">
        <f>IF(BG97="Ranked",1+COUNTIFS($BG$2:$BG$101,"Ranked",$BH$2:$BH$101,"&gt;"&amp;BH97),"")</f>
        <v/>
      </c>
      <c r="BJ97" s="11">
        <f>City_Inputs!$AH97</f>
        <v/>
      </c>
    </row>
    <row r="98">
      <c r="A98" t="inlineStr">
        <is>
          <t>au-adelaide</t>
        </is>
      </c>
      <c r="B98" t="inlineStr">
        <is>
          <t>Adelaide</t>
        </is>
      </c>
      <c r="C98" t="inlineStr">
        <is>
          <t>Australia</t>
        </is>
      </c>
      <c r="D98" t="inlineStr">
        <is>
          <t>Oceania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IF((IF(G98="",0,9)+IF(I98="",0,5)+IF(K98="",0,4)+IF(M98="",0,4)+IF(O98="",0,3))=0,"",(IF(G98="",0,G98*9)+IF(I98="",0,I98*5)+IF(K98="",0,K98*4)+IF(M98="",0,M98*4)+IF(O98="",0,O98*3))/(IF(G98="",0,9)+IF(I98="",0,5)+IF(K98="",0,4)+IF(M98="",0,4)+IF(O98="",0,3)))</f>
        <v/>
      </c>
      <c r="R98" s="14">
        <f>IF((IF(H98="",0,9)+IF(J98="",0,5)+IF(L98="",0,4)+IF(N98="",0,4)+IF(P98="",0,3))=0,"",(IF(H98="",0,H98*9)+IF(J98="",0,J98*5)+IF(L98="",0,L98*4)+IF(N98="",0,N98*4)+IF(P98="",0,P98*3))/25)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5">
        <f>IF((IF(S98="",0,5)+IF(U98="",0,5)+IF(W98="",0,4)+IF(Y98="",0,4)+IF(AA98="",0,4))=0,"",(IF(S98="",0,S98*5)+IF(U98="",0,U98*5)+IF(W98="",0,W98*4)+IF(Y98="",0,Y98*4)+IF(AA98="",0,AA98*4))/(IF(S98="",0,5)+IF(U98="",0,5)+IF(W98="",0,4)+IF(Y98="",0,4)+IF(AA98="",0,4)))</f>
        <v/>
      </c>
      <c r="AD98" s="14">
        <f>IF((IF(T98="",0,5)+IF(V98="",0,5)+IF(X98="",0,4)+IF(Z98="",0,4)+IF(AB98="",0,4))=0,"",(IF(T98="",0,T98*5)+IF(V98="",0,V98*5)+IF(X98="",0,X98*4)+IF(Z98="",0,Z98*4)+IF(AB98="",0,AB98*4))/22)</f>
        <v/>
      </c>
      <c r="AE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F98" s="14">
        <f>IF(AE98="","",1)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(IF((IF(OR(City_Inputs!$Z98="",Norm_Stats!$F$14="",Norm_Stats!$G$14="",Norm_Stats!$G$14=Norm_Stats!$F$14),"",MAX(0,MIN(100,100*(MIN(MAX(City_Inputs!$Z98,Norm_Stats!$F$14),Norm_Stats!$G$14)-Norm_Stats!$F$14)/(Norm_Stats!$G$14-Norm_Stats!$F$14)))))="",0,0.7)+IF((IF(OR(City_Inputs!$AK98="",Norm_Stats!$F$15="",Norm_Stats!$G$15="",Norm_Stats!$G$15=Norm_Stats!$F$15),"",MAX(0,MIN(100,100*(Norm_Stats!$G$15-MIN(MAX(City_Inputs!$AK98,Norm_Stats!$F$15),Norm_Stats!$G$15))/(Norm_Stats!$G$15-Norm_Stats!$F$15)))))="",0,0.3))=0,"",(IF((IF(OR(City_Inputs!$Z98="",Norm_Stats!$F$14="",Norm_Stats!$G$14="",Norm_Stats!$G$14=Norm_Stats!$F$14),"",MAX(0,MIN(100,100*(MIN(MAX(City_Inputs!$Z98,Norm_Stats!$F$14),Norm_Stats!$G$14)-Norm_Stats!$F$14)/(Norm_Stats!$G$14-Norm_Stats!$F$14)))))="",0,(IF(OR(City_Inputs!$Z98="",Norm_Stats!$F$14="",Norm_Stats!$G$14="",Norm_Stats!$G$14=Norm_Stats!$F$14),"",MAX(0,MIN(100,100*(MIN(MAX(City_Inputs!$Z98,Norm_Stats!$F$14),Norm_Stats!$G$14)-Norm_Stats!$F$14)/(Norm_Stats!$G$14-Norm_Stats!$F$14)))))*0.7)+IF((IF(OR(City_Inputs!$AK98="",Norm_Stats!$F$15="",Norm_Stats!$G$15="",Norm_Stats!$G$15=Norm_Stats!$F$15),"",MAX(0,MIN(100,100*(Norm_Stats!$G$15-MIN(MAX(City_Inputs!$AK98,Norm_Stats!$F$15),Norm_Stats!$G$15))/(Norm_Stats!$G$15-Norm_Stats!$F$15)))))="",0,(IF(OR(City_Inputs!$AK98="",Norm_Stats!$F$15="",Norm_Stats!$G$15="",Norm_Stats!$G$15=Norm_Stats!$F$15),"",MAX(0,MIN(100,100*(Norm_Stats!$G$15-MIN(MAX(City_Inputs!$AK98,Norm_Stats!$F$15),Norm_Stats!$G$15))/(Norm_Stats!$G$15-Norm_Stats!$F$15)))))*0.3))/(IF((IF(OR(City_Inputs!$Z98="",Norm_Stats!$F$14="",Norm_Stats!$G$14="",Norm_Stats!$G$14=Norm_Stats!$F$14),"",MAX(0,MIN(100,100*(MIN(MAX(City_Inputs!$Z98,Norm_Stats!$F$14),Norm_Stats!$G$14)-Norm_Stats!$F$14)/(Norm_Stats!$G$14-Norm_Stats!$F$14)))))="",0,0.7)+IF((IF(OR(City_Inputs!$AK98="",Norm_Stats!$F$15="",Norm_Stats!$G$15="",Norm_Stats!$G$15=Norm_Stats!$F$15),"",MAX(0,MIN(100,100*(Norm_Stats!$G$15-MIN(MAX(City_Inputs!$AK98,Norm_Stats!$F$15),Norm_Stats!$G$15))/(Norm_Stats!$G$15-Norm_Stats!$F$15)))))="",0,0.3)))</f>
        <v/>
      </c>
      <c r="AJ98" s="14">
        <f>IF((IF((IF(OR(City_Inputs!$Z98="",Norm_Stats!$F$14="",Norm_Stats!$G$14="",Norm_Stats!$G$14=Norm_Stats!$F$14),"",MAX(0,MIN(100,100*(MIN(MAX(City_Inputs!$Z98,Norm_Stats!$F$14),Norm_Stats!$G$14)-Norm_Stats!$F$14)/(Norm_Stats!$G$14-Norm_Stats!$F$14)))))="",0,0.7)+IF((IF(OR(City_Inputs!$AK98="",Norm_Stats!$F$15="",Norm_Stats!$G$15="",Norm_Stats!$G$15=Norm_Stats!$F$15),"",MAX(0,MIN(100,100*(Norm_Stats!$G$15-MIN(MAX(City_Inputs!$AK98,Norm_Stats!$F$15),Norm_Stats!$G$15))/(Norm_Stats!$G$15-Norm_Stats!$F$15)))))="",0,0.3))=0,"",(IF((IF(OR(City_Inputs!$Z98="",Norm_Stats!$F$14="",Norm_Stats!$G$14="",Norm_Stats!$G$14=Norm_Stats!$F$14),"",MAX(0,MIN(100,100*(MIN(MAX(City_Inputs!$Z98,Norm_Stats!$F$14),Norm_Stats!$G$14)-Norm_Stats!$F$14)/(Norm_Stats!$G$14-Norm_Stats!$F$14)))))="",0,0.7)+IF((IF(OR(City_Inputs!$AK98="",Norm_Stats!$F$15="",Norm_Stats!$G$15="",Norm_Stats!$G$15=Norm_Stats!$F$15),"",MAX(0,MIN(100,100*(Norm_Stats!$G$15-MIN(MAX(City_Inputs!$AK98,Norm_Stats!$F$15),Norm_Stats!$G$15))/(Norm_Stats!$G$15-Norm_Stats!$F$15)))))="",0,0.3)))</f>
        <v/>
      </c>
      <c r="AK98" s="15">
        <f>IF((IF(AE98="",0,8)+IF(AG98="",0,6)+IF(AI98="",0,4))=0,"",(IF(AE98="",0,AE98*8)+IF(AG98="",0,AG98*6)+IF(AI98="",0,AI98*4))/(IF(AE98="",0,8)+IF(AG98="",0,6)+IF(AI98="",0,4)))</f>
        <v/>
      </c>
      <c r="AL98" s="14">
        <f>IF((IF(AF98="",0,8)+IF(AH98="",0,6)+IF(AJ98="",0,4))=0,"",(IF(AF98="",0,AF98*8)+IF(AH98="",0,AH98*6)+IF(AJ98="",0,AJ98*4))/18)</f>
        <v/>
      </c>
      <c r="AM98" s="11">
        <f>IF(OR(City_Inputs!$AA98="",Norm_Stats!$F$16="",Norm_Stats!$G$16="",Norm_Stats!$G$16=Norm_Stats!$F$16),"",MAX(0,MIN(100,100*(MIN(MAX(City_Inputs!$AA98,Norm_Stats!$F$16),Norm_Stats!$G$16)-Norm_Stats!$F$16)/(Norm_Stats!$G$16-Norm_Stats!$F$16))))</f>
        <v/>
      </c>
      <c r="AN98" s="14">
        <f>IF(AM98="","",1)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5">
        <f>IF((IF(AM98="",0,5)+IF(AO98="",0,5)+IF(AQ98="",0,5))=0,"",(IF(AM98="",0,AM98*5)+IF(AO98="",0,AO98*5)+IF(AQ98="",0,AQ98*5))/(IF(AM98="",0,5)+IF(AO98="",0,5)+IF(AQ98="",0,5)))</f>
        <v/>
      </c>
      <c r="AT98" s="14">
        <f>IF((IF(AN98="",0,5)+IF(AP98="",0,5)+IF(AR98="",0,5))=0,"",(IF(AN98="",0,AN98*5)+IF(AP98="",0,AP98*5)+IF(AR98="",0,AR98*5))/15)</f>
        <v/>
      </c>
      <c r="AU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V98" s="14">
        <f>IF(AU98="","",1)</f>
        <v/>
      </c>
      <c r="AW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X98" s="14">
        <f>IF(AW98="","",1)</f>
        <v/>
      </c>
      <c r="AY98" s="11">
        <f>IF((IF((IF(OR(City_Inputs!$AF98="",Norm_Stats!$F$21="",Norm_Stats!$G$21="",Norm_Stats!$G$21=Norm_Stats!$F$21),"",MAX(0,MIN(100,100*(MIN(MAX(City_Inputs!$AF98,Norm_Stats!$F$21),Norm_Stats!$G$21)-Norm_Stats!$F$21)/(Norm_Stats!$G$21-Norm_Stats!$F$21)))))="",0,0.5)+IF((IF(OR(City_Inputs!$AI98="",Norm_Stats!$F$22="",Norm_Stats!$G$22="",Norm_Stats!$G$22=Norm_Stats!$F$22),"",MAX(0,MIN(100,100*(MIN(MAX(City_Inputs!$AI98,Norm_Stats!$F$22),Norm_Stats!$G$22)-Norm_Stats!$F$22)/(Norm_Stats!$G$22-Norm_Stats!$F$22)))))="",0,0.3)+IF((IF(OR(City_Inputs!$AJ98="",Norm_Stats!$F$23="",Norm_Stats!$G$23="",Norm_Stats!$G$23=Norm_Stats!$F$23),"",MAX(0,MIN(100,100*(MIN(MAX(City_Inputs!$AJ98,Norm_Stats!$F$23),Norm_Stats!$G$23)-Norm_Stats!$F$23)/(Norm_Stats!$G$23-Norm_Stats!$F$23)))))="",0,0.2))=0,"",(IF((IF(OR(City_Inputs!$AF98="",Norm_Stats!$F$21="",Norm_Stats!$G$21="",Norm_Stats!$G$21=Norm_Stats!$F$21),"",MAX(0,MIN(100,100*(MIN(MAX(City_Inputs!$AF98,Norm_Stats!$F$21),Norm_Stats!$G$21)-Norm_Stats!$F$21)/(Norm_Stats!$G$21-Norm_Stats!$F$21)))))="",0,(IF(OR(City_Inputs!$AF98="",Norm_Stats!$F$21="",Norm_Stats!$G$21="",Norm_Stats!$G$21=Norm_Stats!$F$21),"",MAX(0,MIN(100,100*(MIN(MAX(City_Inputs!$AF98,Norm_Stats!$F$21),Norm_Stats!$G$21)-Norm_Stats!$F$21)/(Norm_Stats!$G$21-Norm_Stats!$F$21)))))*0.5)+IF((IF(OR(City_Inputs!$AI98="",Norm_Stats!$F$22="",Norm_Stats!$G$22="",Norm_Stats!$G$22=Norm_Stats!$F$22),"",MAX(0,MIN(100,100*(MIN(MAX(City_Inputs!$AI98,Norm_Stats!$F$22),Norm_Stats!$G$22)-Norm_Stats!$F$22)/(Norm_Stats!$G$22-Norm_Stats!$F$22)))))="",0,(IF(OR(City_Inputs!$AI98="",Norm_Stats!$F$22="",Norm_Stats!$G$22="",Norm_Stats!$G$22=Norm_Stats!$F$22),"",MAX(0,MIN(100,100*(MIN(MAX(City_Inputs!$AI98,Norm_Stats!$F$22),Norm_Stats!$G$22)-Norm_Stats!$F$22)/(Norm_Stats!$G$22-Norm_Stats!$F$22)))))*0.3)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0.2))/(IF((IF(OR(City_Inputs!$AF98="",Norm_Stats!$F$21="",Norm_Stats!$G$21="",Norm_Stats!$G$21=Norm_Stats!$F$21),"",MAX(0,MIN(100,100*(MIN(MAX(City_Inputs!$AF98,Norm_Stats!$F$21),Norm_Stats!$G$21)-Norm_Stats!$F$21)/(Norm_Stats!$G$21-Norm_Stats!$F$21)))))="",0,0.5)+IF((IF(OR(City_Inputs!$AI98="",Norm_Stats!$F$22="",Norm_Stats!$G$22="",Norm_Stats!$G$22=Norm_Stats!$F$22),"",MAX(0,MIN(100,100*(MIN(MAX(City_Inputs!$AI98,Norm_Stats!$F$22),Norm_Stats!$G$22)-Norm_Stats!$F$22)/(Norm_Stats!$G$22-Norm_Stats!$F$22)))))="",0,0.3)+IF((IF(OR(City_Inputs!$AJ98="",Norm_Stats!$F$23="",Norm_Stats!$G$23="",Norm_Stats!$G$23=Norm_Stats!$F$23),"",MAX(0,MIN(100,100*(MIN(MAX(City_Inputs!$AJ98,Norm_Stats!$F$23),Norm_Stats!$G$23)-Norm_Stats!$F$23)/(Norm_Stats!$G$23-Norm_Stats!$F$23)))))="",0,0.2)))</f>
        <v/>
      </c>
      <c r="AZ98" s="14">
        <f>IF((IF((IF(OR(City_Inputs!$AF98="",Norm_Stats!$F$21="",Norm_Stats!$G$21="",Norm_Stats!$G$21=Norm_Stats!$F$21),"",MAX(0,MIN(100,100*(MIN(MAX(City_Inputs!$AF98,Norm_Stats!$F$21),Norm_Stats!$G$21)-Norm_Stats!$F$21)/(Norm_Stats!$G$21-Norm_Stats!$F$21)))))="",0,0.5)+IF((IF(OR(City_Inputs!$AI98="",Norm_Stats!$F$22="",Norm_Stats!$G$22="",Norm_Stats!$G$22=Norm_Stats!$F$22),"",MAX(0,MIN(100,100*(MIN(MAX(City_Inputs!$AI98,Norm_Stats!$F$22),Norm_Stats!$G$22)-Norm_Stats!$F$22)/(Norm_Stats!$G$22-Norm_Stats!$F$22)))))="",0,0.3)+IF((IF(OR(City_Inputs!$AJ98="",Norm_Stats!$F$23="",Norm_Stats!$G$23="",Norm_Stats!$G$23=Norm_Stats!$F$23),"",MAX(0,MIN(100,100*(MIN(MAX(City_Inputs!$AJ98,Norm_Stats!$F$23),Norm_Stats!$G$23)-Norm_Stats!$F$23)/(Norm_Stats!$G$23-Norm_Stats!$F$23)))))="",0,0.2))=0,"",(IF((IF(OR(City_Inputs!$AF98="",Norm_Stats!$F$21="",Norm_Stats!$G$21="",Norm_Stats!$G$21=Norm_Stats!$F$21),"",MAX(0,MIN(100,100*(MIN(MAX(City_Inputs!$AF98,Norm_Stats!$F$21),Norm_Stats!$G$21)-Norm_Stats!$F$21)/(Norm_Stats!$G$21-Norm_Stats!$F$21)))))="",0,0.5)+IF((IF(OR(City_Inputs!$AI98="",Norm_Stats!$F$22="",Norm_Stats!$G$22="",Norm_Stats!$G$22=Norm_Stats!$F$22),"",MAX(0,MIN(100,100*(MIN(MAX(City_Inputs!$AI98,Norm_Stats!$F$22),Norm_Stats!$G$22)-Norm_Stats!$F$22)/(Norm_Stats!$G$22-Norm_Stats!$F$22)))))="",0,0.3)+IF((IF(OR(City_Inputs!$AJ98="",Norm_Stats!$F$23="",Norm_Stats!$G$23="",Norm_Stats!$G$23=Norm_Stats!$F$23),"",MAX(0,MIN(100,100*(MIN(MAX(City_Inputs!$AJ98,Norm_Stats!$F$23),Norm_Stats!$G$23)-Norm_Stats!$F$23)/(Norm_Stats!$G$23-Norm_Stats!$F$23)))))="",0,0.2)))</f>
        <v/>
      </c>
      <c r="BA98" s="11">
        <f>IF(OR(City_Inputs!$AG98="",Norm_Stats!$F$24="",Norm_Stats!$G$24="",Norm_Stats!$G$24=Norm_Stats!$F$24),"",MAX(0,MIN(100,100*(Norm_Stats!$G$24-MIN(MAX(City_Inputs!$AG98,Norm_Stats!$F$24),Norm_Stats!$G$24))/(Norm_Stats!$G$24-Norm_Stats!$F$24))))</f>
        <v/>
      </c>
      <c r="BB98" s="14">
        <f>IF(BA98="","",1)</f>
        <v/>
      </c>
      <c r="BC98" s="15">
        <f>IF((IF(AU98="",0,6)+IF(AW98="",0,5)+IF(AY98="",0,5)+IF(BA98="",0,4))=0,"",(IF(AU98="",0,AU98*6)+IF(AW98="",0,AW98*5)+IF(AY98="",0,AY98*5)+IF(BA98="",0,BA98*4))/(IF(AU98="",0,6)+IF(AW98="",0,5)+IF(AY98="",0,5)+IF(BA98="",0,4)))</f>
        <v/>
      </c>
      <c r="BD98" s="14">
        <f>IF((IF(AV98="",0,6)+IF(AX98="",0,5)+IF(AZ98="",0,5)+IF(BB98="",0,4))=0,"",(IF(AV98="",0,AV98*6)+IF(AX98="",0,AX98*5)+IF(AZ98="",0,AZ98*5)+IF(BB98="",0,BB98*4))/20)</f>
        <v/>
      </c>
      <c r="BE98" s="14">
        <f>IF(AND(R98="",AD98="",AL98="",AT98="",BD98=""),"",((R98*25)+(AD98*22)+(AL98*18)+(AT98*15)+(BD98*20))/100)</f>
        <v/>
      </c>
      <c r="BF98" s="11">
        <f>IF(BE98="","",IF(BE98&gt;=0.75,"A",IF(BE98&gt;=0.5,"B",IF(BE98&gt;=0.35,"C","Watchlist"))))</f>
        <v/>
      </c>
      <c r="BG98" s="11">
        <f>IF(OR(BE98="",BE98&lt;0.5,R98="",R98&lt;0.35,AD98="",AD98&lt;0.35,AL98="",AL98&lt;0.35,AT98="",AT98&lt;0.35,BD98="",BD98&lt;0.35),"Watchlist","Ranked")</f>
        <v/>
      </c>
      <c r="BH98" s="15">
        <f>IF(AND(Q98="",AC98="",AK98="",AS98="",BC98=""),"",(IF(Q98="",0,Q98*25)+IF(AC98="",0,AC98*22)+IF(AK98="",0,AK98*18)+IF(AS98="",0,AS98*15)+IF(BC98="",0,BC98*20))/(IF(Q98="",0,25)+IF(AC98="",0,22)+IF(AK98="",0,18)+IF(AS98="",0,15)+IF(BC98="",0,20)))</f>
        <v/>
      </c>
      <c r="BI98" s="11">
        <f>IF(BG98="Ranked",1+COUNTIFS($BG$2:$BG$101,"Ranked",$BH$2:$BH$101,"&gt;"&amp;BH98),"")</f>
        <v/>
      </c>
      <c r="BJ98" s="11">
        <f>City_Inputs!$AH98</f>
        <v/>
      </c>
    </row>
    <row r="99">
      <c r="A99" t="inlineStr">
        <is>
          <t>au-hobart</t>
        </is>
      </c>
      <c r="B99" t="inlineStr">
        <is>
          <t>Hobart</t>
        </is>
      </c>
      <c r="C99" t="inlineStr">
        <is>
          <t>Australia</t>
        </is>
      </c>
      <c r="D99" t="inlineStr">
        <is>
          <t>Oceania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IF((IF(G99="",0,9)+IF(I99="",0,5)+IF(K99="",0,4)+IF(M99="",0,4)+IF(O99="",0,3))=0,"",(IF(G99="",0,G99*9)+IF(I99="",0,I99*5)+IF(K99="",0,K99*4)+IF(M99="",0,M99*4)+IF(O99="",0,O99*3))/(IF(G99="",0,9)+IF(I99="",0,5)+IF(K99="",0,4)+IF(M99="",0,4)+IF(O99="",0,3)))</f>
        <v/>
      </c>
      <c r="R99" s="14">
        <f>IF((IF(H99="",0,9)+IF(J99="",0,5)+IF(L99="",0,4)+IF(N99="",0,4)+IF(P99="",0,3))=0,"",(IF(H99="",0,H99*9)+IF(J99="",0,J99*5)+IF(L99="",0,L99*4)+IF(N99="",0,N99*4)+IF(P99="",0,P99*3))/25)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5">
        <f>IF((IF(S99="",0,5)+IF(U99="",0,5)+IF(W99="",0,4)+IF(Y99="",0,4)+IF(AA99="",0,4))=0,"",(IF(S99="",0,S99*5)+IF(U99="",0,U99*5)+IF(W99="",0,W99*4)+IF(Y99="",0,Y99*4)+IF(AA99="",0,AA99*4))/(IF(S99="",0,5)+IF(U99="",0,5)+IF(W99="",0,4)+IF(Y99="",0,4)+IF(AA99="",0,4)))</f>
        <v/>
      </c>
      <c r="AD99" s="14">
        <f>IF((IF(T99="",0,5)+IF(V99="",0,5)+IF(X99="",0,4)+IF(Z99="",0,4)+IF(AB99="",0,4))=0,"",(IF(T99="",0,T99*5)+IF(V99="",0,V99*5)+IF(X99="",0,X99*4)+IF(Z99="",0,Z99*4)+IF(AB99="",0,AB99*4))/22)</f>
        <v/>
      </c>
      <c r="AE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F99" s="14">
        <f>IF(AE99="","",1)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(IF((IF(OR(City_Inputs!$Z99="",Norm_Stats!$F$14="",Norm_Stats!$G$14="",Norm_Stats!$G$14=Norm_Stats!$F$14),"",MAX(0,MIN(100,100*(MIN(MAX(City_Inputs!$Z99,Norm_Stats!$F$14),Norm_Stats!$G$14)-Norm_Stats!$F$14)/(Norm_Stats!$G$14-Norm_Stats!$F$14)))))="",0,0.7)+IF((IF(OR(City_Inputs!$AK99="",Norm_Stats!$F$15="",Norm_Stats!$G$15="",Norm_Stats!$G$15=Norm_Stats!$F$15),"",MAX(0,MIN(100,100*(Norm_Stats!$G$15-MIN(MAX(City_Inputs!$AK99,Norm_Stats!$F$15),Norm_Stats!$G$15))/(Norm_Stats!$G$15-Norm_Stats!$F$15)))))="",0,0.3))=0,"",(IF((IF(OR(City_Inputs!$Z99="",Norm_Stats!$F$14="",Norm_Stats!$G$14="",Norm_Stats!$G$14=Norm_Stats!$F$14),"",MAX(0,MIN(100,100*(MIN(MAX(City_Inputs!$Z99,Norm_Stats!$F$14),Norm_Stats!$G$14)-Norm_Stats!$F$14)/(Norm_Stats!$G$14-Norm_Stats!$F$14)))))="",0,(IF(OR(City_Inputs!$Z99="",Norm_Stats!$F$14="",Norm_Stats!$G$14="",Norm_Stats!$G$14=Norm_Stats!$F$14),"",MAX(0,MIN(100,100*(MIN(MAX(City_Inputs!$Z99,Norm_Stats!$F$14),Norm_Stats!$G$14)-Norm_Stats!$F$14)/(Norm_Stats!$G$14-Norm_Stats!$F$14)))))*0.7)+IF((IF(OR(City_Inputs!$AK99="",Norm_Stats!$F$15="",Norm_Stats!$G$15="",Norm_Stats!$G$15=Norm_Stats!$F$15),"",MAX(0,MIN(100,100*(Norm_Stats!$G$15-MIN(MAX(City_Inputs!$AK99,Norm_Stats!$F$15),Norm_Stats!$G$15))/(Norm_Stats!$G$15-Norm_Stats!$F$15)))))="",0,(IF(OR(City_Inputs!$AK99="",Norm_Stats!$F$15="",Norm_Stats!$G$15="",Norm_Stats!$G$15=Norm_Stats!$F$15),"",MAX(0,MIN(100,100*(Norm_Stats!$G$15-MIN(MAX(City_Inputs!$AK99,Norm_Stats!$F$15),Norm_Stats!$G$15))/(Norm_Stats!$G$15-Norm_Stats!$F$15)))))*0.3))/(IF((IF(OR(City_Inputs!$Z99="",Norm_Stats!$F$14="",Norm_Stats!$G$14="",Norm_Stats!$G$14=Norm_Stats!$F$14),"",MAX(0,MIN(100,100*(MIN(MAX(City_Inputs!$Z99,Norm_Stats!$F$14),Norm_Stats!$G$14)-Norm_Stats!$F$14)/(Norm_Stats!$G$14-Norm_Stats!$F$14)))))="",0,0.7)+IF((IF(OR(City_Inputs!$AK99="",Norm_Stats!$F$15="",Norm_Stats!$G$15="",Norm_Stats!$G$15=Norm_Stats!$F$15),"",MAX(0,MIN(100,100*(Norm_Stats!$G$15-MIN(MAX(City_Inputs!$AK99,Norm_Stats!$F$15),Norm_Stats!$G$15))/(Norm_Stats!$G$15-Norm_Stats!$F$15)))))="",0,0.3)))</f>
        <v/>
      </c>
      <c r="AJ99" s="14">
        <f>IF((IF((IF(OR(City_Inputs!$Z99="",Norm_Stats!$F$14="",Norm_Stats!$G$14="",Norm_Stats!$G$14=Norm_Stats!$F$14),"",MAX(0,MIN(100,100*(MIN(MAX(City_Inputs!$Z99,Norm_Stats!$F$14),Norm_Stats!$G$14)-Norm_Stats!$F$14)/(Norm_Stats!$G$14-Norm_Stats!$F$14)))))="",0,0.7)+IF((IF(OR(City_Inputs!$AK99="",Norm_Stats!$F$15="",Norm_Stats!$G$15="",Norm_Stats!$G$15=Norm_Stats!$F$15),"",MAX(0,MIN(100,100*(Norm_Stats!$G$15-MIN(MAX(City_Inputs!$AK99,Norm_Stats!$F$15),Norm_Stats!$G$15))/(Norm_Stats!$G$15-Norm_Stats!$F$15)))))="",0,0.3))=0,"",(IF((IF(OR(City_Inputs!$Z99="",Norm_Stats!$F$14="",Norm_Stats!$G$14="",Norm_Stats!$G$14=Norm_Stats!$F$14),"",MAX(0,MIN(100,100*(MIN(MAX(City_Inputs!$Z99,Norm_Stats!$F$14),Norm_Stats!$G$14)-Norm_Stats!$F$14)/(Norm_Stats!$G$14-Norm_Stats!$F$14)))))="",0,0.7)+IF((IF(OR(City_Inputs!$AK99="",Norm_Stats!$F$15="",Norm_Stats!$G$15="",Norm_Stats!$G$15=Norm_Stats!$F$15),"",MAX(0,MIN(100,100*(Norm_Stats!$G$15-MIN(MAX(City_Inputs!$AK99,Norm_Stats!$F$15),Norm_Stats!$G$15))/(Norm_Stats!$G$15-Norm_Stats!$F$15)))))="",0,0.3)))</f>
        <v/>
      </c>
      <c r="AK99" s="15">
        <f>IF((IF(AE99="",0,8)+IF(AG99="",0,6)+IF(AI99="",0,4))=0,"",(IF(AE99="",0,AE99*8)+IF(AG99="",0,AG99*6)+IF(AI99="",0,AI99*4))/(IF(AE99="",0,8)+IF(AG99="",0,6)+IF(AI99="",0,4)))</f>
        <v/>
      </c>
      <c r="AL99" s="14">
        <f>IF((IF(AF99="",0,8)+IF(AH99="",0,6)+IF(AJ99="",0,4))=0,"",(IF(AF99="",0,AF99*8)+IF(AH99="",0,AH99*6)+IF(AJ99="",0,AJ99*4))/18)</f>
        <v/>
      </c>
      <c r="AM99" s="11">
        <f>IF(OR(City_Inputs!$AA99="",Norm_Stats!$F$16="",Norm_Stats!$G$16="",Norm_Stats!$G$16=Norm_Stats!$F$16),"",MAX(0,MIN(100,100*(MIN(MAX(City_Inputs!$AA99,Norm_Stats!$F$16),Norm_Stats!$G$16)-Norm_Stats!$F$16)/(Norm_Stats!$G$16-Norm_Stats!$F$16))))</f>
        <v/>
      </c>
      <c r="AN99" s="14">
        <f>IF(AM99="","",1)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5">
        <f>IF((IF(AM99="",0,5)+IF(AO99="",0,5)+IF(AQ99="",0,5))=0,"",(IF(AM99="",0,AM99*5)+IF(AO99="",0,AO99*5)+IF(AQ99="",0,AQ99*5))/(IF(AM99="",0,5)+IF(AO99="",0,5)+IF(AQ99="",0,5)))</f>
        <v/>
      </c>
      <c r="AT99" s="14">
        <f>IF((IF(AN99="",0,5)+IF(AP99="",0,5)+IF(AR99="",0,5))=0,"",(IF(AN99="",0,AN99*5)+IF(AP99="",0,AP99*5)+IF(AR99="",0,AR99*5))/15)</f>
        <v/>
      </c>
      <c r="AU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V99" s="14">
        <f>IF(AU99="","",1)</f>
        <v/>
      </c>
      <c r="AW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X99" s="14">
        <f>IF(AW99="","",1)</f>
        <v/>
      </c>
      <c r="AY99" s="11">
        <f>IF((IF((IF(OR(City_Inputs!$AF99="",Norm_Stats!$F$21="",Norm_Stats!$G$21="",Norm_Stats!$G$21=Norm_Stats!$F$21),"",MAX(0,MIN(100,100*(MIN(MAX(City_Inputs!$AF99,Norm_Stats!$F$21),Norm_Stats!$G$21)-Norm_Stats!$F$21)/(Norm_Stats!$G$21-Norm_Stats!$F$21)))))="",0,0.5)+IF((IF(OR(City_Inputs!$AI99="",Norm_Stats!$F$22="",Norm_Stats!$G$22="",Norm_Stats!$G$22=Norm_Stats!$F$22),"",MAX(0,MIN(100,100*(MIN(MAX(City_Inputs!$AI99,Norm_Stats!$F$22),Norm_Stats!$G$22)-Norm_Stats!$F$22)/(Norm_Stats!$G$22-Norm_Stats!$F$22)))))="",0,0.3)+IF((IF(OR(City_Inputs!$AJ99="",Norm_Stats!$F$23="",Norm_Stats!$G$23="",Norm_Stats!$G$23=Norm_Stats!$F$23),"",MAX(0,MIN(100,100*(MIN(MAX(City_Inputs!$AJ99,Norm_Stats!$F$23),Norm_Stats!$G$23)-Norm_Stats!$F$23)/(Norm_Stats!$G$23-Norm_Stats!$F$23)))))="",0,0.2))=0,"",(IF((IF(OR(City_Inputs!$AF99="",Norm_Stats!$F$21="",Norm_Stats!$G$21="",Norm_Stats!$G$21=Norm_Stats!$F$21),"",MAX(0,MIN(100,100*(MIN(MAX(City_Inputs!$AF99,Norm_Stats!$F$21),Norm_Stats!$G$21)-Norm_Stats!$F$21)/(Norm_Stats!$G$21-Norm_Stats!$F$21)))))="",0,(IF(OR(City_Inputs!$AF99="",Norm_Stats!$F$21="",Norm_Stats!$G$21="",Norm_Stats!$G$21=Norm_Stats!$F$21),"",MAX(0,MIN(100,100*(MIN(MAX(City_Inputs!$AF99,Norm_Stats!$F$21),Norm_Stats!$G$21)-Norm_Stats!$F$21)/(Norm_Stats!$G$21-Norm_Stats!$F$21)))))*0.5)+IF((IF(OR(City_Inputs!$AI99="",Norm_Stats!$F$22="",Norm_Stats!$G$22="",Norm_Stats!$G$22=Norm_Stats!$F$22),"",MAX(0,MIN(100,100*(MIN(MAX(City_Inputs!$AI99,Norm_Stats!$F$22),Norm_Stats!$G$22)-Norm_Stats!$F$22)/(Norm_Stats!$G$22-Norm_Stats!$F$22)))))="",0,(IF(OR(City_Inputs!$AI99="",Norm_Stats!$F$22="",Norm_Stats!$G$22="",Norm_Stats!$G$22=Norm_Stats!$F$22),"",MAX(0,MIN(100,100*(MIN(MAX(City_Inputs!$AI99,Norm_Stats!$F$22),Norm_Stats!$G$22)-Norm_Stats!$F$22)/(Norm_Stats!$G$22-Norm_Stats!$F$22)))))*0.3)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0.2))/(IF((IF(OR(City_Inputs!$AF99="",Norm_Stats!$F$21="",Norm_Stats!$G$21="",Norm_Stats!$G$21=Norm_Stats!$F$21),"",MAX(0,MIN(100,100*(MIN(MAX(City_Inputs!$AF99,Norm_Stats!$F$21),Norm_Stats!$G$21)-Norm_Stats!$F$21)/(Norm_Stats!$G$21-Norm_Stats!$F$21)))))="",0,0.5)+IF((IF(OR(City_Inputs!$AI99="",Norm_Stats!$F$22="",Norm_Stats!$G$22="",Norm_Stats!$G$22=Norm_Stats!$F$22),"",MAX(0,MIN(100,100*(MIN(MAX(City_Inputs!$AI99,Norm_Stats!$F$22),Norm_Stats!$G$22)-Norm_Stats!$F$22)/(Norm_Stats!$G$22-Norm_Stats!$F$22)))))="",0,0.3)+IF((IF(OR(City_Inputs!$AJ99="",Norm_Stats!$F$23="",Norm_Stats!$G$23="",Norm_Stats!$G$23=Norm_Stats!$F$23),"",MAX(0,MIN(100,100*(MIN(MAX(City_Inputs!$AJ99,Norm_Stats!$F$23),Norm_Stats!$G$23)-Norm_Stats!$F$23)/(Norm_Stats!$G$23-Norm_Stats!$F$23)))))="",0,0.2)))</f>
        <v/>
      </c>
      <c r="AZ99" s="14">
        <f>IF((IF((IF(OR(City_Inputs!$AF99="",Norm_Stats!$F$21="",Norm_Stats!$G$21="",Norm_Stats!$G$21=Norm_Stats!$F$21),"",MAX(0,MIN(100,100*(MIN(MAX(City_Inputs!$AF99,Norm_Stats!$F$21),Norm_Stats!$G$21)-Norm_Stats!$F$21)/(Norm_Stats!$G$21-Norm_Stats!$F$21)))))="",0,0.5)+IF((IF(OR(City_Inputs!$AI99="",Norm_Stats!$F$22="",Norm_Stats!$G$22="",Norm_Stats!$G$22=Norm_Stats!$F$22),"",MAX(0,MIN(100,100*(MIN(MAX(City_Inputs!$AI99,Norm_Stats!$F$22),Norm_Stats!$G$22)-Norm_Stats!$F$22)/(Norm_Stats!$G$22-Norm_Stats!$F$22)))))="",0,0.3)+IF((IF(OR(City_Inputs!$AJ99="",Norm_Stats!$F$23="",Norm_Stats!$G$23="",Norm_Stats!$G$23=Norm_Stats!$F$23),"",MAX(0,MIN(100,100*(MIN(MAX(City_Inputs!$AJ99,Norm_Stats!$F$23),Norm_Stats!$G$23)-Norm_Stats!$F$23)/(Norm_Stats!$G$23-Norm_Stats!$F$23)))))="",0,0.2))=0,"",(IF((IF(OR(City_Inputs!$AF99="",Norm_Stats!$F$21="",Norm_Stats!$G$21="",Norm_Stats!$G$21=Norm_Stats!$F$21),"",MAX(0,MIN(100,100*(MIN(MAX(City_Inputs!$AF99,Norm_Stats!$F$21),Norm_Stats!$G$21)-Norm_Stats!$F$21)/(Norm_Stats!$G$21-Norm_Stats!$F$21)))))="",0,0.5)+IF((IF(OR(City_Inputs!$AI99="",Norm_Stats!$F$22="",Norm_Stats!$G$22="",Norm_Stats!$G$22=Norm_Stats!$F$22),"",MAX(0,MIN(100,100*(MIN(MAX(City_Inputs!$AI99,Norm_Stats!$F$22),Norm_Stats!$G$22)-Norm_Stats!$F$22)/(Norm_Stats!$G$22-Norm_Stats!$F$22)))))="",0,0.3)+IF((IF(OR(City_Inputs!$AJ99="",Norm_Stats!$F$23="",Norm_Stats!$G$23="",Norm_Stats!$G$23=Norm_Stats!$F$23),"",MAX(0,MIN(100,100*(MIN(MAX(City_Inputs!$AJ99,Norm_Stats!$F$23),Norm_Stats!$G$23)-Norm_Stats!$F$23)/(Norm_Stats!$G$23-Norm_Stats!$F$23)))))="",0,0.2)))</f>
        <v/>
      </c>
      <c r="BA99" s="11">
        <f>IF(OR(City_Inputs!$AG99="",Norm_Stats!$F$24="",Norm_Stats!$G$24="",Norm_Stats!$G$24=Norm_Stats!$F$24),"",MAX(0,MIN(100,100*(Norm_Stats!$G$24-MIN(MAX(City_Inputs!$AG99,Norm_Stats!$F$24),Norm_Stats!$G$24))/(Norm_Stats!$G$24-Norm_Stats!$F$24))))</f>
        <v/>
      </c>
      <c r="BB99" s="14">
        <f>IF(BA99="","",1)</f>
        <v/>
      </c>
      <c r="BC99" s="15">
        <f>IF((IF(AU99="",0,6)+IF(AW99="",0,5)+IF(AY99="",0,5)+IF(BA99="",0,4))=0,"",(IF(AU99="",0,AU99*6)+IF(AW99="",0,AW99*5)+IF(AY99="",0,AY99*5)+IF(BA99="",0,BA99*4))/(IF(AU99="",0,6)+IF(AW99="",0,5)+IF(AY99="",0,5)+IF(BA99="",0,4)))</f>
        <v/>
      </c>
      <c r="BD99" s="14">
        <f>IF((IF(AV99="",0,6)+IF(AX99="",0,5)+IF(AZ99="",0,5)+IF(BB99="",0,4))=0,"",(IF(AV99="",0,AV99*6)+IF(AX99="",0,AX99*5)+IF(AZ99="",0,AZ99*5)+IF(BB99="",0,BB99*4))/20)</f>
        <v/>
      </c>
      <c r="BE99" s="14">
        <f>IF(AND(R99="",AD99="",AL99="",AT99="",BD99=""),"",((R99*25)+(AD99*22)+(AL99*18)+(AT99*15)+(BD99*20))/100)</f>
        <v/>
      </c>
      <c r="BF99" s="11">
        <f>IF(BE99="","",IF(BE99&gt;=0.75,"A",IF(BE99&gt;=0.5,"B",IF(BE99&gt;=0.35,"C","Watchlist"))))</f>
        <v/>
      </c>
      <c r="BG99" s="11">
        <f>IF(OR(BE99="",BE99&lt;0.5,R99="",R99&lt;0.35,AD99="",AD99&lt;0.35,AL99="",AL99&lt;0.35,AT99="",AT99&lt;0.35,BD99="",BD99&lt;0.35),"Watchlist","Ranked")</f>
        <v/>
      </c>
      <c r="BH99" s="15">
        <f>IF(AND(Q99="",AC99="",AK99="",AS99="",BC99=""),"",(IF(Q99="",0,Q99*25)+IF(AC99="",0,AC99*22)+IF(AK99="",0,AK99*18)+IF(AS99="",0,AS99*15)+IF(BC99="",0,BC99*20))/(IF(Q99="",0,25)+IF(AC99="",0,22)+IF(AK99="",0,18)+IF(AS99="",0,15)+IF(BC99="",0,20)))</f>
        <v/>
      </c>
      <c r="BI99" s="11">
        <f>IF(BG99="Ranked",1+COUNTIFS($BG$2:$BG$101,"Ranked",$BH$2:$BH$101,"&gt;"&amp;BH99),"")</f>
        <v/>
      </c>
      <c r="BJ99" s="11">
        <f>City_Inputs!$AH99</f>
        <v/>
      </c>
    </row>
    <row r="100">
      <c r="A100" t="inlineStr">
        <is>
          <t>nz-christchurch</t>
        </is>
      </c>
      <c r="B100" t="inlineStr">
        <is>
          <t>Christchurch</t>
        </is>
      </c>
      <c r="C100" t="inlineStr">
        <is>
          <t>New Zealand</t>
        </is>
      </c>
      <c r="D100" t="inlineStr">
        <is>
          <t>Oceania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IF((IF(G100="",0,9)+IF(I100="",0,5)+IF(K100="",0,4)+IF(M100="",0,4)+IF(O100="",0,3))=0,"",(IF(G100="",0,G100*9)+IF(I100="",0,I100*5)+IF(K100="",0,K100*4)+IF(M100="",0,M100*4)+IF(O100="",0,O100*3))/(IF(G100="",0,9)+IF(I100="",0,5)+IF(K100="",0,4)+IF(M100="",0,4)+IF(O100="",0,3)))</f>
        <v/>
      </c>
      <c r="R100" s="14">
        <f>IF((IF(H100="",0,9)+IF(J100="",0,5)+IF(L100="",0,4)+IF(N100="",0,4)+IF(P100="",0,3))=0,"",(IF(H100="",0,H100*9)+IF(J100="",0,J100*5)+IF(L100="",0,L100*4)+IF(N100="",0,N100*4)+IF(P100="",0,P100*3))/25)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5">
        <f>IF((IF(S100="",0,5)+IF(U100="",0,5)+IF(W100="",0,4)+IF(Y100="",0,4)+IF(AA100="",0,4))=0,"",(IF(S100="",0,S100*5)+IF(U100="",0,U100*5)+IF(W100="",0,W100*4)+IF(Y100="",0,Y100*4)+IF(AA100="",0,AA100*4))/(IF(S100="",0,5)+IF(U100="",0,5)+IF(W100="",0,4)+IF(Y100="",0,4)+IF(AA100="",0,4)))</f>
        <v/>
      </c>
      <c r="AD100" s="14">
        <f>IF((IF(T100="",0,5)+IF(V100="",0,5)+IF(X100="",0,4)+IF(Z100="",0,4)+IF(AB100="",0,4))=0,"",(IF(T100="",0,T100*5)+IF(V100="",0,V100*5)+IF(X100="",0,X100*4)+IF(Z100="",0,Z100*4)+IF(AB100="",0,AB100*4))/22)</f>
        <v/>
      </c>
      <c r="AE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F100" s="14">
        <f>IF(AE100="","",1)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(IF((IF(OR(City_Inputs!$Z100="",Norm_Stats!$F$14="",Norm_Stats!$G$14="",Norm_Stats!$G$14=Norm_Stats!$F$14),"",MAX(0,MIN(100,100*(MIN(MAX(City_Inputs!$Z100,Norm_Stats!$F$14),Norm_Stats!$G$14)-Norm_Stats!$F$14)/(Norm_Stats!$G$14-Norm_Stats!$F$14)))))="",0,0.7)+IF((IF(OR(City_Inputs!$AK100="",Norm_Stats!$F$15="",Norm_Stats!$G$15="",Norm_Stats!$G$15=Norm_Stats!$F$15),"",MAX(0,MIN(100,100*(Norm_Stats!$G$15-MIN(MAX(City_Inputs!$AK100,Norm_Stats!$F$15),Norm_Stats!$G$15))/(Norm_Stats!$G$15-Norm_Stats!$F$15)))))="",0,0.3))=0,"",(IF((IF(OR(City_Inputs!$Z100="",Norm_Stats!$F$14="",Norm_Stats!$G$14="",Norm_Stats!$G$14=Norm_Stats!$F$14),"",MAX(0,MIN(100,100*(MIN(MAX(City_Inputs!$Z100,Norm_Stats!$F$14),Norm_Stats!$G$14)-Norm_Stats!$F$14)/(Norm_Stats!$G$14-Norm_Stats!$F$14)))))="",0,(IF(OR(City_Inputs!$Z100="",Norm_Stats!$F$14="",Norm_Stats!$G$14="",Norm_Stats!$G$14=Norm_Stats!$F$14),"",MAX(0,MIN(100,100*(MIN(MAX(City_Inputs!$Z100,Norm_Stats!$F$14),Norm_Stats!$G$14)-Norm_Stats!$F$14)/(Norm_Stats!$G$14-Norm_Stats!$F$14)))))*0.7)+IF((IF(OR(City_Inputs!$AK100="",Norm_Stats!$F$15="",Norm_Stats!$G$15="",Norm_Stats!$G$15=Norm_Stats!$F$15),"",MAX(0,MIN(100,100*(Norm_Stats!$G$15-MIN(MAX(City_Inputs!$AK100,Norm_Stats!$F$15),Norm_Stats!$G$15))/(Norm_Stats!$G$15-Norm_Stats!$F$15)))))="",0,(IF(OR(City_Inputs!$AK100="",Norm_Stats!$F$15="",Norm_Stats!$G$15="",Norm_Stats!$G$15=Norm_Stats!$F$15),"",MAX(0,MIN(100,100*(Norm_Stats!$G$15-MIN(MAX(City_Inputs!$AK100,Norm_Stats!$F$15),Norm_Stats!$G$15))/(Norm_Stats!$G$15-Norm_Stats!$F$15)))))*0.3))/(IF((IF(OR(City_Inputs!$Z100="",Norm_Stats!$F$14="",Norm_Stats!$G$14="",Norm_Stats!$G$14=Norm_Stats!$F$14),"",MAX(0,MIN(100,100*(MIN(MAX(City_Inputs!$Z100,Norm_Stats!$F$14),Norm_Stats!$G$14)-Norm_Stats!$F$14)/(Norm_Stats!$G$14-Norm_Stats!$F$14)))))="",0,0.7)+IF((IF(OR(City_Inputs!$AK100="",Norm_Stats!$F$15="",Norm_Stats!$G$15="",Norm_Stats!$G$15=Norm_Stats!$F$15),"",MAX(0,MIN(100,100*(Norm_Stats!$G$15-MIN(MAX(City_Inputs!$AK100,Norm_Stats!$F$15),Norm_Stats!$G$15))/(Norm_Stats!$G$15-Norm_Stats!$F$15)))))="",0,0.3)))</f>
        <v/>
      </c>
      <c r="AJ100" s="14">
        <f>IF((IF((IF(OR(City_Inputs!$Z100="",Norm_Stats!$F$14="",Norm_Stats!$G$14="",Norm_Stats!$G$14=Norm_Stats!$F$14),"",MAX(0,MIN(100,100*(MIN(MAX(City_Inputs!$Z100,Norm_Stats!$F$14),Norm_Stats!$G$14)-Norm_Stats!$F$14)/(Norm_Stats!$G$14-Norm_Stats!$F$14)))))="",0,0.7)+IF((IF(OR(City_Inputs!$AK100="",Norm_Stats!$F$15="",Norm_Stats!$G$15="",Norm_Stats!$G$15=Norm_Stats!$F$15),"",MAX(0,MIN(100,100*(Norm_Stats!$G$15-MIN(MAX(City_Inputs!$AK100,Norm_Stats!$F$15),Norm_Stats!$G$15))/(Norm_Stats!$G$15-Norm_Stats!$F$15)))))="",0,0.3))=0,"",(IF((IF(OR(City_Inputs!$Z100="",Norm_Stats!$F$14="",Norm_Stats!$G$14="",Norm_Stats!$G$14=Norm_Stats!$F$14),"",MAX(0,MIN(100,100*(MIN(MAX(City_Inputs!$Z100,Norm_Stats!$F$14),Norm_Stats!$G$14)-Norm_Stats!$F$14)/(Norm_Stats!$G$14-Norm_Stats!$F$14)))))="",0,0.7)+IF((IF(OR(City_Inputs!$AK100="",Norm_Stats!$F$15="",Norm_Stats!$G$15="",Norm_Stats!$G$15=Norm_Stats!$F$15),"",MAX(0,MIN(100,100*(Norm_Stats!$G$15-MIN(MAX(City_Inputs!$AK100,Norm_Stats!$F$15),Norm_Stats!$G$15))/(Norm_Stats!$G$15-Norm_Stats!$F$15)))))="",0,0.3)))</f>
        <v/>
      </c>
      <c r="AK100" s="15">
        <f>IF((IF(AE100="",0,8)+IF(AG100="",0,6)+IF(AI100="",0,4))=0,"",(IF(AE100="",0,AE100*8)+IF(AG100="",0,AG100*6)+IF(AI100="",0,AI100*4))/(IF(AE100="",0,8)+IF(AG100="",0,6)+IF(AI100="",0,4)))</f>
        <v/>
      </c>
      <c r="AL100" s="14">
        <f>IF((IF(AF100="",0,8)+IF(AH100="",0,6)+IF(AJ100="",0,4))=0,"",(IF(AF100="",0,AF100*8)+IF(AH100="",0,AH100*6)+IF(AJ100="",0,AJ100*4))/18)</f>
        <v/>
      </c>
      <c r="AM100" s="11">
        <f>IF(OR(City_Inputs!$AA100="",Norm_Stats!$F$16="",Norm_Stats!$G$16="",Norm_Stats!$G$16=Norm_Stats!$F$16),"",MAX(0,MIN(100,100*(MIN(MAX(City_Inputs!$AA100,Norm_Stats!$F$16),Norm_Stats!$G$16)-Norm_Stats!$F$16)/(Norm_Stats!$G$16-Norm_Stats!$F$16))))</f>
        <v/>
      </c>
      <c r="AN100" s="14">
        <f>IF(AM100="","",1)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5">
        <f>IF((IF(AM100="",0,5)+IF(AO100="",0,5)+IF(AQ100="",0,5))=0,"",(IF(AM100="",0,AM100*5)+IF(AO100="",0,AO100*5)+IF(AQ100="",0,AQ100*5))/(IF(AM100="",0,5)+IF(AO100="",0,5)+IF(AQ100="",0,5)))</f>
        <v/>
      </c>
      <c r="AT100" s="14">
        <f>IF((IF(AN100="",0,5)+IF(AP100="",0,5)+IF(AR100="",0,5))=0,"",(IF(AN100="",0,AN100*5)+IF(AP100="",0,AP100*5)+IF(AR100="",0,AR100*5))/15)</f>
        <v/>
      </c>
      <c r="AU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V100" s="14">
        <f>IF(AU100="","",1)</f>
        <v/>
      </c>
      <c r="AW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X100" s="14">
        <f>IF(AW100="","",1)</f>
        <v/>
      </c>
      <c r="AY100" s="11">
        <f>IF((IF((IF(OR(City_Inputs!$AF100="",Norm_Stats!$F$21="",Norm_Stats!$G$21="",Norm_Stats!$G$21=Norm_Stats!$F$21),"",MAX(0,MIN(100,100*(MIN(MAX(City_Inputs!$AF100,Norm_Stats!$F$21),Norm_Stats!$G$21)-Norm_Stats!$F$21)/(Norm_Stats!$G$21-Norm_Stats!$F$21)))))="",0,0.5)+IF((IF(OR(City_Inputs!$AI100="",Norm_Stats!$F$22="",Norm_Stats!$G$22="",Norm_Stats!$G$22=Norm_Stats!$F$22),"",MAX(0,MIN(100,100*(MIN(MAX(City_Inputs!$AI100,Norm_Stats!$F$22),Norm_Stats!$G$22)-Norm_Stats!$F$22)/(Norm_Stats!$G$22-Norm_Stats!$F$22)))))="",0,0.3)+IF((IF(OR(City_Inputs!$AJ100="",Norm_Stats!$F$23="",Norm_Stats!$G$23="",Norm_Stats!$G$23=Norm_Stats!$F$23),"",MAX(0,MIN(100,100*(MIN(MAX(City_Inputs!$AJ100,Norm_Stats!$F$23),Norm_Stats!$G$23)-Norm_Stats!$F$23)/(Norm_Stats!$G$23-Norm_Stats!$F$23)))))="",0,0.2))=0,"",(IF((IF(OR(City_Inputs!$AF100="",Norm_Stats!$F$21="",Norm_Stats!$G$21="",Norm_Stats!$G$21=Norm_Stats!$F$21),"",MAX(0,MIN(100,100*(MIN(MAX(City_Inputs!$AF100,Norm_Stats!$F$21),Norm_Stats!$G$21)-Norm_Stats!$F$21)/(Norm_Stats!$G$21-Norm_Stats!$F$21)))))="",0,(IF(OR(City_Inputs!$AF100="",Norm_Stats!$F$21="",Norm_Stats!$G$21="",Norm_Stats!$G$21=Norm_Stats!$F$21),"",MAX(0,MIN(100,100*(MIN(MAX(City_Inputs!$AF100,Norm_Stats!$F$21),Norm_Stats!$G$21)-Norm_Stats!$F$21)/(Norm_Stats!$G$21-Norm_Stats!$F$21)))))*0.5)+IF((IF(OR(City_Inputs!$AI100="",Norm_Stats!$F$22="",Norm_Stats!$G$22="",Norm_Stats!$G$22=Norm_Stats!$F$22),"",MAX(0,MIN(100,100*(MIN(MAX(City_Inputs!$AI100,Norm_Stats!$F$22),Norm_Stats!$G$22)-Norm_Stats!$F$22)/(Norm_Stats!$G$22-Norm_Stats!$F$22)))))="",0,(IF(OR(City_Inputs!$AI100="",Norm_Stats!$F$22="",Norm_Stats!$G$22="",Norm_Stats!$G$22=Norm_Stats!$F$22),"",MAX(0,MIN(100,100*(MIN(MAX(City_Inputs!$AI100,Norm_Stats!$F$22),Norm_Stats!$G$22)-Norm_Stats!$F$22)/(Norm_Stats!$G$22-Norm_Stats!$F$22)))))*0.3)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0.2))/(IF((IF(OR(City_Inputs!$AF100="",Norm_Stats!$F$21="",Norm_Stats!$G$21="",Norm_Stats!$G$21=Norm_Stats!$F$21),"",MAX(0,MIN(100,100*(MIN(MAX(City_Inputs!$AF100,Norm_Stats!$F$21),Norm_Stats!$G$21)-Norm_Stats!$F$21)/(Norm_Stats!$G$21-Norm_Stats!$F$21)))))="",0,0.5)+IF((IF(OR(City_Inputs!$AI100="",Norm_Stats!$F$22="",Norm_Stats!$G$22="",Norm_Stats!$G$22=Norm_Stats!$F$22),"",MAX(0,MIN(100,100*(MIN(MAX(City_Inputs!$AI100,Norm_Stats!$F$22),Norm_Stats!$G$22)-Norm_Stats!$F$22)/(Norm_Stats!$G$22-Norm_Stats!$F$22)))))="",0,0.3)+IF((IF(OR(City_Inputs!$AJ100="",Norm_Stats!$F$23="",Norm_Stats!$G$23="",Norm_Stats!$G$23=Norm_Stats!$F$23),"",MAX(0,MIN(100,100*(MIN(MAX(City_Inputs!$AJ100,Norm_Stats!$F$23),Norm_Stats!$G$23)-Norm_Stats!$F$23)/(Norm_Stats!$G$23-Norm_Stats!$F$23)))))="",0,0.2)))</f>
        <v/>
      </c>
      <c r="AZ100" s="14">
        <f>IF((IF((IF(OR(City_Inputs!$AF100="",Norm_Stats!$F$21="",Norm_Stats!$G$21="",Norm_Stats!$G$21=Norm_Stats!$F$21),"",MAX(0,MIN(100,100*(MIN(MAX(City_Inputs!$AF100,Norm_Stats!$F$21),Norm_Stats!$G$21)-Norm_Stats!$F$21)/(Norm_Stats!$G$21-Norm_Stats!$F$21)))))="",0,0.5)+IF((IF(OR(City_Inputs!$AI100="",Norm_Stats!$F$22="",Norm_Stats!$G$22="",Norm_Stats!$G$22=Norm_Stats!$F$22),"",MAX(0,MIN(100,100*(MIN(MAX(City_Inputs!$AI100,Norm_Stats!$F$22),Norm_Stats!$G$22)-Norm_Stats!$F$22)/(Norm_Stats!$G$22-Norm_Stats!$F$22)))))="",0,0.3)+IF((IF(OR(City_Inputs!$AJ100="",Norm_Stats!$F$23="",Norm_Stats!$G$23="",Norm_Stats!$G$23=Norm_Stats!$F$23),"",MAX(0,MIN(100,100*(MIN(MAX(City_Inputs!$AJ100,Norm_Stats!$F$23),Norm_Stats!$G$23)-Norm_Stats!$F$23)/(Norm_Stats!$G$23-Norm_Stats!$F$23)))))="",0,0.2))=0,"",(IF((IF(OR(City_Inputs!$AF100="",Norm_Stats!$F$21="",Norm_Stats!$G$21="",Norm_Stats!$G$21=Norm_Stats!$F$21),"",MAX(0,MIN(100,100*(MIN(MAX(City_Inputs!$AF100,Norm_Stats!$F$21),Norm_Stats!$G$21)-Norm_Stats!$F$21)/(Norm_Stats!$G$21-Norm_Stats!$F$21)))))="",0,0.5)+IF((IF(OR(City_Inputs!$AI100="",Norm_Stats!$F$22="",Norm_Stats!$G$22="",Norm_Stats!$G$22=Norm_Stats!$F$22),"",MAX(0,MIN(100,100*(MIN(MAX(City_Inputs!$AI100,Norm_Stats!$F$22),Norm_Stats!$G$22)-Norm_Stats!$F$22)/(Norm_Stats!$G$22-Norm_Stats!$F$22)))))="",0,0.3)+IF((IF(OR(City_Inputs!$AJ100="",Norm_Stats!$F$23="",Norm_Stats!$G$23="",Norm_Stats!$G$23=Norm_Stats!$F$23),"",MAX(0,MIN(100,100*(MIN(MAX(City_Inputs!$AJ100,Norm_Stats!$F$23),Norm_Stats!$G$23)-Norm_Stats!$F$23)/(Norm_Stats!$G$23-Norm_Stats!$F$23)))))="",0,0.2)))</f>
        <v/>
      </c>
      <c r="BA100" s="11">
        <f>IF(OR(City_Inputs!$AG100="",Norm_Stats!$F$24="",Norm_Stats!$G$24="",Norm_Stats!$G$24=Norm_Stats!$F$24),"",MAX(0,MIN(100,100*(Norm_Stats!$G$24-MIN(MAX(City_Inputs!$AG100,Norm_Stats!$F$24),Norm_Stats!$G$24))/(Norm_Stats!$G$24-Norm_Stats!$F$24))))</f>
        <v/>
      </c>
      <c r="BB100" s="14">
        <f>IF(BA100="","",1)</f>
        <v/>
      </c>
      <c r="BC100" s="15">
        <f>IF((IF(AU100="",0,6)+IF(AW100="",0,5)+IF(AY100="",0,5)+IF(BA100="",0,4))=0,"",(IF(AU100="",0,AU100*6)+IF(AW100="",0,AW100*5)+IF(AY100="",0,AY100*5)+IF(BA100="",0,BA100*4))/(IF(AU100="",0,6)+IF(AW100="",0,5)+IF(AY100="",0,5)+IF(BA100="",0,4)))</f>
        <v/>
      </c>
      <c r="BD100" s="14">
        <f>IF((IF(AV100="",0,6)+IF(AX100="",0,5)+IF(AZ100="",0,5)+IF(BB100="",0,4))=0,"",(IF(AV100="",0,AV100*6)+IF(AX100="",0,AX100*5)+IF(AZ100="",0,AZ100*5)+IF(BB100="",0,BB100*4))/20)</f>
        <v/>
      </c>
      <c r="BE100" s="14">
        <f>IF(AND(R100="",AD100="",AL100="",AT100="",BD100=""),"",((R100*25)+(AD100*22)+(AL100*18)+(AT100*15)+(BD100*20))/100)</f>
        <v/>
      </c>
      <c r="BF100" s="11">
        <f>IF(BE100="","",IF(BE100&gt;=0.75,"A",IF(BE100&gt;=0.5,"B",IF(BE100&gt;=0.35,"C","Watchlist"))))</f>
        <v/>
      </c>
      <c r="BG100" s="11">
        <f>IF(OR(BE100="",BE100&lt;0.5,R100="",R100&lt;0.35,AD100="",AD100&lt;0.35,AL100="",AL100&lt;0.35,AT100="",AT100&lt;0.35,BD100="",BD100&lt;0.35),"Watchlist","Ranked")</f>
        <v/>
      </c>
      <c r="BH100" s="15">
        <f>IF(AND(Q100="",AC100="",AK100="",AS100="",BC100=""),"",(IF(Q100="",0,Q100*25)+IF(AC100="",0,AC100*22)+IF(AK100="",0,AK100*18)+IF(AS100="",0,AS100*15)+IF(BC100="",0,BC100*20))/(IF(Q100="",0,25)+IF(AC100="",0,22)+IF(AK100="",0,18)+IF(AS100="",0,15)+IF(BC100="",0,20)))</f>
        <v/>
      </c>
      <c r="BI100" s="11">
        <f>IF(BG100="Ranked",1+COUNTIFS($BG$2:$BG$101,"Ranked",$BH$2:$BH$101,"&gt;"&amp;BH100),"")</f>
        <v/>
      </c>
      <c r="BJ100" s="11">
        <f>City_Inputs!$AH100</f>
        <v/>
      </c>
    </row>
    <row r="101">
      <c r="A101" t="inlineStr">
        <is>
          <t>fj-suva</t>
        </is>
      </c>
      <c r="B101" t="inlineStr">
        <is>
          <t>Suva</t>
        </is>
      </c>
      <c r="C101" t="inlineStr">
        <is>
          <t>Fiji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secondary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IF((IF(G101="",0,9)+IF(I101="",0,5)+IF(K101="",0,4)+IF(M101="",0,4)+IF(O101="",0,3))=0,"",(IF(G101="",0,G101*9)+IF(I101="",0,I101*5)+IF(K101="",0,K101*4)+IF(M101="",0,M101*4)+IF(O101="",0,O101*3))/(IF(G101="",0,9)+IF(I101="",0,5)+IF(K101="",0,4)+IF(M101="",0,4)+IF(O101="",0,3)))</f>
        <v/>
      </c>
      <c r="R101" s="14">
        <f>IF((IF(H101="",0,9)+IF(J101="",0,5)+IF(L101="",0,4)+IF(N101="",0,4)+IF(P101="",0,3))=0,"",(IF(H101="",0,H101*9)+IF(J101="",0,J101*5)+IF(L101="",0,L101*4)+IF(N101="",0,N101*4)+IF(P101="",0,P101*3))/25)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5">
        <f>IF((IF(S101="",0,5)+IF(U101="",0,5)+IF(W101="",0,4)+IF(Y101="",0,4)+IF(AA101="",0,4))=0,"",(IF(S101="",0,S101*5)+IF(U101="",0,U101*5)+IF(W101="",0,W101*4)+IF(Y101="",0,Y101*4)+IF(AA101="",0,AA101*4))/(IF(S101="",0,5)+IF(U101="",0,5)+IF(W101="",0,4)+IF(Y101="",0,4)+IF(AA101="",0,4)))</f>
        <v/>
      </c>
      <c r="AD101" s="14">
        <f>IF((IF(T101="",0,5)+IF(V101="",0,5)+IF(X101="",0,4)+IF(Z101="",0,4)+IF(AB101="",0,4))=0,"",(IF(T101="",0,T101*5)+IF(V101="",0,V101*5)+IF(X101="",0,X101*4)+IF(Z101="",0,Z101*4)+IF(AB101="",0,AB101*4))/22)</f>
        <v/>
      </c>
      <c r="AE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F101" s="14">
        <f>IF(AE101="","",1)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(IF((IF(OR(City_Inputs!$Z101="",Norm_Stats!$F$14="",Norm_Stats!$G$14="",Norm_Stats!$G$14=Norm_Stats!$F$14),"",MAX(0,MIN(100,100*(MIN(MAX(City_Inputs!$Z101,Norm_Stats!$F$14),Norm_Stats!$G$14)-Norm_Stats!$F$14)/(Norm_Stats!$G$14-Norm_Stats!$F$14)))))="",0,0.7)+IF((IF(OR(City_Inputs!$AK101="",Norm_Stats!$F$15="",Norm_Stats!$G$15="",Norm_Stats!$G$15=Norm_Stats!$F$15),"",MAX(0,MIN(100,100*(Norm_Stats!$G$15-MIN(MAX(City_Inputs!$AK101,Norm_Stats!$F$15),Norm_Stats!$G$15))/(Norm_Stats!$G$15-Norm_Stats!$F$15)))))="",0,0.3))=0,"",(IF((IF(OR(City_Inputs!$Z101="",Norm_Stats!$F$14="",Norm_Stats!$G$14="",Norm_Stats!$G$14=Norm_Stats!$F$14),"",MAX(0,MIN(100,100*(MIN(MAX(City_Inputs!$Z101,Norm_Stats!$F$14),Norm_Stats!$G$14)-Norm_Stats!$F$14)/(Norm_Stats!$G$14-Norm_Stats!$F$14)))))="",0,(IF(OR(City_Inputs!$Z101="",Norm_Stats!$F$14="",Norm_Stats!$G$14="",Norm_Stats!$G$14=Norm_Stats!$F$14),"",MAX(0,MIN(100,100*(MIN(MAX(City_Inputs!$Z101,Norm_Stats!$F$14),Norm_Stats!$G$14)-Norm_Stats!$F$14)/(Norm_Stats!$G$14-Norm_Stats!$F$14)))))*0.7)+IF((IF(OR(City_Inputs!$AK101="",Norm_Stats!$F$15="",Norm_Stats!$G$15="",Norm_Stats!$G$15=Norm_Stats!$F$15),"",MAX(0,MIN(100,100*(Norm_Stats!$G$15-MIN(MAX(City_Inputs!$AK101,Norm_Stats!$F$15),Norm_Stats!$G$15))/(Norm_Stats!$G$15-Norm_Stats!$F$15)))))="",0,(IF(OR(City_Inputs!$AK101="",Norm_Stats!$F$15="",Norm_Stats!$G$15="",Norm_Stats!$G$15=Norm_Stats!$F$15),"",MAX(0,MIN(100,100*(Norm_Stats!$G$15-MIN(MAX(City_Inputs!$AK101,Norm_Stats!$F$15),Norm_Stats!$G$15))/(Norm_Stats!$G$15-Norm_Stats!$F$15)))))*0.3))/(IF((IF(OR(City_Inputs!$Z101="",Norm_Stats!$F$14="",Norm_Stats!$G$14="",Norm_Stats!$G$14=Norm_Stats!$F$14),"",MAX(0,MIN(100,100*(MIN(MAX(City_Inputs!$Z101,Norm_Stats!$F$14),Norm_Stats!$G$14)-Norm_Stats!$F$14)/(Norm_Stats!$G$14-Norm_Stats!$F$14)))))="",0,0.7)+IF((IF(OR(City_Inputs!$AK101="",Norm_Stats!$F$15="",Norm_Stats!$G$15="",Norm_Stats!$G$15=Norm_Stats!$F$15),"",MAX(0,MIN(100,100*(Norm_Stats!$G$15-MIN(MAX(City_Inputs!$AK101,Norm_Stats!$F$15),Norm_Stats!$G$15))/(Norm_Stats!$G$15-Norm_Stats!$F$15)))))="",0,0.3)))</f>
        <v/>
      </c>
      <c r="AJ101" s="14">
        <f>IF((IF((IF(OR(City_Inputs!$Z101="",Norm_Stats!$F$14="",Norm_Stats!$G$14="",Norm_Stats!$G$14=Norm_Stats!$F$14),"",MAX(0,MIN(100,100*(MIN(MAX(City_Inputs!$Z101,Norm_Stats!$F$14),Norm_Stats!$G$14)-Norm_Stats!$F$14)/(Norm_Stats!$G$14-Norm_Stats!$F$14)))))="",0,0.7)+IF((IF(OR(City_Inputs!$AK101="",Norm_Stats!$F$15="",Norm_Stats!$G$15="",Norm_Stats!$G$15=Norm_Stats!$F$15),"",MAX(0,MIN(100,100*(Norm_Stats!$G$15-MIN(MAX(City_Inputs!$AK101,Norm_Stats!$F$15),Norm_Stats!$G$15))/(Norm_Stats!$G$15-Norm_Stats!$F$15)))))="",0,0.3))=0,"",(IF((IF(OR(City_Inputs!$Z101="",Norm_Stats!$F$14="",Norm_Stats!$G$14="",Norm_Stats!$G$14=Norm_Stats!$F$14),"",MAX(0,MIN(100,100*(MIN(MAX(City_Inputs!$Z101,Norm_Stats!$F$14),Norm_Stats!$G$14)-Norm_Stats!$F$14)/(Norm_Stats!$G$14-Norm_Stats!$F$14)))))="",0,0.7)+IF((IF(OR(City_Inputs!$AK101="",Norm_Stats!$F$15="",Norm_Stats!$G$15="",Norm_Stats!$G$15=Norm_Stats!$F$15),"",MAX(0,MIN(100,100*(Norm_Stats!$G$15-MIN(MAX(City_Inputs!$AK101,Norm_Stats!$F$15),Norm_Stats!$G$15))/(Norm_Stats!$G$15-Norm_Stats!$F$15)))))="",0,0.3)))</f>
        <v/>
      </c>
      <c r="AK101" s="15">
        <f>IF((IF(AE101="",0,8)+IF(AG101="",0,6)+IF(AI101="",0,4))=0,"",(IF(AE101="",0,AE101*8)+IF(AG101="",0,AG101*6)+IF(AI101="",0,AI101*4))/(IF(AE101="",0,8)+IF(AG101="",0,6)+IF(AI101="",0,4)))</f>
        <v/>
      </c>
      <c r="AL101" s="14">
        <f>IF((IF(AF101="",0,8)+IF(AH101="",0,6)+IF(AJ101="",0,4))=0,"",(IF(AF101="",0,AF101*8)+IF(AH101="",0,AH101*6)+IF(AJ101="",0,AJ101*4))/18)</f>
        <v/>
      </c>
      <c r="AM101" s="11">
        <f>IF(OR(City_Inputs!$AA101="",Norm_Stats!$F$16="",Norm_Stats!$G$16="",Norm_Stats!$G$16=Norm_Stats!$F$16),"",MAX(0,MIN(100,100*(MIN(MAX(City_Inputs!$AA101,Norm_Stats!$F$16),Norm_Stats!$G$16)-Norm_Stats!$F$16)/(Norm_Stats!$G$16-Norm_Stats!$F$16))))</f>
        <v/>
      </c>
      <c r="AN101" s="14">
        <f>IF(AM101="","",1)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5">
        <f>IF((IF(AM101="",0,5)+IF(AO101="",0,5)+IF(AQ101="",0,5))=0,"",(IF(AM101="",0,AM101*5)+IF(AO101="",0,AO101*5)+IF(AQ101="",0,AQ101*5))/(IF(AM101="",0,5)+IF(AO101="",0,5)+IF(AQ101="",0,5)))</f>
        <v/>
      </c>
      <c r="AT101" s="14">
        <f>IF((IF(AN101="",0,5)+IF(AP101="",0,5)+IF(AR101="",0,5))=0,"",(IF(AN101="",0,AN101*5)+IF(AP101="",0,AP101*5)+IF(AR101="",0,AR101*5))/15)</f>
        <v/>
      </c>
      <c r="AU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V101" s="14">
        <f>IF(AU101="","",1)</f>
        <v/>
      </c>
      <c r="AW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X101" s="14">
        <f>IF(AW101="","",1)</f>
        <v/>
      </c>
      <c r="AY101" s="11">
        <f>IF((IF((IF(OR(City_Inputs!$AF101="",Norm_Stats!$F$21="",Norm_Stats!$G$21="",Norm_Stats!$G$21=Norm_Stats!$F$21),"",MAX(0,MIN(100,100*(MIN(MAX(City_Inputs!$AF101,Norm_Stats!$F$21),Norm_Stats!$G$21)-Norm_Stats!$F$21)/(Norm_Stats!$G$21-Norm_Stats!$F$21)))))="",0,0.5)+IF((IF(OR(City_Inputs!$AI101="",Norm_Stats!$F$22="",Norm_Stats!$G$22="",Norm_Stats!$G$22=Norm_Stats!$F$22),"",MAX(0,MIN(100,100*(MIN(MAX(City_Inputs!$AI101,Norm_Stats!$F$22),Norm_Stats!$G$22)-Norm_Stats!$F$22)/(Norm_Stats!$G$22-Norm_Stats!$F$22)))))="",0,0.3)+IF((IF(OR(City_Inputs!$AJ101="",Norm_Stats!$F$23="",Norm_Stats!$G$23="",Norm_Stats!$G$23=Norm_Stats!$F$23),"",MAX(0,MIN(100,100*(MIN(MAX(City_Inputs!$AJ101,Norm_Stats!$F$23),Norm_Stats!$G$23)-Norm_Stats!$F$23)/(Norm_Stats!$G$23-Norm_Stats!$F$23)))))="",0,0.2))=0,"",(IF((IF(OR(City_Inputs!$AF101="",Norm_Stats!$F$21="",Norm_Stats!$G$21="",Norm_Stats!$G$21=Norm_Stats!$F$21),"",MAX(0,MIN(100,100*(MIN(MAX(City_Inputs!$AF101,Norm_Stats!$F$21),Norm_Stats!$G$21)-Norm_Stats!$F$21)/(Norm_Stats!$G$21-Norm_Stats!$F$21)))))="",0,(IF(OR(City_Inputs!$AF101="",Norm_Stats!$F$21="",Norm_Stats!$G$21="",Norm_Stats!$G$21=Norm_Stats!$F$21),"",MAX(0,MIN(100,100*(MIN(MAX(City_Inputs!$AF101,Norm_Stats!$F$21),Norm_Stats!$G$21)-Norm_Stats!$F$21)/(Norm_Stats!$G$21-Norm_Stats!$F$21)))))*0.5)+IF((IF(OR(City_Inputs!$AI101="",Norm_Stats!$F$22="",Norm_Stats!$G$22="",Norm_Stats!$G$22=Norm_Stats!$F$22),"",MAX(0,MIN(100,100*(MIN(MAX(City_Inputs!$AI101,Norm_Stats!$F$22),Norm_Stats!$G$22)-Norm_Stats!$F$22)/(Norm_Stats!$G$22-Norm_Stats!$F$22)))))="",0,(IF(OR(City_Inputs!$AI101="",Norm_Stats!$F$22="",Norm_Stats!$G$22="",Norm_Stats!$G$22=Norm_Stats!$F$22),"",MAX(0,MIN(100,100*(MIN(MAX(City_Inputs!$AI101,Norm_Stats!$F$22),Norm_Stats!$G$22)-Norm_Stats!$F$22)/(Norm_Stats!$G$22-Norm_Stats!$F$22)))))*0.3)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0.2))/(IF((IF(OR(City_Inputs!$AF101="",Norm_Stats!$F$21="",Norm_Stats!$G$21="",Norm_Stats!$G$21=Norm_Stats!$F$21),"",MAX(0,MIN(100,100*(MIN(MAX(City_Inputs!$AF101,Norm_Stats!$F$21),Norm_Stats!$G$21)-Norm_Stats!$F$21)/(Norm_Stats!$G$21-Norm_Stats!$F$21)))))="",0,0.5)+IF((IF(OR(City_Inputs!$AI101="",Norm_Stats!$F$22="",Norm_Stats!$G$22="",Norm_Stats!$G$22=Norm_Stats!$F$22),"",MAX(0,MIN(100,100*(MIN(MAX(City_Inputs!$AI101,Norm_Stats!$F$22),Norm_Stats!$G$22)-Norm_Stats!$F$22)/(Norm_Stats!$G$22-Norm_Stats!$F$22)))))="",0,0.3)+IF((IF(OR(City_Inputs!$AJ101="",Norm_Stats!$F$23="",Norm_Stats!$G$23="",Norm_Stats!$G$23=Norm_Stats!$F$23),"",MAX(0,MIN(100,100*(MIN(MAX(City_Inputs!$AJ101,Norm_Stats!$F$23),Norm_Stats!$G$23)-Norm_Stats!$F$23)/(Norm_Stats!$G$23-Norm_Stats!$F$23)))))="",0,0.2)))</f>
        <v/>
      </c>
      <c r="AZ101" s="14">
        <f>IF((IF((IF(OR(City_Inputs!$AF101="",Norm_Stats!$F$21="",Norm_Stats!$G$21="",Norm_Stats!$G$21=Norm_Stats!$F$21),"",MAX(0,MIN(100,100*(MIN(MAX(City_Inputs!$AF101,Norm_Stats!$F$21),Norm_Stats!$G$21)-Norm_Stats!$F$21)/(Norm_Stats!$G$21-Norm_Stats!$F$21)))))="",0,0.5)+IF((IF(OR(City_Inputs!$AI101="",Norm_Stats!$F$22="",Norm_Stats!$G$22="",Norm_Stats!$G$22=Norm_Stats!$F$22),"",MAX(0,MIN(100,100*(MIN(MAX(City_Inputs!$AI101,Norm_Stats!$F$22),Norm_Stats!$G$22)-Norm_Stats!$F$22)/(Norm_Stats!$G$22-Norm_Stats!$F$22)))))="",0,0.3)+IF((IF(OR(City_Inputs!$AJ101="",Norm_Stats!$F$23="",Norm_Stats!$G$23="",Norm_Stats!$G$23=Norm_Stats!$F$23),"",MAX(0,MIN(100,100*(MIN(MAX(City_Inputs!$AJ101,Norm_Stats!$F$23),Norm_Stats!$G$23)-Norm_Stats!$F$23)/(Norm_Stats!$G$23-Norm_Stats!$F$23)))))="",0,0.2))=0,"",(IF((IF(OR(City_Inputs!$AF101="",Norm_Stats!$F$21="",Norm_Stats!$G$21="",Norm_Stats!$G$21=Norm_Stats!$F$21),"",MAX(0,MIN(100,100*(MIN(MAX(City_Inputs!$AF101,Norm_Stats!$F$21),Norm_Stats!$G$21)-Norm_Stats!$F$21)/(Norm_Stats!$G$21-Norm_Stats!$F$21)))))="",0,0.5)+IF((IF(OR(City_Inputs!$AI101="",Norm_Stats!$F$22="",Norm_Stats!$G$22="",Norm_Stats!$G$22=Norm_Stats!$F$22),"",MAX(0,MIN(100,100*(MIN(MAX(City_Inputs!$AI101,Norm_Stats!$F$22),Norm_Stats!$G$22)-Norm_Stats!$F$22)/(Norm_Stats!$G$22-Norm_Stats!$F$22)))))="",0,0.3)+IF((IF(OR(City_Inputs!$AJ101="",Norm_Stats!$F$23="",Norm_Stats!$G$23="",Norm_Stats!$G$23=Norm_Stats!$F$23),"",MAX(0,MIN(100,100*(MIN(MAX(City_Inputs!$AJ101,Norm_Stats!$F$23),Norm_Stats!$G$23)-Norm_Stats!$F$23)/(Norm_Stats!$G$23-Norm_Stats!$F$23)))))="",0,0.2)))</f>
        <v/>
      </c>
      <c r="BA101" s="11">
        <f>IF(OR(City_Inputs!$AG101="",Norm_Stats!$F$24="",Norm_Stats!$G$24="",Norm_Stats!$G$24=Norm_Stats!$F$24),"",MAX(0,MIN(100,100*(Norm_Stats!$G$24-MIN(MAX(City_Inputs!$AG101,Norm_Stats!$F$24),Norm_Stats!$G$24))/(Norm_Stats!$G$24-Norm_Stats!$F$24))))</f>
        <v/>
      </c>
      <c r="BB101" s="14">
        <f>IF(BA101="","",1)</f>
        <v/>
      </c>
      <c r="BC101" s="15">
        <f>IF((IF(AU101="",0,6)+IF(AW101="",0,5)+IF(AY101="",0,5)+IF(BA101="",0,4))=0,"",(IF(AU101="",0,AU101*6)+IF(AW101="",0,AW101*5)+IF(AY101="",0,AY101*5)+IF(BA101="",0,BA101*4))/(IF(AU101="",0,6)+IF(AW101="",0,5)+IF(AY101="",0,5)+IF(BA101="",0,4)))</f>
        <v/>
      </c>
      <c r="BD101" s="14">
        <f>IF((IF(AV101="",0,6)+IF(AX101="",0,5)+IF(AZ101="",0,5)+IF(BB101="",0,4))=0,"",(IF(AV101="",0,AV101*6)+IF(AX101="",0,AX101*5)+IF(AZ101="",0,AZ101*5)+IF(BB101="",0,BB101*4))/20)</f>
        <v/>
      </c>
      <c r="BE101" s="14">
        <f>IF(AND(R101="",AD101="",AL101="",AT101="",BD101=""),"",((R101*25)+(AD101*22)+(AL101*18)+(AT101*15)+(BD101*20))/100)</f>
        <v/>
      </c>
      <c r="BF101" s="11">
        <f>IF(BE101="","",IF(BE101&gt;=0.75,"A",IF(BE101&gt;=0.5,"B",IF(BE101&gt;=0.35,"C","Watchlist"))))</f>
        <v/>
      </c>
      <c r="BG101" s="11">
        <f>IF(OR(BE101="",BE101&lt;0.5,R101="",R101&lt;0.35,AD101="",AD101&lt;0.35,AL101="",AL101&lt;0.35,AT101="",AT101&lt;0.35,BD101="",BD101&lt;0.35),"Watchlist","Ranked")</f>
        <v/>
      </c>
      <c r="BH101" s="15">
        <f>IF(AND(Q101="",AC101="",AK101="",AS101="",BC101=""),"",(IF(Q101="",0,Q101*25)+IF(AC101="",0,AC101*22)+IF(AK101="",0,AK101*18)+IF(AS101="",0,AS101*15)+IF(BC101="",0,BC101*20))/(IF(Q101="",0,25)+IF(AC101="",0,22)+IF(AK101="",0,18)+IF(AS101="",0,15)+IF(BC101="",0,20)))</f>
        <v/>
      </c>
      <c r="BI101" s="11">
        <f>IF(BG101="Ranked",1+COUNTIFS($BG$2:$BG$101,"Ranked",$BH$2:$BH$101,"&gt;"&amp;BH101),"")</f>
        <v/>
      </c>
      <c r="BJ101" s="11">
        <f>City_Inputs!$AH101</f>
        <v/>
      </c>
    </row>
  </sheetData>
  <autoFilter ref="A1:BJ1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Top 100 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Top 100</t>
        </is>
      </c>
      <c r="B3" t="n">
        <v>1</v>
      </c>
      <c r="C3">
        <f>IFERROR(INDEX(Scores!$BI$2:$BI$101,MATCH($B3,Scores!$BI$2:$BI$101,0)),"")</f>
        <v/>
      </c>
      <c r="D3">
        <f>IFERROR(INDEX(Scores!$B$2:$B$101,MATCH($B3,Scores!$BI$2:$BI$101,0)),"")</f>
        <v/>
      </c>
      <c r="E3">
        <f>IFERROR(INDEX(Scores!$C$2:$C$101,MATCH($B3,Scores!$BI$2:$BI$101,0)),"")</f>
        <v/>
      </c>
      <c r="F3">
        <f>IFERROR(INDEX(Scores!$D$2:$D$101,MATCH($B3,Scores!$BI$2:$BI$101,0)),"")</f>
        <v/>
      </c>
      <c r="G3">
        <f>IFERROR(INDEX(Scores!$E$2:$E$101,MATCH($B3,Scores!$BI$2:$BI$101,0)),"")</f>
        <v/>
      </c>
      <c r="H3">
        <f>IFERROR(INDEX(Scores!$BF$2:$BF$101,MATCH($B3,Scores!$BI$2:$BI$101,0)),"")</f>
        <v/>
      </c>
      <c r="I3">
        <f>IFERROR(INDEX(Scores!$BH$2:$BH$101,MATCH($B3,Scores!$BI$2:$BI$101,0)),"")</f>
        <v/>
      </c>
      <c r="J3">
        <f>IFERROR(INDEX(Scores!$Q$2:$Q$101,MATCH($B3,Scores!$BI$2:$BI$101,0)),"")</f>
        <v/>
      </c>
      <c r="K3">
        <f>IFERROR(INDEX(Scores!$AC$2:$AC$101,MATCH($B3,Scores!$BI$2:$BI$101,0)),"")</f>
        <v/>
      </c>
      <c r="L3">
        <f>IFERROR(INDEX(Scores!$AK$2:$AK$101,MATCH($B3,Scores!$BI$2:$BI$101,0)),"")</f>
        <v/>
      </c>
      <c r="M3">
        <f>IFERROR(INDEX(Scores!$AS$2:$AS$101,MATCH($B3,Scores!$BI$2:$BI$101,0)),"")</f>
        <v/>
      </c>
      <c r="N3">
        <f>IFERROR(INDEX(Scores!$BC$2:$BC$101,MATCH($B3,Scores!$BI$2:$BI$101,0)),"")</f>
        <v/>
      </c>
    </row>
    <row r="4">
      <c r="A4" t="inlineStr">
        <is>
          <t>Top 100</t>
        </is>
      </c>
      <c r="B4" t="n">
        <v>2</v>
      </c>
      <c r="C4">
        <f>IFERROR(INDEX(Scores!$BI$2:$BI$101,MATCH($B4,Scores!$BI$2:$BI$101,0)),"")</f>
        <v/>
      </c>
      <c r="D4">
        <f>IFERROR(INDEX(Scores!$B$2:$B$101,MATCH($B4,Scores!$BI$2:$BI$101,0)),"")</f>
        <v/>
      </c>
      <c r="E4">
        <f>IFERROR(INDEX(Scores!$C$2:$C$101,MATCH($B4,Scores!$BI$2:$BI$101,0)),"")</f>
        <v/>
      </c>
      <c r="F4">
        <f>IFERROR(INDEX(Scores!$D$2:$D$101,MATCH($B4,Scores!$BI$2:$BI$101,0)),"")</f>
        <v/>
      </c>
      <c r="G4">
        <f>IFERROR(INDEX(Scores!$E$2:$E$101,MATCH($B4,Scores!$BI$2:$BI$101,0)),"")</f>
        <v/>
      </c>
      <c r="H4">
        <f>IFERROR(INDEX(Scores!$BF$2:$BF$101,MATCH($B4,Scores!$BI$2:$BI$101,0)),"")</f>
        <v/>
      </c>
      <c r="I4">
        <f>IFERROR(INDEX(Scores!$BH$2:$BH$101,MATCH($B4,Scores!$BI$2:$BI$101,0)),"")</f>
        <v/>
      </c>
      <c r="J4">
        <f>IFERROR(INDEX(Scores!$Q$2:$Q$101,MATCH($B4,Scores!$BI$2:$BI$101,0)),"")</f>
        <v/>
      </c>
      <c r="K4">
        <f>IFERROR(INDEX(Scores!$AC$2:$AC$101,MATCH($B4,Scores!$BI$2:$BI$101,0)),"")</f>
        <v/>
      </c>
      <c r="L4">
        <f>IFERROR(INDEX(Scores!$AK$2:$AK$101,MATCH($B4,Scores!$BI$2:$BI$101,0)),"")</f>
        <v/>
      </c>
      <c r="M4">
        <f>IFERROR(INDEX(Scores!$AS$2:$AS$101,MATCH($B4,Scores!$BI$2:$BI$101,0)),"")</f>
        <v/>
      </c>
      <c r="N4">
        <f>IFERROR(INDEX(Scores!$BC$2:$BC$101,MATCH($B4,Scores!$BI$2:$BI$101,0)),"")</f>
        <v/>
      </c>
    </row>
    <row r="5">
      <c r="A5" t="inlineStr">
        <is>
          <t>Top 100</t>
        </is>
      </c>
      <c r="B5" t="n">
        <v>3</v>
      </c>
      <c r="C5">
        <f>IFERROR(INDEX(Scores!$BI$2:$BI$101,MATCH($B5,Scores!$BI$2:$BI$101,0)),"")</f>
        <v/>
      </c>
      <c r="D5">
        <f>IFERROR(INDEX(Scores!$B$2:$B$101,MATCH($B5,Scores!$BI$2:$BI$101,0)),"")</f>
        <v/>
      </c>
      <c r="E5">
        <f>IFERROR(INDEX(Scores!$C$2:$C$101,MATCH($B5,Scores!$BI$2:$BI$101,0)),"")</f>
        <v/>
      </c>
      <c r="F5">
        <f>IFERROR(INDEX(Scores!$D$2:$D$101,MATCH($B5,Scores!$BI$2:$BI$101,0)),"")</f>
        <v/>
      </c>
      <c r="G5">
        <f>IFERROR(INDEX(Scores!$E$2:$E$101,MATCH($B5,Scores!$BI$2:$BI$101,0)),"")</f>
        <v/>
      </c>
      <c r="H5">
        <f>IFERROR(INDEX(Scores!$BF$2:$BF$101,MATCH($B5,Scores!$BI$2:$BI$101,0)),"")</f>
        <v/>
      </c>
      <c r="I5">
        <f>IFERROR(INDEX(Scores!$BH$2:$BH$101,MATCH($B5,Scores!$BI$2:$BI$101,0)),"")</f>
        <v/>
      </c>
      <c r="J5">
        <f>IFERROR(INDEX(Scores!$Q$2:$Q$101,MATCH($B5,Scores!$BI$2:$BI$101,0)),"")</f>
        <v/>
      </c>
      <c r="K5">
        <f>IFERROR(INDEX(Scores!$AC$2:$AC$101,MATCH($B5,Scores!$BI$2:$BI$101,0)),"")</f>
        <v/>
      </c>
      <c r="L5">
        <f>IFERROR(INDEX(Scores!$AK$2:$AK$101,MATCH($B5,Scores!$BI$2:$BI$101,0)),"")</f>
        <v/>
      </c>
      <c r="M5">
        <f>IFERROR(INDEX(Scores!$AS$2:$AS$101,MATCH($B5,Scores!$BI$2:$BI$101,0)),"")</f>
        <v/>
      </c>
      <c r="N5">
        <f>IFERROR(INDEX(Scores!$BC$2:$BC$101,MATCH($B5,Scores!$BI$2:$BI$101,0)),"")</f>
        <v/>
      </c>
    </row>
    <row r="6">
      <c r="A6" t="inlineStr">
        <is>
          <t>Top 100</t>
        </is>
      </c>
      <c r="B6" t="n">
        <v>4</v>
      </c>
      <c r="C6">
        <f>IFERROR(INDEX(Scores!$BI$2:$BI$101,MATCH($B6,Scores!$BI$2:$BI$101,0)),"")</f>
        <v/>
      </c>
      <c r="D6">
        <f>IFERROR(INDEX(Scores!$B$2:$B$101,MATCH($B6,Scores!$BI$2:$BI$101,0)),"")</f>
        <v/>
      </c>
      <c r="E6">
        <f>IFERROR(INDEX(Scores!$C$2:$C$101,MATCH($B6,Scores!$BI$2:$BI$101,0)),"")</f>
        <v/>
      </c>
      <c r="F6">
        <f>IFERROR(INDEX(Scores!$D$2:$D$101,MATCH($B6,Scores!$BI$2:$BI$101,0)),"")</f>
        <v/>
      </c>
      <c r="G6">
        <f>IFERROR(INDEX(Scores!$E$2:$E$101,MATCH($B6,Scores!$BI$2:$BI$101,0)),"")</f>
        <v/>
      </c>
      <c r="H6">
        <f>IFERROR(INDEX(Scores!$BF$2:$BF$101,MATCH($B6,Scores!$BI$2:$BI$101,0)),"")</f>
        <v/>
      </c>
      <c r="I6">
        <f>IFERROR(INDEX(Scores!$BH$2:$BH$101,MATCH($B6,Scores!$BI$2:$BI$101,0)),"")</f>
        <v/>
      </c>
      <c r="J6">
        <f>IFERROR(INDEX(Scores!$Q$2:$Q$101,MATCH($B6,Scores!$BI$2:$BI$101,0)),"")</f>
        <v/>
      </c>
      <c r="K6">
        <f>IFERROR(INDEX(Scores!$AC$2:$AC$101,MATCH($B6,Scores!$BI$2:$BI$101,0)),"")</f>
        <v/>
      </c>
      <c r="L6">
        <f>IFERROR(INDEX(Scores!$AK$2:$AK$101,MATCH($B6,Scores!$BI$2:$BI$101,0)),"")</f>
        <v/>
      </c>
      <c r="M6">
        <f>IFERROR(INDEX(Scores!$AS$2:$AS$101,MATCH($B6,Scores!$BI$2:$BI$101,0)),"")</f>
        <v/>
      </c>
      <c r="N6">
        <f>IFERROR(INDEX(Scores!$BC$2:$BC$101,MATCH($B6,Scores!$BI$2:$BI$101,0)),"")</f>
        <v/>
      </c>
    </row>
    <row r="7">
      <c r="A7" t="inlineStr">
        <is>
          <t>Top 100</t>
        </is>
      </c>
      <c r="B7" t="n">
        <v>5</v>
      </c>
      <c r="C7">
        <f>IFERROR(INDEX(Scores!$BI$2:$BI$101,MATCH($B7,Scores!$BI$2:$BI$101,0)),"")</f>
        <v/>
      </c>
      <c r="D7">
        <f>IFERROR(INDEX(Scores!$B$2:$B$101,MATCH($B7,Scores!$BI$2:$BI$101,0)),"")</f>
        <v/>
      </c>
      <c r="E7">
        <f>IFERROR(INDEX(Scores!$C$2:$C$101,MATCH($B7,Scores!$BI$2:$BI$101,0)),"")</f>
        <v/>
      </c>
      <c r="F7">
        <f>IFERROR(INDEX(Scores!$D$2:$D$101,MATCH($B7,Scores!$BI$2:$BI$101,0)),"")</f>
        <v/>
      </c>
      <c r="G7">
        <f>IFERROR(INDEX(Scores!$E$2:$E$101,MATCH($B7,Scores!$BI$2:$BI$101,0)),"")</f>
        <v/>
      </c>
      <c r="H7">
        <f>IFERROR(INDEX(Scores!$BF$2:$BF$101,MATCH($B7,Scores!$BI$2:$BI$101,0)),"")</f>
        <v/>
      </c>
      <c r="I7">
        <f>IFERROR(INDEX(Scores!$BH$2:$BH$101,MATCH($B7,Scores!$BI$2:$BI$101,0)),"")</f>
        <v/>
      </c>
      <c r="J7">
        <f>IFERROR(INDEX(Scores!$Q$2:$Q$101,MATCH($B7,Scores!$BI$2:$BI$101,0)),"")</f>
        <v/>
      </c>
      <c r="K7">
        <f>IFERROR(INDEX(Scores!$AC$2:$AC$101,MATCH($B7,Scores!$BI$2:$BI$101,0)),"")</f>
        <v/>
      </c>
      <c r="L7">
        <f>IFERROR(INDEX(Scores!$AK$2:$AK$101,MATCH($B7,Scores!$BI$2:$BI$101,0)),"")</f>
        <v/>
      </c>
      <c r="M7">
        <f>IFERROR(INDEX(Scores!$AS$2:$AS$101,MATCH($B7,Scores!$BI$2:$BI$101,0)),"")</f>
        <v/>
      </c>
      <c r="N7">
        <f>IFERROR(INDEX(Scores!$BC$2:$BC$101,MATCH($B7,Scores!$BI$2:$BI$101,0)),"")</f>
        <v/>
      </c>
    </row>
    <row r="8">
      <c r="A8" t="inlineStr">
        <is>
          <t>Top 100</t>
        </is>
      </c>
      <c r="B8" t="n">
        <v>6</v>
      </c>
      <c r="C8">
        <f>IFERROR(INDEX(Scores!$BI$2:$BI$101,MATCH($B8,Scores!$BI$2:$BI$101,0)),"")</f>
        <v/>
      </c>
      <c r="D8">
        <f>IFERROR(INDEX(Scores!$B$2:$B$101,MATCH($B8,Scores!$BI$2:$BI$101,0)),"")</f>
        <v/>
      </c>
      <c r="E8">
        <f>IFERROR(INDEX(Scores!$C$2:$C$101,MATCH($B8,Scores!$BI$2:$BI$101,0)),"")</f>
        <v/>
      </c>
      <c r="F8">
        <f>IFERROR(INDEX(Scores!$D$2:$D$101,MATCH($B8,Scores!$BI$2:$BI$101,0)),"")</f>
        <v/>
      </c>
      <c r="G8">
        <f>IFERROR(INDEX(Scores!$E$2:$E$101,MATCH($B8,Scores!$BI$2:$BI$101,0)),"")</f>
        <v/>
      </c>
      <c r="H8">
        <f>IFERROR(INDEX(Scores!$BF$2:$BF$101,MATCH($B8,Scores!$BI$2:$BI$101,0)),"")</f>
        <v/>
      </c>
      <c r="I8">
        <f>IFERROR(INDEX(Scores!$BH$2:$BH$101,MATCH($B8,Scores!$BI$2:$BI$101,0)),"")</f>
        <v/>
      </c>
      <c r="J8">
        <f>IFERROR(INDEX(Scores!$Q$2:$Q$101,MATCH($B8,Scores!$BI$2:$BI$101,0)),"")</f>
        <v/>
      </c>
      <c r="K8">
        <f>IFERROR(INDEX(Scores!$AC$2:$AC$101,MATCH($B8,Scores!$BI$2:$BI$101,0)),"")</f>
        <v/>
      </c>
      <c r="L8">
        <f>IFERROR(INDEX(Scores!$AK$2:$AK$101,MATCH($B8,Scores!$BI$2:$BI$101,0)),"")</f>
        <v/>
      </c>
      <c r="M8">
        <f>IFERROR(INDEX(Scores!$AS$2:$AS$101,MATCH($B8,Scores!$BI$2:$BI$101,0)),"")</f>
        <v/>
      </c>
      <c r="N8">
        <f>IFERROR(INDEX(Scores!$BC$2:$BC$101,MATCH($B8,Scores!$BI$2:$BI$101,0)),"")</f>
        <v/>
      </c>
    </row>
    <row r="9">
      <c r="A9" t="inlineStr">
        <is>
          <t>Top 100</t>
        </is>
      </c>
      <c r="B9" t="n">
        <v>7</v>
      </c>
      <c r="C9">
        <f>IFERROR(INDEX(Scores!$BI$2:$BI$101,MATCH($B9,Scores!$BI$2:$BI$101,0)),"")</f>
        <v/>
      </c>
      <c r="D9">
        <f>IFERROR(INDEX(Scores!$B$2:$B$101,MATCH($B9,Scores!$BI$2:$BI$101,0)),"")</f>
        <v/>
      </c>
      <c r="E9">
        <f>IFERROR(INDEX(Scores!$C$2:$C$101,MATCH($B9,Scores!$BI$2:$BI$101,0)),"")</f>
        <v/>
      </c>
      <c r="F9">
        <f>IFERROR(INDEX(Scores!$D$2:$D$101,MATCH($B9,Scores!$BI$2:$BI$101,0)),"")</f>
        <v/>
      </c>
      <c r="G9">
        <f>IFERROR(INDEX(Scores!$E$2:$E$101,MATCH($B9,Scores!$BI$2:$BI$101,0)),"")</f>
        <v/>
      </c>
      <c r="H9">
        <f>IFERROR(INDEX(Scores!$BF$2:$BF$101,MATCH($B9,Scores!$BI$2:$BI$101,0)),"")</f>
        <v/>
      </c>
      <c r="I9">
        <f>IFERROR(INDEX(Scores!$BH$2:$BH$101,MATCH($B9,Scores!$BI$2:$BI$101,0)),"")</f>
        <v/>
      </c>
      <c r="J9">
        <f>IFERROR(INDEX(Scores!$Q$2:$Q$101,MATCH($B9,Scores!$BI$2:$BI$101,0)),"")</f>
        <v/>
      </c>
      <c r="K9">
        <f>IFERROR(INDEX(Scores!$AC$2:$AC$101,MATCH($B9,Scores!$BI$2:$BI$101,0)),"")</f>
        <v/>
      </c>
      <c r="L9">
        <f>IFERROR(INDEX(Scores!$AK$2:$AK$101,MATCH($B9,Scores!$BI$2:$BI$101,0)),"")</f>
        <v/>
      </c>
      <c r="M9">
        <f>IFERROR(INDEX(Scores!$AS$2:$AS$101,MATCH($B9,Scores!$BI$2:$BI$101,0)),"")</f>
        <v/>
      </c>
      <c r="N9">
        <f>IFERROR(INDEX(Scores!$BC$2:$BC$101,MATCH($B9,Scores!$BI$2:$BI$101,0)),"")</f>
        <v/>
      </c>
    </row>
    <row r="10">
      <c r="A10" t="inlineStr">
        <is>
          <t>Top 100</t>
        </is>
      </c>
      <c r="B10" t="n">
        <v>8</v>
      </c>
      <c r="C10">
        <f>IFERROR(INDEX(Scores!$BI$2:$BI$101,MATCH($B10,Scores!$BI$2:$BI$101,0)),"")</f>
        <v/>
      </c>
      <c r="D10">
        <f>IFERROR(INDEX(Scores!$B$2:$B$101,MATCH($B10,Scores!$BI$2:$BI$101,0)),"")</f>
        <v/>
      </c>
      <c r="E10">
        <f>IFERROR(INDEX(Scores!$C$2:$C$101,MATCH($B10,Scores!$BI$2:$BI$101,0)),"")</f>
        <v/>
      </c>
      <c r="F10">
        <f>IFERROR(INDEX(Scores!$D$2:$D$101,MATCH($B10,Scores!$BI$2:$BI$101,0)),"")</f>
        <v/>
      </c>
      <c r="G10">
        <f>IFERROR(INDEX(Scores!$E$2:$E$101,MATCH($B10,Scores!$BI$2:$BI$101,0)),"")</f>
        <v/>
      </c>
      <c r="H10">
        <f>IFERROR(INDEX(Scores!$BF$2:$BF$101,MATCH($B10,Scores!$BI$2:$BI$101,0)),"")</f>
        <v/>
      </c>
      <c r="I10">
        <f>IFERROR(INDEX(Scores!$BH$2:$BH$101,MATCH($B10,Scores!$BI$2:$BI$101,0)),"")</f>
        <v/>
      </c>
      <c r="J10">
        <f>IFERROR(INDEX(Scores!$Q$2:$Q$101,MATCH($B10,Scores!$BI$2:$BI$101,0)),"")</f>
        <v/>
      </c>
      <c r="K10">
        <f>IFERROR(INDEX(Scores!$AC$2:$AC$101,MATCH($B10,Scores!$BI$2:$BI$101,0)),"")</f>
        <v/>
      </c>
      <c r="L10">
        <f>IFERROR(INDEX(Scores!$AK$2:$AK$101,MATCH($B10,Scores!$BI$2:$BI$101,0)),"")</f>
        <v/>
      </c>
      <c r="M10">
        <f>IFERROR(INDEX(Scores!$AS$2:$AS$101,MATCH($B10,Scores!$BI$2:$BI$101,0)),"")</f>
        <v/>
      </c>
      <c r="N10">
        <f>IFERROR(INDEX(Scores!$BC$2:$BC$101,MATCH($B10,Scores!$BI$2:$BI$101,0)),"")</f>
        <v/>
      </c>
    </row>
    <row r="11">
      <c r="A11" t="inlineStr">
        <is>
          <t>Top 100</t>
        </is>
      </c>
      <c r="B11" t="n">
        <v>9</v>
      </c>
      <c r="C11">
        <f>IFERROR(INDEX(Scores!$BI$2:$BI$101,MATCH($B11,Scores!$BI$2:$BI$101,0)),"")</f>
        <v/>
      </c>
      <c r="D11">
        <f>IFERROR(INDEX(Scores!$B$2:$B$101,MATCH($B11,Scores!$BI$2:$BI$101,0)),"")</f>
        <v/>
      </c>
      <c r="E11">
        <f>IFERROR(INDEX(Scores!$C$2:$C$101,MATCH($B11,Scores!$BI$2:$BI$101,0)),"")</f>
        <v/>
      </c>
      <c r="F11">
        <f>IFERROR(INDEX(Scores!$D$2:$D$101,MATCH($B11,Scores!$BI$2:$BI$101,0)),"")</f>
        <v/>
      </c>
      <c r="G11">
        <f>IFERROR(INDEX(Scores!$E$2:$E$101,MATCH($B11,Scores!$BI$2:$BI$101,0)),"")</f>
        <v/>
      </c>
      <c r="H11">
        <f>IFERROR(INDEX(Scores!$BF$2:$BF$101,MATCH($B11,Scores!$BI$2:$BI$101,0)),"")</f>
        <v/>
      </c>
      <c r="I11">
        <f>IFERROR(INDEX(Scores!$BH$2:$BH$101,MATCH($B11,Scores!$BI$2:$BI$101,0)),"")</f>
        <v/>
      </c>
      <c r="J11">
        <f>IFERROR(INDEX(Scores!$Q$2:$Q$101,MATCH($B11,Scores!$BI$2:$BI$101,0)),"")</f>
        <v/>
      </c>
      <c r="K11">
        <f>IFERROR(INDEX(Scores!$AC$2:$AC$101,MATCH($B11,Scores!$BI$2:$BI$101,0)),"")</f>
        <v/>
      </c>
      <c r="L11">
        <f>IFERROR(INDEX(Scores!$AK$2:$AK$101,MATCH($B11,Scores!$BI$2:$BI$101,0)),"")</f>
        <v/>
      </c>
      <c r="M11">
        <f>IFERROR(INDEX(Scores!$AS$2:$AS$101,MATCH($B11,Scores!$BI$2:$BI$101,0)),"")</f>
        <v/>
      </c>
      <c r="N11">
        <f>IFERROR(INDEX(Scores!$BC$2:$BC$101,MATCH($B11,Scores!$BI$2:$BI$101,0)),"")</f>
        <v/>
      </c>
    </row>
    <row r="12">
      <c r="A12" t="inlineStr">
        <is>
          <t>Top 100</t>
        </is>
      </c>
      <c r="B12" t="n">
        <v>10</v>
      </c>
      <c r="C12">
        <f>IFERROR(INDEX(Scores!$BI$2:$BI$101,MATCH($B12,Scores!$BI$2:$BI$101,0)),"")</f>
        <v/>
      </c>
      <c r="D12">
        <f>IFERROR(INDEX(Scores!$B$2:$B$101,MATCH($B12,Scores!$BI$2:$BI$101,0)),"")</f>
        <v/>
      </c>
      <c r="E12">
        <f>IFERROR(INDEX(Scores!$C$2:$C$101,MATCH($B12,Scores!$BI$2:$BI$101,0)),"")</f>
        <v/>
      </c>
      <c r="F12">
        <f>IFERROR(INDEX(Scores!$D$2:$D$101,MATCH($B12,Scores!$BI$2:$BI$101,0)),"")</f>
        <v/>
      </c>
      <c r="G12">
        <f>IFERROR(INDEX(Scores!$E$2:$E$101,MATCH($B12,Scores!$BI$2:$BI$101,0)),"")</f>
        <v/>
      </c>
      <c r="H12">
        <f>IFERROR(INDEX(Scores!$BF$2:$BF$101,MATCH($B12,Scores!$BI$2:$BI$101,0)),"")</f>
        <v/>
      </c>
      <c r="I12">
        <f>IFERROR(INDEX(Scores!$BH$2:$BH$101,MATCH($B12,Scores!$BI$2:$BI$101,0)),"")</f>
        <v/>
      </c>
      <c r="J12">
        <f>IFERROR(INDEX(Scores!$Q$2:$Q$101,MATCH($B12,Scores!$BI$2:$BI$101,0)),"")</f>
        <v/>
      </c>
      <c r="K12">
        <f>IFERROR(INDEX(Scores!$AC$2:$AC$101,MATCH($B12,Scores!$BI$2:$BI$101,0)),"")</f>
        <v/>
      </c>
      <c r="L12">
        <f>IFERROR(INDEX(Scores!$AK$2:$AK$101,MATCH($B12,Scores!$BI$2:$BI$101,0)),"")</f>
        <v/>
      </c>
      <c r="M12">
        <f>IFERROR(INDEX(Scores!$AS$2:$AS$101,MATCH($B12,Scores!$BI$2:$BI$101,0)),"")</f>
        <v/>
      </c>
      <c r="N12">
        <f>IFERROR(INDEX(Scores!$BC$2:$BC$101,MATCH($B12,Scores!$BI$2:$BI$101,0)),"")</f>
        <v/>
      </c>
    </row>
    <row r="13">
      <c r="A13" t="inlineStr">
        <is>
          <t>Top 100</t>
        </is>
      </c>
      <c r="B13" t="n">
        <v>11</v>
      </c>
      <c r="C13">
        <f>IFERROR(INDEX(Scores!$BI$2:$BI$101,MATCH($B13,Scores!$BI$2:$BI$101,0)),"")</f>
        <v/>
      </c>
      <c r="D13">
        <f>IFERROR(INDEX(Scores!$B$2:$B$101,MATCH($B13,Scores!$BI$2:$BI$101,0)),"")</f>
        <v/>
      </c>
      <c r="E13">
        <f>IFERROR(INDEX(Scores!$C$2:$C$101,MATCH($B13,Scores!$BI$2:$BI$101,0)),"")</f>
        <v/>
      </c>
      <c r="F13">
        <f>IFERROR(INDEX(Scores!$D$2:$D$101,MATCH($B13,Scores!$BI$2:$BI$101,0)),"")</f>
        <v/>
      </c>
      <c r="G13">
        <f>IFERROR(INDEX(Scores!$E$2:$E$101,MATCH($B13,Scores!$BI$2:$BI$101,0)),"")</f>
        <v/>
      </c>
      <c r="H13">
        <f>IFERROR(INDEX(Scores!$BF$2:$BF$101,MATCH($B13,Scores!$BI$2:$BI$101,0)),"")</f>
        <v/>
      </c>
      <c r="I13">
        <f>IFERROR(INDEX(Scores!$BH$2:$BH$101,MATCH($B13,Scores!$BI$2:$BI$101,0)),"")</f>
        <v/>
      </c>
      <c r="J13">
        <f>IFERROR(INDEX(Scores!$Q$2:$Q$101,MATCH($B13,Scores!$BI$2:$BI$101,0)),"")</f>
        <v/>
      </c>
      <c r="K13">
        <f>IFERROR(INDEX(Scores!$AC$2:$AC$101,MATCH($B13,Scores!$BI$2:$BI$101,0)),"")</f>
        <v/>
      </c>
      <c r="L13">
        <f>IFERROR(INDEX(Scores!$AK$2:$AK$101,MATCH($B13,Scores!$BI$2:$BI$101,0)),"")</f>
        <v/>
      </c>
      <c r="M13">
        <f>IFERROR(INDEX(Scores!$AS$2:$AS$101,MATCH($B13,Scores!$BI$2:$BI$101,0)),"")</f>
        <v/>
      </c>
      <c r="N13">
        <f>IFERROR(INDEX(Scores!$BC$2:$BC$101,MATCH($B13,Scores!$BI$2:$BI$101,0)),"")</f>
        <v/>
      </c>
    </row>
    <row r="14">
      <c r="A14" t="inlineStr">
        <is>
          <t>Top 100</t>
        </is>
      </c>
      <c r="B14" t="n">
        <v>12</v>
      </c>
      <c r="C14">
        <f>IFERROR(INDEX(Scores!$BI$2:$BI$101,MATCH($B14,Scores!$BI$2:$BI$101,0)),"")</f>
        <v/>
      </c>
      <c r="D14">
        <f>IFERROR(INDEX(Scores!$B$2:$B$101,MATCH($B14,Scores!$BI$2:$BI$101,0)),"")</f>
        <v/>
      </c>
      <c r="E14">
        <f>IFERROR(INDEX(Scores!$C$2:$C$101,MATCH($B14,Scores!$BI$2:$BI$101,0)),"")</f>
        <v/>
      </c>
      <c r="F14">
        <f>IFERROR(INDEX(Scores!$D$2:$D$101,MATCH($B14,Scores!$BI$2:$BI$101,0)),"")</f>
        <v/>
      </c>
      <c r="G14">
        <f>IFERROR(INDEX(Scores!$E$2:$E$101,MATCH($B14,Scores!$BI$2:$BI$101,0)),"")</f>
        <v/>
      </c>
      <c r="H14">
        <f>IFERROR(INDEX(Scores!$BF$2:$BF$101,MATCH($B14,Scores!$BI$2:$BI$101,0)),"")</f>
        <v/>
      </c>
      <c r="I14">
        <f>IFERROR(INDEX(Scores!$BH$2:$BH$101,MATCH($B14,Scores!$BI$2:$BI$101,0)),"")</f>
        <v/>
      </c>
      <c r="J14">
        <f>IFERROR(INDEX(Scores!$Q$2:$Q$101,MATCH($B14,Scores!$BI$2:$BI$101,0)),"")</f>
        <v/>
      </c>
      <c r="K14">
        <f>IFERROR(INDEX(Scores!$AC$2:$AC$101,MATCH($B14,Scores!$BI$2:$BI$101,0)),"")</f>
        <v/>
      </c>
      <c r="L14">
        <f>IFERROR(INDEX(Scores!$AK$2:$AK$101,MATCH($B14,Scores!$BI$2:$BI$101,0)),"")</f>
        <v/>
      </c>
      <c r="M14">
        <f>IFERROR(INDEX(Scores!$AS$2:$AS$101,MATCH($B14,Scores!$BI$2:$BI$101,0)),"")</f>
        <v/>
      </c>
      <c r="N14">
        <f>IFERROR(INDEX(Scores!$BC$2:$BC$101,MATCH($B14,Scores!$BI$2:$BI$101,0)),"")</f>
        <v/>
      </c>
    </row>
    <row r="15">
      <c r="A15" t="inlineStr">
        <is>
          <t>Top 100</t>
        </is>
      </c>
      <c r="B15" t="n">
        <v>13</v>
      </c>
      <c r="C15">
        <f>IFERROR(INDEX(Scores!$BI$2:$BI$101,MATCH($B15,Scores!$BI$2:$BI$101,0)),"")</f>
        <v/>
      </c>
      <c r="D15">
        <f>IFERROR(INDEX(Scores!$B$2:$B$101,MATCH($B15,Scores!$BI$2:$BI$101,0)),"")</f>
        <v/>
      </c>
      <c r="E15">
        <f>IFERROR(INDEX(Scores!$C$2:$C$101,MATCH($B15,Scores!$BI$2:$BI$101,0)),"")</f>
        <v/>
      </c>
      <c r="F15">
        <f>IFERROR(INDEX(Scores!$D$2:$D$101,MATCH($B15,Scores!$BI$2:$BI$101,0)),"")</f>
        <v/>
      </c>
      <c r="G15">
        <f>IFERROR(INDEX(Scores!$E$2:$E$101,MATCH($B15,Scores!$BI$2:$BI$101,0)),"")</f>
        <v/>
      </c>
      <c r="H15">
        <f>IFERROR(INDEX(Scores!$BF$2:$BF$101,MATCH($B15,Scores!$BI$2:$BI$101,0)),"")</f>
        <v/>
      </c>
      <c r="I15">
        <f>IFERROR(INDEX(Scores!$BH$2:$BH$101,MATCH($B15,Scores!$BI$2:$BI$101,0)),"")</f>
        <v/>
      </c>
      <c r="J15">
        <f>IFERROR(INDEX(Scores!$Q$2:$Q$101,MATCH($B15,Scores!$BI$2:$BI$101,0)),"")</f>
        <v/>
      </c>
      <c r="K15">
        <f>IFERROR(INDEX(Scores!$AC$2:$AC$101,MATCH($B15,Scores!$BI$2:$BI$101,0)),"")</f>
        <v/>
      </c>
      <c r="L15">
        <f>IFERROR(INDEX(Scores!$AK$2:$AK$101,MATCH($B15,Scores!$BI$2:$BI$101,0)),"")</f>
        <v/>
      </c>
      <c r="M15">
        <f>IFERROR(INDEX(Scores!$AS$2:$AS$101,MATCH($B15,Scores!$BI$2:$BI$101,0)),"")</f>
        <v/>
      </c>
      <c r="N15">
        <f>IFERROR(INDEX(Scores!$BC$2:$BC$101,MATCH($B15,Scores!$BI$2:$BI$101,0)),"")</f>
        <v/>
      </c>
    </row>
    <row r="16">
      <c r="A16" t="inlineStr">
        <is>
          <t>Top 100</t>
        </is>
      </c>
      <c r="B16" t="n">
        <v>14</v>
      </c>
      <c r="C16">
        <f>IFERROR(INDEX(Scores!$BI$2:$BI$101,MATCH($B16,Scores!$BI$2:$BI$101,0)),"")</f>
        <v/>
      </c>
      <c r="D16">
        <f>IFERROR(INDEX(Scores!$B$2:$B$101,MATCH($B16,Scores!$BI$2:$BI$101,0)),"")</f>
        <v/>
      </c>
      <c r="E16">
        <f>IFERROR(INDEX(Scores!$C$2:$C$101,MATCH($B16,Scores!$BI$2:$BI$101,0)),"")</f>
        <v/>
      </c>
      <c r="F16">
        <f>IFERROR(INDEX(Scores!$D$2:$D$101,MATCH($B16,Scores!$BI$2:$BI$101,0)),"")</f>
        <v/>
      </c>
      <c r="G16">
        <f>IFERROR(INDEX(Scores!$E$2:$E$101,MATCH($B16,Scores!$BI$2:$BI$101,0)),"")</f>
        <v/>
      </c>
      <c r="H16">
        <f>IFERROR(INDEX(Scores!$BF$2:$BF$101,MATCH($B16,Scores!$BI$2:$BI$101,0)),"")</f>
        <v/>
      </c>
      <c r="I16">
        <f>IFERROR(INDEX(Scores!$BH$2:$BH$101,MATCH($B16,Scores!$BI$2:$BI$101,0)),"")</f>
        <v/>
      </c>
      <c r="J16">
        <f>IFERROR(INDEX(Scores!$Q$2:$Q$101,MATCH($B16,Scores!$BI$2:$BI$101,0)),"")</f>
        <v/>
      </c>
      <c r="K16">
        <f>IFERROR(INDEX(Scores!$AC$2:$AC$101,MATCH($B16,Scores!$BI$2:$BI$101,0)),"")</f>
        <v/>
      </c>
      <c r="L16">
        <f>IFERROR(INDEX(Scores!$AK$2:$AK$101,MATCH($B16,Scores!$BI$2:$BI$101,0)),"")</f>
        <v/>
      </c>
      <c r="M16">
        <f>IFERROR(INDEX(Scores!$AS$2:$AS$101,MATCH($B16,Scores!$BI$2:$BI$101,0)),"")</f>
        <v/>
      </c>
      <c r="N16">
        <f>IFERROR(INDEX(Scores!$BC$2:$BC$101,MATCH($B16,Scores!$BI$2:$BI$101,0)),"")</f>
        <v/>
      </c>
    </row>
    <row r="17">
      <c r="A17" t="inlineStr">
        <is>
          <t>Top 100</t>
        </is>
      </c>
      <c r="B17" t="n">
        <v>15</v>
      </c>
      <c r="C17">
        <f>IFERROR(INDEX(Scores!$BI$2:$BI$101,MATCH($B17,Scores!$BI$2:$BI$101,0)),"")</f>
        <v/>
      </c>
      <c r="D17">
        <f>IFERROR(INDEX(Scores!$B$2:$B$101,MATCH($B17,Scores!$BI$2:$BI$101,0)),"")</f>
        <v/>
      </c>
      <c r="E17">
        <f>IFERROR(INDEX(Scores!$C$2:$C$101,MATCH($B17,Scores!$BI$2:$BI$101,0)),"")</f>
        <v/>
      </c>
      <c r="F17">
        <f>IFERROR(INDEX(Scores!$D$2:$D$101,MATCH($B17,Scores!$BI$2:$BI$101,0)),"")</f>
        <v/>
      </c>
      <c r="G17">
        <f>IFERROR(INDEX(Scores!$E$2:$E$101,MATCH($B17,Scores!$BI$2:$BI$101,0)),"")</f>
        <v/>
      </c>
      <c r="H17">
        <f>IFERROR(INDEX(Scores!$BF$2:$BF$101,MATCH($B17,Scores!$BI$2:$BI$101,0)),"")</f>
        <v/>
      </c>
      <c r="I17">
        <f>IFERROR(INDEX(Scores!$BH$2:$BH$101,MATCH($B17,Scores!$BI$2:$BI$101,0)),"")</f>
        <v/>
      </c>
      <c r="J17">
        <f>IFERROR(INDEX(Scores!$Q$2:$Q$101,MATCH($B17,Scores!$BI$2:$BI$101,0)),"")</f>
        <v/>
      </c>
      <c r="K17">
        <f>IFERROR(INDEX(Scores!$AC$2:$AC$101,MATCH($B17,Scores!$BI$2:$BI$101,0)),"")</f>
        <v/>
      </c>
      <c r="L17">
        <f>IFERROR(INDEX(Scores!$AK$2:$AK$101,MATCH($B17,Scores!$BI$2:$BI$101,0)),"")</f>
        <v/>
      </c>
      <c r="M17">
        <f>IFERROR(INDEX(Scores!$AS$2:$AS$101,MATCH($B17,Scores!$BI$2:$BI$101,0)),"")</f>
        <v/>
      </c>
      <c r="N17">
        <f>IFERROR(INDEX(Scores!$BC$2:$BC$101,MATCH($B17,Scores!$BI$2:$BI$101,0)),"")</f>
        <v/>
      </c>
    </row>
    <row r="18">
      <c r="A18" t="inlineStr">
        <is>
          <t>Top 100</t>
        </is>
      </c>
      <c r="B18" t="n">
        <v>16</v>
      </c>
      <c r="C18">
        <f>IFERROR(INDEX(Scores!$BI$2:$BI$101,MATCH($B18,Scores!$BI$2:$BI$101,0)),"")</f>
        <v/>
      </c>
      <c r="D18">
        <f>IFERROR(INDEX(Scores!$B$2:$B$101,MATCH($B18,Scores!$BI$2:$BI$101,0)),"")</f>
        <v/>
      </c>
      <c r="E18">
        <f>IFERROR(INDEX(Scores!$C$2:$C$101,MATCH($B18,Scores!$BI$2:$BI$101,0)),"")</f>
        <v/>
      </c>
      <c r="F18">
        <f>IFERROR(INDEX(Scores!$D$2:$D$101,MATCH($B18,Scores!$BI$2:$BI$101,0)),"")</f>
        <v/>
      </c>
      <c r="G18">
        <f>IFERROR(INDEX(Scores!$E$2:$E$101,MATCH($B18,Scores!$BI$2:$BI$101,0)),"")</f>
        <v/>
      </c>
      <c r="H18">
        <f>IFERROR(INDEX(Scores!$BF$2:$BF$101,MATCH($B18,Scores!$BI$2:$BI$101,0)),"")</f>
        <v/>
      </c>
      <c r="I18">
        <f>IFERROR(INDEX(Scores!$BH$2:$BH$101,MATCH($B18,Scores!$BI$2:$BI$101,0)),"")</f>
        <v/>
      </c>
      <c r="J18">
        <f>IFERROR(INDEX(Scores!$Q$2:$Q$101,MATCH($B18,Scores!$BI$2:$BI$101,0)),"")</f>
        <v/>
      </c>
      <c r="K18">
        <f>IFERROR(INDEX(Scores!$AC$2:$AC$101,MATCH($B18,Scores!$BI$2:$BI$101,0)),"")</f>
        <v/>
      </c>
      <c r="L18">
        <f>IFERROR(INDEX(Scores!$AK$2:$AK$101,MATCH($B18,Scores!$BI$2:$BI$101,0)),"")</f>
        <v/>
      </c>
      <c r="M18">
        <f>IFERROR(INDEX(Scores!$AS$2:$AS$101,MATCH($B18,Scores!$BI$2:$BI$101,0)),"")</f>
        <v/>
      </c>
      <c r="N18">
        <f>IFERROR(INDEX(Scores!$BC$2:$BC$101,MATCH($B18,Scores!$BI$2:$BI$101,0)),"")</f>
        <v/>
      </c>
    </row>
    <row r="19">
      <c r="A19" t="inlineStr">
        <is>
          <t>Top 100</t>
        </is>
      </c>
      <c r="B19" t="n">
        <v>17</v>
      </c>
      <c r="C19">
        <f>IFERROR(INDEX(Scores!$BI$2:$BI$101,MATCH($B19,Scores!$BI$2:$BI$101,0)),"")</f>
        <v/>
      </c>
      <c r="D19">
        <f>IFERROR(INDEX(Scores!$B$2:$B$101,MATCH($B19,Scores!$BI$2:$BI$101,0)),"")</f>
        <v/>
      </c>
      <c r="E19">
        <f>IFERROR(INDEX(Scores!$C$2:$C$101,MATCH($B19,Scores!$BI$2:$BI$101,0)),"")</f>
        <v/>
      </c>
      <c r="F19">
        <f>IFERROR(INDEX(Scores!$D$2:$D$101,MATCH($B19,Scores!$BI$2:$BI$101,0)),"")</f>
        <v/>
      </c>
      <c r="G19">
        <f>IFERROR(INDEX(Scores!$E$2:$E$101,MATCH($B19,Scores!$BI$2:$BI$101,0)),"")</f>
        <v/>
      </c>
      <c r="H19">
        <f>IFERROR(INDEX(Scores!$BF$2:$BF$101,MATCH($B19,Scores!$BI$2:$BI$101,0)),"")</f>
        <v/>
      </c>
      <c r="I19">
        <f>IFERROR(INDEX(Scores!$BH$2:$BH$101,MATCH($B19,Scores!$BI$2:$BI$101,0)),"")</f>
        <v/>
      </c>
      <c r="J19">
        <f>IFERROR(INDEX(Scores!$Q$2:$Q$101,MATCH($B19,Scores!$BI$2:$BI$101,0)),"")</f>
        <v/>
      </c>
      <c r="K19">
        <f>IFERROR(INDEX(Scores!$AC$2:$AC$101,MATCH($B19,Scores!$BI$2:$BI$101,0)),"")</f>
        <v/>
      </c>
      <c r="L19">
        <f>IFERROR(INDEX(Scores!$AK$2:$AK$101,MATCH($B19,Scores!$BI$2:$BI$101,0)),"")</f>
        <v/>
      </c>
      <c r="M19">
        <f>IFERROR(INDEX(Scores!$AS$2:$AS$101,MATCH($B19,Scores!$BI$2:$BI$101,0)),"")</f>
        <v/>
      </c>
      <c r="N19">
        <f>IFERROR(INDEX(Scores!$BC$2:$BC$101,MATCH($B19,Scores!$BI$2:$BI$101,0)),"")</f>
        <v/>
      </c>
    </row>
    <row r="20">
      <c r="A20" t="inlineStr">
        <is>
          <t>Top 100</t>
        </is>
      </c>
      <c r="B20" t="n">
        <v>18</v>
      </c>
      <c r="C20">
        <f>IFERROR(INDEX(Scores!$BI$2:$BI$101,MATCH($B20,Scores!$BI$2:$BI$101,0)),"")</f>
        <v/>
      </c>
      <c r="D20">
        <f>IFERROR(INDEX(Scores!$B$2:$B$101,MATCH($B20,Scores!$BI$2:$BI$101,0)),"")</f>
        <v/>
      </c>
      <c r="E20">
        <f>IFERROR(INDEX(Scores!$C$2:$C$101,MATCH($B20,Scores!$BI$2:$BI$101,0)),"")</f>
        <v/>
      </c>
      <c r="F20">
        <f>IFERROR(INDEX(Scores!$D$2:$D$101,MATCH($B20,Scores!$BI$2:$BI$101,0)),"")</f>
        <v/>
      </c>
      <c r="G20">
        <f>IFERROR(INDEX(Scores!$E$2:$E$101,MATCH($B20,Scores!$BI$2:$BI$101,0)),"")</f>
        <v/>
      </c>
      <c r="H20">
        <f>IFERROR(INDEX(Scores!$BF$2:$BF$101,MATCH($B20,Scores!$BI$2:$BI$101,0)),"")</f>
        <v/>
      </c>
      <c r="I20">
        <f>IFERROR(INDEX(Scores!$BH$2:$BH$101,MATCH($B20,Scores!$BI$2:$BI$101,0)),"")</f>
        <v/>
      </c>
      <c r="J20">
        <f>IFERROR(INDEX(Scores!$Q$2:$Q$101,MATCH($B20,Scores!$BI$2:$BI$101,0)),"")</f>
        <v/>
      </c>
      <c r="K20">
        <f>IFERROR(INDEX(Scores!$AC$2:$AC$101,MATCH($B20,Scores!$BI$2:$BI$101,0)),"")</f>
        <v/>
      </c>
      <c r="L20">
        <f>IFERROR(INDEX(Scores!$AK$2:$AK$101,MATCH($B20,Scores!$BI$2:$BI$101,0)),"")</f>
        <v/>
      </c>
      <c r="M20">
        <f>IFERROR(INDEX(Scores!$AS$2:$AS$101,MATCH($B20,Scores!$BI$2:$BI$101,0)),"")</f>
        <v/>
      </c>
      <c r="N20">
        <f>IFERROR(INDEX(Scores!$BC$2:$BC$101,MATCH($B20,Scores!$BI$2:$BI$101,0)),"")</f>
        <v/>
      </c>
    </row>
    <row r="21">
      <c r="A21" t="inlineStr">
        <is>
          <t>Top 100</t>
        </is>
      </c>
      <c r="B21" t="n">
        <v>19</v>
      </c>
      <c r="C21">
        <f>IFERROR(INDEX(Scores!$BI$2:$BI$101,MATCH($B21,Scores!$BI$2:$BI$101,0)),"")</f>
        <v/>
      </c>
      <c r="D21">
        <f>IFERROR(INDEX(Scores!$B$2:$B$101,MATCH($B21,Scores!$BI$2:$BI$101,0)),"")</f>
        <v/>
      </c>
      <c r="E21">
        <f>IFERROR(INDEX(Scores!$C$2:$C$101,MATCH($B21,Scores!$BI$2:$BI$101,0)),"")</f>
        <v/>
      </c>
      <c r="F21">
        <f>IFERROR(INDEX(Scores!$D$2:$D$101,MATCH($B21,Scores!$BI$2:$BI$101,0)),"")</f>
        <v/>
      </c>
      <c r="G21">
        <f>IFERROR(INDEX(Scores!$E$2:$E$101,MATCH($B21,Scores!$BI$2:$BI$101,0)),"")</f>
        <v/>
      </c>
      <c r="H21">
        <f>IFERROR(INDEX(Scores!$BF$2:$BF$101,MATCH($B21,Scores!$BI$2:$BI$101,0)),"")</f>
        <v/>
      </c>
      <c r="I21">
        <f>IFERROR(INDEX(Scores!$BH$2:$BH$101,MATCH($B21,Scores!$BI$2:$BI$101,0)),"")</f>
        <v/>
      </c>
      <c r="J21">
        <f>IFERROR(INDEX(Scores!$Q$2:$Q$101,MATCH($B21,Scores!$BI$2:$BI$101,0)),"")</f>
        <v/>
      </c>
      <c r="K21">
        <f>IFERROR(INDEX(Scores!$AC$2:$AC$101,MATCH($B21,Scores!$BI$2:$BI$101,0)),"")</f>
        <v/>
      </c>
      <c r="L21">
        <f>IFERROR(INDEX(Scores!$AK$2:$AK$101,MATCH($B21,Scores!$BI$2:$BI$101,0)),"")</f>
        <v/>
      </c>
      <c r="M21">
        <f>IFERROR(INDEX(Scores!$AS$2:$AS$101,MATCH($B21,Scores!$BI$2:$BI$101,0)),"")</f>
        <v/>
      </c>
      <c r="N21">
        <f>IFERROR(INDEX(Scores!$BC$2:$BC$101,MATCH($B21,Scores!$BI$2:$BI$101,0)),"")</f>
        <v/>
      </c>
    </row>
    <row r="22">
      <c r="A22" t="inlineStr">
        <is>
          <t>Top 100</t>
        </is>
      </c>
      <c r="B22" t="n">
        <v>20</v>
      </c>
      <c r="C22">
        <f>IFERROR(INDEX(Scores!$BI$2:$BI$101,MATCH($B22,Scores!$BI$2:$BI$101,0)),"")</f>
        <v/>
      </c>
      <c r="D22">
        <f>IFERROR(INDEX(Scores!$B$2:$B$101,MATCH($B22,Scores!$BI$2:$BI$101,0)),"")</f>
        <v/>
      </c>
      <c r="E22">
        <f>IFERROR(INDEX(Scores!$C$2:$C$101,MATCH($B22,Scores!$BI$2:$BI$101,0)),"")</f>
        <v/>
      </c>
      <c r="F22">
        <f>IFERROR(INDEX(Scores!$D$2:$D$101,MATCH($B22,Scores!$BI$2:$BI$101,0)),"")</f>
        <v/>
      </c>
      <c r="G22">
        <f>IFERROR(INDEX(Scores!$E$2:$E$101,MATCH($B22,Scores!$BI$2:$BI$101,0)),"")</f>
        <v/>
      </c>
      <c r="H22">
        <f>IFERROR(INDEX(Scores!$BF$2:$BF$101,MATCH($B22,Scores!$BI$2:$BI$101,0)),"")</f>
        <v/>
      </c>
      <c r="I22">
        <f>IFERROR(INDEX(Scores!$BH$2:$BH$101,MATCH($B22,Scores!$BI$2:$BI$101,0)),"")</f>
        <v/>
      </c>
      <c r="J22">
        <f>IFERROR(INDEX(Scores!$Q$2:$Q$101,MATCH($B22,Scores!$BI$2:$BI$101,0)),"")</f>
        <v/>
      </c>
      <c r="K22">
        <f>IFERROR(INDEX(Scores!$AC$2:$AC$101,MATCH($B22,Scores!$BI$2:$BI$101,0)),"")</f>
        <v/>
      </c>
      <c r="L22">
        <f>IFERROR(INDEX(Scores!$AK$2:$AK$101,MATCH($B22,Scores!$BI$2:$BI$101,0)),"")</f>
        <v/>
      </c>
      <c r="M22">
        <f>IFERROR(INDEX(Scores!$AS$2:$AS$101,MATCH($B22,Scores!$BI$2:$BI$101,0)),"")</f>
        <v/>
      </c>
      <c r="N22">
        <f>IFERROR(INDEX(Scores!$BC$2:$BC$101,MATCH($B22,Scores!$BI$2:$BI$101,0)),"")</f>
        <v/>
      </c>
    </row>
    <row r="23">
      <c r="A23" t="inlineStr">
        <is>
          <t>Top 100</t>
        </is>
      </c>
      <c r="B23" t="n">
        <v>21</v>
      </c>
      <c r="C23">
        <f>IFERROR(INDEX(Scores!$BI$2:$BI$101,MATCH($B23,Scores!$BI$2:$BI$101,0)),"")</f>
        <v/>
      </c>
      <c r="D23">
        <f>IFERROR(INDEX(Scores!$B$2:$B$101,MATCH($B23,Scores!$BI$2:$BI$101,0)),"")</f>
        <v/>
      </c>
      <c r="E23">
        <f>IFERROR(INDEX(Scores!$C$2:$C$101,MATCH($B23,Scores!$BI$2:$BI$101,0)),"")</f>
        <v/>
      </c>
      <c r="F23">
        <f>IFERROR(INDEX(Scores!$D$2:$D$101,MATCH($B23,Scores!$BI$2:$BI$101,0)),"")</f>
        <v/>
      </c>
      <c r="G23">
        <f>IFERROR(INDEX(Scores!$E$2:$E$101,MATCH($B23,Scores!$BI$2:$BI$101,0)),"")</f>
        <v/>
      </c>
      <c r="H23">
        <f>IFERROR(INDEX(Scores!$BF$2:$BF$101,MATCH($B23,Scores!$BI$2:$BI$101,0)),"")</f>
        <v/>
      </c>
      <c r="I23">
        <f>IFERROR(INDEX(Scores!$BH$2:$BH$101,MATCH($B23,Scores!$BI$2:$BI$101,0)),"")</f>
        <v/>
      </c>
      <c r="J23">
        <f>IFERROR(INDEX(Scores!$Q$2:$Q$101,MATCH($B23,Scores!$BI$2:$BI$101,0)),"")</f>
        <v/>
      </c>
      <c r="K23">
        <f>IFERROR(INDEX(Scores!$AC$2:$AC$101,MATCH($B23,Scores!$BI$2:$BI$101,0)),"")</f>
        <v/>
      </c>
      <c r="L23">
        <f>IFERROR(INDEX(Scores!$AK$2:$AK$101,MATCH($B23,Scores!$BI$2:$BI$101,0)),"")</f>
        <v/>
      </c>
      <c r="M23">
        <f>IFERROR(INDEX(Scores!$AS$2:$AS$101,MATCH($B23,Scores!$BI$2:$BI$101,0)),"")</f>
        <v/>
      </c>
      <c r="N23">
        <f>IFERROR(INDEX(Scores!$BC$2:$BC$101,MATCH($B23,Scores!$BI$2:$BI$101,0)),"")</f>
        <v/>
      </c>
    </row>
    <row r="24">
      <c r="A24" t="inlineStr">
        <is>
          <t>Top 100</t>
        </is>
      </c>
      <c r="B24" t="n">
        <v>22</v>
      </c>
      <c r="C24">
        <f>IFERROR(INDEX(Scores!$BI$2:$BI$101,MATCH($B24,Scores!$BI$2:$BI$101,0)),"")</f>
        <v/>
      </c>
      <c r="D24">
        <f>IFERROR(INDEX(Scores!$B$2:$B$101,MATCH($B24,Scores!$BI$2:$BI$101,0)),"")</f>
        <v/>
      </c>
      <c r="E24">
        <f>IFERROR(INDEX(Scores!$C$2:$C$101,MATCH($B24,Scores!$BI$2:$BI$101,0)),"")</f>
        <v/>
      </c>
      <c r="F24">
        <f>IFERROR(INDEX(Scores!$D$2:$D$101,MATCH($B24,Scores!$BI$2:$BI$101,0)),"")</f>
        <v/>
      </c>
      <c r="G24">
        <f>IFERROR(INDEX(Scores!$E$2:$E$101,MATCH($B24,Scores!$BI$2:$BI$101,0)),"")</f>
        <v/>
      </c>
      <c r="H24">
        <f>IFERROR(INDEX(Scores!$BF$2:$BF$101,MATCH($B24,Scores!$BI$2:$BI$101,0)),"")</f>
        <v/>
      </c>
      <c r="I24">
        <f>IFERROR(INDEX(Scores!$BH$2:$BH$101,MATCH($B24,Scores!$BI$2:$BI$101,0)),"")</f>
        <v/>
      </c>
      <c r="J24">
        <f>IFERROR(INDEX(Scores!$Q$2:$Q$101,MATCH($B24,Scores!$BI$2:$BI$101,0)),"")</f>
        <v/>
      </c>
      <c r="K24">
        <f>IFERROR(INDEX(Scores!$AC$2:$AC$101,MATCH($B24,Scores!$BI$2:$BI$101,0)),"")</f>
        <v/>
      </c>
      <c r="L24">
        <f>IFERROR(INDEX(Scores!$AK$2:$AK$101,MATCH($B24,Scores!$BI$2:$BI$101,0)),"")</f>
        <v/>
      </c>
      <c r="M24">
        <f>IFERROR(INDEX(Scores!$AS$2:$AS$101,MATCH($B24,Scores!$BI$2:$BI$101,0)),"")</f>
        <v/>
      </c>
      <c r="N24">
        <f>IFERROR(INDEX(Scores!$BC$2:$BC$101,MATCH($B24,Scores!$BI$2:$BI$101,0)),"")</f>
        <v/>
      </c>
    </row>
    <row r="25">
      <c r="A25" t="inlineStr">
        <is>
          <t>Top 100</t>
        </is>
      </c>
      <c r="B25" t="n">
        <v>23</v>
      </c>
      <c r="C25">
        <f>IFERROR(INDEX(Scores!$BI$2:$BI$101,MATCH($B25,Scores!$BI$2:$BI$101,0)),"")</f>
        <v/>
      </c>
      <c r="D25">
        <f>IFERROR(INDEX(Scores!$B$2:$B$101,MATCH($B25,Scores!$BI$2:$BI$101,0)),"")</f>
        <v/>
      </c>
      <c r="E25">
        <f>IFERROR(INDEX(Scores!$C$2:$C$101,MATCH($B25,Scores!$BI$2:$BI$101,0)),"")</f>
        <v/>
      </c>
      <c r="F25">
        <f>IFERROR(INDEX(Scores!$D$2:$D$101,MATCH($B25,Scores!$BI$2:$BI$101,0)),"")</f>
        <v/>
      </c>
      <c r="G25">
        <f>IFERROR(INDEX(Scores!$E$2:$E$101,MATCH($B25,Scores!$BI$2:$BI$101,0)),"")</f>
        <v/>
      </c>
      <c r="H25">
        <f>IFERROR(INDEX(Scores!$BF$2:$BF$101,MATCH($B25,Scores!$BI$2:$BI$101,0)),"")</f>
        <v/>
      </c>
      <c r="I25">
        <f>IFERROR(INDEX(Scores!$BH$2:$BH$101,MATCH($B25,Scores!$BI$2:$BI$101,0)),"")</f>
        <v/>
      </c>
      <c r="J25">
        <f>IFERROR(INDEX(Scores!$Q$2:$Q$101,MATCH($B25,Scores!$BI$2:$BI$101,0)),"")</f>
        <v/>
      </c>
      <c r="K25">
        <f>IFERROR(INDEX(Scores!$AC$2:$AC$101,MATCH($B25,Scores!$BI$2:$BI$101,0)),"")</f>
        <v/>
      </c>
      <c r="L25">
        <f>IFERROR(INDEX(Scores!$AK$2:$AK$101,MATCH($B25,Scores!$BI$2:$BI$101,0)),"")</f>
        <v/>
      </c>
      <c r="M25">
        <f>IFERROR(INDEX(Scores!$AS$2:$AS$101,MATCH($B25,Scores!$BI$2:$BI$101,0)),"")</f>
        <v/>
      </c>
      <c r="N25">
        <f>IFERROR(INDEX(Scores!$BC$2:$BC$101,MATCH($B25,Scores!$BI$2:$BI$101,0)),"")</f>
        <v/>
      </c>
    </row>
    <row r="26">
      <c r="A26" t="inlineStr">
        <is>
          <t>Top 100</t>
        </is>
      </c>
      <c r="B26" t="n">
        <v>24</v>
      </c>
      <c r="C26">
        <f>IFERROR(INDEX(Scores!$BI$2:$BI$101,MATCH($B26,Scores!$BI$2:$BI$101,0)),"")</f>
        <v/>
      </c>
      <c r="D26">
        <f>IFERROR(INDEX(Scores!$B$2:$B$101,MATCH($B26,Scores!$BI$2:$BI$101,0)),"")</f>
        <v/>
      </c>
      <c r="E26">
        <f>IFERROR(INDEX(Scores!$C$2:$C$101,MATCH($B26,Scores!$BI$2:$BI$101,0)),"")</f>
        <v/>
      </c>
      <c r="F26">
        <f>IFERROR(INDEX(Scores!$D$2:$D$101,MATCH($B26,Scores!$BI$2:$BI$101,0)),"")</f>
        <v/>
      </c>
      <c r="G26">
        <f>IFERROR(INDEX(Scores!$E$2:$E$101,MATCH($B26,Scores!$BI$2:$BI$101,0)),"")</f>
        <v/>
      </c>
      <c r="H26">
        <f>IFERROR(INDEX(Scores!$BF$2:$BF$101,MATCH($B26,Scores!$BI$2:$BI$101,0)),"")</f>
        <v/>
      </c>
      <c r="I26">
        <f>IFERROR(INDEX(Scores!$BH$2:$BH$101,MATCH($B26,Scores!$BI$2:$BI$101,0)),"")</f>
        <v/>
      </c>
      <c r="J26">
        <f>IFERROR(INDEX(Scores!$Q$2:$Q$101,MATCH($B26,Scores!$BI$2:$BI$101,0)),"")</f>
        <v/>
      </c>
      <c r="K26">
        <f>IFERROR(INDEX(Scores!$AC$2:$AC$101,MATCH($B26,Scores!$BI$2:$BI$101,0)),"")</f>
        <v/>
      </c>
      <c r="L26">
        <f>IFERROR(INDEX(Scores!$AK$2:$AK$101,MATCH($B26,Scores!$BI$2:$BI$101,0)),"")</f>
        <v/>
      </c>
      <c r="M26">
        <f>IFERROR(INDEX(Scores!$AS$2:$AS$101,MATCH($B26,Scores!$BI$2:$BI$101,0)),"")</f>
        <v/>
      </c>
      <c r="N26">
        <f>IFERROR(INDEX(Scores!$BC$2:$BC$101,MATCH($B26,Scores!$BI$2:$BI$101,0)),"")</f>
        <v/>
      </c>
    </row>
    <row r="27">
      <c r="A27" t="inlineStr">
        <is>
          <t>Top 100</t>
        </is>
      </c>
      <c r="B27" t="n">
        <v>25</v>
      </c>
      <c r="C27">
        <f>IFERROR(INDEX(Scores!$BI$2:$BI$101,MATCH($B27,Scores!$BI$2:$BI$101,0)),"")</f>
        <v/>
      </c>
      <c r="D27">
        <f>IFERROR(INDEX(Scores!$B$2:$B$101,MATCH($B27,Scores!$BI$2:$BI$101,0)),"")</f>
        <v/>
      </c>
      <c r="E27">
        <f>IFERROR(INDEX(Scores!$C$2:$C$101,MATCH($B27,Scores!$BI$2:$BI$101,0)),"")</f>
        <v/>
      </c>
      <c r="F27">
        <f>IFERROR(INDEX(Scores!$D$2:$D$101,MATCH($B27,Scores!$BI$2:$BI$101,0)),"")</f>
        <v/>
      </c>
      <c r="G27">
        <f>IFERROR(INDEX(Scores!$E$2:$E$101,MATCH($B27,Scores!$BI$2:$BI$101,0)),"")</f>
        <v/>
      </c>
      <c r="H27">
        <f>IFERROR(INDEX(Scores!$BF$2:$BF$101,MATCH($B27,Scores!$BI$2:$BI$101,0)),"")</f>
        <v/>
      </c>
      <c r="I27">
        <f>IFERROR(INDEX(Scores!$BH$2:$BH$101,MATCH($B27,Scores!$BI$2:$BI$101,0)),"")</f>
        <v/>
      </c>
      <c r="J27">
        <f>IFERROR(INDEX(Scores!$Q$2:$Q$101,MATCH($B27,Scores!$BI$2:$BI$101,0)),"")</f>
        <v/>
      </c>
      <c r="K27">
        <f>IFERROR(INDEX(Scores!$AC$2:$AC$101,MATCH($B27,Scores!$BI$2:$BI$101,0)),"")</f>
        <v/>
      </c>
      <c r="L27">
        <f>IFERROR(INDEX(Scores!$AK$2:$AK$101,MATCH($B27,Scores!$BI$2:$BI$101,0)),"")</f>
        <v/>
      </c>
      <c r="M27">
        <f>IFERROR(INDEX(Scores!$AS$2:$AS$101,MATCH($B27,Scores!$BI$2:$BI$101,0)),"")</f>
        <v/>
      </c>
      <c r="N27">
        <f>IFERROR(INDEX(Scores!$BC$2:$BC$101,MATCH($B27,Scores!$BI$2:$BI$101,0)),"")</f>
        <v/>
      </c>
    </row>
    <row r="28">
      <c r="A28" t="inlineStr">
        <is>
          <t>Top 100</t>
        </is>
      </c>
      <c r="B28" t="n">
        <v>26</v>
      </c>
      <c r="C28">
        <f>IFERROR(INDEX(Scores!$BI$2:$BI$101,MATCH($B28,Scores!$BI$2:$BI$101,0)),"")</f>
        <v/>
      </c>
      <c r="D28">
        <f>IFERROR(INDEX(Scores!$B$2:$B$101,MATCH($B28,Scores!$BI$2:$BI$101,0)),"")</f>
        <v/>
      </c>
      <c r="E28">
        <f>IFERROR(INDEX(Scores!$C$2:$C$101,MATCH($B28,Scores!$BI$2:$BI$101,0)),"")</f>
        <v/>
      </c>
      <c r="F28">
        <f>IFERROR(INDEX(Scores!$D$2:$D$101,MATCH($B28,Scores!$BI$2:$BI$101,0)),"")</f>
        <v/>
      </c>
      <c r="G28">
        <f>IFERROR(INDEX(Scores!$E$2:$E$101,MATCH($B28,Scores!$BI$2:$BI$101,0)),"")</f>
        <v/>
      </c>
      <c r="H28">
        <f>IFERROR(INDEX(Scores!$BF$2:$BF$101,MATCH($B28,Scores!$BI$2:$BI$101,0)),"")</f>
        <v/>
      </c>
      <c r="I28">
        <f>IFERROR(INDEX(Scores!$BH$2:$BH$101,MATCH($B28,Scores!$BI$2:$BI$101,0)),"")</f>
        <v/>
      </c>
      <c r="J28">
        <f>IFERROR(INDEX(Scores!$Q$2:$Q$101,MATCH($B28,Scores!$BI$2:$BI$101,0)),"")</f>
        <v/>
      </c>
      <c r="K28">
        <f>IFERROR(INDEX(Scores!$AC$2:$AC$101,MATCH($B28,Scores!$BI$2:$BI$101,0)),"")</f>
        <v/>
      </c>
      <c r="L28">
        <f>IFERROR(INDEX(Scores!$AK$2:$AK$101,MATCH($B28,Scores!$BI$2:$BI$101,0)),"")</f>
        <v/>
      </c>
      <c r="M28">
        <f>IFERROR(INDEX(Scores!$AS$2:$AS$101,MATCH($B28,Scores!$BI$2:$BI$101,0)),"")</f>
        <v/>
      </c>
      <c r="N28">
        <f>IFERROR(INDEX(Scores!$BC$2:$BC$101,MATCH($B28,Scores!$BI$2:$BI$101,0)),"")</f>
        <v/>
      </c>
    </row>
    <row r="29">
      <c r="A29" t="inlineStr">
        <is>
          <t>Top 100</t>
        </is>
      </c>
      <c r="B29" t="n">
        <v>27</v>
      </c>
      <c r="C29">
        <f>IFERROR(INDEX(Scores!$BI$2:$BI$101,MATCH($B29,Scores!$BI$2:$BI$101,0)),"")</f>
        <v/>
      </c>
      <c r="D29">
        <f>IFERROR(INDEX(Scores!$B$2:$B$101,MATCH($B29,Scores!$BI$2:$BI$101,0)),"")</f>
        <v/>
      </c>
      <c r="E29">
        <f>IFERROR(INDEX(Scores!$C$2:$C$101,MATCH($B29,Scores!$BI$2:$BI$101,0)),"")</f>
        <v/>
      </c>
      <c r="F29">
        <f>IFERROR(INDEX(Scores!$D$2:$D$101,MATCH($B29,Scores!$BI$2:$BI$101,0)),"")</f>
        <v/>
      </c>
      <c r="G29">
        <f>IFERROR(INDEX(Scores!$E$2:$E$101,MATCH($B29,Scores!$BI$2:$BI$101,0)),"")</f>
        <v/>
      </c>
      <c r="H29">
        <f>IFERROR(INDEX(Scores!$BF$2:$BF$101,MATCH($B29,Scores!$BI$2:$BI$101,0)),"")</f>
        <v/>
      </c>
      <c r="I29">
        <f>IFERROR(INDEX(Scores!$BH$2:$BH$101,MATCH($B29,Scores!$BI$2:$BI$101,0)),"")</f>
        <v/>
      </c>
      <c r="J29">
        <f>IFERROR(INDEX(Scores!$Q$2:$Q$101,MATCH($B29,Scores!$BI$2:$BI$101,0)),"")</f>
        <v/>
      </c>
      <c r="K29">
        <f>IFERROR(INDEX(Scores!$AC$2:$AC$101,MATCH($B29,Scores!$BI$2:$BI$101,0)),"")</f>
        <v/>
      </c>
      <c r="L29">
        <f>IFERROR(INDEX(Scores!$AK$2:$AK$101,MATCH($B29,Scores!$BI$2:$BI$101,0)),"")</f>
        <v/>
      </c>
      <c r="M29">
        <f>IFERROR(INDEX(Scores!$AS$2:$AS$101,MATCH($B29,Scores!$BI$2:$BI$101,0)),"")</f>
        <v/>
      </c>
      <c r="N29">
        <f>IFERROR(INDEX(Scores!$BC$2:$BC$101,MATCH($B29,Scores!$BI$2:$BI$101,0)),"")</f>
        <v/>
      </c>
    </row>
    <row r="30">
      <c r="A30" t="inlineStr">
        <is>
          <t>Top 100</t>
        </is>
      </c>
      <c r="B30" t="n">
        <v>28</v>
      </c>
      <c r="C30">
        <f>IFERROR(INDEX(Scores!$BI$2:$BI$101,MATCH($B30,Scores!$BI$2:$BI$101,0)),"")</f>
        <v/>
      </c>
      <c r="D30">
        <f>IFERROR(INDEX(Scores!$B$2:$B$101,MATCH($B30,Scores!$BI$2:$BI$101,0)),"")</f>
        <v/>
      </c>
      <c r="E30">
        <f>IFERROR(INDEX(Scores!$C$2:$C$101,MATCH($B30,Scores!$BI$2:$BI$101,0)),"")</f>
        <v/>
      </c>
      <c r="F30">
        <f>IFERROR(INDEX(Scores!$D$2:$D$101,MATCH($B30,Scores!$BI$2:$BI$101,0)),"")</f>
        <v/>
      </c>
      <c r="G30">
        <f>IFERROR(INDEX(Scores!$E$2:$E$101,MATCH($B30,Scores!$BI$2:$BI$101,0)),"")</f>
        <v/>
      </c>
      <c r="H30">
        <f>IFERROR(INDEX(Scores!$BF$2:$BF$101,MATCH($B30,Scores!$BI$2:$BI$101,0)),"")</f>
        <v/>
      </c>
      <c r="I30">
        <f>IFERROR(INDEX(Scores!$BH$2:$BH$101,MATCH($B30,Scores!$BI$2:$BI$101,0)),"")</f>
        <v/>
      </c>
      <c r="J30">
        <f>IFERROR(INDEX(Scores!$Q$2:$Q$101,MATCH($B30,Scores!$BI$2:$BI$101,0)),"")</f>
        <v/>
      </c>
      <c r="K30">
        <f>IFERROR(INDEX(Scores!$AC$2:$AC$101,MATCH($B30,Scores!$BI$2:$BI$101,0)),"")</f>
        <v/>
      </c>
      <c r="L30">
        <f>IFERROR(INDEX(Scores!$AK$2:$AK$101,MATCH($B30,Scores!$BI$2:$BI$101,0)),"")</f>
        <v/>
      </c>
      <c r="M30">
        <f>IFERROR(INDEX(Scores!$AS$2:$AS$101,MATCH($B30,Scores!$BI$2:$BI$101,0)),"")</f>
        <v/>
      </c>
      <c r="N30">
        <f>IFERROR(INDEX(Scores!$BC$2:$BC$101,MATCH($B30,Scores!$BI$2:$BI$101,0)),"")</f>
        <v/>
      </c>
    </row>
    <row r="31">
      <c r="A31" t="inlineStr">
        <is>
          <t>Top 100</t>
        </is>
      </c>
      <c r="B31" t="n">
        <v>29</v>
      </c>
      <c r="C31">
        <f>IFERROR(INDEX(Scores!$BI$2:$BI$101,MATCH($B31,Scores!$BI$2:$BI$101,0)),"")</f>
        <v/>
      </c>
      <c r="D31">
        <f>IFERROR(INDEX(Scores!$B$2:$B$101,MATCH($B31,Scores!$BI$2:$BI$101,0)),"")</f>
        <v/>
      </c>
      <c r="E31">
        <f>IFERROR(INDEX(Scores!$C$2:$C$101,MATCH($B31,Scores!$BI$2:$BI$101,0)),"")</f>
        <v/>
      </c>
      <c r="F31">
        <f>IFERROR(INDEX(Scores!$D$2:$D$101,MATCH($B31,Scores!$BI$2:$BI$101,0)),"")</f>
        <v/>
      </c>
      <c r="G31">
        <f>IFERROR(INDEX(Scores!$E$2:$E$101,MATCH($B31,Scores!$BI$2:$BI$101,0)),"")</f>
        <v/>
      </c>
      <c r="H31">
        <f>IFERROR(INDEX(Scores!$BF$2:$BF$101,MATCH($B31,Scores!$BI$2:$BI$101,0)),"")</f>
        <v/>
      </c>
      <c r="I31">
        <f>IFERROR(INDEX(Scores!$BH$2:$BH$101,MATCH($B31,Scores!$BI$2:$BI$101,0)),"")</f>
        <v/>
      </c>
      <c r="J31">
        <f>IFERROR(INDEX(Scores!$Q$2:$Q$101,MATCH($B31,Scores!$BI$2:$BI$101,0)),"")</f>
        <v/>
      </c>
      <c r="K31">
        <f>IFERROR(INDEX(Scores!$AC$2:$AC$101,MATCH($B31,Scores!$BI$2:$BI$101,0)),"")</f>
        <v/>
      </c>
      <c r="L31">
        <f>IFERROR(INDEX(Scores!$AK$2:$AK$101,MATCH($B31,Scores!$BI$2:$BI$101,0)),"")</f>
        <v/>
      </c>
      <c r="M31">
        <f>IFERROR(INDEX(Scores!$AS$2:$AS$101,MATCH($B31,Scores!$BI$2:$BI$101,0)),"")</f>
        <v/>
      </c>
      <c r="N31">
        <f>IFERROR(INDEX(Scores!$BC$2:$BC$101,MATCH($B31,Scores!$BI$2:$BI$101,0)),"")</f>
        <v/>
      </c>
    </row>
    <row r="32">
      <c r="A32" t="inlineStr">
        <is>
          <t>Top 100</t>
        </is>
      </c>
      <c r="B32" t="n">
        <v>30</v>
      </c>
      <c r="C32">
        <f>IFERROR(INDEX(Scores!$BI$2:$BI$101,MATCH($B32,Scores!$BI$2:$BI$101,0)),"")</f>
        <v/>
      </c>
      <c r="D32">
        <f>IFERROR(INDEX(Scores!$B$2:$B$101,MATCH($B32,Scores!$BI$2:$BI$101,0)),"")</f>
        <v/>
      </c>
      <c r="E32">
        <f>IFERROR(INDEX(Scores!$C$2:$C$101,MATCH($B32,Scores!$BI$2:$BI$101,0)),"")</f>
        <v/>
      </c>
      <c r="F32">
        <f>IFERROR(INDEX(Scores!$D$2:$D$101,MATCH($B32,Scores!$BI$2:$BI$101,0)),"")</f>
        <v/>
      </c>
      <c r="G32">
        <f>IFERROR(INDEX(Scores!$E$2:$E$101,MATCH($B32,Scores!$BI$2:$BI$101,0)),"")</f>
        <v/>
      </c>
      <c r="H32">
        <f>IFERROR(INDEX(Scores!$BF$2:$BF$101,MATCH($B32,Scores!$BI$2:$BI$101,0)),"")</f>
        <v/>
      </c>
      <c r="I32">
        <f>IFERROR(INDEX(Scores!$BH$2:$BH$101,MATCH($B32,Scores!$BI$2:$BI$101,0)),"")</f>
        <v/>
      </c>
      <c r="J32">
        <f>IFERROR(INDEX(Scores!$Q$2:$Q$101,MATCH($B32,Scores!$BI$2:$BI$101,0)),"")</f>
        <v/>
      </c>
      <c r="K32">
        <f>IFERROR(INDEX(Scores!$AC$2:$AC$101,MATCH($B32,Scores!$BI$2:$BI$101,0)),"")</f>
        <v/>
      </c>
      <c r="L32">
        <f>IFERROR(INDEX(Scores!$AK$2:$AK$101,MATCH($B32,Scores!$BI$2:$BI$101,0)),"")</f>
        <v/>
      </c>
      <c r="M32">
        <f>IFERROR(INDEX(Scores!$AS$2:$AS$101,MATCH($B32,Scores!$BI$2:$BI$101,0)),"")</f>
        <v/>
      </c>
      <c r="N32">
        <f>IFERROR(INDEX(Scores!$BC$2:$BC$101,MATCH($B32,Scores!$BI$2:$BI$101,0)),"")</f>
        <v/>
      </c>
    </row>
    <row r="33">
      <c r="A33" t="inlineStr">
        <is>
          <t>Top 100</t>
        </is>
      </c>
      <c r="B33" t="n">
        <v>31</v>
      </c>
      <c r="C33">
        <f>IFERROR(INDEX(Scores!$BI$2:$BI$101,MATCH($B33,Scores!$BI$2:$BI$101,0)),"")</f>
        <v/>
      </c>
      <c r="D33">
        <f>IFERROR(INDEX(Scores!$B$2:$B$101,MATCH($B33,Scores!$BI$2:$BI$101,0)),"")</f>
        <v/>
      </c>
      <c r="E33">
        <f>IFERROR(INDEX(Scores!$C$2:$C$101,MATCH($B33,Scores!$BI$2:$BI$101,0)),"")</f>
        <v/>
      </c>
      <c r="F33">
        <f>IFERROR(INDEX(Scores!$D$2:$D$101,MATCH($B33,Scores!$BI$2:$BI$101,0)),"")</f>
        <v/>
      </c>
      <c r="G33">
        <f>IFERROR(INDEX(Scores!$E$2:$E$101,MATCH($B33,Scores!$BI$2:$BI$101,0)),"")</f>
        <v/>
      </c>
      <c r="H33">
        <f>IFERROR(INDEX(Scores!$BF$2:$BF$101,MATCH($B33,Scores!$BI$2:$BI$101,0)),"")</f>
        <v/>
      </c>
      <c r="I33">
        <f>IFERROR(INDEX(Scores!$BH$2:$BH$101,MATCH($B33,Scores!$BI$2:$BI$101,0)),"")</f>
        <v/>
      </c>
      <c r="J33">
        <f>IFERROR(INDEX(Scores!$Q$2:$Q$101,MATCH($B33,Scores!$BI$2:$BI$101,0)),"")</f>
        <v/>
      </c>
      <c r="K33">
        <f>IFERROR(INDEX(Scores!$AC$2:$AC$101,MATCH($B33,Scores!$BI$2:$BI$101,0)),"")</f>
        <v/>
      </c>
      <c r="L33">
        <f>IFERROR(INDEX(Scores!$AK$2:$AK$101,MATCH($B33,Scores!$BI$2:$BI$101,0)),"")</f>
        <v/>
      </c>
      <c r="M33">
        <f>IFERROR(INDEX(Scores!$AS$2:$AS$101,MATCH($B33,Scores!$BI$2:$BI$101,0)),"")</f>
        <v/>
      </c>
      <c r="N33">
        <f>IFERROR(INDEX(Scores!$BC$2:$BC$101,MATCH($B33,Scores!$BI$2:$BI$101,0)),"")</f>
        <v/>
      </c>
    </row>
    <row r="34">
      <c r="A34" t="inlineStr">
        <is>
          <t>Top 100</t>
        </is>
      </c>
      <c r="B34" t="n">
        <v>32</v>
      </c>
      <c r="C34">
        <f>IFERROR(INDEX(Scores!$BI$2:$BI$101,MATCH($B34,Scores!$BI$2:$BI$101,0)),"")</f>
        <v/>
      </c>
      <c r="D34">
        <f>IFERROR(INDEX(Scores!$B$2:$B$101,MATCH($B34,Scores!$BI$2:$BI$101,0)),"")</f>
        <v/>
      </c>
      <c r="E34">
        <f>IFERROR(INDEX(Scores!$C$2:$C$101,MATCH($B34,Scores!$BI$2:$BI$101,0)),"")</f>
        <v/>
      </c>
      <c r="F34">
        <f>IFERROR(INDEX(Scores!$D$2:$D$101,MATCH($B34,Scores!$BI$2:$BI$101,0)),"")</f>
        <v/>
      </c>
      <c r="G34">
        <f>IFERROR(INDEX(Scores!$E$2:$E$101,MATCH($B34,Scores!$BI$2:$BI$101,0)),"")</f>
        <v/>
      </c>
      <c r="H34">
        <f>IFERROR(INDEX(Scores!$BF$2:$BF$101,MATCH($B34,Scores!$BI$2:$BI$101,0)),"")</f>
        <v/>
      </c>
      <c r="I34">
        <f>IFERROR(INDEX(Scores!$BH$2:$BH$101,MATCH($B34,Scores!$BI$2:$BI$101,0)),"")</f>
        <v/>
      </c>
      <c r="J34">
        <f>IFERROR(INDEX(Scores!$Q$2:$Q$101,MATCH($B34,Scores!$BI$2:$BI$101,0)),"")</f>
        <v/>
      </c>
      <c r="K34">
        <f>IFERROR(INDEX(Scores!$AC$2:$AC$101,MATCH($B34,Scores!$BI$2:$BI$101,0)),"")</f>
        <v/>
      </c>
      <c r="L34">
        <f>IFERROR(INDEX(Scores!$AK$2:$AK$101,MATCH($B34,Scores!$BI$2:$BI$101,0)),"")</f>
        <v/>
      </c>
      <c r="M34">
        <f>IFERROR(INDEX(Scores!$AS$2:$AS$101,MATCH($B34,Scores!$BI$2:$BI$101,0)),"")</f>
        <v/>
      </c>
      <c r="N34">
        <f>IFERROR(INDEX(Scores!$BC$2:$BC$101,MATCH($B34,Scores!$BI$2:$BI$101,0)),"")</f>
        <v/>
      </c>
    </row>
    <row r="35">
      <c r="A35" t="inlineStr">
        <is>
          <t>Top 100</t>
        </is>
      </c>
      <c r="B35" t="n">
        <v>33</v>
      </c>
      <c r="C35">
        <f>IFERROR(INDEX(Scores!$BI$2:$BI$101,MATCH($B35,Scores!$BI$2:$BI$101,0)),"")</f>
        <v/>
      </c>
      <c r="D35">
        <f>IFERROR(INDEX(Scores!$B$2:$B$101,MATCH($B35,Scores!$BI$2:$BI$101,0)),"")</f>
        <v/>
      </c>
      <c r="E35">
        <f>IFERROR(INDEX(Scores!$C$2:$C$101,MATCH($B35,Scores!$BI$2:$BI$101,0)),"")</f>
        <v/>
      </c>
      <c r="F35">
        <f>IFERROR(INDEX(Scores!$D$2:$D$101,MATCH($B35,Scores!$BI$2:$BI$101,0)),"")</f>
        <v/>
      </c>
      <c r="G35">
        <f>IFERROR(INDEX(Scores!$E$2:$E$101,MATCH($B35,Scores!$BI$2:$BI$101,0)),"")</f>
        <v/>
      </c>
      <c r="H35">
        <f>IFERROR(INDEX(Scores!$BF$2:$BF$101,MATCH($B35,Scores!$BI$2:$BI$101,0)),"")</f>
        <v/>
      </c>
      <c r="I35">
        <f>IFERROR(INDEX(Scores!$BH$2:$BH$101,MATCH($B35,Scores!$BI$2:$BI$101,0)),"")</f>
        <v/>
      </c>
      <c r="J35">
        <f>IFERROR(INDEX(Scores!$Q$2:$Q$101,MATCH($B35,Scores!$BI$2:$BI$101,0)),"")</f>
        <v/>
      </c>
      <c r="K35">
        <f>IFERROR(INDEX(Scores!$AC$2:$AC$101,MATCH($B35,Scores!$BI$2:$BI$101,0)),"")</f>
        <v/>
      </c>
      <c r="L35">
        <f>IFERROR(INDEX(Scores!$AK$2:$AK$101,MATCH($B35,Scores!$BI$2:$BI$101,0)),"")</f>
        <v/>
      </c>
      <c r="M35">
        <f>IFERROR(INDEX(Scores!$AS$2:$AS$101,MATCH($B35,Scores!$BI$2:$BI$101,0)),"")</f>
        <v/>
      </c>
      <c r="N35">
        <f>IFERROR(INDEX(Scores!$BC$2:$BC$101,MATCH($B35,Scores!$BI$2:$BI$101,0)),"")</f>
        <v/>
      </c>
    </row>
    <row r="36">
      <c r="A36" t="inlineStr">
        <is>
          <t>Top 100</t>
        </is>
      </c>
      <c r="B36" t="n">
        <v>34</v>
      </c>
      <c r="C36">
        <f>IFERROR(INDEX(Scores!$BI$2:$BI$101,MATCH($B36,Scores!$BI$2:$BI$101,0)),"")</f>
        <v/>
      </c>
      <c r="D36">
        <f>IFERROR(INDEX(Scores!$B$2:$B$101,MATCH($B36,Scores!$BI$2:$BI$101,0)),"")</f>
        <v/>
      </c>
      <c r="E36">
        <f>IFERROR(INDEX(Scores!$C$2:$C$101,MATCH($B36,Scores!$BI$2:$BI$101,0)),"")</f>
        <v/>
      </c>
      <c r="F36">
        <f>IFERROR(INDEX(Scores!$D$2:$D$101,MATCH($B36,Scores!$BI$2:$BI$101,0)),"")</f>
        <v/>
      </c>
      <c r="G36">
        <f>IFERROR(INDEX(Scores!$E$2:$E$101,MATCH($B36,Scores!$BI$2:$BI$101,0)),"")</f>
        <v/>
      </c>
      <c r="H36">
        <f>IFERROR(INDEX(Scores!$BF$2:$BF$101,MATCH($B36,Scores!$BI$2:$BI$101,0)),"")</f>
        <v/>
      </c>
      <c r="I36">
        <f>IFERROR(INDEX(Scores!$BH$2:$BH$101,MATCH($B36,Scores!$BI$2:$BI$101,0)),"")</f>
        <v/>
      </c>
      <c r="J36">
        <f>IFERROR(INDEX(Scores!$Q$2:$Q$101,MATCH($B36,Scores!$BI$2:$BI$101,0)),"")</f>
        <v/>
      </c>
      <c r="K36">
        <f>IFERROR(INDEX(Scores!$AC$2:$AC$101,MATCH($B36,Scores!$BI$2:$BI$101,0)),"")</f>
        <v/>
      </c>
      <c r="L36">
        <f>IFERROR(INDEX(Scores!$AK$2:$AK$101,MATCH($B36,Scores!$BI$2:$BI$101,0)),"")</f>
        <v/>
      </c>
      <c r="M36">
        <f>IFERROR(INDEX(Scores!$AS$2:$AS$101,MATCH($B36,Scores!$BI$2:$BI$101,0)),"")</f>
        <v/>
      </c>
      <c r="N36">
        <f>IFERROR(INDEX(Scores!$BC$2:$BC$101,MATCH($B36,Scores!$BI$2:$BI$101,0)),"")</f>
        <v/>
      </c>
    </row>
    <row r="37">
      <c r="A37" t="inlineStr">
        <is>
          <t>Top 100</t>
        </is>
      </c>
      <c r="B37" t="n">
        <v>35</v>
      </c>
      <c r="C37">
        <f>IFERROR(INDEX(Scores!$BI$2:$BI$101,MATCH($B37,Scores!$BI$2:$BI$101,0)),"")</f>
        <v/>
      </c>
      <c r="D37">
        <f>IFERROR(INDEX(Scores!$B$2:$B$101,MATCH($B37,Scores!$BI$2:$BI$101,0)),"")</f>
        <v/>
      </c>
      <c r="E37">
        <f>IFERROR(INDEX(Scores!$C$2:$C$101,MATCH($B37,Scores!$BI$2:$BI$101,0)),"")</f>
        <v/>
      </c>
      <c r="F37">
        <f>IFERROR(INDEX(Scores!$D$2:$D$101,MATCH($B37,Scores!$BI$2:$BI$101,0)),"")</f>
        <v/>
      </c>
      <c r="G37">
        <f>IFERROR(INDEX(Scores!$E$2:$E$101,MATCH($B37,Scores!$BI$2:$BI$101,0)),"")</f>
        <v/>
      </c>
      <c r="H37">
        <f>IFERROR(INDEX(Scores!$BF$2:$BF$101,MATCH($B37,Scores!$BI$2:$BI$101,0)),"")</f>
        <v/>
      </c>
      <c r="I37">
        <f>IFERROR(INDEX(Scores!$BH$2:$BH$101,MATCH($B37,Scores!$BI$2:$BI$101,0)),"")</f>
        <v/>
      </c>
      <c r="J37">
        <f>IFERROR(INDEX(Scores!$Q$2:$Q$101,MATCH($B37,Scores!$BI$2:$BI$101,0)),"")</f>
        <v/>
      </c>
      <c r="K37">
        <f>IFERROR(INDEX(Scores!$AC$2:$AC$101,MATCH($B37,Scores!$BI$2:$BI$101,0)),"")</f>
        <v/>
      </c>
      <c r="L37">
        <f>IFERROR(INDEX(Scores!$AK$2:$AK$101,MATCH($B37,Scores!$BI$2:$BI$101,0)),"")</f>
        <v/>
      </c>
      <c r="M37">
        <f>IFERROR(INDEX(Scores!$AS$2:$AS$101,MATCH($B37,Scores!$BI$2:$BI$101,0)),"")</f>
        <v/>
      </c>
      <c r="N37">
        <f>IFERROR(INDEX(Scores!$BC$2:$BC$101,MATCH($B37,Scores!$BI$2:$BI$101,0)),"")</f>
        <v/>
      </c>
    </row>
    <row r="38">
      <c r="A38" t="inlineStr">
        <is>
          <t>Top 100</t>
        </is>
      </c>
      <c r="B38" t="n">
        <v>36</v>
      </c>
      <c r="C38">
        <f>IFERROR(INDEX(Scores!$BI$2:$BI$101,MATCH($B38,Scores!$BI$2:$BI$101,0)),"")</f>
        <v/>
      </c>
      <c r="D38">
        <f>IFERROR(INDEX(Scores!$B$2:$B$101,MATCH($B38,Scores!$BI$2:$BI$101,0)),"")</f>
        <v/>
      </c>
      <c r="E38">
        <f>IFERROR(INDEX(Scores!$C$2:$C$101,MATCH($B38,Scores!$BI$2:$BI$101,0)),"")</f>
        <v/>
      </c>
      <c r="F38">
        <f>IFERROR(INDEX(Scores!$D$2:$D$101,MATCH($B38,Scores!$BI$2:$BI$101,0)),"")</f>
        <v/>
      </c>
      <c r="G38">
        <f>IFERROR(INDEX(Scores!$E$2:$E$101,MATCH($B38,Scores!$BI$2:$BI$101,0)),"")</f>
        <v/>
      </c>
      <c r="H38">
        <f>IFERROR(INDEX(Scores!$BF$2:$BF$101,MATCH($B38,Scores!$BI$2:$BI$101,0)),"")</f>
        <v/>
      </c>
      <c r="I38">
        <f>IFERROR(INDEX(Scores!$BH$2:$BH$101,MATCH($B38,Scores!$BI$2:$BI$101,0)),"")</f>
        <v/>
      </c>
      <c r="J38">
        <f>IFERROR(INDEX(Scores!$Q$2:$Q$101,MATCH($B38,Scores!$BI$2:$BI$101,0)),"")</f>
        <v/>
      </c>
      <c r="K38">
        <f>IFERROR(INDEX(Scores!$AC$2:$AC$101,MATCH($B38,Scores!$BI$2:$BI$101,0)),"")</f>
        <v/>
      </c>
      <c r="L38">
        <f>IFERROR(INDEX(Scores!$AK$2:$AK$101,MATCH($B38,Scores!$BI$2:$BI$101,0)),"")</f>
        <v/>
      </c>
      <c r="M38">
        <f>IFERROR(INDEX(Scores!$AS$2:$AS$101,MATCH($B38,Scores!$BI$2:$BI$101,0)),"")</f>
        <v/>
      </c>
      <c r="N38">
        <f>IFERROR(INDEX(Scores!$BC$2:$BC$101,MATCH($B38,Scores!$BI$2:$BI$101,0)),"")</f>
        <v/>
      </c>
    </row>
    <row r="39">
      <c r="A39" t="inlineStr">
        <is>
          <t>Top 100</t>
        </is>
      </c>
      <c r="B39" t="n">
        <v>37</v>
      </c>
      <c r="C39">
        <f>IFERROR(INDEX(Scores!$BI$2:$BI$101,MATCH($B39,Scores!$BI$2:$BI$101,0)),"")</f>
        <v/>
      </c>
      <c r="D39">
        <f>IFERROR(INDEX(Scores!$B$2:$B$101,MATCH($B39,Scores!$BI$2:$BI$101,0)),"")</f>
        <v/>
      </c>
      <c r="E39">
        <f>IFERROR(INDEX(Scores!$C$2:$C$101,MATCH($B39,Scores!$BI$2:$BI$101,0)),"")</f>
        <v/>
      </c>
      <c r="F39">
        <f>IFERROR(INDEX(Scores!$D$2:$D$101,MATCH($B39,Scores!$BI$2:$BI$101,0)),"")</f>
        <v/>
      </c>
      <c r="G39">
        <f>IFERROR(INDEX(Scores!$E$2:$E$101,MATCH($B39,Scores!$BI$2:$BI$101,0)),"")</f>
        <v/>
      </c>
      <c r="H39">
        <f>IFERROR(INDEX(Scores!$BF$2:$BF$101,MATCH($B39,Scores!$BI$2:$BI$101,0)),"")</f>
        <v/>
      </c>
      <c r="I39">
        <f>IFERROR(INDEX(Scores!$BH$2:$BH$101,MATCH($B39,Scores!$BI$2:$BI$101,0)),"")</f>
        <v/>
      </c>
      <c r="J39">
        <f>IFERROR(INDEX(Scores!$Q$2:$Q$101,MATCH($B39,Scores!$BI$2:$BI$101,0)),"")</f>
        <v/>
      </c>
      <c r="K39">
        <f>IFERROR(INDEX(Scores!$AC$2:$AC$101,MATCH($B39,Scores!$BI$2:$BI$101,0)),"")</f>
        <v/>
      </c>
      <c r="L39">
        <f>IFERROR(INDEX(Scores!$AK$2:$AK$101,MATCH($B39,Scores!$BI$2:$BI$101,0)),"")</f>
        <v/>
      </c>
      <c r="M39">
        <f>IFERROR(INDEX(Scores!$AS$2:$AS$101,MATCH($B39,Scores!$BI$2:$BI$101,0)),"")</f>
        <v/>
      </c>
      <c r="N39">
        <f>IFERROR(INDEX(Scores!$BC$2:$BC$101,MATCH($B39,Scores!$BI$2:$BI$101,0)),"")</f>
        <v/>
      </c>
    </row>
    <row r="40">
      <c r="A40" t="inlineStr">
        <is>
          <t>Top 100</t>
        </is>
      </c>
      <c r="B40" t="n">
        <v>38</v>
      </c>
      <c r="C40">
        <f>IFERROR(INDEX(Scores!$BI$2:$BI$101,MATCH($B40,Scores!$BI$2:$BI$101,0)),"")</f>
        <v/>
      </c>
      <c r="D40">
        <f>IFERROR(INDEX(Scores!$B$2:$B$101,MATCH($B40,Scores!$BI$2:$BI$101,0)),"")</f>
        <v/>
      </c>
      <c r="E40">
        <f>IFERROR(INDEX(Scores!$C$2:$C$101,MATCH($B40,Scores!$BI$2:$BI$101,0)),"")</f>
        <v/>
      </c>
      <c r="F40">
        <f>IFERROR(INDEX(Scores!$D$2:$D$101,MATCH($B40,Scores!$BI$2:$BI$101,0)),"")</f>
        <v/>
      </c>
      <c r="G40">
        <f>IFERROR(INDEX(Scores!$E$2:$E$101,MATCH($B40,Scores!$BI$2:$BI$101,0)),"")</f>
        <v/>
      </c>
      <c r="H40">
        <f>IFERROR(INDEX(Scores!$BF$2:$BF$101,MATCH($B40,Scores!$BI$2:$BI$101,0)),"")</f>
        <v/>
      </c>
      <c r="I40">
        <f>IFERROR(INDEX(Scores!$BH$2:$BH$101,MATCH($B40,Scores!$BI$2:$BI$101,0)),"")</f>
        <v/>
      </c>
      <c r="J40">
        <f>IFERROR(INDEX(Scores!$Q$2:$Q$101,MATCH($B40,Scores!$BI$2:$BI$101,0)),"")</f>
        <v/>
      </c>
      <c r="K40">
        <f>IFERROR(INDEX(Scores!$AC$2:$AC$101,MATCH($B40,Scores!$BI$2:$BI$101,0)),"")</f>
        <v/>
      </c>
      <c r="L40">
        <f>IFERROR(INDEX(Scores!$AK$2:$AK$101,MATCH($B40,Scores!$BI$2:$BI$101,0)),"")</f>
        <v/>
      </c>
      <c r="M40">
        <f>IFERROR(INDEX(Scores!$AS$2:$AS$101,MATCH($B40,Scores!$BI$2:$BI$101,0)),"")</f>
        <v/>
      </c>
      <c r="N40">
        <f>IFERROR(INDEX(Scores!$BC$2:$BC$101,MATCH($B40,Scores!$BI$2:$BI$101,0)),"")</f>
        <v/>
      </c>
    </row>
    <row r="41">
      <c r="A41" t="inlineStr">
        <is>
          <t>Top 100</t>
        </is>
      </c>
      <c r="B41" t="n">
        <v>39</v>
      </c>
      <c r="C41">
        <f>IFERROR(INDEX(Scores!$BI$2:$BI$101,MATCH($B41,Scores!$BI$2:$BI$101,0)),"")</f>
        <v/>
      </c>
      <c r="D41">
        <f>IFERROR(INDEX(Scores!$B$2:$B$101,MATCH($B41,Scores!$BI$2:$BI$101,0)),"")</f>
        <v/>
      </c>
      <c r="E41">
        <f>IFERROR(INDEX(Scores!$C$2:$C$101,MATCH($B41,Scores!$BI$2:$BI$101,0)),"")</f>
        <v/>
      </c>
      <c r="F41">
        <f>IFERROR(INDEX(Scores!$D$2:$D$101,MATCH($B41,Scores!$BI$2:$BI$101,0)),"")</f>
        <v/>
      </c>
      <c r="G41">
        <f>IFERROR(INDEX(Scores!$E$2:$E$101,MATCH($B41,Scores!$BI$2:$BI$101,0)),"")</f>
        <v/>
      </c>
      <c r="H41">
        <f>IFERROR(INDEX(Scores!$BF$2:$BF$101,MATCH($B41,Scores!$BI$2:$BI$101,0)),"")</f>
        <v/>
      </c>
      <c r="I41">
        <f>IFERROR(INDEX(Scores!$BH$2:$BH$101,MATCH($B41,Scores!$BI$2:$BI$101,0)),"")</f>
        <v/>
      </c>
      <c r="J41">
        <f>IFERROR(INDEX(Scores!$Q$2:$Q$101,MATCH($B41,Scores!$BI$2:$BI$101,0)),"")</f>
        <v/>
      </c>
      <c r="K41">
        <f>IFERROR(INDEX(Scores!$AC$2:$AC$101,MATCH($B41,Scores!$BI$2:$BI$101,0)),"")</f>
        <v/>
      </c>
      <c r="L41">
        <f>IFERROR(INDEX(Scores!$AK$2:$AK$101,MATCH($B41,Scores!$BI$2:$BI$101,0)),"")</f>
        <v/>
      </c>
      <c r="M41">
        <f>IFERROR(INDEX(Scores!$AS$2:$AS$101,MATCH($B41,Scores!$BI$2:$BI$101,0)),"")</f>
        <v/>
      </c>
      <c r="N41">
        <f>IFERROR(INDEX(Scores!$BC$2:$BC$101,MATCH($B41,Scores!$BI$2:$BI$101,0)),"")</f>
        <v/>
      </c>
    </row>
    <row r="42">
      <c r="A42" t="inlineStr">
        <is>
          <t>Top 100</t>
        </is>
      </c>
      <c r="B42" t="n">
        <v>40</v>
      </c>
      <c r="C42">
        <f>IFERROR(INDEX(Scores!$BI$2:$BI$101,MATCH($B42,Scores!$BI$2:$BI$101,0)),"")</f>
        <v/>
      </c>
      <c r="D42">
        <f>IFERROR(INDEX(Scores!$B$2:$B$101,MATCH($B42,Scores!$BI$2:$BI$101,0)),"")</f>
        <v/>
      </c>
      <c r="E42">
        <f>IFERROR(INDEX(Scores!$C$2:$C$101,MATCH($B42,Scores!$BI$2:$BI$101,0)),"")</f>
        <v/>
      </c>
      <c r="F42">
        <f>IFERROR(INDEX(Scores!$D$2:$D$101,MATCH($B42,Scores!$BI$2:$BI$101,0)),"")</f>
        <v/>
      </c>
      <c r="G42">
        <f>IFERROR(INDEX(Scores!$E$2:$E$101,MATCH($B42,Scores!$BI$2:$BI$101,0)),"")</f>
        <v/>
      </c>
      <c r="H42">
        <f>IFERROR(INDEX(Scores!$BF$2:$BF$101,MATCH($B42,Scores!$BI$2:$BI$101,0)),"")</f>
        <v/>
      </c>
      <c r="I42">
        <f>IFERROR(INDEX(Scores!$BH$2:$BH$101,MATCH($B42,Scores!$BI$2:$BI$101,0)),"")</f>
        <v/>
      </c>
      <c r="J42">
        <f>IFERROR(INDEX(Scores!$Q$2:$Q$101,MATCH($B42,Scores!$BI$2:$BI$101,0)),"")</f>
        <v/>
      </c>
      <c r="K42">
        <f>IFERROR(INDEX(Scores!$AC$2:$AC$101,MATCH($B42,Scores!$BI$2:$BI$101,0)),"")</f>
        <v/>
      </c>
      <c r="L42">
        <f>IFERROR(INDEX(Scores!$AK$2:$AK$101,MATCH($B42,Scores!$BI$2:$BI$101,0)),"")</f>
        <v/>
      </c>
      <c r="M42">
        <f>IFERROR(INDEX(Scores!$AS$2:$AS$101,MATCH($B42,Scores!$BI$2:$BI$101,0)),"")</f>
        <v/>
      </c>
      <c r="N42">
        <f>IFERROR(INDEX(Scores!$BC$2:$BC$101,MATCH($B42,Scores!$BI$2:$BI$101,0)),"")</f>
        <v/>
      </c>
    </row>
    <row r="43">
      <c r="A43" t="inlineStr">
        <is>
          <t>Top 100</t>
        </is>
      </c>
      <c r="B43" t="n">
        <v>41</v>
      </c>
      <c r="C43">
        <f>IFERROR(INDEX(Scores!$BI$2:$BI$101,MATCH($B43,Scores!$BI$2:$BI$101,0)),"")</f>
        <v/>
      </c>
      <c r="D43">
        <f>IFERROR(INDEX(Scores!$B$2:$B$101,MATCH($B43,Scores!$BI$2:$BI$101,0)),"")</f>
        <v/>
      </c>
      <c r="E43">
        <f>IFERROR(INDEX(Scores!$C$2:$C$101,MATCH($B43,Scores!$BI$2:$BI$101,0)),"")</f>
        <v/>
      </c>
      <c r="F43">
        <f>IFERROR(INDEX(Scores!$D$2:$D$101,MATCH($B43,Scores!$BI$2:$BI$101,0)),"")</f>
        <v/>
      </c>
      <c r="G43">
        <f>IFERROR(INDEX(Scores!$E$2:$E$101,MATCH($B43,Scores!$BI$2:$BI$101,0)),"")</f>
        <v/>
      </c>
      <c r="H43">
        <f>IFERROR(INDEX(Scores!$BF$2:$BF$101,MATCH($B43,Scores!$BI$2:$BI$101,0)),"")</f>
        <v/>
      </c>
      <c r="I43">
        <f>IFERROR(INDEX(Scores!$BH$2:$BH$101,MATCH($B43,Scores!$BI$2:$BI$101,0)),"")</f>
        <v/>
      </c>
      <c r="J43">
        <f>IFERROR(INDEX(Scores!$Q$2:$Q$101,MATCH($B43,Scores!$BI$2:$BI$101,0)),"")</f>
        <v/>
      </c>
      <c r="K43">
        <f>IFERROR(INDEX(Scores!$AC$2:$AC$101,MATCH($B43,Scores!$BI$2:$BI$101,0)),"")</f>
        <v/>
      </c>
      <c r="L43">
        <f>IFERROR(INDEX(Scores!$AK$2:$AK$101,MATCH($B43,Scores!$BI$2:$BI$101,0)),"")</f>
        <v/>
      </c>
      <c r="M43">
        <f>IFERROR(INDEX(Scores!$AS$2:$AS$101,MATCH($B43,Scores!$BI$2:$BI$101,0)),"")</f>
        <v/>
      </c>
      <c r="N43">
        <f>IFERROR(INDEX(Scores!$BC$2:$BC$101,MATCH($B43,Scores!$BI$2:$BI$101,0)),"")</f>
        <v/>
      </c>
    </row>
    <row r="44">
      <c r="A44" t="inlineStr">
        <is>
          <t>Top 100</t>
        </is>
      </c>
      <c r="B44" t="n">
        <v>42</v>
      </c>
      <c r="C44">
        <f>IFERROR(INDEX(Scores!$BI$2:$BI$101,MATCH($B44,Scores!$BI$2:$BI$101,0)),"")</f>
        <v/>
      </c>
      <c r="D44">
        <f>IFERROR(INDEX(Scores!$B$2:$B$101,MATCH($B44,Scores!$BI$2:$BI$101,0)),"")</f>
        <v/>
      </c>
      <c r="E44">
        <f>IFERROR(INDEX(Scores!$C$2:$C$101,MATCH($B44,Scores!$BI$2:$BI$101,0)),"")</f>
        <v/>
      </c>
      <c r="F44">
        <f>IFERROR(INDEX(Scores!$D$2:$D$101,MATCH($B44,Scores!$BI$2:$BI$101,0)),"")</f>
        <v/>
      </c>
      <c r="G44">
        <f>IFERROR(INDEX(Scores!$E$2:$E$101,MATCH($B44,Scores!$BI$2:$BI$101,0)),"")</f>
        <v/>
      </c>
      <c r="H44">
        <f>IFERROR(INDEX(Scores!$BF$2:$BF$101,MATCH($B44,Scores!$BI$2:$BI$101,0)),"")</f>
        <v/>
      </c>
      <c r="I44">
        <f>IFERROR(INDEX(Scores!$BH$2:$BH$101,MATCH($B44,Scores!$BI$2:$BI$101,0)),"")</f>
        <v/>
      </c>
      <c r="J44">
        <f>IFERROR(INDEX(Scores!$Q$2:$Q$101,MATCH($B44,Scores!$BI$2:$BI$101,0)),"")</f>
        <v/>
      </c>
      <c r="K44">
        <f>IFERROR(INDEX(Scores!$AC$2:$AC$101,MATCH($B44,Scores!$BI$2:$BI$101,0)),"")</f>
        <v/>
      </c>
      <c r="L44">
        <f>IFERROR(INDEX(Scores!$AK$2:$AK$101,MATCH($B44,Scores!$BI$2:$BI$101,0)),"")</f>
        <v/>
      </c>
      <c r="M44">
        <f>IFERROR(INDEX(Scores!$AS$2:$AS$101,MATCH($B44,Scores!$BI$2:$BI$101,0)),"")</f>
        <v/>
      </c>
      <c r="N44">
        <f>IFERROR(INDEX(Scores!$BC$2:$BC$101,MATCH($B44,Scores!$BI$2:$BI$101,0)),"")</f>
        <v/>
      </c>
    </row>
    <row r="45">
      <c r="A45" t="inlineStr">
        <is>
          <t>Top 100</t>
        </is>
      </c>
      <c r="B45" t="n">
        <v>43</v>
      </c>
      <c r="C45">
        <f>IFERROR(INDEX(Scores!$BI$2:$BI$101,MATCH($B45,Scores!$BI$2:$BI$101,0)),"")</f>
        <v/>
      </c>
      <c r="D45">
        <f>IFERROR(INDEX(Scores!$B$2:$B$101,MATCH($B45,Scores!$BI$2:$BI$101,0)),"")</f>
        <v/>
      </c>
      <c r="E45">
        <f>IFERROR(INDEX(Scores!$C$2:$C$101,MATCH($B45,Scores!$BI$2:$BI$101,0)),"")</f>
        <v/>
      </c>
      <c r="F45">
        <f>IFERROR(INDEX(Scores!$D$2:$D$101,MATCH($B45,Scores!$BI$2:$BI$101,0)),"")</f>
        <v/>
      </c>
      <c r="G45">
        <f>IFERROR(INDEX(Scores!$E$2:$E$101,MATCH($B45,Scores!$BI$2:$BI$101,0)),"")</f>
        <v/>
      </c>
      <c r="H45">
        <f>IFERROR(INDEX(Scores!$BF$2:$BF$101,MATCH($B45,Scores!$BI$2:$BI$101,0)),"")</f>
        <v/>
      </c>
      <c r="I45">
        <f>IFERROR(INDEX(Scores!$BH$2:$BH$101,MATCH($B45,Scores!$BI$2:$BI$101,0)),"")</f>
        <v/>
      </c>
      <c r="J45">
        <f>IFERROR(INDEX(Scores!$Q$2:$Q$101,MATCH($B45,Scores!$BI$2:$BI$101,0)),"")</f>
        <v/>
      </c>
      <c r="K45">
        <f>IFERROR(INDEX(Scores!$AC$2:$AC$101,MATCH($B45,Scores!$BI$2:$BI$101,0)),"")</f>
        <v/>
      </c>
      <c r="L45">
        <f>IFERROR(INDEX(Scores!$AK$2:$AK$101,MATCH($B45,Scores!$BI$2:$BI$101,0)),"")</f>
        <v/>
      </c>
      <c r="M45">
        <f>IFERROR(INDEX(Scores!$AS$2:$AS$101,MATCH($B45,Scores!$BI$2:$BI$101,0)),"")</f>
        <v/>
      </c>
      <c r="N45">
        <f>IFERROR(INDEX(Scores!$BC$2:$BC$101,MATCH($B45,Scores!$BI$2:$BI$101,0)),"")</f>
        <v/>
      </c>
    </row>
    <row r="46">
      <c r="A46" t="inlineStr">
        <is>
          <t>Top 100</t>
        </is>
      </c>
      <c r="B46" t="n">
        <v>44</v>
      </c>
      <c r="C46">
        <f>IFERROR(INDEX(Scores!$BI$2:$BI$101,MATCH($B46,Scores!$BI$2:$BI$101,0)),"")</f>
        <v/>
      </c>
      <c r="D46">
        <f>IFERROR(INDEX(Scores!$B$2:$B$101,MATCH($B46,Scores!$BI$2:$BI$101,0)),"")</f>
        <v/>
      </c>
      <c r="E46">
        <f>IFERROR(INDEX(Scores!$C$2:$C$101,MATCH($B46,Scores!$BI$2:$BI$101,0)),"")</f>
        <v/>
      </c>
      <c r="F46">
        <f>IFERROR(INDEX(Scores!$D$2:$D$101,MATCH($B46,Scores!$BI$2:$BI$101,0)),"")</f>
        <v/>
      </c>
      <c r="G46">
        <f>IFERROR(INDEX(Scores!$E$2:$E$101,MATCH($B46,Scores!$BI$2:$BI$101,0)),"")</f>
        <v/>
      </c>
      <c r="H46">
        <f>IFERROR(INDEX(Scores!$BF$2:$BF$101,MATCH($B46,Scores!$BI$2:$BI$101,0)),"")</f>
        <v/>
      </c>
      <c r="I46">
        <f>IFERROR(INDEX(Scores!$BH$2:$BH$101,MATCH($B46,Scores!$BI$2:$BI$101,0)),"")</f>
        <v/>
      </c>
      <c r="J46">
        <f>IFERROR(INDEX(Scores!$Q$2:$Q$101,MATCH($B46,Scores!$BI$2:$BI$101,0)),"")</f>
        <v/>
      </c>
      <c r="K46">
        <f>IFERROR(INDEX(Scores!$AC$2:$AC$101,MATCH($B46,Scores!$BI$2:$BI$101,0)),"")</f>
        <v/>
      </c>
      <c r="L46">
        <f>IFERROR(INDEX(Scores!$AK$2:$AK$101,MATCH($B46,Scores!$BI$2:$BI$101,0)),"")</f>
        <v/>
      </c>
      <c r="M46">
        <f>IFERROR(INDEX(Scores!$AS$2:$AS$101,MATCH($B46,Scores!$BI$2:$BI$101,0)),"")</f>
        <v/>
      </c>
      <c r="N46">
        <f>IFERROR(INDEX(Scores!$BC$2:$BC$101,MATCH($B46,Scores!$BI$2:$BI$101,0)),"")</f>
        <v/>
      </c>
    </row>
    <row r="47">
      <c r="A47" t="inlineStr">
        <is>
          <t>Top 100</t>
        </is>
      </c>
      <c r="B47" t="n">
        <v>45</v>
      </c>
      <c r="C47">
        <f>IFERROR(INDEX(Scores!$BI$2:$BI$101,MATCH($B47,Scores!$BI$2:$BI$101,0)),"")</f>
        <v/>
      </c>
      <c r="D47">
        <f>IFERROR(INDEX(Scores!$B$2:$B$101,MATCH($B47,Scores!$BI$2:$BI$101,0)),"")</f>
        <v/>
      </c>
      <c r="E47">
        <f>IFERROR(INDEX(Scores!$C$2:$C$101,MATCH($B47,Scores!$BI$2:$BI$101,0)),"")</f>
        <v/>
      </c>
      <c r="F47">
        <f>IFERROR(INDEX(Scores!$D$2:$D$101,MATCH($B47,Scores!$BI$2:$BI$101,0)),"")</f>
        <v/>
      </c>
      <c r="G47">
        <f>IFERROR(INDEX(Scores!$E$2:$E$101,MATCH($B47,Scores!$BI$2:$BI$101,0)),"")</f>
        <v/>
      </c>
      <c r="H47">
        <f>IFERROR(INDEX(Scores!$BF$2:$BF$101,MATCH($B47,Scores!$BI$2:$BI$101,0)),"")</f>
        <v/>
      </c>
      <c r="I47">
        <f>IFERROR(INDEX(Scores!$BH$2:$BH$101,MATCH($B47,Scores!$BI$2:$BI$101,0)),"")</f>
        <v/>
      </c>
      <c r="J47">
        <f>IFERROR(INDEX(Scores!$Q$2:$Q$101,MATCH($B47,Scores!$BI$2:$BI$101,0)),"")</f>
        <v/>
      </c>
      <c r="K47">
        <f>IFERROR(INDEX(Scores!$AC$2:$AC$101,MATCH($B47,Scores!$BI$2:$BI$101,0)),"")</f>
        <v/>
      </c>
      <c r="L47">
        <f>IFERROR(INDEX(Scores!$AK$2:$AK$101,MATCH($B47,Scores!$BI$2:$BI$101,0)),"")</f>
        <v/>
      </c>
      <c r="M47">
        <f>IFERROR(INDEX(Scores!$AS$2:$AS$101,MATCH($B47,Scores!$BI$2:$BI$101,0)),"")</f>
        <v/>
      </c>
      <c r="N47">
        <f>IFERROR(INDEX(Scores!$BC$2:$BC$101,MATCH($B47,Scores!$BI$2:$BI$101,0)),"")</f>
        <v/>
      </c>
    </row>
    <row r="48">
      <c r="A48" t="inlineStr">
        <is>
          <t>Top 100</t>
        </is>
      </c>
      <c r="B48" t="n">
        <v>46</v>
      </c>
      <c r="C48">
        <f>IFERROR(INDEX(Scores!$BI$2:$BI$101,MATCH($B48,Scores!$BI$2:$BI$101,0)),"")</f>
        <v/>
      </c>
      <c r="D48">
        <f>IFERROR(INDEX(Scores!$B$2:$B$101,MATCH($B48,Scores!$BI$2:$BI$101,0)),"")</f>
        <v/>
      </c>
      <c r="E48">
        <f>IFERROR(INDEX(Scores!$C$2:$C$101,MATCH($B48,Scores!$BI$2:$BI$101,0)),"")</f>
        <v/>
      </c>
      <c r="F48">
        <f>IFERROR(INDEX(Scores!$D$2:$D$101,MATCH($B48,Scores!$BI$2:$BI$101,0)),"")</f>
        <v/>
      </c>
      <c r="G48">
        <f>IFERROR(INDEX(Scores!$E$2:$E$101,MATCH($B48,Scores!$BI$2:$BI$101,0)),"")</f>
        <v/>
      </c>
      <c r="H48">
        <f>IFERROR(INDEX(Scores!$BF$2:$BF$101,MATCH($B48,Scores!$BI$2:$BI$101,0)),"")</f>
        <v/>
      </c>
      <c r="I48">
        <f>IFERROR(INDEX(Scores!$BH$2:$BH$101,MATCH($B48,Scores!$BI$2:$BI$101,0)),"")</f>
        <v/>
      </c>
      <c r="J48">
        <f>IFERROR(INDEX(Scores!$Q$2:$Q$101,MATCH($B48,Scores!$BI$2:$BI$101,0)),"")</f>
        <v/>
      </c>
      <c r="K48">
        <f>IFERROR(INDEX(Scores!$AC$2:$AC$101,MATCH($B48,Scores!$BI$2:$BI$101,0)),"")</f>
        <v/>
      </c>
      <c r="L48">
        <f>IFERROR(INDEX(Scores!$AK$2:$AK$101,MATCH($B48,Scores!$BI$2:$BI$101,0)),"")</f>
        <v/>
      </c>
      <c r="M48">
        <f>IFERROR(INDEX(Scores!$AS$2:$AS$101,MATCH($B48,Scores!$BI$2:$BI$101,0)),"")</f>
        <v/>
      </c>
      <c r="N48">
        <f>IFERROR(INDEX(Scores!$BC$2:$BC$101,MATCH($B48,Scores!$BI$2:$BI$101,0)),"")</f>
        <v/>
      </c>
    </row>
    <row r="49">
      <c r="A49" t="inlineStr">
        <is>
          <t>Top 100</t>
        </is>
      </c>
      <c r="B49" t="n">
        <v>47</v>
      </c>
      <c r="C49">
        <f>IFERROR(INDEX(Scores!$BI$2:$BI$101,MATCH($B49,Scores!$BI$2:$BI$101,0)),"")</f>
        <v/>
      </c>
      <c r="D49">
        <f>IFERROR(INDEX(Scores!$B$2:$B$101,MATCH($B49,Scores!$BI$2:$BI$101,0)),"")</f>
        <v/>
      </c>
      <c r="E49">
        <f>IFERROR(INDEX(Scores!$C$2:$C$101,MATCH($B49,Scores!$BI$2:$BI$101,0)),"")</f>
        <v/>
      </c>
      <c r="F49">
        <f>IFERROR(INDEX(Scores!$D$2:$D$101,MATCH($B49,Scores!$BI$2:$BI$101,0)),"")</f>
        <v/>
      </c>
      <c r="G49">
        <f>IFERROR(INDEX(Scores!$E$2:$E$101,MATCH($B49,Scores!$BI$2:$BI$101,0)),"")</f>
        <v/>
      </c>
      <c r="H49">
        <f>IFERROR(INDEX(Scores!$BF$2:$BF$101,MATCH($B49,Scores!$BI$2:$BI$101,0)),"")</f>
        <v/>
      </c>
      <c r="I49">
        <f>IFERROR(INDEX(Scores!$BH$2:$BH$101,MATCH($B49,Scores!$BI$2:$BI$101,0)),"")</f>
        <v/>
      </c>
      <c r="J49">
        <f>IFERROR(INDEX(Scores!$Q$2:$Q$101,MATCH($B49,Scores!$BI$2:$BI$101,0)),"")</f>
        <v/>
      </c>
      <c r="K49">
        <f>IFERROR(INDEX(Scores!$AC$2:$AC$101,MATCH($B49,Scores!$BI$2:$BI$101,0)),"")</f>
        <v/>
      </c>
      <c r="L49">
        <f>IFERROR(INDEX(Scores!$AK$2:$AK$101,MATCH($B49,Scores!$BI$2:$BI$101,0)),"")</f>
        <v/>
      </c>
      <c r="M49">
        <f>IFERROR(INDEX(Scores!$AS$2:$AS$101,MATCH($B49,Scores!$BI$2:$BI$101,0)),"")</f>
        <v/>
      </c>
      <c r="N49">
        <f>IFERROR(INDEX(Scores!$BC$2:$BC$101,MATCH($B49,Scores!$BI$2:$BI$101,0)),"")</f>
        <v/>
      </c>
    </row>
    <row r="50">
      <c r="A50" t="inlineStr">
        <is>
          <t>Top 100</t>
        </is>
      </c>
      <c r="B50" t="n">
        <v>48</v>
      </c>
      <c r="C50">
        <f>IFERROR(INDEX(Scores!$BI$2:$BI$101,MATCH($B50,Scores!$BI$2:$BI$101,0)),"")</f>
        <v/>
      </c>
      <c r="D50">
        <f>IFERROR(INDEX(Scores!$B$2:$B$101,MATCH($B50,Scores!$BI$2:$BI$101,0)),"")</f>
        <v/>
      </c>
      <c r="E50">
        <f>IFERROR(INDEX(Scores!$C$2:$C$101,MATCH($B50,Scores!$BI$2:$BI$101,0)),"")</f>
        <v/>
      </c>
      <c r="F50">
        <f>IFERROR(INDEX(Scores!$D$2:$D$101,MATCH($B50,Scores!$BI$2:$BI$101,0)),"")</f>
        <v/>
      </c>
      <c r="G50">
        <f>IFERROR(INDEX(Scores!$E$2:$E$101,MATCH($B50,Scores!$BI$2:$BI$101,0)),"")</f>
        <v/>
      </c>
      <c r="H50">
        <f>IFERROR(INDEX(Scores!$BF$2:$BF$101,MATCH($B50,Scores!$BI$2:$BI$101,0)),"")</f>
        <v/>
      </c>
      <c r="I50">
        <f>IFERROR(INDEX(Scores!$BH$2:$BH$101,MATCH($B50,Scores!$BI$2:$BI$101,0)),"")</f>
        <v/>
      </c>
      <c r="J50">
        <f>IFERROR(INDEX(Scores!$Q$2:$Q$101,MATCH($B50,Scores!$BI$2:$BI$101,0)),"")</f>
        <v/>
      </c>
      <c r="K50">
        <f>IFERROR(INDEX(Scores!$AC$2:$AC$101,MATCH($B50,Scores!$BI$2:$BI$101,0)),"")</f>
        <v/>
      </c>
      <c r="L50">
        <f>IFERROR(INDEX(Scores!$AK$2:$AK$101,MATCH($B50,Scores!$BI$2:$BI$101,0)),"")</f>
        <v/>
      </c>
      <c r="M50">
        <f>IFERROR(INDEX(Scores!$AS$2:$AS$101,MATCH($B50,Scores!$BI$2:$BI$101,0)),"")</f>
        <v/>
      </c>
      <c r="N50">
        <f>IFERROR(INDEX(Scores!$BC$2:$BC$101,MATCH($B50,Scores!$BI$2:$BI$101,0)),"")</f>
        <v/>
      </c>
    </row>
    <row r="51">
      <c r="A51" t="inlineStr">
        <is>
          <t>Top 100</t>
        </is>
      </c>
      <c r="B51" t="n">
        <v>49</v>
      </c>
      <c r="C51">
        <f>IFERROR(INDEX(Scores!$BI$2:$BI$101,MATCH($B51,Scores!$BI$2:$BI$101,0)),"")</f>
        <v/>
      </c>
      <c r="D51">
        <f>IFERROR(INDEX(Scores!$B$2:$B$101,MATCH($B51,Scores!$BI$2:$BI$101,0)),"")</f>
        <v/>
      </c>
      <c r="E51">
        <f>IFERROR(INDEX(Scores!$C$2:$C$101,MATCH($B51,Scores!$BI$2:$BI$101,0)),"")</f>
        <v/>
      </c>
      <c r="F51">
        <f>IFERROR(INDEX(Scores!$D$2:$D$101,MATCH($B51,Scores!$BI$2:$BI$101,0)),"")</f>
        <v/>
      </c>
      <c r="G51">
        <f>IFERROR(INDEX(Scores!$E$2:$E$101,MATCH($B51,Scores!$BI$2:$BI$101,0)),"")</f>
        <v/>
      </c>
      <c r="H51">
        <f>IFERROR(INDEX(Scores!$BF$2:$BF$101,MATCH($B51,Scores!$BI$2:$BI$101,0)),"")</f>
        <v/>
      </c>
      <c r="I51">
        <f>IFERROR(INDEX(Scores!$BH$2:$BH$101,MATCH($B51,Scores!$BI$2:$BI$101,0)),"")</f>
        <v/>
      </c>
      <c r="J51">
        <f>IFERROR(INDEX(Scores!$Q$2:$Q$101,MATCH($B51,Scores!$BI$2:$BI$101,0)),"")</f>
        <v/>
      </c>
      <c r="K51">
        <f>IFERROR(INDEX(Scores!$AC$2:$AC$101,MATCH($B51,Scores!$BI$2:$BI$101,0)),"")</f>
        <v/>
      </c>
      <c r="L51">
        <f>IFERROR(INDEX(Scores!$AK$2:$AK$101,MATCH($B51,Scores!$BI$2:$BI$101,0)),"")</f>
        <v/>
      </c>
      <c r="M51">
        <f>IFERROR(INDEX(Scores!$AS$2:$AS$101,MATCH($B51,Scores!$BI$2:$BI$101,0)),"")</f>
        <v/>
      </c>
      <c r="N51">
        <f>IFERROR(INDEX(Scores!$BC$2:$BC$101,MATCH($B51,Scores!$BI$2:$BI$101,0)),"")</f>
        <v/>
      </c>
    </row>
    <row r="52">
      <c r="A52" t="inlineStr">
        <is>
          <t>Top 100</t>
        </is>
      </c>
      <c r="B52" t="n">
        <v>50</v>
      </c>
      <c r="C52">
        <f>IFERROR(INDEX(Scores!$BI$2:$BI$101,MATCH($B52,Scores!$BI$2:$BI$101,0)),"")</f>
        <v/>
      </c>
      <c r="D52">
        <f>IFERROR(INDEX(Scores!$B$2:$B$101,MATCH($B52,Scores!$BI$2:$BI$101,0)),"")</f>
        <v/>
      </c>
      <c r="E52">
        <f>IFERROR(INDEX(Scores!$C$2:$C$101,MATCH($B52,Scores!$BI$2:$BI$101,0)),"")</f>
        <v/>
      </c>
      <c r="F52">
        <f>IFERROR(INDEX(Scores!$D$2:$D$101,MATCH($B52,Scores!$BI$2:$BI$101,0)),"")</f>
        <v/>
      </c>
      <c r="G52">
        <f>IFERROR(INDEX(Scores!$E$2:$E$101,MATCH($B52,Scores!$BI$2:$BI$101,0)),"")</f>
        <v/>
      </c>
      <c r="H52">
        <f>IFERROR(INDEX(Scores!$BF$2:$BF$101,MATCH($B52,Scores!$BI$2:$BI$101,0)),"")</f>
        <v/>
      </c>
      <c r="I52">
        <f>IFERROR(INDEX(Scores!$BH$2:$BH$101,MATCH($B52,Scores!$BI$2:$BI$101,0)),"")</f>
        <v/>
      </c>
      <c r="J52">
        <f>IFERROR(INDEX(Scores!$Q$2:$Q$101,MATCH($B52,Scores!$BI$2:$BI$101,0)),"")</f>
        <v/>
      </c>
      <c r="K52">
        <f>IFERROR(INDEX(Scores!$AC$2:$AC$101,MATCH($B52,Scores!$BI$2:$BI$101,0)),"")</f>
        <v/>
      </c>
      <c r="L52">
        <f>IFERROR(INDEX(Scores!$AK$2:$AK$101,MATCH($B52,Scores!$BI$2:$BI$101,0)),"")</f>
        <v/>
      </c>
      <c r="M52">
        <f>IFERROR(INDEX(Scores!$AS$2:$AS$101,MATCH($B52,Scores!$BI$2:$BI$101,0)),"")</f>
        <v/>
      </c>
      <c r="N52">
        <f>IFERROR(INDEX(Scores!$BC$2:$BC$101,MATCH($B52,Scores!$BI$2:$BI$101,0)),"")</f>
        <v/>
      </c>
    </row>
    <row r="53">
      <c r="A53" t="inlineStr">
        <is>
          <t>Top 100</t>
        </is>
      </c>
      <c r="B53" t="n">
        <v>51</v>
      </c>
      <c r="C53">
        <f>IFERROR(INDEX(Scores!$BI$2:$BI$101,MATCH($B53,Scores!$BI$2:$BI$101,0)),"")</f>
        <v/>
      </c>
      <c r="D53">
        <f>IFERROR(INDEX(Scores!$B$2:$B$101,MATCH($B53,Scores!$BI$2:$BI$101,0)),"")</f>
        <v/>
      </c>
      <c r="E53">
        <f>IFERROR(INDEX(Scores!$C$2:$C$101,MATCH($B53,Scores!$BI$2:$BI$101,0)),"")</f>
        <v/>
      </c>
      <c r="F53">
        <f>IFERROR(INDEX(Scores!$D$2:$D$101,MATCH($B53,Scores!$BI$2:$BI$101,0)),"")</f>
        <v/>
      </c>
      <c r="G53">
        <f>IFERROR(INDEX(Scores!$E$2:$E$101,MATCH($B53,Scores!$BI$2:$BI$101,0)),"")</f>
        <v/>
      </c>
      <c r="H53">
        <f>IFERROR(INDEX(Scores!$BF$2:$BF$101,MATCH($B53,Scores!$BI$2:$BI$101,0)),"")</f>
        <v/>
      </c>
      <c r="I53">
        <f>IFERROR(INDEX(Scores!$BH$2:$BH$101,MATCH($B53,Scores!$BI$2:$BI$101,0)),"")</f>
        <v/>
      </c>
      <c r="J53">
        <f>IFERROR(INDEX(Scores!$Q$2:$Q$101,MATCH($B53,Scores!$BI$2:$BI$101,0)),"")</f>
        <v/>
      </c>
      <c r="K53">
        <f>IFERROR(INDEX(Scores!$AC$2:$AC$101,MATCH($B53,Scores!$BI$2:$BI$101,0)),"")</f>
        <v/>
      </c>
      <c r="L53">
        <f>IFERROR(INDEX(Scores!$AK$2:$AK$101,MATCH($B53,Scores!$BI$2:$BI$101,0)),"")</f>
        <v/>
      </c>
      <c r="M53">
        <f>IFERROR(INDEX(Scores!$AS$2:$AS$101,MATCH($B53,Scores!$BI$2:$BI$101,0)),"")</f>
        <v/>
      </c>
      <c r="N53">
        <f>IFERROR(INDEX(Scores!$BC$2:$BC$101,MATCH($B53,Scores!$BI$2:$BI$101,0)),"")</f>
        <v/>
      </c>
    </row>
    <row r="54">
      <c r="A54" t="inlineStr">
        <is>
          <t>Top 100</t>
        </is>
      </c>
      <c r="B54" t="n">
        <v>52</v>
      </c>
      <c r="C54">
        <f>IFERROR(INDEX(Scores!$BI$2:$BI$101,MATCH($B54,Scores!$BI$2:$BI$101,0)),"")</f>
        <v/>
      </c>
      <c r="D54">
        <f>IFERROR(INDEX(Scores!$B$2:$B$101,MATCH($B54,Scores!$BI$2:$BI$101,0)),"")</f>
        <v/>
      </c>
      <c r="E54">
        <f>IFERROR(INDEX(Scores!$C$2:$C$101,MATCH($B54,Scores!$BI$2:$BI$101,0)),"")</f>
        <v/>
      </c>
      <c r="F54">
        <f>IFERROR(INDEX(Scores!$D$2:$D$101,MATCH($B54,Scores!$BI$2:$BI$101,0)),"")</f>
        <v/>
      </c>
      <c r="G54">
        <f>IFERROR(INDEX(Scores!$E$2:$E$101,MATCH($B54,Scores!$BI$2:$BI$101,0)),"")</f>
        <v/>
      </c>
      <c r="H54">
        <f>IFERROR(INDEX(Scores!$BF$2:$BF$101,MATCH($B54,Scores!$BI$2:$BI$101,0)),"")</f>
        <v/>
      </c>
      <c r="I54">
        <f>IFERROR(INDEX(Scores!$BH$2:$BH$101,MATCH($B54,Scores!$BI$2:$BI$101,0)),"")</f>
        <v/>
      </c>
      <c r="J54">
        <f>IFERROR(INDEX(Scores!$Q$2:$Q$101,MATCH($B54,Scores!$BI$2:$BI$101,0)),"")</f>
        <v/>
      </c>
      <c r="K54">
        <f>IFERROR(INDEX(Scores!$AC$2:$AC$101,MATCH($B54,Scores!$BI$2:$BI$101,0)),"")</f>
        <v/>
      </c>
      <c r="L54">
        <f>IFERROR(INDEX(Scores!$AK$2:$AK$101,MATCH($B54,Scores!$BI$2:$BI$101,0)),"")</f>
        <v/>
      </c>
      <c r="M54">
        <f>IFERROR(INDEX(Scores!$AS$2:$AS$101,MATCH($B54,Scores!$BI$2:$BI$101,0)),"")</f>
        <v/>
      </c>
      <c r="N54">
        <f>IFERROR(INDEX(Scores!$BC$2:$BC$101,MATCH($B54,Scores!$BI$2:$BI$101,0)),"")</f>
        <v/>
      </c>
    </row>
    <row r="55">
      <c r="A55" t="inlineStr">
        <is>
          <t>Top 100</t>
        </is>
      </c>
      <c r="B55" t="n">
        <v>53</v>
      </c>
      <c r="C55">
        <f>IFERROR(INDEX(Scores!$BI$2:$BI$101,MATCH($B55,Scores!$BI$2:$BI$101,0)),"")</f>
        <v/>
      </c>
      <c r="D55">
        <f>IFERROR(INDEX(Scores!$B$2:$B$101,MATCH($B55,Scores!$BI$2:$BI$101,0)),"")</f>
        <v/>
      </c>
      <c r="E55">
        <f>IFERROR(INDEX(Scores!$C$2:$C$101,MATCH($B55,Scores!$BI$2:$BI$101,0)),"")</f>
        <v/>
      </c>
      <c r="F55">
        <f>IFERROR(INDEX(Scores!$D$2:$D$101,MATCH($B55,Scores!$BI$2:$BI$101,0)),"")</f>
        <v/>
      </c>
      <c r="G55">
        <f>IFERROR(INDEX(Scores!$E$2:$E$101,MATCH($B55,Scores!$BI$2:$BI$101,0)),"")</f>
        <v/>
      </c>
      <c r="H55">
        <f>IFERROR(INDEX(Scores!$BF$2:$BF$101,MATCH($B55,Scores!$BI$2:$BI$101,0)),"")</f>
        <v/>
      </c>
      <c r="I55">
        <f>IFERROR(INDEX(Scores!$BH$2:$BH$101,MATCH($B55,Scores!$BI$2:$BI$101,0)),"")</f>
        <v/>
      </c>
      <c r="J55">
        <f>IFERROR(INDEX(Scores!$Q$2:$Q$101,MATCH($B55,Scores!$BI$2:$BI$101,0)),"")</f>
        <v/>
      </c>
      <c r="K55">
        <f>IFERROR(INDEX(Scores!$AC$2:$AC$101,MATCH($B55,Scores!$BI$2:$BI$101,0)),"")</f>
        <v/>
      </c>
      <c r="L55">
        <f>IFERROR(INDEX(Scores!$AK$2:$AK$101,MATCH($B55,Scores!$BI$2:$BI$101,0)),"")</f>
        <v/>
      </c>
      <c r="M55">
        <f>IFERROR(INDEX(Scores!$AS$2:$AS$101,MATCH($B55,Scores!$BI$2:$BI$101,0)),"")</f>
        <v/>
      </c>
      <c r="N55">
        <f>IFERROR(INDEX(Scores!$BC$2:$BC$101,MATCH($B55,Scores!$BI$2:$BI$101,0)),"")</f>
        <v/>
      </c>
    </row>
    <row r="56">
      <c r="A56" t="inlineStr">
        <is>
          <t>Top 100</t>
        </is>
      </c>
      <c r="B56" t="n">
        <v>54</v>
      </c>
      <c r="C56">
        <f>IFERROR(INDEX(Scores!$BI$2:$BI$101,MATCH($B56,Scores!$BI$2:$BI$101,0)),"")</f>
        <v/>
      </c>
      <c r="D56">
        <f>IFERROR(INDEX(Scores!$B$2:$B$101,MATCH($B56,Scores!$BI$2:$BI$101,0)),"")</f>
        <v/>
      </c>
      <c r="E56">
        <f>IFERROR(INDEX(Scores!$C$2:$C$101,MATCH($B56,Scores!$BI$2:$BI$101,0)),"")</f>
        <v/>
      </c>
      <c r="F56">
        <f>IFERROR(INDEX(Scores!$D$2:$D$101,MATCH($B56,Scores!$BI$2:$BI$101,0)),"")</f>
        <v/>
      </c>
      <c r="G56">
        <f>IFERROR(INDEX(Scores!$E$2:$E$101,MATCH($B56,Scores!$BI$2:$BI$101,0)),"")</f>
        <v/>
      </c>
      <c r="H56">
        <f>IFERROR(INDEX(Scores!$BF$2:$BF$101,MATCH($B56,Scores!$BI$2:$BI$101,0)),"")</f>
        <v/>
      </c>
      <c r="I56">
        <f>IFERROR(INDEX(Scores!$BH$2:$BH$101,MATCH($B56,Scores!$BI$2:$BI$101,0)),"")</f>
        <v/>
      </c>
      <c r="J56">
        <f>IFERROR(INDEX(Scores!$Q$2:$Q$101,MATCH($B56,Scores!$BI$2:$BI$101,0)),"")</f>
        <v/>
      </c>
      <c r="K56">
        <f>IFERROR(INDEX(Scores!$AC$2:$AC$101,MATCH($B56,Scores!$BI$2:$BI$101,0)),"")</f>
        <v/>
      </c>
      <c r="L56">
        <f>IFERROR(INDEX(Scores!$AK$2:$AK$101,MATCH($B56,Scores!$BI$2:$BI$101,0)),"")</f>
        <v/>
      </c>
      <c r="M56">
        <f>IFERROR(INDEX(Scores!$AS$2:$AS$101,MATCH($B56,Scores!$BI$2:$BI$101,0)),"")</f>
        <v/>
      </c>
      <c r="N56">
        <f>IFERROR(INDEX(Scores!$BC$2:$BC$101,MATCH($B56,Scores!$BI$2:$BI$101,0)),"")</f>
        <v/>
      </c>
    </row>
    <row r="57">
      <c r="A57" t="inlineStr">
        <is>
          <t>Top 100</t>
        </is>
      </c>
      <c r="B57" t="n">
        <v>55</v>
      </c>
      <c r="C57">
        <f>IFERROR(INDEX(Scores!$BI$2:$BI$101,MATCH($B57,Scores!$BI$2:$BI$101,0)),"")</f>
        <v/>
      </c>
      <c r="D57">
        <f>IFERROR(INDEX(Scores!$B$2:$B$101,MATCH($B57,Scores!$BI$2:$BI$101,0)),"")</f>
        <v/>
      </c>
      <c r="E57">
        <f>IFERROR(INDEX(Scores!$C$2:$C$101,MATCH($B57,Scores!$BI$2:$BI$101,0)),"")</f>
        <v/>
      </c>
      <c r="F57">
        <f>IFERROR(INDEX(Scores!$D$2:$D$101,MATCH($B57,Scores!$BI$2:$BI$101,0)),"")</f>
        <v/>
      </c>
      <c r="G57">
        <f>IFERROR(INDEX(Scores!$E$2:$E$101,MATCH($B57,Scores!$BI$2:$BI$101,0)),"")</f>
        <v/>
      </c>
      <c r="H57">
        <f>IFERROR(INDEX(Scores!$BF$2:$BF$101,MATCH($B57,Scores!$BI$2:$BI$101,0)),"")</f>
        <v/>
      </c>
      <c r="I57">
        <f>IFERROR(INDEX(Scores!$BH$2:$BH$101,MATCH($B57,Scores!$BI$2:$BI$101,0)),"")</f>
        <v/>
      </c>
      <c r="J57">
        <f>IFERROR(INDEX(Scores!$Q$2:$Q$101,MATCH($B57,Scores!$BI$2:$BI$101,0)),"")</f>
        <v/>
      </c>
      <c r="K57">
        <f>IFERROR(INDEX(Scores!$AC$2:$AC$101,MATCH($B57,Scores!$BI$2:$BI$101,0)),"")</f>
        <v/>
      </c>
      <c r="L57">
        <f>IFERROR(INDEX(Scores!$AK$2:$AK$101,MATCH($B57,Scores!$BI$2:$BI$101,0)),"")</f>
        <v/>
      </c>
      <c r="M57">
        <f>IFERROR(INDEX(Scores!$AS$2:$AS$101,MATCH($B57,Scores!$BI$2:$BI$101,0)),"")</f>
        <v/>
      </c>
      <c r="N57">
        <f>IFERROR(INDEX(Scores!$BC$2:$BC$101,MATCH($B57,Scores!$BI$2:$BI$101,0)),"")</f>
        <v/>
      </c>
    </row>
    <row r="58">
      <c r="A58" t="inlineStr">
        <is>
          <t>Top 100</t>
        </is>
      </c>
      <c r="B58" t="n">
        <v>56</v>
      </c>
      <c r="C58">
        <f>IFERROR(INDEX(Scores!$BI$2:$BI$101,MATCH($B58,Scores!$BI$2:$BI$101,0)),"")</f>
        <v/>
      </c>
      <c r="D58">
        <f>IFERROR(INDEX(Scores!$B$2:$B$101,MATCH($B58,Scores!$BI$2:$BI$101,0)),"")</f>
        <v/>
      </c>
      <c r="E58">
        <f>IFERROR(INDEX(Scores!$C$2:$C$101,MATCH($B58,Scores!$BI$2:$BI$101,0)),"")</f>
        <v/>
      </c>
      <c r="F58">
        <f>IFERROR(INDEX(Scores!$D$2:$D$101,MATCH($B58,Scores!$BI$2:$BI$101,0)),"")</f>
        <v/>
      </c>
      <c r="G58">
        <f>IFERROR(INDEX(Scores!$E$2:$E$101,MATCH($B58,Scores!$BI$2:$BI$101,0)),"")</f>
        <v/>
      </c>
      <c r="H58">
        <f>IFERROR(INDEX(Scores!$BF$2:$BF$101,MATCH($B58,Scores!$BI$2:$BI$101,0)),"")</f>
        <v/>
      </c>
      <c r="I58">
        <f>IFERROR(INDEX(Scores!$BH$2:$BH$101,MATCH($B58,Scores!$BI$2:$BI$101,0)),"")</f>
        <v/>
      </c>
      <c r="J58">
        <f>IFERROR(INDEX(Scores!$Q$2:$Q$101,MATCH($B58,Scores!$BI$2:$BI$101,0)),"")</f>
        <v/>
      </c>
      <c r="K58">
        <f>IFERROR(INDEX(Scores!$AC$2:$AC$101,MATCH($B58,Scores!$BI$2:$BI$101,0)),"")</f>
        <v/>
      </c>
      <c r="L58">
        <f>IFERROR(INDEX(Scores!$AK$2:$AK$101,MATCH($B58,Scores!$BI$2:$BI$101,0)),"")</f>
        <v/>
      </c>
      <c r="M58">
        <f>IFERROR(INDEX(Scores!$AS$2:$AS$101,MATCH($B58,Scores!$BI$2:$BI$101,0)),"")</f>
        <v/>
      </c>
      <c r="N58">
        <f>IFERROR(INDEX(Scores!$BC$2:$BC$101,MATCH($B58,Scores!$BI$2:$BI$101,0)),"")</f>
        <v/>
      </c>
    </row>
    <row r="59">
      <c r="A59" t="inlineStr">
        <is>
          <t>Top 100</t>
        </is>
      </c>
      <c r="B59" t="n">
        <v>57</v>
      </c>
      <c r="C59">
        <f>IFERROR(INDEX(Scores!$BI$2:$BI$101,MATCH($B59,Scores!$BI$2:$BI$101,0)),"")</f>
        <v/>
      </c>
      <c r="D59">
        <f>IFERROR(INDEX(Scores!$B$2:$B$101,MATCH($B59,Scores!$BI$2:$BI$101,0)),"")</f>
        <v/>
      </c>
      <c r="E59">
        <f>IFERROR(INDEX(Scores!$C$2:$C$101,MATCH($B59,Scores!$BI$2:$BI$101,0)),"")</f>
        <v/>
      </c>
      <c r="F59">
        <f>IFERROR(INDEX(Scores!$D$2:$D$101,MATCH($B59,Scores!$BI$2:$BI$101,0)),"")</f>
        <v/>
      </c>
      <c r="G59">
        <f>IFERROR(INDEX(Scores!$E$2:$E$101,MATCH($B59,Scores!$BI$2:$BI$101,0)),"")</f>
        <v/>
      </c>
      <c r="H59">
        <f>IFERROR(INDEX(Scores!$BF$2:$BF$101,MATCH($B59,Scores!$BI$2:$BI$101,0)),"")</f>
        <v/>
      </c>
      <c r="I59">
        <f>IFERROR(INDEX(Scores!$BH$2:$BH$101,MATCH($B59,Scores!$BI$2:$BI$101,0)),"")</f>
        <v/>
      </c>
      <c r="J59">
        <f>IFERROR(INDEX(Scores!$Q$2:$Q$101,MATCH($B59,Scores!$BI$2:$BI$101,0)),"")</f>
        <v/>
      </c>
      <c r="K59">
        <f>IFERROR(INDEX(Scores!$AC$2:$AC$101,MATCH($B59,Scores!$BI$2:$BI$101,0)),"")</f>
        <v/>
      </c>
      <c r="L59">
        <f>IFERROR(INDEX(Scores!$AK$2:$AK$101,MATCH($B59,Scores!$BI$2:$BI$101,0)),"")</f>
        <v/>
      </c>
      <c r="M59">
        <f>IFERROR(INDEX(Scores!$AS$2:$AS$101,MATCH($B59,Scores!$BI$2:$BI$101,0)),"")</f>
        <v/>
      </c>
      <c r="N59">
        <f>IFERROR(INDEX(Scores!$BC$2:$BC$101,MATCH($B59,Scores!$BI$2:$BI$101,0)),"")</f>
        <v/>
      </c>
    </row>
    <row r="60">
      <c r="A60" t="inlineStr">
        <is>
          <t>Top 100</t>
        </is>
      </c>
      <c r="B60" t="n">
        <v>58</v>
      </c>
      <c r="C60">
        <f>IFERROR(INDEX(Scores!$BI$2:$BI$101,MATCH($B60,Scores!$BI$2:$BI$101,0)),"")</f>
        <v/>
      </c>
      <c r="D60">
        <f>IFERROR(INDEX(Scores!$B$2:$B$101,MATCH($B60,Scores!$BI$2:$BI$101,0)),"")</f>
        <v/>
      </c>
      <c r="E60">
        <f>IFERROR(INDEX(Scores!$C$2:$C$101,MATCH($B60,Scores!$BI$2:$BI$101,0)),"")</f>
        <v/>
      </c>
      <c r="F60">
        <f>IFERROR(INDEX(Scores!$D$2:$D$101,MATCH($B60,Scores!$BI$2:$BI$101,0)),"")</f>
        <v/>
      </c>
      <c r="G60">
        <f>IFERROR(INDEX(Scores!$E$2:$E$101,MATCH($B60,Scores!$BI$2:$BI$101,0)),"")</f>
        <v/>
      </c>
      <c r="H60">
        <f>IFERROR(INDEX(Scores!$BF$2:$BF$101,MATCH($B60,Scores!$BI$2:$BI$101,0)),"")</f>
        <v/>
      </c>
      <c r="I60">
        <f>IFERROR(INDEX(Scores!$BH$2:$BH$101,MATCH($B60,Scores!$BI$2:$BI$101,0)),"")</f>
        <v/>
      </c>
      <c r="J60">
        <f>IFERROR(INDEX(Scores!$Q$2:$Q$101,MATCH($B60,Scores!$BI$2:$BI$101,0)),"")</f>
        <v/>
      </c>
      <c r="K60">
        <f>IFERROR(INDEX(Scores!$AC$2:$AC$101,MATCH($B60,Scores!$BI$2:$BI$101,0)),"")</f>
        <v/>
      </c>
      <c r="L60">
        <f>IFERROR(INDEX(Scores!$AK$2:$AK$101,MATCH($B60,Scores!$BI$2:$BI$101,0)),"")</f>
        <v/>
      </c>
      <c r="M60">
        <f>IFERROR(INDEX(Scores!$AS$2:$AS$101,MATCH($B60,Scores!$BI$2:$BI$101,0)),"")</f>
        <v/>
      </c>
      <c r="N60">
        <f>IFERROR(INDEX(Scores!$BC$2:$BC$101,MATCH($B60,Scores!$BI$2:$BI$101,0)),"")</f>
        <v/>
      </c>
    </row>
    <row r="61">
      <c r="A61" t="inlineStr">
        <is>
          <t>Top 100</t>
        </is>
      </c>
      <c r="B61" t="n">
        <v>59</v>
      </c>
      <c r="C61">
        <f>IFERROR(INDEX(Scores!$BI$2:$BI$101,MATCH($B61,Scores!$BI$2:$BI$101,0)),"")</f>
        <v/>
      </c>
      <c r="D61">
        <f>IFERROR(INDEX(Scores!$B$2:$B$101,MATCH($B61,Scores!$BI$2:$BI$101,0)),"")</f>
        <v/>
      </c>
      <c r="E61">
        <f>IFERROR(INDEX(Scores!$C$2:$C$101,MATCH($B61,Scores!$BI$2:$BI$101,0)),"")</f>
        <v/>
      </c>
      <c r="F61">
        <f>IFERROR(INDEX(Scores!$D$2:$D$101,MATCH($B61,Scores!$BI$2:$BI$101,0)),"")</f>
        <v/>
      </c>
      <c r="G61">
        <f>IFERROR(INDEX(Scores!$E$2:$E$101,MATCH($B61,Scores!$BI$2:$BI$101,0)),"")</f>
        <v/>
      </c>
      <c r="H61">
        <f>IFERROR(INDEX(Scores!$BF$2:$BF$101,MATCH($B61,Scores!$BI$2:$BI$101,0)),"")</f>
        <v/>
      </c>
      <c r="I61">
        <f>IFERROR(INDEX(Scores!$BH$2:$BH$101,MATCH($B61,Scores!$BI$2:$BI$101,0)),"")</f>
        <v/>
      </c>
      <c r="J61">
        <f>IFERROR(INDEX(Scores!$Q$2:$Q$101,MATCH($B61,Scores!$BI$2:$BI$101,0)),"")</f>
        <v/>
      </c>
      <c r="K61">
        <f>IFERROR(INDEX(Scores!$AC$2:$AC$101,MATCH($B61,Scores!$BI$2:$BI$101,0)),"")</f>
        <v/>
      </c>
      <c r="L61">
        <f>IFERROR(INDEX(Scores!$AK$2:$AK$101,MATCH($B61,Scores!$BI$2:$BI$101,0)),"")</f>
        <v/>
      </c>
      <c r="M61">
        <f>IFERROR(INDEX(Scores!$AS$2:$AS$101,MATCH($B61,Scores!$BI$2:$BI$101,0)),"")</f>
        <v/>
      </c>
      <c r="N61">
        <f>IFERROR(INDEX(Scores!$BC$2:$BC$101,MATCH($B61,Scores!$BI$2:$BI$101,0)),"")</f>
        <v/>
      </c>
    </row>
    <row r="62">
      <c r="A62" t="inlineStr">
        <is>
          <t>Top 100</t>
        </is>
      </c>
      <c r="B62" t="n">
        <v>60</v>
      </c>
      <c r="C62">
        <f>IFERROR(INDEX(Scores!$BI$2:$BI$101,MATCH($B62,Scores!$BI$2:$BI$101,0)),"")</f>
        <v/>
      </c>
      <c r="D62">
        <f>IFERROR(INDEX(Scores!$B$2:$B$101,MATCH($B62,Scores!$BI$2:$BI$101,0)),"")</f>
        <v/>
      </c>
      <c r="E62">
        <f>IFERROR(INDEX(Scores!$C$2:$C$101,MATCH($B62,Scores!$BI$2:$BI$101,0)),"")</f>
        <v/>
      </c>
      <c r="F62">
        <f>IFERROR(INDEX(Scores!$D$2:$D$101,MATCH($B62,Scores!$BI$2:$BI$101,0)),"")</f>
        <v/>
      </c>
      <c r="G62">
        <f>IFERROR(INDEX(Scores!$E$2:$E$101,MATCH($B62,Scores!$BI$2:$BI$101,0)),"")</f>
        <v/>
      </c>
      <c r="H62">
        <f>IFERROR(INDEX(Scores!$BF$2:$BF$101,MATCH($B62,Scores!$BI$2:$BI$101,0)),"")</f>
        <v/>
      </c>
      <c r="I62">
        <f>IFERROR(INDEX(Scores!$BH$2:$BH$101,MATCH($B62,Scores!$BI$2:$BI$101,0)),"")</f>
        <v/>
      </c>
      <c r="J62">
        <f>IFERROR(INDEX(Scores!$Q$2:$Q$101,MATCH($B62,Scores!$BI$2:$BI$101,0)),"")</f>
        <v/>
      </c>
      <c r="K62">
        <f>IFERROR(INDEX(Scores!$AC$2:$AC$101,MATCH($B62,Scores!$BI$2:$BI$101,0)),"")</f>
        <v/>
      </c>
      <c r="L62">
        <f>IFERROR(INDEX(Scores!$AK$2:$AK$101,MATCH($B62,Scores!$BI$2:$BI$101,0)),"")</f>
        <v/>
      </c>
      <c r="M62">
        <f>IFERROR(INDEX(Scores!$AS$2:$AS$101,MATCH($B62,Scores!$BI$2:$BI$101,0)),"")</f>
        <v/>
      </c>
      <c r="N62">
        <f>IFERROR(INDEX(Scores!$BC$2:$BC$101,MATCH($B62,Scores!$BI$2:$BI$101,0)),"")</f>
        <v/>
      </c>
    </row>
    <row r="63">
      <c r="A63" t="inlineStr">
        <is>
          <t>Top 100</t>
        </is>
      </c>
      <c r="B63" t="n">
        <v>61</v>
      </c>
      <c r="C63">
        <f>IFERROR(INDEX(Scores!$BI$2:$BI$101,MATCH($B63,Scores!$BI$2:$BI$101,0)),"")</f>
        <v/>
      </c>
      <c r="D63">
        <f>IFERROR(INDEX(Scores!$B$2:$B$101,MATCH($B63,Scores!$BI$2:$BI$101,0)),"")</f>
        <v/>
      </c>
      <c r="E63">
        <f>IFERROR(INDEX(Scores!$C$2:$C$101,MATCH($B63,Scores!$BI$2:$BI$101,0)),"")</f>
        <v/>
      </c>
      <c r="F63">
        <f>IFERROR(INDEX(Scores!$D$2:$D$101,MATCH($B63,Scores!$BI$2:$BI$101,0)),"")</f>
        <v/>
      </c>
      <c r="G63">
        <f>IFERROR(INDEX(Scores!$E$2:$E$101,MATCH($B63,Scores!$BI$2:$BI$101,0)),"")</f>
        <v/>
      </c>
      <c r="H63">
        <f>IFERROR(INDEX(Scores!$BF$2:$BF$101,MATCH($B63,Scores!$BI$2:$BI$101,0)),"")</f>
        <v/>
      </c>
      <c r="I63">
        <f>IFERROR(INDEX(Scores!$BH$2:$BH$101,MATCH($B63,Scores!$BI$2:$BI$101,0)),"")</f>
        <v/>
      </c>
      <c r="J63">
        <f>IFERROR(INDEX(Scores!$Q$2:$Q$101,MATCH($B63,Scores!$BI$2:$BI$101,0)),"")</f>
        <v/>
      </c>
      <c r="K63">
        <f>IFERROR(INDEX(Scores!$AC$2:$AC$101,MATCH($B63,Scores!$BI$2:$BI$101,0)),"")</f>
        <v/>
      </c>
      <c r="L63">
        <f>IFERROR(INDEX(Scores!$AK$2:$AK$101,MATCH($B63,Scores!$BI$2:$BI$101,0)),"")</f>
        <v/>
      </c>
      <c r="M63">
        <f>IFERROR(INDEX(Scores!$AS$2:$AS$101,MATCH($B63,Scores!$BI$2:$BI$101,0)),"")</f>
        <v/>
      </c>
      <c r="N63">
        <f>IFERROR(INDEX(Scores!$BC$2:$BC$101,MATCH($B63,Scores!$BI$2:$BI$101,0)),"")</f>
        <v/>
      </c>
    </row>
    <row r="64">
      <c r="A64" t="inlineStr">
        <is>
          <t>Top 100</t>
        </is>
      </c>
      <c r="B64" t="n">
        <v>62</v>
      </c>
      <c r="C64">
        <f>IFERROR(INDEX(Scores!$BI$2:$BI$101,MATCH($B64,Scores!$BI$2:$BI$101,0)),"")</f>
        <v/>
      </c>
      <c r="D64">
        <f>IFERROR(INDEX(Scores!$B$2:$B$101,MATCH($B64,Scores!$BI$2:$BI$101,0)),"")</f>
        <v/>
      </c>
      <c r="E64">
        <f>IFERROR(INDEX(Scores!$C$2:$C$101,MATCH($B64,Scores!$BI$2:$BI$101,0)),"")</f>
        <v/>
      </c>
      <c r="F64">
        <f>IFERROR(INDEX(Scores!$D$2:$D$101,MATCH($B64,Scores!$BI$2:$BI$101,0)),"")</f>
        <v/>
      </c>
      <c r="G64">
        <f>IFERROR(INDEX(Scores!$E$2:$E$101,MATCH($B64,Scores!$BI$2:$BI$101,0)),"")</f>
        <v/>
      </c>
      <c r="H64">
        <f>IFERROR(INDEX(Scores!$BF$2:$BF$101,MATCH($B64,Scores!$BI$2:$BI$101,0)),"")</f>
        <v/>
      </c>
      <c r="I64">
        <f>IFERROR(INDEX(Scores!$BH$2:$BH$101,MATCH($B64,Scores!$BI$2:$BI$101,0)),"")</f>
        <v/>
      </c>
      <c r="J64">
        <f>IFERROR(INDEX(Scores!$Q$2:$Q$101,MATCH($B64,Scores!$BI$2:$BI$101,0)),"")</f>
        <v/>
      </c>
      <c r="K64">
        <f>IFERROR(INDEX(Scores!$AC$2:$AC$101,MATCH($B64,Scores!$BI$2:$BI$101,0)),"")</f>
        <v/>
      </c>
      <c r="L64">
        <f>IFERROR(INDEX(Scores!$AK$2:$AK$101,MATCH($B64,Scores!$BI$2:$BI$101,0)),"")</f>
        <v/>
      </c>
      <c r="M64">
        <f>IFERROR(INDEX(Scores!$AS$2:$AS$101,MATCH($B64,Scores!$BI$2:$BI$101,0)),"")</f>
        <v/>
      </c>
      <c r="N64">
        <f>IFERROR(INDEX(Scores!$BC$2:$BC$101,MATCH($B64,Scores!$BI$2:$BI$101,0)),"")</f>
        <v/>
      </c>
    </row>
    <row r="65">
      <c r="A65" t="inlineStr">
        <is>
          <t>Top 100</t>
        </is>
      </c>
      <c r="B65" t="n">
        <v>63</v>
      </c>
      <c r="C65">
        <f>IFERROR(INDEX(Scores!$BI$2:$BI$101,MATCH($B65,Scores!$BI$2:$BI$101,0)),"")</f>
        <v/>
      </c>
      <c r="D65">
        <f>IFERROR(INDEX(Scores!$B$2:$B$101,MATCH($B65,Scores!$BI$2:$BI$101,0)),"")</f>
        <v/>
      </c>
      <c r="E65">
        <f>IFERROR(INDEX(Scores!$C$2:$C$101,MATCH($B65,Scores!$BI$2:$BI$101,0)),"")</f>
        <v/>
      </c>
      <c r="F65">
        <f>IFERROR(INDEX(Scores!$D$2:$D$101,MATCH($B65,Scores!$BI$2:$BI$101,0)),"")</f>
        <v/>
      </c>
      <c r="G65">
        <f>IFERROR(INDEX(Scores!$E$2:$E$101,MATCH($B65,Scores!$BI$2:$BI$101,0)),"")</f>
        <v/>
      </c>
      <c r="H65">
        <f>IFERROR(INDEX(Scores!$BF$2:$BF$101,MATCH($B65,Scores!$BI$2:$BI$101,0)),"")</f>
        <v/>
      </c>
      <c r="I65">
        <f>IFERROR(INDEX(Scores!$BH$2:$BH$101,MATCH($B65,Scores!$BI$2:$BI$101,0)),"")</f>
        <v/>
      </c>
      <c r="J65">
        <f>IFERROR(INDEX(Scores!$Q$2:$Q$101,MATCH($B65,Scores!$BI$2:$BI$101,0)),"")</f>
        <v/>
      </c>
      <c r="K65">
        <f>IFERROR(INDEX(Scores!$AC$2:$AC$101,MATCH($B65,Scores!$BI$2:$BI$101,0)),"")</f>
        <v/>
      </c>
      <c r="L65">
        <f>IFERROR(INDEX(Scores!$AK$2:$AK$101,MATCH($B65,Scores!$BI$2:$BI$101,0)),"")</f>
        <v/>
      </c>
      <c r="M65">
        <f>IFERROR(INDEX(Scores!$AS$2:$AS$101,MATCH($B65,Scores!$BI$2:$BI$101,0)),"")</f>
        <v/>
      </c>
      <c r="N65">
        <f>IFERROR(INDEX(Scores!$BC$2:$BC$101,MATCH($B65,Scores!$BI$2:$BI$101,0)),"")</f>
        <v/>
      </c>
    </row>
    <row r="66">
      <c r="A66" t="inlineStr">
        <is>
          <t>Top 100</t>
        </is>
      </c>
      <c r="B66" t="n">
        <v>64</v>
      </c>
      <c r="C66">
        <f>IFERROR(INDEX(Scores!$BI$2:$BI$101,MATCH($B66,Scores!$BI$2:$BI$101,0)),"")</f>
        <v/>
      </c>
      <c r="D66">
        <f>IFERROR(INDEX(Scores!$B$2:$B$101,MATCH($B66,Scores!$BI$2:$BI$101,0)),"")</f>
        <v/>
      </c>
      <c r="E66">
        <f>IFERROR(INDEX(Scores!$C$2:$C$101,MATCH($B66,Scores!$BI$2:$BI$101,0)),"")</f>
        <v/>
      </c>
      <c r="F66">
        <f>IFERROR(INDEX(Scores!$D$2:$D$101,MATCH($B66,Scores!$BI$2:$BI$101,0)),"")</f>
        <v/>
      </c>
      <c r="G66">
        <f>IFERROR(INDEX(Scores!$E$2:$E$101,MATCH($B66,Scores!$BI$2:$BI$101,0)),"")</f>
        <v/>
      </c>
      <c r="H66">
        <f>IFERROR(INDEX(Scores!$BF$2:$BF$101,MATCH($B66,Scores!$BI$2:$BI$101,0)),"")</f>
        <v/>
      </c>
      <c r="I66">
        <f>IFERROR(INDEX(Scores!$BH$2:$BH$101,MATCH($B66,Scores!$BI$2:$BI$101,0)),"")</f>
        <v/>
      </c>
      <c r="J66">
        <f>IFERROR(INDEX(Scores!$Q$2:$Q$101,MATCH($B66,Scores!$BI$2:$BI$101,0)),"")</f>
        <v/>
      </c>
      <c r="K66">
        <f>IFERROR(INDEX(Scores!$AC$2:$AC$101,MATCH($B66,Scores!$BI$2:$BI$101,0)),"")</f>
        <v/>
      </c>
      <c r="L66">
        <f>IFERROR(INDEX(Scores!$AK$2:$AK$101,MATCH($B66,Scores!$BI$2:$BI$101,0)),"")</f>
        <v/>
      </c>
      <c r="M66">
        <f>IFERROR(INDEX(Scores!$AS$2:$AS$101,MATCH($B66,Scores!$BI$2:$BI$101,0)),"")</f>
        <v/>
      </c>
      <c r="N66">
        <f>IFERROR(INDEX(Scores!$BC$2:$BC$101,MATCH($B66,Scores!$BI$2:$BI$101,0)),"")</f>
        <v/>
      </c>
    </row>
    <row r="67">
      <c r="A67" t="inlineStr">
        <is>
          <t>Top 100</t>
        </is>
      </c>
      <c r="B67" t="n">
        <v>65</v>
      </c>
      <c r="C67">
        <f>IFERROR(INDEX(Scores!$BI$2:$BI$101,MATCH($B67,Scores!$BI$2:$BI$101,0)),"")</f>
        <v/>
      </c>
      <c r="D67">
        <f>IFERROR(INDEX(Scores!$B$2:$B$101,MATCH($B67,Scores!$BI$2:$BI$101,0)),"")</f>
        <v/>
      </c>
      <c r="E67">
        <f>IFERROR(INDEX(Scores!$C$2:$C$101,MATCH($B67,Scores!$BI$2:$BI$101,0)),"")</f>
        <v/>
      </c>
      <c r="F67">
        <f>IFERROR(INDEX(Scores!$D$2:$D$101,MATCH($B67,Scores!$BI$2:$BI$101,0)),"")</f>
        <v/>
      </c>
      <c r="G67">
        <f>IFERROR(INDEX(Scores!$E$2:$E$101,MATCH($B67,Scores!$BI$2:$BI$101,0)),"")</f>
        <v/>
      </c>
      <c r="H67">
        <f>IFERROR(INDEX(Scores!$BF$2:$BF$101,MATCH($B67,Scores!$BI$2:$BI$101,0)),"")</f>
        <v/>
      </c>
      <c r="I67">
        <f>IFERROR(INDEX(Scores!$BH$2:$BH$101,MATCH($B67,Scores!$BI$2:$BI$101,0)),"")</f>
        <v/>
      </c>
      <c r="J67">
        <f>IFERROR(INDEX(Scores!$Q$2:$Q$101,MATCH($B67,Scores!$BI$2:$BI$101,0)),"")</f>
        <v/>
      </c>
      <c r="K67">
        <f>IFERROR(INDEX(Scores!$AC$2:$AC$101,MATCH($B67,Scores!$BI$2:$BI$101,0)),"")</f>
        <v/>
      </c>
      <c r="L67">
        <f>IFERROR(INDEX(Scores!$AK$2:$AK$101,MATCH($B67,Scores!$BI$2:$BI$101,0)),"")</f>
        <v/>
      </c>
      <c r="M67">
        <f>IFERROR(INDEX(Scores!$AS$2:$AS$101,MATCH($B67,Scores!$BI$2:$BI$101,0)),"")</f>
        <v/>
      </c>
      <c r="N67">
        <f>IFERROR(INDEX(Scores!$BC$2:$BC$101,MATCH($B67,Scores!$BI$2:$BI$101,0)),"")</f>
        <v/>
      </c>
    </row>
    <row r="68">
      <c r="A68" t="inlineStr">
        <is>
          <t>Top 100</t>
        </is>
      </c>
      <c r="B68" t="n">
        <v>66</v>
      </c>
      <c r="C68">
        <f>IFERROR(INDEX(Scores!$BI$2:$BI$101,MATCH($B68,Scores!$BI$2:$BI$101,0)),"")</f>
        <v/>
      </c>
      <c r="D68">
        <f>IFERROR(INDEX(Scores!$B$2:$B$101,MATCH($B68,Scores!$BI$2:$BI$101,0)),"")</f>
        <v/>
      </c>
      <c r="E68">
        <f>IFERROR(INDEX(Scores!$C$2:$C$101,MATCH($B68,Scores!$BI$2:$BI$101,0)),"")</f>
        <v/>
      </c>
      <c r="F68">
        <f>IFERROR(INDEX(Scores!$D$2:$D$101,MATCH($B68,Scores!$BI$2:$BI$101,0)),"")</f>
        <v/>
      </c>
      <c r="G68">
        <f>IFERROR(INDEX(Scores!$E$2:$E$101,MATCH($B68,Scores!$BI$2:$BI$101,0)),"")</f>
        <v/>
      </c>
      <c r="H68">
        <f>IFERROR(INDEX(Scores!$BF$2:$BF$101,MATCH($B68,Scores!$BI$2:$BI$101,0)),"")</f>
        <v/>
      </c>
      <c r="I68">
        <f>IFERROR(INDEX(Scores!$BH$2:$BH$101,MATCH($B68,Scores!$BI$2:$BI$101,0)),"")</f>
        <v/>
      </c>
      <c r="J68">
        <f>IFERROR(INDEX(Scores!$Q$2:$Q$101,MATCH($B68,Scores!$BI$2:$BI$101,0)),"")</f>
        <v/>
      </c>
      <c r="K68">
        <f>IFERROR(INDEX(Scores!$AC$2:$AC$101,MATCH($B68,Scores!$BI$2:$BI$101,0)),"")</f>
        <v/>
      </c>
      <c r="L68">
        <f>IFERROR(INDEX(Scores!$AK$2:$AK$101,MATCH($B68,Scores!$BI$2:$BI$101,0)),"")</f>
        <v/>
      </c>
      <c r="M68">
        <f>IFERROR(INDEX(Scores!$AS$2:$AS$101,MATCH($B68,Scores!$BI$2:$BI$101,0)),"")</f>
        <v/>
      </c>
      <c r="N68">
        <f>IFERROR(INDEX(Scores!$BC$2:$BC$101,MATCH($B68,Scores!$BI$2:$BI$101,0)),"")</f>
        <v/>
      </c>
    </row>
    <row r="69">
      <c r="A69" t="inlineStr">
        <is>
          <t>Top 100</t>
        </is>
      </c>
      <c r="B69" t="n">
        <v>67</v>
      </c>
      <c r="C69">
        <f>IFERROR(INDEX(Scores!$BI$2:$BI$101,MATCH($B69,Scores!$BI$2:$BI$101,0)),"")</f>
        <v/>
      </c>
      <c r="D69">
        <f>IFERROR(INDEX(Scores!$B$2:$B$101,MATCH($B69,Scores!$BI$2:$BI$101,0)),"")</f>
        <v/>
      </c>
      <c r="E69">
        <f>IFERROR(INDEX(Scores!$C$2:$C$101,MATCH($B69,Scores!$BI$2:$BI$101,0)),"")</f>
        <v/>
      </c>
      <c r="F69">
        <f>IFERROR(INDEX(Scores!$D$2:$D$101,MATCH($B69,Scores!$BI$2:$BI$101,0)),"")</f>
        <v/>
      </c>
      <c r="G69">
        <f>IFERROR(INDEX(Scores!$E$2:$E$101,MATCH($B69,Scores!$BI$2:$BI$101,0)),"")</f>
        <v/>
      </c>
      <c r="H69">
        <f>IFERROR(INDEX(Scores!$BF$2:$BF$101,MATCH($B69,Scores!$BI$2:$BI$101,0)),"")</f>
        <v/>
      </c>
      <c r="I69">
        <f>IFERROR(INDEX(Scores!$BH$2:$BH$101,MATCH($B69,Scores!$BI$2:$BI$101,0)),"")</f>
        <v/>
      </c>
      <c r="J69">
        <f>IFERROR(INDEX(Scores!$Q$2:$Q$101,MATCH($B69,Scores!$BI$2:$BI$101,0)),"")</f>
        <v/>
      </c>
      <c r="K69">
        <f>IFERROR(INDEX(Scores!$AC$2:$AC$101,MATCH($B69,Scores!$BI$2:$BI$101,0)),"")</f>
        <v/>
      </c>
      <c r="L69">
        <f>IFERROR(INDEX(Scores!$AK$2:$AK$101,MATCH($B69,Scores!$BI$2:$BI$101,0)),"")</f>
        <v/>
      </c>
      <c r="M69">
        <f>IFERROR(INDEX(Scores!$AS$2:$AS$101,MATCH($B69,Scores!$BI$2:$BI$101,0)),"")</f>
        <v/>
      </c>
      <c r="N69">
        <f>IFERROR(INDEX(Scores!$BC$2:$BC$101,MATCH($B69,Scores!$BI$2:$BI$101,0)),"")</f>
        <v/>
      </c>
    </row>
    <row r="70">
      <c r="A70" t="inlineStr">
        <is>
          <t>Top 100</t>
        </is>
      </c>
      <c r="B70" t="n">
        <v>68</v>
      </c>
      <c r="C70">
        <f>IFERROR(INDEX(Scores!$BI$2:$BI$101,MATCH($B70,Scores!$BI$2:$BI$101,0)),"")</f>
        <v/>
      </c>
      <c r="D70">
        <f>IFERROR(INDEX(Scores!$B$2:$B$101,MATCH($B70,Scores!$BI$2:$BI$101,0)),"")</f>
        <v/>
      </c>
      <c r="E70">
        <f>IFERROR(INDEX(Scores!$C$2:$C$101,MATCH($B70,Scores!$BI$2:$BI$101,0)),"")</f>
        <v/>
      </c>
      <c r="F70">
        <f>IFERROR(INDEX(Scores!$D$2:$D$101,MATCH($B70,Scores!$BI$2:$BI$101,0)),"")</f>
        <v/>
      </c>
      <c r="G70">
        <f>IFERROR(INDEX(Scores!$E$2:$E$101,MATCH($B70,Scores!$BI$2:$BI$101,0)),"")</f>
        <v/>
      </c>
      <c r="H70">
        <f>IFERROR(INDEX(Scores!$BF$2:$BF$101,MATCH($B70,Scores!$BI$2:$BI$101,0)),"")</f>
        <v/>
      </c>
      <c r="I70">
        <f>IFERROR(INDEX(Scores!$BH$2:$BH$101,MATCH($B70,Scores!$BI$2:$BI$101,0)),"")</f>
        <v/>
      </c>
      <c r="J70">
        <f>IFERROR(INDEX(Scores!$Q$2:$Q$101,MATCH($B70,Scores!$BI$2:$BI$101,0)),"")</f>
        <v/>
      </c>
      <c r="K70">
        <f>IFERROR(INDEX(Scores!$AC$2:$AC$101,MATCH($B70,Scores!$BI$2:$BI$101,0)),"")</f>
        <v/>
      </c>
      <c r="L70">
        <f>IFERROR(INDEX(Scores!$AK$2:$AK$101,MATCH($B70,Scores!$BI$2:$BI$101,0)),"")</f>
        <v/>
      </c>
      <c r="M70">
        <f>IFERROR(INDEX(Scores!$AS$2:$AS$101,MATCH($B70,Scores!$BI$2:$BI$101,0)),"")</f>
        <v/>
      </c>
      <c r="N70">
        <f>IFERROR(INDEX(Scores!$BC$2:$BC$101,MATCH($B70,Scores!$BI$2:$BI$101,0)),"")</f>
        <v/>
      </c>
    </row>
    <row r="71">
      <c r="A71" t="inlineStr">
        <is>
          <t>Top 100</t>
        </is>
      </c>
      <c r="B71" t="n">
        <v>69</v>
      </c>
      <c r="C71">
        <f>IFERROR(INDEX(Scores!$BI$2:$BI$101,MATCH($B71,Scores!$BI$2:$BI$101,0)),"")</f>
        <v/>
      </c>
      <c r="D71">
        <f>IFERROR(INDEX(Scores!$B$2:$B$101,MATCH($B71,Scores!$BI$2:$BI$101,0)),"")</f>
        <v/>
      </c>
      <c r="E71">
        <f>IFERROR(INDEX(Scores!$C$2:$C$101,MATCH($B71,Scores!$BI$2:$BI$101,0)),"")</f>
        <v/>
      </c>
      <c r="F71">
        <f>IFERROR(INDEX(Scores!$D$2:$D$101,MATCH($B71,Scores!$BI$2:$BI$101,0)),"")</f>
        <v/>
      </c>
      <c r="G71">
        <f>IFERROR(INDEX(Scores!$E$2:$E$101,MATCH($B71,Scores!$BI$2:$BI$101,0)),"")</f>
        <v/>
      </c>
      <c r="H71">
        <f>IFERROR(INDEX(Scores!$BF$2:$BF$101,MATCH($B71,Scores!$BI$2:$BI$101,0)),"")</f>
        <v/>
      </c>
      <c r="I71">
        <f>IFERROR(INDEX(Scores!$BH$2:$BH$101,MATCH($B71,Scores!$BI$2:$BI$101,0)),"")</f>
        <v/>
      </c>
      <c r="J71">
        <f>IFERROR(INDEX(Scores!$Q$2:$Q$101,MATCH($B71,Scores!$BI$2:$BI$101,0)),"")</f>
        <v/>
      </c>
      <c r="K71">
        <f>IFERROR(INDEX(Scores!$AC$2:$AC$101,MATCH($B71,Scores!$BI$2:$BI$101,0)),"")</f>
        <v/>
      </c>
      <c r="L71">
        <f>IFERROR(INDEX(Scores!$AK$2:$AK$101,MATCH($B71,Scores!$BI$2:$BI$101,0)),"")</f>
        <v/>
      </c>
      <c r="M71">
        <f>IFERROR(INDEX(Scores!$AS$2:$AS$101,MATCH($B71,Scores!$BI$2:$BI$101,0)),"")</f>
        <v/>
      </c>
      <c r="N71">
        <f>IFERROR(INDEX(Scores!$BC$2:$BC$101,MATCH($B71,Scores!$BI$2:$BI$101,0)),"")</f>
        <v/>
      </c>
    </row>
    <row r="72">
      <c r="A72" t="inlineStr">
        <is>
          <t>Top 100</t>
        </is>
      </c>
      <c r="B72" t="n">
        <v>70</v>
      </c>
      <c r="C72">
        <f>IFERROR(INDEX(Scores!$BI$2:$BI$101,MATCH($B72,Scores!$BI$2:$BI$101,0)),"")</f>
        <v/>
      </c>
      <c r="D72">
        <f>IFERROR(INDEX(Scores!$B$2:$B$101,MATCH($B72,Scores!$BI$2:$BI$101,0)),"")</f>
        <v/>
      </c>
      <c r="E72">
        <f>IFERROR(INDEX(Scores!$C$2:$C$101,MATCH($B72,Scores!$BI$2:$BI$101,0)),"")</f>
        <v/>
      </c>
      <c r="F72">
        <f>IFERROR(INDEX(Scores!$D$2:$D$101,MATCH($B72,Scores!$BI$2:$BI$101,0)),"")</f>
        <v/>
      </c>
      <c r="G72">
        <f>IFERROR(INDEX(Scores!$E$2:$E$101,MATCH($B72,Scores!$BI$2:$BI$101,0)),"")</f>
        <v/>
      </c>
      <c r="H72">
        <f>IFERROR(INDEX(Scores!$BF$2:$BF$101,MATCH($B72,Scores!$BI$2:$BI$101,0)),"")</f>
        <v/>
      </c>
      <c r="I72">
        <f>IFERROR(INDEX(Scores!$BH$2:$BH$101,MATCH($B72,Scores!$BI$2:$BI$101,0)),"")</f>
        <v/>
      </c>
      <c r="J72">
        <f>IFERROR(INDEX(Scores!$Q$2:$Q$101,MATCH($B72,Scores!$BI$2:$BI$101,0)),"")</f>
        <v/>
      </c>
      <c r="K72">
        <f>IFERROR(INDEX(Scores!$AC$2:$AC$101,MATCH($B72,Scores!$BI$2:$BI$101,0)),"")</f>
        <v/>
      </c>
      <c r="L72">
        <f>IFERROR(INDEX(Scores!$AK$2:$AK$101,MATCH($B72,Scores!$BI$2:$BI$101,0)),"")</f>
        <v/>
      </c>
      <c r="M72">
        <f>IFERROR(INDEX(Scores!$AS$2:$AS$101,MATCH($B72,Scores!$BI$2:$BI$101,0)),"")</f>
        <v/>
      </c>
      <c r="N72">
        <f>IFERROR(INDEX(Scores!$BC$2:$BC$101,MATCH($B72,Scores!$BI$2:$BI$101,0)),"")</f>
        <v/>
      </c>
    </row>
    <row r="73">
      <c r="A73" t="inlineStr">
        <is>
          <t>Top 100</t>
        </is>
      </c>
      <c r="B73" t="n">
        <v>71</v>
      </c>
      <c r="C73">
        <f>IFERROR(INDEX(Scores!$BI$2:$BI$101,MATCH($B73,Scores!$BI$2:$BI$101,0)),"")</f>
        <v/>
      </c>
      <c r="D73">
        <f>IFERROR(INDEX(Scores!$B$2:$B$101,MATCH($B73,Scores!$BI$2:$BI$101,0)),"")</f>
        <v/>
      </c>
      <c r="E73">
        <f>IFERROR(INDEX(Scores!$C$2:$C$101,MATCH($B73,Scores!$BI$2:$BI$101,0)),"")</f>
        <v/>
      </c>
      <c r="F73">
        <f>IFERROR(INDEX(Scores!$D$2:$D$101,MATCH($B73,Scores!$BI$2:$BI$101,0)),"")</f>
        <v/>
      </c>
      <c r="G73">
        <f>IFERROR(INDEX(Scores!$E$2:$E$101,MATCH($B73,Scores!$BI$2:$BI$101,0)),"")</f>
        <v/>
      </c>
      <c r="H73">
        <f>IFERROR(INDEX(Scores!$BF$2:$BF$101,MATCH($B73,Scores!$BI$2:$BI$101,0)),"")</f>
        <v/>
      </c>
      <c r="I73">
        <f>IFERROR(INDEX(Scores!$BH$2:$BH$101,MATCH($B73,Scores!$BI$2:$BI$101,0)),"")</f>
        <v/>
      </c>
      <c r="J73">
        <f>IFERROR(INDEX(Scores!$Q$2:$Q$101,MATCH($B73,Scores!$BI$2:$BI$101,0)),"")</f>
        <v/>
      </c>
      <c r="K73">
        <f>IFERROR(INDEX(Scores!$AC$2:$AC$101,MATCH($B73,Scores!$BI$2:$BI$101,0)),"")</f>
        <v/>
      </c>
      <c r="L73">
        <f>IFERROR(INDEX(Scores!$AK$2:$AK$101,MATCH($B73,Scores!$BI$2:$BI$101,0)),"")</f>
        <v/>
      </c>
      <c r="M73">
        <f>IFERROR(INDEX(Scores!$AS$2:$AS$101,MATCH($B73,Scores!$BI$2:$BI$101,0)),"")</f>
        <v/>
      </c>
      <c r="N73">
        <f>IFERROR(INDEX(Scores!$BC$2:$BC$101,MATCH($B73,Scores!$BI$2:$BI$101,0)),"")</f>
        <v/>
      </c>
    </row>
    <row r="74">
      <c r="A74" t="inlineStr">
        <is>
          <t>Top 100</t>
        </is>
      </c>
      <c r="B74" t="n">
        <v>72</v>
      </c>
      <c r="C74">
        <f>IFERROR(INDEX(Scores!$BI$2:$BI$101,MATCH($B74,Scores!$BI$2:$BI$101,0)),"")</f>
        <v/>
      </c>
      <c r="D74">
        <f>IFERROR(INDEX(Scores!$B$2:$B$101,MATCH($B74,Scores!$BI$2:$BI$101,0)),"")</f>
        <v/>
      </c>
      <c r="E74">
        <f>IFERROR(INDEX(Scores!$C$2:$C$101,MATCH($B74,Scores!$BI$2:$BI$101,0)),"")</f>
        <v/>
      </c>
      <c r="F74">
        <f>IFERROR(INDEX(Scores!$D$2:$D$101,MATCH($B74,Scores!$BI$2:$BI$101,0)),"")</f>
        <v/>
      </c>
      <c r="G74">
        <f>IFERROR(INDEX(Scores!$E$2:$E$101,MATCH($B74,Scores!$BI$2:$BI$101,0)),"")</f>
        <v/>
      </c>
      <c r="H74">
        <f>IFERROR(INDEX(Scores!$BF$2:$BF$101,MATCH($B74,Scores!$BI$2:$BI$101,0)),"")</f>
        <v/>
      </c>
      <c r="I74">
        <f>IFERROR(INDEX(Scores!$BH$2:$BH$101,MATCH($B74,Scores!$BI$2:$BI$101,0)),"")</f>
        <v/>
      </c>
      <c r="J74">
        <f>IFERROR(INDEX(Scores!$Q$2:$Q$101,MATCH($B74,Scores!$BI$2:$BI$101,0)),"")</f>
        <v/>
      </c>
      <c r="K74">
        <f>IFERROR(INDEX(Scores!$AC$2:$AC$101,MATCH($B74,Scores!$BI$2:$BI$101,0)),"")</f>
        <v/>
      </c>
      <c r="L74">
        <f>IFERROR(INDEX(Scores!$AK$2:$AK$101,MATCH($B74,Scores!$BI$2:$BI$101,0)),"")</f>
        <v/>
      </c>
      <c r="M74">
        <f>IFERROR(INDEX(Scores!$AS$2:$AS$101,MATCH($B74,Scores!$BI$2:$BI$101,0)),"")</f>
        <v/>
      </c>
      <c r="N74">
        <f>IFERROR(INDEX(Scores!$BC$2:$BC$101,MATCH($B74,Scores!$BI$2:$BI$101,0)),"")</f>
        <v/>
      </c>
    </row>
    <row r="75">
      <c r="A75" t="inlineStr">
        <is>
          <t>Top 100</t>
        </is>
      </c>
      <c r="B75" t="n">
        <v>73</v>
      </c>
      <c r="C75">
        <f>IFERROR(INDEX(Scores!$BI$2:$BI$101,MATCH($B75,Scores!$BI$2:$BI$101,0)),"")</f>
        <v/>
      </c>
      <c r="D75">
        <f>IFERROR(INDEX(Scores!$B$2:$B$101,MATCH($B75,Scores!$BI$2:$BI$101,0)),"")</f>
        <v/>
      </c>
      <c r="E75">
        <f>IFERROR(INDEX(Scores!$C$2:$C$101,MATCH($B75,Scores!$BI$2:$BI$101,0)),"")</f>
        <v/>
      </c>
      <c r="F75">
        <f>IFERROR(INDEX(Scores!$D$2:$D$101,MATCH($B75,Scores!$BI$2:$BI$101,0)),"")</f>
        <v/>
      </c>
      <c r="G75">
        <f>IFERROR(INDEX(Scores!$E$2:$E$101,MATCH($B75,Scores!$BI$2:$BI$101,0)),"")</f>
        <v/>
      </c>
      <c r="H75">
        <f>IFERROR(INDEX(Scores!$BF$2:$BF$101,MATCH($B75,Scores!$BI$2:$BI$101,0)),"")</f>
        <v/>
      </c>
      <c r="I75">
        <f>IFERROR(INDEX(Scores!$BH$2:$BH$101,MATCH($B75,Scores!$BI$2:$BI$101,0)),"")</f>
        <v/>
      </c>
      <c r="J75">
        <f>IFERROR(INDEX(Scores!$Q$2:$Q$101,MATCH($B75,Scores!$BI$2:$BI$101,0)),"")</f>
        <v/>
      </c>
      <c r="K75">
        <f>IFERROR(INDEX(Scores!$AC$2:$AC$101,MATCH($B75,Scores!$BI$2:$BI$101,0)),"")</f>
        <v/>
      </c>
      <c r="L75">
        <f>IFERROR(INDEX(Scores!$AK$2:$AK$101,MATCH($B75,Scores!$BI$2:$BI$101,0)),"")</f>
        <v/>
      </c>
      <c r="M75">
        <f>IFERROR(INDEX(Scores!$AS$2:$AS$101,MATCH($B75,Scores!$BI$2:$BI$101,0)),"")</f>
        <v/>
      </c>
      <c r="N75">
        <f>IFERROR(INDEX(Scores!$BC$2:$BC$101,MATCH($B75,Scores!$BI$2:$BI$101,0)),"")</f>
        <v/>
      </c>
    </row>
    <row r="76">
      <c r="A76" t="inlineStr">
        <is>
          <t>Top 100</t>
        </is>
      </c>
      <c r="B76" t="n">
        <v>74</v>
      </c>
      <c r="C76">
        <f>IFERROR(INDEX(Scores!$BI$2:$BI$101,MATCH($B76,Scores!$BI$2:$BI$101,0)),"")</f>
        <v/>
      </c>
      <c r="D76">
        <f>IFERROR(INDEX(Scores!$B$2:$B$101,MATCH($B76,Scores!$BI$2:$BI$101,0)),"")</f>
        <v/>
      </c>
      <c r="E76">
        <f>IFERROR(INDEX(Scores!$C$2:$C$101,MATCH($B76,Scores!$BI$2:$BI$101,0)),"")</f>
        <v/>
      </c>
      <c r="F76">
        <f>IFERROR(INDEX(Scores!$D$2:$D$101,MATCH($B76,Scores!$BI$2:$BI$101,0)),"")</f>
        <v/>
      </c>
      <c r="G76">
        <f>IFERROR(INDEX(Scores!$E$2:$E$101,MATCH($B76,Scores!$BI$2:$BI$101,0)),"")</f>
        <v/>
      </c>
      <c r="H76">
        <f>IFERROR(INDEX(Scores!$BF$2:$BF$101,MATCH($B76,Scores!$BI$2:$BI$101,0)),"")</f>
        <v/>
      </c>
      <c r="I76">
        <f>IFERROR(INDEX(Scores!$BH$2:$BH$101,MATCH($B76,Scores!$BI$2:$BI$101,0)),"")</f>
        <v/>
      </c>
      <c r="J76">
        <f>IFERROR(INDEX(Scores!$Q$2:$Q$101,MATCH($B76,Scores!$BI$2:$BI$101,0)),"")</f>
        <v/>
      </c>
      <c r="K76">
        <f>IFERROR(INDEX(Scores!$AC$2:$AC$101,MATCH($B76,Scores!$BI$2:$BI$101,0)),"")</f>
        <v/>
      </c>
      <c r="L76">
        <f>IFERROR(INDEX(Scores!$AK$2:$AK$101,MATCH($B76,Scores!$BI$2:$BI$101,0)),"")</f>
        <v/>
      </c>
      <c r="M76">
        <f>IFERROR(INDEX(Scores!$AS$2:$AS$101,MATCH($B76,Scores!$BI$2:$BI$101,0)),"")</f>
        <v/>
      </c>
      <c r="N76">
        <f>IFERROR(INDEX(Scores!$BC$2:$BC$101,MATCH($B76,Scores!$BI$2:$BI$101,0)),"")</f>
        <v/>
      </c>
    </row>
    <row r="77">
      <c r="A77" t="inlineStr">
        <is>
          <t>Top 100</t>
        </is>
      </c>
      <c r="B77" t="n">
        <v>75</v>
      </c>
      <c r="C77">
        <f>IFERROR(INDEX(Scores!$BI$2:$BI$101,MATCH($B77,Scores!$BI$2:$BI$101,0)),"")</f>
        <v/>
      </c>
      <c r="D77">
        <f>IFERROR(INDEX(Scores!$B$2:$B$101,MATCH($B77,Scores!$BI$2:$BI$101,0)),"")</f>
        <v/>
      </c>
      <c r="E77">
        <f>IFERROR(INDEX(Scores!$C$2:$C$101,MATCH($B77,Scores!$BI$2:$BI$101,0)),"")</f>
        <v/>
      </c>
      <c r="F77">
        <f>IFERROR(INDEX(Scores!$D$2:$D$101,MATCH($B77,Scores!$BI$2:$BI$101,0)),"")</f>
        <v/>
      </c>
      <c r="G77">
        <f>IFERROR(INDEX(Scores!$E$2:$E$101,MATCH($B77,Scores!$BI$2:$BI$101,0)),"")</f>
        <v/>
      </c>
      <c r="H77">
        <f>IFERROR(INDEX(Scores!$BF$2:$BF$101,MATCH($B77,Scores!$BI$2:$BI$101,0)),"")</f>
        <v/>
      </c>
      <c r="I77">
        <f>IFERROR(INDEX(Scores!$BH$2:$BH$101,MATCH($B77,Scores!$BI$2:$BI$101,0)),"")</f>
        <v/>
      </c>
      <c r="J77">
        <f>IFERROR(INDEX(Scores!$Q$2:$Q$101,MATCH($B77,Scores!$BI$2:$BI$101,0)),"")</f>
        <v/>
      </c>
      <c r="K77">
        <f>IFERROR(INDEX(Scores!$AC$2:$AC$101,MATCH($B77,Scores!$BI$2:$BI$101,0)),"")</f>
        <v/>
      </c>
      <c r="L77">
        <f>IFERROR(INDEX(Scores!$AK$2:$AK$101,MATCH($B77,Scores!$BI$2:$BI$101,0)),"")</f>
        <v/>
      </c>
      <c r="M77">
        <f>IFERROR(INDEX(Scores!$AS$2:$AS$101,MATCH($B77,Scores!$BI$2:$BI$101,0)),"")</f>
        <v/>
      </c>
      <c r="N77">
        <f>IFERROR(INDEX(Scores!$BC$2:$BC$101,MATCH($B77,Scores!$BI$2:$BI$101,0)),"")</f>
        <v/>
      </c>
    </row>
    <row r="78">
      <c r="A78" t="inlineStr">
        <is>
          <t>Top 100</t>
        </is>
      </c>
      <c r="B78" t="n">
        <v>76</v>
      </c>
      <c r="C78">
        <f>IFERROR(INDEX(Scores!$BI$2:$BI$101,MATCH($B78,Scores!$BI$2:$BI$101,0)),"")</f>
        <v/>
      </c>
      <c r="D78">
        <f>IFERROR(INDEX(Scores!$B$2:$B$101,MATCH($B78,Scores!$BI$2:$BI$101,0)),"")</f>
        <v/>
      </c>
      <c r="E78">
        <f>IFERROR(INDEX(Scores!$C$2:$C$101,MATCH($B78,Scores!$BI$2:$BI$101,0)),"")</f>
        <v/>
      </c>
      <c r="F78">
        <f>IFERROR(INDEX(Scores!$D$2:$D$101,MATCH($B78,Scores!$BI$2:$BI$101,0)),"")</f>
        <v/>
      </c>
      <c r="G78">
        <f>IFERROR(INDEX(Scores!$E$2:$E$101,MATCH($B78,Scores!$BI$2:$BI$101,0)),"")</f>
        <v/>
      </c>
      <c r="H78">
        <f>IFERROR(INDEX(Scores!$BF$2:$BF$101,MATCH($B78,Scores!$BI$2:$BI$101,0)),"")</f>
        <v/>
      </c>
      <c r="I78">
        <f>IFERROR(INDEX(Scores!$BH$2:$BH$101,MATCH($B78,Scores!$BI$2:$BI$101,0)),"")</f>
        <v/>
      </c>
      <c r="J78">
        <f>IFERROR(INDEX(Scores!$Q$2:$Q$101,MATCH($B78,Scores!$BI$2:$BI$101,0)),"")</f>
        <v/>
      </c>
      <c r="K78">
        <f>IFERROR(INDEX(Scores!$AC$2:$AC$101,MATCH($B78,Scores!$BI$2:$BI$101,0)),"")</f>
        <v/>
      </c>
      <c r="L78">
        <f>IFERROR(INDEX(Scores!$AK$2:$AK$101,MATCH($B78,Scores!$BI$2:$BI$101,0)),"")</f>
        <v/>
      </c>
      <c r="M78">
        <f>IFERROR(INDEX(Scores!$AS$2:$AS$101,MATCH($B78,Scores!$BI$2:$BI$101,0)),"")</f>
        <v/>
      </c>
      <c r="N78">
        <f>IFERROR(INDEX(Scores!$BC$2:$BC$101,MATCH($B78,Scores!$BI$2:$BI$101,0)),"")</f>
        <v/>
      </c>
    </row>
    <row r="79">
      <c r="A79" t="inlineStr">
        <is>
          <t>Top 100</t>
        </is>
      </c>
      <c r="B79" t="n">
        <v>77</v>
      </c>
      <c r="C79">
        <f>IFERROR(INDEX(Scores!$BI$2:$BI$101,MATCH($B79,Scores!$BI$2:$BI$101,0)),"")</f>
        <v/>
      </c>
      <c r="D79">
        <f>IFERROR(INDEX(Scores!$B$2:$B$101,MATCH($B79,Scores!$BI$2:$BI$101,0)),"")</f>
        <v/>
      </c>
      <c r="E79">
        <f>IFERROR(INDEX(Scores!$C$2:$C$101,MATCH($B79,Scores!$BI$2:$BI$101,0)),"")</f>
        <v/>
      </c>
      <c r="F79">
        <f>IFERROR(INDEX(Scores!$D$2:$D$101,MATCH($B79,Scores!$BI$2:$BI$101,0)),"")</f>
        <v/>
      </c>
      <c r="G79">
        <f>IFERROR(INDEX(Scores!$E$2:$E$101,MATCH($B79,Scores!$BI$2:$BI$101,0)),"")</f>
        <v/>
      </c>
      <c r="H79">
        <f>IFERROR(INDEX(Scores!$BF$2:$BF$101,MATCH($B79,Scores!$BI$2:$BI$101,0)),"")</f>
        <v/>
      </c>
      <c r="I79">
        <f>IFERROR(INDEX(Scores!$BH$2:$BH$101,MATCH($B79,Scores!$BI$2:$BI$101,0)),"")</f>
        <v/>
      </c>
      <c r="J79">
        <f>IFERROR(INDEX(Scores!$Q$2:$Q$101,MATCH($B79,Scores!$BI$2:$BI$101,0)),"")</f>
        <v/>
      </c>
      <c r="K79">
        <f>IFERROR(INDEX(Scores!$AC$2:$AC$101,MATCH($B79,Scores!$BI$2:$BI$101,0)),"")</f>
        <v/>
      </c>
      <c r="L79">
        <f>IFERROR(INDEX(Scores!$AK$2:$AK$101,MATCH($B79,Scores!$BI$2:$BI$101,0)),"")</f>
        <v/>
      </c>
      <c r="M79">
        <f>IFERROR(INDEX(Scores!$AS$2:$AS$101,MATCH($B79,Scores!$BI$2:$BI$101,0)),"")</f>
        <v/>
      </c>
      <c r="N79">
        <f>IFERROR(INDEX(Scores!$BC$2:$BC$101,MATCH($B79,Scores!$BI$2:$BI$101,0)),"")</f>
        <v/>
      </c>
    </row>
    <row r="80">
      <c r="A80" t="inlineStr">
        <is>
          <t>Top 100</t>
        </is>
      </c>
      <c r="B80" t="n">
        <v>78</v>
      </c>
      <c r="C80">
        <f>IFERROR(INDEX(Scores!$BI$2:$BI$101,MATCH($B80,Scores!$BI$2:$BI$101,0)),"")</f>
        <v/>
      </c>
      <c r="D80">
        <f>IFERROR(INDEX(Scores!$B$2:$B$101,MATCH($B80,Scores!$BI$2:$BI$101,0)),"")</f>
        <v/>
      </c>
      <c r="E80">
        <f>IFERROR(INDEX(Scores!$C$2:$C$101,MATCH($B80,Scores!$BI$2:$BI$101,0)),"")</f>
        <v/>
      </c>
      <c r="F80">
        <f>IFERROR(INDEX(Scores!$D$2:$D$101,MATCH($B80,Scores!$BI$2:$BI$101,0)),"")</f>
        <v/>
      </c>
      <c r="G80">
        <f>IFERROR(INDEX(Scores!$E$2:$E$101,MATCH($B80,Scores!$BI$2:$BI$101,0)),"")</f>
        <v/>
      </c>
      <c r="H80">
        <f>IFERROR(INDEX(Scores!$BF$2:$BF$101,MATCH($B80,Scores!$BI$2:$BI$101,0)),"")</f>
        <v/>
      </c>
      <c r="I80">
        <f>IFERROR(INDEX(Scores!$BH$2:$BH$101,MATCH($B80,Scores!$BI$2:$BI$101,0)),"")</f>
        <v/>
      </c>
      <c r="J80">
        <f>IFERROR(INDEX(Scores!$Q$2:$Q$101,MATCH($B80,Scores!$BI$2:$BI$101,0)),"")</f>
        <v/>
      </c>
      <c r="K80">
        <f>IFERROR(INDEX(Scores!$AC$2:$AC$101,MATCH($B80,Scores!$BI$2:$BI$101,0)),"")</f>
        <v/>
      </c>
      <c r="L80">
        <f>IFERROR(INDEX(Scores!$AK$2:$AK$101,MATCH($B80,Scores!$BI$2:$BI$101,0)),"")</f>
        <v/>
      </c>
      <c r="M80">
        <f>IFERROR(INDEX(Scores!$AS$2:$AS$101,MATCH($B80,Scores!$BI$2:$BI$101,0)),"")</f>
        <v/>
      </c>
      <c r="N80">
        <f>IFERROR(INDEX(Scores!$BC$2:$BC$101,MATCH($B80,Scores!$BI$2:$BI$101,0)),"")</f>
        <v/>
      </c>
    </row>
    <row r="81">
      <c r="A81" t="inlineStr">
        <is>
          <t>Top 100</t>
        </is>
      </c>
      <c r="B81" t="n">
        <v>79</v>
      </c>
      <c r="C81">
        <f>IFERROR(INDEX(Scores!$BI$2:$BI$101,MATCH($B81,Scores!$BI$2:$BI$101,0)),"")</f>
        <v/>
      </c>
      <c r="D81">
        <f>IFERROR(INDEX(Scores!$B$2:$B$101,MATCH($B81,Scores!$BI$2:$BI$101,0)),"")</f>
        <v/>
      </c>
      <c r="E81">
        <f>IFERROR(INDEX(Scores!$C$2:$C$101,MATCH($B81,Scores!$BI$2:$BI$101,0)),"")</f>
        <v/>
      </c>
      <c r="F81">
        <f>IFERROR(INDEX(Scores!$D$2:$D$101,MATCH($B81,Scores!$BI$2:$BI$101,0)),"")</f>
        <v/>
      </c>
      <c r="G81">
        <f>IFERROR(INDEX(Scores!$E$2:$E$101,MATCH($B81,Scores!$BI$2:$BI$101,0)),"")</f>
        <v/>
      </c>
      <c r="H81">
        <f>IFERROR(INDEX(Scores!$BF$2:$BF$101,MATCH($B81,Scores!$BI$2:$BI$101,0)),"")</f>
        <v/>
      </c>
      <c r="I81">
        <f>IFERROR(INDEX(Scores!$BH$2:$BH$101,MATCH($B81,Scores!$BI$2:$BI$101,0)),"")</f>
        <v/>
      </c>
      <c r="J81">
        <f>IFERROR(INDEX(Scores!$Q$2:$Q$101,MATCH($B81,Scores!$BI$2:$BI$101,0)),"")</f>
        <v/>
      </c>
      <c r="K81">
        <f>IFERROR(INDEX(Scores!$AC$2:$AC$101,MATCH($B81,Scores!$BI$2:$BI$101,0)),"")</f>
        <v/>
      </c>
      <c r="L81">
        <f>IFERROR(INDEX(Scores!$AK$2:$AK$101,MATCH($B81,Scores!$BI$2:$BI$101,0)),"")</f>
        <v/>
      </c>
      <c r="M81">
        <f>IFERROR(INDEX(Scores!$AS$2:$AS$101,MATCH($B81,Scores!$BI$2:$BI$101,0)),"")</f>
        <v/>
      </c>
      <c r="N81">
        <f>IFERROR(INDEX(Scores!$BC$2:$BC$101,MATCH($B81,Scores!$BI$2:$BI$101,0)),"")</f>
        <v/>
      </c>
    </row>
    <row r="82">
      <c r="A82" t="inlineStr">
        <is>
          <t>Top 100</t>
        </is>
      </c>
      <c r="B82" t="n">
        <v>80</v>
      </c>
      <c r="C82">
        <f>IFERROR(INDEX(Scores!$BI$2:$BI$101,MATCH($B82,Scores!$BI$2:$BI$101,0)),"")</f>
        <v/>
      </c>
      <c r="D82">
        <f>IFERROR(INDEX(Scores!$B$2:$B$101,MATCH($B82,Scores!$BI$2:$BI$101,0)),"")</f>
        <v/>
      </c>
      <c r="E82">
        <f>IFERROR(INDEX(Scores!$C$2:$C$101,MATCH($B82,Scores!$BI$2:$BI$101,0)),"")</f>
        <v/>
      </c>
      <c r="F82">
        <f>IFERROR(INDEX(Scores!$D$2:$D$101,MATCH($B82,Scores!$BI$2:$BI$101,0)),"")</f>
        <v/>
      </c>
      <c r="G82">
        <f>IFERROR(INDEX(Scores!$E$2:$E$101,MATCH($B82,Scores!$BI$2:$BI$101,0)),"")</f>
        <v/>
      </c>
      <c r="H82">
        <f>IFERROR(INDEX(Scores!$BF$2:$BF$101,MATCH($B82,Scores!$BI$2:$BI$101,0)),"")</f>
        <v/>
      </c>
      <c r="I82">
        <f>IFERROR(INDEX(Scores!$BH$2:$BH$101,MATCH($B82,Scores!$BI$2:$BI$101,0)),"")</f>
        <v/>
      </c>
      <c r="J82">
        <f>IFERROR(INDEX(Scores!$Q$2:$Q$101,MATCH($B82,Scores!$BI$2:$BI$101,0)),"")</f>
        <v/>
      </c>
      <c r="K82">
        <f>IFERROR(INDEX(Scores!$AC$2:$AC$101,MATCH($B82,Scores!$BI$2:$BI$101,0)),"")</f>
        <v/>
      </c>
      <c r="L82">
        <f>IFERROR(INDEX(Scores!$AK$2:$AK$101,MATCH($B82,Scores!$BI$2:$BI$101,0)),"")</f>
        <v/>
      </c>
      <c r="M82">
        <f>IFERROR(INDEX(Scores!$AS$2:$AS$101,MATCH($B82,Scores!$BI$2:$BI$101,0)),"")</f>
        <v/>
      </c>
      <c r="N82">
        <f>IFERROR(INDEX(Scores!$BC$2:$BC$101,MATCH($B82,Scores!$BI$2:$BI$101,0)),"")</f>
        <v/>
      </c>
    </row>
    <row r="83">
      <c r="A83" t="inlineStr">
        <is>
          <t>Top 100</t>
        </is>
      </c>
      <c r="B83" t="n">
        <v>81</v>
      </c>
      <c r="C83">
        <f>IFERROR(INDEX(Scores!$BI$2:$BI$101,MATCH($B83,Scores!$BI$2:$BI$101,0)),"")</f>
        <v/>
      </c>
      <c r="D83">
        <f>IFERROR(INDEX(Scores!$B$2:$B$101,MATCH($B83,Scores!$BI$2:$BI$101,0)),"")</f>
        <v/>
      </c>
      <c r="E83">
        <f>IFERROR(INDEX(Scores!$C$2:$C$101,MATCH($B83,Scores!$BI$2:$BI$101,0)),"")</f>
        <v/>
      </c>
      <c r="F83">
        <f>IFERROR(INDEX(Scores!$D$2:$D$101,MATCH($B83,Scores!$BI$2:$BI$101,0)),"")</f>
        <v/>
      </c>
      <c r="G83">
        <f>IFERROR(INDEX(Scores!$E$2:$E$101,MATCH($B83,Scores!$BI$2:$BI$101,0)),"")</f>
        <v/>
      </c>
      <c r="H83">
        <f>IFERROR(INDEX(Scores!$BF$2:$BF$101,MATCH($B83,Scores!$BI$2:$BI$101,0)),"")</f>
        <v/>
      </c>
      <c r="I83">
        <f>IFERROR(INDEX(Scores!$BH$2:$BH$101,MATCH($B83,Scores!$BI$2:$BI$101,0)),"")</f>
        <v/>
      </c>
      <c r="J83">
        <f>IFERROR(INDEX(Scores!$Q$2:$Q$101,MATCH($B83,Scores!$BI$2:$BI$101,0)),"")</f>
        <v/>
      </c>
      <c r="K83">
        <f>IFERROR(INDEX(Scores!$AC$2:$AC$101,MATCH($B83,Scores!$BI$2:$BI$101,0)),"")</f>
        <v/>
      </c>
      <c r="L83">
        <f>IFERROR(INDEX(Scores!$AK$2:$AK$101,MATCH($B83,Scores!$BI$2:$BI$101,0)),"")</f>
        <v/>
      </c>
      <c r="M83">
        <f>IFERROR(INDEX(Scores!$AS$2:$AS$101,MATCH($B83,Scores!$BI$2:$BI$101,0)),"")</f>
        <v/>
      </c>
      <c r="N83">
        <f>IFERROR(INDEX(Scores!$BC$2:$BC$101,MATCH($B83,Scores!$BI$2:$BI$101,0)),"")</f>
        <v/>
      </c>
    </row>
    <row r="84">
      <c r="A84" t="inlineStr">
        <is>
          <t>Top 100</t>
        </is>
      </c>
      <c r="B84" t="n">
        <v>82</v>
      </c>
      <c r="C84">
        <f>IFERROR(INDEX(Scores!$BI$2:$BI$101,MATCH($B84,Scores!$BI$2:$BI$101,0)),"")</f>
        <v/>
      </c>
      <c r="D84">
        <f>IFERROR(INDEX(Scores!$B$2:$B$101,MATCH($B84,Scores!$BI$2:$BI$101,0)),"")</f>
        <v/>
      </c>
      <c r="E84">
        <f>IFERROR(INDEX(Scores!$C$2:$C$101,MATCH($B84,Scores!$BI$2:$BI$101,0)),"")</f>
        <v/>
      </c>
      <c r="F84">
        <f>IFERROR(INDEX(Scores!$D$2:$D$101,MATCH($B84,Scores!$BI$2:$BI$101,0)),"")</f>
        <v/>
      </c>
      <c r="G84">
        <f>IFERROR(INDEX(Scores!$E$2:$E$101,MATCH($B84,Scores!$BI$2:$BI$101,0)),"")</f>
        <v/>
      </c>
      <c r="H84">
        <f>IFERROR(INDEX(Scores!$BF$2:$BF$101,MATCH($B84,Scores!$BI$2:$BI$101,0)),"")</f>
        <v/>
      </c>
      <c r="I84">
        <f>IFERROR(INDEX(Scores!$BH$2:$BH$101,MATCH($B84,Scores!$BI$2:$BI$101,0)),"")</f>
        <v/>
      </c>
      <c r="J84">
        <f>IFERROR(INDEX(Scores!$Q$2:$Q$101,MATCH($B84,Scores!$BI$2:$BI$101,0)),"")</f>
        <v/>
      </c>
      <c r="K84">
        <f>IFERROR(INDEX(Scores!$AC$2:$AC$101,MATCH($B84,Scores!$BI$2:$BI$101,0)),"")</f>
        <v/>
      </c>
      <c r="L84">
        <f>IFERROR(INDEX(Scores!$AK$2:$AK$101,MATCH($B84,Scores!$BI$2:$BI$101,0)),"")</f>
        <v/>
      </c>
      <c r="M84">
        <f>IFERROR(INDEX(Scores!$AS$2:$AS$101,MATCH($B84,Scores!$BI$2:$BI$101,0)),"")</f>
        <v/>
      </c>
      <c r="N84">
        <f>IFERROR(INDEX(Scores!$BC$2:$BC$101,MATCH($B84,Scores!$BI$2:$BI$101,0)),"")</f>
        <v/>
      </c>
    </row>
    <row r="85">
      <c r="A85" t="inlineStr">
        <is>
          <t>Top 100</t>
        </is>
      </c>
      <c r="B85" t="n">
        <v>83</v>
      </c>
      <c r="C85">
        <f>IFERROR(INDEX(Scores!$BI$2:$BI$101,MATCH($B85,Scores!$BI$2:$BI$101,0)),"")</f>
        <v/>
      </c>
      <c r="D85">
        <f>IFERROR(INDEX(Scores!$B$2:$B$101,MATCH($B85,Scores!$BI$2:$BI$101,0)),"")</f>
        <v/>
      </c>
      <c r="E85">
        <f>IFERROR(INDEX(Scores!$C$2:$C$101,MATCH($B85,Scores!$BI$2:$BI$101,0)),"")</f>
        <v/>
      </c>
      <c r="F85">
        <f>IFERROR(INDEX(Scores!$D$2:$D$101,MATCH($B85,Scores!$BI$2:$BI$101,0)),"")</f>
        <v/>
      </c>
      <c r="G85">
        <f>IFERROR(INDEX(Scores!$E$2:$E$101,MATCH($B85,Scores!$BI$2:$BI$101,0)),"")</f>
        <v/>
      </c>
      <c r="H85">
        <f>IFERROR(INDEX(Scores!$BF$2:$BF$101,MATCH($B85,Scores!$BI$2:$BI$101,0)),"")</f>
        <v/>
      </c>
      <c r="I85">
        <f>IFERROR(INDEX(Scores!$BH$2:$BH$101,MATCH($B85,Scores!$BI$2:$BI$101,0)),"")</f>
        <v/>
      </c>
      <c r="J85">
        <f>IFERROR(INDEX(Scores!$Q$2:$Q$101,MATCH($B85,Scores!$BI$2:$BI$101,0)),"")</f>
        <v/>
      </c>
      <c r="K85">
        <f>IFERROR(INDEX(Scores!$AC$2:$AC$101,MATCH($B85,Scores!$BI$2:$BI$101,0)),"")</f>
        <v/>
      </c>
      <c r="L85">
        <f>IFERROR(INDEX(Scores!$AK$2:$AK$101,MATCH($B85,Scores!$BI$2:$BI$101,0)),"")</f>
        <v/>
      </c>
      <c r="M85">
        <f>IFERROR(INDEX(Scores!$AS$2:$AS$101,MATCH($B85,Scores!$BI$2:$BI$101,0)),"")</f>
        <v/>
      </c>
      <c r="N85">
        <f>IFERROR(INDEX(Scores!$BC$2:$BC$101,MATCH($B85,Scores!$BI$2:$BI$101,0)),"")</f>
        <v/>
      </c>
    </row>
    <row r="86">
      <c r="A86" t="inlineStr">
        <is>
          <t>Top 100</t>
        </is>
      </c>
      <c r="B86" t="n">
        <v>84</v>
      </c>
      <c r="C86">
        <f>IFERROR(INDEX(Scores!$BI$2:$BI$101,MATCH($B86,Scores!$BI$2:$BI$101,0)),"")</f>
        <v/>
      </c>
      <c r="D86">
        <f>IFERROR(INDEX(Scores!$B$2:$B$101,MATCH($B86,Scores!$BI$2:$BI$101,0)),"")</f>
        <v/>
      </c>
      <c r="E86">
        <f>IFERROR(INDEX(Scores!$C$2:$C$101,MATCH($B86,Scores!$BI$2:$BI$101,0)),"")</f>
        <v/>
      </c>
      <c r="F86">
        <f>IFERROR(INDEX(Scores!$D$2:$D$101,MATCH($B86,Scores!$BI$2:$BI$101,0)),"")</f>
        <v/>
      </c>
      <c r="G86">
        <f>IFERROR(INDEX(Scores!$E$2:$E$101,MATCH($B86,Scores!$BI$2:$BI$101,0)),"")</f>
        <v/>
      </c>
      <c r="H86">
        <f>IFERROR(INDEX(Scores!$BF$2:$BF$101,MATCH($B86,Scores!$BI$2:$BI$101,0)),"")</f>
        <v/>
      </c>
      <c r="I86">
        <f>IFERROR(INDEX(Scores!$BH$2:$BH$101,MATCH($B86,Scores!$BI$2:$BI$101,0)),"")</f>
        <v/>
      </c>
      <c r="J86">
        <f>IFERROR(INDEX(Scores!$Q$2:$Q$101,MATCH($B86,Scores!$BI$2:$BI$101,0)),"")</f>
        <v/>
      </c>
      <c r="K86">
        <f>IFERROR(INDEX(Scores!$AC$2:$AC$101,MATCH($B86,Scores!$BI$2:$BI$101,0)),"")</f>
        <v/>
      </c>
      <c r="L86">
        <f>IFERROR(INDEX(Scores!$AK$2:$AK$101,MATCH($B86,Scores!$BI$2:$BI$101,0)),"")</f>
        <v/>
      </c>
      <c r="M86">
        <f>IFERROR(INDEX(Scores!$AS$2:$AS$101,MATCH($B86,Scores!$BI$2:$BI$101,0)),"")</f>
        <v/>
      </c>
      <c r="N86">
        <f>IFERROR(INDEX(Scores!$BC$2:$BC$101,MATCH($B86,Scores!$BI$2:$BI$101,0)),"")</f>
        <v/>
      </c>
    </row>
    <row r="87">
      <c r="A87" t="inlineStr">
        <is>
          <t>Top 100</t>
        </is>
      </c>
      <c r="B87" t="n">
        <v>85</v>
      </c>
      <c r="C87">
        <f>IFERROR(INDEX(Scores!$BI$2:$BI$101,MATCH($B87,Scores!$BI$2:$BI$101,0)),"")</f>
        <v/>
      </c>
      <c r="D87">
        <f>IFERROR(INDEX(Scores!$B$2:$B$101,MATCH($B87,Scores!$BI$2:$BI$101,0)),"")</f>
        <v/>
      </c>
      <c r="E87">
        <f>IFERROR(INDEX(Scores!$C$2:$C$101,MATCH($B87,Scores!$BI$2:$BI$101,0)),"")</f>
        <v/>
      </c>
      <c r="F87">
        <f>IFERROR(INDEX(Scores!$D$2:$D$101,MATCH($B87,Scores!$BI$2:$BI$101,0)),"")</f>
        <v/>
      </c>
      <c r="G87">
        <f>IFERROR(INDEX(Scores!$E$2:$E$101,MATCH($B87,Scores!$BI$2:$BI$101,0)),"")</f>
        <v/>
      </c>
      <c r="H87">
        <f>IFERROR(INDEX(Scores!$BF$2:$BF$101,MATCH($B87,Scores!$BI$2:$BI$101,0)),"")</f>
        <v/>
      </c>
      <c r="I87">
        <f>IFERROR(INDEX(Scores!$BH$2:$BH$101,MATCH($B87,Scores!$BI$2:$BI$101,0)),"")</f>
        <v/>
      </c>
      <c r="J87">
        <f>IFERROR(INDEX(Scores!$Q$2:$Q$101,MATCH($B87,Scores!$BI$2:$BI$101,0)),"")</f>
        <v/>
      </c>
      <c r="K87">
        <f>IFERROR(INDEX(Scores!$AC$2:$AC$101,MATCH($B87,Scores!$BI$2:$BI$101,0)),"")</f>
        <v/>
      </c>
      <c r="L87">
        <f>IFERROR(INDEX(Scores!$AK$2:$AK$101,MATCH($B87,Scores!$BI$2:$BI$101,0)),"")</f>
        <v/>
      </c>
      <c r="M87">
        <f>IFERROR(INDEX(Scores!$AS$2:$AS$101,MATCH($B87,Scores!$BI$2:$BI$101,0)),"")</f>
        <v/>
      </c>
      <c r="N87">
        <f>IFERROR(INDEX(Scores!$BC$2:$BC$101,MATCH($B87,Scores!$BI$2:$BI$101,0)),"")</f>
        <v/>
      </c>
    </row>
    <row r="88">
      <c r="A88" t="inlineStr">
        <is>
          <t>Top 100</t>
        </is>
      </c>
      <c r="B88" t="n">
        <v>86</v>
      </c>
      <c r="C88">
        <f>IFERROR(INDEX(Scores!$BI$2:$BI$101,MATCH($B88,Scores!$BI$2:$BI$101,0)),"")</f>
        <v/>
      </c>
      <c r="D88">
        <f>IFERROR(INDEX(Scores!$B$2:$B$101,MATCH($B88,Scores!$BI$2:$BI$101,0)),"")</f>
        <v/>
      </c>
      <c r="E88">
        <f>IFERROR(INDEX(Scores!$C$2:$C$101,MATCH($B88,Scores!$BI$2:$BI$101,0)),"")</f>
        <v/>
      </c>
      <c r="F88">
        <f>IFERROR(INDEX(Scores!$D$2:$D$101,MATCH($B88,Scores!$BI$2:$BI$101,0)),"")</f>
        <v/>
      </c>
      <c r="G88">
        <f>IFERROR(INDEX(Scores!$E$2:$E$101,MATCH($B88,Scores!$BI$2:$BI$101,0)),"")</f>
        <v/>
      </c>
      <c r="H88">
        <f>IFERROR(INDEX(Scores!$BF$2:$BF$101,MATCH($B88,Scores!$BI$2:$BI$101,0)),"")</f>
        <v/>
      </c>
      <c r="I88">
        <f>IFERROR(INDEX(Scores!$BH$2:$BH$101,MATCH($B88,Scores!$BI$2:$BI$101,0)),"")</f>
        <v/>
      </c>
      <c r="J88">
        <f>IFERROR(INDEX(Scores!$Q$2:$Q$101,MATCH($B88,Scores!$BI$2:$BI$101,0)),"")</f>
        <v/>
      </c>
      <c r="K88">
        <f>IFERROR(INDEX(Scores!$AC$2:$AC$101,MATCH($B88,Scores!$BI$2:$BI$101,0)),"")</f>
        <v/>
      </c>
      <c r="L88">
        <f>IFERROR(INDEX(Scores!$AK$2:$AK$101,MATCH($B88,Scores!$BI$2:$BI$101,0)),"")</f>
        <v/>
      </c>
      <c r="M88">
        <f>IFERROR(INDEX(Scores!$AS$2:$AS$101,MATCH($B88,Scores!$BI$2:$BI$101,0)),"")</f>
        <v/>
      </c>
      <c r="N88">
        <f>IFERROR(INDEX(Scores!$BC$2:$BC$101,MATCH($B88,Scores!$BI$2:$BI$101,0)),"")</f>
        <v/>
      </c>
    </row>
    <row r="89">
      <c r="A89" t="inlineStr">
        <is>
          <t>Top 100</t>
        </is>
      </c>
      <c r="B89" t="n">
        <v>87</v>
      </c>
      <c r="C89">
        <f>IFERROR(INDEX(Scores!$BI$2:$BI$101,MATCH($B89,Scores!$BI$2:$BI$101,0)),"")</f>
        <v/>
      </c>
      <c r="D89">
        <f>IFERROR(INDEX(Scores!$B$2:$B$101,MATCH($B89,Scores!$BI$2:$BI$101,0)),"")</f>
        <v/>
      </c>
      <c r="E89">
        <f>IFERROR(INDEX(Scores!$C$2:$C$101,MATCH($B89,Scores!$BI$2:$BI$101,0)),"")</f>
        <v/>
      </c>
      <c r="F89">
        <f>IFERROR(INDEX(Scores!$D$2:$D$101,MATCH($B89,Scores!$BI$2:$BI$101,0)),"")</f>
        <v/>
      </c>
      <c r="G89">
        <f>IFERROR(INDEX(Scores!$E$2:$E$101,MATCH($B89,Scores!$BI$2:$BI$101,0)),"")</f>
        <v/>
      </c>
      <c r="H89">
        <f>IFERROR(INDEX(Scores!$BF$2:$BF$101,MATCH($B89,Scores!$BI$2:$BI$101,0)),"")</f>
        <v/>
      </c>
      <c r="I89">
        <f>IFERROR(INDEX(Scores!$BH$2:$BH$101,MATCH($B89,Scores!$BI$2:$BI$101,0)),"")</f>
        <v/>
      </c>
      <c r="J89">
        <f>IFERROR(INDEX(Scores!$Q$2:$Q$101,MATCH($B89,Scores!$BI$2:$BI$101,0)),"")</f>
        <v/>
      </c>
      <c r="K89">
        <f>IFERROR(INDEX(Scores!$AC$2:$AC$101,MATCH($B89,Scores!$BI$2:$BI$101,0)),"")</f>
        <v/>
      </c>
      <c r="L89">
        <f>IFERROR(INDEX(Scores!$AK$2:$AK$101,MATCH($B89,Scores!$BI$2:$BI$101,0)),"")</f>
        <v/>
      </c>
      <c r="M89">
        <f>IFERROR(INDEX(Scores!$AS$2:$AS$101,MATCH($B89,Scores!$BI$2:$BI$101,0)),"")</f>
        <v/>
      </c>
      <c r="N89">
        <f>IFERROR(INDEX(Scores!$BC$2:$BC$101,MATCH($B89,Scores!$BI$2:$BI$101,0)),"")</f>
        <v/>
      </c>
    </row>
    <row r="90">
      <c r="A90" t="inlineStr">
        <is>
          <t>Top 100</t>
        </is>
      </c>
      <c r="B90" t="n">
        <v>88</v>
      </c>
      <c r="C90">
        <f>IFERROR(INDEX(Scores!$BI$2:$BI$101,MATCH($B90,Scores!$BI$2:$BI$101,0)),"")</f>
        <v/>
      </c>
      <c r="D90">
        <f>IFERROR(INDEX(Scores!$B$2:$B$101,MATCH($B90,Scores!$BI$2:$BI$101,0)),"")</f>
        <v/>
      </c>
      <c r="E90">
        <f>IFERROR(INDEX(Scores!$C$2:$C$101,MATCH($B90,Scores!$BI$2:$BI$101,0)),"")</f>
        <v/>
      </c>
      <c r="F90">
        <f>IFERROR(INDEX(Scores!$D$2:$D$101,MATCH($B90,Scores!$BI$2:$BI$101,0)),"")</f>
        <v/>
      </c>
      <c r="G90">
        <f>IFERROR(INDEX(Scores!$E$2:$E$101,MATCH($B90,Scores!$BI$2:$BI$101,0)),"")</f>
        <v/>
      </c>
      <c r="H90">
        <f>IFERROR(INDEX(Scores!$BF$2:$BF$101,MATCH($B90,Scores!$BI$2:$BI$101,0)),"")</f>
        <v/>
      </c>
      <c r="I90">
        <f>IFERROR(INDEX(Scores!$BH$2:$BH$101,MATCH($B90,Scores!$BI$2:$BI$101,0)),"")</f>
        <v/>
      </c>
      <c r="J90">
        <f>IFERROR(INDEX(Scores!$Q$2:$Q$101,MATCH($B90,Scores!$BI$2:$BI$101,0)),"")</f>
        <v/>
      </c>
      <c r="K90">
        <f>IFERROR(INDEX(Scores!$AC$2:$AC$101,MATCH($B90,Scores!$BI$2:$BI$101,0)),"")</f>
        <v/>
      </c>
      <c r="L90">
        <f>IFERROR(INDEX(Scores!$AK$2:$AK$101,MATCH($B90,Scores!$BI$2:$BI$101,0)),"")</f>
        <v/>
      </c>
      <c r="M90">
        <f>IFERROR(INDEX(Scores!$AS$2:$AS$101,MATCH($B90,Scores!$BI$2:$BI$101,0)),"")</f>
        <v/>
      </c>
      <c r="N90">
        <f>IFERROR(INDEX(Scores!$BC$2:$BC$101,MATCH($B90,Scores!$BI$2:$BI$101,0)),"")</f>
        <v/>
      </c>
    </row>
    <row r="91">
      <c r="A91" t="inlineStr">
        <is>
          <t>Top 100</t>
        </is>
      </c>
      <c r="B91" t="n">
        <v>89</v>
      </c>
      <c r="C91">
        <f>IFERROR(INDEX(Scores!$BI$2:$BI$101,MATCH($B91,Scores!$BI$2:$BI$101,0)),"")</f>
        <v/>
      </c>
      <c r="D91">
        <f>IFERROR(INDEX(Scores!$B$2:$B$101,MATCH($B91,Scores!$BI$2:$BI$101,0)),"")</f>
        <v/>
      </c>
      <c r="E91">
        <f>IFERROR(INDEX(Scores!$C$2:$C$101,MATCH($B91,Scores!$BI$2:$BI$101,0)),"")</f>
        <v/>
      </c>
      <c r="F91">
        <f>IFERROR(INDEX(Scores!$D$2:$D$101,MATCH($B91,Scores!$BI$2:$BI$101,0)),"")</f>
        <v/>
      </c>
      <c r="G91">
        <f>IFERROR(INDEX(Scores!$E$2:$E$101,MATCH($B91,Scores!$BI$2:$BI$101,0)),"")</f>
        <v/>
      </c>
      <c r="H91">
        <f>IFERROR(INDEX(Scores!$BF$2:$BF$101,MATCH($B91,Scores!$BI$2:$BI$101,0)),"")</f>
        <v/>
      </c>
      <c r="I91">
        <f>IFERROR(INDEX(Scores!$BH$2:$BH$101,MATCH($B91,Scores!$BI$2:$BI$101,0)),"")</f>
        <v/>
      </c>
      <c r="J91">
        <f>IFERROR(INDEX(Scores!$Q$2:$Q$101,MATCH($B91,Scores!$BI$2:$BI$101,0)),"")</f>
        <v/>
      </c>
      <c r="K91">
        <f>IFERROR(INDEX(Scores!$AC$2:$AC$101,MATCH($B91,Scores!$BI$2:$BI$101,0)),"")</f>
        <v/>
      </c>
      <c r="L91">
        <f>IFERROR(INDEX(Scores!$AK$2:$AK$101,MATCH($B91,Scores!$BI$2:$BI$101,0)),"")</f>
        <v/>
      </c>
      <c r="M91">
        <f>IFERROR(INDEX(Scores!$AS$2:$AS$101,MATCH($B91,Scores!$BI$2:$BI$101,0)),"")</f>
        <v/>
      </c>
      <c r="N91">
        <f>IFERROR(INDEX(Scores!$BC$2:$BC$101,MATCH($B91,Scores!$BI$2:$BI$101,0)),"")</f>
        <v/>
      </c>
    </row>
    <row r="92">
      <c r="A92" t="inlineStr">
        <is>
          <t>Top 100</t>
        </is>
      </c>
      <c r="B92" t="n">
        <v>90</v>
      </c>
      <c r="C92">
        <f>IFERROR(INDEX(Scores!$BI$2:$BI$101,MATCH($B92,Scores!$BI$2:$BI$101,0)),"")</f>
        <v/>
      </c>
      <c r="D92">
        <f>IFERROR(INDEX(Scores!$B$2:$B$101,MATCH($B92,Scores!$BI$2:$BI$101,0)),"")</f>
        <v/>
      </c>
      <c r="E92">
        <f>IFERROR(INDEX(Scores!$C$2:$C$101,MATCH($B92,Scores!$BI$2:$BI$101,0)),"")</f>
        <v/>
      </c>
      <c r="F92">
        <f>IFERROR(INDEX(Scores!$D$2:$D$101,MATCH($B92,Scores!$BI$2:$BI$101,0)),"")</f>
        <v/>
      </c>
      <c r="G92">
        <f>IFERROR(INDEX(Scores!$E$2:$E$101,MATCH($B92,Scores!$BI$2:$BI$101,0)),"")</f>
        <v/>
      </c>
      <c r="H92">
        <f>IFERROR(INDEX(Scores!$BF$2:$BF$101,MATCH($B92,Scores!$BI$2:$BI$101,0)),"")</f>
        <v/>
      </c>
      <c r="I92">
        <f>IFERROR(INDEX(Scores!$BH$2:$BH$101,MATCH($B92,Scores!$BI$2:$BI$101,0)),"")</f>
        <v/>
      </c>
      <c r="J92">
        <f>IFERROR(INDEX(Scores!$Q$2:$Q$101,MATCH($B92,Scores!$BI$2:$BI$101,0)),"")</f>
        <v/>
      </c>
      <c r="K92">
        <f>IFERROR(INDEX(Scores!$AC$2:$AC$101,MATCH($B92,Scores!$BI$2:$BI$101,0)),"")</f>
        <v/>
      </c>
      <c r="L92">
        <f>IFERROR(INDEX(Scores!$AK$2:$AK$101,MATCH($B92,Scores!$BI$2:$BI$101,0)),"")</f>
        <v/>
      </c>
      <c r="M92">
        <f>IFERROR(INDEX(Scores!$AS$2:$AS$101,MATCH($B92,Scores!$BI$2:$BI$101,0)),"")</f>
        <v/>
      </c>
      <c r="N92">
        <f>IFERROR(INDEX(Scores!$BC$2:$BC$101,MATCH($B92,Scores!$BI$2:$BI$101,0)),"")</f>
        <v/>
      </c>
    </row>
    <row r="93">
      <c r="A93" t="inlineStr">
        <is>
          <t>Top 100</t>
        </is>
      </c>
      <c r="B93" t="n">
        <v>91</v>
      </c>
      <c r="C93">
        <f>IFERROR(INDEX(Scores!$BI$2:$BI$101,MATCH($B93,Scores!$BI$2:$BI$101,0)),"")</f>
        <v/>
      </c>
      <c r="D93">
        <f>IFERROR(INDEX(Scores!$B$2:$B$101,MATCH($B93,Scores!$BI$2:$BI$101,0)),"")</f>
        <v/>
      </c>
      <c r="E93">
        <f>IFERROR(INDEX(Scores!$C$2:$C$101,MATCH($B93,Scores!$BI$2:$BI$101,0)),"")</f>
        <v/>
      </c>
      <c r="F93">
        <f>IFERROR(INDEX(Scores!$D$2:$D$101,MATCH($B93,Scores!$BI$2:$BI$101,0)),"")</f>
        <v/>
      </c>
      <c r="G93">
        <f>IFERROR(INDEX(Scores!$E$2:$E$101,MATCH($B93,Scores!$BI$2:$BI$101,0)),"")</f>
        <v/>
      </c>
      <c r="H93">
        <f>IFERROR(INDEX(Scores!$BF$2:$BF$101,MATCH($B93,Scores!$BI$2:$BI$101,0)),"")</f>
        <v/>
      </c>
      <c r="I93">
        <f>IFERROR(INDEX(Scores!$BH$2:$BH$101,MATCH($B93,Scores!$BI$2:$BI$101,0)),"")</f>
        <v/>
      </c>
      <c r="J93">
        <f>IFERROR(INDEX(Scores!$Q$2:$Q$101,MATCH($B93,Scores!$BI$2:$BI$101,0)),"")</f>
        <v/>
      </c>
      <c r="K93">
        <f>IFERROR(INDEX(Scores!$AC$2:$AC$101,MATCH($B93,Scores!$BI$2:$BI$101,0)),"")</f>
        <v/>
      </c>
      <c r="L93">
        <f>IFERROR(INDEX(Scores!$AK$2:$AK$101,MATCH($B93,Scores!$BI$2:$BI$101,0)),"")</f>
        <v/>
      </c>
      <c r="M93">
        <f>IFERROR(INDEX(Scores!$AS$2:$AS$101,MATCH($B93,Scores!$BI$2:$BI$101,0)),"")</f>
        <v/>
      </c>
      <c r="N93">
        <f>IFERROR(INDEX(Scores!$BC$2:$BC$101,MATCH($B93,Scores!$BI$2:$BI$101,0)),"")</f>
        <v/>
      </c>
    </row>
    <row r="94">
      <c r="A94" t="inlineStr">
        <is>
          <t>Top 100</t>
        </is>
      </c>
      <c r="B94" t="n">
        <v>92</v>
      </c>
      <c r="C94">
        <f>IFERROR(INDEX(Scores!$BI$2:$BI$101,MATCH($B94,Scores!$BI$2:$BI$101,0)),"")</f>
        <v/>
      </c>
      <c r="D94">
        <f>IFERROR(INDEX(Scores!$B$2:$B$101,MATCH($B94,Scores!$BI$2:$BI$101,0)),"")</f>
        <v/>
      </c>
      <c r="E94">
        <f>IFERROR(INDEX(Scores!$C$2:$C$101,MATCH($B94,Scores!$BI$2:$BI$101,0)),"")</f>
        <v/>
      </c>
      <c r="F94">
        <f>IFERROR(INDEX(Scores!$D$2:$D$101,MATCH($B94,Scores!$BI$2:$BI$101,0)),"")</f>
        <v/>
      </c>
      <c r="G94">
        <f>IFERROR(INDEX(Scores!$E$2:$E$101,MATCH($B94,Scores!$BI$2:$BI$101,0)),"")</f>
        <v/>
      </c>
      <c r="H94">
        <f>IFERROR(INDEX(Scores!$BF$2:$BF$101,MATCH($B94,Scores!$BI$2:$BI$101,0)),"")</f>
        <v/>
      </c>
      <c r="I94">
        <f>IFERROR(INDEX(Scores!$BH$2:$BH$101,MATCH($B94,Scores!$BI$2:$BI$101,0)),"")</f>
        <v/>
      </c>
      <c r="J94">
        <f>IFERROR(INDEX(Scores!$Q$2:$Q$101,MATCH($B94,Scores!$BI$2:$BI$101,0)),"")</f>
        <v/>
      </c>
      <c r="K94">
        <f>IFERROR(INDEX(Scores!$AC$2:$AC$101,MATCH($B94,Scores!$BI$2:$BI$101,0)),"")</f>
        <v/>
      </c>
      <c r="L94">
        <f>IFERROR(INDEX(Scores!$AK$2:$AK$101,MATCH($B94,Scores!$BI$2:$BI$101,0)),"")</f>
        <v/>
      </c>
      <c r="M94">
        <f>IFERROR(INDEX(Scores!$AS$2:$AS$101,MATCH($B94,Scores!$BI$2:$BI$101,0)),"")</f>
        <v/>
      </c>
      <c r="N94">
        <f>IFERROR(INDEX(Scores!$BC$2:$BC$101,MATCH($B94,Scores!$BI$2:$BI$101,0)),"")</f>
        <v/>
      </c>
    </row>
    <row r="95">
      <c r="A95" t="inlineStr">
        <is>
          <t>Top 100</t>
        </is>
      </c>
      <c r="B95" t="n">
        <v>93</v>
      </c>
      <c r="C95">
        <f>IFERROR(INDEX(Scores!$BI$2:$BI$101,MATCH($B95,Scores!$BI$2:$BI$101,0)),"")</f>
        <v/>
      </c>
      <c r="D95">
        <f>IFERROR(INDEX(Scores!$B$2:$B$101,MATCH($B95,Scores!$BI$2:$BI$101,0)),"")</f>
        <v/>
      </c>
      <c r="E95">
        <f>IFERROR(INDEX(Scores!$C$2:$C$101,MATCH($B95,Scores!$BI$2:$BI$101,0)),"")</f>
        <v/>
      </c>
      <c r="F95">
        <f>IFERROR(INDEX(Scores!$D$2:$D$101,MATCH($B95,Scores!$BI$2:$BI$101,0)),"")</f>
        <v/>
      </c>
      <c r="G95">
        <f>IFERROR(INDEX(Scores!$E$2:$E$101,MATCH($B95,Scores!$BI$2:$BI$101,0)),"")</f>
        <v/>
      </c>
      <c r="H95">
        <f>IFERROR(INDEX(Scores!$BF$2:$BF$101,MATCH($B95,Scores!$BI$2:$BI$101,0)),"")</f>
        <v/>
      </c>
      <c r="I95">
        <f>IFERROR(INDEX(Scores!$BH$2:$BH$101,MATCH($B95,Scores!$BI$2:$BI$101,0)),"")</f>
        <v/>
      </c>
      <c r="J95">
        <f>IFERROR(INDEX(Scores!$Q$2:$Q$101,MATCH($B95,Scores!$BI$2:$BI$101,0)),"")</f>
        <v/>
      </c>
      <c r="K95">
        <f>IFERROR(INDEX(Scores!$AC$2:$AC$101,MATCH($B95,Scores!$BI$2:$BI$101,0)),"")</f>
        <v/>
      </c>
      <c r="L95">
        <f>IFERROR(INDEX(Scores!$AK$2:$AK$101,MATCH($B95,Scores!$BI$2:$BI$101,0)),"")</f>
        <v/>
      </c>
      <c r="M95">
        <f>IFERROR(INDEX(Scores!$AS$2:$AS$101,MATCH($B95,Scores!$BI$2:$BI$101,0)),"")</f>
        <v/>
      </c>
      <c r="N95">
        <f>IFERROR(INDEX(Scores!$BC$2:$BC$101,MATCH($B95,Scores!$BI$2:$BI$101,0)),"")</f>
        <v/>
      </c>
    </row>
    <row r="96">
      <c r="A96" t="inlineStr">
        <is>
          <t>Top 100</t>
        </is>
      </c>
      <c r="B96" t="n">
        <v>94</v>
      </c>
      <c r="C96">
        <f>IFERROR(INDEX(Scores!$BI$2:$BI$101,MATCH($B96,Scores!$BI$2:$BI$101,0)),"")</f>
        <v/>
      </c>
      <c r="D96">
        <f>IFERROR(INDEX(Scores!$B$2:$B$101,MATCH($B96,Scores!$BI$2:$BI$101,0)),"")</f>
        <v/>
      </c>
      <c r="E96">
        <f>IFERROR(INDEX(Scores!$C$2:$C$101,MATCH($B96,Scores!$BI$2:$BI$101,0)),"")</f>
        <v/>
      </c>
      <c r="F96">
        <f>IFERROR(INDEX(Scores!$D$2:$D$101,MATCH($B96,Scores!$BI$2:$BI$101,0)),"")</f>
        <v/>
      </c>
      <c r="G96">
        <f>IFERROR(INDEX(Scores!$E$2:$E$101,MATCH($B96,Scores!$BI$2:$BI$101,0)),"")</f>
        <v/>
      </c>
      <c r="H96">
        <f>IFERROR(INDEX(Scores!$BF$2:$BF$101,MATCH($B96,Scores!$BI$2:$BI$101,0)),"")</f>
        <v/>
      </c>
      <c r="I96">
        <f>IFERROR(INDEX(Scores!$BH$2:$BH$101,MATCH($B96,Scores!$BI$2:$BI$101,0)),"")</f>
        <v/>
      </c>
      <c r="J96">
        <f>IFERROR(INDEX(Scores!$Q$2:$Q$101,MATCH($B96,Scores!$BI$2:$BI$101,0)),"")</f>
        <v/>
      </c>
      <c r="K96">
        <f>IFERROR(INDEX(Scores!$AC$2:$AC$101,MATCH($B96,Scores!$BI$2:$BI$101,0)),"")</f>
        <v/>
      </c>
      <c r="L96">
        <f>IFERROR(INDEX(Scores!$AK$2:$AK$101,MATCH($B96,Scores!$BI$2:$BI$101,0)),"")</f>
        <v/>
      </c>
      <c r="M96">
        <f>IFERROR(INDEX(Scores!$AS$2:$AS$101,MATCH($B96,Scores!$BI$2:$BI$101,0)),"")</f>
        <v/>
      </c>
      <c r="N96">
        <f>IFERROR(INDEX(Scores!$BC$2:$BC$101,MATCH($B96,Scores!$BI$2:$BI$101,0)),"")</f>
        <v/>
      </c>
    </row>
    <row r="97">
      <c r="A97" t="inlineStr">
        <is>
          <t>Top 100</t>
        </is>
      </c>
      <c r="B97" t="n">
        <v>95</v>
      </c>
      <c r="C97">
        <f>IFERROR(INDEX(Scores!$BI$2:$BI$101,MATCH($B97,Scores!$BI$2:$BI$101,0)),"")</f>
        <v/>
      </c>
      <c r="D97">
        <f>IFERROR(INDEX(Scores!$B$2:$B$101,MATCH($B97,Scores!$BI$2:$BI$101,0)),"")</f>
        <v/>
      </c>
      <c r="E97">
        <f>IFERROR(INDEX(Scores!$C$2:$C$101,MATCH($B97,Scores!$BI$2:$BI$101,0)),"")</f>
        <v/>
      </c>
      <c r="F97">
        <f>IFERROR(INDEX(Scores!$D$2:$D$101,MATCH($B97,Scores!$BI$2:$BI$101,0)),"")</f>
        <v/>
      </c>
      <c r="G97">
        <f>IFERROR(INDEX(Scores!$E$2:$E$101,MATCH($B97,Scores!$BI$2:$BI$101,0)),"")</f>
        <v/>
      </c>
      <c r="H97">
        <f>IFERROR(INDEX(Scores!$BF$2:$BF$101,MATCH($B97,Scores!$BI$2:$BI$101,0)),"")</f>
        <v/>
      </c>
      <c r="I97">
        <f>IFERROR(INDEX(Scores!$BH$2:$BH$101,MATCH($B97,Scores!$BI$2:$BI$101,0)),"")</f>
        <v/>
      </c>
      <c r="J97">
        <f>IFERROR(INDEX(Scores!$Q$2:$Q$101,MATCH($B97,Scores!$BI$2:$BI$101,0)),"")</f>
        <v/>
      </c>
      <c r="K97">
        <f>IFERROR(INDEX(Scores!$AC$2:$AC$101,MATCH($B97,Scores!$BI$2:$BI$101,0)),"")</f>
        <v/>
      </c>
      <c r="L97">
        <f>IFERROR(INDEX(Scores!$AK$2:$AK$101,MATCH($B97,Scores!$BI$2:$BI$101,0)),"")</f>
        <v/>
      </c>
      <c r="M97">
        <f>IFERROR(INDEX(Scores!$AS$2:$AS$101,MATCH($B97,Scores!$BI$2:$BI$101,0)),"")</f>
        <v/>
      </c>
      <c r="N97">
        <f>IFERROR(INDEX(Scores!$BC$2:$BC$101,MATCH($B97,Scores!$BI$2:$BI$101,0)),"")</f>
        <v/>
      </c>
    </row>
    <row r="98">
      <c r="A98" t="inlineStr">
        <is>
          <t>Top 100</t>
        </is>
      </c>
      <c r="B98" t="n">
        <v>96</v>
      </c>
      <c r="C98">
        <f>IFERROR(INDEX(Scores!$BI$2:$BI$101,MATCH($B98,Scores!$BI$2:$BI$101,0)),"")</f>
        <v/>
      </c>
      <c r="D98">
        <f>IFERROR(INDEX(Scores!$B$2:$B$101,MATCH($B98,Scores!$BI$2:$BI$101,0)),"")</f>
        <v/>
      </c>
      <c r="E98">
        <f>IFERROR(INDEX(Scores!$C$2:$C$101,MATCH($B98,Scores!$BI$2:$BI$101,0)),"")</f>
        <v/>
      </c>
      <c r="F98">
        <f>IFERROR(INDEX(Scores!$D$2:$D$101,MATCH($B98,Scores!$BI$2:$BI$101,0)),"")</f>
        <v/>
      </c>
      <c r="G98">
        <f>IFERROR(INDEX(Scores!$E$2:$E$101,MATCH($B98,Scores!$BI$2:$BI$101,0)),"")</f>
        <v/>
      </c>
      <c r="H98">
        <f>IFERROR(INDEX(Scores!$BF$2:$BF$101,MATCH($B98,Scores!$BI$2:$BI$101,0)),"")</f>
        <v/>
      </c>
      <c r="I98">
        <f>IFERROR(INDEX(Scores!$BH$2:$BH$101,MATCH($B98,Scores!$BI$2:$BI$101,0)),"")</f>
        <v/>
      </c>
      <c r="J98">
        <f>IFERROR(INDEX(Scores!$Q$2:$Q$101,MATCH($B98,Scores!$BI$2:$BI$101,0)),"")</f>
        <v/>
      </c>
      <c r="K98">
        <f>IFERROR(INDEX(Scores!$AC$2:$AC$101,MATCH($B98,Scores!$BI$2:$BI$101,0)),"")</f>
        <v/>
      </c>
      <c r="L98">
        <f>IFERROR(INDEX(Scores!$AK$2:$AK$101,MATCH($B98,Scores!$BI$2:$BI$101,0)),"")</f>
        <v/>
      </c>
      <c r="M98">
        <f>IFERROR(INDEX(Scores!$AS$2:$AS$101,MATCH($B98,Scores!$BI$2:$BI$101,0)),"")</f>
        <v/>
      </c>
      <c r="N98">
        <f>IFERROR(INDEX(Scores!$BC$2:$BC$101,MATCH($B98,Scores!$BI$2:$BI$101,0)),"")</f>
        <v/>
      </c>
    </row>
    <row r="99">
      <c r="A99" t="inlineStr">
        <is>
          <t>Top 100</t>
        </is>
      </c>
      <c r="B99" t="n">
        <v>97</v>
      </c>
      <c r="C99">
        <f>IFERROR(INDEX(Scores!$BI$2:$BI$101,MATCH($B99,Scores!$BI$2:$BI$101,0)),"")</f>
        <v/>
      </c>
      <c r="D99">
        <f>IFERROR(INDEX(Scores!$B$2:$B$101,MATCH($B99,Scores!$BI$2:$BI$101,0)),"")</f>
        <v/>
      </c>
      <c r="E99">
        <f>IFERROR(INDEX(Scores!$C$2:$C$101,MATCH($B99,Scores!$BI$2:$BI$101,0)),"")</f>
        <v/>
      </c>
      <c r="F99">
        <f>IFERROR(INDEX(Scores!$D$2:$D$101,MATCH($B99,Scores!$BI$2:$BI$101,0)),"")</f>
        <v/>
      </c>
      <c r="G99">
        <f>IFERROR(INDEX(Scores!$E$2:$E$101,MATCH($B99,Scores!$BI$2:$BI$101,0)),"")</f>
        <v/>
      </c>
      <c r="H99">
        <f>IFERROR(INDEX(Scores!$BF$2:$BF$101,MATCH($B99,Scores!$BI$2:$BI$101,0)),"")</f>
        <v/>
      </c>
      <c r="I99">
        <f>IFERROR(INDEX(Scores!$BH$2:$BH$101,MATCH($B99,Scores!$BI$2:$BI$101,0)),"")</f>
        <v/>
      </c>
      <c r="J99">
        <f>IFERROR(INDEX(Scores!$Q$2:$Q$101,MATCH($B99,Scores!$BI$2:$BI$101,0)),"")</f>
        <v/>
      </c>
      <c r="K99">
        <f>IFERROR(INDEX(Scores!$AC$2:$AC$101,MATCH($B99,Scores!$BI$2:$BI$101,0)),"")</f>
        <v/>
      </c>
      <c r="L99">
        <f>IFERROR(INDEX(Scores!$AK$2:$AK$101,MATCH($B99,Scores!$BI$2:$BI$101,0)),"")</f>
        <v/>
      </c>
      <c r="M99">
        <f>IFERROR(INDEX(Scores!$AS$2:$AS$101,MATCH($B99,Scores!$BI$2:$BI$101,0)),"")</f>
        <v/>
      </c>
      <c r="N99">
        <f>IFERROR(INDEX(Scores!$BC$2:$BC$101,MATCH($B99,Scores!$BI$2:$BI$101,0)),"")</f>
        <v/>
      </c>
    </row>
    <row r="100">
      <c r="A100" t="inlineStr">
        <is>
          <t>Top 100</t>
        </is>
      </c>
      <c r="B100" t="n">
        <v>98</v>
      </c>
      <c r="C100">
        <f>IFERROR(INDEX(Scores!$BI$2:$BI$101,MATCH($B100,Scores!$BI$2:$BI$101,0)),"")</f>
        <v/>
      </c>
      <c r="D100">
        <f>IFERROR(INDEX(Scores!$B$2:$B$101,MATCH($B100,Scores!$BI$2:$BI$101,0)),"")</f>
        <v/>
      </c>
      <c r="E100">
        <f>IFERROR(INDEX(Scores!$C$2:$C$101,MATCH($B100,Scores!$BI$2:$BI$101,0)),"")</f>
        <v/>
      </c>
      <c r="F100">
        <f>IFERROR(INDEX(Scores!$D$2:$D$101,MATCH($B100,Scores!$BI$2:$BI$101,0)),"")</f>
        <v/>
      </c>
      <c r="G100">
        <f>IFERROR(INDEX(Scores!$E$2:$E$101,MATCH($B100,Scores!$BI$2:$BI$101,0)),"")</f>
        <v/>
      </c>
      <c r="H100">
        <f>IFERROR(INDEX(Scores!$BF$2:$BF$101,MATCH($B100,Scores!$BI$2:$BI$101,0)),"")</f>
        <v/>
      </c>
      <c r="I100">
        <f>IFERROR(INDEX(Scores!$BH$2:$BH$101,MATCH($B100,Scores!$BI$2:$BI$101,0)),"")</f>
        <v/>
      </c>
      <c r="J100">
        <f>IFERROR(INDEX(Scores!$Q$2:$Q$101,MATCH($B100,Scores!$BI$2:$BI$101,0)),"")</f>
        <v/>
      </c>
      <c r="K100">
        <f>IFERROR(INDEX(Scores!$AC$2:$AC$101,MATCH($B100,Scores!$BI$2:$BI$101,0)),"")</f>
        <v/>
      </c>
      <c r="L100">
        <f>IFERROR(INDEX(Scores!$AK$2:$AK$101,MATCH($B100,Scores!$BI$2:$BI$101,0)),"")</f>
        <v/>
      </c>
      <c r="M100">
        <f>IFERROR(INDEX(Scores!$AS$2:$AS$101,MATCH($B100,Scores!$BI$2:$BI$101,0)),"")</f>
        <v/>
      </c>
      <c r="N100">
        <f>IFERROR(INDEX(Scores!$BC$2:$BC$101,MATCH($B100,Scores!$BI$2:$BI$101,0)),"")</f>
        <v/>
      </c>
    </row>
    <row r="101">
      <c r="A101" t="inlineStr">
        <is>
          <t>Top 100</t>
        </is>
      </c>
      <c r="B101" t="n">
        <v>99</v>
      </c>
      <c r="C101">
        <f>IFERROR(INDEX(Scores!$BI$2:$BI$101,MATCH($B101,Scores!$BI$2:$BI$101,0)),"")</f>
        <v/>
      </c>
      <c r="D101">
        <f>IFERROR(INDEX(Scores!$B$2:$B$101,MATCH($B101,Scores!$BI$2:$BI$101,0)),"")</f>
        <v/>
      </c>
      <c r="E101">
        <f>IFERROR(INDEX(Scores!$C$2:$C$101,MATCH($B101,Scores!$BI$2:$BI$101,0)),"")</f>
        <v/>
      </c>
      <c r="F101">
        <f>IFERROR(INDEX(Scores!$D$2:$D$101,MATCH($B101,Scores!$BI$2:$BI$101,0)),"")</f>
        <v/>
      </c>
      <c r="G101">
        <f>IFERROR(INDEX(Scores!$E$2:$E$101,MATCH($B101,Scores!$BI$2:$BI$101,0)),"")</f>
        <v/>
      </c>
      <c r="H101">
        <f>IFERROR(INDEX(Scores!$BF$2:$BF$101,MATCH($B101,Scores!$BI$2:$BI$101,0)),"")</f>
        <v/>
      </c>
      <c r="I101">
        <f>IFERROR(INDEX(Scores!$BH$2:$BH$101,MATCH($B101,Scores!$BI$2:$BI$101,0)),"")</f>
        <v/>
      </c>
      <c r="J101">
        <f>IFERROR(INDEX(Scores!$Q$2:$Q$101,MATCH($B101,Scores!$BI$2:$BI$101,0)),"")</f>
        <v/>
      </c>
      <c r="K101">
        <f>IFERROR(INDEX(Scores!$AC$2:$AC$101,MATCH($B101,Scores!$BI$2:$BI$101,0)),"")</f>
        <v/>
      </c>
      <c r="L101">
        <f>IFERROR(INDEX(Scores!$AK$2:$AK$101,MATCH($B101,Scores!$BI$2:$BI$101,0)),"")</f>
        <v/>
      </c>
      <c r="M101">
        <f>IFERROR(INDEX(Scores!$AS$2:$AS$101,MATCH($B101,Scores!$BI$2:$BI$101,0)),"")</f>
        <v/>
      </c>
      <c r="N101">
        <f>IFERROR(INDEX(Scores!$BC$2:$BC$101,MATCH($B101,Scores!$BI$2:$BI$101,0)),"")</f>
        <v/>
      </c>
    </row>
    <row r="102">
      <c r="A102" t="inlineStr">
        <is>
          <t>Top 100</t>
        </is>
      </c>
      <c r="B102" t="n">
        <v>100</v>
      </c>
      <c r="C102">
        <f>IFERROR(INDEX(Scores!$BI$2:$BI$101,MATCH($B102,Scores!$BI$2:$BI$101,0)),"")</f>
        <v/>
      </c>
      <c r="D102">
        <f>IFERROR(INDEX(Scores!$B$2:$B$101,MATCH($B102,Scores!$BI$2:$BI$101,0)),"")</f>
        <v/>
      </c>
      <c r="E102">
        <f>IFERROR(INDEX(Scores!$C$2:$C$101,MATCH($B102,Scores!$BI$2:$BI$101,0)),"")</f>
        <v/>
      </c>
      <c r="F102">
        <f>IFERROR(INDEX(Scores!$D$2:$D$101,MATCH($B102,Scores!$BI$2:$BI$101,0)),"")</f>
        <v/>
      </c>
      <c r="G102">
        <f>IFERROR(INDEX(Scores!$E$2:$E$101,MATCH($B102,Scores!$BI$2:$BI$101,0)),"")</f>
        <v/>
      </c>
      <c r="H102">
        <f>IFERROR(INDEX(Scores!$BF$2:$BF$101,MATCH($B102,Scores!$BI$2:$BI$101,0)),"")</f>
        <v/>
      </c>
      <c r="I102">
        <f>IFERROR(INDEX(Scores!$BH$2:$BH$101,MATCH($B102,Scores!$BI$2:$BI$101,0)),"")</f>
        <v/>
      </c>
      <c r="J102">
        <f>IFERROR(INDEX(Scores!$Q$2:$Q$101,MATCH($B102,Scores!$BI$2:$BI$101,0)),"")</f>
        <v/>
      </c>
      <c r="K102">
        <f>IFERROR(INDEX(Scores!$AC$2:$AC$101,MATCH($B102,Scores!$BI$2:$BI$101,0)),"")</f>
        <v/>
      </c>
      <c r="L102">
        <f>IFERROR(INDEX(Scores!$AK$2:$AK$101,MATCH($B102,Scores!$BI$2:$BI$101,0)),"")</f>
        <v/>
      </c>
      <c r="M102">
        <f>IFERROR(INDEX(Scores!$AS$2:$AS$101,MATCH($B102,Scores!$BI$2:$BI$101,0)),"")</f>
        <v/>
      </c>
      <c r="N102">
        <f>IFERROR(INDEX(Scores!$BC$2:$BC$101,MATCH($B102,Scores!$BI$2:$BI$101,0)),"")</f>
        <v/>
      </c>
    </row>
    <row r="103"/>
    <row r="104"/>
    <row r="105">
      <c r="A105" s="16" t="inlineStr">
        <is>
          <t>Top 50 Ranked Cities</t>
        </is>
      </c>
    </row>
    <row r="106">
      <c r="A106" s="6" t="inlineStr">
        <is>
          <t>leaderboard_scope</t>
        </is>
      </c>
      <c r="B106" s="6" t="inlineStr">
        <is>
          <t>target_rank</t>
        </is>
      </c>
      <c r="C106" s="6" t="inlineStr">
        <is>
          <t>rank</t>
        </is>
      </c>
      <c r="D106" s="6" t="inlineStr">
        <is>
          <t>display_name</t>
        </is>
      </c>
      <c r="E106" s="6" t="inlineStr">
        <is>
          <t>country</t>
        </is>
      </c>
      <c r="F106" s="6" t="inlineStr">
        <is>
          <t>cohort</t>
        </is>
      </c>
      <c r="G106" s="6" t="inlineStr">
        <is>
          <t>manifest_status</t>
        </is>
      </c>
      <c r="H106" s="6" t="inlineStr">
        <is>
          <t>coverage_grade</t>
        </is>
      </c>
      <c r="I106" s="6" t="inlineStr">
        <is>
          <t>slic_score</t>
        </is>
      </c>
      <c r="J106" s="6" t="inlineStr">
        <is>
          <t>pressure_pillar_score</t>
        </is>
      </c>
      <c r="K106" s="6" t="inlineStr">
        <is>
          <t>viability_pillar_score</t>
        </is>
      </c>
      <c r="L106" s="6" t="inlineStr">
        <is>
          <t>capability_pillar_score</t>
        </is>
      </c>
      <c r="M106" s="6" t="inlineStr">
        <is>
          <t>community_pillar_score</t>
        </is>
      </c>
      <c r="N106" s="6" t="inlineStr">
        <is>
          <t>creative_pillar_score</t>
        </is>
      </c>
    </row>
    <row r="107">
      <c r="A107" t="inlineStr">
        <is>
          <t>Top 50</t>
        </is>
      </c>
      <c r="B107" t="n">
        <v>1</v>
      </c>
      <c r="C107">
        <f>IFERROR(INDEX(Scores!$BI$2:$BI$101,MATCH($B107,Scores!$BI$2:$BI$101,0)),"")</f>
        <v/>
      </c>
      <c r="D107">
        <f>IFERROR(INDEX(Scores!$B$2:$B$101,MATCH($B107,Scores!$BI$2:$BI$101,0)),"")</f>
        <v/>
      </c>
      <c r="E107">
        <f>IFERROR(INDEX(Scores!$C$2:$C$101,MATCH($B107,Scores!$BI$2:$BI$101,0)),"")</f>
        <v/>
      </c>
      <c r="F107">
        <f>IFERROR(INDEX(Scores!$D$2:$D$101,MATCH($B107,Scores!$BI$2:$BI$101,0)),"")</f>
        <v/>
      </c>
      <c r="G107">
        <f>IFERROR(INDEX(Scores!$E$2:$E$101,MATCH($B107,Scores!$BI$2:$BI$101,0)),"")</f>
        <v/>
      </c>
      <c r="H107">
        <f>IFERROR(INDEX(Scores!$BF$2:$BF$101,MATCH($B107,Scores!$BI$2:$BI$101,0)),"")</f>
        <v/>
      </c>
      <c r="I107">
        <f>IFERROR(INDEX(Scores!$BH$2:$BH$101,MATCH($B107,Scores!$BI$2:$BI$101,0)),"")</f>
        <v/>
      </c>
      <c r="J107">
        <f>IFERROR(INDEX(Scores!$Q$2:$Q$101,MATCH($B107,Scores!$BI$2:$BI$101,0)),"")</f>
        <v/>
      </c>
      <c r="K107">
        <f>IFERROR(INDEX(Scores!$AC$2:$AC$101,MATCH($B107,Scores!$BI$2:$BI$101,0)),"")</f>
        <v/>
      </c>
      <c r="L107">
        <f>IFERROR(INDEX(Scores!$AK$2:$AK$101,MATCH($B107,Scores!$BI$2:$BI$101,0)),"")</f>
        <v/>
      </c>
      <c r="M107">
        <f>IFERROR(INDEX(Scores!$AS$2:$AS$101,MATCH($B107,Scores!$BI$2:$BI$101,0)),"")</f>
        <v/>
      </c>
      <c r="N107">
        <f>IFERROR(INDEX(Scores!$BC$2:$BC$101,MATCH($B107,Scores!$BI$2:$BI$101,0)),"")</f>
        <v/>
      </c>
    </row>
    <row r="108">
      <c r="A108" t="inlineStr">
        <is>
          <t>Top 50</t>
        </is>
      </c>
      <c r="B108" t="n">
        <v>2</v>
      </c>
      <c r="C108">
        <f>IFERROR(INDEX(Scores!$BI$2:$BI$101,MATCH($B108,Scores!$BI$2:$BI$101,0)),"")</f>
        <v/>
      </c>
      <c r="D108">
        <f>IFERROR(INDEX(Scores!$B$2:$B$101,MATCH($B108,Scores!$BI$2:$BI$101,0)),"")</f>
        <v/>
      </c>
      <c r="E108">
        <f>IFERROR(INDEX(Scores!$C$2:$C$101,MATCH($B108,Scores!$BI$2:$BI$101,0)),"")</f>
        <v/>
      </c>
      <c r="F108">
        <f>IFERROR(INDEX(Scores!$D$2:$D$101,MATCH($B108,Scores!$BI$2:$BI$101,0)),"")</f>
        <v/>
      </c>
      <c r="G108">
        <f>IFERROR(INDEX(Scores!$E$2:$E$101,MATCH($B108,Scores!$BI$2:$BI$101,0)),"")</f>
        <v/>
      </c>
      <c r="H108">
        <f>IFERROR(INDEX(Scores!$BF$2:$BF$101,MATCH($B108,Scores!$BI$2:$BI$101,0)),"")</f>
        <v/>
      </c>
      <c r="I108">
        <f>IFERROR(INDEX(Scores!$BH$2:$BH$101,MATCH($B108,Scores!$BI$2:$BI$101,0)),"")</f>
        <v/>
      </c>
      <c r="J108">
        <f>IFERROR(INDEX(Scores!$Q$2:$Q$101,MATCH($B108,Scores!$BI$2:$BI$101,0)),"")</f>
        <v/>
      </c>
      <c r="K108">
        <f>IFERROR(INDEX(Scores!$AC$2:$AC$101,MATCH($B108,Scores!$BI$2:$BI$101,0)),"")</f>
        <v/>
      </c>
      <c r="L108">
        <f>IFERROR(INDEX(Scores!$AK$2:$AK$101,MATCH($B108,Scores!$BI$2:$BI$101,0)),"")</f>
        <v/>
      </c>
      <c r="M108">
        <f>IFERROR(INDEX(Scores!$AS$2:$AS$101,MATCH($B108,Scores!$BI$2:$BI$101,0)),"")</f>
        <v/>
      </c>
      <c r="N108">
        <f>IFERROR(INDEX(Scores!$BC$2:$BC$101,MATCH($B108,Scores!$BI$2:$BI$101,0)),"")</f>
        <v/>
      </c>
    </row>
    <row r="109">
      <c r="A109" t="inlineStr">
        <is>
          <t>Top 50</t>
        </is>
      </c>
      <c r="B109" t="n">
        <v>3</v>
      </c>
      <c r="C109">
        <f>IFERROR(INDEX(Scores!$BI$2:$BI$101,MATCH($B109,Scores!$BI$2:$BI$101,0)),"")</f>
        <v/>
      </c>
      <c r="D109">
        <f>IFERROR(INDEX(Scores!$B$2:$B$101,MATCH($B109,Scores!$BI$2:$BI$101,0)),"")</f>
        <v/>
      </c>
      <c r="E109">
        <f>IFERROR(INDEX(Scores!$C$2:$C$101,MATCH($B109,Scores!$BI$2:$BI$101,0)),"")</f>
        <v/>
      </c>
      <c r="F109">
        <f>IFERROR(INDEX(Scores!$D$2:$D$101,MATCH($B109,Scores!$BI$2:$BI$101,0)),"")</f>
        <v/>
      </c>
      <c r="G109">
        <f>IFERROR(INDEX(Scores!$E$2:$E$101,MATCH($B109,Scores!$BI$2:$BI$101,0)),"")</f>
        <v/>
      </c>
      <c r="H109">
        <f>IFERROR(INDEX(Scores!$BF$2:$BF$101,MATCH($B109,Scores!$BI$2:$BI$101,0)),"")</f>
        <v/>
      </c>
      <c r="I109">
        <f>IFERROR(INDEX(Scores!$BH$2:$BH$101,MATCH($B109,Scores!$BI$2:$BI$101,0)),"")</f>
        <v/>
      </c>
      <c r="J109">
        <f>IFERROR(INDEX(Scores!$Q$2:$Q$101,MATCH($B109,Scores!$BI$2:$BI$101,0)),"")</f>
        <v/>
      </c>
      <c r="K109">
        <f>IFERROR(INDEX(Scores!$AC$2:$AC$101,MATCH($B109,Scores!$BI$2:$BI$101,0)),"")</f>
        <v/>
      </c>
      <c r="L109">
        <f>IFERROR(INDEX(Scores!$AK$2:$AK$101,MATCH($B109,Scores!$BI$2:$BI$101,0)),"")</f>
        <v/>
      </c>
      <c r="M109">
        <f>IFERROR(INDEX(Scores!$AS$2:$AS$101,MATCH($B109,Scores!$BI$2:$BI$101,0)),"")</f>
        <v/>
      </c>
      <c r="N109">
        <f>IFERROR(INDEX(Scores!$BC$2:$BC$101,MATCH($B109,Scores!$BI$2:$BI$101,0)),"")</f>
        <v/>
      </c>
    </row>
    <row r="110">
      <c r="A110" t="inlineStr">
        <is>
          <t>Top 50</t>
        </is>
      </c>
      <c r="B110" t="n">
        <v>4</v>
      </c>
      <c r="C110">
        <f>IFERROR(INDEX(Scores!$BI$2:$BI$101,MATCH($B110,Scores!$BI$2:$BI$101,0)),"")</f>
        <v/>
      </c>
      <c r="D110">
        <f>IFERROR(INDEX(Scores!$B$2:$B$101,MATCH($B110,Scores!$BI$2:$BI$101,0)),"")</f>
        <v/>
      </c>
      <c r="E110">
        <f>IFERROR(INDEX(Scores!$C$2:$C$101,MATCH($B110,Scores!$BI$2:$BI$101,0)),"")</f>
        <v/>
      </c>
      <c r="F110">
        <f>IFERROR(INDEX(Scores!$D$2:$D$101,MATCH($B110,Scores!$BI$2:$BI$101,0)),"")</f>
        <v/>
      </c>
      <c r="G110">
        <f>IFERROR(INDEX(Scores!$E$2:$E$101,MATCH($B110,Scores!$BI$2:$BI$101,0)),"")</f>
        <v/>
      </c>
      <c r="H110">
        <f>IFERROR(INDEX(Scores!$BF$2:$BF$101,MATCH($B110,Scores!$BI$2:$BI$101,0)),"")</f>
        <v/>
      </c>
      <c r="I110">
        <f>IFERROR(INDEX(Scores!$BH$2:$BH$101,MATCH($B110,Scores!$BI$2:$BI$101,0)),"")</f>
        <v/>
      </c>
      <c r="J110">
        <f>IFERROR(INDEX(Scores!$Q$2:$Q$101,MATCH($B110,Scores!$BI$2:$BI$101,0)),"")</f>
        <v/>
      </c>
      <c r="K110">
        <f>IFERROR(INDEX(Scores!$AC$2:$AC$101,MATCH($B110,Scores!$BI$2:$BI$101,0)),"")</f>
        <v/>
      </c>
      <c r="L110">
        <f>IFERROR(INDEX(Scores!$AK$2:$AK$101,MATCH($B110,Scores!$BI$2:$BI$101,0)),"")</f>
        <v/>
      </c>
      <c r="M110">
        <f>IFERROR(INDEX(Scores!$AS$2:$AS$101,MATCH($B110,Scores!$BI$2:$BI$101,0)),"")</f>
        <v/>
      </c>
      <c r="N110">
        <f>IFERROR(INDEX(Scores!$BC$2:$BC$101,MATCH($B110,Scores!$BI$2:$BI$101,0)),"")</f>
        <v/>
      </c>
    </row>
    <row r="111">
      <c r="A111" t="inlineStr">
        <is>
          <t>Top 50</t>
        </is>
      </c>
      <c r="B111" t="n">
        <v>5</v>
      </c>
      <c r="C111">
        <f>IFERROR(INDEX(Scores!$BI$2:$BI$101,MATCH($B111,Scores!$BI$2:$BI$101,0)),"")</f>
        <v/>
      </c>
      <c r="D111">
        <f>IFERROR(INDEX(Scores!$B$2:$B$101,MATCH($B111,Scores!$BI$2:$BI$101,0)),"")</f>
        <v/>
      </c>
      <c r="E111">
        <f>IFERROR(INDEX(Scores!$C$2:$C$101,MATCH($B111,Scores!$BI$2:$BI$101,0)),"")</f>
        <v/>
      </c>
      <c r="F111">
        <f>IFERROR(INDEX(Scores!$D$2:$D$101,MATCH($B111,Scores!$BI$2:$BI$101,0)),"")</f>
        <v/>
      </c>
      <c r="G111">
        <f>IFERROR(INDEX(Scores!$E$2:$E$101,MATCH($B111,Scores!$BI$2:$BI$101,0)),"")</f>
        <v/>
      </c>
      <c r="H111">
        <f>IFERROR(INDEX(Scores!$BF$2:$BF$101,MATCH($B111,Scores!$BI$2:$BI$101,0)),"")</f>
        <v/>
      </c>
      <c r="I111">
        <f>IFERROR(INDEX(Scores!$BH$2:$BH$101,MATCH($B111,Scores!$BI$2:$BI$101,0)),"")</f>
        <v/>
      </c>
      <c r="J111">
        <f>IFERROR(INDEX(Scores!$Q$2:$Q$101,MATCH($B111,Scores!$BI$2:$BI$101,0)),"")</f>
        <v/>
      </c>
      <c r="K111">
        <f>IFERROR(INDEX(Scores!$AC$2:$AC$101,MATCH($B111,Scores!$BI$2:$BI$101,0)),"")</f>
        <v/>
      </c>
      <c r="L111">
        <f>IFERROR(INDEX(Scores!$AK$2:$AK$101,MATCH($B111,Scores!$BI$2:$BI$101,0)),"")</f>
        <v/>
      </c>
      <c r="M111">
        <f>IFERROR(INDEX(Scores!$AS$2:$AS$101,MATCH($B111,Scores!$BI$2:$BI$101,0)),"")</f>
        <v/>
      </c>
      <c r="N111">
        <f>IFERROR(INDEX(Scores!$BC$2:$BC$101,MATCH($B111,Scores!$BI$2:$BI$101,0)),"")</f>
        <v/>
      </c>
    </row>
    <row r="112">
      <c r="A112" t="inlineStr">
        <is>
          <t>Top 50</t>
        </is>
      </c>
      <c r="B112" t="n">
        <v>6</v>
      </c>
      <c r="C112">
        <f>IFERROR(INDEX(Scores!$BI$2:$BI$101,MATCH($B112,Scores!$BI$2:$BI$101,0)),"")</f>
        <v/>
      </c>
      <c r="D112">
        <f>IFERROR(INDEX(Scores!$B$2:$B$101,MATCH($B112,Scores!$BI$2:$BI$101,0)),"")</f>
        <v/>
      </c>
      <c r="E112">
        <f>IFERROR(INDEX(Scores!$C$2:$C$101,MATCH($B112,Scores!$BI$2:$BI$101,0)),"")</f>
        <v/>
      </c>
      <c r="F112">
        <f>IFERROR(INDEX(Scores!$D$2:$D$101,MATCH($B112,Scores!$BI$2:$BI$101,0)),"")</f>
        <v/>
      </c>
      <c r="G112">
        <f>IFERROR(INDEX(Scores!$E$2:$E$101,MATCH($B112,Scores!$BI$2:$BI$101,0)),"")</f>
        <v/>
      </c>
      <c r="H112">
        <f>IFERROR(INDEX(Scores!$BF$2:$BF$101,MATCH($B112,Scores!$BI$2:$BI$101,0)),"")</f>
        <v/>
      </c>
      <c r="I112">
        <f>IFERROR(INDEX(Scores!$BH$2:$BH$101,MATCH($B112,Scores!$BI$2:$BI$101,0)),"")</f>
        <v/>
      </c>
      <c r="J112">
        <f>IFERROR(INDEX(Scores!$Q$2:$Q$101,MATCH($B112,Scores!$BI$2:$BI$101,0)),"")</f>
        <v/>
      </c>
      <c r="K112">
        <f>IFERROR(INDEX(Scores!$AC$2:$AC$101,MATCH($B112,Scores!$BI$2:$BI$101,0)),"")</f>
        <v/>
      </c>
      <c r="L112">
        <f>IFERROR(INDEX(Scores!$AK$2:$AK$101,MATCH($B112,Scores!$BI$2:$BI$101,0)),"")</f>
        <v/>
      </c>
      <c r="M112">
        <f>IFERROR(INDEX(Scores!$AS$2:$AS$101,MATCH($B112,Scores!$BI$2:$BI$101,0)),"")</f>
        <v/>
      </c>
      <c r="N112">
        <f>IFERROR(INDEX(Scores!$BC$2:$BC$101,MATCH($B112,Scores!$BI$2:$BI$101,0)),"")</f>
        <v/>
      </c>
    </row>
    <row r="113">
      <c r="A113" t="inlineStr">
        <is>
          <t>Top 50</t>
        </is>
      </c>
      <c r="B113" t="n">
        <v>7</v>
      </c>
      <c r="C113">
        <f>IFERROR(INDEX(Scores!$BI$2:$BI$101,MATCH($B113,Scores!$BI$2:$BI$101,0)),"")</f>
        <v/>
      </c>
      <c r="D113">
        <f>IFERROR(INDEX(Scores!$B$2:$B$101,MATCH($B113,Scores!$BI$2:$BI$101,0)),"")</f>
        <v/>
      </c>
      <c r="E113">
        <f>IFERROR(INDEX(Scores!$C$2:$C$101,MATCH($B113,Scores!$BI$2:$BI$101,0)),"")</f>
        <v/>
      </c>
      <c r="F113">
        <f>IFERROR(INDEX(Scores!$D$2:$D$101,MATCH($B113,Scores!$BI$2:$BI$101,0)),"")</f>
        <v/>
      </c>
      <c r="G113">
        <f>IFERROR(INDEX(Scores!$E$2:$E$101,MATCH($B113,Scores!$BI$2:$BI$101,0)),"")</f>
        <v/>
      </c>
      <c r="H113">
        <f>IFERROR(INDEX(Scores!$BF$2:$BF$101,MATCH($B113,Scores!$BI$2:$BI$101,0)),"")</f>
        <v/>
      </c>
      <c r="I113">
        <f>IFERROR(INDEX(Scores!$BH$2:$BH$101,MATCH($B113,Scores!$BI$2:$BI$101,0)),"")</f>
        <v/>
      </c>
      <c r="J113">
        <f>IFERROR(INDEX(Scores!$Q$2:$Q$101,MATCH($B113,Scores!$BI$2:$BI$101,0)),"")</f>
        <v/>
      </c>
      <c r="K113">
        <f>IFERROR(INDEX(Scores!$AC$2:$AC$101,MATCH($B113,Scores!$BI$2:$BI$101,0)),"")</f>
        <v/>
      </c>
      <c r="L113">
        <f>IFERROR(INDEX(Scores!$AK$2:$AK$101,MATCH($B113,Scores!$BI$2:$BI$101,0)),"")</f>
        <v/>
      </c>
      <c r="M113">
        <f>IFERROR(INDEX(Scores!$AS$2:$AS$101,MATCH($B113,Scores!$BI$2:$BI$101,0)),"")</f>
        <v/>
      </c>
      <c r="N113">
        <f>IFERROR(INDEX(Scores!$BC$2:$BC$101,MATCH($B113,Scores!$BI$2:$BI$101,0)),"")</f>
        <v/>
      </c>
    </row>
    <row r="114">
      <c r="A114" t="inlineStr">
        <is>
          <t>Top 50</t>
        </is>
      </c>
      <c r="B114" t="n">
        <v>8</v>
      </c>
      <c r="C114">
        <f>IFERROR(INDEX(Scores!$BI$2:$BI$101,MATCH($B114,Scores!$BI$2:$BI$101,0)),"")</f>
        <v/>
      </c>
      <c r="D114">
        <f>IFERROR(INDEX(Scores!$B$2:$B$101,MATCH($B114,Scores!$BI$2:$BI$101,0)),"")</f>
        <v/>
      </c>
      <c r="E114">
        <f>IFERROR(INDEX(Scores!$C$2:$C$101,MATCH($B114,Scores!$BI$2:$BI$101,0)),"")</f>
        <v/>
      </c>
      <c r="F114">
        <f>IFERROR(INDEX(Scores!$D$2:$D$101,MATCH($B114,Scores!$BI$2:$BI$101,0)),"")</f>
        <v/>
      </c>
      <c r="G114">
        <f>IFERROR(INDEX(Scores!$E$2:$E$101,MATCH($B114,Scores!$BI$2:$BI$101,0)),"")</f>
        <v/>
      </c>
      <c r="H114">
        <f>IFERROR(INDEX(Scores!$BF$2:$BF$101,MATCH($B114,Scores!$BI$2:$BI$101,0)),"")</f>
        <v/>
      </c>
      <c r="I114">
        <f>IFERROR(INDEX(Scores!$BH$2:$BH$101,MATCH($B114,Scores!$BI$2:$BI$101,0)),"")</f>
        <v/>
      </c>
      <c r="J114">
        <f>IFERROR(INDEX(Scores!$Q$2:$Q$101,MATCH($B114,Scores!$BI$2:$BI$101,0)),"")</f>
        <v/>
      </c>
      <c r="K114">
        <f>IFERROR(INDEX(Scores!$AC$2:$AC$101,MATCH($B114,Scores!$BI$2:$BI$101,0)),"")</f>
        <v/>
      </c>
      <c r="L114">
        <f>IFERROR(INDEX(Scores!$AK$2:$AK$101,MATCH($B114,Scores!$BI$2:$BI$101,0)),"")</f>
        <v/>
      </c>
      <c r="M114">
        <f>IFERROR(INDEX(Scores!$AS$2:$AS$101,MATCH($B114,Scores!$BI$2:$BI$101,0)),"")</f>
        <v/>
      </c>
      <c r="N114">
        <f>IFERROR(INDEX(Scores!$BC$2:$BC$101,MATCH($B114,Scores!$BI$2:$BI$101,0)),"")</f>
        <v/>
      </c>
    </row>
    <row r="115">
      <c r="A115" t="inlineStr">
        <is>
          <t>Top 50</t>
        </is>
      </c>
      <c r="B115" t="n">
        <v>9</v>
      </c>
      <c r="C115">
        <f>IFERROR(INDEX(Scores!$BI$2:$BI$101,MATCH($B115,Scores!$BI$2:$BI$101,0)),"")</f>
        <v/>
      </c>
      <c r="D115">
        <f>IFERROR(INDEX(Scores!$B$2:$B$101,MATCH($B115,Scores!$BI$2:$BI$101,0)),"")</f>
        <v/>
      </c>
      <c r="E115">
        <f>IFERROR(INDEX(Scores!$C$2:$C$101,MATCH($B115,Scores!$BI$2:$BI$101,0)),"")</f>
        <v/>
      </c>
      <c r="F115">
        <f>IFERROR(INDEX(Scores!$D$2:$D$101,MATCH($B115,Scores!$BI$2:$BI$101,0)),"")</f>
        <v/>
      </c>
      <c r="G115">
        <f>IFERROR(INDEX(Scores!$E$2:$E$101,MATCH($B115,Scores!$BI$2:$BI$101,0)),"")</f>
        <v/>
      </c>
      <c r="H115">
        <f>IFERROR(INDEX(Scores!$BF$2:$BF$101,MATCH($B115,Scores!$BI$2:$BI$101,0)),"")</f>
        <v/>
      </c>
      <c r="I115">
        <f>IFERROR(INDEX(Scores!$BH$2:$BH$101,MATCH($B115,Scores!$BI$2:$BI$101,0)),"")</f>
        <v/>
      </c>
      <c r="J115">
        <f>IFERROR(INDEX(Scores!$Q$2:$Q$101,MATCH($B115,Scores!$BI$2:$BI$101,0)),"")</f>
        <v/>
      </c>
      <c r="K115">
        <f>IFERROR(INDEX(Scores!$AC$2:$AC$101,MATCH($B115,Scores!$BI$2:$BI$101,0)),"")</f>
        <v/>
      </c>
      <c r="L115">
        <f>IFERROR(INDEX(Scores!$AK$2:$AK$101,MATCH($B115,Scores!$BI$2:$BI$101,0)),"")</f>
        <v/>
      </c>
      <c r="M115">
        <f>IFERROR(INDEX(Scores!$AS$2:$AS$101,MATCH($B115,Scores!$BI$2:$BI$101,0)),"")</f>
        <v/>
      </c>
      <c r="N115">
        <f>IFERROR(INDEX(Scores!$BC$2:$BC$101,MATCH($B115,Scores!$BI$2:$BI$101,0)),"")</f>
        <v/>
      </c>
    </row>
    <row r="116">
      <c r="A116" t="inlineStr">
        <is>
          <t>Top 50</t>
        </is>
      </c>
      <c r="B116" t="n">
        <v>10</v>
      </c>
      <c r="C116">
        <f>IFERROR(INDEX(Scores!$BI$2:$BI$101,MATCH($B116,Scores!$BI$2:$BI$101,0)),"")</f>
        <v/>
      </c>
      <c r="D116">
        <f>IFERROR(INDEX(Scores!$B$2:$B$101,MATCH($B116,Scores!$BI$2:$BI$101,0)),"")</f>
        <v/>
      </c>
      <c r="E116">
        <f>IFERROR(INDEX(Scores!$C$2:$C$101,MATCH($B116,Scores!$BI$2:$BI$101,0)),"")</f>
        <v/>
      </c>
      <c r="F116">
        <f>IFERROR(INDEX(Scores!$D$2:$D$101,MATCH($B116,Scores!$BI$2:$BI$101,0)),"")</f>
        <v/>
      </c>
      <c r="G116">
        <f>IFERROR(INDEX(Scores!$E$2:$E$101,MATCH($B116,Scores!$BI$2:$BI$101,0)),"")</f>
        <v/>
      </c>
      <c r="H116">
        <f>IFERROR(INDEX(Scores!$BF$2:$BF$101,MATCH($B116,Scores!$BI$2:$BI$101,0)),"")</f>
        <v/>
      </c>
      <c r="I116">
        <f>IFERROR(INDEX(Scores!$BH$2:$BH$101,MATCH($B116,Scores!$BI$2:$BI$101,0)),"")</f>
        <v/>
      </c>
      <c r="J116">
        <f>IFERROR(INDEX(Scores!$Q$2:$Q$101,MATCH($B116,Scores!$BI$2:$BI$101,0)),"")</f>
        <v/>
      </c>
      <c r="K116">
        <f>IFERROR(INDEX(Scores!$AC$2:$AC$101,MATCH($B116,Scores!$BI$2:$BI$101,0)),"")</f>
        <v/>
      </c>
      <c r="L116">
        <f>IFERROR(INDEX(Scores!$AK$2:$AK$101,MATCH($B116,Scores!$BI$2:$BI$101,0)),"")</f>
        <v/>
      </c>
      <c r="M116">
        <f>IFERROR(INDEX(Scores!$AS$2:$AS$101,MATCH($B116,Scores!$BI$2:$BI$101,0)),"")</f>
        <v/>
      </c>
      <c r="N116">
        <f>IFERROR(INDEX(Scores!$BC$2:$BC$101,MATCH($B116,Scores!$BI$2:$BI$101,0)),"")</f>
        <v/>
      </c>
    </row>
    <row r="117">
      <c r="A117" t="inlineStr">
        <is>
          <t>Top 50</t>
        </is>
      </c>
      <c r="B117" t="n">
        <v>11</v>
      </c>
      <c r="C117">
        <f>IFERROR(INDEX(Scores!$BI$2:$BI$101,MATCH($B117,Scores!$BI$2:$BI$101,0)),"")</f>
        <v/>
      </c>
      <c r="D117">
        <f>IFERROR(INDEX(Scores!$B$2:$B$101,MATCH($B117,Scores!$BI$2:$BI$101,0)),"")</f>
        <v/>
      </c>
      <c r="E117">
        <f>IFERROR(INDEX(Scores!$C$2:$C$101,MATCH($B117,Scores!$BI$2:$BI$101,0)),"")</f>
        <v/>
      </c>
      <c r="F117">
        <f>IFERROR(INDEX(Scores!$D$2:$D$101,MATCH($B117,Scores!$BI$2:$BI$101,0)),"")</f>
        <v/>
      </c>
      <c r="G117">
        <f>IFERROR(INDEX(Scores!$E$2:$E$101,MATCH($B117,Scores!$BI$2:$BI$101,0)),"")</f>
        <v/>
      </c>
      <c r="H117">
        <f>IFERROR(INDEX(Scores!$BF$2:$BF$101,MATCH($B117,Scores!$BI$2:$BI$101,0)),"")</f>
        <v/>
      </c>
      <c r="I117">
        <f>IFERROR(INDEX(Scores!$BH$2:$BH$101,MATCH($B117,Scores!$BI$2:$BI$101,0)),"")</f>
        <v/>
      </c>
      <c r="J117">
        <f>IFERROR(INDEX(Scores!$Q$2:$Q$101,MATCH($B117,Scores!$BI$2:$BI$101,0)),"")</f>
        <v/>
      </c>
      <c r="K117">
        <f>IFERROR(INDEX(Scores!$AC$2:$AC$101,MATCH($B117,Scores!$BI$2:$BI$101,0)),"")</f>
        <v/>
      </c>
      <c r="L117">
        <f>IFERROR(INDEX(Scores!$AK$2:$AK$101,MATCH($B117,Scores!$BI$2:$BI$101,0)),"")</f>
        <v/>
      </c>
      <c r="M117">
        <f>IFERROR(INDEX(Scores!$AS$2:$AS$101,MATCH($B117,Scores!$BI$2:$BI$101,0)),"")</f>
        <v/>
      </c>
      <c r="N117">
        <f>IFERROR(INDEX(Scores!$BC$2:$BC$101,MATCH($B117,Scores!$BI$2:$BI$101,0)),"")</f>
        <v/>
      </c>
    </row>
    <row r="118">
      <c r="A118" t="inlineStr">
        <is>
          <t>Top 50</t>
        </is>
      </c>
      <c r="B118" t="n">
        <v>12</v>
      </c>
      <c r="C118">
        <f>IFERROR(INDEX(Scores!$BI$2:$BI$101,MATCH($B118,Scores!$BI$2:$BI$101,0)),"")</f>
        <v/>
      </c>
      <c r="D118">
        <f>IFERROR(INDEX(Scores!$B$2:$B$101,MATCH($B118,Scores!$BI$2:$BI$101,0)),"")</f>
        <v/>
      </c>
      <c r="E118">
        <f>IFERROR(INDEX(Scores!$C$2:$C$101,MATCH($B118,Scores!$BI$2:$BI$101,0)),"")</f>
        <v/>
      </c>
      <c r="F118">
        <f>IFERROR(INDEX(Scores!$D$2:$D$101,MATCH($B118,Scores!$BI$2:$BI$101,0)),"")</f>
        <v/>
      </c>
      <c r="G118">
        <f>IFERROR(INDEX(Scores!$E$2:$E$101,MATCH($B118,Scores!$BI$2:$BI$101,0)),"")</f>
        <v/>
      </c>
      <c r="H118">
        <f>IFERROR(INDEX(Scores!$BF$2:$BF$101,MATCH($B118,Scores!$BI$2:$BI$101,0)),"")</f>
        <v/>
      </c>
      <c r="I118">
        <f>IFERROR(INDEX(Scores!$BH$2:$BH$101,MATCH($B118,Scores!$BI$2:$BI$101,0)),"")</f>
        <v/>
      </c>
      <c r="J118">
        <f>IFERROR(INDEX(Scores!$Q$2:$Q$101,MATCH($B118,Scores!$BI$2:$BI$101,0)),"")</f>
        <v/>
      </c>
      <c r="K118">
        <f>IFERROR(INDEX(Scores!$AC$2:$AC$101,MATCH($B118,Scores!$BI$2:$BI$101,0)),"")</f>
        <v/>
      </c>
      <c r="L118">
        <f>IFERROR(INDEX(Scores!$AK$2:$AK$101,MATCH($B118,Scores!$BI$2:$BI$101,0)),"")</f>
        <v/>
      </c>
      <c r="M118">
        <f>IFERROR(INDEX(Scores!$AS$2:$AS$101,MATCH($B118,Scores!$BI$2:$BI$101,0)),"")</f>
        <v/>
      </c>
      <c r="N118">
        <f>IFERROR(INDEX(Scores!$BC$2:$BC$101,MATCH($B118,Scores!$BI$2:$BI$101,0)),"")</f>
        <v/>
      </c>
    </row>
    <row r="119">
      <c r="A119" t="inlineStr">
        <is>
          <t>Top 50</t>
        </is>
      </c>
      <c r="B119" t="n">
        <v>13</v>
      </c>
      <c r="C119">
        <f>IFERROR(INDEX(Scores!$BI$2:$BI$101,MATCH($B119,Scores!$BI$2:$BI$101,0)),"")</f>
        <v/>
      </c>
      <c r="D119">
        <f>IFERROR(INDEX(Scores!$B$2:$B$101,MATCH($B119,Scores!$BI$2:$BI$101,0)),"")</f>
        <v/>
      </c>
      <c r="E119">
        <f>IFERROR(INDEX(Scores!$C$2:$C$101,MATCH($B119,Scores!$BI$2:$BI$101,0)),"")</f>
        <v/>
      </c>
      <c r="F119">
        <f>IFERROR(INDEX(Scores!$D$2:$D$101,MATCH($B119,Scores!$BI$2:$BI$101,0)),"")</f>
        <v/>
      </c>
      <c r="G119">
        <f>IFERROR(INDEX(Scores!$E$2:$E$101,MATCH($B119,Scores!$BI$2:$BI$101,0)),"")</f>
        <v/>
      </c>
      <c r="H119">
        <f>IFERROR(INDEX(Scores!$BF$2:$BF$101,MATCH($B119,Scores!$BI$2:$BI$101,0)),"")</f>
        <v/>
      </c>
      <c r="I119">
        <f>IFERROR(INDEX(Scores!$BH$2:$BH$101,MATCH($B119,Scores!$BI$2:$BI$101,0)),"")</f>
        <v/>
      </c>
      <c r="J119">
        <f>IFERROR(INDEX(Scores!$Q$2:$Q$101,MATCH($B119,Scores!$BI$2:$BI$101,0)),"")</f>
        <v/>
      </c>
      <c r="K119">
        <f>IFERROR(INDEX(Scores!$AC$2:$AC$101,MATCH($B119,Scores!$BI$2:$BI$101,0)),"")</f>
        <v/>
      </c>
      <c r="L119">
        <f>IFERROR(INDEX(Scores!$AK$2:$AK$101,MATCH($B119,Scores!$BI$2:$BI$101,0)),"")</f>
        <v/>
      </c>
      <c r="M119">
        <f>IFERROR(INDEX(Scores!$AS$2:$AS$101,MATCH($B119,Scores!$BI$2:$BI$101,0)),"")</f>
        <v/>
      </c>
      <c r="N119">
        <f>IFERROR(INDEX(Scores!$BC$2:$BC$101,MATCH($B119,Scores!$BI$2:$BI$101,0)),"")</f>
        <v/>
      </c>
    </row>
    <row r="120">
      <c r="A120" t="inlineStr">
        <is>
          <t>Top 50</t>
        </is>
      </c>
      <c r="B120" t="n">
        <v>14</v>
      </c>
      <c r="C120">
        <f>IFERROR(INDEX(Scores!$BI$2:$BI$101,MATCH($B120,Scores!$BI$2:$BI$101,0)),"")</f>
        <v/>
      </c>
      <c r="D120">
        <f>IFERROR(INDEX(Scores!$B$2:$B$101,MATCH($B120,Scores!$BI$2:$BI$101,0)),"")</f>
        <v/>
      </c>
      <c r="E120">
        <f>IFERROR(INDEX(Scores!$C$2:$C$101,MATCH($B120,Scores!$BI$2:$BI$101,0)),"")</f>
        <v/>
      </c>
      <c r="F120">
        <f>IFERROR(INDEX(Scores!$D$2:$D$101,MATCH($B120,Scores!$BI$2:$BI$101,0)),"")</f>
        <v/>
      </c>
      <c r="G120">
        <f>IFERROR(INDEX(Scores!$E$2:$E$101,MATCH($B120,Scores!$BI$2:$BI$101,0)),"")</f>
        <v/>
      </c>
      <c r="H120">
        <f>IFERROR(INDEX(Scores!$BF$2:$BF$101,MATCH($B120,Scores!$BI$2:$BI$101,0)),"")</f>
        <v/>
      </c>
      <c r="I120">
        <f>IFERROR(INDEX(Scores!$BH$2:$BH$101,MATCH($B120,Scores!$BI$2:$BI$101,0)),"")</f>
        <v/>
      </c>
      <c r="J120">
        <f>IFERROR(INDEX(Scores!$Q$2:$Q$101,MATCH($B120,Scores!$BI$2:$BI$101,0)),"")</f>
        <v/>
      </c>
      <c r="K120">
        <f>IFERROR(INDEX(Scores!$AC$2:$AC$101,MATCH($B120,Scores!$BI$2:$BI$101,0)),"")</f>
        <v/>
      </c>
      <c r="L120">
        <f>IFERROR(INDEX(Scores!$AK$2:$AK$101,MATCH($B120,Scores!$BI$2:$BI$101,0)),"")</f>
        <v/>
      </c>
      <c r="M120">
        <f>IFERROR(INDEX(Scores!$AS$2:$AS$101,MATCH($B120,Scores!$BI$2:$BI$101,0)),"")</f>
        <v/>
      </c>
      <c r="N120">
        <f>IFERROR(INDEX(Scores!$BC$2:$BC$101,MATCH($B120,Scores!$BI$2:$BI$101,0)),"")</f>
        <v/>
      </c>
    </row>
    <row r="121">
      <c r="A121" t="inlineStr">
        <is>
          <t>Top 50</t>
        </is>
      </c>
      <c r="B121" t="n">
        <v>15</v>
      </c>
      <c r="C121">
        <f>IFERROR(INDEX(Scores!$BI$2:$BI$101,MATCH($B121,Scores!$BI$2:$BI$101,0)),"")</f>
        <v/>
      </c>
      <c r="D121">
        <f>IFERROR(INDEX(Scores!$B$2:$B$101,MATCH($B121,Scores!$BI$2:$BI$101,0)),"")</f>
        <v/>
      </c>
      <c r="E121">
        <f>IFERROR(INDEX(Scores!$C$2:$C$101,MATCH($B121,Scores!$BI$2:$BI$101,0)),"")</f>
        <v/>
      </c>
      <c r="F121">
        <f>IFERROR(INDEX(Scores!$D$2:$D$101,MATCH($B121,Scores!$BI$2:$BI$101,0)),"")</f>
        <v/>
      </c>
      <c r="G121">
        <f>IFERROR(INDEX(Scores!$E$2:$E$101,MATCH($B121,Scores!$BI$2:$BI$101,0)),"")</f>
        <v/>
      </c>
      <c r="H121">
        <f>IFERROR(INDEX(Scores!$BF$2:$BF$101,MATCH($B121,Scores!$BI$2:$BI$101,0)),"")</f>
        <v/>
      </c>
      <c r="I121">
        <f>IFERROR(INDEX(Scores!$BH$2:$BH$101,MATCH($B121,Scores!$BI$2:$BI$101,0)),"")</f>
        <v/>
      </c>
      <c r="J121">
        <f>IFERROR(INDEX(Scores!$Q$2:$Q$101,MATCH($B121,Scores!$BI$2:$BI$101,0)),"")</f>
        <v/>
      </c>
      <c r="K121">
        <f>IFERROR(INDEX(Scores!$AC$2:$AC$101,MATCH($B121,Scores!$BI$2:$BI$101,0)),"")</f>
        <v/>
      </c>
      <c r="L121">
        <f>IFERROR(INDEX(Scores!$AK$2:$AK$101,MATCH($B121,Scores!$BI$2:$BI$101,0)),"")</f>
        <v/>
      </c>
      <c r="M121">
        <f>IFERROR(INDEX(Scores!$AS$2:$AS$101,MATCH($B121,Scores!$BI$2:$BI$101,0)),"")</f>
        <v/>
      </c>
      <c r="N121">
        <f>IFERROR(INDEX(Scores!$BC$2:$BC$101,MATCH($B121,Scores!$BI$2:$BI$101,0)),"")</f>
        <v/>
      </c>
    </row>
    <row r="122">
      <c r="A122" t="inlineStr">
        <is>
          <t>Top 50</t>
        </is>
      </c>
      <c r="B122" t="n">
        <v>16</v>
      </c>
      <c r="C122">
        <f>IFERROR(INDEX(Scores!$BI$2:$BI$101,MATCH($B122,Scores!$BI$2:$BI$101,0)),"")</f>
        <v/>
      </c>
      <c r="D122">
        <f>IFERROR(INDEX(Scores!$B$2:$B$101,MATCH($B122,Scores!$BI$2:$BI$101,0)),"")</f>
        <v/>
      </c>
      <c r="E122">
        <f>IFERROR(INDEX(Scores!$C$2:$C$101,MATCH($B122,Scores!$BI$2:$BI$101,0)),"")</f>
        <v/>
      </c>
      <c r="F122">
        <f>IFERROR(INDEX(Scores!$D$2:$D$101,MATCH($B122,Scores!$BI$2:$BI$101,0)),"")</f>
        <v/>
      </c>
      <c r="G122">
        <f>IFERROR(INDEX(Scores!$E$2:$E$101,MATCH($B122,Scores!$BI$2:$BI$101,0)),"")</f>
        <v/>
      </c>
      <c r="H122">
        <f>IFERROR(INDEX(Scores!$BF$2:$BF$101,MATCH($B122,Scores!$BI$2:$BI$101,0)),"")</f>
        <v/>
      </c>
      <c r="I122">
        <f>IFERROR(INDEX(Scores!$BH$2:$BH$101,MATCH($B122,Scores!$BI$2:$BI$101,0)),"")</f>
        <v/>
      </c>
      <c r="J122">
        <f>IFERROR(INDEX(Scores!$Q$2:$Q$101,MATCH($B122,Scores!$BI$2:$BI$101,0)),"")</f>
        <v/>
      </c>
      <c r="K122">
        <f>IFERROR(INDEX(Scores!$AC$2:$AC$101,MATCH($B122,Scores!$BI$2:$BI$101,0)),"")</f>
        <v/>
      </c>
      <c r="L122">
        <f>IFERROR(INDEX(Scores!$AK$2:$AK$101,MATCH($B122,Scores!$BI$2:$BI$101,0)),"")</f>
        <v/>
      </c>
      <c r="M122">
        <f>IFERROR(INDEX(Scores!$AS$2:$AS$101,MATCH($B122,Scores!$BI$2:$BI$101,0)),"")</f>
        <v/>
      </c>
      <c r="N122">
        <f>IFERROR(INDEX(Scores!$BC$2:$BC$101,MATCH($B122,Scores!$BI$2:$BI$101,0)),"")</f>
        <v/>
      </c>
    </row>
    <row r="123">
      <c r="A123" t="inlineStr">
        <is>
          <t>Top 50</t>
        </is>
      </c>
      <c r="B123" t="n">
        <v>17</v>
      </c>
      <c r="C123">
        <f>IFERROR(INDEX(Scores!$BI$2:$BI$101,MATCH($B123,Scores!$BI$2:$BI$101,0)),"")</f>
        <v/>
      </c>
      <c r="D123">
        <f>IFERROR(INDEX(Scores!$B$2:$B$101,MATCH($B123,Scores!$BI$2:$BI$101,0)),"")</f>
        <v/>
      </c>
      <c r="E123">
        <f>IFERROR(INDEX(Scores!$C$2:$C$101,MATCH($B123,Scores!$BI$2:$BI$101,0)),"")</f>
        <v/>
      </c>
      <c r="F123">
        <f>IFERROR(INDEX(Scores!$D$2:$D$101,MATCH($B123,Scores!$BI$2:$BI$101,0)),"")</f>
        <v/>
      </c>
      <c r="G123">
        <f>IFERROR(INDEX(Scores!$E$2:$E$101,MATCH($B123,Scores!$BI$2:$BI$101,0)),"")</f>
        <v/>
      </c>
      <c r="H123">
        <f>IFERROR(INDEX(Scores!$BF$2:$BF$101,MATCH($B123,Scores!$BI$2:$BI$101,0)),"")</f>
        <v/>
      </c>
      <c r="I123">
        <f>IFERROR(INDEX(Scores!$BH$2:$BH$101,MATCH($B123,Scores!$BI$2:$BI$101,0)),"")</f>
        <v/>
      </c>
      <c r="J123">
        <f>IFERROR(INDEX(Scores!$Q$2:$Q$101,MATCH($B123,Scores!$BI$2:$BI$101,0)),"")</f>
        <v/>
      </c>
      <c r="K123">
        <f>IFERROR(INDEX(Scores!$AC$2:$AC$101,MATCH($B123,Scores!$BI$2:$BI$101,0)),"")</f>
        <v/>
      </c>
      <c r="L123">
        <f>IFERROR(INDEX(Scores!$AK$2:$AK$101,MATCH($B123,Scores!$BI$2:$BI$101,0)),"")</f>
        <v/>
      </c>
      <c r="M123">
        <f>IFERROR(INDEX(Scores!$AS$2:$AS$101,MATCH($B123,Scores!$BI$2:$BI$101,0)),"")</f>
        <v/>
      </c>
      <c r="N123">
        <f>IFERROR(INDEX(Scores!$BC$2:$BC$101,MATCH($B123,Scores!$BI$2:$BI$101,0)),"")</f>
        <v/>
      </c>
    </row>
    <row r="124">
      <c r="A124" t="inlineStr">
        <is>
          <t>Top 50</t>
        </is>
      </c>
      <c r="B124" t="n">
        <v>18</v>
      </c>
      <c r="C124">
        <f>IFERROR(INDEX(Scores!$BI$2:$BI$101,MATCH($B124,Scores!$BI$2:$BI$101,0)),"")</f>
        <v/>
      </c>
      <c r="D124">
        <f>IFERROR(INDEX(Scores!$B$2:$B$101,MATCH($B124,Scores!$BI$2:$BI$101,0)),"")</f>
        <v/>
      </c>
      <c r="E124">
        <f>IFERROR(INDEX(Scores!$C$2:$C$101,MATCH($B124,Scores!$BI$2:$BI$101,0)),"")</f>
        <v/>
      </c>
      <c r="F124">
        <f>IFERROR(INDEX(Scores!$D$2:$D$101,MATCH($B124,Scores!$BI$2:$BI$101,0)),"")</f>
        <v/>
      </c>
      <c r="G124">
        <f>IFERROR(INDEX(Scores!$E$2:$E$101,MATCH($B124,Scores!$BI$2:$BI$101,0)),"")</f>
        <v/>
      </c>
      <c r="H124">
        <f>IFERROR(INDEX(Scores!$BF$2:$BF$101,MATCH($B124,Scores!$BI$2:$BI$101,0)),"")</f>
        <v/>
      </c>
      <c r="I124">
        <f>IFERROR(INDEX(Scores!$BH$2:$BH$101,MATCH($B124,Scores!$BI$2:$BI$101,0)),"")</f>
        <v/>
      </c>
      <c r="J124">
        <f>IFERROR(INDEX(Scores!$Q$2:$Q$101,MATCH($B124,Scores!$BI$2:$BI$101,0)),"")</f>
        <v/>
      </c>
      <c r="K124">
        <f>IFERROR(INDEX(Scores!$AC$2:$AC$101,MATCH($B124,Scores!$BI$2:$BI$101,0)),"")</f>
        <v/>
      </c>
      <c r="L124">
        <f>IFERROR(INDEX(Scores!$AK$2:$AK$101,MATCH($B124,Scores!$BI$2:$BI$101,0)),"")</f>
        <v/>
      </c>
      <c r="M124">
        <f>IFERROR(INDEX(Scores!$AS$2:$AS$101,MATCH($B124,Scores!$BI$2:$BI$101,0)),"")</f>
        <v/>
      </c>
      <c r="N124">
        <f>IFERROR(INDEX(Scores!$BC$2:$BC$101,MATCH($B124,Scores!$BI$2:$BI$101,0)),"")</f>
        <v/>
      </c>
    </row>
    <row r="125">
      <c r="A125" t="inlineStr">
        <is>
          <t>Top 50</t>
        </is>
      </c>
      <c r="B125" t="n">
        <v>19</v>
      </c>
      <c r="C125">
        <f>IFERROR(INDEX(Scores!$BI$2:$BI$101,MATCH($B125,Scores!$BI$2:$BI$101,0)),"")</f>
        <v/>
      </c>
      <c r="D125">
        <f>IFERROR(INDEX(Scores!$B$2:$B$101,MATCH($B125,Scores!$BI$2:$BI$101,0)),"")</f>
        <v/>
      </c>
      <c r="E125">
        <f>IFERROR(INDEX(Scores!$C$2:$C$101,MATCH($B125,Scores!$BI$2:$BI$101,0)),"")</f>
        <v/>
      </c>
      <c r="F125">
        <f>IFERROR(INDEX(Scores!$D$2:$D$101,MATCH($B125,Scores!$BI$2:$BI$101,0)),"")</f>
        <v/>
      </c>
      <c r="G125">
        <f>IFERROR(INDEX(Scores!$E$2:$E$101,MATCH($B125,Scores!$BI$2:$BI$101,0)),"")</f>
        <v/>
      </c>
      <c r="H125">
        <f>IFERROR(INDEX(Scores!$BF$2:$BF$101,MATCH($B125,Scores!$BI$2:$BI$101,0)),"")</f>
        <v/>
      </c>
      <c r="I125">
        <f>IFERROR(INDEX(Scores!$BH$2:$BH$101,MATCH($B125,Scores!$BI$2:$BI$101,0)),"")</f>
        <v/>
      </c>
      <c r="J125">
        <f>IFERROR(INDEX(Scores!$Q$2:$Q$101,MATCH($B125,Scores!$BI$2:$BI$101,0)),"")</f>
        <v/>
      </c>
      <c r="K125">
        <f>IFERROR(INDEX(Scores!$AC$2:$AC$101,MATCH($B125,Scores!$BI$2:$BI$101,0)),"")</f>
        <v/>
      </c>
      <c r="L125">
        <f>IFERROR(INDEX(Scores!$AK$2:$AK$101,MATCH($B125,Scores!$BI$2:$BI$101,0)),"")</f>
        <v/>
      </c>
      <c r="M125">
        <f>IFERROR(INDEX(Scores!$AS$2:$AS$101,MATCH($B125,Scores!$BI$2:$BI$101,0)),"")</f>
        <v/>
      </c>
      <c r="N125">
        <f>IFERROR(INDEX(Scores!$BC$2:$BC$101,MATCH($B125,Scores!$BI$2:$BI$101,0)),"")</f>
        <v/>
      </c>
    </row>
    <row r="126">
      <c r="A126" t="inlineStr">
        <is>
          <t>Top 50</t>
        </is>
      </c>
      <c r="B126" t="n">
        <v>20</v>
      </c>
      <c r="C126">
        <f>IFERROR(INDEX(Scores!$BI$2:$BI$101,MATCH($B126,Scores!$BI$2:$BI$101,0)),"")</f>
        <v/>
      </c>
      <c r="D126">
        <f>IFERROR(INDEX(Scores!$B$2:$B$101,MATCH($B126,Scores!$BI$2:$BI$101,0)),"")</f>
        <v/>
      </c>
      <c r="E126">
        <f>IFERROR(INDEX(Scores!$C$2:$C$101,MATCH($B126,Scores!$BI$2:$BI$101,0)),"")</f>
        <v/>
      </c>
      <c r="F126">
        <f>IFERROR(INDEX(Scores!$D$2:$D$101,MATCH($B126,Scores!$BI$2:$BI$101,0)),"")</f>
        <v/>
      </c>
      <c r="G126">
        <f>IFERROR(INDEX(Scores!$E$2:$E$101,MATCH($B126,Scores!$BI$2:$BI$101,0)),"")</f>
        <v/>
      </c>
      <c r="H126">
        <f>IFERROR(INDEX(Scores!$BF$2:$BF$101,MATCH($B126,Scores!$BI$2:$BI$101,0)),"")</f>
        <v/>
      </c>
      <c r="I126">
        <f>IFERROR(INDEX(Scores!$BH$2:$BH$101,MATCH($B126,Scores!$BI$2:$BI$101,0)),"")</f>
        <v/>
      </c>
      <c r="J126">
        <f>IFERROR(INDEX(Scores!$Q$2:$Q$101,MATCH($B126,Scores!$BI$2:$BI$101,0)),"")</f>
        <v/>
      </c>
      <c r="K126">
        <f>IFERROR(INDEX(Scores!$AC$2:$AC$101,MATCH($B126,Scores!$BI$2:$BI$101,0)),"")</f>
        <v/>
      </c>
      <c r="L126">
        <f>IFERROR(INDEX(Scores!$AK$2:$AK$101,MATCH($B126,Scores!$BI$2:$BI$101,0)),"")</f>
        <v/>
      </c>
      <c r="M126">
        <f>IFERROR(INDEX(Scores!$AS$2:$AS$101,MATCH($B126,Scores!$BI$2:$BI$101,0)),"")</f>
        <v/>
      </c>
      <c r="N126">
        <f>IFERROR(INDEX(Scores!$BC$2:$BC$101,MATCH($B126,Scores!$BI$2:$BI$101,0)),"")</f>
        <v/>
      </c>
    </row>
    <row r="127">
      <c r="A127" t="inlineStr">
        <is>
          <t>Top 50</t>
        </is>
      </c>
      <c r="B127" t="n">
        <v>21</v>
      </c>
      <c r="C127">
        <f>IFERROR(INDEX(Scores!$BI$2:$BI$101,MATCH($B127,Scores!$BI$2:$BI$101,0)),"")</f>
        <v/>
      </c>
      <c r="D127">
        <f>IFERROR(INDEX(Scores!$B$2:$B$101,MATCH($B127,Scores!$BI$2:$BI$101,0)),"")</f>
        <v/>
      </c>
      <c r="E127">
        <f>IFERROR(INDEX(Scores!$C$2:$C$101,MATCH($B127,Scores!$BI$2:$BI$101,0)),"")</f>
        <v/>
      </c>
      <c r="F127">
        <f>IFERROR(INDEX(Scores!$D$2:$D$101,MATCH($B127,Scores!$BI$2:$BI$101,0)),"")</f>
        <v/>
      </c>
      <c r="G127">
        <f>IFERROR(INDEX(Scores!$E$2:$E$101,MATCH($B127,Scores!$BI$2:$BI$101,0)),"")</f>
        <v/>
      </c>
      <c r="H127">
        <f>IFERROR(INDEX(Scores!$BF$2:$BF$101,MATCH($B127,Scores!$BI$2:$BI$101,0)),"")</f>
        <v/>
      </c>
      <c r="I127">
        <f>IFERROR(INDEX(Scores!$BH$2:$BH$101,MATCH($B127,Scores!$BI$2:$BI$101,0)),"")</f>
        <v/>
      </c>
      <c r="J127">
        <f>IFERROR(INDEX(Scores!$Q$2:$Q$101,MATCH($B127,Scores!$BI$2:$BI$101,0)),"")</f>
        <v/>
      </c>
      <c r="K127">
        <f>IFERROR(INDEX(Scores!$AC$2:$AC$101,MATCH($B127,Scores!$BI$2:$BI$101,0)),"")</f>
        <v/>
      </c>
      <c r="L127">
        <f>IFERROR(INDEX(Scores!$AK$2:$AK$101,MATCH($B127,Scores!$BI$2:$BI$101,0)),"")</f>
        <v/>
      </c>
      <c r="M127">
        <f>IFERROR(INDEX(Scores!$AS$2:$AS$101,MATCH($B127,Scores!$BI$2:$BI$101,0)),"")</f>
        <v/>
      </c>
      <c r="N127">
        <f>IFERROR(INDEX(Scores!$BC$2:$BC$101,MATCH($B127,Scores!$BI$2:$BI$101,0)),"")</f>
        <v/>
      </c>
    </row>
    <row r="128">
      <c r="A128" t="inlineStr">
        <is>
          <t>Top 50</t>
        </is>
      </c>
      <c r="B128" t="n">
        <v>22</v>
      </c>
      <c r="C128">
        <f>IFERROR(INDEX(Scores!$BI$2:$BI$101,MATCH($B128,Scores!$BI$2:$BI$101,0)),"")</f>
        <v/>
      </c>
      <c r="D128">
        <f>IFERROR(INDEX(Scores!$B$2:$B$101,MATCH($B128,Scores!$BI$2:$BI$101,0)),"")</f>
        <v/>
      </c>
      <c r="E128">
        <f>IFERROR(INDEX(Scores!$C$2:$C$101,MATCH($B128,Scores!$BI$2:$BI$101,0)),"")</f>
        <v/>
      </c>
      <c r="F128">
        <f>IFERROR(INDEX(Scores!$D$2:$D$101,MATCH($B128,Scores!$BI$2:$BI$101,0)),"")</f>
        <v/>
      </c>
      <c r="G128">
        <f>IFERROR(INDEX(Scores!$E$2:$E$101,MATCH($B128,Scores!$BI$2:$BI$101,0)),"")</f>
        <v/>
      </c>
      <c r="H128">
        <f>IFERROR(INDEX(Scores!$BF$2:$BF$101,MATCH($B128,Scores!$BI$2:$BI$101,0)),"")</f>
        <v/>
      </c>
      <c r="I128">
        <f>IFERROR(INDEX(Scores!$BH$2:$BH$101,MATCH($B128,Scores!$BI$2:$BI$101,0)),"")</f>
        <v/>
      </c>
      <c r="J128">
        <f>IFERROR(INDEX(Scores!$Q$2:$Q$101,MATCH($B128,Scores!$BI$2:$BI$101,0)),"")</f>
        <v/>
      </c>
      <c r="K128">
        <f>IFERROR(INDEX(Scores!$AC$2:$AC$101,MATCH($B128,Scores!$BI$2:$BI$101,0)),"")</f>
        <v/>
      </c>
      <c r="L128">
        <f>IFERROR(INDEX(Scores!$AK$2:$AK$101,MATCH($B128,Scores!$BI$2:$BI$101,0)),"")</f>
        <v/>
      </c>
      <c r="M128">
        <f>IFERROR(INDEX(Scores!$AS$2:$AS$101,MATCH($B128,Scores!$BI$2:$BI$101,0)),"")</f>
        <v/>
      </c>
      <c r="N128">
        <f>IFERROR(INDEX(Scores!$BC$2:$BC$101,MATCH($B128,Scores!$BI$2:$BI$101,0)),"")</f>
        <v/>
      </c>
    </row>
    <row r="129">
      <c r="A129" t="inlineStr">
        <is>
          <t>Top 50</t>
        </is>
      </c>
      <c r="B129" t="n">
        <v>23</v>
      </c>
      <c r="C129">
        <f>IFERROR(INDEX(Scores!$BI$2:$BI$101,MATCH($B129,Scores!$BI$2:$BI$101,0)),"")</f>
        <v/>
      </c>
      <c r="D129">
        <f>IFERROR(INDEX(Scores!$B$2:$B$101,MATCH($B129,Scores!$BI$2:$BI$101,0)),"")</f>
        <v/>
      </c>
      <c r="E129">
        <f>IFERROR(INDEX(Scores!$C$2:$C$101,MATCH($B129,Scores!$BI$2:$BI$101,0)),"")</f>
        <v/>
      </c>
      <c r="F129">
        <f>IFERROR(INDEX(Scores!$D$2:$D$101,MATCH($B129,Scores!$BI$2:$BI$101,0)),"")</f>
        <v/>
      </c>
      <c r="G129">
        <f>IFERROR(INDEX(Scores!$E$2:$E$101,MATCH($B129,Scores!$BI$2:$BI$101,0)),"")</f>
        <v/>
      </c>
      <c r="H129">
        <f>IFERROR(INDEX(Scores!$BF$2:$BF$101,MATCH($B129,Scores!$BI$2:$BI$101,0)),"")</f>
        <v/>
      </c>
      <c r="I129">
        <f>IFERROR(INDEX(Scores!$BH$2:$BH$101,MATCH($B129,Scores!$BI$2:$BI$101,0)),"")</f>
        <v/>
      </c>
      <c r="J129">
        <f>IFERROR(INDEX(Scores!$Q$2:$Q$101,MATCH($B129,Scores!$BI$2:$BI$101,0)),"")</f>
        <v/>
      </c>
      <c r="K129">
        <f>IFERROR(INDEX(Scores!$AC$2:$AC$101,MATCH($B129,Scores!$BI$2:$BI$101,0)),"")</f>
        <v/>
      </c>
      <c r="L129">
        <f>IFERROR(INDEX(Scores!$AK$2:$AK$101,MATCH($B129,Scores!$BI$2:$BI$101,0)),"")</f>
        <v/>
      </c>
      <c r="M129">
        <f>IFERROR(INDEX(Scores!$AS$2:$AS$101,MATCH($B129,Scores!$BI$2:$BI$101,0)),"")</f>
        <v/>
      </c>
      <c r="N129">
        <f>IFERROR(INDEX(Scores!$BC$2:$BC$101,MATCH($B129,Scores!$BI$2:$BI$101,0)),"")</f>
        <v/>
      </c>
    </row>
    <row r="130">
      <c r="A130" t="inlineStr">
        <is>
          <t>Top 50</t>
        </is>
      </c>
      <c r="B130" t="n">
        <v>24</v>
      </c>
      <c r="C130">
        <f>IFERROR(INDEX(Scores!$BI$2:$BI$101,MATCH($B130,Scores!$BI$2:$BI$101,0)),"")</f>
        <v/>
      </c>
      <c r="D130">
        <f>IFERROR(INDEX(Scores!$B$2:$B$101,MATCH($B130,Scores!$BI$2:$BI$101,0)),"")</f>
        <v/>
      </c>
      <c r="E130">
        <f>IFERROR(INDEX(Scores!$C$2:$C$101,MATCH($B130,Scores!$BI$2:$BI$101,0)),"")</f>
        <v/>
      </c>
      <c r="F130">
        <f>IFERROR(INDEX(Scores!$D$2:$D$101,MATCH($B130,Scores!$BI$2:$BI$101,0)),"")</f>
        <v/>
      </c>
      <c r="G130">
        <f>IFERROR(INDEX(Scores!$E$2:$E$101,MATCH($B130,Scores!$BI$2:$BI$101,0)),"")</f>
        <v/>
      </c>
      <c r="H130">
        <f>IFERROR(INDEX(Scores!$BF$2:$BF$101,MATCH($B130,Scores!$BI$2:$BI$101,0)),"")</f>
        <v/>
      </c>
      <c r="I130">
        <f>IFERROR(INDEX(Scores!$BH$2:$BH$101,MATCH($B130,Scores!$BI$2:$BI$101,0)),"")</f>
        <v/>
      </c>
      <c r="J130">
        <f>IFERROR(INDEX(Scores!$Q$2:$Q$101,MATCH($B130,Scores!$BI$2:$BI$101,0)),"")</f>
        <v/>
      </c>
      <c r="K130">
        <f>IFERROR(INDEX(Scores!$AC$2:$AC$101,MATCH($B130,Scores!$BI$2:$BI$101,0)),"")</f>
        <v/>
      </c>
      <c r="L130">
        <f>IFERROR(INDEX(Scores!$AK$2:$AK$101,MATCH($B130,Scores!$BI$2:$BI$101,0)),"")</f>
        <v/>
      </c>
      <c r="M130">
        <f>IFERROR(INDEX(Scores!$AS$2:$AS$101,MATCH($B130,Scores!$BI$2:$BI$101,0)),"")</f>
        <v/>
      </c>
      <c r="N130">
        <f>IFERROR(INDEX(Scores!$BC$2:$BC$101,MATCH($B130,Scores!$BI$2:$BI$101,0)),"")</f>
        <v/>
      </c>
    </row>
    <row r="131">
      <c r="A131" t="inlineStr">
        <is>
          <t>Top 50</t>
        </is>
      </c>
      <c r="B131" t="n">
        <v>25</v>
      </c>
      <c r="C131">
        <f>IFERROR(INDEX(Scores!$BI$2:$BI$101,MATCH($B131,Scores!$BI$2:$BI$101,0)),"")</f>
        <v/>
      </c>
      <c r="D131">
        <f>IFERROR(INDEX(Scores!$B$2:$B$101,MATCH($B131,Scores!$BI$2:$BI$101,0)),"")</f>
        <v/>
      </c>
      <c r="E131">
        <f>IFERROR(INDEX(Scores!$C$2:$C$101,MATCH($B131,Scores!$BI$2:$BI$101,0)),"")</f>
        <v/>
      </c>
      <c r="F131">
        <f>IFERROR(INDEX(Scores!$D$2:$D$101,MATCH($B131,Scores!$BI$2:$BI$101,0)),"")</f>
        <v/>
      </c>
      <c r="G131">
        <f>IFERROR(INDEX(Scores!$E$2:$E$101,MATCH($B131,Scores!$BI$2:$BI$101,0)),"")</f>
        <v/>
      </c>
      <c r="H131">
        <f>IFERROR(INDEX(Scores!$BF$2:$BF$101,MATCH($B131,Scores!$BI$2:$BI$101,0)),"")</f>
        <v/>
      </c>
      <c r="I131">
        <f>IFERROR(INDEX(Scores!$BH$2:$BH$101,MATCH($B131,Scores!$BI$2:$BI$101,0)),"")</f>
        <v/>
      </c>
      <c r="J131">
        <f>IFERROR(INDEX(Scores!$Q$2:$Q$101,MATCH($B131,Scores!$BI$2:$BI$101,0)),"")</f>
        <v/>
      </c>
      <c r="K131">
        <f>IFERROR(INDEX(Scores!$AC$2:$AC$101,MATCH($B131,Scores!$BI$2:$BI$101,0)),"")</f>
        <v/>
      </c>
      <c r="L131">
        <f>IFERROR(INDEX(Scores!$AK$2:$AK$101,MATCH($B131,Scores!$BI$2:$BI$101,0)),"")</f>
        <v/>
      </c>
      <c r="M131">
        <f>IFERROR(INDEX(Scores!$AS$2:$AS$101,MATCH($B131,Scores!$BI$2:$BI$101,0)),"")</f>
        <v/>
      </c>
      <c r="N131">
        <f>IFERROR(INDEX(Scores!$BC$2:$BC$101,MATCH($B131,Scores!$BI$2:$BI$101,0)),"")</f>
        <v/>
      </c>
    </row>
    <row r="132">
      <c r="A132" t="inlineStr">
        <is>
          <t>Top 50</t>
        </is>
      </c>
      <c r="B132" t="n">
        <v>26</v>
      </c>
      <c r="C132">
        <f>IFERROR(INDEX(Scores!$BI$2:$BI$101,MATCH($B132,Scores!$BI$2:$BI$101,0)),"")</f>
        <v/>
      </c>
      <c r="D132">
        <f>IFERROR(INDEX(Scores!$B$2:$B$101,MATCH($B132,Scores!$BI$2:$BI$101,0)),"")</f>
        <v/>
      </c>
      <c r="E132">
        <f>IFERROR(INDEX(Scores!$C$2:$C$101,MATCH($B132,Scores!$BI$2:$BI$101,0)),"")</f>
        <v/>
      </c>
      <c r="F132">
        <f>IFERROR(INDEX(Scores!$D$2:$D$101,MATCH($B132,Scores!$BI$2:$BI$101,0)),"")</f>
        <v/>
      </c>
      <c r="G132">
        <f>IFERROR(INDEX(Scores!$E$2:$E$101,MATCH($B132,Scores!$BI$2:$BI$101,0)),"")</f>
        <v/>
      </c>
      <c r="H132">
        <f>IFERROR(INDEX(Scores!$BF$2:$BF$101,MATCH($B132,Scores!$BI$2:$BI$101,0)),"")</f>
        <v/>
      </c>
      <c r="I132">
        <f>IFERROR(INDEX(Scores!$BH$2:$BH$101,MATCH($B132,Scores!$BI$2:$BI$101,0)),"")</f>
        <v/>
      </c>
      <c r="J132">
        <f>IFERROR(INDEX(Scores!$Q$2:$Q$101,MATCH($B132,Scores!$BI$2:$BI$101,0)),"")</f>
        <v/>
      </c>
      <c r="K132">
        <f>IFERROR(INDEX(Scores!$AC$2:$AC$101,MATCH($B132,Scores!$BI$2:$BI$101,0)),"")</f>
        <v/>
      </c>
      <c r="L132">
        <f>IFERROR(INDEX(Scores!$AK$2:$AK$101,MATCH($B132,Scores!$BI$2:$BI$101,0)),"")</f>
        <v/>
      </c>
      <c r="M132">
        <f>IFERROR(INDEX(Scores!$AS$2:$AS$101,MATCH($B132,Scores!$BI$2:$BI$101,0)),"")</f>
        <v/>
      </c>
      <c r="N132">
        <f>IFERROR(INDEX(Scores!$BC$2:$BC$101,MATCH($B132,Scores!$BI$2:$BI$101,0)),"")</f>
        <v/>
      </c>
    </row>
    <row r="133">
      <c r="A133" t="inlineStr">
        <is>
          <t>Top 50</t>
        </is>
      </c>
      <c r="B133" t="n">
        <v>27</v>
      </c>
      <c r="C133">
        <f>IFERROR(INDEX(Scores!$BI$2:$BI$101,MATCH($B133,Scores!$BI$2:$BI$101,0)),"")</f>
        <v/>
      </c>
      <c r="D133">
        <f>IFERROR(INDEX(Scores!$B$2:$B$101,MATCH($B133,Scores!$BI$2:$BI$101,0)),"")</f>
        <v/>
      </c>
      <c r="E133">
        <f>IFERROR(INDEX(Scores!$C$2:$C$101,MATCH($B133,Scores!$BI$2:$BI$101,0)),"")</f>
        <v/>
      </c>
      <c r="F133">
        <f>IFERROR(INDEX(Scores!$D$2:$D$101,MATCH($B133,Scores!$BI$2:$BI$101,0)),"")</f>
        <v/>
      </c>
      <c r="G133">
        <f>IFERROR(INDEX(Scores!$E$2:$E$101,MATCH($B133,Scores!$BI$2:$BI$101,0)),"")</f>
        <v/>
      </c>
      <c r="H133">
        <f>IFERROR(INDEX(Scores!$BF$2:$BF$101,MATCH($B133,Scores!$BI$2:$BI$101,0)),"")</f>
        <v/>
      </c>
      <c r="I133">
        <f>IFERROR(INDEX(Scores!$BH$2:$BH$101,MATCH($B133,Scores!$BI$2:$BI$101,0)),"")</f>
        <v/>
      </c>
      <c r="J133">
        <f>IFERROR(INDEX(Scores!$Q$2:$Q$101,MATCH($B133,Scores!$BI$2:$BI$101,0)),"")</f>
        <v/>
      </c>
      <c r="K133">
        <f>IFERROR(INDEX(Scores!$AC$2:$AC$101,MATCH($B133,Scores!$BI$2:$BI$101,0)),"")</f>
        <v/>
      </c>
      <c r="L133">
        <f>IFERROR(INDEX(Scores!$AK$2:$AK$101,MATCH($B133,Scores!$BI$2:$BI$101,0)),"")</f>
        <v/>
      </c>
      <c r="M133">
        <f>IFERROR(INDEX(Scores!$AS$2:$AS$101,MATCH($B133,Scores!$BI$2:$BI$101,0)),"")</f>
        <v/>
      </c>
      <c r="N133">
        <f>IFERROR(INDEX(Scores!$BC$2:$BC$101,MATCH($B133,Scores!$BI$2:$BI$101,0)),"")</f>
        <v/>
      </c>
    </row>
    <row r="134">
      <c r="A134" t="inlineStr">
        <is>
          <t>Top 50</t>
        </is>
      </c>
      <c r="B134" t="n">
        <v>28</v>
      </c>
      <c r="C134">
        <f>IFERROR(INDEX(Scores!$BI$2:$BI$101,MATCH($B134,Scores!$BI$2:$BI$101,0)),"")</f>
        <v/>
      </c>
      <c r="D134">
        <f>IFERROR(INDEX(Scores!$B$2:$B$101,MATCH($B134,Scores!$BI$2:$BI$101,0)),"")</f>
        <v/>
      </c>
      <c r="E134">
        <f>IFERROR(INDEX(Scores!$C$2:$C$101,MATCH($B134,Scores!$BI$2:$BI$101,0)),"")</f>
        <v/>
      </c>
      <c r="F134">
        <f>IFERROR(INDEX(Scores!$D$2:$D$101,MATCH($B134,Scores!$BI$2:$BI$101,0)),"")</f>
        <v/>
      </c>
      <c r="G134">
        <f>IFERROR(INDEX(Scores!$E$2:$E$101,MATCH($B134,Scores!$BI$2:$BI$101,0)),"")</f>
        <v/>
      </c>
      <c r="H134">
        <f>IFERROR(INDEX(Scores!$BF$2:$BF$101,MATCH($B134,Scores!$BI$2:$BI$101,0)),"")</f>
        <v/>
      </c>
      <c r="I134">
        <f>IFERROR(INDEX(Scores!$BH$2:$BH$101,MATCH($B134,Scores!$BI$2:$BI$101,0)),"")</f>
        <v/>
      </c>
      <c r="J134">
        <f>IFERROR(INDEX(Scores!$Q$2:$Q$101,MATCH($B134,Scores!$BI$2:$BI$101,0)),"")</f>
        <v/>
      </c>
      <c r="K134">
        <f>IFERROR(INDEX(Scores!$AC$2:$AC$101,MATCH($B134,Scores!$BI$2:$BI$101,0)),"")</f>
        <v/>
      </c>
      <c r="L134">
        <f>IFERROR(INDEX(Scores!$AK$2:$AK$101,MATCH($B134,Scores!$BI$2:$BI$101,0)),"")</f>
        <v/>
      </c>
      <c r="M134">
        <f>IFERROR(INDEX(Scores!$AS$2:$AS$101,MATCH($B134,Scores!$BI$2:$BI$101,0)),"")</f>
        <v/>
      </c>
      <c r="N134">
        <f>IFERROR(INDEX(Scores!$BC$2:$BC$101,MATCH($B134,Scores!$BI$2:$BI$101,0)),"")</f>
        <v/>
      </c>
    </row>
    <row r="135">
      <c r="A135" t="inlineStr">
        <is>
          <t>Top 50</t>
        </is>
      </c>
      <c r="B135" t="n">
        <v>29</v>
      </c>
      <c r="C135">
        <f>IFERROR(INDEX(Scores!$BI$2:$BI$101,MATCH($B135,Scores!$BI$2:$BI$101,0)),"")</f>
        <v/>
      </c>
      <c r="D135">
        <f>IFERROR(INDEX(Scores!$B$2:$B$101,MATCH($B135,Scores!$BI$2:$BI$101,0)),"")</f>
        <v/>
      </c>
      <c r="E135">
        <f>IFERROR(INDEX(Scores!$C$2:$C$101,MATCH($B135,Scores!$BI$2:$BI$101,0)),"")</f>
        <v/>
      </c>
      <c r="F135">
        <f>IFERROR(INDEX(Scores!$D$2:$D$101,MATCH($B135,Scores!$BI$2:$BI$101,0)),"")</f>
        <v/>
      </c>
      <c r="G135">
        <f>IFERROR(INDEX(Scores!$E$2:$E$101,MATCH($B135,Scores!$BI$2:$BI$101,0)),"")</f>
        <v/>
      </c>
      <c r="H135">
        <f>IFERROR(INDEX(Scores!$BF$2:$BF$101,MATCH($B135,Scores!$BI$2:$BI$101,0)),"")</f>
        <v/>
      </c>
      <c r="I135">
        <f>IFERROR(INDEX(Scores!$BH$2:$BH$101,MATCH($B135,Scores!$BI$2:$BI$101,0)),"")</f>
        <v/>
      </c>
      <c r="J135">
        <f>IFERROR(INDEX(Scores!$Q$2:$Q$101,MATCH($B135,Scores!$BI$2:$BI$101,0)),"")</f>
        <v/>
      </c>
      <c r="K135">
        <f>IFERROR(INDEX(Scores!$AC$2:$AC$101,MATCH($B135,Scores!$BI$2:$BI$101,0)),"")</f>
        <v/>
      </c>
      <c r="L135">
        <f>IFERROR(INDEX(Scores!$AK$2:$AK$101,MATCH($B135,Scores!$BI$2:$BI$101,0)),"")</f>
        <v/>
      </c>
      <c r="M135">
        <f>IFERROR(INDEX(Scores!$AS$2:$AS$101,MATCH($B135,Scores!$BI$2:$BI$101,0)),"")</f>
        <v/>
      </c>
      <c r="N135">
        <f>IFERROR(INDEX(Scores!$BC$2:$BC$101,MATCH($B135,Scores!$BI$2:$BI$101,0)),"")</f>
        <v/>
      </c>
    </row>
    <row r="136">
      <c r="A136" t="inlineStr">
        <is>
          <t>Top 50</t>
        </is>
      </c>
      <c r="B136" t="n">
        <v>30</v>
      </c>
      <c r="C136">
        <f>IFERROR(INDEX(Scores!$BI$2:$BI$101,MATCH($B136,Scores!$BI$2:$BI$101,0)),"")</f>
        <v/>
      </c>
      <c r="D136">
        <f>IFERROR(INDEX(Scores!$B$2:$B$101,MATCH($B136,Scores!$BI$2:$BI$101,0)),"")</f>
        <v/>
      </c>
      <c r="E136">
        <f>IFERROR(INDEX(Scores!$C$2:$C$101,MATCH($B136,Scores!$BI$2:$BI$101,0)),"")</f>
        <v/>
      </c>
      <c r="F136">
        <f>IFERROR(INDEX(Scores!$D$2:$D$101,MATCH($B136,Scores!$BI$2:$BI$101,0)),"")</f>
        <v/>
      </c>
      <c r="G136">
        <f>IFERROR(INDEX(Scores!$E$2:$E$101,MATCH($B136,Scores!$BI$2:$BI$101,0)),"")</f>
        <v/>
      </c>
      <c r="H136">
        <f>IFERROR(INDEX(Scores!$BF$2:$BF$101,MATCH($B136,Scores!$BI$2:$BI$101,0)),"")</f>
        <v/>
      </c>
      <c r="I136">
        <f>IFERROR(INDEX(Scores!$BH$2:$BH$101,MATCH($B136,Scores!$BI$2:$BI$101,0)),"")</f>
        <v/>
      </c>
      <c r="J136">
        <f>IFERROR(INDEX(Scores!$Q$2:$Q$101,MATCH($B136,Scores!$BI$2:$BI$101,0)),"")</f>
        <v/>
      </c>
      <c r="K136">
        <f>IFERROR(INDEX(Scores!$AC$2:$AC$101,MATCH($B136,Scores!$BI$2:$BI$101,0)),"")</f>
        <v/>
      </c>
      <c r="L136">
        <f>IFERROR(INDEX(Scores!$AK$2:$AK$101,MATCH($B136,Scores!$BI$2:$BI$101,0)),"")</f>
        <v/>
      </c>
      <c r="M136">
        <f>IFERROR(INDEX(Scores!$AS$2:$AS$101,MATCH($B136,Scores!$BI$2:$BI$101,0)),"")</f>
        <v/>
      </c>
      <c r="N136">
        <f>IFERROR(INDEX(Scores!$BC$2:$BC$101,MATCH($B136,Scores!$BI$2:$BI$101,0)),"")</f>
        <v/>
      </c>
    </row>
    <row r="137">
      <c r="A137" t="inlineStr">
        <is>
          <t>Top 50</t>
        </is>
      </c>
      <c r="B137" t="n">
        <v>31</v>
      </c>
      <c r="C137">
        <f>IFERROR(INDEX(Scores!$BI$2:$BI$101,MATCH($B137,Scores!$BI$2:$BI$101,0)),"")</f>
        <v/>
      </c>
      <c r="D137">
        <f>IFERROR(INDEX(Scores!$B$2:$B$101,MATCH($B137,Scores!$BI$2:$BI$101,0)),"")</f>
        <v/>
      </c>
      <c r="E137">
        <f>IFERROR(INDEX(Scores!$C$2:$C$101,MATCH($B137,Scores!$BI$2:$BI$101,0)),"")</f>
        <v/>
      </c>
      <c r="F137">
        <f>IFERROR(INDEX(Scores!$D$2:$D$101,MATCH($B137,Scores!$BI$2:$BI$101,0)),"")</f>
        <v/>
      </c>
      <c r="G137">
        <f>IFERROR(INDEX(Scores!$E$2:$E$101,MATCH($B137,Scores!$BI$2:$BI$101,0)),"")</f>
        <v/>
      </c>
      <c r="H137">
        <f>IFERROR(INDEX(Scores!$BF$2:$BF$101,MATCH($B137,Scores!$BI$2:$BI$101,0)),"")</f>
        <v/>
      </c>
      <c r="I137">
        <f>IFERROR(INDEX(Scores!$BH$2:$BH$101,MATCH($B137,Scores!$BI$2:$BI$101,0)),"")</f>
        <v/>
      </c>
      <c r="J137">
        <f>IFERROR(INDEX(Scores!$Q$2:$Q$101,MATCH($B137,Scores!$BI$2:$BI$101,0)),"")</f>
        <v/>
      </c>
      <c r="K137">
        <f>IFERROR(INDEX(Scores!$AC$2:$AC$101,MATCH($B137,Scores!$BI$2:$BI$101,0)),"")</f>
        <v/>
      </c>
      <c r="L137">
        <f>IFERROR(INDEX(Scores!$AK$2:$AK$101,MATCH($B137,Scores!$BI$2:$BI$101,0)),"")</f>
        <v/>
      </c>
      <c r="M137">
        <f>IFERROR(INDEX(Scores!$AS$2:$AS$101,MATCH($B137,Scores!$BI$2:$BI$101,0)),"")</f>
        <v/>
      </c>
      <c r="N137">
        <f>IFERROR(INDEX(Scores!$BC$2:$BC$101,MATCH($B137,Scores!$BI$2:$BI$101,0)),"")</f>
        <v/>
      </c>
    </row>
    <row r="138">
      <c r="A138" t="inlineStr">
        <is>
          <t>Top 50</t>
        </is>
      </c>
      <c r="B138" t="n">
        <v>32</v>
      </c>
      <c r="C138">
        <f>IFERROR(INDEX(Scores!$BI$2:$BI$101,MATCH($B138,Scores!$BI$2:$BI$101,0)),"")</f>
        <v/>
      </c>
      <c r="D138">
        <f>IFERROR(INDEX(Scores!$B$2:$B$101,MATCH($B138,Scores!$BI$2:$BI$101,0)),"")</f>
        <v/>
      </c>
      <c r="E138">
        <f>IFERROR(INDEX(Scores!$C$2:$C$101,MATCH($B138,Scores!$BI$2:$BI$101,0)),"")</f>
        <v/>
      </c>
      <c r="F138">
        <f>IFERROR(INDEX(Scores!$D$2:$D$101,MATCH($B138,Scores!$BI$2:$BI$101,0)),"")</f>
        <v/>
      </c>
      <c r="G138">
        <f>IFERROR(INDEX(Scores!$E$2:$E$101,MATCH($B138,Scores!$BI$2:$BI$101,0)),"")</f>
        <v/>
      </c>
      <c r="H138">
        <f>IFERROR(INDEX(Scores!$BF$2:$BF$101,MATCH($B138,Scores!$BI$2:$BI$101,0)),"")</f>
        <v/>
      </c>
      <c r="I138">
        <f>IFERROR(INDEX(Scores!$BH$2:$BH$101,MATCH($B138,Scores!$BI$2:$BI$101,0)),"")</f>
        <v/>
      </c>
      <c r="J138">
        <f>IFERROR(INDEX(Scores!$Q$2:$Q$101,MATCH($B138,Scores!$BI$2:$BI$101,0)),"")</f>
        <v/>
      </c>
      <c r="K138">
        <f>IFERROR(INDEX(Scores!$AC$2:$AC$101,MATCH($B138,Scores!$BI$2:$BI$101,0)),"")</f>
        <v/>
      </c>
      <c r="L138">
        <f>IFERROR(INDEX(Scores!$AK$2:$AK$101,MATCH($B138,Scores!$BI$2:$BI$101,0)),"")</f>
        <v/>
      </c>
      <c r="M138">
        <f>IFERROR(INDEX(Scores!$AS$2:$AS$101,MATCH($B138,Scores!$BI$2:$BI$101,0)),"")</f>
        <v/>
      </c>
      <c r="N138">
        <f>IFERROR(INDEX(Scores!$BC$2:$BC$101,MATCH($B138,Scores!$BI$2:$BI$101,0)),"")</f>
        <v/>
      </c>
    </row>
    <row r="139">
      <c r="A139" t="inlineStr">
        <is>
          <t>Top 50</t>
        </is>
      </c>
      <c r="B139" t="n">
        <v>33</v>
      </c>
      <c r="C139">
        <f>IFERROR(INDEX(Scores!$BI$2:$BI$101,MATCH($B139,Scores!$BI$2:$BI$101,0)),"")</f>
        <v/>
      </c>
      <c r="D139">
        <f>IFERROR(INDEX(Scores!$B$2:$B$101,MATCH($B139,Scores!$BI$2:$BI$101,0)),"")</f>
        <v/>
      </c>
      <c r="E139">
        <f>IFERROR(INDEX(Scores!$C$2:$C$101,MATCH($B139,Scores!$BI$2:$BI$101,0)),"")</f>
        <v/>
      </c>
      <c r="F139">
        <f>IFERROR(INDEX(Scores!$D$2:$D$101,MATCH($B139,Scores!$BI$2:$BI$101,0)),"")</f>
        <v/>
      </c>
      <c r="G139">
        <f>IFERROR(INDEX(Scores!$E$2:$E$101,MATCH($B139,Scores!$BI$2:$BI$101,0)),"")</f>
        <v/>
      </c>
      <c r="H139">
        <f>IFERROR(INDEX(Scores!$BF$2:$BF$101,MATCH($B139,Scores!$BI$2:$BI$101,0)),"")</f>
        <v/>
      </c>
      <c r="I139">
        <f>IFERROR(INDEX(Scores!$BH$2:$BH$101,MATCH($B139,Scores!$BI$2:$BI$101,0)),"")</f>
        <v/>
      </c>
      <c r="J139">
        <f>IFERROR(INDEX(Scores!$Q$2:$Q$101,MATCH($B139,Scores!$BI$2:$BI$101,0)),"")</f>
        <v/>
      </c>
      <c r="K139">
        <f>IFERROR(INDEX(Scores!$AC$2:$AC$101,MATCH($B139,Scores!$BI$2:$BI$101,0)),"")</f>
        <v/>
      </c>
      <c r="L139">
        <f>IFERROR(INDEX(Scores!$AK$2:$AK$101,MATCH($B139,Scores!$BI$2:$BI$101,0)),"")</f>
        <v/>
      </c>
      <c r="M139">
        <f>IFERROR(INDEX(Scores!$AS$2:$AS$101,MATCH($B139,Scores!$BI$2:$BI$101,0)),"")</f>
        <v/>
      </c>
      <c r="N139">
        <f>IFERROR(INDEX(Scores!$BC$2:$BC$101,MATCH($B139,Scores!$BI$2:$BI$101,0)),"")</f>
        <v/>
      </c>
    </row>
    <row r="140">
      <c r="A140" t="inlineStr">
        <is>
          <t>Top 50</t>
        </is>
      </c>
      <c r="B140" t="n">
        <v>34</v>
      </c>
      <c r="C140">
        <f>IFERROR(INDEX(Scores!$BI$2:$BI$101,MATCH($B140,Scores!$BI$2:$BI$101,0)),"")</f>
        <v/>
      </c>
      <c r="D140">
        <f>IFERROR(INDEX(Scores!$B$2:$B$101,MATCH($B140,Scores!$BI$2:$BI$101,0)),"")</f>
        <v/>
      </c>
      <c r="E140">
        <f>IFERROR(INDEX(Scores!$C$2:$C$101,MATCH($B140,Scores!$BI$2:$BI$101,0)),"")</f>
        <v/>
      </c>
      <c r="F140">
        <f>IFERROR(INDEX(Scores!$D$2:$D$101,MATCH($B140,Scores!$BI$2:$BI$101,0)),"")</f>
        <v/>
      </c>
      <c r="G140">
        <f>IFERROR(INDEX(Scores!$E$2:$E$101,MATCH($B140,Scores!$BI$2:$BI$101,0)),"")</f>
        <v/>
      </c>
      <c r="H140">
        <f>IFERROR(INDEX(Scores!$BF$2:$BF$101,MATCH($B140,Scores!$BI$2:$BI$101,0)),"")</f>
        <v/>
      </c>
      <c r="I140">
        <f>IFERROR(INDEX(Scores!$BH$2:$BH$101,MATCH($B140,Scores!$BI$2:$BI$101,0)),"")</f>
        <v/>
      </c>
      <c r="J140">
        <f>IFERROR(INDEX(Scores!$Q$2:$Q$101,MATCH($B140,Scores!$BI$2:$BI$101,0)),"")</f>
        <v/>
      </c>
      <c r="K140">
        <f>IFERROR(INDEX(Scores!$AC$2:$AC$101,MATCH($B140,Scores!$BI$2:$BI$101,0)),"")</f>
        <v/>
      </c>
      <c r="L140">
        <f>IFERROR(INDEX(Scores!$AK$2:$AK$101,MATCH($B140,Scores!$BI$2:$BI$101,0)),"")</f>
        <v/>
      </c>
      <c r="M140">
        <f>IFERROR(INDEX(Scores!$AS$2:$AS$101,MATCH($B140,Scores!$BI$2:$BI$101,0)),"")</f>
        <v/>
      </c>
      <c r="N140">
        <f>IFERROR(INDEX(Scores!$BC$2:$BC$101,MATCH($B140,Scores!$BI$2:$BI$101,0)),"")</f>
        <v/>
      </c>
    </row>
    <row r="141">
      <c r="A141" t="inlineStr">
        <is>
          <t>Top 50</t>
        </is>
      </c>
      <c r="B141" t="n">
        <v>35</v>
      </c>
      <c r="C141">
        <f>IFERROR(INDEX(Scores!$BI$2:$BI$101,MATCH($B141,Scores!$BI$2:$BI$101,0)),"")</f>
        <v/>
      </c>
      <c r="D141">
        <f>IFERROR(INDEX(Scores!$B$2:$B$101,MATCH($B141,Scores!$BI$2:$BI$101,0)),"")</f>
        <v/>
      </c>
      <c r="E141">
        <f>IFERROR(INDEX(Scores!$C$2:$C$101,MATCH($B141,Scores!$BI$2:$BI$101,0)),"")</f>
        <v/>
      </c>
      <c r="F141">
        <f>IFERROR(INDEX(Scores!$D$2:$D$101,MATCH($B141,Scores!$BI$2:$BI$101,0)),"")</f>
        <v/>
      </c>
      <c r="G141">
        <f>IFERROR(INDEX(Scores!$E$2:$E$101,MATCH($B141,Scores!$BI$2:$BI$101,0)),"")</f>
        <v/>
      </c>
      <c r="H141">
        <f>IFERROR(INDEX(Scores!$BF$2:$BF$101,MATCH($B141,Scores!$BI$2:$BI$101,0)),"")</f>
        <v/>
      </c>
      <c r="I141">
        <f>IFERROR(INDEX(Scores!$BH$2:$BH$101,MATCH($B141,Scores!$BI$2:$BI$101,0)),"")</f>
        <v/>
      </c>
      <c r="J141">
        <f>IFERROR(INDEX(Scores!$Q$2:$Q$101,MATCH($B141,Scores!$BI$2:$BI$101,0)),"")</f>
        <v/>
      </c>
      <c r="K141">
        <f>IFERROR(INDEX(Scores!$AC$2:$AC$101,MATCH($B141,Scores!$BI$2:$BI$101,0)),"")</f>
        <v/>
      </c>
      <c r="L141">
        <f>IFERROR(INDEX(Scores!$AK$2:$AK$101,MATCH($B141,Scores!$BI$2:$BI$101,0)),"")</f>
        <v/>
      </c>
      <c r="M141">
        <f>IFERROR(INDEX(Scores!$AS$2:$AS$101,MATCH($B141,Scores!$BI$2:$BI$101,0)),"")</f>
        <v/>
      </c>
      <c r="N141">
        <f>IFERROR(INDEX(Scores!$BC$2:$BC$101,MATCH($B141,Scores!$BI$2:$BI$101,0)),"")</f>
        <v/>
      </c>
    </row>
    <row r="142">
      <c r="A142" t="inlineStr">
        <is>
          <t>Top 50</t>
        </is>
      </c>
      <c r="B142" t="n">
        <v>36</v>
      </c>
      <c r="C142">
        <f>IFERROR(INDEX(Scores!$BI$2:$BI$101,MATCH($B142,Scores!$BI$2:$BI$101,0)),"")</f>
        <v/>
      </c>
      <c r="D142">
        <f>IFERROR(INDEX(Scores!$B$2:$B$101,MATCH($B142,Scores!$BI$2:$BI$101,0)),"")</f>
        <v/>
      </c>
      <c r="E142">
        <f>IFERROR(INDEX(Scores!$C$2:$C$101,MATCH($B142,Scores!$BI$2:$BI$101,0)),"")</f>
        <v/>
      </c>
      <c r="F142">
        <f>IFERROR(INDEX(Scores!$D$2:$D$101,MATCH($B142,Scores!$BI$2:$BI$101,0)),"")</f>
        <v/>
      </c>
      <c r="G142">
        <f>IFERROR(INDEX(Scores!$E$2:$E$101,MATCH($B142,Scores!$BI$2:$BI$101,0)),"")</f>
        <v/>
      </c>
      <c r="H142">
        <f>IFERROR(INDEX(Scores!$BF$2:$BF$101,MATCH($B142,Scores!$BI$2:$BI$101,0)),"")</f>
        <v/>
      </c>
      <c r="I142">
        <f>IFERROR(INDEX(Scores!$BH$2:$BH$101,MATCH($B142,Scores!$BI$2:$BI$101,0)),"")</f>
        <v/>
      </c>
      <c r="J142">
        <f>IFERROR(INDEX(Scores!$Q$2:$Q$101,MATCH($B142,Scores!$BI$2:$BI$101,0)),"")</f>
        <v/>
      </c>
      <c r="K142">
        <f>IFERROR(INDEX(Scores!$AC$2:$AC$101,MATCH($B142,Scores!$BI$2:$BI$101,0)),"")</f>
        <v/>
      </c>
      <c r="L142">
        <f>IFERROR(INDEX(Scores!$AK$2:$AK$101,MATCH($B142,Scores!$BI$2:$BI$101,0)),"")</f>
        <v/>
      </c>
      <c r="M142">
        <f>IFERROR(INDEX(Scores!$AS$2:$AS$101,MATCH($B142,Scores!$BI$2:$BI$101,0)),"")</f>
        <v/>
      </c>
      <c r="N142">
        <f>IFERROR(INDEX(Scores!$BC$2:$BC$101,MATCH($B142,Scores!$BI$2:$BI$101,0)),"")</f>
        <v/>
      </c>
    </row>
    <row r="143">
      <c r="A143" t="inlineStr">
        <is>
          <t>Top 50</t>
        </is>
      </c>
      <c r="B143" t="n">
        <v>37</v>
      </c>
      <c r="C143">
        <f>IFERROR(INDEX(Scores!$BI$2:$BI$101,MATCH($B143,Scores!$BI$2:$BI$101,0)),"")</f>
        <v/>
      </c>
      <c r="D143">
        <f>IFERROR(INDEX(Scores!$B$2:$B$101,MATCH($B143,Scores!$BI$2:$BI$101,0)),"")</f>
        <v/>
      </c>
      <c r="E143">
        <f>IFERROR(INDEX(Scores!$C$2:$C$101,MATCH($B143,Scores!$BI$2:$BI$101,0)),"")</f>
        <v/>
      </c>
      <c r="F143">
        <f>IFERROR(INDEX(Scores!$D$2:$D$101,MATCH($B143,Scores!$BI$2:$BI$101,0)),"")</f>
        <v/>
      </c>
      <c r="G143">
        <f>IFERROR(INDEX(Scores!$E$2:$E$101,MATCH($B143,Scores!$BI$2:$BI$101,0)),"")</f>
        <v/>
      </c>
      <c r="H143">
        <f>IFERROR(INDEX(Scores!$BF$2:$BF$101,MATCH($B143,Scores!$BI$2:$BI$101,0)),"")</f>
        <v/>
      </c>
      <c r="I143">
        <f>IFERROR(INDEX(Scores!$BH$2:$BH$101,MATCH($B143,Scores!$BI$2:$BI$101,0)),"")</f>
        <v/>
      </c>
      <c r="J143">
        <f>IFERROR(INDEX(Scores!$Q$2:$Q$101,MATCH($B143,Scores!$BI$2:$BI$101,0)),"")</f>
        <v/>
      </c>
      <c r="K143">
        <f>IFERROR(INDEX(Scores!$AC$2:$AC$101,MATCH($B143,Scores!$BI$2:$BI$101,0)),"")</f>
        <v/>
      </c>
      <c r="L143">
        <f>IFERROR(INDEX(Scores!$AK$2:$AK$101,MATCH($B143,Scores!$BI$2:$BI$101,0)),"")</f>
        <v/>
      </c>
      <c r="M143">
        <f>IFERROR(INDEX(Scores!$AS$2:$AS$101,MATCH($B143,Scores!$BI$2:$BI$101,0)),"")</f>
        <v/>
      </c>
      <c r="N143">
        <f>IFERROR(INDEX(Scores!$BC$2:$BC$101,MATCH($B143,Scores!$BI$2:$BI$101,0)),"")</f>
        <v/>
      </c>
    </row>
    <row r="144">
      <c r="A144" t="inlineStr">
        <is>
          <t>Top 50</t>
        </is>
      </c>
      <c r="B144" t="n">
        <v>38</v>
      </c>
      <c r="C144">
        <f>IFERROR(INDEX(Scores!$BI$2:$BI$101,MATCH($B144,Scores!$BI$2:$BI$101,0)),"")</f>
        <v/>
      </c>
      <c r="D144">
        <f>IFERROR(INDEX(Scores!$B$2:$B$101,MATCH($B144,Scores!$BI$2:$BI$101,0)),"")</f>
        <v/>
      </c>
      <c r="E144">
        <f>IFERROR(INDEX(Scores!$C$2:$C$101,MATCH($B144,Scores!$BI$2:$BI$101,0)),"")</f>
        <v/>
      </c>
      <c r="F144">
        <f>IFERROR(INDEX(Scores!$D$2:$D$101,MATCH($B144,Scores!$BI$2:$BI$101,0)),"")</f>
        <v/>
      </c>
      <c r="G144">
        <f>IFERROR(INDEX(Scores!$E$2:$E$101,MATCH($B144,Scores!$BI$2:$BI$101,0)),"")</f>
        <v/>
      </c>
      <c r="H144">
        <f>IFERROR(INDEX(Scores!$BF$2:$BF$101,MATCH($B144,Scores!$BI$2:$BI$101,0)),"")</f>
        <v/>
      </c>
      <c r="I144">
        <f>IFERROR(INDEX(Scores!$BH$2:$BH$101,MATCH($B144,Scores!$BI$2:$BI$101,0)),"")</f>
        <v/>
      </c>
      <c r="J144">
        <f>IFERROR(INDEX(Scores!$Q$2:$Q$101,MATCH($B144,Scores!$BI$2:$BI$101,0)),"")</f>
        <v/>
      </c>
      <c r="K144">
        <f>IFERROR(INDEX(Scores!$AC$2:$AC$101,MATCH($B144,Scores!$BI$2:$BI$101,0)),"")</f>
        <v/>
      </c>
      <c r="L144">
        <f>IFERROR(INDEX(Scores!$AK$2:$AK$101,MATCH($B144,Scores!$BI$2:$BI$101,0)),"")</f>
        <v/>
      </c>
      <c r="M144">
        <f>IFERROR(INDEX(Scores!$AS$2:$AS$101,MATCH($B144,Scores!$BI$2:$BI$101,0)),"")</f>
        <v/>
      </c>
      <c r="N144">
        <f>IFERROR(INDEX(Scores!$BC$2:$BC$101,MATCH($B144,Scores!$BI$2:$BI$101,0)),"")</f>
        <v/>
      </c>
    </row>
    <row r="145">
      <c r="A145" t="inlineStr">
        <is>
          <t>Top 50</t>
        </is>
      </c>
      <c r="B145" t="n">
        <v>39</v>
      </c>
      <c r="C145">
        <f>IFERROR(INDEX(Scores!$BI$2:$BI$101,MATCH($B145,Scores!$BI$2:$BI$101,0)),"")</f>
        <v/>
      </c>
      <c r="D145">
        <f>IFERROR(INDEX(Scores!$B$2:$B$101,MATCH($B145,Scores!$BI$2:$BI$101,0)),"")</f>
        <v/>
      </c>
      <c r="E145">
        <f>IFERROR(INDEX(Scores!$C$2:$C$101,MATCH($B145,Scores!$BI$2:$BI$101,0)),"")</f>
        <v/>
      </c>
      <c r="F145">
        <f>IFERROR(INDEX(Scores!$D$2:$D$101,MATCH($B145,Scores!$BI$2:$BI$101,0)),"")</f>
        <v/>
      </c>
      <c r="G145">
        <f>IFERROR(INDEX(Scores!$E$2:$E$101,MATCH($B145,Scores!$BI$2:$BI$101,0)),"")</f>
        <v/>
      </c>
      <c r="H145">
        <f>IFERROR(INDEX(Scores!$BF$2:$BF$101,MATCH($B145,Scores!$BI$2:$BI$101,0)),"")</f>
        <v/>
      </c>
      <c r="I145">
        <f>IFERROR(INDEX(Scores!$BH$2:$BH$101,MATCH($B145,Scores!$BI$2:$BI$101,0)),"")</f>
        <v/>
      </c>
      <c r="J145">
        <f>IFERROR(INDEX(Scores!$Q$2:$Q$101,MATCH($B145,Scores!$BI$2:$BI$101,0)),"")</f>
        <v/>
      </c>
      <c r="K145">
        <f>IFERROR(INDEX(Scores!$AC$2:$AC$101,MATCH($B145,Scores!$BI$2:$BI$101,0)),"")</f>
        <v/>
      </c>
      <c r="L145">
        <f>IFERROR(INDEX(Scores!$AK$2:$AK$101,MATCH($B145,Scores!$BI$2:$BI$101,0)),"")</f>
        <v/>
      </c>
      <c r="M145">
        <f>IFERROR(INDEX(Scores!$AS$2:$AS$101,MATCH($B145,Scores!$BI$2:$BI$101,0)),"")</f>
        <v/>
      </c>
      <c r="N145">
        <f>IFERROR(INDEX(Scores!$BC$2:$BC$101,MATCH($B145,Scores!$BI$2:$BI$101,0)),"")</f>
        <v/>
      </c>
    </row>
    <row r="146">
      <c r="A146" t="inlineStr">
        <is>
          <t>Top 50</t>
        </is>
      </c>
      <c r="B146" t="n">
        <v>40</v>
      </c>
      <c r="C146">
        <f>IFERROR(INDEX(Scores!$BI$2:$BI$101,MATCH($B146,Scores!$BI$2:$BI$101,0)),"")</f>
        <v/>
      </c>
      <c r="D146">
        <f>IFERROR(INDEX(Scores!$B$2:$B$101,MATCH($B146,Scores!$BI$2:$BI$101,0)),"")</f>
        <v/>
      </c>
      <c r="E146">
        <f>IFERROR(INDEX(Scores!$C$2:$C$101,MATCH($B146,Scores!$BI$2:$BI$101,0)),"")</f>
        <v/>
      </c>
      <c r="F146">
        <f>IFERROR(INDEX(Scores!$D$2:$D$101,MATCH($B146,Scores!$BI$2:$BI$101,0)),"")</f>
        <v/>
      </c>
      <c r="G146">
        <f>IFERROR(INDEX(Scores!$E$2:$E$101,MATCH($B146,Scores!$BI$2:$BI$101,0)),"")</f>
        <v/>
      </c>
      <c r="H146">
        <f>IFERROR(INDEX(Scores!$BF$2:$BF$101,MATCH($B146,Scores!$BI$2:$BI$101,0)),"")</f>
        <v/>
      </c>
      <c r="I146">
        <f>IFERROR(INDEX(Scores!$BH$2:$BH$101,MATCH($B146,Scores!$BI$2:$BI$101,0)),"")</f>
        <v/>
      </c>
      <c r="J146">
        <f>IFERROR(INDEX(Scores!$Q$2:$Q$101,MATCH($B146,Scores!$BI$2:$BI$101,0)),"")</f>
        <v/>
      </c>
      <c r="K146">
        <f>IFERROR(INDEX(Scores!$AC$2:$AC$101,MATCH($B146,Scores!$BI$2:$BI$101,0)),"")</f>
        <v/>
      </c>
      <c r="L146">
        <f>IFERROR(INDEX(Scores!$AK$2:$AK$101,MATCH($B146,Scores!$BI$2:$BI$101,0)),"")</f>
        <v/>
      </c>
      <c r="M146">
        <f>IFERROR(INDEX(Scores!$AS$2:$AS$101,MATCH($B146,Scores!$BI$2:$BI$101,0)),"")</f>
        <v/>
      </c>
      <c r="N146">
        <f>IFERROR(INDEX(Scores!$BC$2:$BC$101,MATCH($B146,Scores!$BI$2:$BI$101,0)),"")</f>
        <v/>
      </c>
    </row>
    <row r="147">
      <c r="A147" t="inlineStr">
        <is>
          <t>Top 50</t>
        </is>
      </c>
      <c r="B147" t="n">
        <v>41</v>
      </c>
      <c r="C147">
        <f>IFERROR(INDEX(Scores!$BI$2:$BI$101,MATCH($B147,Scores!$BI$2:$BI$101,0)),"")</f>
        <v/>
      </c>
      <c r="D147">
        <f>IFERROR(INDEX(Scores!$B$2:$B$101,MATCH($B147,Scores!$BI$2:$BI$101,0)),"")</f>
        <v/>
      </c>
      <c r="E147">
        <f>IFERROR(INDEX(Scores!$C$2:$C$101,MATCH($B147,Scores!$BI$2:$BI$101,0)),"")</f>
        <v/>
      </c>
      <c r="F147">
        <f>IFERROR(INDEX(Scores!$D$2:$D$101,MATCH($B147,Scores!$BI$2:$BI$101,0)),"")</f>
        <v/>
      </c>
      <c r="G147">
        <f>IFERROR(INDEX(Scores!$E$2:$E$101,MATCH($B147,Scores!$BI$2:$BI$101,0)),"")</f>
        <v/>
      </c>
      <c r="H147">
        <f>IFERROR(INDEX(Scores!$BF$2:$BF$101,MATCH($B147,Scores!$BI$2:$BI$101,0)),"")</f>
        <v/>
      </c>
      <c r="I147">
        <f>IFERROR(INDEX(Scores!$BH$2:$BH$101,MATCH($B147,Scores!$BI$2:$BI$101,0)),"")</f>
        <v/>
      </c>
      <c r="J147">
        <f>IFERROR(INDEX(Scores!$Q$2:$Q$101,MATCH($B147,Scores!$BI$2:$BI$101,0)),"")</f>
        <v/>
      </c>
      <c r="K147">
        <f>IFERROR(INDEX(Scores!$AC$2:$AC$101,MATCH($B147,Scores!$BI$2:$BI$101,0)),"")</f>
        <v/>
      </c>
      <c r="L147">
        <f>IFERROR(INDEX(Scores!$AK$2:$AK$101,MATCH($B147,Scores!$BI$2:$BI$101,0)),"")</f>
        <v/>
      </c>
      <c r="M147">
        <f>IFERROR(INDEX(Scores!$AS$2:$AS$101,MATCH($B147,Scores!$BI$2:$BI$101,0)),"")</f>
        <v/>
      </c>
      <c r="N147">
        <f>IFERROR(INDEX(Scores!$BC$2:$BC$101,MATCH($B147,Scores!$BI$2:$BI$101,0)),"")</f>
        <v/>
      </c>
    </row>
    <row r="148">
      <c r="A148" t="inlineStr">
        <is>
          <t>Top 50</t>
        </is>
      </c>
      <c r="B148" t="n">
        <v>42</v>
      </c>
      <c r="C148">
        <f>IFERROR(INDEX(Scores!$BI$2:$BI$101,MATCH($B148,Scores!$BI$2:$BI$101,0)),"")</f>
        <v/>
      </c>
      <c r="D148">
        <f>IFERROR(INDEX(Scores!$B$2:$B$101,MATCH($B148,Scores!$BI$2:$BI$101,0)),"")</f>
        <v/>
      </c>
      <c r="E148">
        <f>IFERROR(INDEX(Scores!$C$2:$C$101,MATCH($B148,Scores!$BI$2:$BI$101,0)),"")</f>
        <v/>
      </c>
      <c r="F148">
        <f>IFERROR(INDEX(Scores!$D$2:$D$101,MATCH($B148,Scores!$BI$2:$BI$101,0)),"")</f>
        <v/>
      </c>
      <c r="G148">
        <f>IFERROR(INDEX(Scores!$E$2:$E$101,MATCH($B148,Scores!$BI$2:$BI$101,0)),"")</f>
        <v/>
      </c>
      <c r="H148">
        <f>IFERROR(INDEX(Scores!$BF$2:$BF$101,MATCH($B148,Scores!$BI$2:$BI$101,0)),"")</f>
        <v/>
      </c>
      <c r="I148">
        <f>IFERROR(INDEX(Scores!$BH$2:$BH$101,MATCH($B148,Scores!$BI$2:$BI$101,0)),"")</f>
        <v/>
      </c>
      <c r="J148">
        <f>IFERROR(INDEX(Scores!$Q$2:$Q$101,MATCH($B148,Scores!$BI$2:$BI$101,0)),"")</f>
        <v/>
      </c>
      <c r="K148">
        <f>IFERROR(INDEX(Scores!$AC$2:$AC$101,MATCH($B148,Scores!$BI$2:$BI$101,0)),"")</f>
        <v/>
      </c>
      <c r="L148">
        <f>IFERROR(INDEX(Scores!$AK$2:$AK$101,MATCH($B148,Scores!$BI$2:$BI$101,0)),"")</f>
        <v/>
      </c>
      <c r="M148">
        <f>IFERROR(INDEX(Scores!$AS$2:$AS$101,MATCH($B148,Scores!$BI$2:$BI$101,0)),"")</f>
        <v/>
      </c>
      <c r="N148">
        <f>IFERROR(INDEX(Scores!$BC$2:$BC$101,MATCH($B148,Scores!$BI$2:$BI$101,0)),"")</f>
        <v/>
      </c>
    </row>
    <row r="149">
      <c r="A149" t="inlineStr">
        <is>
          <t>Top 50</t>
        </is>
      </c>
      <c r="B149" t="n">
        <v>43</v>
      </c>
      <c r="C149">
        <f>IFERROR(INDEX(Scores!$BI$2:$BI$101,MATCH($B149,Scores!$BI$2:$BI$101,0)),"")</f>
        <v/>
      </c>
      <c r="D149">
        <f>IFERROR(INDEX(Scores!$B$2:$B$101,MATCH($B149,Scores!$BI$2:$BI$101,0)),"")</f>
        <v/>
      </c>
      <c r="E149">
        <f>IFERROR(INDEX(Scores!$C$2:$C$101,MATCH($B149,Scores!$BI$2:$BI$101,0)),"")</f>
        <v/>
      </c>
      <c r="F149">
        <f>IFERROR(INDEX(Scores!$D$2:$D$101,MATCH($B149,Scores!$BI$2:$BI$101,0)),"")</f>
        <v/>
      </c>
      <c r="G149">
        <f>IFERROR(INDEX(Scores!$E$2:$E$101,MATCH($B149,Scores!$BI$2:$BI$101,0)),"")</f>
        <v/>
      </c>
      <c r="H149">
        <f>IFERROR(INDEX(Scores!$BF$2:$BF$101,MATCH($B149,Scores!$BI$2:$BI$101,0)),"")</f>
        <v/>
      </c>
      <c r="I149">
        <f>IFERROR(INDEX(Scores!$BH$2:$BH$101,MATCH($B149,Scores!$BI$2:$BI$101,0)),"")</f>
        <v/>
      </c>
      <c r="J149">
        <f>IFERROR(INDEX(Scores!$Q$2:$Q$101,MATCH($B149,Scores!$BI$2:$BI$101,0)),"")</f>
        <v/>
      </c>
      <c r="K149">
        <f>IFERROR(INDEX(Scores!$AC$2:$AC$101,MATCH($B149,Scores!$BI$2:$BI$101,0)),"")</f>
        <v/>
      </c>
      <c r="L149">
        <f>IFERROR(INDEX(Scores!$AK$2:$AK$101,MATCH($B149,Scores!$BI$2:$BI$101,0)),"")</f>
        <v/>
      </c>
      <c r="M149">
        <f>IFERROR(INDEX(Scores!$AS$2:$AS$101,MATCH($B149,Scores!$BI$2:$BI$101,0)),"")</f>
        <v/>
      </c>
      <c r="N149">
        <f>IFERROR(INDEX(Scores!$BC$2:$BC$101,MATCH($B149,Scores!$BI$2:$BI$101,0)),"")</f>
        <v/>
      </c>
    </row>
    <row r="150">
      <c r="A150" t="inlineStr">
        <is>
          <t>Top 50</t>
        </is>
      </c>
      <c r="B150" t="n">
        <v>44</v>
      </c>
      <c r="C150">
        <f>IFERROR(INDEX(Scores!$BI$2:$BI$101,MATCH($B150,Scores!$BI$2:$BI$101,0)),"")</f>
        <v/>
      </c>
      <c r="D150">
        <f>IFERROR(INDEX(Scores!$B$2:$B$101,MATCH($B150,Scores!$BI$2:$BI$101,0)),"")</f>
        <v/>
      </c>
      <c r="E150">
        <f>IFERROR(INDEX(Scores!$C$2:$C$101,MATCH($B150,Scores!$BI$2:$BI$101,0)),"")</f>
        <v/>
      </c>
      <c r="F150">
        <f>IFERROR(INDEX(Scores!$D$2:$D$101,MATCH($B150,Scores!$BI$2:$BI$101,0)),"")</f>
        <v/>
      </c>
      <c r="G150">
        <f>IFERROR(INDEX(Scores!$E$2:$E$101,MATCH($B150,Scores!$BI$2:$BI$101,0)),"")</f>
        <v/>
      </c>
      <c r="H150">
        <f>IFERROR(INDEX(Scores!$BF$2:$BF$101,MATCH($B150,Scores!$BI$2:$BI$101,0)),"")</f>
        <v/>
      </c>
      <c r="I150">
        <f>IFERROR(INDEX(Scores!$BH$2:$BH$101,MATCH($B150,Scores!$BI$2:$BI$101,0)),"")</f>
        <v/>
      </c>
      <c r="J150">
        <f>IFERROR(INDEX(Scores!$Q$2:$Q$101,MATCH($B150,Scores!$BI$2:$BI$101,0)),"")</f>
        <v/>
      </c>
      <c r="K150">
        <f>IFERROR(INDEX(Scores!$AC$2:$AC$101,MATCH($B150,Scores!$BI$2:$BI$101,0)),"")</f>
        <v/>
      </c>
      <c r="L150">
        <f>IFERROR(INDEX(Scores!$AK$2:$AK$101,MATCH($B150,Scores!$BI$2:$BI$101,0)),"")</f>
        <v/>
      </c>
      <c r="M150">
        <f>IFERROR(INDEX(Scores!$AS$2:$AS$101,MATCH($B150,Scores!$BI$2:$BI$101,0)),"")</f>
        <v/>
      </c>
      <c r="N150">
        <f>IFERROR(INDEX(Scores!$BC$2:$BC$101,MATCH($B150,Scores!$BI$2:$BI$101,0)),"")</f>
        <v/>
      </c>
    </row>
    <row r="151">
      <c r="A151" t="inlineStr">
        <is>
          <t>Top 50</t>
        </is>
      </c>
      <c r="B151" t="n">
        <v>45</v>
      </c>
      <c r="C151">
        <f>IFERROR(INDEX(Scores!$BI$2:$BI$101,MATCH($B151,Scores!$BI$2:$BI$101,0)),"")</f>
        <v/>
      </c>
      <c r="D151">
        <f>IFERROR(INDEX(Scores!$B$2:$B$101,MATCH($B151,Scores!$BI$2:$BI$101,0)),"")</f>
        <v/>
      </c>
      <c r="E151">
        <f>IFERROR(INDEX(Scores!$C$2:$C$101,MATCH($B151,Scores!$BI$2:$BI$101,0)),"")</f>
        <v/>
      </c>
      <c r="F151">
        <f>IFERROR(INDEX(Scores!$D$2:$D$101,MATCH($B151,Scores!$BI$2:$BI$101,0)),"")</f>
        <v/>
      </c>
      <c r="G151">
        <f>IFERROR(INDEX(Scores!$E$2:$E$101,MATCH($B151,Scores!$BI$2:$BI$101,0)),"")</f>
        <v/>
      </c>
      <c r="H151">
        <f>IFERROR(INDEX(Scores!$BF$2:$BF$101,MATCH($B151,Scores!$BI$2:$BI$101,0)),"")</f>
        <v/>
      </c>
      <c r="I151">
        <f>IFERROR(INDEX(Scores!$BH$2:$BH$101,MATCH($B151,Scores!$BI$2:$BI$101,0)),"")</f>
        <v/>
      </c>
      <c r="J151">
        <f>IFERROR(INDEX(Scores!$Q$2:$Q$101,MATCH($B151,Scores!$BI$2:$BI$101,0)),"")</f>
        <v/>
      </c>
      <c r="K151">
        <f>IFERROR(INDEX(Scores!$AC$2:$AC$101,MATCH($B151,Scores!$BI$2:$BI$101,0)),"")</f>
        <v/>
      </c>
      <c r="L151">
        <f>IFERROR(INDEX(Scores!$AK$2:$AK$101,MATCH($B151,Scores!$BI$2:$BI$101,0)),"")</f>
        <v/>
      </c>
      <c r="M151">
        <f>IFERROR(INDEX(Scores!$AS$2:$AS$101,MATCH($B151,Scores!$BI$2:$BI$101,0)),"")</f>
        <v/>
      </c>
      <c r="N151">
        <f>IFERROR(INDEX(Scores!$BC$2:$BC$101,MATCH($B151,Scores!$BI$2:$BI$101,0)),"")</f>
        <v/>
      </c>
    </row>
    <row r="152">
      <c r="A152" t="inlineStr">
        <is>
          <t>Top 50</t>
        </is>
      </c>
      <c r="B152" t="n">
        <v>46</v>
      </c>
      <c r="C152">
        <f>IFERROR(INDEX(Scores!$BI$2:$BI$101,MATCH($B152,Scores!$BI$2:$BI$101,0)),"")</f>
        <v/>
      </c>
      <c r="D152">
        <f>IFERROR(INDEX(Scores!$B$2:$B$101,MATCH($B152,Scores!$BI$2:$BI$101,0)),"")</f>
        <v/>
      </c>
      <c r="E152">
        <f>IFERROR(INDEX(Scores!$C$2:$C$101,MATCH($B152,Scores!$BI$2:$BI$101,0)),"")</f>
        <v/>
      </c>
      <c r="F152">
        <f>IFERROR(INDEX(Scores!$D$2:$D$101,MATCH($B152,Scores!$BI$2:$BI$101,0)),"")</f>
        <v/>
      </c>
      <c r="G152">
        <f>IFERROR(INDEX(Scores!$E$2:$E$101,MATCH($B152,Scores!$BI$2:$BI$101,0)),"")</f>
        <v/>
      </c>
      <c r="H152">
        <f>IFERROR(INDEX(Scores!$BF$2:$BF$101,MATCH($B152,Scores!$BI$2:$BI$101,0)),"")</f>
        <v/>
      </c>
      <c r="I152">
        <f>IFERROR(INDEX(Scores!$BH$2:$BH$101,MATCH($B152,Scores!$BI$2:$BI$101,0)),"")</f>
        <v/>
      </c>
      <c r="J152">
        <f>IFERROR(INDEX(Scores!$Q$2:$Q$101,MATCH($B152,Scores!$BI$2:$BI$101,0)),"")</f>
        <v/>
      </c>
      <c r="K152">
        <f>IFERROR(INDEX(Scores!$AC$2:$AC$101,MATCH($B152,Scores!$BI$2:$BI$101,0)),"")</f>
        <v/>
      </c>
      <c r="L152">
        <f>IFERROR(INDEX(Scores!$AK$2:$AK$101,MATCH($B152,Scores!$BI$2:$BI$101,0)),"")</f>
        <v/>
      </c>
      <c r="M152">
        <f>IFERROR(INDEX(Scores!$AS$2:$AS$101,MATCH($B152,Scores!$BI$2:$BI$101,0)),"")</f>
        <v/>
      </c>
      <c r="N152">
        <f>IFERROR(INDEX(Scores!$BC$2:$BC$101,MATCH($B152,Scores!$BI$2:$BI$101,0)),"")</f>
        <v/>
      </c>
    </row>
    <row r="153">
      <c r="A153" t="inlineStr">
        <is>
          <t>Top 50</t>
        </is>
      </c>
      <c r="B153" t="n">
        <v>47</v>
      </c>
      <c r="C153">
        <f>IFERROR(INDEX(Scores!$BI$2:$BI$101,MATCH($B153,Scores!$BI$2:$BI$101,0)),"")</f>
        <v/>
      </c>
      <c r="D153">
        <f>IFERROR(INDEX(Scores!$B$2:$B$101,MATCH($B153,Scores!$BI$2:$BI$101,0)),"")</f>
        <v/>
      </c>
      <c r="E153">
        <f>IFERROR(INDEX(Scores!$C$2:$C$101,MATCH($B153,Scores!$BI$2:$BI$101,0)),"")</f>
        <v/>
      </c>
      <c r="F153">
        <f>IFERROR(INDEX(Scores!$D$2:$D$101,MATCH($B153,Scores!$BI$2:$BI$101,0)),"")</f>
        <v/>
      </c>
      <c r="G153">
        <f>IFERROR(INDEX(Scores!$E$2:$E$101,MATCH($B153,Scores!$BI$2:$BI$101,0)),"")</f>
        <v/>
      </c>
      <c r="H153">
        <f>IFERROR(INDEX(Scores!$BF$2:$BF$101,MATCH($B153,Scores!$BI$2:$BI$101,0)),"")</f>
        <v/>
      </c>
      <c r="I153">
        <f>IFERROR(INDEX(Scores!$BH$2:$BH$101,MATCH($B153,Scores!$BI$2:$BI$101,0)),"")</f>
        <v/>
      </c>
      <c r="J153">
        <f>IFERROR(INDEX(Scores!$Q$2:$Q$101,MATCH($B153,Scores!$BI$2:$BI$101,0)),"")</f>
        <v/>
      </c>
      <c r="K153">
        <f>IFERROR(INDEX(Scores!$AC$2:$AC$101,MATCH($B153,Scores!$BI$2:$BI$101,0)),"")</f>
        <v/>
      </c>
      <c r="L153">
        <f>IFERROR(INDEX(Scores!$AK$2:$AK$101,MATCH($B153,Scores!$BI$2:$BI$101,0)),"")</f>
        <v/>
      </c>
      <c r="M153">
        <f>IFERROR(INDEX(Scores!$AS$2:$AS$101,MATCH($B153,Scores!$BI$2:$BI$101,0)),"")</f>
        <v/>
      </c>
      <c r="N153">
        <f>IFERROR(INDEX(Scores!$BC$2:$BC$101,MATCH($B153,Scores!$BI$2:$BI$101,0)),"")</f>
        <v/>
      </c>
    </row>
    <row r="154">
      <c r="A154" t="inlineStr">
        <is>
          <t>Top 50</t>
        </is>
      </c>
      <c r="B154" t="n">
        <v>48</v>
      </c>
      <c r="C154">
        <f>IFERROR(INDEX(Scores!$BI$2:$BI$101,MATCH($B154,Scores!$BI$2:$BI$101,0)),"")</f>
        <v/>
      </c>
      <c r="D154">
        <f>IFERROR(INDEX(Scores!$B$2:$B$101,MATCH($B154,Scores!$BI$2:$BI$101,0)),"")</f>
        <v/>
      </c>
      <c r="E154">
        <f>IFERROR(INDEX(Scores!$C$2:$C$101,MATCH($B154,Scores!$BI$2:$BI$101,0)),"")</f>
        <v/>
      </c>
      <c r="F154">
        <f>IFERROR(INDEX(Scores!$D$2:$D$101,MATCH($B154,Scores!$BI$2:$BI$101,0)),"")</f>
        <v/>
      </c>
      <c r="G154">
        <f>IFERROR(INDEX(Scores!$E$2:$E$101,MATCH($B154,Scores!$BI$2:$BI$101,0)),"")</f>
        <v/>
      </c>
      <c r="H154">
        <f>IFERROR(INDEX(Scores!$BF$2:$BF$101,MATCH($B154,Scores!$BI$2:$BI$101,0)),"")</f>
        <v/>
      </c>
      <c r="I154">
        <f>IFERROR(INDEX(Scores!$BH$2:$BH$101,MATCH($B154,Scores!$BI$2:$BI$101,0)),"")</f>
        <v/>
      </c>
      <c r="J154">
        <f>IFERROR(INDEX(Scores!$Q$2:$Q$101,MATCH($B154,Scores!$BI$2:$BI$101,0)),"")</f>
        <v/>
      </c>
      <c r="K154">
        <f>IFERROR(INDEX(Scores!$AC$2:$AC$101,MATCH($B154,Scores!$BI$2:$BI$101,0)),"")</f>
        <v/>
      </c>
      <c r="L154">
        <f>IFERROR(INDEX(Scores!$AK$2:$AK$101,MATCH($B154,Scores!$BI$2:$BI$101,0)),"")</f>
        <v/>
      </c>
      <c r="M154">
        <f>IFERROR(INDEX(Scores!$AS$2:$AS$101,MATCH($B154,Scores!$BI$2:$BI$101,0)),"")</f>
        <v/>
      </c>
      <c r="N154">
        <f>IFERROR(INDEX(Scores!$BC$2:$BC$101,MATCH($B154,Scores!$BI$2:$BI$101,0)),"")</f>
        <v/>
      </c>
    </row>
    <row r="155">
      <c r="A155" t="inlineStr">
        <is>
          <t>Top 50</t>
        </is>
      </c>
      <c r="B155" t="n">
        <v>49</v>
      </c>
      <c r="C155">
        <f>IFERROR(INDEX(Scores!$BI$2:$BI$101,MATCH($B155,Scores!$BI$2:$BI$101,0)),"")</f>
        <v/>
      </c>
      <c r="D155">
        <f>IFERROR(INDEX(Scores!$B$2:$B$101,MATCH($B155,Scores!$BI$2:$BI$101,0)),"")</f>
        <v/>
      </c>
      <c r="E155">
        <f>IFERROR(INDEX(Scores!$C$2:$C$101,MATCH($B155,Scores!$BI$2:$BI$101,0)),"")</f>
        <v/>
      </c>
      <c r="F155">
        <f>IFERROR(INDEX(Scores!$D$2:$D$101,MATCH($B155,Scores!$BI$2:$BI$101,0)),"")</f>
        <v/>
      </c>
      <c r="G155">
        <f>IFERROR(INDEX(Scores!$E$2:$E$101,MATCH($B155,Scores!$BI$2:$BI$101,0)),"")</f>
        <v/>
      </c>
      <c r="H155">
        <f>IFERROR(INDEX(Scores!$BF$2:$BF$101,MATCH($B155,Scores!$BI$2:$BI$101,0)),"")</f>
        <v/>
      </c>
      <c r="I155">
        <f>IFERROR(INDEX(Scores!$BH$2:$BH$101,MATCH($B155,Scores!$BI$2:$BI$101,0)),"")</f>
        <v/>
      </c>
      <c r="J155">
        <f>IFERROR(INDEX(Scores!$Q$2:$Q$101,MATCH($B155,Scores!$BI$2:$BI$101,0)),"")</f>
        <v/>
      </c>
      <c r="K155">
        <f>IFERROR(INDEX(Scores!$AC$2:$AC$101,MATCH($B155,Scores!$BI$2:$BI$101,0)),"")</f>
        <v/>
      </c>
      <c r="L155">
        <f>IFERROR(INDEX(Scores!$AK$2:$AK$101,MATCH($B155,Scores!$BI$2:$BI$101,0)),"")</f>
        <v/>
      </c>
      <c r="M155">
        <f>IFERROR(INDEX(Scores!$AS$2:$AS$101,MATCH($B155,Scores!$BI$2:$BI$101,0)),"")</f>
        <v/>
      </c>
      <c r="N155">
        <f>IFERROR(INDEX(Scores!$BC$2:$BC$101,MATCH($B155,Scores!$BI$2:$BI$101,0)),"")</f>
        <v/>
      </c>
    </row>
    <row r="156">
      <c r="A156" t="inlineStr">
        <is>
          <t>Top 50</t>
        </is>
      </c>
      <c r="B156" t="n">
        <v>50</v>
      </c>
      <c r="C156">
        <f>IFERROR(INDEX(Scores!$BI$2:$BI$101,MATCH($B156,Scores!$BI$2:$BI$101,0)),"")</f>
        <v/>
      </c>
      <c r="D156">
        <f>IFERROR(INDEX(Scores!$B$2:$B$101,MATCH($B156,Scores!$BI$2:$BI$101,0)),"")</f>
        <v/>
      </c>
      <c r="E156">
        <f>IFERROR(INDEX(Scores!$C$2:$C$101,MATCH($B156,Scores!$BI$2:$BI$101,0)),"")</f>
        <v/>
      </c>
      <c r="F156">
        <f>IFERROR(INDEX(Scores!$D$2:$D$101,MATCH($B156,Scores!$BI$2:$BI$101,0)),"")</f>
        <v/>
      </c>
      <c r="G156">
        <f>IFERROR(INDEX(Scores!$E$2:$E$101,MATCH($B156,Scores!$BI$2:$BI$101,0)),"")</f>
        <v/>
      </c>
      <c r="H156">
        <f>IFERROR(INDEX(Scores!$BF$2:$BF$101,MATCH($B156,Scores!$BI$2:$BI$101,0)),"")</f>
        <v/>
      </c>
      <c r="I156">
        <f>IFERROR(INDEX(Scores!$BH$2:$BH$101,MATCH($B156,Scores!$BI$2:$BI$101,0)),"")</f>
        <v/>
      </c>
      <c r="J156">
        <f>IFERROR(INDEX(Scores!$Q$2:$Q$101,MATCH($B156,Scores!$BI$2:$BI$101,0)),"")</f>
        <v/>
      </c>
      <c r="K156">
        <f>IFERROR(INDEX(Scores!$AC$2:$AC$101,MATCH($B156,Scores!$BI$2:$BI$101,0)),"")</f>
        <v/>
      </c>
      <c r="L156">
        <f>IFERROR(INDEX(Scores!$AK$2:$AK$101,MATCH($B156,Scores!$BI$2:$BI$101,0)),"")</f>
        <v/>
      </c>
      <c r="M156">
        <f>IFERROR(INDEX(Scores!$AS$2:$AS$101,MATCH($B156,Scores!$BI$2:$BI$101,0)),"")</f>
        <v/>
      </c>
      <c r="N156">
        <f>IFERROR(INDEX(Scores!$BC$2:$BC$101,MATCH($B156,Scores!$BI$2:$BI$101,0)),"")</f>
        <v/>
      </c>
    </row>
  </sheetData>
  <autoFilter ref="A1:N156"/>
  <mergeCells count="2">
    <mergeCell ref="A105:N105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COUNTIFS(Scores!$D$2:$D$101,$A2,Scores!$BG$2:$BG$101,"Ranked")</f>
        <v/>
      </c>
      <c r="C2">
        <f>IFERROR(AVERAGEIFS(Scores!$BH$2:$BH$101,Scores!$D$2:$D$101,$A2,Scores!$BG$2:$BG$101,"Ranked"),"")</f>
        <v/>
      </c>
      <c r="D2">
        <f>IFERROR(AVERAGEIFS(Scores!$BE$2:$BE$101,Scores!$D$2:$D$101,$A2),"")</f>
        <v/>
      </c>
      <c r="E2">
        <f>IFERROR(AVERAGEIFS(Scores!$Q$2:$Q$101,Scores!$D$2:$D$101,$A2,Scores!$BG$2:$BG$101,"Ranked"),"")</f>
        <v/>
      </c>
      <c r="F2">
        <f>IFERROR(AVERAGEIFS(Scores!$BC$2:$BC$101,Scores!$D$2:$D$101,$A2,Scores!$BG$2:$BG$101,"Ranked"),"")</f>
        <v/>
      </c>
      <c r="G2">
        <f>IFERROR(INDEX(Scores!$B$2:$B$101,MATCH(MINIFS(Scores!$BI$2:$BI$101,Scores!$D$2:$D$101,$A2,Scores!$BG$2:$BG$101,"Ranked"),Scores!$BI$2:$BI$101,0)),"")</f>
        <v/>
      </c>
    </row>
    <row r="3">
      <c r="A3" t="inlineStr">
        <is>
          <t>East Asia</t>
        </is>
      </c>
      <c r="B3">
        <f>COUNTIFS(Scores!$D$2:$D$101,$A3,Scores!$BG$2:$BG$101,"Ranked")</f>
        <v/>
      </c>
      <c r="C3">
        <f>IFERROR(AVERAGEIFS(Scores!$BH$2:$BH$101,Scores!$D$2:$D$101,$A3,Scores!$BG$2:$BG$101,"Ranked"),"")</f>
        <v/>
      </c>
      <c r="D3">
        <f>IFERROR(AVERAGEIFS(Scores!$BE$2:$BE$101,Scores!$D$2:$D$101,$A3),"")</f>
        <v/>
      </c>
      <c r="E3">
        <f>IFERROR(AVERAGEIFS(Scores!$Q$2:$Q$101,Scores!$D$2:$D$101,$A3,Scores!$BG$2:$BG$101,"Ranked"),"")</f>
        <v/>
      </c>
      <c r="F3">
        <f>IFERROR(AVERAGEIFS(Scores!$BC$2:$BC$101,Scores!$D$2:$D$101,$A3,Scores!$BG$2:$BG$101,"Ranked"),"")</f>
        <v/>
      </c>
      <c r="G3">
        <f>IFERROR(INDEX(Scores!$B$2:$B$101,MATCH(MINIFS(Scores!$BI$2:$BI$101,Scores!$D$2:$D$101,$A3,Scores!$BG$2:$BG$101,"Ranked"),Scores!$BI$2:$BI$101,0)),"")</f>
        <v/>
      </c>
    </row>
    <row r="4">
      <c r="A4" t="inlineStr">
        <is>
          <t>South Asia</t>
        </is>
      </c>
      <c r="B4">
        <f>COUNTIFS(Scores!$D$2:$D$101,$A4,Scores!$BG$2:$BG$101,"Ranked")</f>
        <v/>
      </c>
      <c r="C4">
        <f>IFERROR(AVERAGEIFS(Scores!$BH$2:$BH$101,Scores!$D$2:$D$101,$A4,Scores!$BG$2:$BG$101,"Ranked"),"")</f>
        <v/>
      </c>
      <c r="D4">
        <f>IFERROR(AVERAGEIFS(Scores!$BE$2:$BE$101,Scores!$D$2:$D$101,$A4),"")</f>
        <v/>
      </c>
      <c r="E4">
        <f>IFERROR(AVERAGEIFS(Scores!$Q$2:$Q$101,Scores!$D$2:$D$101,$A4,Scores!$BG$2:$BG$101,"Ranked"),"")</f>
        <v/>
      </c>
      <c r="F4">
        <f>IFERROR(AVERAGEIFS(Scores!$BC$2:$BC$101,Scores!$D$2:$D$101,$A4,Scores!$BG$2:$BG$101,"Ranked"),"")</f>
        <v/>
      </c>
      <c r="G4">
        <f>IFERROR(INDEX(Scores!$B$2:$B$101,MATCH(MINIFS(Scores!$BI$2:$BI$101,Scores!$D$2:$D$101,$A4,Scores!$BG$2:$BG$101,"Ranked"),Scores!$BI$2:$BI$101,0)),"")</f>
        <v/>
      </c>
    </row>
    <row r="5">
      <c r="A5" t="inlineStr">
        <is>
          <t>Western and Northern Europe</t>
        </is>
      </c>
      <c r="B5">
        <f>COUNTIFS(Scores!$D$2:$D$101,$A5,Scores!$BG$2:$BG$101,"Ranked")</f>
        <v/>
      </c>
      <c r="C5">
        <f>IFERROR(AVERAGEIFS(Scores!$BH$2:$BH$101,Scores!$D$2:$D$101,$A5,Scores!$BG$2:$BG$101,"Ranked"),"")</f>
        <v/>
      </c>
      <c r="D5">
        <f>IFERROR(AVERAGEIFS(Scores!$BE$2:$BE$101,Scores!$D$2:$D$101,$A5),"")</f>
        <v/>
      </c>
      <c r="E5">
        <f>IFERROR(AVERAGEIFS(Scores!$Q$2:$Q$101,Scores!$D$2:$D$101,$A5,Scores!$BG$2:$BG$101,"Ranked"),"")</f>
        <v/>
      </c>
      <c r="F5">
        <f>IFERROR(AVERAGEIFS(Scores!$BC$2:$BC$101,Scores!$D$2:$D$101,$A5,Scores!$BG$2:$BG$101,"Ranked"),"")</f>
        <v/>
      </c>
      <c r="G5">
        <f>IFERROR(INDEX(Scores!$B$2:$B$101,MATCH(MINIFS(Scores!$BI$2:$BI$101,Scores!$D$2:$D$101,$A5,Scores!$BG$2:$BG$101,"Ranked"),Scores!$BI$2:$BI$101,0)),"")</f>
        <v/>
      </c>
    </row>
    <row r="6">
      <c r="A6" t="inlineStr">
        <is>
          <t>Southern/Eastern Europe and Eurasia</t>
        </is>
      </c>
      <c r="B6">
        <f>COUNTIFS(Scores!$D$2:$D$101,$A6,Scores!$BG$2:$BG$101,"Ranked")</f>
        <v/>
      </c>
      <c r="C6">
        <f>IFERROR(AVERAGEIFS(Scores!$BH$2:$BH$101,Scores!$D$2:$D$101,$A6,Scores!$BG$2:$BG$101,"Ranked"),"")</f>
        <v/>
      </c>
      <c r="D6">
        <f>IFERROR(AVERAGEIFS(Scores!$BE$2:$BE$101,Scores!$D$2:$D$101,$A6),"")</f>
        <v/>
      </c>
      <c r="E6">
        <f>IFERROR(AVERAGEIFS(Scores!$Q$2:$Q$101,Scores!$D$2:$D$101,$A6,Scores!$BG$2:$BG$101,"Ranked"),"")</f>
        <v/>
      </c>
      <c r="F6">
        <f>IFERROR(AVERAGEIFS(Scores!$BC$2:$BC$101,Scores!$D$2:$D$101,$A6,Scores!$BG$2:$BG$101,"Ranked"),"")</f>
        <v/>
      </c>
      <c r="G6">
        <f>IFERROR(INDEX(Scores!$B$2:$B$101,MATCH(MINIFS(Scores!$BI$2:$BI$101,Scores!$D$2:$D$101,$A6,Scores!$BG$2:$BG$101,"Ranked"),Scores!$BI$2:$BI$101,0)),"")</f>
        <v/>
      </c>
    </row>
    <row r="7">
      <c r="A7" t="inlineStr">
        <is>
          <t>North America</t>
        </is>
      </c>
      <c r="B7">
        <f>COUNTIFS(Scores!$D$2:$D$101,$A7,Scores!$BG$2:$BG$101,"Ranked")</f>
        <v/>
      </c>
      <c r="C7">
        <f>IFERROR(AVERAGEIFS(Scores!$BH$2:$BH$101,Scores!$D$2:$D$101,$A7,Scores!$BG$2:$BG$101,"Ranked"),"")</f>
        <v/>
      </c>
      <c r="D7">
        <f>IFERROR(AVERAGEIFS(Scores!$BE$2:$BE$101,Scores!$D$2:$D$101,$A7),"")</f>
        <v/>
      </c>
      <c r="E7">
        <f>IFERROR(AVERAGEIFS(Scores!$Q$2:$Q$101,Scores!$D$2:$D$101,$A7,Scores!$BG$2:$BG$101,"Ranked"),"")</f>
        <v/>
      </c>
      <c r="F7">
        <f>IFERROR(AVERAGEIFS(Scores!$BC$2:$BC$101,Scores!$D$2:$D$101,$A7,Scores!$BG$2:$BG$101,"Ranked"),"")</f>
        <v/>
      </c>
      <c r="G7">
        <f>IFERROR(INDEX(Scores!$B$2:$B$101,MATCH(MINIFS(Scores!$BI$2:$BI$101,Scores!$D$2:$D$101,$A7,Scores!$BG$2:$BG$101,"Ranked"),Scores!$BI$2:$BI$101,0)),"")</f>
        <v/>
      </c>
    </row>
    <row r="8">
      <c r="A8" t="inlineStr">
        <is>
          <t>Latin America</t>
        </is>
      </c>
      <c r="B8">
        <f>COUNTIFS(Scores!$D$2:$D$101,$A8,Scores!$BG$2:$BG$101,"Ranked")</f>
        <v/>
      </c>
      <c r="C8">
        <f>IFERROR(AVERAGEIFS(Scores!$BH$2:$BH$101,Scores!$D$2:$D$101,$A8,Scores!$BG$2:$BG$101,"Ranked"),"")</f>
        <v/>
      </c>
      <c r="D8">
        <f>IFERROR(AVERAGEIFS(Scores!$BE$2:$BE$101,Scores!$D$2:$D$101,$A8),"")</f>
        <v/>
      </c>
      <c r="E8">
        <f>IFERROR(AVERAGEIFS(Scores!$Q$2:$Q$101,Scores!$D$2:$D$101,$A8,Scores!$BG$2:$BG$101,"Ranked"),"")</f>
        <v/>
      </c>
      <c r="F8">
        <f>IFERROR(AVERAGEIFS(Scores!$BC$2:$BC$101,Scores!$D$2:$D$101,$A8,Scores!$BG$2:$BG$101,"Ranked"),"")</f>
        <v/>
      </c>
      <c r="G8">
        <f>IFERROR(INDEX(Scores!$B$2:$B$101,MATCH(MINIFS(Scores!$BI$2:$BI$101,Scores!$D$2:$D$101,$A8,Scores!$BG$2:$BG$101,"Ranked"),Scores!$BI$2:$BI$101,0)),"")</f>
        <v/>
      </c>
    </row>
    <row r="9">
      <c r="A9" t="inlineStr">
        <is>
          <t>Middle East</t>
        </is>
      </c>
      <c r="B9">
        <f>COUNTIFS(Scores!$D$2:$D$101,$A9,Scores!$BG$2:$BG$101,"Ranked")</f>
        <v/>
      </c>
      <c r="C9">
        <f>IFERROR(AVERAGEIFS(Scores!$BH$2:$BH$101,Scores!$D$2:$D$101,$A9,Scores!$BG$2:$BG$101,"Ranked"),"")</f>
        <v/>
      </c>
      <c r="D9">
        <f>IFERROR(AVERAGEIFS(Scores!$BE$2:$BE$101,Scores!$D$2:$D$101,$A9),"")</f>
        <v/>
      </c>
      <c r="E9">
        <f>IFERROR(AVERAGEIFS(Scores!$Q$2:$Q$101,Scores!$D$2:$D$101,$A9,Scores!$BG$2:$BG$101,"Ranked"),"")</f>
        <v/>
      </c>
      <c r="F9">
        <f>IFERROR(AVERAGEIFS(Scores!$BC$2:$BC$101,Scores!$D$2:$D$101,$A9,Scores!$BG$2:$BG$101,"Ranked"),"")</f>
        <v/>
      </c>
      <c r="G9">
        <f>IFERROR(INDEX(Scores!$B$2:$B$101,MATCH(MINIFS(Scores!$BI$2:$BI$101,Scores!$D$2:$D$101,$A9,Scores!$BG$2:$BG$101,"Ranked"),Scores!$BI$2:$BI$101,0)),"")</f>
        <v/>
      </c>
    </row>
    <row r="10">
      <c r="A10" t="inlineStr">
        <is>
          <t>Africa</t>
        </is>
      </c>
      <c r="B10">
        <f>COUNTIFS(Scores!$D$2:$D$101,$A10,Scores!$BG$2:$BG$101,"Ranked")</f>
        <v/>
      </c>
      <c r="C10">
        <f>IFERROR(AVERAGEIFS(Scores!$BH$2:$BH$101,Scores!$D$2:$D$101,$A10,Scores!$BG$2:$BG$101,"Ranked"),"")</f>
        <v/>
      </c>
      <c r="D10">
        <f>IFERROR(AVERAGEIFS(Scores!$BE$2:$BE$101,Scores!$D$2:$D$101,$A10),"")</f>
        <v/>
      </c>
      <c r="E10">
        <f>IFERROR(AVERAGEIFS(Scores!$Q$2:$Q$101,Scores!$D$2:$D$101,$A10,Scores!$BG$2:$BG$101,"Ranked"),"")</f>
        <v/>
      </c>
      <c r="F10">
        <f>IFERROR(AVERAGEIFS(Scores!$BC$2:$BC$101,Scores!$D$2:$D$101,$A10,Scores!$BG$2:$BG$101,"Ranked"),"")</f>
        <v/>
      </c>
      <c r="G10">
        <f>IFERROR(INDEX(Scores!$B$2:$B$101,MATCH(MINIFS(Scores!$BI$2:$BI$101,Scores!$D$2:$D$101,$A10,Scores!$BG$2:$BG$101,"Ranked"),Scores!$BI$2:$BI$101,0)),"")</f>
        <v/>
      </c>
    </row>
    <row r="11">
      <c r="A11" t="inlineStr">
        <is>
          <t>Oceania</t>
        </is>
      </c>
      <c r="B11">
        <f>COUNTIFS(Scores!$D$2:$D$101,$A11,Scores!$BG$2:$BG$101,"Ranked")</f>
        <v/>
      </c>
      <c r="C11">
        <f>IFERROR(AVERAGEIFS(Scores!$BH$2:$BH$101,Scores!$D$2:$D$101,$A11,Scores!$BG$2:$BG$101,"Ranked"),"")</f>
        <v/>
      </c>
      <c r="D11">
        <f>IFERROR(AVERAGEIFS(Scores!$BE$2:$BE$101,Scores!$D$2:$D$101,$A11),"")</f>
        <v/>
      </c>
      <c r="E11">
        <f>IFERROR(AVERAGEIFS(Scores!$Q$2:$Q$101,Scores!$D$2:$D$101,$A11,Scores!$BG$2:$BG$101,"Ranked"),"")</f>
        <v/>
      </c>
      <c r="F11">
        <f>IFERROR(AVERAGEIFS(Scores!$BC$2:$BC$101,Scores!$D$2:$D$101,$A11,Scores!$BG$2:$BG$101,"Ranked"),"")</f>
        <v/>
      </c>
      <c r="G11">
        <f>IFERROR(INDEX(Scores!$B$2:$B$101,MATCH(MINIFS(Scores!$BI$2:$BI$101,Scores!$D$2:$D$101,$A11,Scores!$BG$2:$BG$101,"Ranked"),Scores!$BI$2:$BI$101,0)),"")</f>
        <v/>
      </c>
    </row>
  </sheetData>
  <autoFilter ref="A1:G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  <c r="N3" t="inlineStr"/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  <c r="N4" t="inlineStr"/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  <c r="N5" t="inlineStr"/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  <c r="N6" t="inlineStr"/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  <c r="N7" t="inlineStr"/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  <c r="N8" t="inlineStr"/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  <c r="N9" t="inlineStr"/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  <c r="N10" t="inlineStr"/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  <c r="N11" t="inlineStr"/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  <c r="N12" t="inlineStr"/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2026-03-08T21:16:14Z</dcterms:created>
  <dcterms:modified xmlns:dcterms="http://purl.org/dc/terms/" xmlns:xsi="http://www.w3.org/2001/XMLSchema-instance" xsi:type="dcterms:W3CDTF">2026-03-08T21:16:15Z</dcterms:modified>
</cp:coreProperties>
</file>